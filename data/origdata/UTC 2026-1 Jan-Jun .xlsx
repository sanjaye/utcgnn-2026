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" sheetId="1" r:id="rId5"/>
    <sheet state="visible" name="Courts" sheetId="2" r:id="rId6"/>
    <sheet state="visible" name="Checkin" sheetId="3" r:id="rId7"/>
    <sheet state="visible" name="Data" sheetId="4" r:id="rId8"/>
    <sheet state="visible" name="Waitlist" sheetId="5" r:id="rId9"/>
    <sheet state="visible" name="062726" sheetId="6" r:id="rId10"/>
    <sheet state="visible" name="062026" sheetId="7" r:id="rId11"/>
    <sheet state="visible" name="061326" sheetId="8" r:id="rId12"/>
    <sheet state="visible" name="060626" sheetId="9" r:id="rId13"/>
    <sheet state="visible" name="053026" sheetId="10" r:id="rId14"/>
    <sheet state="visible" name="052326" sheetId="11" r:id="rId15"/>
    <sheet state="visible" name="051626" sheetId="12" r:id="rId16"/>
    <sheet state="visible" name="050926" sheetId="13" r:id="rId17"/>
    <sheet state="visible" name="050226" sheetId="14" r:id="rId18"/>
    <sheet state="visible" name="042526" sheetId="15" r:id="rId19"/>
    <sheet state="visible" name="041826" sheetId="16" r:id="rId20"/>
    <sheet state="visible" name="041126" sheetId="17" r:id="rId21"/>
    <sheet state="visible" name="040426" sheetId="18" r:id="rId22"/>
    <sheet state="visible" name="032826" sheetId="19" r:id="rId23"/>
    <sheet state="visible" name="032126" sheetId="20" r:id="rId24"/>
    <sheet state="visible" name="031426" sheetId="21" r:id="rId25"/>
    <sheet state="visible" name="030726" sheetId="22" r:id="rId26"/>
    <sheet state="visible" name="022826" sheetId="23" r:id="rId27"/>
    <sheet state="visible" name="022126" sheetId="24" r:id="rId28"/>
    <sheet state="visible" name="021426" sheetId="25" r:id="rId29"/>
    <sheet state="visible" name="020726" sheetId="26" r:id="rId30"/>
    <sheet state="visible" name="013126" sheetId="27" r:id="rId31"/>
    <sheet state="visible" name="012426" sheetId="28" r:id="rId32"/>
    <sheet state="visible" name="011726" sheetId="29" r:id="rId33"/>
    <sheet state="visible" name="011026" sheetId="30" r:id="rId34"/>
    <sheet state="visible" name="010326" sheetId="31" r:id="rId35"/>
    <sheet state="visible" name="randomize" sheetId="32" r:id="rId36"/>
  </sheets>
  <definedNames/>
  <calcPr/>
  <pivotCaches>
    <pivotCache cacheId="0" r:id="rId37"/>
  </pivotCaches>
</workbook>
</file>

<file path=xl/sharedStrings.xml><?xml version="1.0" encoding="utf-8"?>
<sst xmlns="http://schemas.openxmlformats.org/spreadsheetml/2006/main" count="10527" uniqueCount="205">
  <si>
    <t xml:space="preserve">Court # </t>
  </si>
  <si>
    <t>Name of the Player</t>
  </si>
  <si>
    <t>No</t>
  </si>
  <si>
    <t xml:space="preserve">Check in </t>
  </si>
  <si>
    <t>Name of Player</t>
  </si>
  <si>
    <t>Previous sitouts</t>
  </si>
  <si>
    <t>Games Won</t>
  </si>
  <si>
    <t xml:space="preserve">Standings as of </t>
  </si>
  <si>
    <t>Sl.No</t>
  </si>
  <si>
    <t>Sets Won</t>
  </si>
  <si>
    <t>Check In</t>
  </si>
  <si>
    <t>Playing(1)</t>
  </si>
  <si>
    <t>Set 1</t>
  </si>
  <si>
    <t>Set 2</t>
  </si>
  <si>
    <t>Out(3)</t>
  </si>
  <si>
    <t>Set 3</t>
  </si>
  <si>
    <t>Out-Can Play(4)</t>
  </si>
  <si>
    <t>Total Games won</t>
  </si>
  <si>
    <t>To Respond</t>
  </si>
  <si>
    <t>Sitouts(5)</t>
  </si>
  <si>
    <t>Playing-Can Sit(2)</t>
  </si>
  <si>
    <t>Sit Outs Needed</t>
  </si>
  <si>
    <t xml:space="preserve">Scores Entered by </t>
  </si>
  <si>
    <t>WHS</t>
  </si>
  <si>
    <t>Count of Player at WHS</t>
  </si>
  <si>
    <t>Number of Weeks Played</t>
  </si>
  <si>
    <t>Suggestion for WHS</t>
  </si>
  <si>
    <t>Admin</t>
  </si>
  <si>
    <t>No WHS</t>
  </si>
  <si>
    <t>Beginning of week</t>
  </si>
  <si>
    <t>Current Week Scores</t>
  </si>
  <si>
    <t>Court #</t>
  </si>
  <si>
    <t>End of week</t>
  </si>
  <si>
    <t>Jan-Jun 2026</t>
  </si>
  <si>
    <t>Jul-Dec 2026</t>
  </si>
  <si>
    <t>Ranking</t>
  </si>
  <si>
    <t>court #</t>
  </si>
  <si>
    <t>Players</t>
  </si>
  <si>
    <t>Games Won / Match</t>
  </si>
  <si>
    <t>Check IN</t>
  </si>
  <si>
    <t>Set 0</t>
  </si>
  <si>
    <t>Waiver</t>
  </si>
  <si>
    <t>Fee</t>
  </si>
  <si>
    <t>Games Played</t>
  </si>
  <si>
    <t>Sit outs</t>
  </si>
  <si>
    <t>No Shows</t>
  </si>
  <si>
    <t>Absent</t>
  </si>
  <si>
    <t>Positions Gained/Lost</t>
  </si>
  <si>
    <t>Perfect attendence</t>
  </si>
  <si>
    <t xml:space="preserve">Check </t>
  </si>
  <si>
    <t>Andrew Yao</t>
  </si>
  <si>
    <t>Adrian Tay</t>
  </si>
  <si>
    <t>Whatsapp Message</t>
  </si>
  <si>
    <t>Playing</t>
  </si>
  <si>
    <t>Alejandro Mejia</t>
  </si>
  <si>
    <t>Max=6/7</t>
  </si>
  <si>
    <t>Playing-Can Sit</t>
  </si>
  <si>
    <t>X</t>
  </si>
  <si>
    <t>Out/Can Play</t>
  </si>
  <si>
    <t>Alex Hou</t>
  </si>
  <si>
    <t>Out</t>
  </si>
  <si>
    <t>Sitouts</t>
  </si>
  <si>
    <t>TBD</t>
  </si>
  <si>
    <t>Pulkit Mathur</t>
  </si>
  <si>
    <t>Allen Zhang</t>
  </si>
  <si>
    <t>Total</t>
  </si>
  <si>
    <t>two equal scores</t>
  </si>
  <si>
    <t>Scores</t>
  </si>
  <si>
    <t>Sandeep Kamalon</t>
  </si>
  <si>
    <t>Courts Full</t>
  </si>
  <si>
    <t>Andrew Wen</t>
  </si>
  <si>
    <t>Sitouts Required</t>
  </si>
  <si>
    <t>End of Season</t>
  </si>
  <si>
    <t>Tom Le</t>
  </si>
  <si>
    <t>Diff of 2 or tie breaker</t>
  </si>
  <si>
    <t>Next UTC</t>
  </si>
  <si>
    <t>Art Hui</t>
  </si>
  <si>
    <t>Suleman Alidina</t>
  </si>
  <si>
    <t>Balaji Alahari</t>
  </si>
  <si>
    <t>Vacations</t>
  </si>
  <si>
    <t>Pavan Akkimsetty</t>
  </si>
  <si>
    <t>Player</t>
  </si>
  <si>
    <t>Login</t>
  </si>
  <si>
    <t>From</t>
  </si>
  <si>
    <t>To</t>
  </si>
  <si>
    <t>Vacation Valid ?</t>
  </si>
  <si>
    <t>Checked-In ?</t>
  </si>
  <si>
    <t>Barathi Sundaram</t>
  </si>
  <si>
    <t>All Good</t>
  </si>
  <si>
    <t>Darren Wong</t>
  </si>
  <si>
    <t>Basudev Thoppai Vidyasankar</t>
  </si>
  <si>
    <t>Matthew Huang</t>
  </si>
  <si>
    <t>Ethan Gu</t>
  </si>
  <si>
    <t>Erik Hoeckmann</t>
  </si>
  <si>
    <t>David Shin</t>
  </si>
  <si>
    <t>Manish Anand</t>
  </si>
  <si>
    <t>Frank Moon</t>
  </si>
  <si>
    <t>Elayaraja Thangaraj</t>
  </si>
  <si>
    <t>Camille Jung</t>
  </si>
  <si>
    <t>Mauricio Palacios</t>
  </si>
  <si>
    <t>Charles Choi</t>
  </si>
  <si>
    <t>Chinna Ponnaganti</t>
  </si>
  <si>
    <t>Admins</t>
  </si>
  <si>
    <t>Joe Luzzi</t>
  </si>
  <si>
    <t>Lam Bui</t>
  </si>
  <si>
    <t>Leigh-Anh Nguyen</t>
  </si>
  <si>
    <t>Robert Chang</t>
  </si>
  <si>
    <t>Sean Chang</t>
  </si>
  <si>
    <t>Ted Shen</t>
  </si>
  <si>
    <t>Cid Macaraeg</t>
  </si>
  <si>
    <t>Coco Yan</t>
  </si>
  <si>
    <t>Jaya Sogata</t>
  </si>
  <si>
    <t>Rajasekar Ramasamy</t>
  </si>
  <si>
    <t>Oscar Bonilla</t>
  </si>
  <si>
    <t>Eric Pan</t>
  </si>
  <si>
    <t>Tina Hanson</t>
  </si>
  <si>
    <t>Eric Tan</t>
  </si>
  <si>
    <t>Herman Au</t>
  </si>
  <si>
    <t>Hongyuan Wen</t>
  </si>
  <si>
    <t xml:space="preserve">Pending Scores </t>
  </si>
  <si>
    <t>Luis Hsu</t>
  </si>
  <si>
    <t>Status</t>
  </si>
  <si>
    <t xml:space="preserve">Here is the link to add new players to the waitlist. </t>
  </si>
  <si>
    <t>tinyurl.com/UTCWaitList</t>
  </si>
  <si>
    <t>Hubert J Sung</t>
  </si>
  <si>
    <t>James Phan</t>
  </si>
  <si>
    <t>Vinotkumar Nagappan</t>
  </si>
  <si>
    <t>Rudy Tatang</t>
  </si>
  <si>
    <t>Jim Miao</t>
  </si>
  <si>
    <t>Jimmy Awolesi</t>
  </si>
  <si>
    <t>Wayne Liu</t>
  </si>
  <si>
    <t>Jonathan Phan</t>
  </si>
  <si>
    <t>Jordan Tatang</t>
  </si>
  <si>
    <t>Joyce Zhu</t>
  </si>
  <si>
    <t>Kumar Palakeel</t>
  </si>
  <si>
    <t>Scott Li</t>
  </si>
  <si>
    <t xml:space="preserve">Lenin Belangonda </t>
  </si>
  <si>
    <t>Lloyd Sagar</t>
  </si>
  <si>
    <t>Manuel Rivera</t>
  </si>
  <si>
    <t>Naveen Raj</t>
  </si>
  <si>
    <t>Nicole Ni</t>
  </si>
  <si>
    <t>Rajesh Dorairaj</t>
  </si>
  <si>
    <t>Ruben Ron</t>
  </si>
  <si>
    <t>Ramesh Bandaru</t>
  </si>
  <si>
    <t>Ranjith Doraiswamy</t>
  </si>
  <si>
    <t>Sandy Weyant</t>
  </si>
  <si>
    <t>Sanjaye Elayattu</t>
  </si>
  <si>
    <t>Vishnu Amarnath</t>
  </si>
  <si>
    <t>Santosh Sundaresan</t>
  </si>
  <si>
    <t>Saravanan Veerapandian</t>
  </si>
  <si>
    <t>Susanta Mishra</t>
  </si>
  <si>
    <t>Trish Newlin</t>
  </si>
  <si>
    <t>Vinaya Kajla</t>
  </si>
  <si>
    <t>Troy Wong</t>
  </si>
  <si>
    <t>Vicki Martinet</t>
  </si>
  <si>
    <t>N</t>
  </si>
  <si>
    <t>Color Coding</t>
  </si>
  <si>
    <t>0-8</t>
  </si>
  <si>
    <t>9-17</t>
  </si>
  <si>
    <t>18-20</t>
  </si>
  <si>
    <t>21</t>
  </si>
  <si>
    <t>Top play (KING) counts</t>
  </si>
  <si>
    <t>King</t>
  </si>
  <si>
    <t>Count</t>
  </si>
  <si>
    <t>Current</t>
  </si>
  <si>
    <t>WHS Courts</t>
  </si>
  <si>
    <t>Admin Court</t>
  </si>
  <si>
    <t>2nd Court</t>
  </si>
  <si>
    <t xml:space="preserve"> </t>
  </si>
  <si>
    <t>Membership Renewals</t>
  </si>
  <si>
    <t>Third Court</t>
  </si>
  <si>
    <t>Renewed</t>
  </si>
  <si>
    <t>Diamond Bar High School Courts</t>
  </si>
  <si>
    <t>21400 Pathfinder Rd, Diamond Bar, CA 91765</t>
  </si>
  <si>
    <t>Change the order of the admins, if need to play around</t>
  </si>
  <si>
    <t>For Publishing in the WhatsApp Group for the score updates on saturday</t>
  </si>
  <si>
    <t>Not Renewing</t>
  </si>
  <si>
    <t>To Renew</t>
  </si>
  <si>
    <t>Playing ?</t>
  </si>
  <si>
    <t>Good for WHS</t>
  </si>
  <si>
    <t>Points</t>
  </si>
  <si>
    <t>Games</t>
  </si>
  <si>
    <t>Sets</t>
  </si>
  <si>
    <t>SUM of Admin</t>
  </si>
  <si>
    <t>SUM of Players</t>
  </si>
  <si>
    <t>Top 10 Climbers</t>
  </si>
  <si>
    <t>Positions Moved</t>
  </si>
  <si>
    <t>Position Last week</t>
  </si>
  <si>
    <t>Position This week</t>
  </si>
  <si>
    <t>Points this week</t>
  </si>
  <si>
    <t>Court</t>
  </si>
  <si>
    <t xml:space="preserve">Cross Check </t>
  </si>
  <si>
    <t>Perfect Attendance</t>
  </si>
  <si>
    <t>Walnut High School Courts</t>
  </si>
  <si>
    <t>400 Pierre Rd, Walnut, CA 91789</t>
  </si>
  <si>
    <t>King of Kings</t>
  </si>
  <si>
    <t>No. of Weeks</t>
  </si>
  <si>
    <t>No. of courts used</t>
  </si>
  <si>
    <t>Weeks</t>
  </si>
  <si>
    <t>Top 10 Movements (UP)</t>
  </si>
  <si>
    <t>Jul-Dec 2025</t>
  </si>
  <si>
    <t>Renewals</t>
  </si>
  <si>
    <t>Perfect Attendence</t>
  </si>
  <si>
    <t>Player Name</t>
  </si>
  <si>
    <t>Random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</si>
</sst>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"/>
    <numFmt numFmtId="165" formatCode="mm&quot;/&quot;dd&quot;/&quot;yy"/>
    <numFmt numFmtId="166" formatCode="0;-0;;@"/>
    <numFmt numFmtId="167" formatCode="h:mm am/pm"/>
    <numFmt numFmtId="168" formatCode="ddd&quot;/&quot;dd&quot;/&quot;mmm&quot;/&quot;yy"/>
    <numFmt numFmtId="169" formatCode="m/d/yy"/>
    <numFmt numFmtId="170" formatCode="m/d/yyyy"/>
    <numFmt numFmtId="171" formatCode="yyyy-mm-d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sz val="14.0"/>
      <color rgb="FF001D35"/>
      <name val="Monospace"/>
    </font>
    <font>
      <b/>
      <sz val="12.0"/>
      <color theme="1"/>
      <name val="Arial"/>
      <scheme val="minor"/>
    </font>
    <font/>
    <font>
      <sz val="14.0"/>
      <color theme="1"/>
      <name val="Arial"/>
    </font>
    <font>
      <color theme="1"/>
      <name val="Arial"/>
    </font>
    <font>
      <u/>
      <color rgb="FF0000FF"/>
    </font>
    <font>
      <sz val="9.0"/>
      <color theme="1"/>
      <name val="Arial"/>
      <scheme val="minor"/>
    </font>
    <font>
      <sz val="13.0"/>
      <color theme="1"/>
      <name val="Arial"/>
    </font>
    <font>
      <sz val="13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E5EDFF"/>
        <bgColor rgb="FFE5ED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3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readingOrder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readingOrder="0" shrinkToFit="0" wrapText="1"/>
    </xf>
    <xf borderId="1" fillId="2" fontId="4" numFmtId="0" xfId="0" applyAlignment="1" applyBorder="1" applyFill="1" applyFont="1">
      <alignment readingOrder="0" shrinkToFit="0" wrapText="1"/>
    </xf>
    <xf borderId="1" fillId="3" fontId="2" numFmtId="164" xfId="0" applyAlignment="1" applyBorder="1" applyFill="1" applyFont="1" applyNumberFormat="1">
      <alignment readingOrder="0"/>
    </xf>
    <xf borderId="1" fillId="2" fontId="1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0" fillId="4" fontId="5" numFmtId="164" xfId="0" applyAlignment="1" applyFill="1" applyFont="1" applyNumberFormat="1">
      <alignment horizontal="center" readingOrder="0"/>
    </xf>
    <xf borderId="1" fillId="2" fontId="4" numFmtId="0" xfId="0" applyAlignment="1" applyBorder="1" applyFill="1" applyFont="1">
      <alignment horizontal="center" readingOrder="0"/>
    </xf>
    <xf borderId="0" fillId="4" fontId="6" numFmtId="0" xfId="0" applyAlignment="1" applyFill="1" applyFont="1">
      <alignment horizontal="right" readingOrder="0"/>
    </xf>
    <xf borderId="2" fillId="2" fontId="4" numFmtId="0" xfId="0" applyAlignment="1" applyBorder="1" applyFill="1" applyFont="1">
      <alignment readingOrder="0" shrinkToFit="0" vertical="center" wrapText="1"/>
    </xf>
    <xf borderId="0" fillId="5" fontId="7" numFmtId="14" xfId="0" applyAlignment="1" applyFill="1" applyFont="1" applyNumberFormat="1">
      <alignment readingOrder="0"/>
    </xf>
    <xf borderId="0" fillId="4" fontId="8" numFmtId="0" xfId="0" applyAlignment="1" applyFill="1" applyFont="1">
      <alignment readingOrder="0"/>
    </xf>
    <xf borderId="0" fillId="4" fontId="8" numFmtId="0" xfId="0" applyAlignment="1" applyFill="1" applyFont="1">
      <alignment horizontal="center" readingOrder="0"/>
    </xf>
    <xf borderId="0" fillId="0" fontId="1" numFmtId="0" xfId="0" applyAlignment="1" applyFont="1">
      <alignment readingOrder="0" shrinkToFit="0" wrapText="1"/>
    </xf>
    <xf borderId="1" fillId="0" fontId="1" numFmtId="0" xfId="0" applyBorder="1" applyFont="1"/>
    <xf borderId="2" fillId="2" fontId="4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6" fontId="1" numFmtId="165" xfId="0" applyFill="1" applyFont="1" applyNumberFormat="1"/>
    <xf borderId="0" fillId="0" fontId="1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shrinkToFit="0" wrapText="1"/>
    </xf>
    <xf borderId="3" fillId="0" fontId="9" numFmtId="0" xfId="0" applyBorder="1" applyFont="1"/>
    <xf borderId="4" fillId="0" fontId="9" numFmtId="0" xfId="0" applyBorder="1" applyFont="1"/>
    <xf borderId="2" fillId="4" fontId="5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3" fontId="2" numFmtId="0" xfId="0" applyAlignment="1" applyBorder="1" applyFill="1" applyFont="1">
      <alignment horizontal="center" readingOrder="0" shrinkToFit="0" wrapText="1"/>
    </xf>
    <xf borderId="0" fillId="0" fontId="1" numFmtId="0" xfId="0" applyFont="1"/>
    <xf borderId="1" fillId="0" fontId="1" numFmtId="3" xfId="0" applyBorder="1" applyFont="1" applyNumberFormat="1"/>
    <xf borderId="1" fillId="0" fontId="1" numFmtId="166" xfId="0" applyBorder="1" applyFont="1" applyNumberFormat="1"/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 vertical="bottom"/>
    </xf>
    <xf borderId="1" fillId="7" fontId="2" numFmtId="3" xfId="0" applyAlignment="1" applyBorder="1" applyFill="1" applyFont="1" applyNumberFormat="1">
      <alignment horizontal="center" readingOrder="0"/>
    </xf>
    <xf borderId="0" fillId="3" fontId="2" numFmtId="164" xfId="0" applyAlignment="1" applyFill="1" applyFont="1" applyNumberFormat="1">
      <alignment readingOrder="0"/>
    </xf>
    <xf borderId="1" fillId="0" fontId="10" numFmtId="0" xfId="0" applyAlignment="1" applyBorder="1" applyFont="1">
      <alignment vertical="bottom"/>
    </xf>
    <xf borderId="1" fillId="7" fontId="2" numFmtId="4" xfId="0" applyAlignment="1" applyBorder="1" applyFill="1" applyFont="1" applyNumberFormat="1">
      <alignment horizontal="center" readingOrder="0"/>
    </xf>
    <xf borderId="1" fillId="3" fontId="10" numFmtId="166" xfId="0" applyAlignment="1" applyBorder="1" applyFill="1" applyFont="1" applyNumberFormat="1">
      <alignment vertical="bottom"/>
    </xf>
    <xf borderId="1" fillId="0" fontId="1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8" fontId="10" numFmtId="166" xfId="0" applyAlignment="1" applyBorder="1" applyFill="1" applyFont="1" applyNumberFormat="1">
      <alignment vertical="bottom"/>
    </xf>
    <xf borderId="1" fillId="7" fontId="10" numFmtId="166" xfId="0" applyAlignment="1" applyBorder="1" applyFill="1" applyFont="1" applyNumberFormat="1">
      <alignment vertical="bottom"/>
    </xf>
    <xf borderId="0" fillId="6" fontId="1" numFmtId="0" xfId="0" applyAlignment="1" applyFill="1" applyFont="1">
      <alignment readingOrder="0"/>
    </xf>
    <xf borderId="0" fillId="0" fontId="10" numFmtId="0" xfId="0" applyAlignment="1" applyFont="1">
      <alignment horizontal="center" vertical="bottom"/>
    </xf>
    <xf borderId="1" fillId="4" fontId="10" numFmtId="166" xfId="0" applyAlignment="1" applyBorder="1" applyFill="1" applyFont="1" applyNumberFormat="1">
      <alignment vertical="bottom"/>
    </xf>
    <xf borderId="1" fillId="7" fontId="2" numFmtId="0" xfId="0" applyAlignment="1" applyBorder="1" applyFill="1" applyFont="1">
      <alignment horizontal="center" readingOrder="0"/>
    </xf>
    <xf borderId="1" fillId="0" fontId="1" numFmtId="3" xfId="0" applyAlignment="1" applyBorder="1" applyFont="1" applyNumberFormat="1">
      <alignment readingOrder="0"/>
    </xf>
    <xf borderId="1" fillId="9" fontId="2" numFmtId="3" xfId="0" applyAlignment="1" applyBorder="1" applyFill="1" applyFont="1" applyNumberFormat="1">
      <alignment horizontal="center" readingOrder="0"/>
    </xf>
    <xf borderId="1" fillId="9" fontId="2" numFmtId="166" xfId="0" applyAlignment="1" applyBorder="1" applyFill="1" applyFont="1" applyNumberFormat="1">
      <alignment horizontal="center" readingOrder="0"/>
    </xf>
    <xf borderId="0" fillId="6" fontId="1" numFmtId="0" xfId="0" applyFill="1" applyFont="1"/>
    <xf borderId="1" fillId="7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 shrinkToFit="0" wrapText="1"/>
    </xf>
    <xf borderId="0" fillId="0" fontId="1" numFmtId="167" xfId="0" applyAlignment="1" applyFont="1" applyNumberFormat="1">
      <alignment readingOrder="0"/>
    </xf>
    <xf borderId="0" fillId="0" fontId="1" numFmtId="9" xfId="0" applyFont="1" applyNumberFormat="1"/>
    <xf borderId="1" fillId="0" fontId="1" numFmtId="168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8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0" fontId="11" numFmtId="0" xfId="0" applyAlignment="1" applyBorder="1" applyFont="1">
      <alignment horizontal="center" vertical="bottom"/>
    </xf>
    <xf borderId="1" fillId="10" fontId="1" numFmtId="0" xfId="0" applyAlignment="1" applyBorder="1" applyFill="1" applyFont="1">
      <alignment readingOrder="0"/>
    </xf>
    <xf borderId="1" fillId="10" fontId="1" numFmtId="0" xfId="0" applyBorder="1" applyFill="1" applyFont="1"/>
    <xf borderId="1" fillId="10" fontId="1" numFmtId="3" xfId="0" applyBorder="1" applyFill="1" applyFont="1" applyNumberFormat="1"/>
    <xf borderId="1" fillId="10" fontId="1" numFmtId="166" xfId="0" applyBorder="1" applyFill="1" applyFont="1" applyNumberFormat="1"/>
    <xf borderId="1" fillId="11" fontId="11" numFmtId="0" xfId="0" applyAlignment="1" applyBorder="1" applyFill="1" applyFont="1">
      <alignment horizontal="center" vertical="bottom"/>
    </xf>
    <xf borderId="1" fillId="10" fontId="1" numFmtId="3" xfId="0" applyAlignment="1" applyBorder="1" applyFill="1" applyFont="1" applyNumberFormat="1">
      <alignment horizontal="center" readingOrder="0"/>
    </xf>
    <xf borderId="1" fillId="10" fontId="1" numFmtId="0" xfId="0" applyAlignment="1" applyBorder="1" applyFill="1" applyFont="1">
      <alignment horizontal="center"/>
    </xf>
    <xf borderId="1" fillId="11" fontId="1" numFmtId="0" xfId="0" applyAlignment="1" applyBorder="1" applyFill="1" applyFont="1">
      <alignment horizontal="center"/>
    </xf>
    <xf borderId="1" fillId="0" fontId="1" numFmtId="169" xfId="0" applyAlignment="1" applyBorder="1" applyFont="1" applyNumberFormat="1">
      <alignment horizontal="center" readingOrder="0"/>
    </xf>
    <xf borderId="0" fillId="10" fontId="1" numFmtId="0" xfId="0" applyAlignment="1" applyFill="1" applyFont="1">
      <alignment readingOrder="0"/>
    </xf>
    <xf borderId="0" fillId="0" fontId="1" numFmtId="0" xfId="0" applyFont="1"/>
    <xf borderId="0" fillId="0" fontId="11" numFmtId="0" xfId="0" applyAlignment="1" applyFont="1">
      <alignment horizontal="right" vertical="bottom"/>
    </xf>
    <xf borderId="0" fillId="0" fontId="1" numFmtId="170" xfId="0" applyAlignment="1" applyFont="1" applyNumberFormat="1">
      <alignment readingOrder="0"/>
    </xf>
    <xf borderId="0" fillId="0" fontId="1" numFmtId="171" xfId="0" applyFont="1" applyNumberFormat="1"/>
    <xf borderId="0" fillId="11" fontId="11" numFmtId="0" xfId="0" applyAlignment="1" applyFill="1" applyFont="1">
      <alignment horizontal="right" vertical="bottom"/>
    </xf>
    <xf borderId="0" fillId="11" fontId="1" numFmtId="0" xfId="0" applyFill="1" applyFont="1"/>
    <xf borderId="0" fillId="0" fontId="1" numFmtId="169" xfId="0" applyAlignment="1" applyFont="1" applyNumberFormat="1">
      <alignment readingOrder="0"/>
    </xf>
    <xf borderId="0" fillId="10" fontId="1" numFmtId="0" xfId="0" applyFill="1" applyFont="1"/>
    <xf borderId="1" fillId="2" fontId="4" numFmtId="0" xfId="0" applyAlignment="1" applyBorder="1" applyFill="1" applyFont="1">
      <alignment readingOrder="0"/>
    </xf>
    <xf borderId="5" fillId="4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readingOrder="0"/>
    </xf>
    <xf borderId="6" fillId="0" fontId="9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3" fontId="10" numFmtId="166" xfId="0" applyAlignment="1" applyBorder="1" applyFill="1" applyFont="1" applyNumberFormat="1">
      <alignment readingOrder="0" vertical="bottom"/>
    </xf>
    <xf borderId="1" fillId="8" fontId="10" numFmtId="166" xfId="0" applyAlignment="1" applyBorder="1" applyFill="1" applyFont="1" applyNumberFormat="1">
      <alignment readingOrder="0" vertical="bottom"/>
    </xf>
    <xf borderId="1" fillId="7" fontId="10" numFmtId="166" xfId="0" applyAlignment="1" applyBorder="1" applyFill="1" applyFont="1" applyNumberFormat="1">
      <alignment readingOrder="0" vertical="bottom"/>
    </xf>
    <xf borderId="1" fillId="4" fontId="10" numFmtId="166" xfId="0" applyAlignment="1" applyBorder="1" applyFill="1" applyFont="1" applyNumberFormat="1">
      <alignment readingOrder="0" vertical="bottom"/>
    </xf>
    <xf quotePrefix="1" borderId="1" fillId="12" fontId="10" numFmtId="0" xfId="0" applyAlignment="1" applyBorder="1" applyFill="1" applyFont="1">
      <alignment readingOrder="0" vertical="bottom"/>
    </xf>
    <xf quotePrefix="1" borderId="1" fillId="0" fontId="10" numFmtId="0" xfId="0" applyAlignment="1" applyBorder="1" applyFont="1">
      <alignment readingOrder="0" vertical="bottom"/>
    </xf>
    <xf quotePrefix="1" borderId="1" fillId="13" fontId="10" numFmtId="0" xfId="0" applyAlignment="1" applyBorder="1" applyFill="1" applyFont="1">
      <alignment readingOrder="0" vertical="bottom"/>
    </xf>
    <xf quotePrefix="1" borderId="1" fillId="14" fontId="10" numFmtId="0" xfId="0" applyAlignment="1" applyBorder="1" applyFill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169" xfId="0" applyFont="1" applyNumberFormat="1"/>
    <xf borderId="1" fillId="0" fontId="10" numFmtId="0" xfId="0" applyAlignment="1" applyBorder="1" applyFont="1">
      <alignment horizontal="center" readingOrder="0" vertical="bottom"/>
    </xf>
    <xf borderId="1" fillId="12" fontId="1" numFmtId="0" xfId="0" applyAlignment="1" applyBorder="1" applyFill="1" applyFont="1">
      <alignment readingOrder="0"/>
    </xf>
    <xf borderId="1" fillId="12" fontId="1" numFmtId="0" xfId="0" applyBorder="1" applyFill="1" applyFont="1"/>
    <xf borderId="1" fillId="1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3" numFmtId="0" xfId="0" applyFont="1"/>
    <xf borderId="2" fillId="10" fontId="14" numFmtId="0" xfId="0" applyAlignment="1" applyBorder="1" applyFill="1" applyFont="1">
      <alignment horizontal="center" readingOrder="0" vertical="bottom"/>
    </xf>
    <xf borderId="2" fillId="10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5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/>
    </xf>
    <xf borderId="1" fillId="0" fontId="15" numFmtId="0" xfId="0" applyBorder="1" applyFont="1"/>
    <xf borderId="0" fillId="0" fontId="15" numFmtId="9" xfId="0" applyFont="1" applyNumberFormat="1"/>
    <xf borderId="2" fillId="10" fontId="10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horizontal="center" readingOrder="0"/>
    </xf>
    <xf borderId="2" fillId="15" fontId="15" numFmtId="0" xfId="0" applyAlignment="1" applyBorder="1" applyFill="1" applyFont="1">
      <alignment readingOrder="0"/>
    </xf>
    <xf borderId="1" fillId="15" fontId="15" numFmtId="0" xfId="0" applyAlignment="1" applyBorder="1" applyFill="1" applyFont="1">
      <alignment readingOrder="0"/>
    </xf>
    <xf borderId="2" fillId="10" fontId="10" numFmtId="0" xfId="0" applyAlignment="1" applyBorder="1" applyFill="1" applyFont="1">
      <alignment horizontal="center" readingOrder="0" vertical="bottom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vertical="bottom"/>
    </xf>
    <xf borderId="1" fillId="0" fontId="10" numFmtId="166" xfId="0" applyAlignment="1" applyBorder="1" applyFont="1" applyNumberForma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/>
    </xf>
    <xf borderId="2" fillId="10" fontId="10" numFmtId="0" xfId="0" applyAlignment="1" applyBorder="1" applyFill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/>
    </xf>
    <xf borderId="1" fillId="0" fontId="1" numFmtId="3" xfId="0" applyAlignment="1" applyBorder="1" applyFont="1" applyNumberFormat="1">
      <alignment horizontal="center"/>
    </xf>
    <xf borderId="2" fillId="10" fontId="2" numFmtId="0" xfId="0" applyAlignment="1" applyBorder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/>
    </xf>
    <xf borderId="1" fillId="0" fontId="10" numFmtId="3" xfId="0" applyAlignment="1" applyBorder="1" applyFont="1" applyNumberFormat="1">
      <alignment horizontal="center" readingOrder="0" vertical="bottom"/>
    </xf>
    <xf borderId="1" fillId="10" fontId="10" numFmtId="166" xfId="0" applyAlignment="1" applyBorder="1" applyFill="1" applyFont="1" applyNumberFormat="1">
      <alignment horizontal="center" readingOrder="0" vertical="bottom"/>
    </xf>
    <xf borderId="1" fillId="10" fontId="10" numFmtId="0" xfId="0" applyAlignment="1" applyBorder="1" applyFill="1" applyFont="1">
      <alignment readingOrder="0" vertical="bottom"/>
    </xf>
    <xf borderId="1" fillId="10" fontId="10" numFmtId="3" xfId="0" applyAlignment="1" applyBorder="1" applyFill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left"/>
    </xf>
    <xf borderId="0" fillId="4" fontId="5" numFmtId="170" xfId="0" applyAlignment="1" applyFill="1" applyFont="1" applyNumberFormat="1">
      <alignment horizontal="center" readingOrder="0"/>
    </xf>
    <xf borderId="1" fillId="0" fontId="10" numFmtId="0" xfId="0" applyAlignment="1" applyBorder="1" applyFont="1">
      <alignment horizontal="center" readingOrder="0" shrinkToFit="0" vertical="bottom" wrapText="1"/>
    </xf>
    <xf borderId="1" fillId="0" fontId="10" numFmtId="10" xfId="0" applyAlignment="1" applyBorder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/>
    </xf>
    <xf borderId="1" fillId="7" fontId="10" numFmtId="0" xfId="0" applyAlignment="1" applyBorder="1" applyFill="1" applyFont="1">
      <alignment readingOrder="0" vertical="bottom"/>
    </xf>
  </cellXfs>
  <cellStyles count="1">
    <cellStyle xfId="0" name="Normal" builtinId="0"/>
  </cellStyles>
  <dxfs count="8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Q1:AS44" sheet="Courts"/>
  </cacheSource>
  <cacheFields>
    <cacheField name="court #" numFmtId="3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</sharedItems>
    </cacheField>
    <cacheField name="Admin" numFmtId="0">
      <sharedItems containsSemiMixedTypes="0" containsString="0" containsNumber="1" containsInteger="1">
        <n v="0.0"/>
      </sharedItems>
    </cacheField>
    <cacheField name="Players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urts" cacheId="0" dataCaption="" rowGrandTotals="0" compact="0" compactData="0">
  <location ref="AM72:AO83" firstHeaderRow="0" firstDataRow="2" firstDataCol="0"/>
  <pivotFields>
    <pivotField name="court #" axis="axisRow" compact="0" numFmtId="3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dmin" dataField="1" compact="0" outline="0" multipleItemSelectionAllowed="1" showAll="0">
      <items>
        <item x="0"/>
        <item t="default"/>
      </items>
    </pivotField>
    <pivotField name="Players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SUM of Admin" fld="1" baseField="0"/>
    <dataField name="SUM of Players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inyurl.com/UTCWaitList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1">
        <v>46200.0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25.0</v>
      </c>
      <c r="E2" s="5"/>
      <c r="F2" s="5"/>
      <c r="R2" s="18"/>
      <c r="AC2" s="22" t="str">
        <f>text(C1,"mm/dd/yy")</f>
        <v>06/27/26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33</v>
      </c>
      <c r="R3" s="18" t="s">
        <v>34</v>
      </c>
      <c r="S3" s="18"/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381.0</v>
      </c>
      <c r="D5" s="37">
        <v>50.0</v>
      </c>
      <c r="E5" s="40">
        <f t="shared" ref="E5:E79" si="2">if(S5&gt;0,(C5-(V5*9)-(T5*13))/S5,0)</f>
        <v>16.09090909</v>
      </c>
      <c r="F5" s="41">
        <f>if(isna(VLOOKUP(B5,Checkin!A:B,2,false)),0,VLOOKUP(B5,Checkin!A:B,2,false))</f>
        <v>0</v>
      </c>
      <c r="G5" s="44">
        <f>if(OR($F5=1, $F5=2),VLOOKUP($B5,Courts!$B$2:$K$50,10,false),0)</f>
        <v>0</v>
      </c>
      <c r="H5" s="45">
        <f t="shared" ref="H5:H79" si="3">IF(OR(F5=3,F5=4),9,IF(F5=5,13,0))</f>
        <v>0</v>
      </c>
      <c r="I5" s="44">
        <f>if(OR($F5=1, $F5=2),VLOOKUP($B5,Courts!$B$2:$J$50,5,false),0)</f>
        <v>0</v>
      </c>
      <c r="J5" s="44">
        <f>if(OR($F5=1, $F5=2),VLOOKUP($B5,Courts!$B$2:$J$50,6,false),0)</f>
        <v>0</v>
      </c>
      <c r="K5" s="44">
        <f>if(OR($F5=1, $F5=2),VLOOKUP($B5,Courts!$B$2:$J$50,7,false),0)</f>
        <v>0</v>
      </c>
      <c r="L5" s="48">
        <f t="shared" ref="L5:L79" si="4">H5+I5+J5+K5</f>
        <v>0</v>
      </c>
      <c r="M5" s="44">
        <f>if(OR($F5=1, $F5=2),VLOOKUP($B5,Courts!$B$2:$J$50,9,false),0)</f>
        <v>0</v>
      </c>
      <c r="N5" s="37">
        <f t="shared" ref="N5:O5" si="1">C5+L5</f>
        <v>381</v>
      </c>
      <c r="O5" s="37">
        <f t="shared" si="1"/>
        <v>50</v>
      </c>
      <c r="P5" s="49" t="s">
        <v>57</v>
      </c>
      <c r="Q5" s="49" t="s">
        <v>57</v>
      </c>
      <c r="R5" s="49" t="s">
        <v>57</v>
      </c>
      <c r="S5" s="51">
        <f t="shared" ref="S5:S79" si="6">vlookup(B5,indirect("'" &amp; AC$2 &amp; "'!B5:W79"),18,false)++if(text(C$1,"mm/dd/yy")=$AC$2,0,if(H5&gt;0,0,1))</f>
        <v>22</v>
      </c>
      <c r="T5" s="52">
        <f t="shared" ref="T5:T79" si="7">if(H5=13,1,0)+vlookup(B5,indirect("'" &amp; AC$2 &amp; "'!B5:W79"),19,false)</f>
        <v>0</v>
      </c>
      <c r="U5" s="52"/>
      <c r="V5" s="51">
        <f t="shared" ref="V5:V79" si="8">vlookup(B5,indirect("'" &amp; AC$2 &amp; "'!B5:W79"),21,false)+if(text(C$1,"mm/dd/yy")=$AC$2,0,if(H5=9,1,0))</f>
        <v>3</v>
      </c>
      <c r="W5" s="52">
        <f t="shared" ref="W5:W79" si="9">vlookup(B5,indirect("'" &amp; AC$2 &amp; "'!B5:x79"),23,false)-X5</f>
        <v>0</v>
      </c>
      <c r="X5" s="35">
        <v>1.0</v>
      </c>
      <c r="Y5" s="35" t="str">
        <f t="shared" ref="Y5:Y79" si="10">if(S5=D$2,"Y","N")</f>
        <v>N</v>
      </c>
      <c r="Z5" s="19" t="str">
        <f t="shared" ref="Z5:Z79" si="11">if($D$2=sum(S5:V5),"","Error")</f>
        <v/>
      </c>
    </row>
    <row r="6">
      <c r="A6" s="35">
        <f t="shared" ref="A6:A79" si="12">A5+1</f>
        <v>2</v>
      </c>
      <c r="B6" s="36" t="s">
        <v>63</v>
      </c>
      <c r="C6" s="37">
        <v>371.0</v>
      </c>
      <c r="D6" s="37">
        <v>42.0</v>
      </c>
      <c r="E6" s="40">
        <f t="shared" si="2"/>
        <v>15.95238095</v>
      </c>
      <c r="F6" s="41">
        <f>if(isna(VLOOKUP(B6,Checkin!A:B,2,false)),0,VLOOKUP(B6,Checkin!A:B,2,false))</f>
        <v>0</v>
      </c>
      <c r="G6" s="44">
        <f>if(OR($F6=1, $F6=2),VLOOKUP($B6,Courts!$B$2:$K$50,10,false),0)</f>
        <v>0</v>
      </c>
      <c r="H6" s="45">
        <f t="shared" si="3"/>
        <v>0</v>
      </c>
      <c r="I6" s="44">
        <f>if(OR($F6=1, $F6=2),VLOOKUP($B6,Courts!$B$2:$J$50,5,false),0)</f>
        <v>0</v>
      </c>
      <c r="J6" s="44">
        <f>if(OR($F6=1, $F6=2),VLOOKUP($B6,Courts!$B$2:$J$50,6,false),0)</f>
        <v>0</v>
      </c>
      <c r="K6" s="44">
        <f>if(OR($F6=1, $F6=2),VLOOKUP($B6,Courts!$B$2:$J$50,7,false),0)</f>
        <v>0</v>
      </c>
      <c r="L6" s="48">
        <f t="shared" si="4"/>
        <v>0</v>
      </c>
      <c r="M6" s="44">
        <f>if(OR($F6=1, $F6=2),VLOOKUP($B6,Courts!$B$2:$J$50,9,false),0)</f>
        <v>0</v>
      </c>
      <c r="N6" s="37">
        <f t="shared" ref="N6:O6" si="5">C6+L6</f>
        <v>371</v>
      </c>
      <c r="O6" s="37">
        <f t="shared" si="5"/>
        <v>42</v>
      </c>
      <c r="P6" s="49" t="s">
        <v>57</v>
      </c>
      <c r="Q6" s="49" t="s">
        <v>57</v>
      </c>
      <c r="R6" s="49" t="s">
        <v>57</v>
      </c>
      <c r="S6" s="51">
        <f t="shared" si="6"/>
        <v>21</v>
      </c>
      <c r="T6" s="52">
        <f t="shared" si="7"/>
        <v>0</v>
      </c>
      <c r="U6" s="52"/>
      <c r="V6" s="51">
        <f t="shared" si="8"/>
        <v>4</v>
      </c>
      <c r="W6" s="52">
        <f t="shared" si="9"/>
        <v>0</v>
      </c>
      <c r="X6" s="35">
        <f t="shared" ref="X6:X79" si="14">X5+1</f>
        <v>2</v>
      </c>
      <c r="Y6" s="35" t="str">
        <f t="shared" si="10"/>
        <v>N</v>
      </c>
      <c r="Z6" s="19" t="str">
        <f t="shared" si="11"/>
        <v/>
      </c>
    </row>
    <row r="7">
      <c r="A7" s="35">
        <f t="shared" si="12"/>
        <v>3</v>
      </c>
      <c r="B7" s="36" t="s">
        <v>68</v>
      </c>
      <c r="C7" s="37">
        <v>355.0</v>
      </c>
      <c r="D7" s="37">
        <v>36.0</v>
      </c>
      <c r="E7" s="40">
        <f t="shared" si="2"/>
        <v>14.90909091</v>
      </c>
      <c r="F7" s="41">
        <f>if(isna(VLOOKUP(B7,Checkin!A:B,2,false)),0,VLOOKUP(B7,Checkin!A:B,2,false))</f>
        <v>0</v>
      </c>
      <c r="G7" s="44">
        <f>if(OR($F7=1, $F7=2),VLOOKUP($B7,Courts!$B$2:$K$50,10,false),0)</f>
        <v>0</v>
      </c>
      <c r="H7" s="45">
        <f t="shared" si="3"/>
        <v>0</v>
      </c>
      <c r="I7" s="44">
        <f>if(OR($F7=1, $F7=2),VLOOKUP($B7,Courts!$B$2:$J$50,5,false),0)</f>
        <v>0</v>
      </c>
      <c r="J7" s="44">
        <f>if(OR($F7=1, $F7=2),VLOOKUP($B7,Courts!$B$2:$J$50,6,false),0)</f>
        <v>0</v>
      </c>
      <c r="K7" s="44">
        <f>if(OR($F7=1, $F7=2),VLOOKUP($B7,Courts!$B$2:$J$50,7,false),0)</f>
        <v>0</v>
      </c>
      <c r="L7" s="48">
        <f t="shared" si="4"/>
        <v>0</v>
      </c>
      <c r="M7" s="44">
        <f>if(OR($F7=1, $F7=2),VLOOKUP($B7,Courts!$B$2:$J$50,9,false),0)</f>
        <v>0</v>
      </c>
      <c r="N7" s="37">
        <f t="shared" ref="N7:O7" si="13">C7+L7</f>
        <v>355</v>
      </c>
      <c r="O7" s="37">
        <f t="shared" si="13"/>
        <v>36</v>
      </c>
      <c r="P7" s="49" t="s">
        <v>57</v>
      </c>
      <c r="Q7" s="49" t="s">
        <v>57</v>
      </c>
      <c r="R7" s="49" t="s">
        <v>57</v>
      </c>
      <c r="S7" s="51">
        <f t="shared" si="6"/>
        <v>22</v>
      </c>
      <c r="T7" s="52">
        <f t="shared" si="7"/>
        <v>0</v>
      </c>
      <c r="U7" s="52"/>
      <c r="V7" s="51">
        <f t="shared" si="8"/>
        <v>3</v>
      </c>
      <c r="W7" s="52">
        <f t="shared" si="9"/>
        <v>0</v>
      </c>
      <c r="X7" s="35">
        <f t="shared" si="14"/>
        <v>3</v>
      </c>
      <c r="Y7" s="35" t="str">
        <f t="shared" si="10"/>
        <v>N</v>
      </c>
      <c r="Z7" s="19" t="str">
        <f t="shared" si="11"/>
        <v/>
      </c>
    </row>
    <row r="8">
      <c r="A8" s="35">
        <f t="shared" si="12"/>
        <v>4</v>
      </c>
      <c r="B8" s="36" t="s">
        <v>73</v>
      </c>
      <c r="C8" s="37">
        <v>336.0</v>
      </c>
      <c r="D8" s="37">
        <v>34.0</v>
      </c>
      <c r="E8" s="40">
        <f t="shared" si="2"/>
        <v>17.23076923</v>
      </c>
      <c r="F8" s="41">
        <f>if(isna(VLOOKUP(B8,Checkin!A:B,2,false)),0,VLOOKUP(B8,Checkin!A:B,2,false))</f>
        <v>0</v>
      </c>
      <c r="G8" s="44">
        <f>if(OR($F8=1, $F8=2),VLOOKUP($B8,Courts!$B$2:$K$50,10,false),0)</f>
        <v>0</v>
      </c>
      <c r="H8" s="45">
        <f t="shared" si="3"/>
        <v>0</v>
      </c>
      <c r="I8" s="44">
        <f>if(OR($F8=1, $F8=2),VLOOKUP($B8,Courts!$B$2:$J$50,5,false),0)</f>
        <v>0</v>
      </c>
      <c r="J8" s="44">
        <f>if(OR($F8=1, $F8=2),VLOOKUP($B8,Courts!$B$2:$J$50,6,false),0)</f>
        <v>0</v>
      </c>
      <c r="K8" s="44">
        <f>if(OR($F8=1, $F8=2),VLOOKUP($B8,Courts!$B$2:$J$50,7,false),0)</f>
        <v>0</v>
      </c>
      <c r="L8" s="48">
        <f t="shared" si="4"/>
        <v>0</v>
      </c>
      <c r="M8" s="44">
        <f>if(OR($F8=1, $F8=2),VLOOKUP($B8,Courts!$B$2:$J$50,9,false),0)</f>
        <v>0</v>
      </c>
      <c r="N8" s="37">
        <f t="shared" ref="N8:O8" si="15">C8+L8</f>
        <v>336</v>
      </c>
      <c r="O8" s="37">
        <f t="shared" si="15"/>
        <v>34</v>
      </c>
      <c r="P8" s="49" t="s">
        <v>57</v>
      </c>
      <c r="Q8" s="49" t="s">
        <v>57</v>
      </c>
      <c r="R8" s="49" t="s">
        <v>57</v>
      </c>
      <c r="S8" s="51">
        <f t="shared" si="6"/>
        <v>13</v>
      </c>
      <c r="T8" s="52">
        <f t="shared" si="7"/>
        <v>1</v>
      </c>
      <c r="U8" s="52"/>
      <c r="V8" s="51">
        <f t="shared" si="8"/>
        <v>11</v>
      </c>
      <c r="W8" s="52">
        <f t="shared" si="9"/>
        <v>2</v>
      </c>
      <c r="X8" s="35">
        <f t="shared" si="14"/>
        <v>4</v>
      </c>
      <c r="Y8" s="35" t="str">
        <f t="shared" si="10"/>
        <v>N</v>
      </c>
      <c r="Z8" s="19" t="str">
        <f t="shared" si="11"/>
        <v/>
      </c>
    </row>
    <row r="9">
      <c r="A9" s="35">
        <f t="shared" si="12"/>
        <v>5</v>
      </c>
      <c r="B9" s="36" t="s">
        <v>77</v>
      </c>
      <c r="C9" s="37">
        <v>334.0</v>
      </c>
      <c r="D9" s="37">
        <v>28.0</v>
      </c>
      <c r="E9" s="40">
        <f t="shared" si="2"/>
        <v>13.85</v>
      </c>
      <c r="F9" s="41">
        <f>if(isna(VLOOKUP(B9,Checkin!A:B,2,false)),0,VLOOKUP(B9,Checkin!A:B,2,false))</f>
        <v>0</v>
      </c>
      <c r="G9" s="44">
        <f>if(OR($F9=1, $F9=2),VLOOKUP($B9,Courts!$B$2:$K$50,10,false),0)</f>
        <v>0</v>
      </c>
      <c r="H9" s="45">
        <f t="shared" si="3"/>
        <v>0</v>
      </c>
      <c r="I9" s="44">
        <f>if(OR($F9=1, $F9=2),VLOOKUP($B9,Courts!$B$2:$J$50,5,false),0)</f>
        <v>0</v>
      </c>
      <c r="J9" s="44">
        <f>if(OR($F9=1, $F9=2),VLOOKUP($B9,Courts!$B$2:$J$50,6,false),0)</f>
        <v>0</v>
      </c>
      <c r="K9" s="44">
        <f>if(OR($F9=1, $F9=2),VLOOKUP($B9,Courts!$B$2:$J$50,7,false),0)</f>
        <v>0</v>
      </c>
      <c r="L9" s="48">
        <f t="shared" si="4"/>
        <v>0</v>
      </c>
      <c r="M9" s="44">
        <f>if(OR($F9=1, $F9=2),VLOOKUP($B9,Courts!$B$2:$J$50,9,false),0)</f>
        <v>0</v>
      </c>
      <c r="N9" s="37">
        <f t="shared" ref="N9:O9" si="16">C9+L9</f>
        <v>334</v>
      </c>
      <c r="O9" s="37">
        <f t="shared" si="16"/>
        <v>28</v>
      </c>
      <c r="P9" s="49" t="s">
        <v>57</v>
      </c>
      <c r="Q9" s="49" t="s">
        <v>57</v>
      </c>
      <c r="R9" s="49" t="s">
        <v>57</v>
      </c>
      <c r="S9" s="51">
        <f t="shared" si="6"/>
        <v>20</v>
      </c>
      <c r="T9" s="52">
        <f t="shared" si="7"/>
        <v>3</v>
      </c>
      <c r="U9" s="52"/>
      <c r="V9" s="51">
        <f t="shared" si="8"/>
        <v>2</v>
      </c>
      <c r="W9" s="52">
        <f t="shared" si="9"/>
        <v>-1</v>
      </c>
      <c r="X9" s="35">
        <f t="shared" si="14"/>
        <v>5</v>
      </c>
      <c r="Y9" s="35" t="str">
        <f t="shared" si="10"/>
        <v>N</v>
      </c>
      <c r="Z9" s="19" t="str">
        <f t="shared" si="11"/>
        <v/>
      </c>
    </row>
    <row r="10">
      <c r="A10" s="35">
        <f t="shared" si="12"/>
        <v>6</v>
      </c>
      <c r="B10" s="36" t="s">
        <v>80</v>
      </c>
      <c r="C10" s="37">
        <v>330.0</v>
      </c>
      <c r="D10" s="37">
        <v>30.0</v>
      </c>
      <c r="E10" s="40">
        <f t="shared" si="2"/>
        <v>14.61111111</v>
      </c>
      <c r="F10" s="41">
        <f>if(isna(VLOOKUP(B10,Checkin!A:B,2,false)),0,VLOOKUP(B10,Checkin!A:B,2,false))</f>
        <v>0</v>
      </c>
      <c r="G10" s="44">
        <f>if(OR($F10=1, $F10=2),VLOOKUP($B10,Courts!$B$2:$K$50,10,false),0)</f>
        <v>0</v>
      </c>
      <c r="H10" s="45">
        <f t="shared" si="3"/>
        <v>0</v>
      </c>
      <c r="I10" s="44">
        <f>if(OR($F10=1, $F10=2),VLOOKUP($B10,Courts!$B$2:$J$50,5,false),0)</f>
        <v>0</v>
      </c>
      <c r="J10" s="44">
        <f>if(OR($F10=1, $F10=2),VLOOKUP($B10,Courts!$B$2:$J$50,6,false),0)</f>
        <v>0</v>
      </c>
      <c r="K10" s="44">
        <f>if(OR($F10=1, $F10=2),VLOOKUP($B10,Courts!$B$2:$J$50,7,false),0)</f>
        <v>0</v>
      </c>
      <c r="L10" s="48">
        <f t="shared" si="4"/>
        <v>0</v>
      </c>
      <c r="M10" s="44">
        <f>if(OR($F10=1, $F10=2),VLOOKUP($B10,Courts!$B$2:$J$50,9,false),0)</f>
        <v>0</v>
      </c>
      <c r="N10" s="37">
        <f t="shared" ref="N10:O10" si="17">C10+L10</f>
        <v>330</v>
      </c>
      <c r="O10" s="37">
        <f t="shared" si="17"/>
        <v>30</v>
      </c>
      <c r="P10" s="49" t="s">
        <v>57</v>
      </c>
      <c r="Q10" s="49" t="s">
        <v>57</v>
      </c>
      <c r="R10" s="49" t="s">
        <v>57</v>
      </c>
      <c r="S10" s="51">
        <f t="shared" si="6"/>
        <v>18</v>
      </c>
      <c r="T10" s="52">
        <f t="shared" si="7"/>
        <v>1</v>
      </c>
      <c r="U10" s="52"/>
      <c r="V10" s="51">
        <f t="shared" si="8"/>
        <v>6</v>
      </c>
      <c r="W10" s="52">
        <f t="shared" si="9"/>
        <v>-1</v>
      </c>
      <c r="X10" s="35">
        <f t="shared" si="14"/>
        <v>6</v>
      </c>
      <c r="Y10" s="35" t="str">
        <f t="shared" si="10"/>
        <v>N</v>
      </c>
      <c r="Z10" s="19" t="str">
        <f t="shared" si="11"/>
        <v/>
      </c>
    </row>
    <row r="11">
      <c r="A11" s="35">
        <f t="shared" si="12"/>
        <v>7</v>
      </c>
      <c r="B11" s="36" t="s">
        <v>89</v>
      </c>
      <c r="C11" s="37">
        <v>326.0</v>
      </c>
      <c r="D11" s="37">
        <v>31.0</v>
      </c>
      <c r="E11" s="40">
        <f t="shared" si="2"/>
        <v>16.76923077</v>
      </c>
      <c r="F11" s="41">
        <f>if(isna(VLOOKUP(B11,Checkin!A:B,2,false)),0,VLOOKUP(B11,Checkin!A:B,2,false))</f>
        <v>0</v>
      </c>
      <c r="G11" s="44">
        <f>if(OR($F11=1, $F11=2),VLOOKUP($B11,Courts!$B$2:$K$50,10,false),0)</f>
        <v>0</v>
      </c>
      <c r="H11" s="45">
        <f t="shared" si="3"/>
        <v>0</v>
      </c>
      <c r="I11" s="44">
        <f>if(OR($F11=1, $F11=2),VLOOKUP($B11,Courts!$B$2:$J$50,5,false),0)</f>
        <v>0</v>
      </c>
      <c r="J11" s="44">
        <f>if(OR($F11=1, $F11=2),VLOOKUP($B11,Courts!$B$2:$J$50,6,false),0)</f>
        <v>0</v>
      </c>
      <c r="K11" s="44">
        <f>if(OR($F11=1, $F11=2),VLOOKUP($B11,Courts!$B$2:$J$50,7,false),0)</f>
        <v>0</v>
      </c>
      <c r="L11" s="48">
        <f t="shared" si="4"/>
        <v>0</v>
      </c>
      <c r="M11" s="44">
        <f>if(OR($F11=1, $F11=2),VLOOKUP($B11,Courts!$B$2:$J$50,9,false),0)</f>
        <v>0</v>
      </c>
      <c r="N11" s="37">
        <f t="shared" ref="N11:O11" si="18">C11+L11</f>
        <v>326</v>
      </c>
      <c r="O11" s="37">
        <f t="shared" si="18"/>
        <v>31</v>
      </c>
      <c r="P11" s="49" t="s">
        <v>57</v>
      </c>
      <c r="Q11" s="49" t="s">
        <v>57</v>
      </c>
      <c r="R11" s="49" t="s">
        <v>57</v>
      </c>
      <c r="S11" s="51">
        <f t="shared" si="6"/>
        <v>13</v>
      </c>
      <c r="T11" s="52">
        <f t="shared" si="7"/>
        <v>0</v>
      </c>
      <c r="U11" s="52"/>
      <c r="V11" s="51">
        <f t="shared" si="8"/>
        <v>12</v>
      </c>
      <c r="W11" s="52">
        <f t="shared" si="9"/>
        <v>8</v>
      </c>
      <c r="X11" s="35">
        <f t="shared" si="14"/>
        <v>7</v>
      </c>
      <c r="Y11" s="35" t="str">
        <f t="shared" si="10"/>
        <v>N</v>
      </c>
      <c r="Z11" s="19" t="str">
        <f t="shared" si="11"/>
        <v/>
      </c>
    </row>
    <row r="12">
      <c r="A12" s="35">
        <f t="shared" si="12"/>
        <v>8</v>
      </c>
      <c r="B12" s="36" t="s">
        <v>91</v>
      </c>
      <c r="C12" s="37">
        <v>325.0</v>
      </c>
      <c r="D12" s="37">
        <v>30.0</v>
      </c>
      <c r="E12" s="40">
        <f t="shared" si="2"/>
        <v>15</v>
      </c>
      <c r="F12" s="41">
        <f>if(isna(VLOOKUP(B12,Checkin!A:B,2,false)),0,VLOOKUP(B12,Checkin!A:B,2,false))</f>
        <v>0</v>
      </c>
      <c r="G12" s="44">
        <f>if(OR($F12=1, $F12=2),VLOOKUP($B12,Courts!$B$2:$K$50,10,false),0)</f>
        <v>0</v>
      </c>
      <c r="H12" s="45">
        <f t="shared" si="3"/>
        <v>0</v>
      </c>
      <c r="I12" s="44">
        <f>if(OR($F12=1, $F12=2),VLOOKUP($B12,Courts!$B$2:$J$50,5,false),0)</f>
        <v>0</v>
      </c>
      <c r="J12" s="44">
        <f>if(OR($F12=1, $F12=2),VLOOKUP($B12,Courts!$B$2:$J$50,6,false),0)</f>
        <v>0</v>
      </c>
      <c r="K12" s="44">
        <f>if(OR($F12=1, $F12=2),VLOOKUP($B12,Courts!$B$2:$J$50,7,false),0)</f>
        <v>0</v>
      </c>
      <c r="L12" s="48">
        <f t="shared" si="4"/>
        <v>0</v>
      </c>
      <c r="M12" s="44">
        <f>if(OR($F12=1, $F12=2),VLOOKUP($B12,Courts!$B$2:$J$50,9,false),0)</f>
        <v>0</v>
      </c>
      <c r="N12" s="37">
        <f t="shared" ref="N12:O12" si="19">C12+L12</f>
        <v>325</v>
      </c>
      <c r="O12" s="37">
        <f t="shared" si="19"/>
        <v>30</v>
      </c>
      <c r="P12" s="49" t="s">
        <v>57</v>
      </c>
      <c r="Q12" s="49" t="s">
        <v>57</v>
      </c>
      <c r="R12" s="49" t="s">
        <v>57</v>
      </c>
      <c r="S12" s="51">
        <f t="shared" si="6"/>
        <v>16</v>
      </c>
      <c r="T12" s="52">
        <f t="shared" si="7"/>
        <v>1</v>
      </c>
      <c r="U12" s="52"/>
      <c r="V12" s="51">
        <f t="shared" si="8"/>
        <v>8</v>
      </c>
      <c r="W12" s="52">
        <f t="shared" si="9"/>
        <v>2</v>
      </c>
      <c r="X12" s="35">
        <f t="shared" si="14"/>
        <v>8</v>
      </c>
      <c r="Y12" s="35" t="str">
        <f t="shared" si="10"/>
        <v>N</v>
      </c>
      <c r="Z12" s="19" t="str">
        <f t="shared" si="11"/>
        <v/>
      </c>
    </row>
    <row r="13">
      <c r="A13" s="35">
        <f t="shared" si="12"/>
        <v>9</v>
      </c>
      <c r="B13" s="36" t="s">
        <v>92</v>
      </c>
      <c r="C13" s="37">
        <v>325.0</v>
      </c>
      <c r="D13" s="37">
        <v>25.0</v>
      </c>
      <c r="E13" s="40">
        <f t="shared" si="2"/>
        <v>14.26315789</v>
      </c>
      <c r="F13" s="41">
        <f>if(isna(VLOOKUP(B13,Checkin!A:B,2,false)),0,VLOOKUP(B13,Checkin!A:B,2,false))</f>
        <v>0</v>
      </c>
      <c r="G13" s="44">
        <f>if(OR($F13=1, $F13=2),VLOOKUP($B13,Courts!$B$2:$K$50,10,false),0)</f>
        <v>0</v>
      </c>
      <c r="H13" s="45">
        <f t="shared" si="3"/>
        <v>0</v>
      </c>
      <c r="I13" s="44">
        <f>if(OR($F13=1, $F13=2),VLOOKUP($B13,Courts!$B$2:$J$50,5,false),0)</f>
        <v>0</v>
      </c>
      <c r="J13" s="44">
        <f>if(OR($F13=1, $F13=2),VLOOKUP($B13,Courts!$B$2:$J$50,6,false),0)</f>
        <v>0</v>
      </c>
      <c r="K13" s="44">
        <f>if(OR($F13=1, $F13=2),VLOOKUP($B13,Courts!$B$2:$J$50,7,false),0)</f>
        <v>0</v>
      </c>
      <c r="L13" s="48">
        <f t="shared" si="4"/>
        <v>0</v>
      </c>
      <c r="M13" s="44">
        <f>if(OR($F13=1, $F13=2),VLOOKUP($B13,Courts!$B$2:$J$50,9,false),0)</f>
        <v>0</v>
      </c>
      <c r="N13" s="37">
        <f t="shared" ref="N13:O13" si="20">C13+L13</f>
        <v>325</v>
      </c>
      <c r="O13" s="37">
        <f t="shared" si="20"/>
        <v>25</v>
      </c>
      <c r="P13" s="49" t="s">
        <v>57</v>
      </c>
      <c r="Q13" s="49" t="s">
        <v>57</v>
      </c>
      <c r="R13" s="49" t="s">
        <v>57</v>
      </c>
      <c r="S13" s="51">
        <f t="shared" si="6"/>
        <v>19</v>
      </c>
      <c r="T13" s="52">
        <f t="shared" si="7"/>
        <v>0</v>
      </c>
      <c r="U13" s="52"/>
      <c r="V13" s="51">
        <f t="shared" si="8"/>
        <v>6</v>
      </c>
      <c r="W13" s="52">
        <f t="shared" si="9"/>
        <v>-1</v>
      </c>
      <c r="X13" s="35">
        <f t="shared" si="14"/>
        <v>9</v>
      </c>
      <c r="Y13" s="35" t="str">
        <f t="shared" si="10"/>
        <v>N</v>
      </c>
      <c r="Z13" s="19" t="str">
        <f t="shared" si="11"/>
        <v/>
      </c>
    </row>
    <row r="14">
      <c r="A14" s="35">
        <f t="shared" si="12"/>
        <v>10</v>
      </c>
      <c r="B14" s="36" t="s">
        <v>93</v>
      </c>
      <c r="C14" s="37">
        <v>324.0</v>
      </c>
      <c r="D14" s="37">
        <v>29.0</v>
      </c>
      <c r="E14" s="40">
        <f t="shared" si="2"/>
        <v>13.75</v>
      </c>
      <c r="F14" s="41">
        <f>if(isna(VLOOKUP(B14,Checkin!A:B,2,false)),0,VLOOKUP(B14,Checkin!A:B,2,false))</f>
        <v>0</v>
      </c>
      <c r="G14" s="44">
        <f>if(OR($F14=1, $F14=2),VLOOKUP($B14,Courts!$B$2:$K$50,10,false),0)</f>
        <v>0</v>
      </c>
      <c r="H14" s="45">
        <f t="shared" si="3"/>
        <v>0</v>
      </c>
      <c r="I14" s="44">
        <f>if(OR($F14=1, $F14=2),VLOOKUP($B14,Courts!$B$2:$J$50,5,false),0)</f>
        <v>0</v>
      </c>
      <c r="J14" s="44">
        <f>if(OR($F14=1, $F14=2),VLOOKUP($B14,Courts!$B$2:$J$50,6,false),0)</f>
        <v>0</v>
      </c>
      <c r="K14" s="44">
        <f>if(OR($F14=1, $F14=2),VLOOKUP($B14,Courts!$B$2:$J$50,7,false),0)</f>
        <v>0</v>
      </c>
      <c r="L14" s="48">
        <f t="shared" si="4"/>
        <v>0</v>
      </c>
      <c r="M14" s="44">
        <f>if(OR($F14=1, $F14=2),VLOOKUP($B14,Courts!$B$2:$J$50,9,false),0)</f>
        <v>0</v>
      </c>
      <c r="N14" s="37">
        <f t="shared" ref="N14:O14" si="21">C14+L14</f>
        <v>324</v>
      </c>
      <c r="O14" s="37">
        <f t="shared" si="21"/>
        <v>29</v>
      </c>
      <c r="P14" s="49" t="s">
        <v>57</v>
      </c>
      <c r="Q14" s="49" t="s">
        <v>57</v>
      </c>
      <c r="R14" s="49" t="s">
        <v>57</v>
      </c>
      <c r="S14" s="51">
        <f t="shared" si="6"/>
        <v>20</v>
      </c>
      <c r="T14" s="52">
        <f t="shared" si="7"/>
        <v>1</v>
      </c>
      <c r="U14" s="52"/>
      <c r="V14" s="51">
        <f t="shared" si="8"/>
        <v>4</v>
      </c>
      <c r="W14" s="52">
        <f t="shared" si="9"/>
        <v>-3</v>
      </c>
      <c r="X14" s="35">
        <f t="shared" si="14"/>
        <v>10</v>
      </c>
      <c r="Y14" s="35" t="str">
        <f t="shared" si="10"/>
        <v>N</v>
      </c>
      <c r="Z14" s="19" t="str">
        <f t="shared" si="11"/>
        <v/>
      </c>
    </row>
    <row r="15">
      <c r="A15" s="35">
        <f t="shared" si="12"/>
        <v>11</v>
      </c>
      <c r="B15" s="36" t="s">
        <v>94</v>
      </c>
      <c r="C15" s="37">
        <v>323.0</v>
      </c>
      <c r="D15" s="37">
        <v>30.0</v>
      </c>
      <c r="E15" s="40">
        <f t="shared" si="2"/>
        <v>13.7</v>
      </c>
      <c r="F15" s="41">
        <f>if(isna(VLOOKUP(B15,Checkin!A:B,2,false)),0,VLOOKUP(B15,Checkin!A:B,2,false))</f>
        <v>0</v>
      </c>
      <c r="G15" s="44">
        <f>if(OR($F15=1, $F15=2),VLOOKUP($B15,Courts!$B$2:$K$50,10,false),0)</f>
        <v>0</v>
      </c>
      <c r="H15" s="45">
        <f t="shared" si="3"/>
        <v>0</v>
      </c>
      <c r="I15" s="44">
        <f>if(OR($F15=1, $F15=2),VLOOKUP($B15,Courts!$B$2:$J$50,5,false),0)</f>
        <v>0</v>
      </c>
      <c r="J15" s="44">
        <f>if(OR($F15=1, $F15=2),VLOOKUP($B15,Courts!$B$2:$J$50,6,false),0)</f>
        <v>0</v>
      </c>
      <c r="K15" s="44">
        <f>if(OR($F15=1, $F15=2),VLOOKUP($B15,Courts!$B$2:$J$50,7,false),0)</f>
        <v>0</v>
      </c>
      <c r="L15" s="48">
        <f t="shared" si="4"/>
        <v>0</v>
      </c>
      <c r="M15" s="44">
        <f>if(OR($F15=1, $F15=2),VLOOKUP($B15,Courts!$B$2:$J$50,9,false),0)</f>
        <v>0</v>
      </c>
      <c r="N15" s="37">
        <f t="shared" ref="N15:O15" si="22">C15+L15</f>
        <v>323</v>
      </c>
      <c r="O15" s="37">
        <f t="shared" si="22"/>
        <v>30</v>
      </c>
      <c r="P15" s="49" t="s">
        <v>57</v>
      </c>
      <c r="Q15" s="49" t="s">
        <v>57</v>
      </c>
      <c r="R15" s="49" t="s">
        <v>57</v>
      </c>
      <c r="S15" s="51">
        <f t="shared" si="6"/>
        <v>20</v>
      </c>
      <c r="T15" s="52">
        <f t="shared" si="7"/>
        <v>1</v>
      </c>
      <c r="U15" s="52"/>
      <c r="V15" s="51">
        <f t="shared" si="8"/>
        <v>4</v>
      </c>
      <c r="W15" s="52">
        <f t="shared" si="9"/>
        <v>-2</v>
      </c>
      <c r="X15" s="35">
        <f t="shared" si="14"/>
        <v>11</v>
      </c>
      <c r="Y15" s="35" t="str">
        <f t="shared" si="10"/>
        <v>N</v>
      </c>
      <c r="Z15" s="19" t="str">
        <f t="shared" si="11"/>
        <v/>
      </c>
    </row>
    <row r="16">
      <c r="A16" s="35">
        <f t="shared" si="12"/>
        <v>12</v>
      </c>
      <c r="B16" s="36" t="s">
        <v>95</v>
      </c>
      <c r="C16" s="37">
        <v>322.0</v>
      </c>
      <c r="D16" s="37">
        <v>29.0</v>
      </c>
      <c r="E16" s="40">
        <f t="shared" si="2"/>
        <v>14.38888889</v>
      </c>
      <c r="F16" s="41">
        <f>if(isna(VLOOKUP(B16,Checkin!A:B,2,false)),0,VLOOKUP(B16,Checkin!A:B,2,false))</f>
        <v>0</v>
      </c>
      <c r="G16" s="44">
        <f>if(OR($F16=1, $F16=2),VLOOKUP($B16,Courts!$B$2:$K$50,10,false),0)</f>
        <v>0</v>
      </c>
      <c r="H16" s="45">
        <f t="shared" si="3"/>
        <v>0</v>
      </c>
      <c r="I16" s="44">
        <f>if(OR($F16=1, $F16=2),VLOOKUP($B16,Courts!$B$2:$J$50,5,false),0)</f>
        <v>0</v>
      </c>
      <c r="J16" s="44">
        <f>if(OR($F16=1, $F16=2),VLOOKUP($B16,Courts!$B$2:$J$50,6,false),0)</f>
        <v>0</v>
      </c>
      <c r="K16" s="44">
        <f>if(OR($F16=1, $F16=2),VLOOKUP($B16,Courts!$B$2:$J$50,7,false),0)</f>
        <v>0</v>
      </c>
      <c r="L16" s="48">
        <f t="shared" si="4"/>
        <v>0</v>
      </c>
      <c r="M16" s="44">
        <f>if(OR($F16=1, $F16=2),VLOOKUP($B16,Courts!$B$2:$J$50,9,false),0)</f>
        <v>0</v>
      </c>
      <c r="N16" s="37">
        <f t="shared" ref="N16:O16" si="23">C16+L16</f>
        <v>322</v>
      </c>
      <c r="O16" s="37">
        <f t="shared" si="23"/>
        <v>29</v>
      </c>
      <c r="P16" s="49" t="s">
        <v>57</v>
      </c>
      <c r="Q16" s="49" t="s">
        <v>57</v>
      </c>
      <c r="R16" s="49" t="s">
        <v>57</v>
      </c>
      <c r="S16" s="51">
        <f t="shared" si="6"/>
        <v>18</v>
      </c>
      <c r="T16" s="52">
        <f t="shared" si="7"/>
        <v>0</v>
      </c>
      <c r="U16" s="52"/>
      <c r="V16" s="51">
        <f t="shared" si="8"/>
        <v>7</v>
      </c>
      <c r="W16" s="52">
        <f t="shared" si="9"/>
        <v>0</v>
      </c>
      <c r="X16" s="35">
        <f t="shared" si="14"/>
        <v>12</v>
      </c>
      <c r="Y16" s="35" t="str">
        <f t="shared" si="10"/>
        <v>N</v>
      </c>
      <c r="Z16" s="19" t="str">
        <f t="shared" si="11"/>
        <v/>
      </c>
    </row>
    <row r="17">
      <c r="A17" s="35">
        <f t="shared" si="12"/>
        <v>13</v>
      </c>
      <c r="B17" s="36" t="s">
        <v>96</v>
      </c>
      <c r="C17" s="37">
        <v>321.0</v>
      </c>
      <c r="D17" s="37">
        <v>35.0</v>
      </c>
      <c r="E17" s="40">
        <f t="shared" si="2"/>
        <v>13</v>
      </c>
      <c r="F17" s="41">
        <f>if(isna(VLOOKUP(B17,Checkin!A:B,2,false)),0,VLOOKUP(B17,Checkin!A:B,2,false))</f>
        <v>0</v>
      </c>
      <c r="G17" s="44">
        <f>if(OR($F17=1, $F17=2),VLOOKUP($B17,Courts!$B$2:$K$50,10,false),0)</f>
        <v>0</v>
      </c>
      <c r="H17" s="45">
        <f t="shared" si="3"/>
        <v>0</v>
      </c>
      <c r="I17" s="44">
        <f>if(OR($F17=1, $F17=2),VLOOKUP($B17,Courts!$B$2:$J$50,5,false),0)</f>
        <v>0</v>
      </c>
      <c r="J17" s="44">
        <f>if(OR($F17=1, $F17=2),VLOOKUP($B17,Courts!$B$2:$J$50,6,false),0)</f>
        <v>0</v>
      </c>
      <c r="K17" s="44">
        <f>if(OR($F17=1, $F17=2),VLOOKUP($B17,Courts!$B$2:$J$50,7,false),0)</f>
        <v>0</v>
      </c>
      <c r="L17" s="48">
        <f t="shared" si="4"/>
        <v>0</v>
      </c>
      <c r="M17" s="44">
        <f>if(OR($F17=1, $F17=2),VLOOKUP($B17,Courts!$B$2:$J$50,9,false),0)</f>
        <v>0</v>
      </c>
      <c r="N17" s="37">
        <f t="shared" ref="N17:O17" si="24">C17+L17</f>
        <v>321</v>
      </c>
      <c r="O17" s="37">
        <f t="shared" si="24"/>
        <v>35</v>
      </c>
      <c r="P17" s="49" t="s">
        <v>57</v>
      </c>
      <c r="Q17" s="49" t="s">
        <v>57</v>
      </c>
      <c r="R17" s="49" t="s">
        <v>57</v>
      </c>
      <c r="S17" s="51">
        <f t="shared" si="6"/>
        <v>24</v>
      </c>
      <c r="T17" s="52">
        <f t="shared" si="7"/>
        <v>0</v>
      </c>
      <c r="U17" s="52"/>
      <c r="V17" s="51">
        <f t="shared" si="8"/>
        <v>1</v>
      </c>
      <c r="W17" s="52">
        <f t="shared" si="9"/>
        <v>-2</v>
      </c>
      <c r="X17" s="35">
        <f t="shared" si="14"/>
        <v>13</v>
      </c>
      <c r="Y17" s="35" t="str">
        <f t="shared" si="10"/>
        <v>N</v>
      </c>
      <c r="Z17" s="19" t="str">
        <f t="shared" si="11"/>
        <v/>
      </c>
    </row>
    <row r="18">
      <c r="A18" s="35">
        <f t="shared" si="12"/>
        <v>14</v>
      </c>
      <c r="B18" s="36" t="s">
        <v>97</v>
      </c>
      <c r="C18" s="37">
        <v>321.0</v>
      </c>
      <c r="D18" s="37">
        <v>23.0</v>
      </c>
      <c r="E18" s="40">
        <f t="shared" si="2"/>
        <v>14.86666667</v>
      </c>
      <c r="F18" s="41">
        <f>if(isna(VLOOKUP(B18,Checkin!A:B,2,false)),0,VLOOKUP(B18,Checkin!A:B,2,false))</f>
        <v>0</v>
      </c>
      <c r="G18" s="44">
        <f>if(OR($F18=1, $F18=2),VLOOKUP($B18,Courts!$B$2:$K$50,10,false),0)</f>
        <v>0</v>
      </c>
      <c r="H18" s="45">
        <f t="shared" si="3"/>
        <v>0</v>
      </c>
      <c r="I18" s="44">
        <f>if(OR($F18=1, $F18=2),VLOOKUP($B18,Courts!$B$2:$J$50,5,false),0)</f>
        <v>0</v>
      </c>
      <c r="J18" s="44">
        <f>if(OR($F18=1, $F18=2),VLOOKUP($B18,Courts!$B$2:$J$50,6,false),0)</f>
        <v>0</v>
      </c>
      <c r="K18" s="44">
        <f>if(OR($F18=1, $F18=2),VLOOKUP($B18,Courts!$B$2:$J$50,7,false),0)</f>
        <v>0</v>
      </c>
      <c r="L18" s="48">
        <f t="shared" si="4"/>
        <v>0</v>
      </c>
      <c r="M18" s="44">
        <f>if(OR($F18=1, $F18=2),VLOOKUP($B18,Courts!$B$2:$J$50,9,false),0)</f>
        <v>0</v>
      </c>
      <c r="N18" s="37">
        <f t="shared" ref="N18:O18" si="25">C18+L18</f>
        <v>321</v>
      </c>
      <c r="O18" s="37">
        <f t="shared" si="25"/>
        <v>23</v>
      </c>
      <c r="P18" s="49" t="s">
        <v>57</v>
      </c>
      <c r="Q18" s="49" t="s">
        <v>57</v>
      </c>
      <c r="R18" s="49" t="s">
        <v>57</v>
      </c>
      <c r="S18" s="51">
        <f t="shared" si="6"/>
        <v>15</v>
      </c>
      <c r="T18" s="52">
        <f t="shared" si="7"/>
        <v>2</v>
      </c>
      <c r="U18" s="52"/>
      <c r="V18" s="51">
        <f t="shared" si="8"/>
        <v>8</v>
      </c>
      <c r="W18" s="52">
        <f t="shared" si="9"/>
        <v>0</v>
      </c>
      <c r="X18" s="35">
        <f t="shared" si="14"/>
        <v>14</v>
      </c>
      <c r="Y18" s="35" t="str">
        <f t="shared" si="10"/>
        <v>N</v>
      </c>
      <c r="Z18" s="19" t="str">
        <f t="shared" si="11"/>
        <v/>
      </c>
    </row>
    <row r="19">
      <c r="A19" s="35">
        <f t="shared" si="12"/>
        <v>15</v>
      </c>
      <c r="B19" s="36" t="s">
        <v>99</v>
      </c>
      <c r="C19" s="37">
        <v>316.0</v>
      </c>
      <c r="D19" s="37">
        <v>28.0</v>
      </c>
      <c r="E19" s="40">
        <f t="shared" si="2"/>
        <v>13.61111111</v>
      </c>
      <c r="F19" s="41">
        <f>if(isna(VLOOKUP(B19,Checkin!A:B,2,false)),0,VLOOKUP(B19,Checkin!A:B,2,false))</f>
        <v>0</v>
      </c>
      <c r="G19" s="44">
        <f>if(OR($F19=1, $F19=2),VLOOKUP($B19,Courts!$B$2:$K$50,10,false),0)</f>
        <v>0</v>
      </c>
      <c r="H19" s="45">
        <f t="shared" si="3"/>
        <v>0</v>
      </c>
      <c r="I19" s="44">
        <f>if(OR($F19=1, $F19=2),VLOOKUP($B19,Courts!$B$2:$J$50,5,false),0)</f>
        <v>0</v>
      </c>
      <c r="J19" s="44">
        <f>if(OR($F19=1, $F19=2),VLOOKUP($B19,Courts!$B$2:$J$50,6,false),0)</f>
        <v>0</v>
      </c>
      <c r="K19" s="44">
        <f>if(OR($F19=1, $F19=2),VLOOKUP($B19,Courts!$B$2:$J$50,7,false),0)</f>
        <v>0</v>
      </c>
      <c r="L19" s="48">
        <f t="shared" si="4"/>
        <v>0</v>
      </c>
      <c r="M19" s="44">
        <f>if(OR($F19=1, $F19=2),VLOOKUP($B19,Courts!$B$2:$J$50,9,false),0)</f>
        <v>0</v>
      </c>
      <c r="N19" s="37">
        <f t="shared" ref="N19:O19" si="26">C19+L19</f>
        <v>316</v>
      </c>
      <c r="O19" s="37">
        <f t="shared" si="26"/>
        <v>28</v>
      </c>
      <c r="P19" s="49" t="s">
        <v>57</v>
      </c>
      <c r="Q19" s="49" t="s">
        <v>57</v>
      </c>
      <c r="R19" s="49" t="s">
        <v>57</v>
      </c>
      <c r="S19" s="51">
        <f t="shared" si="6"/>
        <v>18</v>
      </c>
      <c r="T19" s="52">
        <f t="shared" si="7"/>
        <v>2</v>
      </c>
      <c r="U19" s="52"/>
      <c r="V19" s="51">
        <f t="shared" si="8"/>
        <v>5</v>
      </c>
      <c r="W19" s="52">
        <f t="shared" si="9"/>
        <v>-2</v>
      </c>
      <c r="X19" s="35">
        <f t="shared" si="14"/>
        <v>15</v>
      </c>
      <c r="Y19" s="35" t="str">
        <f t="shared" si="10"/>
        <v>N</v>
      </c>
      <c r="Z19" s="19" t="str">
        <f t="shared" si="11"/>
        <v/>
      </c>
    </row>
    <row r="20">
      <c r="A20" s="35">
        <f t="shared" si="12"/>
        <v>16</v>
      </c>
      <c r="B20" s="36" t="s">
        <v>108</v>
      </c>
      <c r="C20" s="37">
        <v>315.0</v>
      </c>
      <c r="D20" s="37">
        <v>32.0</v>
      </c>
      <c r="E20" s="40">
        <f t="shared" si="2"/>
        <v>13.5</v>
      </c>
      <c r="F20" s="41">
        <f>if(isna(VLOOKUP(B20,Checkin!A:B,2,false)),0,VLOOKUP(B20,Checkin!A:B,2,false))</f>
        <v>0</v>
      </c>
      <c r="G20" s="44">
        <f>if(OR($F20=1, $F20=2),VLOOKUP($B20,Courts!$B$2:$K$50,10,false),0)</f>
        <v>0</v>
      </c>
      <c r="H20" s="45">
        <f t="shared" si="3"/>
        <v>0</v>
      </c>
      <c r="I20" s="44">
        <f>if(OR($F20=1, $F20=2),VLOOKUP($B20,Courts!$B$2:$J$50,5,false),0)</f>
        <v>0</v>
      </c>
      <c r="J20" s="44">
        <f>if(OR($F20=1, $F20=2),VLOOKUP($B20,Courts!$B$2:$J$50,6,false),0)</f>
        <v>0</v>
      </c>
      <c r="K20" s="44">
        <f>if(OR($F20=1, $F20=2),VLOOKUP($B20,Courts!$B$2:$J$50,7,false),0)</f>
        <v>0</v>
      </c>
      <c r="L20" s="48">
        <f t="shared" si="4"/>
        <v>0</v>
      </c>
      <c r="M20" s="44">
        <f>if(OR($F20=1, $F20=2),VLOOKUP($B20,Courts!$B$2:$J$50,9,false),0)</f>
        <v>0</v>
      </c>
      <c r="N20" s="37">
        <f t="shared" ref="N20:O20" si="27">C20+L20</f>
        <v>315</v>
      </c>
      <c r="O20" s="37">
        <f t="shared" si="27"/>
        <v>32</v>
      </c>
      <c r="P20" s="49" t="s">
        <v>57</v>
      </c>
      <c r="Q20" s="49" t="s">
        <v>57</v>
      </c>
      <c r="R20" s="49" t="s">
        <v>57</v>
      </c>
      <c r="S20" s="51">
        <f t="shared" si="6"/>
        <v>20</v>
      </c>
      <c r="T20" s="52">
        <f t="shared" si="7"/>
        <v>0</v>
      </c>
      <c r="U20" s="52"/>
      <c r="V20" s="51">
        <f t="shared" si="8"/>
        <v>5</v>
      </c>
      <c r="W20" s="52">
        <f t="shared" si="9"/>
        <v>0</v>
      </c>
      <c r="X20" s="35">
        <f t="shared" si="14"/>
        <v>16</v>
      </c>
      <c r="Y20" s="35" t="str">
        <f t="shared" si="10"/>
        <v>N</v>
      </c>
      <c r="Z20" s="19" t="str">
        <f t="shared" si="11"/>
        <v/>
      </c>
    </row>
    <row r="21">
      <c r="A21" s="35">
        <f t="shared" si="12"/>
        <v>17</v>
      </c>
      <c r="B21" s="36" t="s">
        <v>111</v>
      </c>
      <c r="C21" s="37">
        <v>312.0</v>
      </c>
      <c r="D21" s="37">
        <v>25.0</v>
      </c>
      <c r="E21" s="40">
        <f t="shared" si="2"/>
        <v>14.92857143</v>
      </c>
      <c r="F21" s="41">
        <f>if(isna(VLOOKUP(B21,Checkin!A:B,2,false)),0,VLOOKUP(B21,Checkin!A:B,2,false))</f>
        <v>0</v>
      </c>
      <c r="G21" s="44">
        <f>if(OR($F21=1, $F21=2),VLOOKUP($B21,Courts!$B$2:$K$50,10,false),0)</f>
        <v>0</v>
      </c>
      <c r="H21" s="45">
        <f t="shared" si="3"/>
        <v>0</v>
      </c>
      <c r="I21" s="44">
        <f>if(OR($F21=1, $F21=2),VLOOKUP($B21,Courts!$B$2:$J$50,5,false),0)</f>
        <v>0</v>
      </c>
      <c r="J21" s="44">
        <f>if(OR($F21=1, $F21=2),VLOOKUP($B21,Courts!$B$2:$J$50,6,false),0)</f>
        <v>0</v>
      </c>
      <c r="K21" s="44">
        <f>if(OR($F21=1, $F21=2),VLOOKUP($B21,Courts!$B$2:$J$50,7,false),0)</f>
        <v>0</v>
      </c>
      <c r="L21" s="48">
        <f t="shared" si="4"/>
        <v>0</v>
      </c>
      <c r="M21" s="44">
        <f>if(OR($F21=1, $F21=2),VLOOKUP($B21,Courts!$B$2:$J$50,9,false),0)</f>
        <v>0</v>
      </c>
      <c r="N21" s="37">
        <f t="shared" ref="N21:O21" si="28">C21+L21</f>
        <v>312</v>
      </c>
      <c r="O21" s="37">
        <f t="shared" si="28"/>
        <v>25</v>
      </c>
      <c r="P21" s="49" t="s">
        <v>57</v>
      </c>
      <c r="Q21" s="49" t="s">
        <v>57</v>
      </c>
      <c r="R21" s="49" t="s">
        <v>57</v>
      </c>
      <c r="S21" s="51">
        <f t="shared" si="6"/>
        <v>14</v>
      </c>
      <c r="T21" s="52">
        <f t="shared" si="7"/>
        <v>1</v>
      </c>
      <c r="U21" s="52"/>
      <c r="V21" s="51">
        <f t="shared" si="8"/>
        <v>10</v>
      </c>
      <c r="W21" s="52">
        <f t="shared" si="9"/>
        <v>7</v>
      </c>
      <c r="X21" s="35">
        <f t="shared" si="14"/>
        <v>17</v>
      </c>
      <c r="Y21" s="35" t="str">
        <f t="shared" si="10"/>
        <v>N</v>
      </c>
      <c r="Z21" s="19" t="str">
        <f t="shared" si="11"/>
        <v/>
      </c>
    </row>
    <row r="22">
      <c r="A22" s="35">
        <f t="shared" si="12"/>
        <v>18</v>
      </c>
      <c r="B22" s="36" t="s">
        <v>112</v>
      </c>
      <c r="C22" s="37">
        <v>312.0</v>
      </c>
      <c r="D22" s="37">
        <v>25.0</v>
      </c>
      <c r="E22" s="40">
        <f t="shared" si="2"/>
        <v>14.11764706</v>
      </c>
      <c r="F22" s="41">
        <f>if(isna(VLOOKUP(B22,Checkin!A:B,2,false)),0,VLOOKUP(B22,Checkin!A:B,2,false))</f>
        <v>0</v>
      </c>
      <c r="G22" s="44">
        <f>if(OR($F22=1, $F22=2),VLOOKUP($B22,Courts!$B$2:$K$50,10,false),0)</f>
        <v>0</v>
      </c>
      <c r="H22" s="45">
        <f t="shared" si="3"/>
        <v>0</v>
      </c>
      <c r="I22" s="44">
        <f>if(OR($F22=1, $F22=2),VLOOKUP($B22,Courts!$B$2:$J$50,5,false),0)</f>
        <v>0</v>
      </c>
      <c r="J22" s="44">
        <f>if(OR($F22=1, $F22=2),VLOOKUP($B22,Courts!$B$2:$J$50,6,false),0)</f>
        <v>0</v>
      </c>
      <c r="K22" s="44">
        <f>if(OR($F22=1, $F22=2),VLOOKUP($B22,Courts!$B$2:$J$50,7,false),0)</f>
        <v>0</v>
      </c>
      <c r="L22" s="48">
        <f t="shared" si="4"/>
        <v>0</v>
      </c>
      <c r="M22" s="44">
        <f>if(OR($F22=1, $F22=2),VLOOKUP($B22,Courts!$B$2:$J$50,9,false),0)</f>
        <v>0</v>
      </c>
      <c r="N22" s="37">
        <f t="shared" ref="N22:O22" si="29">C22+L22</f>
        <v>312</v>
      </c>
      <c r="O22" s="37">
        <f t="shared" si="29"/>
        <v>25</v>
      </c>
      <c r="P22" s="49" t="s">
        <v>57</v>
      </c>
      <c r="Q22" s="49" t="s">
        <v>57</v>
      </c>
      <c r="R22" s="49" t="s">
        <v>57</v>
      </c>
      <c r="S22" s="51">
        <f t="shared" si="6"/>
        <v>17</v>
      </c>
      <c r="T22" s="52">
        <f t="shared" si="7"/>
        <v>0</v>
      </c>
      <c r="U22" s="52"/>
      <c r="V22" s="51">
        <f t="shared" si="8"/>
        <v>8</v>
      </c>
      <c r="W22" s="52">
        <f t="shared" si="9"/>
        <v>7</v>
      </c>
      <c r="X22" s="35">
        <f t="shared" si="14"/>
        <v>18</v>
      </c>
      <c r="Y22" s="35" t="str">
        <f t="shared" si="10"/>
        <v>N</v>
      </c>
      <c r="Z22" s="19" t="str">
        <f t="shared" si="11"/>
        <v/>
      </c>
    </row>
    <row r="23">
      <c r="A23" s="35">
        <f t="shared" si="12"/>
        <v>19</v>
      </c>
      <c r="B23" s="36" t="s">
        <v>113</v>
      </c>
      <c r="C23" s="37">
        <v>312.0</v>
      </c>
      <c r="D23" s="37">
        <v>24.0</v>
      </c>
      <c r="E23" s="40">
        <f t="shared" si="2"/>
        <v>15.69230769</v>
      </c>
      <c r="F23" s="41">
        <f>if(isna(VLOOKUP(B23,Checkin!A:B,2,false)),0,VLOOKUP(B23,Checkin!A:B,2,false))</f>
        <v>0</v>
      </c>
      <c r="G23" s="44">
        <f>if(OR($F23=1, $F23=2),VLOOKUP($B23,Courts!$B$2:$K$50,10,false),0)</f>
        <v>0</v>
      </c>
      <c r="H23" s="45">
        <f t="shared" si="3"/>
        <v>0</v>
      </c>
      <c r="I23" s="44">
        <f>if(OR($F23=1, $F23=2),VLOOKUP($B23,Courts!$B$2:$J$50,5,false),0)</f>
        <v>0</v>
      </c>
      <c r="J23" s="44">
        <f>if(OR($F23=1, $F23=2),VLOOKUP($B23,Courts!$B$2:$J$50,6,false),0)</f>
        <v>0</v>
      </c>
      <c r="K23" s="44">
        <f>if(OR($F23=1, $F23=2),VLOOKUP($B23,Courts!$B$2:$J$50,7,false),0)</f>
        <v>0</v>
      </c>
      <c r="L23" s="48">
        <f t="shared" si="4"/>
        <v>0</v>
      </c>
      <c r="M23" s="44">
        <f>if(OR($F23=1, $F23=2),VLOOKUP($B23,Courts!$B$2:$J$50,9,false),0)</f>
        <v>0</v>
      </c>
      <c r="N23" s="37">
        <f t="shared" ref="N23:O23" si="30">C23+L23</f>
        <v>312</v>
      </c>
      <c r="O23" s="37">
        <f t="shared" si="30"/>
        <v>24</v>
      </c>
      <c r="P23" s="49" t="s">
        <v>57</v>
      </c>
      <c r="Q23" s="49" t="s">
        <v>57</v>
      </c>
      <c r="R23" s="49" t="s">
        <v>57</v>
      </c>
      <c r="S23" s="51">
        <f t="shared" si="6"/>
        <v>13</v>
      </c>
      <c r="T23" s="52">
        <f t="shared" si="7"/>
        <v>0</v>
      </c>
      <c r="U23" s="52"/>
      <c r="V23" s="51">
        <f t="shared" si="8"/>
        <v>12</v>
      </c>
      <c r="W23" s="52">
        <f t="shared" si="9"/>
        <v>-2</v>
      </c>
      <c r="X23" s="35">
        <f t="shared" si="14"/>
        <v>19</v>
      </c>
      <c r="Y23" s="35" t="str">
        <f t="shared" si="10"/>
        <v>N</v>
      </c>
      <c r="Z23" s="19" t="str">
        <f t="shared" si="11"/>
        <v/>
      </c>
    </row>
    <row r="24">
      <c r="A24" s="35">
        <f t="shared" si="12"/>
        <v>20</v>
      </c>
      <c r="B24" s="36" t="s">
        <v>115</v>
      </c>
      <c r="C24" s="37">
        <v>311.0</v>
      </c>
      <c r="D24" s="37">
        <v>27.0</v>
      </c>
      <c r="E24" s="40">
        <f t="shared" si="2"/>
        <v>13.3</v>
      </c>
      <c r="F24" s="41">
        <f>if(isna(VLOOKUP(B24,Checkin!A:B,2,false)),0,VLOOKUP(B24,Checkin!A:B,2,false))</f>
        <v>0</v>
      </c>
      <c r="G24" s="44">
        <f>if(OR($F24=1, $F24=2),VLOOKUP($B24,Courts!$B$2:$K$50,10,false),0)</f>
        <v>0</v>
      </c>
      <c r="H24" s="45">
        <f t="shared" si="3"/>
        <v>0</v>
      </c>
      <c r="I24" s="44">
        <f>if(OR($F24=1, $F24=2),VLOOKUP($B24,Courts!$B$2:$J$50,5,false),0)</f>
        <v>0</v>
      </c>
      <c r="J24" s="44">
        <f>if(OR($F24=1, $F24=2),VLOOKUP($B24,Courts!$B$2:$J$50,6,false),0)</f>
        <v>0</v>
      </c>
      <c r="K24" s="44">
        <f>if(OR($F24=1, $F24=2),VLOOKUP($B24,Courts!$B$2:$J$50,7,false),0)</f>
        <v>0</v>
      </c>
      <c r="L24" s="48">
        <f t="shared" si="4"/>
        <v>0</v>
      </c>
      <c r="M24" s="44">
        <f>if(OR($F24=1, $F24=2),VLOOKUP($B24,Courts!$B$2:$J$50,9,false),0)</f>
        <v>0</v>
      </c>
      <c r="N24" s="37">
        <f t="shared" ref="N24:O24" si="31">C24+L24</f>
        <v>311</v>
      </c>
      <c r="O24" s="37">
        <f t="shared" si="31"/>
        <v>27</v>
      </c>
      <c r="P24" s="49" t="s">
        <v>57</v>
      </c>
      <c r="Q24" s="49" t="s">
        <v>57</v>
      </c>
      <c r="R24" s="49" t="s">
        <v>57</v>
      </c>
      <c r="S24" s="51">
        <f t="shared" si="6"/>
        <v>20</v>
      </c>
      <c r="T24" s="52">
        <f t="shared" si="7"/>
        <v>0</v>
      </c>
      <c r="U24" s="52"/>
      <c r="V24" s="51">
        <f t="shared" si="8"/>
        <v>5</v>
      </c>
      <c r="W24" s="52">
        <f t="shared" si="9"/>
        <v>-1</v>
      </c>
      <c r="X24" s="35">
        <f t="shared" si="14"/>
        <v>20</v>
      </c>
      <c r="Y24" s="35" t="str">
        <f t="shared" si="10"/>
        <v>N</v>
      </c>
      <c r="Z24" s="19" t="str">
        <f t="shared" si="11"/>
        <v/>
      </c>
    </row>
    <row r="25">
      <c r="A25" s="35">
        <f t="shared" si="12"/>
        <v>21</v>
      </c>
      <c r="B25" s="36" t="s">
        <v>117</v>
      </c>
      <c r="C25" s="37">
        <v>310.0</v>
      </c>
      <c r="D25" s="37">
        <v>25.0</v>
      </c>
      <c r="E25" s="40">
        <f t="shared" si="2"/>
        <v>13.27777778</v>
      </c>
      <c r="F25" s="41">
        <f>if(isna(VLOOKUP(B25,Checkin!A:B,2,false)),0,VLOOKUP(B25,Checkin!A:B,2,false))</f>
        <v>0</v>
      </c>
      <c r="G25" s="44">
        <f>if(OR($F25=1, $F25=2),VLOOKUP($B25,Courts!$B$2:$K$50,10,false),0)</f>
        <v>0</v>
      </c>
      <c r="H25" s="45">
        <f t="shared" si="3"/>
        <v>0</v>
      </c>
      <c r="I25" s="44">
        <f>if(OR($F25=1, $F25=2),VLOOKUP($B25,Courts!$B$2:$J$50,5,false),0)</f>
        <v>0</v>
      </c>
      <c r="J25" s="44">
        <f>if(OR($F25=1, $F25=2),VLOOKUP($B25,Courts!$B$2:$J$50,6,false),0)</f>
        <v>0</v>
      </c>
      <c r="K25" s="44">
        <f>if(OR($F25=1, $F25=2),VLOOKUP($B25,Courts!$B$2:$J$50,7,false),0)</f>
        <v>0</v>
      </c>
      <c r="L25" s="48">
        <f t="shared" si="4"/>
        <v>0</v>
      </c>
      <c r="M25" s="44">
        <f>if(OR($F25=1, $F25=2),VLOOKUP($B25,Courts!$B$2:$J$50,9,false),0)</f>
        <v>0</v>
      </c>
      <c r="N25" s="37">
        <f t="shared" ref="N25:O25" si="32">C25+L25</f>
        <v>310</v>
      </c>
      <c r="O25" s="37">
        <f t="shared" si="32"/>
        <v>25</v>
      </c>
      <c r="P25" s="49" t="s">
        <v>57</v>
      </c>
      <c r="Q25" s="49" t="s">
        <v>57</v>
      </c>
      <c r="R25" s="49" t="s">
        <v>57</v>
      </c>
      <c r="S25" s="51">
        <f t="shared" si="6"/>
        <v>18</v>
      </c>
      <c r="T25" s="52">
        <f t="shared" si="7"/>
        <v>2</v>
      </c>
      <c r="U25" s="52"/>
      <c r="V25" s="51">
        <f t="shared" si="8"/>
        <v>5</v>
      </c>
      <c r="W25" s="52">
        <f t="shared" si="9"/>
        <v>-3</v>
      </c>
      <c r="X25" s="35">
        <f t="shared" si="14"/>
        <v>21</v>
      </c>
      <c r="Y25" s="35" t="str">
        <f t="shared" si="10"/>
        <v>N</v>
      </c>
      <c r="Z25" s="19" t="str">
        <f t="shared" si="11"/>
        <v/>
      </c>
    </row>
    <row r="26">
      <c r="A26" s="35">
        <f t="shared" si="12"/>
        <v>22</v>
      </c>
      <c r="B26" s="36" t="s">
        <v>101</v>
      </c>
      <c r="C26" s="37">
        <v>308.0</v>
      </c>
      <c r="D26" s="37">
        <v>22.0</v>
      </c>
      <c r="E26" s="40">
        <f t="shared" si="2"/>
        <v>13.41176471</v>
      </c>
      <c r="F26" s="41">
        <f>if(isna(VLOOKUP(B26,Checkin!A:B,2,false)),0,VLOOKUP(B26,Checkin!A:B,2,false))</f>
        <v>0</v>
      </c>
      <c r="G26" s="44">
        <f>if(OR($F26=1, $F26=2),VLOOKUP($B26,Courts!$B$2:$K$50,10,false),0)</f>
        <v>0</v>
      </c>
      <c r="H26" s="45">
        <f t="shared" si="3"/>
        <v>0</v>
      </c>
      <c r="I26" s="44">
        <f>if(OR($F26=1, $F26=2),VLOOKUP($B26,Courts!$B$2:$J$50,5,false),0)</f>
        <v>0</v>
      </c>
      <c r="J26" s="44">
        <f>if(OR($F26=1, $F26=2),VLOOKUP($B26,Courts!$B$2:$J$50,6,false),0)</f>
        <v>0</v>
      </c>
      <c r="K26" s="44">
        <f>if(OR($F26=1, $F26=2),VLOOKUP($B26,Courts!$B$2:$J$50,7,false),0)</f>
        <v>0</v>
      </c>
      <c r="L26" s="48">
        <f t="shared" si="4"/>
        <v>0</v>
      </c>
      <c r="M26" s="44">
        <f>if(OR($F26=1, $F26=2),VLOOKUP($B26,Courts!$B$2:$J$50,9,false),0)</f>
        <v>0</v>
      </c>
      <c r="N26" s="37">
        <f t="shared" ref="N26:O26" si="33">C26+L26</f>
        <v>308</v>
      </c>
      <c r="O26" s="37">
        <f t="shared" si="33"/>
        <v>22</v>
      </c>
      <c r="P26" s="49" t="s">
        <v>57</v>
      </c>
      <c r="Q26" s="49" t="s">
        <v>57</v>
      </c>
      <c r="R26" s="49" t="s">
        <v>57</v>
      </c>
      <c r="S26" s="51">
        <f t="shared" si="6"/>
        <v>17</v>
      </c>
      <c r="T26" s="52">
        <f t="shared" si="7"/>
        <v>2</v>
      </c>
      <c r="U26" s="52"/>
      <c r="V26" s="51">
        <f t="shared" si="8"/>
        <v>6</v>
      </c>
      <c r="W26" s="52">
        <f t="shared" si="9"/>
        <v>-2</v>
      </c>
      <c r="X26" s="35">
        <f t="shared" si="14"/>
        <v>22</v>
      </c>
      <c r="Y26" s="35" t="str">
        <f t="shared" si="10"/>
        <v>N</v>
      </c>
      <c r="Z26" s="19" t="str">
        <f t="shared" si="11"/>
        <v/>
      </c>
    </row>
    <row r="27">
      <c r="A27" s="35">
        <f t="shared" si="12"/>
        <v>23</v>
      </c>
      <c r="B27" s="36" t="s">
        <v>120</v>
      </c>
      <c r="C27" s="37">
        <v>306.0</v>
      </c>
      <c r="D27" s="37">
        <v>23.0</v>
      </c>
      <c r="E27" s="40">
        <f t="shared" si="2"/>
        <v>16.36363636</v>
      </c>
      <c r="F27" s="41">
        <f>if(isna(VLOOKUP(B27,Checkin!A:B,2,false)),0,VLOOKUP(B27,Checkin!A:B,2,false))</f>
        <v>0</v>
      </c>
      <c r="G27" s="44">
        <f>if(OR($F27=1, $F27=2),VLOOKUP($B27,Courts!$B$2:$K$50,10,false),0)</f>
        <v>0</v>
      </c>
      <c r="H27" s="45">
        <f t="shared" si="3"/>
        <v>0</v>
      </c>
      <c r="I27" s="44">
        <f>if(OR($F27=1, $F27=2),VLOOKUP($B27,Courts!$B$2:$J$50,5,false),0)</f>
        <v>0</v>
      </c>
      <c r="J27" s="44">
        <f>if(OR($F27=1, $F27=2),VLOOKUP($B27,Courts!$B$2:$J$50,6,false),0)</f>
        <v>0</v>
      </c>
      <c r="K27" s="44">
        <f>if(OR($F27=1, $F27=2),VLOOKUP($B27,Courts!$B$2:$J$50,7,false),0)</f>
        <v>0</v>
      </c>
      <c r="L27" s="48">
        <f t="shared" si="4"/>
        <v>0</v>
      </c>
      <c r="M27" s="44">
        <f>if(OR($F27=1, $F27=2),VLOOKUP($B27,Courts!$B$2:$J$50,9,false),0)</f>
        <v>0</v>
      </c>
      <c r="N27" s="37">
        <f t="shared" ref="N27:O27" si="34">C27+L27</f>
        <v>306</v>
      </c>
      <c r="O27" s="37">
        <f t="shared" si="34"/>
        <v>23</v>
      </c>
      <c r="P27" s="49" t="s">
        <v>57</v>
      </c>
      <c r="Q27" s="49" t="s">
        <v>57</v>
      </c>
      <c r="R27" s="49" t="s">
        <v>57</v>
      </c>
      <c r="S27" s="51">
        <f t="shared" si="6"/>
        <v>11</v>
      </c>
      <c r="T27" s="52">
        <f t="shared" si="7"/>
        <v>0</v>
      </c>
      <c r="U27" s="52"/>
      <c r="V27" s="51">
        <f t="shared" si="8"/>
        <v>14</v>
      </c>
      <c r="W27" s="52">
        <f t="shared" si="9"/>
        <v>-2</v>
      </c>
      <c r="X27" s="35">
        <f t="shared" si="14"/>
        <v>23</v>
      </c>
      <c r="Y27" s="35" t="str">
        <f t="shared" si="10"/>
        <v>N</v>
      </c>
      <c r="Z27" s="19" t="str">
        <f t="shared" si="11"/>
        <v/>
      </c>
    </row>
    <row r="28">
      <c r="A28" s="35">
        <f t="shared" si="12"/>
        <v>24</v>
      </c>
      <c r="B28" s="36" t="s">
        <v>126</v>
      </c>
      <c r="C28" s="37">
        <v>305.0</v>
      </c>
      <c r="D28" s="37">
        <v>27.0</v>
      </c>
      <c r="E28" s="40">
        <f t="shared" si="2"/>
        <v>14</v>
      </c>
      <c r="F28" s="41">
        <f>if(isna(VLOOKUP(B28,Checkin!A:B,2,false)),0,VLOOKUP(B28,Checkin!A:B,2,false))</f>
        <v>0</v>
      </c>
      <c r="G28" s="44">
        <f>if(OR($F28=1, $F28=2),VLOOKUP($B28,Courts!$B$2:$K$50,10,false),0)</f>
        <v>0</v>
      </c>
      <c r="H28" s="45">
        <f t="shared" si="3"/>
        <v>0</v>
      </c>
      <c r="I28" s="44">
        <f>if(OR($F28=1, $F28=2),VLOOKUP($B28,Courts!$B$2:$J$50,5,false),0)</f>
        <v>0</v>
      </c>
      <c r="J28" s="44">
        <f>if(OR($F28=1, $F28=2),VLOOKUP($B28,Courts!$B$2:$J$50,6,false),0)</f>
        <v>0</v>
      </c>
      <c r="K28" s="44">
        <f>if(OR($F28=1, $F28=2),VLOOKUP($B28,Courts!$B$2:$J$50,7,false),0)</f>
        <v>0</v>
      </c>
      <c r="L28" s="48">
        <f t="shared" si="4"/>
        <v>0</v>
      </c>
      <c r="M28" s="44">
        <f>if(OR($F28=1, $F28=2),VLOOKUP($B28,Courts!$B$2:$J$50,9,false),0)</f>
        <v>0</v>
      </c>
      <c r="N28" s="37">
        <f t="shared" ref="N28:O28" si="35">C28+L28</f>
        <v>305</v>
      </c>
      <c r="O28" s="37">
        <f t="shared" si="35"/>
        <v>27</v>
      </c>
      <c r="P28" s="49" t="s">
        <v>57</v>
      </c>
      <c r="Q28" s="49" t="s">
        <v>57</v>
      </c>
      <c r="R28" s="49" t="s">
        <v>57</v>
      </c>
      <c r="S28" s="51">
        <f t="shared" si="6"/>
        <v>16</v>
      </c>
      <c r="T28" s="52">
        <f t="shared" si="7"/>
        <v>0</v>
      </c>
      <c r="U28" s="52"/>
      <c r="V28" s="51">
        <f t="shared" si="8"/>
        <v>9</v>
      </c>
      <c r="W28" s="52">
        <f t="shared" si="9"/>
        <v>9</v>
      </c>
      <c r="X28" s="35">
        <f t="shared" si="14"/>
        <v>24</v>
      </c>
      <c r="Y28" s="35" t="str">
        <f t="shared" si="10"/>
        <v>N</v>
      </c>
      <c r="Z28" s="19" t="str">
        <f t="shared" si="11"/>
        <v/>
      </c>
    </row>
    <row r="29">
      <c r="A29" s="35">
        <f t="shared" si="12"/>
        <v>25</v>
      </c>
      <c r="B29" s="36" t="s">
        <v>107</v>
      </c>
      <c r="C29" s="37">
        <v>304.0</v>
      </c>
      <c r="D29" s="37">
        <v>24.0</v>
      </c>
      <c r="E29" s="40">
        <f t="shared" si="2"/>
        <v>13.4375</v>
      </c>
      <c r="F29" s="41">
        <f>if(isna(VLOOKUP(B29,Checkin!A:B,2,false)),0,VLOOKUP(B29,Checkin!A:B,2,false))</f>
        <v>0</v>
      </c>
      <c r="G29" s="44">
        <f>if(OR($F29=1, $F29=2),VLOOKUP($B29,Courts!$B$2:$K$50,10,false),0)</f>
        <v>0</v>
      </c>
      <c r="H29" s="45">
        <f t="shared" si="3"/>
        <v>0</v>
      </c>
      <c r="I29" s="44">
        <f>if(OR($F29=1, $F29=2),VLOOKUP($B29,Courts!$B$2:$J$50,5,false),0)</f>
        <v>0</v>
      </c>
      <c r="J29" s="44">
        <f>if(OR($F29=1, $F29=2),VLOOKUP($B29,Courts!$B$2:$J$50,6,false),0)</f>
        <v>0</v>
      </c>
      <c r="K29" s="44">
        <f>if(OR($F29=1, $F29=2),VLOOKUP($B29,Courts!$B$2:$J$50,7,false),0)</f>
        <v>0</v>
      </c>
      <c r="L29" s="48">
        <f t="shared" si="4"/>
        <v>0</v>
      </c>
      <c r="M29" s="44">
        <f>if(OR($F29=1, $F29=2),VLOOKUP($B29,Courts!$B$2:$J$50,9,false),0)</f>
        <v>0</v>
      </c>
      <c r="N29" s="37">
        <f t="shared" ref="N29:O29" si="36">C29+L29</f>
        <v>304</v>
      </c>
      <c r="O29" s="37">
        <f t="shared" si="36"/>
        <v>24</v>
      </c>
      <c r="P29" s="49" t="s">
        <v>57</v>
      </c>
      <c r="Q29" s="49" t="s">
        <v>57</v>
      </c>
      <c r="R29" s="49" t="s">
        <v>57</v>
      </c>
      <c r="S29" s="51">
        <f t="shared" si="6"/>
        <v>16</v>
      </c>
      <c r="T29" s="52">
        <f t="shared" si="7"/>
        <v>2</v>
      </c>
      <c r="U29" s="52"/>
      <c r="V29" s="51">
        <f t="shared" si="8"/>
        <v>7</v>
      </c>
      <c r="W29" s="52">
        <f t="shared" si="9"/>
        <v>5</v>
      </c>
      <c r="X29" s="35">
        <f t="shared" si="14"/>
        <v>25</v>
      </c>
      <c r="Y29" s="35" t="str">
        <f t="shared" si="10"/>
        <v>N</v>
      </c>
      <c r="Z29" s="19" t="str">
        <f t="shared" si="11"/>
        <v/>
      </c>
    </row>
    <row r="30">
      <c r="A30" s="35">
        <f t="shared" si="12"/>
        <v>26</v>
      </c>
      <c r="B30" s="36" t="s">
        <v>127</v>
      </c>
      <c r="C30" s="37">
        <v>304.0</v>
      </c>
      <c r="D30" s="37">
        <v>23.0</v>
      </c>
      <c r="E30" s="40">
        <f t="shared" si="2"/>
        <v>15.58333333</v>
      </c>
      <c r="F30" s="41">
        <f>if(isna(VLOOKUP(B30,Checkin!A:B,2,false)),0,VLOOKUP(B30,Checkin!A:B,2,false))</f>
        <v>0</v>
      </c>
      <c r="G30" s="44">
        <f>if(OR($F30=1, $F30=2),VLOOKUP($B30,Courts!$B$2:$K$50,10,false),0)</f>
        <v>0</v>
      </c>
      <c r="H30" s="45">
        <f t="shared" si="3"/>
        <v>0</v>
      </c>
      <c r="I30" s="44">
        <f>if(OR($F30=1, $F30=2),VLOOKUP($B30,Courts!$B$2:$J$50,5,false),0)</f>
        <v>0</v>
      </c>
      <c r="J30" s="44">
        <f>if(OR($F30=1, $F30=2),VLOOKUP($B30,Courts!$B$2:$J$50,6,false),0)</f>
        <v>0</v>
      </c>
      <c r="K30" s="44">
        <f>if(OR($F30=1, $F30=2),VLOOKUP($B30,Courts!$B$2:$J$50,7,false),0)</f>
        <v>0</v>
      </c>
      <c r="L30" s="48">
        <f t="shared" si="4"/>
        <v>0</v>
      </c>
      <c r="M30" s="44">
        <f>if(OR($F30=1, $F30=2),VLOOKUP($B30,Courts!$B$2:$J$50,9,false),0)</f>
        <v>0</v>
      </c>
      <c r="N30" s="37">
        <f t="shared" ref="N30:O30" si="37">C30+L30</f>
        <v>304</v>
      </c>
      <c r="O30" s="37">
        <f t="shared" si="37"/>
        <v>23</v>
      </c>
      <c r="P30" s="49" t="s">
        <v>57</v>
      </c>
      <c r="Q30" s="49" t="s">
        <v>57</v>
      </c>
      <c r="R30" s="49" t="s">
        <v>57</v>
      </c>
      <c r="S30" s="51">
        <f t="shared" si="6"/>
        <v>12</v>
      </c>
      <c r="T30" s="52">
        <f t="shared" si="7"/>
        <v>0</v>
      </c>
      <c r="U30" s="52"/>
      <c r="V30" s="51">
        <f t="shared" si="8"/>
        <v>13</v>
      </c>
      <c r="W30" s="52">
        <f t="shared" si="9"/>
        <v>-3</v>
      </c>
      <c r="X30" s="35">
        <f t="shared" si="14"/>
        <v>26</v>
      </c>
      <c r="Y30" s="35" t="str">
        <f t="shared" si="10"/>
        <v>N</v>
      </c>
      <c r="Z30" s="19" t="str">
        <f t="shared" si="11"/>
        <v/>
      </c>
    </row>
    <row r="31">
      <c r="A31" s="35">
        <f t="shared" si="12"/>
        <v>27</v>
      </c>
      <c r="B31" s="36" t="s">
        <v>130</v>
      </c>
      <c r="C31" s="37">
        <v>303.0</v>
      </c>
      <c r="D31" s="37">
        <v>29.0</v>
      </c>
      <c r="E31" s="40">
        <f t="shared" si="2"/>
        <v>12.12</v>
      </c>
      <c r="F31" s="41">
        <f>if(isna(VLOOKUP(B31,Checkin!A:B,2,false)),0,VLOOKUP(B31,Checkin!A:B,2,false))</f>
        <v>0</v>
      </c>
      <c r="G31" s="44">
        <f>if(OR($F31=1, $F31=2),VLOOKUP($B31,Courts!$B$2:$K$50,10,false),0)</f>
        <v>0</v>
      </c>
      <c r="H31" s="45">
        <f t="shared" si="3"/>
        <v>0</v>
      </c>
      <c r="I31" s="44">
        <f>if(OR($F31=1, $F31=2),VLOOKUP($B31,Courts!$B$2:$J$50,5,false),0)</f>
        <v>0</v>
      </c>
      <c r="J31" s="44">
        <f>if(OR($F31=1, $F31=2),VLOOKUP($B31,Courts!$B$2:$J$50,6,false),0)</f>
        <v>0</v>
      </c>
      <c r="K31" s="44">
        <f>if(OR($F31=1, $F31=2),VLOOKUP($B31,Courts!$B$2:$J$50,7,false),0)</f>
        <v>0</v>
      </c>
      <c r="L31" s="48">
        <f t="shared" si="4"/>
        <v>0</v>
      </c>
      <c r="M31" s="44">
        <f>if(OR($F31=1, $F31=2),VLOOKUP($B31,Courts!$B$2:$J$50,9,false),0)</f>
        <v>0</v>
      </c>
      <c r="N31" s="37">
        <f t="shared" ref="N31:O31" si="38">C31+L31</f>
        <v>303</v>
      </c>
      <c r="O31" s="37">
        <f t="shared" si="38"/>
        <v>29</v>
      </c>
      <c r="P31" s="49" t="s">
        <v>57</v>
      </c>
      <c r="Q31" s="49" t="s">
        <v>57</v>
      </c>
      <c r="R31" s="49" t="s">
        <v>57</v>
      </c>
      <c r="S31" s="51">
        <f t="shared" si="6"/>
        <v>25</v>
      </c>
      <c r="T31" s="52">
        <f t="shared" si="7"/>
        <v>0</v>
      </c>
      <c r="U31" s="52"/>
      <c r="V31" s="51">
        <f t="shared" si="8"/>
        <v>0</v>
      </c>
      <c r="W31" s="52">
        <f t="shared" si="9"/>
        <v>-5</v>
      </c>
      <c r="X31" s="35">
        <f t="shared" si="14"/>
        <v>27</v>
      </c>
      <c r="Y31" s="35" t="str">
        <f t="shared" si="10"/>
        <v>Y</v>
      </c>
      <c r="Z31" s="19" t="str">
        <f t="shared" si="11"/>
        <v/>
      </c>
    </row>
    <row r="32">
      <c r="A32" s="35">
        <f t="shared" si="12"/>
        <v>28</v>
      </c>
      <c r="B32" s="36" t="s">
        <v>59</v>
      </c>
      <c r="C32" s="37">
        <v>303.0</v>
      </c>
      <c r="D32" s="37">
        <v>25.0</v>
      </c>
      <c r="E32" s="40">
        <f t="shared" si="2"/>
        <v>12.39130435</v>
      </c>
      <c r="F32" s="41">
        <f>if(isna(VLOOKUP(B32,Checkin!A:B,2,false)),0,VLOOKUP(B32,Checkin!A:B,2,false))</f>
        <v>0</v>
      </c>
      <c r="G32" s="44">
        <f>if(OR($F32=1, $F32=2),VLOOKUP($B32,Courts!$B$2:$K$50,10,false),0)</f>
        <v>0</v>
      </c>
      <c r="H32" s="45">
        <f t="shared" si="3"/>
        <v>0</v>
      </c>
      <c r="I32" s="44">
        <f>if(OR($F32=1, $F32=2),VLOOKUP($B32,Courts!$B$2:$J$50,5,false),0)</f>
        <v>0</v>
      </c>
      <c r="J32" s="44">
        <f>if(OR($F32=1, $F32=2),VLOOKUP($B32,Courts!$B$2:$J$50,6,false),0)</f>
        <v>0</v>
      </c>
      <c r="K32" s="44">
        <f>if(OR($F32=1, $F32=2),VLOOKUP($B32,Courts!$B$2:$J$50,7,false),0)</f>
        <v>0</v>
      </c>
      <c r="L32" s="48">
        <f t="shared" si="4"/>
        <v>0</v>
      </c>
      <c r="M32" s="44">
        <f>if(OR($F32=1, $F32=2),VLOOKUP($B32,Courts!$B$2:$J$50,9,false),0)</f>
        <v>0</v>
      </c>
      <c r="N32" s="37">
        <f t="shared" ref="N32:O32" si="39">C32+L32</f>
        <v>303</v>
      </c>
      <c r="O32" s="37">
        <f t="shared" si="39"/>
        <v>25</v>
      </c>
      <c r="P32" s="49" t="s">
        <v>57</v>
      </c>
      <c r="Q32" s="49" t="s">
        <v>57</v>
      </c>
      <c r="R32" s="49" t="s">
        <v>57</v>
      </c>
      <c r="S32" s="51">
        <f t="shared" si="6"/>
        <v>23</v>
      </c>
      <c r="T32" s="52">
        <f t="shared" si="7"/>
        <v>0</v>
      </c>
      <c r="U32" s="52"/>
      <c r="V32" s="51">
        <f t="shared" si="8"/>
        <v>2</v>
      </c>
      <c r="W32" s="52">
        <f t="shared" si="9"/>
        <v>-2</v>
      </c>
      <c r="X32" s="35">
        <f t="shared" si="14"/>
        <v>28</v>
      </c>
      <c r="Y32" s="35" t="str">
        <f t="shared" si="10"/>
        <v>N</v>
      </c>
      <c r="Z32" s="19" t="str">
        <f t="shared" si="11"/>
        <v/>
      </c>
    </row>
    <row r="33">
      <c r="A33" s="35">
        <f t="shared" si="12"/>
        <v>29</v>
      </c>
      <c r="B33" s="36" t="s">
        <v>135</v>
      </c>
      <c r="C33" s="37">
        <v>302.0</v>
      </c>
      <c r="D33" s="37">
        <v>20.0</v>
      </c>
      <c r="E33" s="40">
        <f t="shared" si="2"/>
        <v>13.8125</v>
      </c>
      <c r="F33" s="41">
        <f>if(isna(VLOOKUP(B33,Checkin!A:B,2,false)),0,VLOOKUP(B33,Checkin!A:B,2,false))</f>
        <v>0</v>
      </c>
      <c r="G33" s="44">
        <f>if(OR($F33=1, $F33=2),VLOOKUP($B33,Courts!$B$2:$K$50,10,false),0)</f>
        <v>0</v>
      </c>
      <c r="H33" s="45">
        <f t="shared" si="3"/>
        <v>0</v>
      </c>
      <c r="I33" s="44">
        <f>if(OR($F33=1, $F33=2),VLOOKUP($B33,Courts!$B$2:$J$50,5,false),0)</f>
        <v>0</v>
      </c>
      <c r="J33" s="44">
        <f>if(OR($F33=1, $F33=2),VLOOKUP($B33,Courts!$B$2:$J$50,6,false),0)</f>
        <v>0</v>
      </c>
      <c r="K33" s="44">
        <f>if(OR($F33=1, $F33=2),VLOOKUP($B33,Courts!$B$2:$J$50,7,false),0)</f>
        <v>0</v>
      </c>
      <c r="L33" s="48">
        <f t="shared" si="4"/>
        <v>0</v>
      </c>
      <c r="M33" s="44">
        <f>if(OR($F33=1, $F33=2),VLOOKUP($B33,Courts!$B$2:$J$50,9,false),0)</f>
        <v>0</v>
      </c>
      <c r="N33" s="37">
        <f t="shared" ref="N33:O33" si="40">C33+L33</f>
        <v>302</v>
      </c>
      <c r="O33" s="37">
        <f t="shared" si="40"/>
        <v>20</v>
      </c>
      <c r="P33" s="49" t="s">
        <v>57</v>
      </c>
      <c r="Q33" s="49" t="s">
        <v>57</v>
      </c>
      <c r="R33" s="49" t="s">
        <v>57</v>
      </c>
      <c r="S33" s="51">
        <f t="shared" si="6"/>
        <v>16</v>
      </c>
      <c r="T33" s="52">
        <f t="shared" si="7"/>
        <v>0</v>
      </c>
      <c r="U33" s="52"/>
      <c r="V33" s="51">
        <f t="shared" si="8"/>
        <v>9</v>
      </c>
      <c r="W33" s="52">
        <f t="shared" si="9"/>
        <v>2</v>
      </c>
      <c r="X33" s="35">
        <f t="shared" si="14"/>
        <v>29</v>
      </c>
      <c r="Y33" s="35" t="str">
        <f t="shared" si="10"/>
        <v>N</v>
      </c>
      <c r="Z33" s="19" t="str">
        <f t="shared" si="11"/>
        <v/>
      </c>
    </row>
    <row r="34">
      <c r="A34" s="35">
        <f t="shared" si="12"/>
        <v>30</v>
      </c>
      <c r="B34" s="36" t="s">
        <v>137</v>
      </c>
      <c r="C34" s="37">
        <v>301.0</v>
      </c>
      <c r="D34" s="37">
        <v>26.0</v>
      </c>
      <c r="E34" s="40">
        <f t="shared" si="2"/>
        <v>13.22222222</v>
      </c>
      <c r="F34" s="41">
        <f>if(isna(VLOOKUP(B34,Checkin!A:B,2,false)),0,VLOOKUP(B34,Checkin!A:B,2,false))</f>
        <v>0</v>
      </c>
      <c r="G34" s="44">
        <f>if(OR($F34=1, $F34=2),VLOOKUP($B34,Courts!$B$2:$K$50,10,false),0)</f>
        <v>0</v>
      </c>
      <c r="H34" s="45">
        <f t="shared" si="3"/>
        <v>0</v>
      </c>
      <c r="I34" s="44">
        <f>if(OR($F34=1, $F34=2),VLOOKUP($B34,Courts!$B$2:$J$50,5,false),0)</f>
        <v>0</v>
      </c>
      <c r="J34" s="44">
        <f>if(OR($F34=1, $F34=2),VLOOKUP($B34,Courts!$B$2:$J$50,6,false),0)</f>
        <v>0</v>
      </c>
      <c r="K34" s="44">
        <f>if(OR($F34=1, $F34=2),VLOOKUP($B34,Courts!$B$2:$J$50,7,false),0)</f>
        <v>0</v>
      </c>
      <c r="L34" s="48">
        <f t="shared" si="4"/>
        <v>0</v>
      </c>
      <c r="M34" s="44">
        <f>if(OR($F34=1, $F34=2),VLOOKUP($B34,Courts!$B$2:$J$50,9,false),0)</f>
        <v>0</v>
      </c>
      <c r="N34" s="37">
        <f t="shared" ref="N34:O34" si="41">C34+L34</f>
        <v>301</v>
      </c>
      <c r="O34" s="37">
        <f t="shared" si="41"/>
        <v>26</v>
      </c>
      <c r="P34" s="49" t="s">
        <v>57</v>
      </c>
      <c r="Q34" s="49" t="s">
        <v>57</v>
      </c>
      <c r="R34" s="49" t="s">
        <v>57</v>
      </c>
      <c r="S34" s="51">
        <f t="shared" si="6"/>
        <v>18</v>
      </c>
      <c r="T34" s="52">
        <f t="shared" si="7"/>
        <v>0</v>
      </c>
      <c r="U34" s="52"/>
      <c r="V34" s="51">
        <f t="shared" si="8"/>
        <v>7</v>
      </c>
      <c r="W34" s="52">
        <f t="shared" si="9"/>
        <v>-3</v>
      </c>
      <c r="X34" s="35">
        <f t="shared" si="14"/>
        <v>30</v>
      </c>
      <c r="Y34" s="35" t="str">
        <f t="shared" si="10"/>
        <v>N</v>
      </c>
      <c r="Z34" s="19" t="str">
        <f t="shared" si="11"/>
        <v/>
      </c>
    </row>
    <row r="35">
      <c r="A35" s="35">
        <f t="shared" si="12"/>
        <v>31</v>
      </c>
      <c r="B35" s="36" t="s">
        <v>64</v>
      </c>
      <c r="C35" s="37">
        <v>301.0</v>
      </c>
      <c r="D35" s="37">
        <v>26.0</v>
      </c>
      <c r="E35" s="40">
        <f t="shared" si="2"/>
        <v>12.30434783</v>
      </c>
      <c r="F35" s="41">
        <f>if(isna(VLOOKUP(B35,Checkin!A:B,2,false)),0,VLOOKUP(B35,Checkin!A:B,2,false))</f>
        <v>0</v>
      </c>
      <c r="G35" s="44">
        <f>if(OR($F35=1, $F35=2),VLOOKUP($B35,Courts!$B$2:$K$50,10,false),0)</f>
        <v>0</v>
      </c>
      <c r="H35" s="45">
        <f t="shared" si="3"/>
        <v>0</v>
      </c>
      <c r="I35" s="44">
        <f>if(OR($F35=1, $F35=2),VLOOKUP($B35,Courts!$B$2:$J$50,5,false),0)</f>
        <v>0</v>
      </c>
      <c r="J35" s="44">
        <f>if(OR($F35=1, $F35=2),VLOOKUP($B35,Courts!$B$2:$J$50,6,false),0)</f>
        <v>0</v>
      </c>
      <c r="K35" s="44">
        <f>if(OR($F35=1, $F35=2),VLOOKUP($B35,Courts!$B$2:$J$50,7,false),0)</f>
        <v>0</v>
      </c>
      <c r="L35" s="48">
        <f t="shared" si="4"/>
        <v>0</v>
      </c>
      <c r="M35" s="44">
        <f>if(OR($F35=1, $F35=2),VLOOKUP($B35,Courts!$B$2:$J$50,9,false),0)</f>
        <v>0</v>
      </c>
      <c r="N35" s="37">
        <f t="shared" ref="N35:O35" si="42">C35+L35</f>
        <v>301</v>
      </c>
      <c r="O35" s="37">
        <f t="shared" si="42"/>
        <v>26</v>
      </c>
      <c r="P35" s="49" t="s">
        <v>57</v>
      </c>
      <c r="Q35" s="49" t="s">
        <v>57</v>
      </c>
      <c r="R35" s="49" t="s">
        <v>57</v>
      </c>
      <c r="S35" s="51">
        <f t="shared" si="6"/>
        <v>23</v>
      </c>
      <c r="T35" s="52">
        <f t="shared" si="7"/>
        <v>0</v>
      </c>
      <c r="U35" s="52"/>
      <c r="V35" s="51">
        <f t="shared" si="8"/>
        <v>2</v>
      </c>
      <c r="W35" s="52">
        <f t="shared" si="9"/>
        <v>-3</v>
      </c>
      <c r="X35" s="35">
        <f t="shared" si="14"/>
        <v>31</v>
      </c>
      <c r="Y35" s="35" t="str">
        <f t="shared" si="10"/>
        <v>N</v>
      </c>
      <c r="Z35" s="19" t="str">
        <f t="shared" si="11"/>
        <v/>
      </c>
    </row>
    <row r="36">
      <c r="A36" s="35">
        <f t="shared" si="12"/>
        <v>32</v>
      </c>
      <c r="B36" s="36" t="s">
        <v>103</v>
      </c>
      <c r="C36" s="37">
        <v>301.0</v>
      </c>
      <c r="D36" s="37">
        <v>24.0</v>
      </c>
      <c r="E36" s="40">
        <f t="shared" si="2"/>
        <v>13</v>
      </c>
      <c r="F36" s="41">
        <f>if(isna(VLOOKUP(B36,Checkin!A:B,2,false)),0,VLOOKUP(B36,Checkin!A:B,2,false))</f>
        <v>0</v>
      </c>
      <c r="G36" s="44">
        <f>if(OR($F36=1, $F36=2),VLOOKUP($B36,Courts!$B$2:$K$50,10,false),0)</f>
        <v>0</v>
      </c>
      <c r="H36" s="45">
        <f t="shared" si="3"/>
        <v>0</v>
      </c>
      <c r="I36" s="44">
        <f>if(OR($F36=1, $F36=2),VLOOKUP($B36,Courts!$B$2:$J$50,5,false),0)</f>
        <v>0</v>
      </c>
      <c r="J36" s="44">
        <f>if(OR($F36=1, $F36=2),VLOOKUP($B36,Courts!$B$2:$J$50,6,false),0)</f>
        <v>0</v>
      </c>
      <c r="K36" s="44">
        <f>if(OR($F36=1, $F36=2),VLOOKUP($B36,Courts!$B$2:$J$50,7,false),0)</f>
        <v>0</v>
      </c>
      <c r="L36" s="48">
        <f t="shared" si="4"/>
        <v>0</v>
      </c>
      <c r="M36" s="44">
        <f>if(OR($F36=1, $F36=2),VLOOKUP($B36,Courts!$B$2:$J$50,9,false),0)</f>
        <v>0</v>
      </c>
      <c r="N36" s="37">
        <f t="shared" ref="N36:O36" si="43">C36+L36</f>
        <v>301</v>
      </c>
      <c r="O36" s="37">
        <f t="shared" si="43"/>
        <v>24</v>
      </c>
      <c r="P36" s="49" t="s">
        <v>57</v>
      </c>
      <c r="Q36" s="49" t="s">
        <v>57</v>
      </c>
      <c r="R36" s="49" t="s">
        <v>57</v>
      </c>
      <c r="S36" s="51">
        <f t="shared" si="6"/>
        <v>17</v>
      </c>
      <c r="T36" s="52">
        <f t="shared" si="7"/>
        <v>2</v>
      </c>
      <c r="U36" s="52"/>
      <c r="V36" s="51">
        <f t="shared" si="8"/>
        <v>6</v>
      </c>
      <c r="W36" s="52">
        <f t="shared" si="9"/>
        <v>-3</v>
      </c>
      <c r="X36" s="35">
        <f t="shared" si="14"/>
        <v>32</v>
      </c>
      <c r="Y36" s="35" t="str">
        <f t="shared" si="10"/>
        <v>N</v>
      </c>
      <c r="Z36" s="19" t="str">
        <f t="shared" si="11"/>
        <v/>
      </c>
    </row>
    <row r="37">
      <c r="A37" s="35">
        <f t="shared" si="12"/>
        <v>33</v>
      </c>
      <c r="B37" s="36" t="s">
        <v>128</v>
      </c>
      <c r="C37" s="37">
        <v>297.0</v>
      </c>
      <c r="D37" s="37">
        <v>20.0</v>
      </c>
      <c r="E37" s="40">
        <f t="shared" si="2"/>
        <v>13.5</v>
      </c>
      <c r="F37" s="41">
        <f>if(isna(VLOOKUP(B37,Checkin!A:B,2,false)),0,VLOOKUP(B37,Checkin!A:B,2,false))</f>
        <v>0</v>
      </c>
      <c r="G37" s="44">
        <f>if(OR($F37=1, $F37=2),VLOOKUP($B37,Courts!$B$2:$K$50,10,false),0)</f>
        <v>0</v>
      </c>
      <c r="H37" s="45">
        <f t="shared" si="3"/>
        <v>0</v>
      </c>
      <c r="I37" s="44">
        <f>if(OR($F37=1, $F37=2),VLOOKUP($B37,Courts!$B$2:$J$50,5,false),0)</f>
        <v>0</v>
      </c>
      <c r="J37" s="44">
        <f>if(OR($F37=1, $F37=2),VLOOKUP($B37,Courts!$B$2:$J$50,6,false),0)</f>
        <v>0</v>
      </c>
      <c r="K37" s="44">
        <f>if(OR($F37=1, $F37=2),VLOOKUP($B37,Courts!$B$2:$J$50,7,false),0)</f>
        <v>0</v>
      </c>
      <c r="L37" s="48">
        <f t="shared" si="4"/>
        <v>0</v>
      </c>
      <c r="M37" s="44">
        <f>if(OR($F37=1, $F37=2),VLOOKUP($B37,Courts!$B$2:$J$50,9,false),0)</f>
        <v>0</v>
      </c>
      <c r="N37" s="37">
        <f t="shared" ref="N37:O37" si="44">C37+L37</f>
        <v>297</v>
      </c>
      <c r="O37" s="37">
        <f t="shared" si="44"/>
        <v>20</v>
      </c>
      <c r="P37" s="49" t="s">
        <v>57</v>
      </c>
      <c r="Q37" s="49" t="s">
        <v>57</v>
      </c>
      <c r="R37" s="49" t="s">
        <v>57</v>
      </c>
      <c r="S37" s="51">
        <f t="shared" si="6"/>
        <v>16</v>
      </c>
      <c r="T37" s="52">
        <f t="shared" si="7"/>
        <v>0</v>
      </c>
      <c r="U37" s="52"/>
      <c r="V37" s="51">
        <f t="shared" si="8"/>
        <v>9</v>
      </c>
      <c r="W37" s="52">
        <f t="shared" si="9"/>
        <v>-1</v>
      </c>
      <c r="X37" s="35">
        <f t="shared" si="14"/>
        <v>33</v>
      </c>
      <c r="Y37" s="35" t="str">
        <f t="shared" si="10"/>
        <v>N</v>
      </c>
      <c r="Z37" s="19" t="str">
        <f t="shared" si="11"/>
        <v/>
      </c>
    </row>
    <row r="38">
      <c r="A38" s="35">
        <f t="shared" si="12"/>
        <v>34</v>
      </c>
      <c r="B38" s="36" t="s">
        <v>139</v>
      </c>
      <c r="C38" s="37">
        <v>293.0</v>
      </c>
      <c r="D38" s="37">
        <v>22.0</v>
      </c>
      <c r="E38" s="40">
        <f t="shared" si="2"/>
        <v>12.55555556</v>
      </c>
      <c r="F38" s="41">
        <f>if(isna(VLOOKUP(B38,Checkin!A:B,2,false)),0,VLOOKUP(B38,Checkin!A:B,2,false))</f>
        <v>0</v>
      </c>
      <c r="G38" s="44">
        <f>if(OR($F38=1, $F38=2),VLOOKUP($B38,Courts!$B$2:$K$50,10,false),0)</f>
        <v>0</v>
      </c>
      <c r="H38" s="45">
        <f t="shared" si="3"/>
        <v>0</v>
      </c>
      <c r="I38" s="44">
        <f>if(OR($F38=1, $F38=2),VLOOKUP($B38,Courts!$B$2:$J$50,5,false),0)</f>
        <v>0</v>
      </c>
      <c r="J38" s="44">
        <f>if(OR($F38=1, $F38=2),VLOOKUP($B38,Courts!$B$2:$J$50,6,false),0)</f>
        <v>0</v>
      </c>
      <c r="K38" s="44">
        <f>if(OR($F38=1, $F38=2),VLOOKUP($B38,Courts!$B$2:$J$50,7,false),0)</f>
        <v>0</v>
      </c>
      <c r="L38" s="48">
        <f t="shared" si="4"/>
        <v>0</v>
      </c>
      <c r="M38" s="44">
        <f>if(OR($F38=1, $F38=2),VLOOKUP($B38,Courts!$B$2:$J$50,9,false),0)</f>
        <v>0</v>
      </c>
      <c r="N38" s="37">
        <f t="shared" ref="N38:O38" si="45">C38+L38</f>
        <v>293</v>
      </c>
      <c r="O38" s="37">
        <f t="shared" si="45"/>
        <v>22</v>
      </c>
      <c r="P38" s="49" t="s">
        <v>57</v>
      </c>
      <c r="Q38" s="49" t="s">
        <v>57</v>
      </c>
      <c r="R38" s="49" t="s">
        <v>57</v>
      </c>
      <c r="S38" s="51">
        <f t="shared" si="6"/>
        <v>18</v>
      </c>
      <c r="T38" s="52">
        <f t="shared" si="7"/>
        <v>1</v>
      </c>
      <c r="U38" s="52"/>
      <c r="V38" s="51">
        <f t="shared" si="8"/>
        <v>6</v>
      </c>
      <c r="W38" s="52">
        <f t="shared" si="9"/>
        <v>0</v>
      </c>
      <c r="X38" s="35">
        <f t="shared" si="14"/>
        <v>34</v>
      </c>
      <c r="Y38" s="35" t="str">
        <f t="shared" si="10"/>
        <v>N</v>
      </c>
      <c r="Z38" s="19" t="str">
        <f t="shared" si="11"/>
        <v/>
      </c>
    </row>
    <row r="39">
      <c r="A39" s="35">
        <f t="shared" si="12"/>
        <v>35</v>
      </c>
      <c r="B39" s="36" t="s">
        <v>142</v>
      </c>
      <c r="C39" s="37">
        <v>292.0</v>
      </c>
      <c r="D39" s="37">
        <v>20.0</v>
      </c>
      <c r="E39" s="40">
        <f t="shared" si="2"/>
        <v>14.72727273</v>
      </c>
      <c r="F39" s="41">
        <f>if(isna(VLOOKUP(B39,Checkin!A:B,2,false)),0,VLOOKUP(B39,Checkin!A:B,2,false))</f>
        <v>0</v>
      </c>
      <c r="G39" s="44">
        <f>if(OR($F39=1, $F39=2),VLOOKUP($B39,Courts!$B$2:$K$50,10,false),0)</f>
        <v>0</v>
      </c>
      <c r="H39" s="45">
        <f t="shared" si="3"/>
        <v>0</v>
      </c>
      <c r="I39" s="44">
        <f>if(OR($F39=1, $F39=2),VLOOKUP($B39,Courts!$B$2:$J$50,5,false),0)</f>
        <v>0</v>
      </c>
      <c r="J39" s="44">
        <f>if(OR($F39=1, $F39=2),VLOOKUP($B39,Courts!$B$2:$J$50,6,false),0)</f>
        <v>0</v>
      </c>
      <c r="K39" s="44">
        <f>if(OR($F39=1, $F39=2),VLOOKUP($B39,Courts!$B$2:$J$50,7,false),0)</f>
        <v>0</v>
      </c>
      <c r="L39" s="48">
        <f t="shared" si="4"/>
        <v>0</v>
      </c>
      <c r="M39" s="44">
        <f>if(OR($F39=1, $F39=2),VLOOKUP($B39,Courts!$B$2:$J$50,9,false),0)</f>
        <v>0</v>
      </c>
      <c r="N39" s="37">
        <f t="shared" ref="N39:O39" si="46">C39+L39</f>
        <v>292</v>
      </c>
      <c r="O39" s="37">
        <f t="shared" si="46"/>
        <v>20</v>
      </c>
      <c r="P39" s="49" t="s">
        <v>57</v>
      </c>
      <c r="Q39" s="49" t="s">
        <v>57</v>
      </c>
      <c r="R39" s="49" t="s">
        <v>57</v>
      </c>
      <c r="S39" s="51">
        <f t="shared" si="6"/>
        <v>11</v>
      </c>
      <c r="T39" s="52">
        <f t="shared" si="7"/>
        <v>1</v>
      </c>
      <c r="U39" s="52"/>
      <c r="V39" s="51">
        <f t="shared" si="8"/>
        <v>13</v>
      </c>
      <c r="W39" s="52">
        <f t="shared" si="9"/>
        <v>2</v>
      </c>
      <c r="X39" s="35">
        <f t="shared" si="14"/>
        <v>35</v>
      </c>
      <c r="Y39" s="35" t="str">
        <f t="shared" si="10"/>
        <v>N</v>
      </c>
      <c r="Z39" s="19" t="str">
        <f t="shared" si="11"/>
        <v/>
      </c>
    </row>
    <row r="40">
      <c r="A40" s="35">
        <f t="shared" si="12"/>
        <v>36</v>
      </c>
      <c r="B40" s="36" t="s">
        <v>129</v>
      </c>
      <c r="C40" s="37">
        <v>291.0</v>
      </c>
      <c r="D40" s="37">
        <v>23.0</v>
      </c>
      <c r="E40" s="40">
        <f t="shared" si="2"/>
        <v>12.64705882</v>
      </c>
      <c r="F40" s="41">
        <f>if(isna(VLOOKUP(B40,Checkin!A:B,2,false)),0,VLOOKUP(B40,Checkin!A:B,2,false))</f>
        <v>0</v>
      </c>
      <c r="G40" s="44">
        <f>if(OR($F40=1, $F40=2),VLOOKUP($B40,Courts!$B$2:$K$50,10,false),0)</f>
        <v>0</v>
      </c>
      <c r="H40" s="45">
        <f t="shared" si="3"/>
        <v>0</v>
      </c>
      <c r="I40" s="44">
        <f>if(OR($F40=1, $F40=2),VLOOKUP($B40,Courts!$B$2:$J$50,5,false),0)</f>
        <v>0</v>
      </c>
      <c r="J40" s="44">
        <f>if(OR($F40=1, $F40=2),VLOOKUP($B40,Courts!$B$2:$J$50,6,false),0)</f>
        <v>0</v>
      </c>
      <c r="K40" s="44">
        <f>if(OR($F40=1, $F40=2),VLOOKUP($B40,Courts!$B$2:$J$50,7,false),0)</f>
        <v>0</v>
      </c>
      <c r="L40" s="48">
        <f t="shared" si="4"/>
        <v>0</v>
      </c>
      <c r="M40" s="44">
        <f>if(OR($F40=1, $F40=2),VLOOKUP($B40,Courts!$B$2:$J$50,9,false),0)</f>
        <v>0</v>
      </c>
      <c r="N40" s="37">
        <f t="shared" ref="N40:O40" si="47">C40+L40</f>
        <v>291</v>
      </c>
      <c r="O40" s="37">
        <f t="shared" si="47"/>
        <v>23</v>
      </c>
      <c r="P40" s="49" t="s">
        <v>57</v>
      </c>
      <c r="Q40" s="49" t="s">
        <v>57</v>
      </c>
      <c r="R40" s="49" t="s">
        <v>57</v>
      </c>
      <c r="S40" s="51">
        <f t="shared" si="6"/>
        <v>17</v>
      </c>
      <c r="T40" s="52">
        <f t="shared" si="7"/>
        <v>1</v>
      </c>
      <c r="U40" s="52"/>
      <c r="V40" s="51">
        <f t="shared" si="8"/>
        <v>7</v>
      </c>
      <c r="W40" s="52">
        <f t="shared" si="9"/>
        <v>0</v>
      </c>
      <c r="X40" s="35">
        <f t="shared" si="14"/>
        <v>36</v>
      </c>
      <c r="Y40" s="35" t="str">
        <f t="shared" si="10"/>
        <v>N</v>
      </c>
      <c r="Z40" s="19" t="str">
        <f t="shared" si="11"/>
        <v/>
      </c>
    </row>
    <row r="41">
      <c r="A41" s="35">
        <f t="shared" si="12"/>
        <v>37</v>
      </c>
      <c r="B41" s="36" t="s">
        <v>110</v>
      </c>
      <c r="C41" s="37">
        <v>291.0</v>
      </c>
      <c r="D41" s="37">
        <v>22.0</v>
      </c>
      <c r="E41" s="40">
        <f t="shared" si="2"/>
        <v>12.44444444</v>
      </c>
      <c r="F41" s="41">
        <f>if(isna(VLOOKUP(B41,Checkin!A:B,2,false)),0,VLOOKUP(B41,Checkin!A:B,2,false))</f>
        <v>0</v>
      </c>
      <c r="G41" s="44">
        <f>if(OR($F41=1, $F41=2),VLOOKUP($B41,Courts!$B$2:$K$50,10,false),0)</f>
        <v>0</v>
      </c>
      <c r="H41" s="45">
        <f t="shared" si="3"/>
        <v>0</v>
      </c>
      <c r="I41" s="44">
        <f>if(OR($F41=1, $F41=2),VLOOKUP($B41,Courts!$B$2:$J$50,5,false),0)</f>
        <v>0</v>
      </c>
      <c r="J41" s="44">
        <f>if(OR($F41=1, $F41=2),VLOOKUP($B41,Courts!$B$2:$J$50,6,false),0)</f>
        <v>0</v>
      </c>
      <c r="K41" s="44">
        <f>if(OR($F41=1, $F41=2),VLOOKUP($B41,Courts!$B$2:$J$50,7,false),0)</f>
        <v>0</v>
      </c>
      <c r="L41" s="48">
        <f t="shared" si="4"/>
        <v>0</v>
      </c>
      <c r="M41" s="44">
        <f>if(OR($F41=1, $F41=2),VLOOKUP($B41,Courts!$B$2:$J$50,9,false),0)</f>
        <v>0</v>
      </c>
      <c r="N41" s="37">
        <f t="shared" ref="N41:O41" si="48">C41+L41</f>
        <v>291</v>
      </c>
      <c r="O41" s="37">
        <f t="shared" si="48"/>
        <v>22</v>
      </c>
      <c r="P41" s="49" t="s">
        <v>57</v>
      </c>
      <c r="Q41" s="49" t="s">
        <v>57</v>
      </c>
      <c r="R41" s="49" t="s">
        <v>57</v>
      </c>
      <c r="S41" s="51">
        <f t="shared" si="6"/>
        <v>18</v>
      </c>
      <c r="T41" s="52">
        <f t="shared" si="7"/>
        <v>1</v>
      </c>
      <c r="U41" s="52"/>
      <c r="V41" s="51">
        <f t="shared" si="8"/>
        <v>6</v>
      </c>
      <c r="W41" s="52">
        <f t="shared" si="9"/>
        <v>1</v>
      </c>
      <c r="X41" s="35">
        <f t="shared" si="14"/>
        <v>37</v>
      </c>
      <c r="Y41" s="35" t="str">
        <f t="shared" si="10"/>
        <v>N</v>
      </c>
      <c r="Z41" s="19" t="str">
        <f t="shared" si="11"/>
        <v/>
      </c>
    </row>
    <row r="42">
      <c r="A42" s="35">
        <f t="shared" si="12"/>
        <v>38</v>
      </c>
      <c r="B42" s="36" t="s">
        <v>104</v>
      </c>
      <c r="C42" s="37">
        <v>290.0</v>
      </c>
      <c r="D42" s="37">
        <v>22.0</v>
      </c>
      <c r="E42" s="40">
        <f t="shared" si="2"/>
        <v>14.90909091</v>
      </c>
      <c r="F42" s="41">
        <f>if(isna(VLOOKUP(B42,Checkin!A:B,2,false)),0,VLOOKUP(B42,Checkin!A:B,2,false))</f>
        <v>0</v>
      </c>
      <c r="G42" s="44">
        <f>if(OR($F42=1, $F42=2),VLOOKUP($B42,Courts!$B$2:$K$50,10,false),0)</f>
        <v>0</v>
      </c>
      <c r="H42" s="45">
        <f t="shared" si="3"/>
        <v>0</v>
      </c>
      <c r="I42" s="44">
        <f>if(OR($F42=1, $F42=2),VLOOKUP($B42,Courts!$B$2:$J$50,5,false),0)</f>
        <v>0</v>
      </c>
      <c r="J42" s="44">
        <f>if(OR($F42=1, $F42=2),VLOOKUP($B42,Courts!$B$2:$J$50,6,false),0)</f>
        <v>0</v>
      </c>
      <c r="K42" s="44">
        <f>if(OR($F42=1, $F42=2),VLOOKUP($B42,Courts!$B$2:$J$50,7,false),0)</f>
        <v>0</v>
      </c>
      <c r="L42" s="48">
        <f t="shared" si="4"/>
        <v>0</v>
      </c>
      <c r="M42" s="44">
        <f>if(OR($F42=1, $F42=2),VLOOKUP($B42,Courts!$B$2:$J$50,9,false),0)</f>
        <v>0</v>
      </c>
      <c r="N42" s="37">
        <f t="shared" ref="N42:O42" si="49">C42+L42</f>
        <v>290</v>
      </c>
      <c r="O42" s="37">
        <f t="shared" si="49"/>
        <v>22</v>
      </c>
      <c r="P42" s="49" t="s">
        <v>57</v>
      </c>
      <c r="Q42" s="49" t="s">
        <v>57</v>
      </c>
      <c r="R42" s="49" t="s">
        <v>57</v>
      </c>
      <c r="S42" s="51">
        <f t="shared" si="6"/>
        <v>11</v>
      </c>
      <c r="T42" s="52">
        <f t="shared" si="7"/>
        <v>0</v>
      </c>
      <c r="U42" s="52"/>
      <c r="V42" s="51">
        <f t="shared" si="8"/>
        <v>14</v>
      </c>
      <c r="W42" s="52">
        <f t="shared" si="9"/>
        <v>-3</v>
      </c>
      <c r="X42" s="35">
        <f t="shared" si="14"/>
        <v>38</v>
      </c>
      <c r="Y42" s="35" t="str">
        <f t="shared" si="10"/>
        <v>N</v>
      </c>
      <c r="Z42" s="19" t="str">
        <f t="shared" si="11"/>
        <v/>
      </c>
    </row>
    <row r="43">
      <c r="A43" s="35">
        <f t="shared" si="12"/>
        <v>39</v>
      </c>
      <c r="B43" s="36" t="s">
        <v>147</v>
      </c>
      <c r="C43" s="37">
        <v>290.0</v>
      </c>
      <c r="D43" s="37">
        <v>18.0</v>
      </c>
      <c r="E43" s="40">
        <f t="shared" si="2"/>
        <v>14.7</v>
      </c>
      <c r="F43" s="41">
        <f>if(isna(VLOOKUP(B43,Checkin!A:B,2,false)),0,VLOOKUP(B43,Checkin!A:B,2,false))</f>
        <v>0</v>
      </c>
      <c r="G43" s="44">
        <f>if(OR($F43=1, $F43=2),VLOOKUP($B43,Courts!$B$2:$K$50,10,false),0)</f>
        <v>0</v>
      </c>
      <c r="H43" s="45">
        <f t="shared" si="3"/>
        <v>0</v>
      </c>
      <c r="I43" s="44">
        <f>if(OR($F43=1, $F43=2),VLOOKUP($B43,Courts!$B$2:$J$50,5,false),0)</f>
        <v>0</v>
      </c>
      <c r="J43" s="44">
        <f>if(OR($F43=1, $F43=2),VLOOKUP($B43,Courts!$B$2:$J$50,6,false),0)</f>
        <v>0</v>
      </c>
      <c r="K43" s="44">
        <f>if(OR($F43=1, $F43=2),VLOOKUP($B43,Courts!$B$2:$J$50,7,false),0)</f>
        <v>0</v>
      </c>
      <c r="L43" s="48">
        <f t="shared" si="4"/>
        <v>0</v>
      </c>
      <c r="M43" s="44">
        <f>if(OR($F43=1, $F43=2),VLOOKUP($B43,Courts!$B$2:$J$50,9,false),0)</f>
        <v>0</v>
      </c>
      <c r="N43" s="37">
        <f t="shared" ref="N43:O43" si="50">C43+L43</f>
        <v>290</v>
      </c>
      <c r="O43" s="37">
        <f t="shared" si="50"/>
        <v>18</v>
      </c>
      <c r="P43" s="49" t="s">
        <v>57</v>
      </c>
      <c r="Q43" s="49" t="s">
        <v>57</v>
      </c>
      <c r="R43" s="49" t="s">
        <v>57</v>
      </c>
      <c r="S43" s="51">
        <f t="shared" si="6"/>
        <v>10</v>
      </c>
      <c r="T43" s="52">
        <f t="shared" si="7"/>
        <v>2</v>
      </c>
      <c r="U43" s="52"/>
      <c r="V43" s="51">
        <f t="shared" si="8"/>
        <v>13</v>
      </c>
      <c r="W43" s="52">
        <f t="shared" si="9"/>
        <v>5</v>
      </c>
      <c r="X43" s="35">
        <f t="shared" si="14"/>
        <v>39</v>
      </c>
      <c r="Y43" s="35" t="str">
        <f t="shared" si="10"/>
        <v>N</v>
      </c>
      <c r="Z43" s="19" t="str">
        <f t="shared" si="11"/>
        <v/>
      </c>
    </row>
    <row r="44">
      <c r="A44" s="35">
        <f t="shared" si="12"/>
        <v>40</v>
      </c>
      <c r="B44" s="36" t="s">
        <v>138</v>
      </c>
      <c r="C44" s="37">
        <v>288.0</v>
      </c>
      <c r="D44" s="37">
        <v>21.0</v>
      </c>
      <c r="E44" s="40">
        <f t="shared" si="2"/>
        <v>12.9375</v>
      </c>
      <c r="F44" s="41">
        <f>if(isna(VLOOKUP(B44,Checkin!A:B,2,false)),0,VLOOKUP(B44,Checkin!A:B,2,false))</f>
        <v>0</v>
      </c>
      <c r="G44" s="44">
        <f>if(OR($F44=1, $F44=2),VLOOKUP($B44,Courts!$B$2:$K$50,10,false),0)</f>
        <v>0</v>
      </c>
      <c r="H44" s="45">
        <f t="shared" si="3"/>
        <v>0</v>
      </c>
      <c r="I44" s="44">
        <f>if(OR($F44=1, $F44=2),VLOOKUP($B44,Courts!$B$2:$J$50,5,false),0)</f>
        <v>0</v>
      </c>
      <c r="J44" s="44">
        <f>if(OR($F44=1, $F44=2),VLOOKUP($B44,Courts!$B$2:$J$50,6,false),0)</f>
        <v>0</v>
      </c>
      <c r="K44" s="44">
        <f>if(OR($F44=1, $F44=2),VLOOKUP($B44,Courts!$B$2:$J$50,7,false),0)</f>
        <v>0</v>
      </c>
      <c r="L44" s="48">
        <f t="shared" si="4"/>
        <v>0</v>
      </c>
      <c r="M44" s="44">
        <f>if(OR($F44=1, $F44=2),VLOOKUP($B44,Courts!$B$2:$J$50,9,false),0)</f>
        <v>0</v>
      </c>
      <c r="N44" s="37">
        <f t="shared" ref="N44:O44" si="51">C44+L44</f>
        <v>288</v>
      </c>
      <c r="O44" s="37">
        <f t="shared" si="51"/>
        <v>21</v>
      </c>
      <c r="P44" s="49" t="s">
        <v>57</v>
      </c>
      <c r="Q44" s="49" t="s">
        <v>57</v>
      </c>
      <c r="R44" s="49" t="s">
        <v>57</v>
      </c>
      <c r="S44" s="51">
        <f t="shared" si="6"/>
        <v>16</v>
      </c>
      <c r="T44" s="52">
        <f t="shared" si="7"/>
        <v>0</v>
      </c>
      <c r="U44" s="52"/>
      <c r="V44" s="51">
        <f t="shared" si="8"/>
        <v>9</v>
      </c>
      <c r="W44" s="52">
        <f t="shared" si="9"/>
        <v>-1</v>
      </c>
      <c r="X44" s="35">
        <f t="shared" si="14"/>
        <v>40</v>
      </c>
      <c r="Y44" s="35" t="str">
        <f t="shared" si="10"/>
        <v>N</v>
      </c>
      <c r="Z44" s="19" t="str">
        <f t="shared" si="11"/>
        <v/>
      </c>
    </row>
    <row r="45">
      <c r="A45" s="35">
        <f t="shared" si="12"/>
        <v>41</v>
      </c>
      <c r="B45" s="36" t="s">
        <v>116</v>
      </c>
      <c r="C45" s="37">
        <v>284.0</v>
      </c>
      <c r="D45" s="37">
        <v>20.0</v>
      </c>
      <c r="E45" s="40">
        <f t="shared" si="2"/>
        <v>11.36</v>
      </c>
      <c r="F45" s="41">
        <f>if(isna(VLOOKUP(B45,Checkin!A:B,2,false)),0,VLOOKUP(B45,Checkin!A:B,2,false))</f>
        <v>0</v>
      </c>
      <c r="G45" s="44">
        <f>if(OR($F45=1, $F45=2),VLOOKUP($B45,Courts!$B$2:$K$50,10,false),0)</f>
        <v>0</v>
      </c>
      <c r="H45" s="45">
        <f t="shared" si="3"/>
        <v>0</v>
      </c>
      <c r="I45" s="44">
        <f>if(OR($F45=1, $F45=2),VLOOKUP($B45,Courts!$B$2:$J$50,5,false),0)</f>
        <v>0</v>
      </c>
      <c r="J45" s="44">
        <f>if(OR($F45=1, $F45=2),VLOOKUP($B45,Courts!$B$2:$J$50,6,false),0)</f>
        <v>0</v>
      </c>
      <c r="K45" s="44">
        <f>if(OR($F45=1, $F45=2),VLOOKUP($B45,Courts!$B$2:$J$50,7,false),0)</f>
        <v>0</v>
      </c>
      <c r="L45" s="48">
        <f t="shared" si="4"/>
        <v>0</v>
      </c>
      <c r="M45" s="44">
        <f>if(OR($F45=1, $F45=2),VLOOKUP($B45,Courts!$B$2:$J$50,9,false),0)</f>
        <v>0</v>
      </c>
      <c r="N45" s="37">
        <f t="shared" ref="N45:O45" si="52">C45+L45</f>
        <v>284</v>
      </c>
      <c r="O45" s="37">
        <f t="shared" si="52"/>
        <v>20</v>
      </c>
      <c r="P45" s="49" t="s">
        <v>57</v>
      </c>
      <c r="Q45" s="49" t="s">
        <v>57</v>
      </c>
      <c r="R45" s="49" t="s">
        <v>57</v>
      </c>
      <c r="S45" s="51">
        <f t="shared" si="6"/>
        <v>25</v>
      </c>
      <c r="T45" s="52">
        <f t="shared" si="7"/>
        <v>0</v>
      </c>
      <c r="U45" s="52"/>
      <c r="V45" s="51">
        <f t="shared" si="8"/>
        <v>0</v>
      </c>
      <c r="W45" s="52">
        <f t="shared" si="9"/>
        <v>11</v>
      </c>
      <c r="X45" s="35">
        <f t="shared" si="14"/>
        <v>41</v>
      </c>
      <c r="Y45" s="35" t="str">
        <f t="shared" si="10"/>
        <v>Y</v>
      </c>
      <c r="Z45" s="19" t="str">
        <f t="shared" si="11"/>
        <v/>
      </c>
    </row>
    <row r="46">
      <c r="A46" s="35">
        <f t="shared" si="12"/>
        <v>42</v>
      </c>
      <c r="B46" s="36" t="s">
        <v>54</v>
      </c>
      <c r="C46" s="37">
        <v>284.0</v>
      </c>
      <c r="D46" s="37">
        <v>19.0</v>
      </c>
      <c r="E46" s="40">
        <f t="shared" si="2"/>
        <v>16.375</v>
      </c>
      <c r="F46" s="41">
        <f>if(isna(VLOOKUP(B46,Checkin!A:B,2,false)),0,VLOOKUP(B46,Checkin!A:B,2,false))</f>
        <v>0</v>
      </c>
      <c r="G46" s="44">
        <f>if(OR($F46=1, $F46=2),VLOOKUP($B46,Courts!$B$2:$K$50,10,false),0)</f>
        <v>0</v>
      </c>
      <c r="H46" s="45">
        <f t="shared" si="3"/>
        <v>0</v>
      </c>
      <c r="I46" s="44">
        <f>if(OR($F46=1, $F46=2),VLOOKUP($B46,Courts!$B$2:$J$50,5,false),0)</f>
        <v>0</v>
      </c>
      <c r="J46" s="44">
        <f>if(OR($F46=1, $F46=2),VLOOKUP($B46,Courts!$B$2:$J$50,6,false),0)</f>
        <v>0</v>
      </c>
      <c r="K46" s="44">
        <f>if(OR($F46=1, $F46=2),VLOOKUP($B46,Courts!$B$2:$J$50,7,false),0)</f>
        <v>0</v>
      </c>
      <c r="L46" s="48">
        <f t="shared" si="4"/>
        <v>0</v>
      </c>
      <c r="M46" s="44">
        <f>if(OR($F46=1, $F46=2),VLOOKUP($B46,Courts!$B$2:$J$50,9,false),0)</f>
        <v>0</v>
      </c>
      <c r="N46" s="37">
        <f t="shared" ref="N46:O46" si="53">C46+L46</f>
        <v>284</v>
      </c>
      <c r="O46" s="37">
        <f t="shared" si="53"/>
        <v>19</v>
      </c>
      <c r="P46" s="49" t="s">
        <v>57</v>
      </c>
      <c r="Q46" s="49" t="s">
        <v>57</v>
      </c>
      <c r="R46" s="49" t="s">
        <v>57</v>
      </c>
      <c r="S46" s="51">
        <f t="shared" si="6"/>
        <v>8</v>
      </c>
      <c r="T46" s="52">
        <f t="shared" si="7"/>
        <v>0</v>
      </c>
      <c r="U46" s="52"/>
      <c r="V46" s="51">
        <f t="shared" si="8"/>
        <v>17</v>
      </c>
      <c r="W46" s="52">
        <f t="shared" si="9"/>
        <v>-2</v>
      </c>
      <c r="X46" s="35">
        <f t="shared" si="14"/>
        <v>42</v>
      </c>
      <c r="Y46" s="35" t="str">
        <f t="shared" si="10"/>
        <v>N</v>
      </c>
      <c r="Z46" s="19" t="str">
        <f t="shared" si="11"/>
        <v/>
      </c>
    </row>
    <row r="47">
      <c r="A47" s="35">
        <f t="shared" si="12"/>
        <v>43</v>
      </c>
      <c r="B47" s="36" t="s">
        <v>90</v>
      </c>
      <c r="C47" s="37">
        <v>284.0</v>
      </c>
      <c r="D47" s="37">
        <v>17.0</v>
      </c>
      <c r="E47" s="40">
        <f t="shared" si="2"/>
        <v>16.375</v>
      </c>
      <c r="F47" s="41">
        <f>if(isna(VLOOKUP(B47,Checkin!A:B,2,false)),0,VLOOKUP(B47,Checkin!A:B,2,false))</f>
        <v>0</v>
      </c>
      <c r="G47" s="44">
        <f>if(OR($F47=1, $F47=2),VLOOKUP($B47,Courts!$B$2:$K$50,10,false),0)</f>
        <v>0</v>
      </c>
      <c r="H47" s="45">
        <f t="shared" si="3"/>
        <v>0</v>
      </c>
      <c r="I47" s="44">
        <f>if(OR($F47=1, $F47=2),VLOOKUP($B47,Courts!$B$2:$J$50,5,false),0)</f>
        <v>0</v>
      </c>
      <c r="J47" s="44">
        <f>if(OR($F47=1, $F47=2),VLOOKUP($B47,Courts!$B$2:$J$50,6,false),0)</f>
        <v>0</v>
      </c>
      <c r="K47" s="44">
        <f>if(OR($F47=1, $F47=2),VLOOKUP($B47,Courts!$B$2:$J$50,7,false),0)</f>
        <v>0</v>
      </c>
      <c r="L47" s="48">
        <f t="shared" si="4"/>
        <v>0</v>
      </c>
      <c r="M47" s="44">
        <f>if(OR($F47=1, $F47=2),VLOOKUP($B47,Courts!$B$2:$J$50,9,false),0)</f>
        <v>0</v>
      </c>
      <c r="N47" s="37">
        <f t="shared" ref="N47:O47" si="54">C47+L47</f>
        <v>284</v>
      </c>
      <c r="O47" s="37">
        <f t="shared" si="54"/>
        <v>17</v>
      </c>
      <c r="P47" s="49" t="s">
        <v>57</v>
      </c>
      <c r="Q47" s="49" t="s">
        <v>57</v>
      </c>
      <c r="R47" s="49" t="s">
        <v>57</v>
      </c>
      <c r="S47" s="51">
        <f t="shared" si="6"/>
        <v>8</v>
      </c>
      <c r="T47" s="52">
        <f t="shared" si="7"/>
        <v>0</v>
      </c>
      <c r="U47" s="52"/>
      <c r="V47" s="51">
        <f t="shared" si="8"/>
        <v>17</v>
      </c>
      <c r="W47" s="52">
        <f t="shared" si="9"/>
        <v>-2</v>
      </c>
      <c r="X47" s="35">
        <f t="shared" si="14"/>
        <v>43</v>
      </c>
      <c r="Y47" s="35" t="str">
        <f t="shared" si="10"/>
        <v>N</v>
      </c>
      <c r="Z47" s="19" t="str">
        <f t="shared" si="11"/>
        <v/>
      </c>
    </row>
    <row r="48">
      <c r="A48" s="35">
        <f t="shared" si="12"/>
        <v>44</v>
      </c>
      <c r="B48" s="36" t="s">
        <v>118</v>
      </c>
      <c r="C48" s="37">
        <v>283.0</v>
      </c>
      <c r="D48" s="37">
        <v>21.0</v>
      </c>
      <c r="E48" s="40">
        <f t="shared" si="2"/>
        <v>11.63636364</v>
      </c>
      <c r="F48" s="41">
        <f>if(isna(VLOOKUP(B48,Checkin!A:B,2,false)),0,VLOOKUP(B48,Checkin!A:B,2,false))</f>
        <v>0</v>
      </c>
      <c r="G48" s="44">
        <f>if(OR($F48=1, $F48=2),VLOOKUP($B48,Courts!$B$2:$K$50,10,false),0)</f>
        <v>0</v>
      </c>
      <c r="H48" s="45">
        <f t="shared" si="3"/>
        <v>0</v>
      </c>
      <c r="I48" s="44">
        <f>if(OR($F48=1, $F48=2),VLOOKUP($B48,Courts!$B$2:$J$50,5,false),0)</f>
        <v>0</v>
      </c>
      <c r="J48" s="44">
        <f>if(OR($F48=1, $F48=2),VLOOKUP($B48,Courts!$B$2:$J$50,6,false),0)</f>
        <v>0</v>
      </c>
      <c r="K48" s="44">
        <f>if(OR($F48=1, $F48=2),VLOOKUP($B48,Courts!$B$2:$J$50,7,false),0)</f>
        <v>0</v>
      </c>
      <c r="L48" s="48">
        <f t="shared" si="4"/>
        <v>0</v>
      </c>
      <c r="M48" s="44">
        <f>if(OR($F48=1, $F48=2),VLOOKUP($B48,Courts!$B$2:$J$50,9,false),0)</f>
        <v>0</v>
      </c>
      <c r="N48" s="37">
        <f t="shared" ref="N48:O48" si="55">C48+L48</f>
        <v>283</v>
      </c>
      <c r="O48" s="37">
        <f t="shared" si="55"/>
        <v>21</v>
      </c>
      <c r="P48" s="49" t="s">
        <v>57</v>
      </c>
      <c r="Q48" s="49" t="s">
        <v>57</v>
      </c>
      <c r="R48" s="49" t="s">
        <v>57</v>
      </c>
      <c r="S48" s="51">
        <f t="shared" si="6"/>
        <v>22</v>
      </c>
      <c r="T48" s="52">
        <f t="shared" si="7"/>
        <v>0</v>
      </c>
      <c r="U48" s="52"/>
      <c r="V48" s="51">
        <f t="shared" si="8"/>
        <v>3</v>
      </c>
      <c r="W48" s="52">
        <f t="shared" si="9"/>
        <v>-2</v>
      </c>
      <c r="X48" s="35">
        <f t="shared" si="14"/>
        <v>44</v>
      </c>
      <c r="Y48" s="35" t="str">
        <f t="shared" si="10"/>
        <v>N</v>
      </c>
      <c r="Z48" s="19" t="str">
        <f t="shared" si="11"/>
        <v/>
      </c>
    </row>
    <row r="49">
      <c r="A49" s="35">
        <f t="shared" si="12"/>
        <v>45</v>
      </c>
      <c r="B49" s="36" t="s">
        <v>132</v>
      </c>
      <c r="C49" s="37">
        <v>282.0</v>
      </c>
      <c r="D49" s="37">
        <v>18.0</v>
      </c>
      <c r="E49" s="40">
        <f t="shared" si="2"/>
        <v>16.125</v>
      </c>
      <c r="F49" s="41">
        <f>if(isna(VLOOKUP(B49,Checkin!A:B,2,false)),0,VLOOKUP(B49,Checkin!A:B,2,false))</f>
        <v>0</v>
      </c>
      <c r="G49" s="44">
        <f>if(OR($F49=1, $F49=2),VLOOKUP($B49,Courts!$B$2:$K$50,10,false),0)</f>
        <v>0</v>
      </c>
      <c r="H49" s="45">
        <f t="shared" si="3"/>
        <v>0</v>
      </c>
      <c r="I49" s="44">
        <f>if(OR($F49=1, $F49=2),VLOOKUP($B49,Courts!$B$2:$J$50,5,false),0)</f>
        <v>0</v>
      </c>
      <c r="J49" s="44">
        <f>if(OR($F49=1, $F49=2),VLOOKUP($B49,Courts!$B$2:$J$50,6,false),0)</f>
        <v>0</v>
      </c>
      <c r="K49" s="44">
        <f>if(OR($F49=1, $F49=2),VLOOKUP($B49,Courts!$B$2:$J$50,7,false),0)</f>
        <v>0</v>
      </c>
      <c r="L49" s="48">
        <f t="shared" si="4"/>
        <v>0</v>
      </c>
      <c r="M49" s="44">
        <f>if(OR($F49=1, $F49=2),VLOOKUP($B49,Courts!$B$2:$J$50,9,false),0)</f>
        <v>0</v>
      </c>
      <c r="N49" s="37">
        <f t="shared" ref="N49:O49" si="56">C49+L49</f>
        <v>282</v>
      </c>
      <c r="O49" s="37">
        <f t="shared" si="56"/>
        <v>18</v>
      </c>
      <c r="P49" s="49" t="s">
        <v>57</v>
      </c>
      <c r="Q49" s="49" t="s">
        <v>57</v>
      </c>
      <c r="R49" s="49" t="s">
        <v>155</v>
      </c>
      <c r="S49" s="51">
        <f t="shared" si="6"/>
        <v>8</v>
      </c>
      <c r="T49" s="52">
        <f t="shared" si="7"/>
        <v>0</v>
      </c>
      <c r="U49" s="52"/>
      <c r="V49" s="51">
        <f t="shared" si="8"/>
        <v>17</v>
      </c>
      <c r="W49" s="52">
        <f t="shared" si="9"/>
        <v>-2</v>
      </c>
      <c r="X49" s="35">
        <f t="shared" si="14"/>
        <v>45</v>
      </c>
      <c r="Y49" s="35" t="str">
        <f t="shared" si="10"/>
        <v>N</v>
      </c>
      <c r="Z49" s="19" t="str">
        <f t="shared" si="11"/>
        <v/>
      </c>
    </row>
    <row r="50">
      <c r="A50" s="35">
        <f t="shared" si="12"/>
        <v>46</v>
      </c>
      <c r="B50" s="36" t="s">
        <v>134</v>
      </c>
      <c r="C50" s="37">
        <v>281.0</v>
      </c>
      <c r="D50" s="37">
        <v>21.0</v>
      </c>
      <c r="E50" s="40">
        <f t="shared" si="2"/>
        <v>11.8</v>
      </c>
      <c r="F50" s="41">
        <f>if(isna(VLOOKUP(B50,Checkin!A:B,2,false)),0,VLOOKUP(B50,Checkin!A:B,2,false))</f>
        <v>0</v>
      </c>
      <c r="G50" s="44">
        <f>if(OR($F50=1, $F50=2),VLOOKUP($B50,Courts!$B$2:$K$50,10,false),0)</f>
        <v>0</v>
      </c>
      <c r="H50" s="45">
        <f t="shared" si="3"/>
        <v>0</v>
      </c>
      <c r="I50" s="44">
        <f>if(OR($F50=1, $F50=2),VLOOKUP($B50,Courts!$B$2:$J$50,5,false),0)</f>
        <v>0</v>
      </c>
      <c r="J50" s="44">
        <f>if(OR($F50=1, $F50=2),VLOOKUP($B50,Courts!$B$2:$J$50,6,false),0)</f>
        <v>0</v>
      </c>
      <c r="K50" s="44">
        <f>if(OR($F50=1, $F50=2),VLOOKUP($B50,Courts!$B$2:$J$50,7,false),0)</f>
        <v>0</v>
      </c>
      <c r="L50" s="48">
        <f t="shared" si="4"/>
        <v>0</v>
      </c>
      <c r="M50" s="44">
        <f>if(OR($F50=1, $F50=2),VLOOKUP($B50,Courts!$B$2:$J$50,9,false),0)</f>
        <v>0</v>
      </c>
      <c r="N50" s="37">
        <f t="shared" ref="N50:O50" si="57">C50+L50</f>
        <v>281</v>
      </c>
      <c r="O50" s="37">
        <f t="shared" si="57"/>
        <v>21</v>
      </c>
      <c r="P50" s="49" t="s">
        <v>57</v>
      </c>
      <c r="Q50" s="49" t="s">
        <v>57</v>
      </c>
      <c r="R50" s="49" t="s">
        <v>57</v>
      </c>
      <c r="S50" s="51">
        <f t="shared" si="6"/>
        <v>20</v>
      </c>
      <c r="T50" s="52">
        <f t="shared" si="7"/>
        <v>0</v>
      </c>
      <c r="U50" s="52"/>
      <c r="V50" s="51">
        <f t="shared" si="8"/>
        <v>5</v>
      </c>
      <c r="W50" s="52">
        <f t="shared" si="9"/>
        <v>1</v>
      </c>
      <c r="X50" s="35">
        <f t="shared" si="14"/>
        <v>46</v>
      </c>
      <c r="Y50" s="35" t="str">
        <f t="shared" si="10"/>
        <v>N</v>
      </c>
      <c r="Z50" s="19" t="str">
        <f t="shared" si="11"/>
        <v/>
      </c>
    </row>
    <row r="51">
      <c r="A51" s="35">
        <f t="shared" si="12"/>
        <v>47</v>
      </c>
      <c r="B51" s="36" t="s">
        <v>152</v>
      </c>
      <c r="C51" s="37">
        <v>280.0</v>
      </c>
      <c r="D51" s="37">
        <v>25.0</v>
      </c>
      <c r="E51" s="40">
        <f t="shared" si="2"/>
        <v>12.23529412</v>
      </c>
      <c r="F51" s="41">
        <f>if(isna(VLOOKUP(B51,Checkin!A:B,2,false)),0,VLOOKUP(B51,Checkin!A:B,2,false))</f>
        <v>0</v>
      </c>
      <c r="G51" s="44">
        <f>if(OR($F51=1, $F51=2),VLOOKUP($B51,Courts!$B$2:$K$50,10,false),0)</f>
        <v>0</v>
      </c>
      <c r="H51" s="45">
        <f t="shared" si="3"/>
        <v>0</v>
      </c>
      <c r="I51" s="44">
        <f>if(OR($F51=1, $F51=2),VLOOKUP($B51,Courts!$B$2:$J$50,5,false),0)</f>
        <v>0</v>
      </c>
      <c r="J51" s="44">
        <f>if(OR($F51=1, $F51=2),VLOOKUP($B51,Courts!$B$2:$J$50,6,false),0)</f>
        <v>0</v>
      </c>
      <c r="K51" s="44">
        <f>if(OR($F51=1, $F51=2),VLOOKUP($B51,Courts!$B$2:$J$50,7,false),0)</f>
        <v>0</v>
      </c>
      <c r="L51" s="48">
        <f t="shared" si="4"/>
        <v>0</v>
      </c>
      <c r="M51" s="44">
        <f>if(OR($F51=1, $F51=2),VLOOKUP($B51,Courts!$B$2:$J$50,9,false),0)</f>
        <v>0</v>
      </c>
      <c r="N51" s="37">
        <f t="shared" ref="N51:O51" si="58">C51+L51</f>
        <v>280</v>
      </c>
      <c r="O51" s="37">
        <f t="shared" si="58"/>
        <v>25</v>
      </c>
      <c r="P51" s="49" t="s">
        <v>57</v>
      </c>
      <c r="Q51" s="49" t="s">
        <v>57</v>
      </c>
      <c r="R51" s="49" t="s">
        <v>57</v>
      </c>
      <c r="S51" s="51">
        <f t="shared" si="6"/>
        <v>17</v>
      </c>
      <c r="T51" s="52">
        <f t="shared" si="7"/>
        <v>0</v>
      </c>
      <c r="U51" s="52"/>
      <c r="V51" s="51">
        <f t="shared" si="8"/>
        <v>8</v>
      </c>
      <c r="W51" s="52">
        <f t="shared" si="9"/>
        <v>-1</v>
      </c>
      <c r="X51" s="35">
        <f t="shared" si="14"/>
        <v>47</v>
      </c>
      <c r="Y51" s="35" t="str">
        <f t="shared" si="10"/>
        <v>N</v>
      </c>
      <c r="Z51" s="19" t="str">
        <f t="shared" si="11"/>
        <v/>
      </c>
    </row>
    <row r="52">
      <c r="A52" s="35">
        <f t="shared" si="12"/>
        <v>48</v>
      </c>
      <c r="B52" s="36" t="s">
        <v>114</v>
      </c>
      <c r="C52" s="37">
        <v>280.0</v>
      </c>
      <c r="D52" s="37">
        <v>20.0</v>
      </c>
      <c r="E52" s="40">
        <f t="shared" si="2"/>
        <v>15.11111111</v>
      </c>
      <c r="F52" s="41">
        <f>if(isna(VLOOKUP(B52,Checkin!A:B,2,false)),0,VLOOKUP(B52,Checkin!A:B,2,false))</f>
        <v>0</v>
      </c>
      <c r="G52" s="44">
        <f>if(OR($F52=1, $F52=2),VLOOKUP($B52,Courts!$B$2:$K$50,10,false),0)</f>
        <v>0</v>
      </c>
      <c r="H52" s="45">
        <f t="shared" si="3"/>
        <v>0</v>
      </c>
      <c r="I52" s="44">
        <f>if(OR($F52=1, $F52=2),VLOOKUP($B52,Courts!$B$2:$J$50,5,false),0)</f>
        <v>0</v>
      </c>
      <c r="J52" s="44">
        <f>if(OR($F52=1, $F52=2),VLOOKUP($B52,Courts!$B$2:$J$50,6,false),0)</f>
        <v>0</v>
      </c>
      <c r="K52" s="44">
        <f>if(OR($F52=1, $F52=2),VLOOKUP($B52,Courts!$B$2:$J$50,7,false),0)</f>
        <v>0</v>
      </c>
      <c r="L52" s="48">
        <f t="shared" si="4"/>
        <v>0</v>
      </c>
      <c r="M52" s="44">
        <f>if(OR($F52=1, $F52=2),VLOOKUP($B52,Courts!$B$2:$J$50,9,false),0)</f>
        <v>0</v>
      </c>
      <c r="N52" s="37">
        <f t="shared" ref="N52:O52" si="59">C52+L52</f>
        <v>280</v>
      </c>
      <c r="O52" s="37">
        <f t="shared" si="59"/>
        <v>20</v>
      </c>
      <c r="P52" s="49" t="s">
        <v>57</v>
      </c>
      <c r="Q52" s="49" t="s">
        <v>57</v>
      </c>
      <c r="R52" s="49" t="s">
        <v>57</v>
      </c>
      <c r="S52" s="51">
        <f t="shared" si="6"/>
        <v>9</v>
      </c>
      <c r="T52" s="52">
        <f t="shared" si="7"/>
        <v>0</v>
      </c>
      <c r="U52" s="52"/>
      <c r="V52" s="51">
        <f t="shared" si="8"/>
        <v>16</v>
      </c>
      <c r="W52" s="52">
        <f t="shared" si="9"/>
        <v>-3</v>
      </c>
      <c r="X52" s="35">
        <f t="shared" si="14"/>
        <v>48</v>
      </c>
      <c r="Y52" s="35" t="str">
        <f t="shared" si="10"/>
        <v>N</v>
      </c>
      <c r="Z52" s="19" t="str">
        <f t="shared" si="11"/>
        <v/>
      </c>
    </row>
    <row r="53">
      <c r="A53" s="35">
        <f t="shared" si="12"/>
        <v>49</v>
      </c>
      <c r="B53" s="36" t="s">
        <v>140</v>
      </c>
      <c r="C53" s="37">
        <v>277.0</v>
      </c>
      <c r="D53" s="37">
        <v>20.0</v>
      </c>
      <c r="E53" s="40">
        <f t="shared" si="2"/>
        <v>11.88888889</v>
      </c>
      <c r="F53" s="41">
        <f>if(isna(VLOOKUP(B53,Checkin!A:B,2,false)),0,VLOOKUP(B53,Checkin!A:B,2,false))</f>
        <v>0</v>
      </c>
      <c r="G53" s="44">
        <f>if(OR($F53=1, $F53=2),VLOOKUP($B53,Courts!$B$2:$K$50,10,false),0)</f>
        <v>0</v>
      </c>
      <c r="H53" s="45">
        <f t="shared" si="3"/>
        <v>0</v>
      </c>
      <c r="I53" s="44">
        <f>if(OR($F53=1, $F53=2),VLOOKUP($B53,Courts!$B$2:$J$50,5,false),0)</f>
        <v>0</v>
      </c>
      <c r="J53" s="44">
        <f>if(OR($F53=1, $F53=2),VLOOKUP($B53,Courts!$B$2:$J$50,6,false),0)</f>
        <v>0</v>
      </c>
      <c r="K53" s="44">
        <f>if(OR($F53=1, $F53=2),VLOOKUP($B53,Courts!$B$2:$J$50,7,false),0)</f>
        <v>0</v>
      </c>
      <c r="L53" s="48">
        <f t="shared" si="4"/>
        <v>0</v>
      </c>
      <c r="M53" s="44">
        <f>if(OR($F53=1, $F53=2),VLOOKUP($B53,Courts!$B$2:$J$50,9,false),0)</f>
        <v>0</v>
      </c>
      <c r="N53" s="37">
        <f t="shared" ref="N53:O53" si="60">C53+L53</f>
        <v>277</v>
      </c>
      <c r="O53" s="37">
        <f t="shared" si="60"/>
        <v>20</v>
      </c>
      <c r="P53" s="49" t="s">
        <v>57</v>
      </c>
      <c r="Q53" s="49" t="s">
        <v>57</v>
      </c>
      <c r="R53" s="49" t="s">
        <v>57</v>
      </c>
      <c r="S53" s="51">
        <f t="shared" si="6"/>
        <v>18</v>
      </c>
      <c r="T53" s="52">
        <f t="shared" si="7"/>
        <v>0</v>
      </c>
      <c r="U53" s="52"/>
      <c r="V53" s="51">
        <f t="shared" si="8"/>
        <v>7</v>
      </c>
      <c r="W53" s="52">
        <f t="shared" si="9"/>
        <v>-1</v>
      </c>
      <c r="X53" s="35">
        <f t="shared" si="14"/>
        <v>49</v>
      </c>
      <c r="Y53" s="35" t="str">
        <f t="shared" si="10"/>
        <v>N</v>
      </c>
      <c r="Z53" s="19" t="str">
        <f t="shared" si="11"/>
        <v/>
      </c>
    </row>
    <row r="54">
      <c r="A54" s="35">
        <f t="shared" si="12"/>
        <v>50</v>
      </c>
      <c r="B54" s="36" t="s">
        <v>109</v>
      </c>
      <c r="C54" s="37">
        <v>276.0</v>
      </c>
      <c r="D54" s="37">
        <v>17.0</v>
      </c>
      <c r="E54" s="40">
        <f t="shared" si="2"/>
        <v>13.63636364</v>
      </c>
      <c r="F54" s="41">
        <f>if(isna(VLOOKUP(B54,Checkin!A:B,2,false)),0,VLOOKUP(B54,Checkin!A:B,2,false))</f>
        <v>0</v>
      </c>
      <c r="G54" s="44">
        <f>if(OR($F54=1, $F54=2),VLOOKUP($B54,Courts!$B$2:$K$50,10,false),0)</f>
        <v>0</v>
      </c>
      <c r="H54" s="45">
        <f t="shared" si="3"/>
        <v>0</v>
      </c>
      <c r="I54" s="44">
        <f>if(OR($F54=1, $F54=2),VLOOKUP($B54,Courts!$B$2:$J$50,5,false),0)</f>
        <v>0</v>
      </c>
      <c r="J54" s="44">
        <f>if(OR($F54=1, $F54=2),VLOOKUP($B54,Courts!$B$2:$J$50,6,false),0)</f>
        <v>0</v>
      </c>
      <c r="K54" s="44">
        <f>if(OR($F54=1, $F54=2),VLOOKUP($B54,Courts!$B$2:$J$50,7,false),0)</f>
        <v>0</v>
      </c>
      <c r="L54" s="48">
        <f t="shared" si="4"/>
        <v>0</v>
      </c>
      <c r="M54" s="44">
        <f>if(OR($F54=1, $F54=2),VLOOKUP($B54,Courts!$B$2:$J$50,9,false),0)</f>
        <v>0</v>
      </c>
      <c r="N54" s="37">
        <f t="shared" ref="N54:O54" si="61">C54+L54</f>
        <v>276</v>
      </c>
      <c r="O54" s="37">
        <f t="shared" si="61"/>
        <v>17</v>
      </c>
      <c r="P54" s="49" t="s">
        <v>57</v>
      </c>
      <c r="Q54" s="49" t="s">
        <v>57</v>
      </c>
      <c r="R54" s="49" t="s">
        <v>57</v>
      </c>
      <c r="S54" s="51">
        <f t="shared" si="6"/>
        <v>11</v>
      </c>
      <c r="T54" s="52">
        <f t="shared" si="7"/>
        <v>0</v>
      </c>
      <c r="U54" s="52"/>
      <c r="V54" s="51">
        <f t="shared" si="8"/>
        <v>14</v>
      </c>
      <c r="W54" s="52">
        <f t="shared" si="9"/>
        <v>-1</v>
      </c>
      <c r="X54" s="35">
        <f t="shared" si="14"/>
        <v>50</v>
      </c>
      <c r="Y54" s="35" t="str">
        <f t="shared" si="10"/>
        <v>N</v>
      </c>
      <c r="Z54" s="19" t="str">
        <f t="shared" si="11"/>
        <v/>
      </c>
    </row>
    <row r="55">
      <c r="A55" s="35">
        <f t="shared" si="12"/>
        <v>51</v>
      </c>
      <c r="B55" s="36" t="s">
        <v>151</v>
      </c>
      <c r="C55" s="37">
        <v>275.0</v>
      </c>
      <c r="D55" s="37">
        <v>15.0</v>
      </c>
      <c r="E55" s="40">
        <f t="shared" si="2"/>
        <v>12.23076923</v>
      </c>
      <c r="F55" s="41">
        <f>if(isna(VLOOKUP(B55,Checkin!A:B,2,false)),0,VLOOKUP(B55,Checkin!A:B,2,false))</f>
        <v>0</v>
      </c>
      <c r="G55" s="44">
        <f>if(OR($F55=1, $F55=2),VLOOKUP($B55,Courts!$B$2:$K$50,10,false),0)</f>
        <v>0</v>
      </c>
      <c r="H55" s="45">
        <f t="shared" si="3"/>
        <v>0</v>
      </c>
      <c r="I55" s="44">
        <f>if(OR($F55=1, $F55=2),VLOOKUP($B55,Courts!$B$2:$J$50,5,false),0)</f>
        <v>0</v>
      </c>
      <c r="J55" s="44">
        <f>if(OR($F55=1, $F55=2),VLOOKUP($B55,Courts!$B$2:$J$50,6,false),0)</f>
        <v>0</v>
      </c>
      <c r="K55" s="44">
        <f>if(OR($F55=1, $F55=2),VLOOKUP($B55,Courts!$B$2:$J$50,7,false),0)</f>
        <v>0</v>
      </c>
      <c r="L55" s="48">
        <f t="shared" si="4"/>
        <v>0</v>
      </c>
      <c r="M55" s="44">
        <f>if(OR($F55=1, $F55=2),VLOOKUP($B55,Courts!$B$2:$J$50,9,false),0)</f>
        <v>0</v>
      </c>
      <c r="N55" s="37">
        <f t="shared" ref="N55:O55" si="62">C55+L55</f>
        <v>275</v>
      </c>
      <c r="O55" s="37">
        <f t="shared" si="62"/>
        <v>15</v>
      </c>
      <c r="P55" s="49" t="s">
        <v>57</v>
      </c>
      <c r="Q55" s="49" t="s">
        <v>57</v>
      </c>
      <c r="R55" s="49" t="s">
        <v>57</v>
      </c>
      <c r="S55" s="51">
        <f t="shared" si="6"/>
        <v>13</v>
      </c>
      <c r="T55" s="52">
        <f t="shared" si="7"/>
        <v>2</v>
      </c>
      <c r="U55" s="52"/>
      <c r="V55" s="51">
        <f t="shared" si="8"/>
        <v>10</v>
      </c>
      <c r="W55" s="52">
        <f t="shared" si="9"/>
        <v>-1</v>
      </c>
      <c r="X55" s="35">
        <f t="shared" si="14"/>
        <v>51</v>
      </c>
      <c r="Y55" s="35" t="str">
        <f t="shared" si="10"/>
        <v>N</v>
      </c>
      <c r="Z55" s="19" t="str">
        <f t="shared" si="11"/>
        <v/>
      </c>
    </row>
    <row r="56">
      <c r="A56" s="35">
        <f t="shared" si="12"/>
        <v>52</v>
      </c>
      <c r="B56" s="36" t="s">
        <v>143</v>
      </c>
      <c r="C56" s="37">
        <v>274.0</v>
      </c>
      <c r="D56" s="37">
        <v>18.0</v>
      </c>
      <c r="E56" s="40">
        <f t="shared" si="2"/>
        <v>13.45454545</v>
      </c>
      <c r="F56" s="41">
        <f>if(isna(VLOOKUP(B56,Checkin!A:B,2,false)),0,VLOOKUP(B56,Checkin!A:B,2,false))</f>
        <v>0</v>
      </c>
      <c r="G56" s="44">
        <f>if(OR($F56=1, $F56=2),VLOOKUP($B56,Courts!$B$2:$K$50,10,false),0)</f>
        <v>0</v>
      </c>
      <c r="H56" s="45">
        <f t="shared" si="3"/>
        <v>0</v>
      </c>
      <c r="I56" s="44">
        <f>if(OR($F56=1, $F56=2),VLOOKUP($B56,Courts!$B$2:$J$50,5,false),0)</f>
        <v>0</v>
      </c>
      <c r="J56" s="44">
        <f>if(OR($F56=1, $F56=2),VLOOKUP($B56,Courts!$B$2:$J$50,6,false),0)</f>
        <v>0</v>
      </c>
      <c r="K56" s="44">
        <f>if(OR($F56=1, $F56=2),VLOOKUP($B56,Courts!$B$2:$J$50,7,false),0)</f>
        <v>0</v>
      </c>
      <c r="L56" s="48">
        <f t="shared" si="4"/>
        <v>0</v>
      </c>
      <c r="M56" s="44">
        <f>if(OR($F56=1, $F56=2),VLOOKUP($B56,Courts!$B$2:$J$50,9,false),0)</f>
        <v>0</v>
      </c>
      <c r="N56" s="37">
        <f t="shared" ref="N56:O56" si="63">C56+L56</f>
        <v>274</v>
      </c>
      <c r="O56" s="37">
        <f t="shared" si="63"/>
        <v>18</v>
      </c>
      <c r="P56" s="49" t="s">
        <v>57</v>
      </c>
      <c r="Q56" s="49" t="s">
        <v>57</v>
      </c>
      <c r="R56" s="49" t="s">
        <v>57</v>
      </c>
      <c r="S56" s="51">
        <f t="shared" si="6"/>
        <v>11</v>
      </c>
      <c r="T56" s="52">
        <f t="shared" si="7"/>
        <v>0</v>
      </c>
      <c r="U56" s="52"/>
      <c r="V56" s="51">
        <f t="shared" si="8"/>
        <v>14</v>
      </c>
      <c r="W56" s="52">
        <f t="shared" si="9"/>
        <v>-1</v>
      </c>
      <c r="X56" s="35">
        <f t="shared" si="14"/>
        <v>52</v>
      </c>
      <c r="Y56" s="35" t="str">
        <f t="shared" si="10"/>
        <v>N</v>
      </c>
      <c r="Z56" s="19" t="str">
        <f t="shared" si="11"/>
        <v/>
      </c>
    </row>
    <row r="57">
      <c r="A57" s="35">
        <f t="shared" si="12"/>
        <v>53</v>
      </c>
      <c r="B57" s="36" t="s">
        <v>51</v>
      </c>
      <c r="C57" s="37">
        <v>269.0</v>
      </c>
      <c r="D57" s="37">
        <v>14.0</v>
      </c>
      <c r="E57" s="40">
        <f t="shared" si="2"/>
        <v>17.8</v>
      </c>
      <c r="F57" s="41">
        <f>if(isna(VLOOKUP(B57,Checkin!A:B,2,false)),0,VLOOKUP(B57,Checkin!A:B,2,false))</f>
        <v>0</v>
      </c>
      <c r="G57" s="44">
        <f>if(OR($F57=1, $F57=2),VLOOKUP($B57,Courts!$B$2:$K$50,10,false),0)</f>
        <v>0</v>
      </c>
      <c r="H57" s="45">
        <f t="shared" si="3"/>
        <v>0</v>
      </c>
      <c r="I57" s="44">
        <f>if(OR($F57=1, $F57=2),VLOOKUP($B57,Courts!$B$2:$J$50,5,false),0)</f>
        <v>0</v>
      </c>
      <c r="J57" s="44">
        <f>if(OR($F57=1, $F57=2),VLOOKUP($B57,Courts!$B$2:$J$50,6,false),0)</f>
        <v>0</v>
      </c>
      <c r="K57" s="44">
        <f>if(OR($F57=1, $F57=2),VLOOKUP($B57,Courts!$B$2:$J$50,7,false),0)</f>
        <v>0</v>
      </c>
      <c r="L57" s="48">
        <f t="shared" si="4"/>
        <v>0</v>
      </c>
      <c r="M57" s="44">
        <f>if(OR($F57=1, $F57=2),VLOOKUP($B57,Courts!$B$2:$J$50,9,false),0)</f>
        <v>0</v>
      </c>
      <c r="N57" s="37">
        <f t="shared" ref="N57:O57" si="64">C57+L57</f>
        <v>269</v>
      </c>
      <c r="O57" s="37">
        <f t="shared" si="64"/>
        <v>14</v>
      </c>
      <c r="P57" s="49" t="s">
        <v>57</v>
      </c>
      <c r="Q57" s="49" t="s">
        <v>57</v>
      </c>
      <c r="R57" s="49"/>
      <c r="S57" s="51">
        <f t="shared" si="6"/>
        <v>5</v>
      </c>
      <c r="T57" s="52">
        <f t="shared" si="7"/>
        <v>0</v>
      </c>
      <c r="U57" s="52"/>
      <c r="V57" s="51">
        <f t="shared" si="8"/>
        <v>20</v>
      </c>
      <c r="W57" s="52">
        <f t="shared" si="9"/>
        <v>0</v>
      </c>
      <c r="X57" s="35">
        <f t="shared" si="14"/>
        <v>53</v>
      </c>
      <c r="Y57" s="35" t="str">
        <f t="shared" si="10"/>
        <v>N</v>
      </c>
      <c r="Z57" s="19" t="str">
        <f t="shared" si="11"/>
        <v/>
      </c>
    </row>
    <row r="58">
      <c r="A58" s="35">
        <f t="shared" si="12"/>
        <v>54</v>
      </c>
      <c r="B58" s="36" t="s">
        <v>70</v>
      </c>
      <c r="C58" s="37">
        <v>268.0</v>
      </c>
      <c r="D58" s="37">
        <v>12.0</v>
      </c>
      <c r="E58" s="40">
        <f t="shared" si="2"/>
        <v>14.83333333</v>
      </c>
      <c r="F58" s="41">
        <f>if(isna(VLOOKUP(B58,Checkin!A:B,2,false)),0,VLOOKUP(B58,Checkin!A:B,2,false))</f>
        <v>0</v>
      </c>
      <c r="G58" s="44">
        <f>if(OR($F58=1, $F58=2),VLOOKUP($B58,Courts!$B$2:$K$50,10,false),0)</f>
        <v>0</v>
      </c>
      <c r="H58" s="45">
        <f t="shared" si="3"/>
        <v>0</v>
      </c>
      <c r="I58" s="44">
        <f>if(OR($F58=1, $F58=2),VLOOKUP($B58,Courts!$B$2:$J$50,5,false),0)</f>
        <v>0</v>
      </c>
      <c r="J58" s="44">
        <f>if(OR($F58=1, $F58=2),VLOOKUP($B58,Courts!$B$2:$J$50,6,false),0)</f>
        <v>0</v>
      </c>
      <c r="K58" s="44">
        <f>if(OR($F58=1, $F58=2),VLOOKUP($B58,Courts!$B$2:$J$50,7,false),0)</f>
        <v>0</v>
      </c>
      <c r="L58" s="48">
        <f t="shared" si="4"/>
        <v>0</v>
      </c>
      <c r="M58" s="44">
        <f>if(OR($F58=1, $F58=2),VLOOKUP($B58,Courts!$B$2:$J$50,9,false),0)</f>
        <v>0</v>
      </c>
      <c r="N58" s="37">
        <f t="shared" ref="N58:O58" si="65">C58+L58</f>
        <v>268</v>
      </c>
      <c r="O58" s="37">
        <f t="shared" si="65"/>
        <v>12</v>
      </c>
      <c r="P58" s="49" t="s">
        <v>57</v>
      </c>
      <c r="Q58" s="49" t="s">
        <v>57</v>
      </c>
      <c r="R58" s="49" t="s">
        <v>57</v>
      </c>
      <c r="S58" s="51">
        <f t="shared" si="6"/>
        <v>6</v>
      </c>
      <c r="T58" s="52">
        <f t="shared" si="7"/>
        <v>2</v>
      </c>
      <c r="U58" s="52"/>
      <c r="V58" s="51">
        <f t="shared" si="8"/>
        <v>17</v>
      </c>
      <c r="W58" s="52">
        <f t="shared" si="9"/>
        <v>1</v>
      </c>
      <c r="X58" s="35">
        <f t="shared" si="14"/>
        <v>54</v>
      </c>
      <c r="Y58" s="35" t="str">
        <f t="shared" si="10"/>
        <v>N</v>
      </c>
      <c r="Z58" s="19" t="str">
        <f t="shared" si="11"/>
        <v/>
      </c>
    </row>
    <row r="59">
      <c r="A59" s="35">
        <f t="shared" si="12"/>
        <v>55</v>
      </c>
      <c r="B59" s="36" t="s">
        <v>150</v>
      </c>
      <c r="C59" s="37">
        <v>263.0</v>
      </c>
      <c r="D59" s="37">
        <v>12.0</v>
      </c>
      <c r="E59" s="40">
        <f t="shared" si="2"/>
        <v>18.5</v>
      </c>
      <c r="F59" s="41">
        <f>if(isna(VLOOKUP(B59,Checkin!A:B,2,false)),0,VLOOKUP(B59,Checkin!A:B,2,false))</f>
        <v>0</v>
      </c>
      <c r="G59" s="44">
        <f>if(OR($F59=1, $F59=2),VLOOKUP($B59,Courts!$B$2:$K$50,10,false),0)</f>
        <v>0</v>
      </c>
      <c r="H59" s="45">
        <f t="shared" si="3"/>
        <v>0</v>
      </c>
      <c r="I59" s="44">
        <f>if(OR($F59=1, $F59=2),VLOOKUP($B59,Courts!$B$2:$J$50,5,false),0)</f>
        <v>0</v>
      </c>
      <c r="J59" s="44">
        <f>if(OR($F59=1, $F59=2),VLOOKUP($B59,Courts!$B$2:$J$50,6,false),0)</f>
        <v>0</v>
      </c>
      <c r="K59" s="44">
        <f>if(OR($F59=1, $F59=2),VLOOKUP($B59,Courts!$B$2:$J$50,7,false),0)</f>
        <v>0</v>
      </c>
      <c r="L59" s="48">
        <f t="shared" si="4"/>
        <v>0</v>
      </c>
      <c r="M59" s="44">
        <f>if(OR($F59=1, $F59=2),VLOOKUP($B59,Courts!$B$2:$J$50,9,false),0)</f>
        <v>0</v>
      </c>
      <c r="N59" s="37">
        <f t="shared" ref="N59:O59" si="66">C59+L59</f>
        <v>263</v>
      </c>
      <c r="O59" s="37">
        <f t="shared" si="66"/>
        <v>12</v>
      </c>
      <c r="P59" s="49" t="s">
        <v>57</v>
      </c>
      <c r="Q59" s="49" t="s">
        <v>57</v>
      </c>
      <c r="R59" s="49" t="s">
        <v>57</v>
      </c>
      <c r="S59" s="51">
        <f t="shared" si="6"/>
        <v>4</v>
      </c>
      <c r="T59" s="52">
        <f t="shared" si="7"/>
        <v>0</v>
      </c>
      <c r="U59" s="52"/>
      <c r="V59" s="51">
        <f t="shared" si="8"/>
        <v>21</v>
      </c>
      <c r="W59" s="52">
        <f t="shared" si="9"/>
        <v>-1</v>
      </c>
      <c r="X59" s="35">
        <f t="shared" si="14"/>
        <v>55</v>
      </c>
      <c r="Y59" s="35" t="str">
        <f t="shared" si="10"/>
        <v>N</v>
      </c>
      <c r="Z59" s="19" t="str">
        <f t="shared" si="11"/>
        <v/>
      </c>
    </row>
    <row r="60">
      <c r="A60" s="35">
        <f t="shared" si="12"/>
        <v>56</v>
      </c>
      <c r="B60" s="36" t="s">
        <v>153</v>
      </c>
      <c r="C60" s="37">
        <v>257.0</v>
      </c>
      <c r="D60" s="37">
        <v>10.0</v>
      </c>
      <c r="E60" s="40">
        <f t="shared" si="2"/>
        <v>15.4</v>
      </c>
      <c r="F60" s="41">
        <f>if(isna(VLOOKUP(B60,Checkin!A:B,2,false)),0,VLOOKUP(B60,Checkin!A:B,2,false))</f>
        <v>0</v>
      </c>
      <c r="G60" s="44">
        <f>if(OR($F60=1, $F60=2),VLOOKUP($B60,Courts!$B$2:$K$50,10,false),0)</f>
        <v>0</v>
      </c>
      <c r="H60" s="45">
        <f t="shared" si="3"/>
        <v>0</v>
      </c>
      <c r="I60" s="44">
        <f>if(OR($F60=1, $F60=2),VLOOKUP($B60,Courts!$B$2:$J$50,5,false),0)</f>
        <v>0</v>
      </c>
      <c r="J60" s="44">
        <f>if(OR($F60=1, $F60=2),VLOOKUP($B60,Courts!$B$2:$J$50,6,false),0)</f>
        <v>0</v>
      </c>
      <c r="K60" s="44">
        <f>if(OR($F60=1, $F60=2),VLOOKUP($B60,Courts!$B$2:$J$50,7,false),0)</f>
        <v>0</v>
      </c>
      <c r="L60" s="48">
        <f t="shared" si="4"/>
        <v>0</v>
      </c>
      <c r="M60" s="44">
        <f>if(OR($F60=1, $F60=2),VLOOKUP($B60,Courts!$B$2:$J$50,9,false),0)</f>
        <v>0</v>
      </c>
      <c r="N60" s="37">
        <f t="shared" ref="N60:O60" si="67">C60+L60</f>
        <v>257</v>
      </c>
      <c r="O60" s="37">
        <f t="shared" si="67"/>
        <v>10</v>
      </c>
      <c r="P60" s="49" t="s">
        <v>57</v>
      </c>
      <c r="Q60" s="49" t="s">
        <v>57</v>
      </c>
      <c r="R60" s="49" t="s">
        <v>57</v>
      </c>
      <c r="S60" s="51">
        <f t="shared" si="6"/>
        <v>5</v>
      </c>
      <c r="T60" s="52">
        <f t="shared" si="7"/>
        <v>0</v>
      </c>
      <c r="U60" s="52"/>
      <c r="V60" s="51">
        <f t="shared" si="8"/>
        <v>20</v>
      </c>
      <c r="W60" s="52">
        <f t="shared" si="9"/>
        <v>0</v>
      </c>
      <c r="X60" s="35">
        <f t="shared" si="14"/>
        <v>56</v>
      </c>
      <c r="Y60" s="35" t="str">
        <f t="shared" si="10"/>
        <v>N</v>
      </c>
      <c r="Z60" s="19" t="str">
        <f t="shared" si="11"/>
        <v/>
      </c>
    </row>
    <row r="61">
      <c r="A61" s="35">
        <f t="shared" si="12"/>
        <v>57</v>
      </c>
      <c r="B61" s="36" t="s">
        <v>98</v>
      </c>
      <c r="C61" s="37">
        <v>254.0</v>
      </c>
      <c r="D61" s="37">
        <v>12.0</v>
      </c>
      <c r="E61" s="40">
        <f t="shared" si="2"/>
        <v>10.3125</v>
      </c>
      <c r="F61" s="41">
        <f>if(isna(VLOOKUP(B61,Checkin!A:B,2,false)),0,VLOOKUP(B61,Checkin!A:B,2,false))</f>
        <v>0</v>
      </c>
      <c r="G61" s="44">
        <f>if(OR($F61=1, $F61=2),VLOOKUP($B61,Courts!$B$2:$K$50,10,false),0)</f>
        <v>0</v>
      </c>
      <c r="H61" s="45">
        <f t="shared" si="3"/>
        <v>0</v>
      </c>
      <c r="I61" s="44">
        <f>if(OR($F61=1, $F61=2),VLOOKUP($B61,Courts!$B$2:$J$50,5,false),0)</f>
        <v>0</v>
      </c>
      <c r="J61" s="44">
        <f>if(OR($F61=1, $F61=2),VLOOKUP($B61,Courts!$B$2:$J$50,6,false),0)</f>
        <v>0</v>
      </c>
      <c r="K61" s="44">
        <f>if(OR($F61=1, $F61=2),VLOOKUP($B61,Courts!$B$2:$J$50,7,false),0)</f>
        <v>0</v>
      </c>
      <c r="L61" s="48">
        <f t="shared" si="4"/>
        <v>0</v>
      </c>
      <c r="M61" s="44">
        <f>if(OR($F61=1, $F61=2),VLOOKUP($B61,Courts!$B$2:$J$50,9,false),0)</f>
        <v>0</v>
      </c>
      <c r="N61" s="37">
        <f t="shared" ref="N61:O61" si="68">C61+L61</f>
        <v>254</v>
      </c>
      <c r="O61" s="37">
        <f t="shared" si="68"/>
        <v>12</v>
      </c>
      <c r="P61" s="49" t="s">
        <v>57</v>
      </c>
      <c r="Q61" s="49" t="s">
        <v>57</v>
      </c>
      <c r="R61" s="49" t="s">
        <v>57</v>
      </c>
      <c r="S61" s="51">
        <f t="shared" si="6"/>
        <v>16</v>
      </c>
      <c r="T61" s="52">
        <f t="shared" si="7"/>
        <v>2</v>
      </c>
      <c r="U61" s="52"/>
      <c r="V61" s="51">
        <f t="shared" si="8"/>
        <v>7</v>
      </c>
      <c r="W61" s="52">
        <f t="shared" si="9"/>
        <v>1</v>
      </c>
      <c r="X61" s="35">
        <f t="shared" si="14"/>
        <v>57</v>
      </c>
      <c r="Y61" s="35" t="str">
        <f t="shared" si="10"/>
        <v>N</v>
      </c>
      <c r="Z61" s="19" t="str">
        <f t="shared" si="11"/>
        <v/>
      </c>
    </row>
    <row r="62">
      <c r="A62" s="35">
        <f t="shared" si="12"/>
        <v>58</v>
      </c>
      <c r="B62" s="36" t="s">
        <v>76</v>
      </c>
      <c r="C62" s="37">
        <v>254.0</v>
      </c>
      <c r="D62" s="37">
        <v>8.0</v>
      </c>
      <c r="E62" s="40">
        <f t="shared" si="2"/>
        <v>13.16666667</v>
      </c>
      <c r="F62" s="41">
        <f>if(isna(VLOOKUP(B62,Checkin!A:B,2,false)),0,VLOOKUP(B62,Checkin!A:B,2,false))</f>
        <v>0</v>
      </c>
      <c r="G62" s="44">
        <f>if(OR($F62=1, $F62=2),VLOOKUP($B62,Courts!$B$2:$K$50,10,false),0)</f>
        <v>0</v>
      </c>
      <c r="H62" s="45">
        <f t="shared" si="3"/>
        <v>0</v>
      </c>
      <c r="I62" s="44">
        <f>if(OR($F62=1, $F62=2),VLOOKUP($B62,Courts!$B$2:$J$50,5,false),0)</f>
        <v>0</v>
      </c>
      <c r="J62" s="44">
        <f>if(OR($F62=1, $F62=2),VLOOKUP($B62,Courts!$B$2:$J$50,6,false),0)</f>
        <v>0</v>
      </c>
      <c r="K62" s="44">
        <f>if(OR($F62=1, $F62=2),VLOOKUP($B62,Courts!$B$2:$J$50,7,false),0)</f>
        <v>0</v>
      </c>
      <c r="L62" s="48">
        <f t="shared" si="4"/>
        <v>0</v>
      </c>
      <c r="M62" s="44">
        <f>if(OR($F62=1, $F62=2),VLOOKUP($B62,Courts!$B$2:$J$50,9,false),0)</f>
        <v>0</v>
      </c>
      <c r="N62" s="37">
        <f t="shared" ref="N62:O62" si="69">C62+L62</f>
        <v>254</v>
      </c>
      <c r="O62" s="37">
        <f t="shared" si="69"/>
        <v>8</v>
      </c>
      <c r="P62" s="49" t="s">
        <v>57</v>
      </c>
      <c r="Q62" s="49" t="s">
        <v>57</v>
      </c>
      <c r="R62" s="49" t="s">
        <v>57</v>
      </c>
      <c r="S62" s="51">
        <f t="shared" si="6"/>
        <v>6</v>
      </c>
      <c r="T62" s="52">
        <f t="shared" si="7"/>
        <v>1</v>
      </c>
      <c r="U62" s="52"/>
      <c r="V62" s="51">
        <f t="shared" si="8"/>
        <v>18</v>
      </c>
      <c r="W62" s="52">
        <f t="shared" si="9"/>
        <v>-1</v>
      </c>
      <c r="X62" s="35">
        <f t="shared" si="14"/>
        <v>58</v>
      </c>
      <c r="Y62" s="35" t="str">
        <f t="shared" si="10"/>
        <v>N</v>
      </c>
      <c r="Z62" s="19" t="str">
        <f t="shared" si="11"/>
        <v/>
      </c>
    </row>
    <row r="63">
      <c r="A63" s="35">
        <f t="shared" si="12"/>
        <v>59</v>
      </c>
      <c r="B63" s="36" t="s">
        <v>144</v>
      </c>
      <c r="C63" s="37">
        <v>251.0</v>
      </c>
      <c r="D63" s="37">
        <v>13.0</v>
      </c>
      <c r="E63" s="40">
        <f t="shared" si="2"/>
        <v>10.85714286</v>
      </c>
      <c r="F63" s="41">
        <f>if(isna(VLOOKUP(B63,Checkin!A:B,2,false)),0,VLOOKUP(B63,Checkin!A:B,2,false))</f>
        <v>0</v>
      </c>
      <c r="G63" s="44">
        <f>if(OR($F63=1, $F63=2),VLOOKUP($B63,Courts!$B$2:$K$50,10,false),0)</f>
        <v>0</v>
      </c>
      <c r="H63" s="45">
        <f t="shared" si="3"/>
        <v>0</v>
      </c>
      <c r="I63" s="44">
        <f>if(OR($F63=1, $F63=2),VLOOKUP($B63,Courts!$B$2:$J$50,5,false),0)</f>
        <v>0</v>
      </c>
      <c r="J63" s="44">
        <f>if(OR($F63=1, $F63=2),VLOOKUP($B63,Courts!$B$2:$J$50,6,false),0)</f>
        <v>0</v>
      </c>
      <c r="K63" s="44">
        <f>if(OR($F63=1, $F63=2),VLOOKUP($B63,Courts!$B$2:$J$50,7,false),0)</f>
        <v>0</v>
      </c>
      <c r="L63" s="48">
        <f t="shared" si="4"/>
        <v>0</v>
      </c>
      <c r="M63" s="44">
        <f>if(OR($F63=1, $F63=2),VLOOKUP($B63,Courts!$B$2:$J$50,9,false),0)</f>
        <v>0</v>
      </c>
      <c r="N63" s="37">
        <f t="shared" ref="N63:O63" si="70">C63+L63</f>
        <v>251</v>
      </c>
      <c r="O63" s="37">
        <f t="shared" si="70"/>
        <v>13</v>
      </c>
      <c r="P63" s="49" t="s">
        <v>57</v>
      </c>
      <c r="Q63" s="49" t="s">
        <v>57</v>
      </c>
      <c r="R63" s="49" t="s">
        <v>57</v>
      </c>
      <c r="S63" s="51">
        <f t="shared" si="6"/>
        <v>14</v>
      </c>
      <c r="T63" s="52">
        <f t="shared" si="7"/>
        <v>0</v>
      </c>
      <c r="U63" s="52"/>
      <c r="V63" s="51">
        <f t="shared" si="8"/>
        <v>11</v>
      </c>
      <c r="W63" s="52">
        <f t="shared" si="9"/>
        <v>4</v>
      </c>
      <c r="X63" s="35">
        <f t="shared" si="14"/>
        <v>59</v>
      </c>
      <c r="Y63" s="35" t="str">
        <f t="shared" si="10"/>
        <v>N</v>
      </c>
      <c r="Z63" s="19" t="str">
        <f t="shared" si="11"/>
        <v/>
      </c>
    </row>
    <row r="64">
      <c r="A64" s="35">
        <f t="shared" si="12"/>
        <v>60</v>
      </c>
      <c r="B64" s="36" t="s">
        <v>154</v>
      </c>
      <c r="C64" s="37">
        <v>250.0</v>
      </c>
      <c r="D64" s="37">
        <v>10.0</v>
      </c>
      <c r="E64" s="40">
        <f t="shared" si="2"/>
        <v>13.16666667</v>
      </c>
      <c r="F64" s="41">
        <f>if(isna(VLOOKUP(B64,Checkin!A:B,2,false)),0,VLOOKUP(B64,Checkin!A:B,2,false))</f>
        <v>0</v>
      </c>
      <c r="G64" s="44">
        <f>if(OR($F64=1, $F64=2),VLOOKUP($B64,Courts!$B$2:$K$50,10,false),0)</f>
        <v>0</v>
      </c>
      <c r="H64" s="45">
        <f t="shared" si="3"/>
        <v>0</v>
      </c>
      <c r="I64" s="44">
        <f>if(OR($F64=1, $F64=2),VLOOKUP($B64,Courts!$B$2:$J$50,5,false),0)</f>
        <v>0</v>
      </c>
      <c r="J64" s="44">
        <f>if(OR($F64=1, $F64=2),VLOOKUP($B64,Courts!$B$2:$J$50,6,false),0)</f>
        <v>0</v>
      </c>
      <c r="K64" s="44">
        <f>if(OR($F64=1, $F64=2),VLOOKUP($B64,Courts!$B$2:$J$50,7,false),0)</f>
        <v>0</v>
      </c>
      <c r="L64" s="48">
        <f t="shared" si="4"/>
        <v>0</v>
      </c>
      <c r="M64" s="44">
        <f>if(OR($F64=1, $F64=2),VLOOKUP($B64,Courts!$B$2:$J$50,9,false),0)</f>
        <v>0</v>
      </c>
      <c r="N64" s="37">
        <f t="shared" ref="N64:O64" si="71">C64+L64</f>
        <v>250</v>
      </c>
      <c r="O64" s="37">
        <f t="shared" si="71"/>
        <v>10</v>
      </c>
      <c r="P64" s="49" t="s">
        <v>57</v>
      </c>
      <c r="Q64" s="49" t="s">
        <v>57</v>
      </c>
      <c r="R64" s="49" t="s">
        <v>57</v>
      </c>
      <c r="S64" s="51">
        <f t="shared" si="6"/>
        <v>6</v>
      </c>
      <c r="T64" s="52">
        <f t="shared" si="7"/>
        <v>0</v>
      </c>
      <c r="U64" s="52"/>
      <c r="V64" s="51">
        <f t="shared" si="8"/>
        <v>19</v>
      </c>
      <c r="W64" s="52">
        <f t="shared" si="9"/>
        <v>-1</v>
      </c>
      <c r="X64" s="35">
        <f t="shared" si="14"/>
        <v>60</v>
      </c>
      <c r="Y64" s="35" t="str">
        <f t="shared" si="10"/>
        <v>N</v>
      </c>
      <c r="Z64" s="19" t="str">
        <f t="shared" si="11"/>
        <v/>
      </c>
    </row>
    <row r="65">
      <c r="A65" s="35">
        <f t="shared" si="12"/>
        <v>61</v>
      </c>
      <c r="B65" s="36" t="s">
        <v>131</v>
      </c>
      <c r="C65" s="37">
        <v>245.0</v>
      </c>
      <c r="D65" s="37">
        <v>6.0</v>
      </c>
      <c r="E65" s="40">
        <f t="shared" si="2"/>
        <v>14.33333333</v>
      </c>
      <c r="F65" s="41">
        <f>if(isna(VLOOKUP(B65,Checkin!A:B,2,false)),0,VLOOKUP(B65,Checkin!A:B,2,false))</f>
        <v>0</v>
      </c>
      <c r="G65" s="44">
        <f>if(OR($F65=1, $F65=2),VLOOKUP($B65,Courts!$B$2:$K$50,10,false),0)</f>
        <v>0</v>
      </c>
      <c r="H65" s="45">
        <f t="shared" si="3"/>
        <v>0</v>
      </c>
      <c r="I65" s="44">
        <f>if(OR($F65=1, $F65=2),VLOOKUP($B65,Courts!$B$2:$J$50,5,false),0)</f>
        <v>0</v>
      </c>
      <c r="J65" s="44">
        <f>if(OR($F65=1, $F65=2),VLOOKUP($B65,Courts!$B$2:$J$50,6,false),0)</f>
        <v>0</v>
      </c>
      <c r="K65" s="44">
        <f>if(OR($F65=1, $F65=2),VLOOKUP($B65,Courts!$B$2:$J$50,7,false),0)</f>
        <v>0</v>
      </c>
      <c r="L65" s="48">
        <f t="shared" si="4"/>
        <v>0</v>
      </c>
      <c r="M65" s="44">
        <f>if(OR($F65=1, $F65=2),VLOOKUP($B65,Courts!$B$2:$J$50,9,false),0)</f>
        <v>0</v>
      </c>
      <c r="N65" s="37">
        <f t="shared" ref="N65:O65" si="72">C65+L65</f>
        <v>245</v>
      </c>
      <c r="O65" s="37">
        <f t="shared" si="72"/>
        <v>6</v>
      </c>
      <c r="P65" s="49" t="s">
        <v>57</v>
      </c>
      <c r="Q65" s="49" t="s">
        <v>57</v>
      </c>
      <c r="R65" s="49" t="s">
        <v>57</v>
      </c>
      <c r="S65" s="51">
        <f t="shared" si="6"/>
        <v>3</v>
      </c>
      <c r="T65" s="52">
        <f t="shared" si="7"/>
        <v>1</v>
      </c>
      <c r="U65" s="52"/>
      <c r="V65" s="51">
        <f t="shared" si="8"/>
        <v>21</v>
      </c>
      <c r="W65" s="52">
        <f t="shared" si="9"/>
        <v>-1</v>
      </c>
      <c r="X65" s="35">
        <f t="shared" si="14"/>
        <v>61</v>
      </c>
      <c r="Y65" s="35" t="str">
        <f t="shared" si="10"/>
        <v>N</v>
      </c>
      <c r="Z65" s="19" t="str">
        <f t="shared" si="11"/>
        <v/>
      </c>
    </row>
    <row r="66">
      <c r="A66" s="35">
        <f t="shared" si="12"/>
        <v>62</v>
      </c>
      <c r="B66" s="36" t="s">
        <v>133</v>
      </c>
      <c r="C66" s="37">
        <v>245.0</v>
      </c>
      <c r="D66" s="37">
        <v>6.0</v>
      </c>
      <c r="E66" s="40">
        <f t="shared" si="2"/>
        <v>11.22222222</v>
      </c>
      <c r="F66" s="41">
        <f>if(isna(VLOOKUP(B66,Checkin!A:B,2,false)),0,VLOOKUP(B66,Checkin!A:B,2,false))</f>
        <v>0</v>
      </c>
      <c r="G66" s="44">
        <f>if(OR($F66=1, $F66=2),VLOOKUP($B66,Courts!$B$2:$K$50,10,false),0)</f>
        <v>0</v>
      </c>
      <c r="H66" s="45">
        <f t="shared" si="3"/>
        <v>0</v>
      </c>
      <c r="I66" s="44">
        <f>if(OR($F66=1, $F66=2),VLOOKUP($B66,Courts!$B$2:$J$50,5,false),0)</f>
        <v>0</v>
      </c>
      <c r="J66" s="44">
        <f>if(OR($F66=1, $F66=2),VLOOKUP($B66,Courts!$B$2:$J$50,6,false),0)</f>
        <v>0</v>
      </c>
      <c r="K66" s="44">
        <f>if(OR($F66=1, $F66=2),VLOOKUP($B66,Courts!$B$2:$J$50,7,false),0)</f>
        <v>0</v>
      </c>
      <c r="L66" s="48">
        <f t="shared" si="4"/>
        <v>0</v>
      </c>
      <c r="M66" s="44">
        <f>if(OR($F66=1, $F66=2),VLOOKUP($B66,Courts!$B$2:$J$50,9,false),0)</f>
        <v>0</v>
      </c>
      <c r="N66" s="37">
        <f t="shared" ref="N66:O66" si="73">C66+L66</f>
        <v>245</v>
      </c>
      <c r="O66" s="37">
        <f t="shared" si="73"/>
        <v>6</v>
      </c>
      <c r="P66" s="49" t="s">
        <v>57</v>
      </c>
      <c r="Q66" s="49" t="s">
        <v>57</v>
      </c>
      <c r="R66" s="49" t="s">
        <v>57</v>
      </c>
      <c r="S66" s="51">
        <f t="shared" si="6"/>
        <v>9</v>
      </c>
      <c r="T66" s="52">
        <f t="shared" si="7"/>
        <v>0</v>
      </c>
      <c r="U66" s="52"/>
      <c r="V66" s="51">
        <f t="shared" si="8"/>
        <v>16</v>
      </c>
      <c r="W66" s="52">
        <f t="shared" si="9"/>
        <v>-1</v>
      </c>
      <c r="X66" s="35">
        <f t="shared" si="14"/>
        <v>62</v>
      </c>
      <c r="Y66" s="35" t="str">
        <f t="shared" si="10"/>
        <v>N</v>
      </c>
      <c r="Z66" s="19" t="str">
        <f t="shared" si="11"/>
        <v/>
      </c>
    </row>
    <row r="67">
      <c r="A67" s="35">
        <f t="shared" si="12"/>
        <v>63</v>
      </c>
      <c r="B67" s="36" t="s">
        <v>148</v>
      </c>
      <c r="C67" s="37">
        <v>244.0</v>
      </c>
      <c r="D67" s="37">
        <v>4.0</v>
      </c>
      <c r="E67" s="40">
        <f t="shared" si="2"/>
        <v>14.5</v>
      </c>
      <c r="F67" s="41">
        <f>if(isna(VLOOKUP(B67,Checkin!A:B,2,false)),0,VLOOKUP(B67,Checkin!A:B,2,false))</f>
        <v>0</v>
      </c>
      <c r="G67" s="44">
        <f>if(OR($F67=1, $F67=2),VLOOKUP($B67,Courts!$B$2:$K$50,10,false),0)</f>
        <v>0</v>
      </c>
      <c r="H67" s="45">
        <f t="shared" si="3"/>
        <v>0</v>
      </c>
      <c r="I67" s="44">
        <f>if(OR($F67=1, $F67=2),VLOOKUP($B67,Courts!$B$2:$J$50,5,false),0)</f>
        <v>0</v>
      </c>
      <c r="J67" s="44">
        <f>if(OR($F67=1, $F67=2),VLOOKUP($B67,Courts!$B$2:$J$50,6,false),0)</f>
        <v>0</v>
      </c>
      <c r="K67" s="44">
        <f>if(OR($F67=1, $F67=2),VLOOKUP($B67,Courts!$B$2:$J$50,7,false),0)</f>
        <v>0</v>
      </c>
      <c r="L67" s="48">
        <f t="shared" si="4"/>
        <v>0</v>
      </c>
      <c r="M67" s="44">
        <f>if(OR($F67=1, $F67=2),VLOOKUP($B67,Courts!$B$2:$J$50,9,false),0)</f>
        <v>0</v>
      </c>
      <c r="N67" s="37">
        <f t="shared" ref="N67:O67" si="74">C67+L67</f>
        <v>244</v>
      </c>
      <c r="O67" s="37">
        <f t="shared" si="74"/>
        <v>4</v>
      </c>
      <c r="P67" s="49" t="s">
        <v>57</v>
      </c>
      <c r="Q67" s="49" t="s">
        <v>57</v>
      </c>
      <c r="R67" s="49" t="s">
        <v>57</v>
      </c>
      <c r="S67" s="51">
        <f t="shared" si="6"/>
        <v>2</v>
      </c>
      <c r="T67" s="52">
        <f t="shared" si="7"/>
        <v>2</v>
      </c>
      <c r="U67" s="52"/>
      <c r="V67" s="51">
        <f t="shared" si="8"/>
        <v>21</v>
      </c>
      <c r="W67" s="52">
        <f t="shared" si="9"/>
        <v>3</v>
      </c>
      <c r="X67" s="35">
        <f t="shared" si="14"/>
        <v>63</v>
      </c>
      <c r="Y67" s="35" t="str">
        <f t="shared" si="10"/>
        <v>N</v>
      </c>
      <c r="Z67" s="19" t="str">
        <f t="shared" si="11"/>
        <v/>
      </c>
    </row>
    <row r="68">
      <c r="A68" s="35">
        <f t="shared" si="12"/>
        <v>64</v>
      </c>
      <c r="B68" s="36" t="s">
        <v>149</v>
      </c>
      <c r="C68" s="37">
        <v>243.0</v>
      </c>
      <c r="D68" s="37">
        <v>8.0</v>
      </c>
      <c r="E68" s="40">
        <f t="shared" si="2"/>
        <v>11.25</v>
      </c>
      <c r="F68" s="41">
        <f>if(isna(VLOOKUP(B68,Checkin!A:B,2,false)),0,VLOOKUP(B68,Checkin!A:B,2,false))</f>
        <v>0</v>
      </c>
      <c r="G68" s="44">
        <f>if(OR($F68=1, $F68=2),VLOOKUP($B68,Courts!$B$2:$K$50,10,false),0)</f>
        <v>0</v>
      </c>
      <c r="H68" s="45">
        <f t="shared" si="3"/>
        <v>0</v>
      </c>
      <c r="I68" s="44">
        <f>if(OR($F68=1, $F68=2),VLOOKUP($B68,Courts!$B$2:$J$50,5,false),0)</f>
        <v>0</v>
      </c>
      <c r="J68" s="44">
        <f>if(OR($F68=1, $F68=2),VLOOKUP($B68,Courts!$B$2:$J$50,6,false),0)</f>
        <v>0</v>
      </c>
      <c r="K68" s="44">
        <f>if(OR($F68=1, $F68=2),VLOOKUP($B68,Courts!$B$2:$J$50,7,false),0)</f>
        <v>0</v>
      </c>
      <c r="L68" s="48">
        <f t="shared" si="4"/>
        <v>0</v>
      </c>
      <c r="M68" s="44">
        <f>if(OR($F68=1, $F68=2),VLOOKUP($B68,Courts!$B$2:$J$50,9,false),0)</f>
        <v>0</v>
      </c>
      <c r="N68" s="37">
        <f t="shared" ref="N68:O68" si="75">C68+L68</f>
        <v>243</v>
      </c>
      <c r="O68" s="37">
        <f t="shared" si="75"/>
        <v>8</v>
      </c>
      <c r="P68" s="49" t="s">
        <v>57</v>
      </c>
      <c r="Q68" s="49" t="s">
        <v>57</v>
      </c>
      <c r="R68" s="49" t="s">
        <v>57</v>
      </c>
      <c r="S68" s="51">
        <f t="shared" si="6"/>
        <v>8</v>
      </c>
      <c r="T68" s="52">
        <f t="shared" si="7"/>
        <v>0</v>
      </c>
      <c r="U68" s="52"/>
      <c r="V68" s="51">
        <f t="shared" si="8"/>
        <v>17</v>
      </c>
      <c r="W68" s="52">
        <f t="shared" si="9"/>
        <v>3</v>
      </c>
      <c r="X68" s="35">
        <f t="shared" si="14"/>
        <v>64</v>
      </c>
      <c r="Y68" s="35" t="str">
        <f t="shared" si="10"/>
        <v>N</v>
      </c>
      <c r="Z68" s="19" t="str">
        <f t="shared" si="11"/>
        <v/>
      </c>
    </row>
    <row r="69">
      <c r="A69" s="35">
        <f t="shared" si="12"/>
        <v>65</v>
      </c>
      <c r="B69" s="36" t="s">
        <v>145</v>
      </c>
      <c r="C69" s="37">
        <v>242.0</v>
      </c>
      <c r="D69" s="37">
        <v>12.0</v>
      </c>
      <c r="E69" s="40">
        <f t="shared" si="2"/>
        <v>10.88888889</v>
      </c>
      <c r="F69" s="41">
        <f>if(isna(VLOOKUP(B69,Checkin!A:B,2,false)),0,VLOOKUP(B69,Checkin!A:B,2,false))</f>
        <v>0</v>
      </c>
      <c r="G69" s="44">
        <f>if(OR($F69=1, $F69=2),VLOOKUP($B69,Courts!$B$2:$K$50,10,false),0)</f>
        <v>0</v>
      </c>
      <c r="H69" s="45">
        <f t="shared" si="3"/>
        <v>0</v>
      </c>
      <c r="I69" s="44">
        <f>if(OR($F69=1, $F69=2),VLOOKUP($B69,Courts!$B$2:$J$50,5,false),0)</f>
        <v>0</v>
      </c>
      <c r="J69" s="44">
        <f>if(OR($F69=1, $F69=2),VLOOKUP($B69,Courts!$B$2:$J$50,6,false),0)</f>
        <v>0</v>
      </c>
      <c r="K69" s="44">
        <f>if(OR($F69=1, $F69=2),VLOOKUP($B69,Courts!$B$2:$J$50,7,false),0)</f>
        <v>0</v>
      </c>
      <c r="L69" s="48">
        <f t="shared" si="4"/>
        <v>0</v>
      </c>
      <c r="M69" s="44">
        <f>if(OR($F69=1, $F69=2),VLOOKUP($B69,Courts!$B$2:$J$50,9,false),0)</f>
        <v>0</v>
      </c>
      <c r="N69" s="37">
        <f t="shared" ref="N69:O69" si="76">C69+L69</f>
        <v>242</v>
      </c>
      <c r="O69" s="37">
        <f t="shared" si="76"/>
        <v>12</v>
      </c>
      <c r="P69" s="49" t="s">
        <v>57</v>
      </c>
      <c r="Q69" s="49" t="s">
        <v>57</v>
      </c>
      <c r="R69" s="49" t="s">
        <v>155</v>
      </c>
      <c r="S69" s="51">
        <f t="shared" si="6"/>
        <v>9</v>
      </c>
      <c r="T69" s="52">
        <f t="shared" si="7"/>
        <v>0</v>
      </c>
      <c r="U69" s="52"/>
      <c r="V69" s="51">
        <f t="shared" si="8"/>
        <v>16</v>
      </c>
      <c r="W69" s="52">
        <f t="shared" si="9"/>
        <v>-3</v>
      </c>
      <c r="X69" s="35">
        <f t="shared" si="14"/>
        <v>65</v>
      </c>
      <c r="Y69" s="35" t="str">
        <f t="shared" si="10"/>
        <v>N</v>
      </c>
      <c r="Z69" s="19" t="str">
        <f t="shared" si="11"/>
        <v/>
      </c>
    </row>
    <row r="70">
      <c r="A70" s="35">
        <f t="shared" si="12"/>
        <v>66</v>
      </c>
      <c r="B70" s="36" t="s">
        <v>100</v>
      </c>
      <c r="C70" s="37">
        <v>242.0</v>
      </c>
      <c r="D70" s="37">
        <v>6.0</v>
      </c>
      <c r="E70" s="40">
        <f t="shared" si="2"/>
        <v>14.66666667</v>
      </c>
      <c r="F70" s="41">
        <f>if(isna(VLOOKUP(B70,Checkin!A:B,2,false)),0,VLOOKUP(B70,Checkin!A:B,2,false))</f>
        <v>0</v>
      </c>
      <c r="G70" s="44">
        <f>if(OR($F70=1, $F70=2),VLOOKUP($B70,Courts!$B$2:$K$50,10,false),0)</f>
        <v>0</v>
      </c>
      <c r="H70" s="45">
        <f t="shared" si="3"/>
        <v>0</v>
      </c>
      <c r="I70" s="44">
        <f>if(OR($F70=1, $F70=2),VLOOKUP($B70,Courts!$B$2:$J$50,5,false),0)</f>
        <v>0</v>
      </c>
      <c r="J70" s="44">
        <f>if(OR($F70=1, $F70=2),VLOOKUP($B70,Courts!$B$2:$J$50,6,false),0)</f>
        <v>0</v>
      </c>
      <c r="K70" s="44">
        <f>if(OR($F70=1, $F70=2),VLOOKUP($B70,Courts!$B$2:$J$50,7,false),0)</f>
        <v>0</v>
      </c>
      <c r="L70" s="48">
        <f t="shared" si="4"/>
        <v>0</v>
      </c>
      <c r="M70" s="44">
        <f>if(OR($F70=1, $F70=2),VLOOKUP($B70,Courts!$B$2:$J$50,9,false),0)</f>
        <v>0</v>
      </c>
      <c r="N70" s="37">
        <f t="shared" ref="N70:O70" si="77">C70+L70</f>
        <v>242</v>
      </c>
      <c r="O70" s="37">
        <f t="shared" si="77"/>
        <v>6</v>
      </c>
      <c r="P70" s="49" t="s">
        <v>57</v>
      </c>
      <c r="Q70" s="49" t="s">
        <v>57</v>
      </c>
      <c r="R70" s="49" t="s">
        <v>155</v>
      </c>
      <c r="S70" s="51">
        <f t="shared" si="6"/>
        <v>3</v>
      </c>
      <c r="T70" s="52">
        <f t="shared" si="7"/>
        <v>0</v>
      </c>
      <c r="U70" s="52"/>
      <c r="V70" s="51">
        <f t="shared" si="8"/>
        <v>22</v>
      </c>
      <c r="W70" s="52">
        <f t="shared" si="9"/>
        <v>-2</v>
      </c>
      <c r="X70" s="35">
        <f t="shared" si="14"/>
        <v>66</v>
      </c>
      <c r="Y70" s="35" t="str">
        <f t="shared" si="10"/>
        <v>N</v>
      </c>
      <c r="Z70" s="19" t="str">
        <f t="shared" si="11"/>
        <v/>
      </c>
    </row>
    <row r="71">
      <c r="A71" s="35">
        <f t="shared" si="12"/>
        <v>67</v>
      </c>
      <c r="B71" s="36" t="s">
        <v>146</v>
      </c>
      <c r="C71" s="37">
        <v>242.0</v>
      </c>
      <c r="D71" s="37">
        <v>6.0</v>
      </c>
      <c r="E71" s="40">
        <f t="shared" si="2"/>
        <v>12.25</v>
      </c>
      <c r="F71" s="41">
        <f>if(isna(VLOOKUP(B71,Checkin!A:B,2,false)),0,VLOOKUP(B71,Checkin!A:B,2,false))</f>
        <v>0</v>
      </c>
      <c r="G71" s="44">
        <f>if(OR($F71=1, $F71=2),VLOOKUP($B71,Courts!$B$2:$K$50,10,false),0)</f>
        <v>0</v>
      </c>
      <c r="H71" s="45">
        <f t="shared" si="3"/>
        <v>0</v>
      </c>
      <c r="I71" s="44">
        <f>if(OR($F71=1, $F71=2),VLOOKUP($B71,Courts!$B$2:$J$50,5,false),0)</f>
        <v>0</v>
      </c>
      <c r="J71" s="44">
        <f>if(OR($F71=1, $F71=2),VLOOKUP($B71,Courts!$B$2:$J$50,6,false),0)</f>
        <v>0</v>
      </c>
      <c r="K71" s="44">
        <f>if(OR($F71=1, $F71=2),VLOOKUP($B71,Courts!$B$2:$J$50,7,false),0)</f>
        <v>0</v>
      </c>
      <c r="L71" s="48">
        <f t="shared" si="4"/>
        <v>0</v>
      </c>
      <c r="M71" s="44">
        <f>if(OR($F71=1, $F71=2),VLOOKUP($B71,Courts!$B$2:$J$50,9,false),0)</f>
        <v>0</v>
      </c>
      <c r="N71" s="37">
        <f t="shared" ref="N71:O71" si="78">C71+L71</f>
        <v>242</v>
      </c>
      <c r="O71" s="37">
        <f t="shared" si="78"/>
        <v>6</v>
      </c>
      <c r="P71" s="49" t="s">
        <v>57</v>
      </c>
      <c r="Q71" s="49" t="s">
        <v>57</v>
      </c>
      <c r="R71" s="49" t="s">
        <v>57</v>
      </c>
      <c r="S71" s="51">
        <f t="shared" si="6"/>
        <v>4</v>
      </c>
      <c r="T71" s="52">
        <f t="shared" si="7"/>
        <v>1</v>
      </c>
      <c r="U71" s="52"/>
      <c r="V71" s="51">
        <f t="shared" si="8"/>
        <v>20</v>
      </c>
      <c r="W71" s="52">
        <f t="shared" si="9"/>
        <v>-2</v>
      </c>
      <c r="X71" s="35">
        <f t="shared" si="14"/>
        <v>67</v>
      </c>
      <c r="Y71" s="35" t="str">
        <f t="shared" si="10"/>
        <v>N</v>
      </c>
      <c r="Z71" s="19" t="str">
        <f t="shared" si="11"/>
        <v/>
      </c>
    </row>
    <row r="72">
      <c r="A72" s="35">
        <f t="shared" si="12"/>
        <v>68</v>
      </c>
      <c r="B72" s="36" t="s">
        <v>136</v>
      </c>
      <c r="C72" s="37">
        <v>236.0</v>
      </c>
      <c r="D72" s="37">
        <v>5.0</v>
      </c>
      <c r="E72" s="40">
        <f t="shared" si="2"/>
        <v>10.83333333</v>
      </c>
      <c r="F72" s="41">
        <f>if(isna(VLOOKUP(B72,Checkin!A:B,2,false)),0,VLOOKUP(B72,Checkin!A:B,2,false))</f>
        <v>0</v>
      </c>
      <c r="G72" s="44">
        <f>if(OR($F72=1, $F72=2),VLOOKUP($B72,Courts!$B$2:$K$50,10,false),0)</f>
        <v>0</v>
      </c>
      <c r="H72" s="45">
        <f t="shared" si="3"/>
        <v>0</v>
      </c>
      <c r="I72" s="44">
        <f>if(OR($F72=1, $F72=2),VLOOKUP($B72,Courts!$B$2:$J$50,5,false),0)</f>
        <v>0</v>
      </c>
      <c r="J72" s="44">
        <f>if(OR($F72=1, $F72=2),VLOOKUP($B72,Courts!$B$2:$J$50,6,false),0)</f>
        <v>0</v>
      </c>
      <c r="K72" s="44">
        <f>if(OR($F72=1, $F72=2),VLOOKUP($B72,Courts!$B$2:$J$50,7,false),0)</f>
        <v>0</v>
      </c>
      <c r="L72" s="48">
        <f t="shared" si="4"/>
        <v>0</v>
      </c>
      <c r="M72" s="44">
        <f>if(OR($F72=1, $F72=2),VLOOKUP($B72,Courts!$B$2:$J$50,9,false),0)</f>
        <v>0</v>
      </c>
      <c r="N72" s="37">
        <f t="shared" ref="N72:O72" si="79">C72+L72</f>
        <v>236</v>
      </c>
      <c r="O72" s="37">
        <f t="shared" si="79"/>
        <v>5</v>
      </c>
      <c r="P72" s="49" t="s">
        <v>57</v>
      </c>
      <c r="Q72" s="49" t="s">
        <v>57</v>
      </c>
      <c r="R72" s="49" t="s">
        <v>57</v>
      </c>
      <c r="S72" s="51">
        <f t="shared" si="6"/>
        <v>6</v>
      </c>
      <c r="T72" s="52">
        <f t="shared" si="7"/>
        <v>0</v>
      </c>
      <c r="U72" s="52"/>
      <c r="V72" s="51">
        <f t="shared" si="8"/>
        <v>19</v>
      </c>
      <c r="W72" s="52">
        <f t="shared" si="9"/>
        <v>0</v>
      </c>
      <c r="X72" s="35">
        <f t="shared" si="14"/>
        <v>68</v>
      </c>
      <c r="Y72" s="35" t="str">
        <f t="shared" si="10"/>
        <v>N</v>
      </c>
      <c r="Z72" s="19" t="str">
        <f t="shared" si="11"/>
        <v/>
      </c>
    </row>
    <row r="73">
      <c r="A73" s="35">
        <f t="shared" si="12"/>
        <v>69</v>
      </c>
      <c r="B73" s="36" t="s">
        <v>125</v>
      </c>
      <c r="C73" s="37">
        <v>235.0</v>
      </c>
      <c r="D73" s="37">
        <v>3.0</v>
      </c>
      <c r="E73" s="40">
        <f t="shared" si="2"/>
        <v>19</v>
      </c>
      <c r="F73" s="41">
        <f>if(isna(VLOOKUP(B73,Checkin!A:B,2,false)),0,VLOOKUP(B73,Checkin!A:B,2,false))</f>
        <v>0</v>
      </c>
      <c r="G73" s="44">
        <f>if(OR($F73=1, $F73=2),VLOOKUP($B73,Courts!$B$2:$K$50,10,false),0)</f>
        <v>0</v>
      </c>
      <c r="H73" s="45">
        <f t="shared" si="3"/>
        <v>0</v>
      </c>
      <c r="I73" s="44">
        <f>if(OR($F73=1, $F73=2),VLOOKUP($B73,Courts!$B$2:$J$50,5,false),0)</f>
        <v>0</v>
      </c>
      <c r="J73" s="44">
        <f>if(OR($F73=1, $F73=2),VLOOKUP($B73,Courts!$B$2:$J$50,6,false),0)</f>
        <v>0</v>
      </c>
      <c r="K73" s="44">
        <f>if(OR($F73=1, $F73=2),VLOOKUP($B73,Courts!$B$2:$J$50,7,false),0)</f>
        <v>0</v>
      </c>
      <c r="L73" s="48">
        <f t="shared" si="4"/>
        <v>0</v>
      </c>
      <c r="M73" s="44">
        <f>if(OR($F73=1, $F73=2),VLOOKUP($B73,Courts!$B$2:$J$50,9,false),0)</f>
        <v>0</v>
      </c>
      <c r="N73" s="37">
        <f t="shared" ref="N73:O73" si="80">C73+L73</f>
        <v>235</v>
      </c>
      <c r="O73" s="37">
        <f t="shared" si="80"/>
        <v>3</v>
      </c>
      <c r="P73" s="49" t="s">
        <v>57</v>
      </c>
      <c r="Q73" s="49" t="s">
        <v>57</v>
      </c>
      <c r="R73" s="49" t="s">
        <v>155</v>
      </c>
      <c r="S73" s="51">
        <f t="shared" si="6"/>
        <v>1</v>
      </c>
      <c r="T73" s="52">
        <f t="shared" si="7"/>
        <v>0</v>
      </c>
      <c r="U73" s="52"/>
      <c r="V73" s="51">
        <f t="shared" si="8"/>
        <v>24</v>
      </c>
      <c r="W73" s="52">
        <f t="shared" si="9"/>
        <v>0</v>
      </c>
      <c r="X73" s="35">
        <f t="shared" si="14"/>
        <v>69</v>
      </c>
      <c r="Y73" s="35" t="str">
        <f t="shared" si="10"/>
        <v>N</v>
      </c>
      <c r="Z73" s="19" t="str">
        <f t="shared" si="11"/>
        <v/>
      </c>
    </row>
    <row r="74">
      <c r="A74" s="35">
        <f t="shared" si="12"/>
        <v>70</v>
      </c>
      <c r="B74" s="36" t="s">
        <v>78</v>
      </c>
      <c r="C74" s="37">
        <v>235.0</v>
      </c>
      <c r="D74" s="37">
        <v>2.0</v>
      </c>
      <c r="E74" s="40">
        <f t="shared" si="2"/>
        <v>15</v>
      </c>
      <c r="F74" s="41">
        <f>if(isna(VLOOKUP(B74,Checkin!A:B,2,false)),0,VLOOKUP(B74,Checkin!A:B,2,false))</f>
        <v>0</v>
      </c>
      <c r="G74" s="44">
        <f>if(OR($F74=1, $F74=2),VLOOKUP($B74,Courts!$B$2:$K$50,10,false),0)</f>
        <v>0</v>
      </c>
      <c r="H74" s="45">
        <f t="shared" si="3"/>
        <v>0</v>
      </c>
      <c r="I74" s="44">
        <f>if(OR($F74=1, $F74=2),VLOOKUP($B74,Courts!$B$2:$J$50,5,false),0)</f>
        <v>0</v>
      </c>
      <c r="J74" s="44">
        <f>if(OR($F74=1, $F74=2),VLOOKUP($B74,Courts!$B$2:$J$50,6,false),0)</f>
        <v>0</v>
      </c>
      <c r="K74" s="44">
        <f>if(OR($F74=1, $F74=2),VLOOKUP($B74,Courts!$B$2:$J$50,7,false),0)</f>
        <v>0</v>
      </c>
      <c r="L74" s="48">
        <f t="shared" si="4"/>
        <v>0</v>
      </c>
      <c r="M74" s="44">
        <f>if(OR($F74=1, $F74=2),VLOOKUP($B74,Courts!$B$2:$J$50,9,false),0)</f>
        <v>0</v>
      </c>
      <c r="N74" s="37">
        <f t="shared" ref="N74:O74" si="81">C74+L74</f>
        <v>235</v>
      </c>
      <c r="O74" s="37">
        <f t="shared" si="81"/>
        <v>2</v>
      </c>
      <c r="P74" s="49" t="s">
        <v>57</v>
      </c>
      <c r="Q74" s="49" t="s">
        <v>57</v>
      </c>
      <c r="R74" s="49" t="s">
        <v>155</v>
      </c>
      <c r="S74" s="51">
        <f t="shared" si="6"/>
        <v>1</v>
      </c>
      <c r="T74" s="52">
        <f t="shared" si="7"/>
        <v>1</v>
      </c>
      <c r="U74" s="52"/>
      <c r="V74" s="51">
        <f t="shared" si="8"/>
        <v>23</v>
      </c>
      <c r="W74" s="52">
        <f t="shared" si="9"/>
        <v>0</v>
      </c>
      <c r="X74" s="35">
        <f t="shared" si="14"/>
        <v>70</v>
      </c>
      <c r="Y74" s="35" t="str">
        <f t="shared" si="10"/>
        <v>N</v>
      </c>
      <c r="Z74" s="19" t="str">
        <f t="shared" si="11"/>
        <v/>
      </c>
    </row>
    <row r="75">
      <c r="A75" s="35">
        <f t="shared" si="12"/>
        <v>71</v>
      </c>
      <c r="B75" s="36" t="s">
        <v>106</v>
      </c>
      <c r="C75" s="37">
        <v>231.0</v>
      </c>
      <c r="D75" s="37">
        <v>1.0</v>
      </c>
      <c r="E75" s="40">
        <f t="shared" si="2"/>
        <v>15</v>
      </c>
      <c r="F75" s="41">
        <f>if(isna(VLOOKUP(B75,Checkin!A:B,2,false)),0,VLOOKUP(B75,Checkin!A:B,2,false))</f>
        <v>0</v>
      </c>
      <c r="G75" s="44">
        <f>if(OR($F75=1, $F75=2),VLOOKUP($B75,Courts!$B$2:$K$50,10,false),0)</f>
        <v>0</v>
      </c>
      <c r="H75" s="45">
        <f t="shared" si="3"/>
        <v>0</v>
      </c>
      <c r="I75" s="44">
        <f>if(OR($F75=1, $F75=2),VLOOKUP($B75,Courts!$B$2:$J$50,5,false),0)</f>
        <v>0</v>
      </c>
      <c r="J75" s="44">
        <f>if(OR($F75=1, $F75=2),VLOOKUP($B75,Courts!$B$2:$J$50,6,false),0)</f>
        <v>0</v>
      </c>
      <c r="K75" s="44">
        <f>if(OR($F75=1, $F75=2),VLOOKUP($B75,Courts!$B$2:$J$50,7,false),0)</f>
        <v>0</v>
      </c>
      <c r="L75" s="48">
        <f t="shared" si="4"/>
        <v>0</v>
      </c>
      <c r="M75" s="44">
        <f>if(OR($F75=1, $F75=2),VLOOKUP($B75,Courts!$B$2:$J$50,9,false),0)</f>
        <v>0</v>
      </c>
      <c r="N75" s="37">
        <f t="shared" ref="N75:O75" si="82">C75+L75</f>
        <v>231</v>
      </c>
      <c r="O75" s="37">
        <f t="shared" si="82"/>
        <v>1</v>
      </c>
      <c r="P75" s="49" t="s">
        <v>57</v>
      </c>
      <c r="Q75" s="49" t="s">
        <v>57</v>
      </c>
      <c r="R75" s="49"/>
      <c r="S75" s="51">
        <f t="shared" si="6"/>
        <v>1</v>
      </c>
      <c r="T75" s="52">
        <f t="shared" si="7"/>
        <v>0</v>
      </c>
      <c r="U75" s="52"/>
      <c r="V75" s="51">
        <f t="shared" si="8"/>
        <v>24</v>
      </c>
      <c r="W75" s="52">
        <f t="shared" si="9"/>
        <v>0</v>
      </c>
      <c r="X75" s="35">
        <f t="shared" si="14"/>
        <v>71</v>
      </c>
      <c r="Y75" s="35" t="str">
        <f t="shared" si="10"/>
        <v>N</v>
      </c>
      <c r="Z75" s="19" t="str">
        <f t="shared" si="11"/>
        <v/>
      </c>
    </row>
    <row r="76">
      <c r="A76" s="35">
        <f t="shared" si="12"/>
        <v>72</v>
      </c>
      <c r="B76" s="36" t="s">
        <v>141</v>
      </c>
      <c r="C76" s="37">
        <v>230.0</v>
      </c>
      <c r="D76" s="37">
        <v>1.0</v>
      </c>
      <c r="E76" s="40">
        <f t="shared" si="2"/>
        <v>14</v>
      </c>
      <c r="F76" s="41">
        <f>if(isna(VLOOKUP(B76,Checkin!A:B,2,false)),0,VLOOKUP(B76,Checkin!A:B,2,false))</f>
        <v>0</v>
      </c>
      <c r="G76" s="44">
        <f>if(OR($F76=1, $F76=2),VLOOKUP($B76,Courts!$B$2:$K$50,10,false),0)</f>
        <v>0</v>
      </c>
      <c r="H76" s="45">
        <f t="shared" si="3"/>
        <v>0</v>
      </c>
      <c r="I76" s="44">
        <f>if(OR($F76=1, $F76=2),VLOOKUP($B76,Courts!$B$2:$J$50,5,false),0)</f>
        <v>0</v>
      </c>
      <c r="J76" s="44">
        <f>if(OR($F76=1, $F76=2),VLOOKUP($B76,Courts!$B$2:$J$50,6,false),0)</f>
        <v>0</v>
      </c>
      <c r="K76" s="44">
        <f>if(OR($F76=1, $F76=2),VLOOKUP($B76,Courts!$B$2:$J$50,7,false),0)</f>
        <v>0</v>
      </c>
      <c r="L76" s="48">
        <f t="shared" si="4"/>
        <v>0</v>
      </c>
      <c r="M76" s="44">
        <f>if(OR($F76=1, $F76=2),VLOOKUP($B76,Courts!$B$2:$J$50,9,false),0)</f>
        <v>0</v>
      </c>
      <c r="N76" s="37">
        <f t="shared" ref="N76:O76" si="83">C76+L76</f>
        <v>230</v>
      </c>
      <c r="O76" s="37">
        <f t="shared" si="83"/>
        <v>1</v>
      </c>
      <c r="P76" s="49" t="s">
        <v>57</v>
      </c>
      <c r="Q76" s="49" t="s">
        <v>57</v>
      </c>
      <c r="R76" s="49" t="s">
        <v>57</v>
      </c>
      <c r="S76" s="51">
        <f t="shared" si="6"/>
        <v>1</v>
      </c>
      <c r="T76" s="52">
        <f t="shared" si="7"/>
        <v>0</v>
      </c>
      <c r="U76" s="52"/>
      <c r="V76" s="51">
        <f t="shared" si="8"/>
        <v>24</v>
      </c>
      <c r="W76" s="52">
        <f t="shared" si="9"/>
        <v>0</v>
      </c>
      <c r="X76" s="35">
        <f t="shared" si="14"/>
        <v>72</v>
      </c>
      <c r="Y76" s="35" t="str">
        <f t="shared" si="10"/>
        <v>N</v>
      </c>
      <c r="Z76" s="19" t="str">
        <f t="shared" si="11"/>
        <v/>
      </c>
    </row>
    <row r="77">
      <c r="A77" s="35">
        <f t="shared" si="12"/>
        <v>73</v>
      </c>
      <c r="B77" s="36" t="s">
        <v>124</v>
      </c>
      <c r="C77" s="37">
        <v>227.0</v>
      </c>
      <c r="D77" s="37">
        <v>1.0</v>
      </c>
      <c r="E77" s="40">
        <f t="shared" si="2"/>
        <v>11</v>
      </c>
      <c r="F77" s="41">
        <f>if(isna(VLOOKUP(B77,Checkin!A:B,2,false)),0,VLOOKUP(B77,Checkin!A:B,2,false))</f>
        <v>0</v>
      </c>
      <c r="G77" s="44">
        <f>if(OR($F77=1, $F77=2),VLOOKUP($B77,Courts!$B$2:$K$50,10,false),0)</f>
        <v>0</v>
      </c>
      <c r="H77" s="45">
        <f t="shared" si="3"/>
        <v>0</v>
      </c>
      <c r="I77" s="44">
        <f>if(OR($F77=1, $F77=2),VLOOKUP($B77,Courts!$B$2:$J$50,5,false),0)</f>
        <v>0</v>
      </c>
      <c r="J77" s="44">
        <f>if(OR($F77=1, $F77=2),VLOOKUP($B77,Courts!$B$2:$J$50,6,false),0)</f>
        <v>0</v>
      </c>
      <c r="K77" s="44">
        <f>if(OR($F77=1, $F77=2),VLOOKUP($B77,Courts!$B$2:$J$50,7,false),0)</f>
        <v>0</v>
      </c>
      <c r="L77" s="48">
        <f t="shared" si="4"/>
        <v>0</v>
      </c>
      <c r="M77" s="44">
        <f>if(OR($F77=1, $F77=2),VLOOKUP($B77,Courts!$B$2:$J$50,9,false),0)</f>
        <v>0</v>
      </c>
      <c r="N77" s="37">
        <f t="shared" ref="N77:O77" si="84">C77+L77</f>
        <v>227</v>
      </c>
      <c r="O77" s="37">
        <f t="shared" si="84"/>
        <v>1</v>
      </c>
      <c r="P77" s="49" t="s">
        <v>57</v>
      </c>
      <c r="Q77" s="49" t="s">
        <v>57</v>
      </c>
      <c r="R77" s="49" t="s">
        <v>155</v>
      </c>
      <c r="S77" s="51">
        <f t="shared" si="6"/>
        <v>1</v>
      </c>
      <c r="T77" s="52">
        <f t="shared" si="7"/>
        <v>0</v>
      </c>
      <c r="U77" s="52"/>
      <c r="V77" s="51">
        <f t="shared" si="8"/>
        <v>24</v>
      </c>
      <c r="W77" s="52">
        <f t="shared" si="9"/>
        <v>0</v>
      </c>
      <c r="X77" s="35">
        <f t="shared" si="14"/>
        <v>73</v>
      </c>
      <c r="Y77" s="35" t="str">
        <f t="shared" si="10"/>
        <v>N</v>
      </c>
      <c r="Z77" s="19" t="str">
        <f t="shared" si="11"/>
        <v/>
      </c>
    </row>
    <row r="78">
      <c r="A78" s="35">
        <f t="shared" si="12"/>
        <v>74</v>
      </c>
      <c r="B78" s="36" t="s">
        <v>87</v>
      </c>
      <c r="C78" s="37">
        <v>225.0</v>
      </c>
      <c r="D78" s="37">
        <v>0.0</v>
      </c>
      <c r="E78" s="40">
        <f t="shared" si="2"/>
        <v>9</v>
      </c>
      <c r="F78" s="41">
        <f>if(isna(VLOOKUP(B78,Checkin!A:B,2,false)),0,VLOOKUP(B78,Checkin!A:B,2,false))</f>
        <v>0</v>
      </c>
      <c r="G78" s="44">
        <f>if(OR($F78=1, $F78=2),VLOOKUP($B78,Courts!$B$2:$K$50,10,false),0)</f>
        <v>0</v>
      </c>
      <c r="H78" s="45">
        <f t="shared" si="3"/>
        <v>0</v>
      </c>
      <c r="I78" s="44">
        <f>if(OR($F78=1, $F78=2),VLOOKUP($B78,Courts!$B$2:$J$50,5,false),0)</f>
        <v>0</v>
      </c>
      <c r="J78" s="44">
        <f>if(OR($F78=1, $F78=2),VLOOKUP($B78,Courts!$B$2:$J$50,6,false),0)</f>
        <v>0</v>
      </c>
      <c r="K78" s="44">
        <f>if(OR($F78=1, $F78=2),VLOOKUP($B78,Courts!$B$2:$J$50,7,false),0)</f>
        <v>0</v>
      </c>
      <c r="L78" s="48">
        <f t="shared" si="4"/>
        <v>0</v>
      </c>
      <c r="M78" s="44">
        <f>if(OR($F78=1, $F78=2),VLOOKUP($B78,Courts!$B$2:$J$50,9,false),0)</f>
        <v>0</v>
      </c>
      <c r="N78" s="37">
        <f t="shared" ref="N78:O78" si="85">C78+L78</f>
        <v>225</v>
      </c>
      <c r="O78" s="37">
        <f t="shared" si="85"/>
        <v>0</v>
      </c>
      <c r="P78" s="49" t="s">
        <v>57</v>
      </c>
      <c r="Q78" s="49" t="s">
        <v>57</v>
      </c>
      <c r="R78" s="49" t="s">
        <v>155</v>
      </c>
      <c r="S78" s="51">
        <f t="shared" si="6"/>
        <v>1</v>
      </c>
      <c r="T78" s="52">
        <f t="shared" si="7"/>
        <v>0</v>
      </c>
      <c r="U78" s="52"/>
      <c r="V78" s="51">
        <f t="shared" si="8"/>
        <v>24</v>
      </c>
      <c r="W78" s="52">
        <f t="shared" si="9"/>
        <v>0</v>
      </c>
      <c r="X78" s="35">
        <f t="shared" si="14"/>
        <v>74</v>
      </c>
      <c r="Y78" s="35" t="str">
        <f t="shared" si="10"/>
        <v>N</v>
      </c>
      <c r="Z78" s="19" t="str">
        <f t="shared" si="11"/>
        <v/>
      </c>
    </row>
    <row r="79">
      <c r="A79" s="35">
        <f t="shared" si="12"/>
        <v>75</v>
      </c>
      <c r="B79" s="36" t="s">
        <v>105</v>
      </c>
      <c r="C79" s="37">
        <v>225.0</v>
      </c>
      <c r="D79" s="37">
        <v>0.0</v>
      </c>
      <c r="E79" s="40">
        <f t="shared" si="2"/>
        <v>0</v>
      </c>
      <c r="F79" s="41">
        <f>if(isna(VLOOKUP(B79,Checkin!A:B,2,false)),0,VLOOKUP(B79,Checkin!A:B,2,false))</f>
        <v>0</v>
      </c>
      <c r="G79" s="44">
        <f>if(OR($F79=1, $F79=2),VLOOKUP($B79,Courts!$B$2:$K$50,10,false),0)</f>
        <v>0</v>
      </c>
      <c r="H79" s="45">
        <f t="shared" si="3"/>
        <v>0</v>
      </c>
      <c r="I79" s="44">
        <f>if(OR($F79=1, $F79=2),VLOOKUP($B79,Courts!$B$2:$J$50,5,false),0)</f>
        <v>0</v>
      </c>
      <c r="J79" s="44">
        <f>if(OR($F79=1, $F79=2),VLOOKUP($B79,Courts!$B$2:$J$50,6,false),0)</f>
        <v>0</v>
      </c>
      <c r="K79" s="44">
        <f>if(OR($F79=1, $F79=2),VLOOKUP($B79,Courts!$B$2:$J$50,7,false),0)</f>
        <v>0</v>
      </c>
      <c r="L79" s="48">
        <f t="shared" si="4"/>
        <v>0</v>
      </c>
      <c r="M79" s="44">
        <f>if(OR($F79=1, $F79=2),VLOOKUP($B79,Courts!$B$2:$J$50,9,false),0)</f>
        <v>0</v>
      </c>
      <c r="N79" s="37">
        <f t="shared" ref="N79:O79" si="86">C79+L79</f>
        <v>225</v>
      </c>
      <c r="O79" s="37">
        <f t="shared" si="86"/>
        <v>0</v>
      </c>
      <c r="P79" s="49" t="s">
        <v>57</v>
      </c>
      <c r="Q79" s="49" t="s">
        <v>57</v>
      </c>
      <c r="R79" s="49" t="s">
        <v>155</v>
      </c>
      <c r="S79" s="51">
        <f t="shared" si="6"/>
        <v>0</v>
      </c>
      <c r="T79" s="52">
        <f t="shared" si="7"/>
        <v>0</v>
      </c>
      <c r="U79" s="52"/>
      <c r="V79" s="51">
        <f t="shared" si="8"/>
        <v>25</v>
      </c>
      <c r="W79" s="52">
        <f t="shared" si="9"/>
        <v>0</v>
      </c>
      <c r="X79" s="35">
        <f t="shared" si="14"/>
        <v>75</v>
      </c>
      <c r="Y79" s="35" t="str">
        <f t="shared" si="10"/>
        <v>N</v>
      </c>
      <c r="Z79" s="19" t="str">
        <f t="shared" si="11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countif(R5:R79,"X")</f>
        <v>65</v>
      </c>
      <c r="S84" s="114">
        <f>R84/R87</f>
        <v>0.8666666667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countif(R5:R79,"N")</f>
        <v>8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countif(R5:R79,"")</f>
        <v>2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75</v>
      </c>
    </row>
    <row r="88">
      <c r="A88" s="5"/>
      <c r="B88" s="119" t="str">
        <f>concatenate("Top Scores : " &amp;AC2)</f>
        <v>Top Scores : 06/27/26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desc"",0)"),"Darren Wong")</f>
        <v>Darren Wong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IFERROR(__xludf.DUMMYFUNCTION("""COMPUTED_VALUE"""),3.0)</f>
        <v>3</v>
      </c>
      <c r="F91" s="5"/>
    </row>
    <row r="92">
      <c r="A92" s="5"/>
      <c r="B92" s="36" t="str">
        <f>IFERROR(__xludf.DUMMYFUNCTION("""COMPUTED_VALUE"""),"Eric Tan")</f>
        <v>Eric Tan</v>
      </c>
      <c r="C92" s="122">
        <f>IFERROR(__xludf.DUMMYFUNCTION("""COMPUTED_VALUE"""),19.0)</f>
        <v>19</v>
      </c>
      <c r="D92" s="122">
        <f>IFERROR(__xludf.DUMMYFUNCTION("""COMPUTED_VALUE"""),2.0)</f>
        <v>2</v>
      </c>
      <c r="E92" s="122">
        <f>IFERROR(__xludf.DUMMYFUNCTION("""COMPUTED_VALUE"""),8.0)</f>
        <v>8</v>
      </c>
      <c r="F92" s="5"/>
    </row>
    <row r="93">
      <c r="A93" s="5"/>
      <c r="B93" s="36" t="str">
        <f>IFERROR(__xludf.DUMMYFUNCTION("""COMPUTED_VALUE"""),"Tom Le")</f>
        <v>Tom Le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IFERROR(__xludf.DUMMYFUNCTION("""COMPUTED_VALUE"""),2.0)</f>
        <v>2</v>
      </c>
      <c r="F93" s="5"/>
    </row>
    <row r="94">
      <c r="A94" s="5"/>
      <c r="B94" s="36" t="str">
        <f>IFERROR(__xludf.DUMMYFUNCTION("""COMPUTED_VALUE"""),"Jaya Sogata")</f>
        <v>Jaya Sogata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IFERROR(__xludf.DUMMYFUNCTION("""COMPUTED_VALUE"""),4.0)</f>
        <v>4</v>
      </c>
      <c r="F94" s="5"/>
    </row>
    <row r="95">
      <c r="A95" s="5"/>
      <c r="B95" s="36" t="str">
        <f>IFERROR(__xludf.DUMMYFUNCTION("""COMPUTED_VALUE"""),"Rajasekar Ramasamy")</f>
        <v>Rajasekar Ramasamy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IFERROR(__xludf.DUMMYFUNCTION("""COMPUTED_VALUE"""),5.0)</f>
        <v>5</v>
      </c>
      <c r="F95" s="5"/>
    </row>
    <row r="96">
      <c r="A96" s="5"/>
      <c r="B96" s="36" t="str">
        <f>IFERROR(__xludf.DUMMYFUNCTION("""COMPUTED_VALUE"""),"Vinotkumar Nagappan")</f>
        <v>Vinotkumar Nagappan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IFERROR(__xludf.DUMMYFUNCTION("""COMPUTED_VALUE"""),6.0)</f>
        <v>6</v>
      </c>
      <c r="F96" s="5"/>
    </row>
    <row r="97">
      <c r="A97" s="5"/>
      <c r="B97" s="36" t="str">
        <f>IFERROR(__xludf.DUMMYFUNCTION("""COMPUTED_VALUE"""),"Vishnu Amarnath")</f>
        <v>Vishnu Amarnath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IFERROR(__xludf.DUMMYFUNCTION("""COMPUTED_VALUE"""),7.0)</f>
        <v>7</v>
      </c>
      <c r="F97" s="5"/>
    </row>
    <row r="98">
      <c r="A98" s="5"/>
      <c r="B98" s="36" t="str">
        <f>IFERROR(__xludf.DUMMYFUNCTION("""COMPUTED_VALUE"""),"Andrew Wen")</f>
        <v>Andrew Wen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IFERROR(__xludf.DUMMYFUNCTION("""COMPUTED_VALUE"""),8.0)</f>
        <v>8</v>
      </c>
      <c r="F98" s="5"/>
    </row>
    <row r="99">
      <c r="A99" s="5"/>
      <c r="B99" s="36" t="str">
        <f>IFERROR(__xludf.DUMMYFUNCTION("""COMPUTED_VALUE"""),"Ranjith Doraiswamy")</f>
        <v>Ranjith Doraiswamy</v>
      </c>
      <c r="C99" s="122">
        <f>IFERROR(__xludf.DUMMYFUNCTION("""COMPUTED_VALUE"""),18.0)</f>
        <v>18</v>
      </c>
      <c r="D99" s="122">
        <f>IFERROR(__xludf.DUMMYFUNCTION("""COMPUTED_VALUE"""),2.0)</f>
        <v>2</v>
      </c>
      <c r="E99" s="122">
        <f>IFERROR(__xludf.DUMMYFUNCTION("""COMPUTED_VALUE"""),8.0)</f>
        <v>8</v>
      </c>
      <c r="F99" s="5"/>
    </row>
    <row r="100" ht="26.25" customHeight="1">
      <c r="A100" s="5"/>
      <c r="B100" s="36"/>
      <c r="C100" s="36"/>
      <c r="D100" s="36"/>
      <c r="E100" s="36"/>
      <c r="F100" s="5"/>
    </row>
    <row r="101" ht="27.0" customHeight="1">
      <c r="A101" s="5"/>
      <c r="B101" s="36"/>
      <c r="C101" s="36"/>
      <c r="D101" s="36"/>
      <c r="E101" s="36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185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10"")"),"Eric Tan")</f>
        <v>Eric Tan</v>
      </c>
      <c r="C110" s="122">
        <f>IFERROR(__xludf.DUMMYFUNCTION("""COMPUTED_VALUE"""),11.0)</f>
        <v>11</v>
      </c>
      <c r="D110" s="122">
        <f t="shared" ref="D110:D119" si="87">VLOOKUP(B110,indirect($AC$2&amp;"!B$5:X$79"),23, false)</f>
        <v>52</v>
      </c>
      <c r="E110" s="122">
        <f t="shared" ref="E110:E119" si="88">VLOOKUP(B110,B$5:X$79,23, false)</f>
        <v>41</v>
      </c>
      <c r="F110" s="122">
        <f t="shared" ref="F110:F119" si="89">VLOOKUP(B110,indirect($AC$2&amp;"!B$5:U$79"),11, false)</f>
        <v>19</v>
      </c>
      <c r="G110" s="122">
        <f t="shared" ref="G110:G119" si="90">VLOOKUP(B110,indirect($AC$2&amp;"!B$5:U$79"),6, false)</f>
        <v>8</v>
      </c>
      <c r="L110" s="122" t="str">
        <f t="shared" ref="L110:L119" si="91">if(D110-E110=C110,"ok","Error")</f>
        <v>ok</v>
      </c>
    </row>
    <row r="111">
      <c r="A111" s="5"/>
      <c r="B111" s="36" t="str">
        <f>IFERROR(__xludf.DUMMYFUNCTION("""COMPUTED_VALUE"""),"Vinotkumar Nagappan")</f>
        <v>Vinotkumar Nagappan</v>
      </c>
      <c r="C111" s="122">
        <f>IFERROR(__xludf.DUMMYFUNCTION("""COMPUTED_VALUE"""),9.0)</f>
        <v>9</v>
      </c>
      <c r="D111" s="122">
        <f t="shared" si="87"/>
        <v>33</v>
      </c>
      <c r="E111" s="122">
        <f t="shared" si="88"/>
        <v>24</v>
      </c>
      <c r="F111" s="122">
        <f t="shared" si="89"/>
        <v>18</v>
      </c>
      <c r="G111" s="122">
        <f t="shared" si="90"/>
        <v>6</v>
      </c>
      <c r="L111" s="122" t="str">
        <f t="shared" si="91"/>
        <v>ok</v>
      </c>
    </row>
    <row r="112">
      <c r="A112" s="5"/>
      <c r="B112" s="36" t="str">
        <f>IFERROR(__xludf.DUMMYFUNCTION("""COMPUTED_VALUE"""),"Darren Wong")</f>
        <v>Darren Wong</v>
      </c>
      <c r="C112" s="122">
        <f>IFERROR(__xludf.DUMMYFUNCTION("""COMPUTED_VALUE"""),8.0)</f>
        <v>8</v>
      </c>
      <c r="D112" s="122">
        <f t="shared" si="87"/>
        <v>15</v>
      </c>
      <c r="E112" s="122">
        <f t="shared" si="88"/>
        <v>7</v>
      </c>
      <c r="F112" s="122">
        <f t="shared" si="89"/>
        <v>19</v>
      </c>
      <c r="G112" s="122">
        <f t="shared" si="90"/>
        <v>3</v>
      </c>
      <c r="L112" s="122" t="str">
        <f t="shared" si="91"/>
        <v>ok</v>
      </c>
    </row>
    <row r="113">
      <c r="A113" s="5"/>
      <c r="B113" s="36" t="str">
        <f>IFERROR(__xludf.DUMMYFUNCTION("""COMPUTED_VALUE"""),"Jaya Sogata")</f>
        <v>Jaya Sogata</v>
      </c>
      <c r="C113" s="122">
        <f>IFERROR(__xludf.DUMMYFUNCTION("""COMPUTED_VALUE"""),7.0)</f>
        <v>7</v>
      </c>
      <c r="D113" s="122">
        <f t="shared" si="87"/>
        <v>24</v>
      </c>
      <c r="E113" s="122">
        <f t="shared" si="88"/>
        <v>17</v>
      </c>
      <c r="F113" s="122">
        <f t="shared" si="89"/>
        <v>18</v>
      </c>
      <c r="G113" s="122">
        <f t="shared" si="90"/>
        <v>4</v>
      </c>
      <c r="L113" s="122" t="str">
        <f t="shared" si="91"/>
        <v>ok</v>
      </c>
    </row>
    <row r="114">
      <c r="A114" s="5"/>
      <c r="B114" s="36" t="str">
        <f>IFERROR(__xludf.DUMMYFUNCTION("""COMPUTED_VALUE"""),"Rajasekar Ramasamy")</f>
        <v>Rajasekar Ramasamy</v>
      </c>
      <c r="C114" s="122">
        <f>IFERROR(__xludf.DUMMYFUNCTION("""COMPUTED_VALUE"""),7.0)</f>
        <v>7</v>
      </c>
      <c r="D114" s="122">
        <f t="shared" si="87"/>
        <v>25</v>
      </c>
      <c r="E114" s="122">
        <f t="shared" si="88"/>
        <v>18</v>
      </c>
      <c r="F114" s="122">
        <f t="shared" si="89"/>
        <v>18</v>
      </c>
      <c r="G114" s="122">
        <f t="shared" si="90"/>
        <v>5</v>
      </c>
      <c r="L114" s="122" t="str">
        <f t="shared" si="91"/>
        <v>ok</v>
      </c>
    </row>
    <row r="115">
      <c r="A115" s="5"/>
      <c r="B115" s="36" t="str">
        <f>IFERROR(__xludf.DUMMYFUNCTION("""COMPUTED_VALUE"""),"Sean Chang")</f>
        <v>Sean Chang</v>
      </c>
      <c r="C115" s="122">
        <f>IFERROR(__xludf.DUMMYFUNCTION("""COMPUTED_VALUE"""),5.0)</f>
        <v>5</v>
      </c>
      <c r="D115" s="122">
        <f t="shared" si="87"/>
        <v>30</v>
      </c>
      <c r="E115" s="122">
        <f t="shared" si="88"/>
        <v>25</v>
      </c>
      <c r="F115" s="122">
        <f t="shared" si="89"/>
        <v>13</v>
      </c>
      <c r="G115" s="122">
        <f t="shared" si="90"/>
        <v>0</v>
      </c>
      <c r="L115" s="122" t="str">
        <f t="shared" si="91"/>
        <v>ok</v>
      </c>
    </row>
    <row r="116">
      <c r="A116" s="5"/>
      <c r="B116" s="36" t="str">
        <f>IFERROR(__xludf.DUMMYFUNCTION("""COMPUTED_VALUE"""),"Vishnu Amarnath")</f>
        <v>Vishnu Amarnath</v>
      </c>
      <c r="C116" s="122">
        <f>IFERROR(__xludf.DUMMYFUNCTION("""COMPUTED_VALUE"""),5.0)</f>
        <v>5</v>
      </c>
      <c r="D116" s="122">
        <f t="shared" si="87"/>
        <v>44</v>
      </c>
      <c r="E116" s="122">
        <f t="shared" si="88"/>
        <v>39</v>
      </c>
      <c r="F116" s="122">
        <f t="shared" si="89"/>
        <v>18</v>
      </c>
      <c r="G116" s="122">
        <f t="shared" si="90"/>
        <v>7</v>
      </c>
      <c r="L116" s="122" t="str">
        <f t="shared" si="91"/>
        <v>ok</v>
      </c>
    </row>
    <row r="117">
      <c r="A117" s="5"/>
      <c r="B117" s="36" t="str">
        <f>IFERROR(__xludf.DUMMYFUNCTION("""COMPUTED_VALUE"""),"Ranjith Doraiswamy")</f>
        <v>Ranjith Doraiswamy</v>
      </c>
      <c r="C117" s="122">
        <f>IFERROR(__xludf.DUMMYFUNCTION("""COMPUTED_VALUE"""),4.0)</f>
        <v>4</v>
      </c>
      <c r="D117" s="122">
        <f t="shared" si="87"/>
        <v>63</v>
      </c>
      <c r="E117" s="122">
        <f t="shared" si="88"/>
        <v>59</v>
      </c>
      <c r="F117" s="122">
        <f t="shared" si="89"/>
        <v>18</v>
      </c>
      <c r="G117" s="122">
        <f t="shared" si="90"/>
        <v>8</v>
      </c>
      <c r="L117" s="122" t="str">
        <f t="shared" si="91"/>
        <v>ok</v>
      </c>
    </row>
    <row r="118">
      <c r="A118" s="5"/>
      <c r="B118" s="36" t="str">
        <f>IFERROR(__xludf.DUMMYFUNCTION("""COMPUTED_VALUE"""),"Santosh Sundaresan")</f>
        <v>Santosh Sundaresan</v>
      </c>
      <c r="C118" s="122">
        <f>IFERROR(__xludf.DUMMYFUNCTION("""COMPUTED_VALUE"""),3.0)</f>
        <v>3</v>
      </c>
      <c r="D118" s="122">
        <f t="shared" si="87"/>
        <v>66</v>
      </c>
      <c r="E118" s="122">
        <f t="shared" si="88"/>
        <v>63</v>
      </c>
      <c r="F118" s="122">
        <f t="shared" si="89"/>
        <v>13</v>
      </c>
      <c r="G118" s="122">
        <f t="shared" si="90"/>
        <v>0</v>
      </c>
      <c r="L118" s="122" t="str">
        <f t="shared" si="91"/>
        <v>ok</v>
      </c>
    </row>
    <row r="119">
      <c r="A119" s="5"/>
      <c r="B119" s="36" t="str">
        <f>IFERROR(__xludf.DUMMYFUNCTION("""COMPUTED_VALUE"""),"Saravanan Veerapandian")</f>
        <v>Saravanan Veerapandian</v>
      </c>
      <c r="C119" s="122">
        <f>IFERROR(__xludf.DUMMYFUNCTION("""COMPUTED_VALUE"""),3.0)</f>
        <v>3</v>
      </c>
      <c r="D119" s="122">
        <f t="shared" si="87"/>
        <v>67</v>
      </c>
      <c r="E119" s="122">
        <f t="shared" si="88"/>
        <v>64</v>
      </c>
      <c r="F119" s="122">
        <f t="shared" si="89"/>
        <v>15</v>
      </c>
      <c r="G119" s="122">
        <f t="shared" si="90"/>
        <v>8</v>
      </c>
      <c r="L119" s="122" t="str">
        <f t="shared" si="91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25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2">A5</f>
        <v>1</v>
      </c>
      <c r="B128" s="36" t="str">
        <f t="shared" si="92"/>
        <v>Andrew Yao</v>
      </c>
      <c r="C128" s="122">
        <f t="shared" si="92"/>
        <v>381</v>
      </c>
      <c r="D128" s="122">
        <f t="shared" si="92"/>
        <v>50</v>
      </c>
      <c r="E128" s="122">
        <f t="shared" si="92"/>
        <v>16.09090909</v>
      </c>
      <c r="F128" s="5"/>
    </row>
    <row r="129">
      <c r="A129" s="122">
        <f t="shared" ref="A129:E129" si="93">A6</f>
        <v>2</v>
      </c>
      <c r="B129" s="36" t="str">
        <f t="shared" si="93"/>
        <v>Pulkit Mathur</v>
      </c>
      <c r="C129" s="122">
        <f t="shared" si="93"/>
        <v>371</v>
      </c>
      <c r="D129" s="122">
        <f t="shared" si="93"/>
        <v>42</v>
      </c>
      <c r="E129" s="122">
        <f t="shared" si="93"/>
        <v>15.95238095</v>
      </c>
      <c r="F129" s="5"/>
    </row>
    <row r="130">
      <c r="A130" s="122">
        <f t="shared" ref="A130:E130" si="94">A7</f>
        <v>3</v>
      </c>
      <c r="B130" s="36" t="str">
        <f t="shared" si="94"/>
        <v>Sandeep Kamalon</v>
      </c>
      <c r="C130" s="122">
        <f t="shared" si="94"/>
        <v>355</v>
      </c>
      <c r="D130" s="122">
        <f t="shared" si="94"/>
        <v>36</v>
      </c>
      <c r="E130" s="122">
        <f t="shared" si="94"/>
        <v>14.90909091</v>
      </c>
      <c r="F130" s="5"/>
    </row>
    <row r="131">
      <c r="A131" s="122">
        <f t="shared" ref="A131:E131" si="95">A8</f>
        <v>4</v>
      </c>
      <c r="B131" s="36" t="str">
        <f t="shared" si="95"/>
        <v>Tom Le</v>
      </c>
      <c r="C131" s="122">
        <f t="shared" si="95"/>
        <v>336</v>
      </c>
      <c r="D131" s="122">
        <f t="shared" si="95"/>
        <v>34</v>
      </c>
      <c r="E131" s="122">
        <f t="shared" si="95"/>
        <v>17.23076923</v>
      </c>
      <c r="F131" s="5"/>
    </row>
    <row r="132">
      <c r="A132" s="122">
        <f t="shared" ref="A132:E132" si="96">A9</f>
        <v>5</v>
      </c>
      <c r="B132" s="36" t="str">
        <f t="shared" si="96"/>
        <v>Suleman Alidina</v>
      </c>
      <c r="C132" s="122">
        <f t="shared" si="96"/>
        <v>334</v>
      </c>
      <c r="D132" s="122">
        <f t="shared" si="96"/>
        <v>28</v>
      </c>
      <c r="E132" s="122">
        <f t="shared" si="96"/>
        <v>13.85</v>
      </c>
      <c r="F132" s="5"/>
    </row>
    <row r="133">
      <c r="A133" s="122">
        <f t="shared" ref="A133:E133" si="97">A10</f>
        <v>6</v>
      </c>
      <c r="B133" s="36" t="str">
        <f t="shared" si="97"/>
        <v>Pavan Akkimsetty</v>
      </c>
      <c r="C133" s="122">
        <f t="shared" si="97"/>
        <v>330</v>
      </c>
      <c r="D133" s="122">
        <f t="shared" si="97"/>
        <v>30</v>
      </c>
      <c r="E133" s="122">
        <f t="shared" si="97"/>
        <v>14.61111111</v>
      </c>
      <c r="F133" s="5"/>
    </row>
    <row r="134">
      <c r="A134" s="122">
        <f t="shared" ref="A134:E134" si="98">A11</f>
        <v>7</v>
      </c>
      <c r="B134" s="36" t="str">
        <f t="shared" si="98"/>
        <v>Darren Wong</v>
      </c>
      <c r="C134" s="122">
        <f t="shared" si="98"/>
        <v>326</v>
      </c>
      <c r="D134" s="122">
        <f t="shared" si="98"/>
        <v>31</v>
      </c>
      <c r="E134" s="122">
        <f t="shared" si="98"/>
        <v>16.76923077</v>
      </c>
      <c r="F134" s="5"/>
    </row>
    <row r="135">
      <c r="A135" s="122">
        <f t="shared" ref="A135:E135" si="99">A12</f>
        <v>8</v>
      </c>
      <c r="B135" s="36" t="str">
        <f t="shared" si="99"/>
        <v>Matthew Huang</v>
      </c>
      <c r="C135" s="122">
        <f t="shared" si="99"/>
        <v>325</v>
      </c>
      <c r="D135" s="122">
        <f t="shared" si="99"/>
        <v>30</v>
      </c>
      <c r="E135" s="122">
        <f t="shared" si="99"/>
        <v>15</v>
      </c>
      <c r="F135" s="5"/>
    </row>
    <row r="136">
      <c r="A136" s="122">
        <f t="shared" ref="A136:E136" si="100">A13</f>
        <v>9</v>
      </c>
      <c r="B136" s="36" t="str">
        <f t="shared" si="100"/>
        <v>Ethan Gu</v>
      </c>
      <c r="C136" s="122">
        <f t="shared" si="100"/>
        <v>325</v>
      </c>
      <c r="D136" s="122">
        <f t="shared" si="100"/>
        <v>25</v>
      </c>
      <c r="E136" s="122">
        <f t="shared" si="100"/>
        <v>14.26315789</v>
      </c>
      <c r="F136" s="5"/>
    </row>
    <row r="137">
      <c r="A137" s="122">
        <f t="shared" ref="A137:E137" si="101">A14</f>
        <v>10</v>
      </c>
      <c r="B137" s="36" t="str">
        <f t="shared" si="101"/>
        <v>Erik Hoeckmann</v>
      </c>
      <c r="C137" s="122">
        <f t="shared" si="101"/>
        <v>324</v>
      </c>
      <c r="D137" s="122">
        <f t="shared" si="101"/>
        <v>29</v>
      </c>
      <c r="E137" s="122">
        <f t="shared" si="101"/>
        <v>13.75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C141" s="5"/>
      <c r="D141" s="5"/>
      <c r="E141" s="5"/>
      <c r="F141" s="5"/>
    </row>
    <row r="142">
      <c r="A142" s="130" t="s">
        <v>192</v>
      </c>
      <c r="B142" s="26"/>
      <c r="C142" s="5"/>
      <c r="D142" s="5"/>
      <c r="E142" s="5"/>
      <c r="F142" s="5"/>
    </row>
    <row r="143">
      <c r="A143" s="5"/>
      <c r="C143" s="5"/>
      <c r="D143" s="5"/>
      <c r="E143" s="5"/>
      <c r="F143" s="5"/>
    </row>
    <row r="144">
      <c r="A144" s="120" t="s">
        <v>2</v>
      </c>
      <c r="B144" s="120" t="s">
        <v>1</v>
      </c>
      <c r="C144" s="5"/>
      <c r="D144" s="5"/>
      <c r="E144" s="5"/>
      <c r="F144" s="5"/>
    </row>
    <row r="145">
      <c r="A145" s="122">
        <f>if(B145&lt;&gt;"",1,0)</f>
        <v>1</v>
      </c>
      <c r="B145" s="36" t="str">
        <f>IFERROR(__xludf.DUMMYFUNCTION("query(B5:Y79,""select B where Y = 'Y' order by B ASC"")"),"Eric Tan")</f>
        <v>Eric Tan</v>
      </c>
      <c r="C145" s="5"/>
      <c r="D145" s="5"/>
      <c r="E145" s="5"/>
      <c r="F145" s="5"/>
    </row>
    <row r="146">
      <c r="A146" s="122">
        <f t="shared" ref="A146:A220" si="102">if(B146&lt;&gt;"",A145+1,0)</f>
        <v>2</v>
      </c>
      <c r="B146" s="36" t="str">
        <f>IFERROR(__xludf.DUMMYFUNCTION("""COMPUTED_VALUE"""),"Wayne Liu")</f>
        <v>Wayne Liu</v>
      </c>
      <c r="C146" s="5"/>
      <c r="D146" s="5"/>
      <c r="E146" s="5"/>
      <c r="F146" s="5"/>
    </row>
    <row r="147">
      <c r="A147" s="122">
        <f t="shared" si="102"/>
        <v>0</v>
      </c>
      <c r="B147" s="36"/>
      <c r="C147" s="5"/>
      <c r="D147" s="5"/>
      <c r="E147" s="5"/>
      <c r="F147" s="5"/>
      <c r="P147" s="36"/>
    </row>
    <row r="148">
      <c r="A148" s="122">
        <f t="shared" si="102"/>
        <v>0</v>
      </c>
      <c r="B148" s="36"/>
      <c r="C148" s="5"/>
      <c r="D148" s="5"/>
      <c r="E148" s="5"/>
      <c r="F148" s="5"/>
    </row>
    <row r="149">
      <c r="A149" s="122">
        <f t="shared" si="102"/>
        <v>0</v>
      </c>
      <c r="B149" s="36"/>
      <c r="C149" s="5"/>
      <c r="D149" s="5"/>
      <c r="E149" s="5"/>
      <c r="F149" s="5"/>
    </row>
    <row r="150">
      <c r="A150" s="122">
        <f t="shared" si="102"/>
        <v>0</v>
      </c>
      <c r="B150" s="36"/>
      <c r="C150" s="5"/>
      <c r="D150" s="5"/>
      <c r="E150" s="5"/>
      <c r="F150" s="5"/>
    </row>
    <row r="151">
      <c r="A151" s="122">
        <f t="shared" si="102"/>
        <v>0</v>
      </c>
      <c r="B151" s="36"/>
      <c r="C151" s="5"/>
      <c r="D151" s="5"/>
      <c r="E151" s="5"/>
      <c r="F151" s="5"/>
    </row>
    <row r="152">
      <c r="A152" s="122">
        <f t="shared" si="102"/>
        <v>0</v>
      </c>
      <c r="B152" s="36"/>
      <c r="C152" s="5"/>
      <c r="D152" s="5"/>
      <c r="E152" s="5"/>
      <c r="F152" s="5"/>
    </row>
    <row r="153">
      <c r="A153" s="122">
        <f t="shared" si="102"/>
        <v>0</v>
      </c>
      <c r="B153" s="36"/>
      <c r="C153" s="5"/>
      <c r="D153" s="5"/>
      <c r="E153" s="5"/>
      <c r="F153" s="5"/>
    </row>
    <row r="154">
      <c r="A154" s="122">
        <f t="shared" si="102"/>
        <v>0</v>
      </c>
      <c r="B154" s="36"/>
      <c r="C154" s="5"/>
      <c r="D154" s="5"/>
      <c r="E154" s="5"/>
      <c r="F154" s="5"/>
    </row>
    <row r="155">
      <c r="A155" s="122">
        <f t="shared" si="102"/>
        <v>0</v>
      </c>
      <c r="B155" s="36"/>
      <c r="C155" s="5"/>
      <c r="D155" s="5"/>
      <c r="E155" s="5"/>
      <c r="F155" s="5"/>
    </row>
    <row r="156">
      <c r="A156" s="122">
        <f t="shared" si="102"/>
        <v>0</v>
      </c>
      <c r="B156" s="36"/>
      <c r="C156" s="5"/>
      <c r="D156" s="5"/>
      <c r="E156" s="5"/>
      <c r="F156" s="5"/>
    </row>
    <row r="157">
      <c r="A157" s="122">
        <f t="shared" si="102"/>
        <v>0</v>
      </c>
      <c r="B157" s="36"/>
      <c r="C157" s="5"/>
      <c r="D157" s="5"/>
      <c r="E157" s="5"/>
      <c r="F157" s="5"/>
    </row>
    <row r="158">
      <c r="A158" s="122">
        <f t="shared" si="102"/>
        <v>0</v>
      </c>
      <c r="B158" s="36"/>
      <c r="C158" s="5"/>
      <c r="D158" s="5"/>
      <c r="E158" s="5"/>
      <c r="F158" s="5"/>
    </row>
    <row r="159">
      <c r="A159" s="122">
        <f t="shared" si="102"/>
        <v>0</v>
      </c>
      <c r="B159" s="36"/>
      <c r="C159" s="5"/>
      <c r="D159" s="5"/>
      <c r="E159" s="5"/>
      <c r="F159" s="5"/>
    </row>
    <row r="160">
      <c r="A160" s="122">
        <f t="shared" si="102"/>
        <v>0</v>
      </c>
      <c r="B160" s="36"/>
      <c r="C160" s="5"/>
      <c r="D160" s="5"/>
      <c r="E160" s="5"/>
      <c r="F160" s="5"/>
    </row>
    <row r="161">
      <c r="A161" s="122">
        <f t="shared" si="102"/>
        <v>0</v>
      </c>
      <c r="B161" s="36"/>
      <c r="C161" s="5"/>
      <c r="D161" s="5"/>
      <c r="E161" s="5"/>
      <c r="F161" s="5"/>
    </row>
    <row r="162">
      <c r="A162" s="122">
        <f t="shared" si="102"/>
        <v>0</v>
      </c>
      <c r="B162" s="36"/>
      <c r="C162" s="5"/>
      <c r="D162" s="5"/>
      <c r="E162" s="5"/>
      <c r="F162" s="5"/>
    </row>
    <row r="163">
      <c r="A163" s="122">
        <f t="shared" si="102"/>
        <v>0</v>
      </c>
      <c r="B163" s="36"/>
      <c r="C163" s="5"/>
      <c r="D163" s="5"/>
      <c r="E163" s="5"/>
      <c r="F163" s="5"/>
    </row>
    <row r="164">
      <c r="A164" s="122">
        <f t="shared" si="102"/>
        <v>0</v>
      </c>
      <c r="B164" s="36"/>
      <c r="C164" s="5"/>
      <c r="D164" s="5"/>
      <c r="E164" s="5"/>
      <c r="F164" s="5"/>
    </row>
    <row r="165">
      <c r="A165" s="122">
        <f t="shared" si="102"/>
        <v>0</v>
      </c>
      <c r="B165" s="36"/>
      <c r="C165" s="5"/>
      <c r="D165" s="5"/>
      <c r="E165" s="5"/>
      <c r="F165" s="5"/>
    </row>
    <row r="166">
      <c r="A166" s="122">
        <f t="shared" si="102"/>
        <v>0</v>
      </c>
      <c r="B166" s="36"/>
      <c r="C166" s="5"/>
      <c r="D166" s="5"/>
      <c r="E166" s="5"/>
      <c r="F166" s="5"/>
    </row>
    <row r="167">
      <c r="A167" s="122">
        <f t="shared" si="102"/>
        <v>0</v>
      </c>
      <c r="B167" s="36"/>
      <c r="C167" s="5"/>
      <c r="D167" s="5"/>
      <c r="E167" s="5"/>
      <c r="F167" s="5"/>
    </row>
    <row r="168">
      <c r="A168" s="122">
        <f t="shared" si="102"/>
        <v>0</v>
      </c>
      <c r="B168" s="36"/>
      <c r="C168" s="5"/>
      <c r="D168" s="5"/>
      <c r="E168" s="5"/>
      <c r="F168" s="5"/>
    </row>
    <row r="169">
      <c r="A169" s="122">
        <f t="shared" si="102"/>
        <v>0</v>
      </c>
      <c r="B169" s="36"/>
      <c r="C169" s="5"/>
      <c r="D169" s="5"/>
      <c r="E169" s="5"/>
      <c r="F169" s="5"/>
    </row>
    <row r="170">
      <c r="A170" s="122">
        <f t="shared" si="102"/>
        <v>0</v>
      </c>
      <c r="B170" s="36"/>
      <c r="C170" s="5"/>
      <c r="D170" s="5"/>
      <c r="E170" s="5"/>
      <c r="F170" s="5"/>
    </row>
    <row r="171">
      <c r="A171" s="122">
        <f t="shared" si="102"/>
        <v>0</v>
      </c>
      <c r="B171" s="36"/>
      <c r="C171" s="5"/>
      <c r="D171" s="5"/>
      <c r="E171" s="5"/>
      <c r="F171" s="5"/>
    </row>
    <row r="172">
      <c r="A172" s="122">
        <f t="shared" si="102"/>
        <v>0</v>
      </c>
      <c r="B172" s="36"/>
      <c r="C172" s="5"/>
      <c r="D172" s="5"/>
      <c r="E172" s="5"/>
      <c r="F172" s="5"/>
    </row>
    <row r="173">
      <c r="A173" s="122">
        <f t="shared" si="102"/>
        <v>0</v>
      </c>
      <c r="B173" s="36"/>
      <c r="C173" s="5"/>
      <c r="D173" s="5"/>
      <c r="E173" s="5"/>
      <c r="F173" s="5"/>
    </row>
    <row r="174">
      <c r="A174" s="122">
        <f t="shared" si="102"/>
        <v>0</v>
      </c>
      <c r="B174" s="36"/>
      <c r="C174" s="5"/>
      <c r="D174" s="5"/>
      <c r="E174" s="5"/>
      <c r="F174" s="5"/>
    </row>
    <row r="175">
      <c r="A175" s="122">
        <f t="shared" si="102"/>
        <v>0</v>
      </c>
      <c r="B175" s="36"/>
      <c r="C175" s="5"/>
      <c r="D175" s="5"/>
      <c r="E175" s="5"/>
      <c r="F175" s="5"/>
    </row>
    <row r="176">
      <c r="A176" s="122">
        <f t="shared" si="102"/>
        <v>0</v>
      </c>
      <c r="B176" s="36"/>
      <c r="C176" s="5"/>
      <c r="D176" s="5"/>
      <c r="E176" s="5"/>
      <c r="F176" s="5"/>
    </row>
    <row r="177">
      <c r="A177" s="122">
        <f t="shared" si="102"/>
        <v>0</v>
      </c>
      <c r="B177" s="36"/>
      <c r="C177" s="5"/>
      <c r="D177" s="5"/>
      <c r="E177" s="5"/>
      <c r="F177" s="5"/>
    </row>
    <row r="178">
      <c r="A178" s="122">
        <f t="shared" si="102"/>
        <v>0</v>
      </c>
      <c r="B178" s="36"/>
      <c r="C178" s="5"/>
      <c r="D178" s="5"/>
      <c r="E178" s="5"/>
      <c r="F178" s="5"/>
    </row>
    <row r="179">
      <c r="A179" s="122">
        <f t="shared" si="102"/>
        <v>0</v>
      </c>
      <c r="B179" s="36"/>
      <c r="C179" s="5"/>
      <c r="D179" s="5"/>
      <c r="E179" s="5"/>
      <c r="F179" s="5"/>
    </row>
    <row r="180">
      <c r="A180" s="122">
        <f t="shared" si="102"/>
        <v>0</v>
      </c>
      <c r="B180" s="36"/>
      <c r="C180" s="5"/>
      <c r="D180" s="5"/>
      <c r="E180" s="5"/>
      <c r="F180" s="5"/>
    </row>
    <row r="181">
      <c r="A181" s="122">
        <f t="shared" si="102"/>
        <v>0</v>
      </c>
      <c r="B181" s="36"/>
      <c r="C181" s="5"/>
      <c r="D181" s="5"/>
      <c r="E181" s="5"/>
      <c r="F181" s="5"/>
    </row>
    <row r="182">
      <c r="A182" s="122">
        <f t="shared" si="102"/>
        <v>0</v>
      </c>
      <c r="B182" s="36"/>
      <c r="C182" s="5"/>
      <c r="D182" s="5"/>
      <c r="E182" s="5"/>
      <c r="F182" s="5"/>
    </row>
    <row r="183">
      <c r="A183" s="122">
        <f t="shared" si="102"/>
        <v>0</v>
      </c>
      <c r="B183" s="36"/>
      <c r="C183" s="5"/>
      <c r="D183" s="5"/>
      <c r="E183" s="5"/>
      <c r="F183" s="5"/>
    </row>
    <row r="184">
      <c r="A184" s="122">
        <f t="shared" si="102"/>
        <v>0</v>
      </c>
      <c r="B184" s="36"/>
      <c r="C184" s="5"/>
      <c r="D184" s="5"/>
      <c r="E184" s="5"/>
      <c r="F184" s="5"/>
    </row>
    <row r="185">
      <c r="A185" s="122">
        <f t="shared" si="102"/>
        <v>0</v>
      </c>
      <c r="B185" s="36"/>
      <c r="C185" s="5"/>
      <c r="D185" s="5"/>
      <c r="E185" s="5"/>
      <c r="F185" s="5"/>
    </row>
    <row r="186">
      <c r="A186" s="122">
        <f t="shared" si="102"/>
        <v>0</v>
      </c>
      <c r="B186" s="36"/>
      <c r="C186" s="5"/>
      <c r="D186" s="5"/>
      <c r="E186" s="5"/>
      <c r="F186" s="5"/>
    </row>
    <row r="187">
      <c r="A187" s="122">
        <f t="shared" si="102"/>
        <v>0</v>
      </c>
      <c r="B187" s="36"/>
      <c r="C187" s="5"/>
      <c r="D187" s="5"/>
      <c r="E187" s="5"/>
      <c r="F187" s="5"/>
    </row>
    <row r="188">
      <c r="A188" s="122">
        <f t="shared" si="102"/>
        <v>0</v>
      </c>
      <c r="B188" s="36"/>
      <c r="C188" s="5"/>
      <c r="D188" s="5"/>
      <c r="E188" s="5"/>
      <c r="F188" s="5"/>
    </row>
    <row r="189">
      <c r="A189" s="122">
        <f t="shared" si="102"/>
        <v>0</v>
      </c>
      <c r="B189" s="36"/>
      <c r="C189" s="5"/>
      <c r="D189" s="5"/>
      <c r="E189" s="5"/>
      <c r="F189" s="5"/>
    </row>
    <row r="190">
      <c r="A190" s="122">
        <f t="shared" si="102"/>
        <v>0</v>
      </c>
      <c r="B190" s="36"/>
      <c r="C190" s="5"/>
      <c r="D190" s="5"/>
      <c r="E190" s="5"/>
      <c r="F190" s="5"/>
    </row>
    <row r="191">
      <c r="A191" s="122">
        <f t="shared" si="102"/>
        <v>0</v>
      </c>
      <c r="B191" s="36"/>
      <c r="C191" s="5"/>
      <c r="D191" s="5"/>
      <c r="E191" s="5"/>
      <c r="F191" s="5"/>
    </row>
    <row r="192">
      <c r="A192" s="122">
        <f t="shared" si="102"/>
        <v>0</v>
      </c>
      <c r="B192" s="36"/>
      <c r="C192" s="5"/>
      <c r="D192" s="5"/>
      <c r="E192" s="5"/>
      <c r="F192" s="5"/>
    </row>
    <row r="193">
      <c r="A193" s="122">
        <f t="shared" si="102"/>
        <v>0</v>
      </c>
      <c r="B193" s="36"/>
      <c r="C193" s="5"/>
      <c r="D193" s="5"/>
      <c r="E193" s="5"/>
      <c r="F193" s="5"/>
    </row>
    <row r="194">
      <c r="A194" s="122">
        <f t="shared" si="102"/>
        <v>0</v>
      </c>
      <c r="B194" s="36"/>
      <c r="C194" s="5"/>
      <c r="D194" s="5"/>
      <c r="E194" s="5"/>
      <c r="F194" s="5"/>
    </row>
    <row r="195">
      <c r="A195" s="122">
        <f t="shared" si="102"/>
        <v>0</v>
      </c>
      <c r="B195" s="36"/>
      <c r="C195" s="5"/>
      <c r="D195" s="5"/>
      <c r="E195" s="5"/>
      <c r="F195" s="5"/>
    </row>
    <row r="196">
      <c r="A196" s="122">
        <f t="shared" si="102"/>
        <v>0</v>
      </c>
      <c r="B196" s="36"/>
      <c r="C196" s="5"/>
      <c r="D196" s="5"/>
      <c r="E196" s="5"/>
      <c r="F196" s="5"/>
    </row>
    <row r="197">
      <c r="A197" s="122">
        <f t="shared" si="102"/>
        <v>0</v>
      </c>
      <c r="B197" s="36"/>
      <c r="C197" s="5"/>
      <c r="D197" s="5"/>
      <c r="E197" s="5"/>
      <c r="F197" s="5"/>
    </row>
    <row r="198">
      <c r="A198" s="122">
        <f t="shared" si="102"/>
        <v>0</v>
      </c>
      <c r="B198" s="36"/>
      <c r="C198" s="5"/>
      <c r="D198" s="5"/>
      <c r="E198" s="5"/>
      <c r="F198" s="5"/>
    </row>
    <row r="199">
      <c r="A199" s="122">
        <f t="shared" si="102"/>
        <v>0</v>
      </c>
      <c r="B199" s="36"/>
      <c r="C199" s="5"/>
      <c r="D199" s="5"/>
      <c r="E199" s="5"/>
      <c r="F199" s="5"/>
    </row>
    <row r="200">
      <c r="A200" s="122">
        <f t="shared" si="102"/>
        <v>0</v>
      </c>
      <c r="B200" s="36"/>
      <c r="C200" s="5"/>
      <c r="D200" s="5"/>
      <c r="E200" s="5"/>
      <c r="F200" s="5"/>
    </row>
    <row r="201">
      <c r="A201" s="122">
        <f t="shared" si="102"/>
        <v>0</v>
      </c>
      <c r="B201" s="36"/>
      <c r="C201" s="5"/>
      <c r="D201" s="5"/>
      <c r="E201" s="5"/>
      <c r="F201" s="5"/>
    </row>
    <row r="202">
      <c r="A202" s="122">
        <f t="shared" si="102"/>
        <v>0</v>
      </c>
      <c r="B202" s="36"/>
      <c r="C202" s="5"/>
      <c r="D202" s="5"/>
      <c r="E202" s="5"/>
      <c r="F202" s="5"/>
    </row>
    <row r="203">
      <c r="A203" s="122">
        <f t="shared" si="102"/>
        <v>0</v>
      </c>
      <c r="B203" s="36"/>
      <c r="C203" s="5"/>
      <c r="D203" s="5"/>
      <c r="E203" s="5"/>
      <c r="F203" s="5"/>
    </row>
    <row r="204">
      <c r="A204" s="122">
        <f t="shared" si="102"/>
        <v>0</v>
      </c>
      <c r="B204" s="36"/>
      <c r="C204" s="5"/>
      <c r="D204" s="5"/>
      <c r="E204" s="5"/>
      <c r="F204" s="5"/>
    </row>
    <row r="205">
      <c r="A205" s="122">
        <f t="shared" si="102"/>
        <v>0</v>
      </c>
      <c r="B205" s="36"/>
      <c r="C205" s="5"/>
      <c r="D205" s="5"/>
      <c r="E205" s="5"/>
      <c r="F205" s="5"/>
    </row>
    <row r="206">
      <c r="A206" s="122">
        <f t="shared" si="102"/>
        <v>0</v>
      </c>
      <c r="B206" s="36"/>
      <c r="C206" s="5"/>
      <c r="D206" s="5"/>
      <c r="E206" s="5"/>
      <c r="F206" s="5"/>
    </row>
    <row r="207">
      <c r="A207" s="122">
        <f t="shared" si="102"/>
        <v>0</v>
      </c>
      <c r="B207" s="36"/>
      <c r="C207" s="5"/>
      <c r="D207" s="5"/>
      <c r="E207" s="5"/>
      <c r="F207" s="5"/>
    </row>
    <row r="208">
      <c r="A208" s="122">
        <f t="shared" si="102"/>
        <v>0</v>
      </c>
      <c r="B208" s="36"/>
      <c r="C208" s="5"/>
      <c r="D208" s="5"/>
      <c r="E208" s="5"/>
      <c r="F208" s="5"/>
    </row>
    <row r="209">
      <c r="A209" s="122">
        <f t="shared" si="102"/>
        <v>0</v>
      </c>
      <c r="B209" s="36"/>
      <c r="C209" s="5"/>
      <c r="D209" s="5"/>
      <c r="E209" s="5"/>
      <c r="F209" s="5"/>
    </row>
    <row r="210">
      <c r="A210" s="122">
        <f t="shared" si="102"/>
        <v>0</v>
      </c>
      <c r="B210" s="36"/>
      <c r="C210" s="5"/>
      <c r="D210" s="5"/>
      <c r="E210" s="5"/>
      <c r="F210" s="5"/>
    </row>
    <row r="211">
      <c r="A211" s="122">
        <f t="shared" si="102"/>
        <v>0</v>
      </c>
      <c r="B211" s="36"/>
      <c r="C211" s="5"/>
      <c r="D211" s="5"/>
      <c r="E211" s="5"/>
      <c r="F211" s="5"/>
    </row>
    <row r="212">
      <c r="A212" s="122">
        <f t="shared" si="102"/>
        <v>0</v>
      </c>
      <c r="B212" s="36"/>
      <c r="C212" s="5"/>
      <c r="D212" s="5"/>
      <c r="E212" s="5"/>
      <c r="F212" s="5"/>
    </row>
    <row r="213">
      <c r="A213" s="122">
        <f t="shared" si="102"/>
        <v>0</v>
      </c>
      <c r="B213" s="36"/>
      <c r="C213" s="5"/>
      <c r="D213" s="5"/>
      <c r="E213" s="5"/>
      <c r="F213" s="5"/>
    </row>
    <row r="214">
      <c r="A214" s="122">
        <f t="shared" si="102"/>
        <v>0</v>
      </c>
      <c r="B214" s="36"/>
      <c r="C214" s="5"/>
      <c r="D214" s="5"/>
      <c r="E214" s="5"/>
      <c r="F214" s="5"/>
    </row>
    <row r="215">
      <c r="A215" s="122">
        <f t="shared" si="102"/>
        <v>0</v>
      </c>
      <c r="B215" s="36"/>
      <c r="C215" s="5"/>
      <c r="D215" s="5"/>
      <c r="E215" s="5"/>
      <c r="F215" s="5"/>
    </row>
    <row r="216">
      <c r="A216" s="122">
        <f t="shared" si="102"/>
        <v>0</v>
      </c>
      <c r="B216" s="36"/>
      <c r="C216" s="5"/>
      <c r="D216" s="5"/>
      <c r="E216" s="5"/>
      <c r="F216" s="5"/>
    </row>
    <row r="217">
      <c r="A217" s="122">
        <f t="shared" si="102"/>
        <v>0</v>
      </c>
      <c r="B217" s="36"/>
      <c r="C217" s="5"/>
      <c r="D217" s="5"/>
      <c r="E217" s="5"/>
      <c r="F217" s="5"/>
    </row>
    <row r="218">
      <c r="A218" s="122">
        <f t="shared" si="102"/>
        <v>0</v>
      </c>
      <c r="B218" s="36"/>
      <c r="C218" s="5"/>
      <c r="D218" s="5"/>
      <c r="E218" s="5"/>
      <c r="F218" s="5"/>
    </row>
    <row r="219">
      <c r="A219" s="122">
        <f t="shared" si="102"/>
        <v>0</v>
      </c>
      <c r="B219" s="36"/>
      <c r="C219" s="5"/>
      <c r="D219" s="5"/>
      <c r="E219" s="5"/>
      <c r="F219" s="5"/>
    </row>
    <row r="220">
      <c r="A220" s="122">
        <f t="shared" si="102"/>
        <v>0</v>
      </c>
      <c r="B220" s="36"/>
      <c r="C220" s="5"/>
      <c r="D220" s="5"/>
      <c r="E220" s="5"/>
      <c r="F220" s="5"/>
    </row>
    <row r="221">
      <c r="A221" s="5"/>
      <c r="C221" s="5"/>
      <c r="D221" s="5"/>
      <c r="E221" s="5"/>
      <c r="F221" s="5"/>
    </row>
    <row r="222">
      <c r="A222" s="5"/>
      <c r="C222" s="5"/>
      <c r="D222" s="5"/>
      <c r="E222" s="5"/>
      <c r="F222" s="5"/>
    </row>
    <row r="223">
      <c r="A223" s="5"/>
      <c r="B223" s="130" t="s">
        <v>195</v>
      </c>
      <c r="C223" s="26"/>
      <c r="D223" s="5"/>
      <c r="E223" s="5"/>
      <c r="F223" s="5"/>
    </row>
    <row r="224">
      <c r="A224" s="5"/>
      <c r="C224" s="5"/>
      <c r="D224" s="5"/>
      <c r="E224" s="5"/>
      <c r="F224" s="5"/>
    </row>
    <row r="225">
      <c r="A225" s="5"/>
      <c r="B225" s="120" t="s">
        <v>1</v>
      </c>
      <c r="C225" s="120" t="s">
        <v>196</v>
      </c>
      <c r="D225" s="5"/>
      <c r="E225" s="5"/>
      <c r="F225" s="5"/>
    </row>
    <row r="226">
      <c r="A226" s="5"/>
      <c r="B226" s="36" t="str">
        <f>Data!F117</f>
        <v>Andrew Yao</v>
      </c>
      <c r="C226" s="122">
        <f>Data!G117</f>
        <v>20</v>
      </c>
      <c r="D226" s="5"/>
      <c r="E226" s="5"/>
      <c r="F226" s="5"/>
    </row>
    <row r="227">
      <c r="A227" s="5"/>
      <c r="B227" s="36" t="str">
        <f>Data!F118</f>
        <v>Pulkit Mathur</v>
      </c>
      <c r="C227" s="122">
        <f>Data!G118</f>
        <v>3</v>
      </c>
      <c r="D227" s="5"/>
      <c r="E227" s="5"/>
      <c r="F227" s="5"/>
    </row>
    <row r="228">
      <c r="A228" s="5"/>
      <c r="B228" s="36" t="str">
        <f>Data!F119</f>
        <v>Sandeep Kamalon</v>
      </c>
      <c r="C228" s="122">
        <f>Data!G119</f>
        <v>2</v>
      </c>
      <c r="D228" s="5"/>
      <c r="E228" s="5"/>
      <c r="F228" s="5"/>
    </row>
    <row r="229">
      <c r="A229" s="5"/>
      <c r="B229" s="36" t="str">
        <f>Data!F120</f>
        <v>Sanjaye Elayattu</v>
      </c>
      <c r="C229" s="122">
        <f>Data!G120</f>
        <v>1</v>
      </c>
      <c r="D229" s="5"/>
      <c r="E229" s="5"/>
      <c r="F229" s="5"/>
    </row>
    <row r="230">
      <c r="A230" s="5"/>
      <c r="B230" s="36" t="str">
        <f>Data!F121</f>
        <v/>
      </c>
      <c r="C230" s="122" t="str">
        <f>Data!G221</f>
        <v/>
      </c>
      <c r="D230" s="5"/>
      <c r="E230" s="5"/>
      <c r="F230" s="5"/>
    </row>
    <row r="231">
      <c r="A231" s="5"/>
      <c r="B231" s="36" t="str">
        <f>Data!F122</f>
        <v/>
      </c>
      <c r="C231" s="122" t="str">
        <f>Data!G222</f>
        <v/>
      </c>
      <c r="D231" s="5"/>
      <c r="E231" s="5"/>
      <c r="F231" s="5"/>
    </row>
    <row r="232">
      <c r="A232" s="5"/>
      <c r="B232" s="36" t="str">
        <f>Data!F223</f>
        <v/>
      </c>
      <c r="C232" s="122" t="str">
        <f>Data!G223</f>
        <v/>
      </c>
      <c r="D232" s="5"/>
      <c r="E232" s="5"/>
      <c r="F232" s="5"/>
    </row>
    <row r="233">
      <c r="A233" s="5"/>
      <c r="B233" s="36" t="str">
        <f>Data!F224</f>
        <v/>
      </c>
      <c r="C233" s="122" t="str">
        <f>Data!G224</f>
        <v/>
      </c>
      <c r="D233" s="5"/>
      <c r="E233" s="5"/>
      <c r="F233" s="5"/>
    </row>
    <row r="234">
      <c r="A234" s="5"/>
      <c r="B234" s="36" t="str">
        <f>Data!F225</f>
        <v/>
      </c>
      <c r="C234" s="122" t="str">
        <f>Data!G225</f>
        <v/>
      </c>
      <c r="D234" s="5"/>
      <c r="E234" s="5"/>
      <c r="F234" s="5"/>
    </row>
    <row r="235">
      <c r="A235" s="5"/>
      <c r="B235" s="36" t="str">
        <f>Data!F226</f>
        <v/>
      </c>
      <c r="C235" s="122" t="str">
        <f>Data!G226</f>
        <v/>
      </c>
      <c r="D235" s="5"/>
      <c r="E235" s="5"/>
      <c r="F235" s="5"/>
    </row>
    <row r="236">
      <c r="A236" s="5"/>
      <c r="B236" s="36" t="str">
        <f>Data!F227</f>
        <v/>
      </c>
      <c r="C236" s="122" t="str">
        <f>Data!G227</f>
        <v/>
      </c>
      <c r="D236" s="5"/>
      <c r="E236" s="5"/>
      <c r="F236" s="5"/>
    </row>
    <row r="237">
      <c r="A237" s="5"/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B244" s="127" t="str">
        <f>concatenate("Scores for : " &amp; AC2)</f>
        <v>Scores for : 06/27/26</v>
      </c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120" t="s">
        <v>0</v>
      </c>
      <c r="B246" s="120" t="s">
        <v>1</v>
      </c>
      <c r="C246" s="120" t="s">
        <v>12</v>
      </c>
      <c r="D246" s="120" t="s">
        <v>13</v>
      </c>
      <c r="E246" s="120" t="s">
        <v>15</v>
      </c>
      <c r="F246" s="120" t="s">
        <v>17</v>
      </c>
      <c r="G246" s="120" t="s">
        <v>9</v>
      </c>
    </row>
    <row r="247">
      <c r="A247" s="122">
        <f>IFERROR(__xludf.DUMMYFUNCTION("QUERY(indirect(AC2 &amp; ""!B5:M79""),""Select G, B, I, J, K,L, M where G &gt; 0 order by G asc"",0)"),1.0)</f>
        <v>1</v>
      </c>
      <c r="B247" s="36" t="str">
        <f>IFERROR(__xludf.DUMMYFUNCTION("""COMPUTED_VALUE"""),"Andrew Yao")</f>
        <v>Andrew Yao</v>
      </c>
      <c r="C247" s="132">
        <f>IFERROR(__xludf.DUMMYFUNCTION("""COMPUTED_VALUE"""),6.0)</f>
        <v>6</v>
      </c>
      <c r="D247" s="132">
        <f>IFERROR(__xludf.DUMMYFUNCTION("""COMPUTED_VALUE"""),7.0)</f>
        <v>7</v>
      </c>
      <c r="E247" s="132">
        <f>IFERROR(__xludf.DUMMYFUNCTION("""COMPUTED_VALUE"""),3.0)</f>
        <v>3</v>
      </c>
      <c r="F247" s="132">
        <f>IFERROR(__xludf.DUMMYFUNCTION("""COMPUTED_VALUE"""),16.0)</f>
        <v>16</v>
      </c>
      <c r="G247" s="132">
        <f>IFERROR(__xludf.DUMMYFUNCTION("""COMPUTED_VALUE"""),2.0)</f>
        <v>2</v>
      </c>
    </row>
    <row r="248">
      <c r="A248" s="122">
        <f>IFERROR(__xludf.DUMMYFUNCTION("""COMPUTED_VALUE"""),1.0)</f>
        <v>1</v>
      </c>
      <c r="B248" s="36" t="str">
        <f>IFERROR(__xludf.DUMMYFUNCTION("""COMPUTED_VALUE"""),"Pulkit Mathur")</f>
        <v>Pulkit Mathur</v>
      </c>
      <c r="C248" s="132">
        <f>IFERROR(__xludf.DUMMYFUNCTION("""COMPUTED_VALUE"""),6.0)</f>
        <v>6</v>
      </c>
      <c r="D248" s="132">
        <f>IFERROR(__xludf.DUMMYFUNCTION("""COMPUTED_VALUE"""),5.0)</f>
        <v>5</v>
      </c>
      <c r="E248" s="132">
        <f>IFERROR(__xludf.DUMMYFUNCTION("""COMPUTED_VALUE"""),6.0)</f>
        <v>6</v>
      </c>
      <c r="F248" s="132">
        <f>IFERROR(__xludf.DUMMYFUNCTION("""COMPUTED_VALUE"""),17.0)</f>
        <v>17</v>
      </c>
      <c r="G248" s="132">
        <f>IFERROR(__xludf.DUMMYFUNCTION("""COMPUTED_VALUE"""),2.0)</f>
        <v>2</v>
      </c>
    </row>
    <row r="249">
      <c r="A249" s="122">
        <f>IFERROR(__xludf.DUMMYFUNCTION("""COMPUTED_VALUE"""),1.0)</f>
        <v>1</v>
      </c>
      <c r="B249" s="36" t="str">
        <f>IFERROR(__xludf.DUMMYFUNCTION("""COMPUTED_VALUE"""),"Sandeep Kamalon")</f>
        <v>Sandeep Kamalon</v>
      </c>
      <c r="C249" s="132">
        <f>IFERROR(__xludf.DUMMYFUNCTION("""COMPUTED_VALUE"""),2.0)</f>
        <v>2</v>
      </c>
      <c r="D249" s="132">
        <f>IFERROR(__xludf.DUMMYFUNCTION("""COMPUTED_VALUE"""),7.0)</f>
        <v>7</v>
      </c>
      <c r="E249" s="132">
        <f>IFERROR(__xludf.DUMMYFUNCTION("""COMPUTED_VALUE"""),6.0)</f>
        <v>6</v>
      </c>
      <c r="F249" s="132">
        <f>IFERROR(__xludf.DUMMYFUNCTION("""COMPUTED_VALUE"""),15.0)</f>
        <v>15</v>
      </c>
      <c r="G249" s="132">
        <f>IFERROR(__xludf.DUMMYFUNCTION("""COMPUTED_VALUE"""),2.0)</f>
        <v>2</v>
      </c>
    </row>
    <row r="250">
      <c r="A250" s="122">
        <f>IFERROR(__xludf.DUMMYFUNCTION("""COMPUTED_VALUE"""),1.0)</f>
        <v>1</v>
      </c>
      <c r="B250" s="36" t="str">
        <f>IFERROR(__xludf.DUMMYFUNCTION("""COMPUTED_VALUE"""),"Pavan Akkimsetty")</f>
        <v>Pavan Akkimsetty</v>
      </c>
      <c r="C250" s="132">
        <f>IFERROR(__xludf.DUMMYFUNCTION("""COMPUTED_VALUE"""),2.0)</f>
        <v>2</v>
      </c>
      <c r="D250" s="132">
        <f>IFERROR(__xludf.DUMMYFUNCTION("""COMPUTED_VALUE"""),5.0)</f>
        <v>5</v>
      </c>
      <c r="E250" s="132">
        <f>IFERROR(__xludf.DUMMYFUNCTION("""COMPUTED_VALUE"""),3.0)</f>
        <v>3</v>
      </c>
      <c r="F250" s="132">
        <f>IFERROR(__xludf.DUMMYFUNCTION("""COMPUTED_VALUE"""),10.0)</f>
        <v>10</v>
      </c>
      <c r="G250" s="132">
        <f>IFERROR(__xludf.DUMMYFUNCTION("""COMPUTED_VALUE"""),0.0)</f>
        <v>0</v>
      </c>
    </row>
    <row r="251">
      <c r="A251" s="133">
        <f>IFERROR(__xludf.DUMMYFUNCTION("""COMPUTED_VALUE"""),2.0)</f>
        <v>2</v>
      </c>
      <c r="B251" s="134" t="str">
        <f>IFERROR(__xludf.DUMMYFUNCTION("""COMPUTED_VALUE"""),"Tom Le")</f>
        <v>Tom Le</v>
      </c>
      <c r="C251" s="135">
        <f>IFERROR(__xludf.DUMMYFUNCTION("""COMPUTED_VALUE"""),6.0)</f>
        <v>6</v>
      </c>
      <c r="D251" s="135">
        <f>IFERROR(__xludf.DUMMYFUNCTION("""COMPUTED_VALUE"""),6.0)</f>
        <v>6</v>
      </c>
      <c r="E251" s="135">
        <f>IFERROR(__xludf.DUMMYFUNCTION("""COMPUTED_VALUE"""),6.0)</f>
        <v>6</v>
      </c>
      <c r="F251" s="135">
        <f>IFERROR(__xludf.DUMMYFUNCTION("""COMPUTED_VALUE"""),18.0)</f>
        <v>18</v>
      </c>
      <c r="G251" s="135">
        <f>IFERROR(__xludf.DUMMYFUNCTION("""COMPUTED_VALUE"""),3.0)</f>
        <v>3</v>
      </c>
    </row>
    <row r="252">
      <c r="A252" s="133">
        <f>IFERROR(__xludf.DUMMYFUNCTION("""COMPUTED_VALUE"""),2.0)</f>
        <v>2</v>
      </c>
      <c r="B252" s="134" t="str">
        <f>IFERROR(__xludf.DUMMYFUNCTION("""COMPUTED_VALUE"""),"Ethan Gu")</f>
        <v>Ethan Gu</v>
      </c>
      <c r="C252" s="135">
        <f>IFERROR(__xludf.DUMMYFUNCTION("""COMPUTED_VALUE"""),6.0)</f>
        <v>6</v>
      </c>
      <c r="D252" s="135">
        <f>IFERROR(__xludf.DUMMYFUNCTION("""COMPUTED_VALUE"""),2.0)</f>
        <v>2</v>
      </c>
      <c r="E252" s="135">
        <f>IFERROR(__xludf.DUMMYFUNCTION("""COMPUTED_VALUE"""),2.0)</f>
        <v>2</v>
      </c>
      <c r="F252" s="135">
        <f>IFERROR(__xludf.DUMMYFUNCTION("""COMPUTED_VALUE"""),10.0)</f>
        <v>10</v>
      </c>
      <c r="G252" s="135">
        <f>IFERROR(__xludf.DUMMYFUNCTION("""COMPUTED_VALUE"""),1.0)</f>
        <v>1</v>
      </c>
    </row>
    <row r="253">
      <c r="A253" s="133">
        <f>IFERROR(__xludf.DUMMYFUNCTION("""COMPUTED_VALUE"""),2.0)</f>
        <v>2</v>
      </c>
      <c r="B253" s="134" t="str">
        <f>IFERROR(__xludf.DUMMYFUNCTION("""COMPUTED_VALUE"""),"Matthew Huang")</f>
        <v>Matthew Huang</v>
      </c>
      <c r="C253" s="135">
        <f>IFERROR(__xludf.DUMMYFUNCTION("""COMPUTED_VALUE"""),3.0)</f>
        <v>3</v>
      </c>
      <c r="D253" s="135">
        <f>IFERROR(__xludf.DUMMYFUNCTION("""COMPUTED_VALUE"""),6.0)</f>
        <v>6</v>
      </c>
      <c r="E253" s="135">
        <f>IFERROR(__xludf.DUMMYFUNCTION("""COMPUTED_VALUE"""),2.0)</f>
        <v>2</v>
      </c>
      <c r="F253" s="135">
        <f>IFERROR(__xludf.DUMMYFUNCTION("""COMPUTED_VALUE"""),11.0)</f>
        <v>11</v>
      </c>
      <c r="G253" s="135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IFERROR(__xludf.DUMMYFUNCTION("""COMPUTED_VALUE"""),"Frank Moon")</f>
        <v>Frank Moon</v>
      </c>
      <c r="C254" s="135">
        <f>IFERROR(__xludf.DUMMYFUNCTION("""COMPUTED_VALUE"""),3.0)</f>
        <v>3</v>
      </c>
      <c r="D254" s="135">
        <f>IFERROR(__xludf.DUMMYFUNCTION("""COMPUTED_VALUE"""),2.0)</f>
        <v>2</v>
      </c>
      <c r="E254" s="135">
        <f>IFERROR(__xludf.DUMMYFUNCTION("""COMPUTED_VALUE"""),6.0)</f>
        <v>6</v>
      </c>
      <c r="F254" s="135">
        <f>IFERROR(__xludf.DUMMYFUNCTION("""COMPUTED_VALUE"""),11.0)</f>
        <v>11</v>
      </c>
      <c r="G254" s="135">
        <f>IFERROR(__xludf.DUMMYFUNCTION("""COMPUTED_VALUE"""),1.0)</f>
        <v>1</v>
      </c>
    </row>
    <row r="255">
      <c r="A255" s="122">
        <f>IFERROR(__xludf.DUMMYFUNCTION("""COMPUTED_VALUE"""),3.0)</f>
        <v>3</v>
      </c>
      <c r="B255" s="36" t="str">
        <f>IFERROR(__xludf.DUMMYFUNCTION("""COMPUTED_VALUE"""),"Manish Anand")</f>
        <v>Manish Anand</v>
      </c>
      <c r="C255" s="132">
        <f>IFERROR(__xludf.DUMMYFUNCTION("""COMPUTED_VALUE"""),6.0)</f>
        <v>6</v>
      </c>
      <c r="D255" s="132">
        <f>IFERROR(__xludf.DUMMYFUNCTION("""COMPUTED_VALUE"""),1.0)</f>
        <v>1</v>
      </c>
      <c r="E255" s="132">
        <f>IFERROR(__xludf.DUMMYFUNCTION("""COMPUTED_VALUE"""),6.0)</f>
        <v>6</v>
      </c>
      <c r="F255" s="132">
        <f>IFERROR(__xludf.DUMMYFUNCTION("""COMPUTED_VALUE"""),13.0)</f>
        <v>13</v>
      </c>
      <c r="G255" s="132">
        <f>IFERROR(__xludf.DUMMYFUNCTION("""COMPUTED_VALUE"""),1.0)</f>
        <v>1</v>
      </c>
    </row>
    <row r="256">
      <c r="A256" s="122">
        <f>IFERROR(__xludf.DUMMYFUNCTION("""COMPUTED_VALUE"""),3.0)</f>
        <v>3</v>
      </c>
      <c r="B256" s="36" t="str">
        <f>IFERROR(__xludf.DUMMYFUNCTION("""COMPUTED_VALUE"""),"Mauricio Palacios")</f>
        <v>Mauricio Palacios</v>
      </c>
      <c r="C256" s="132">
        <f>IFERROR(__xludf.DUMMYFUNCTION("""COMPUTED_VALUE"""),0.0)</f>
        <v>0</v>
      </c>
      <c r="D256" s="132">
        <f>IFERROR(__xludf.DUMMYFUNCTION("""COMPUTED_VALUE"""),1.0)</f>
        <v>1</v>
      </c>
      <c r="E256" s="132">
        <f>IFERROR(__xludf.DUMMYFUNCTION("""COMPUTED_VALUE"""),7.0)</f>
        <v>7</v>
      </c>
      <c r="F256" s="132">
        <f>IFERROR(__xludf.DUMMYFUNCTION("""COMPUTED_VALUE"""),8.0)</f>
        <v>8</v>
      </c>
      <c r="G256" s="132">
        <f>IFERROR(__xludf.DUMMYFUNCTION("""COMPUTED_VALUE"""),1.0)</f>
        <v>1</v>
      </c>
    </row>
    <row r="257">
      <c r="A257" s="122">
        <f>IFERROR(__xludf.DUMMYFUNCTION("""COMPUTED_VALUE"""),3.0)</f>
        <v>3</v>
      </c>
      <c r="B257" s="36" t="str">
        <f>IFERROR(__xludf.DUMMYFUNCTION("""COMPUTED_VALUE"""),"Darren Wong")</f>
        <v>Darren Wong</v>
      </c>
      <c r="C257" s="132">
        <f>IFERROR(__xludf.DUMMYFUNCTION("""COMPUTED_VALUE"""),6.0)</f>
        <v>6</v>
      </c>
      <c r="D257" s="132">
        <f>IFERROR(__xludf.DUMMYFUNCTION("""COMPUTED_VALUE"""),6.0)</f>
        <v>6</v>
      </c>
      <c r="E257" s="132">
        <f>IFERROR(__xludf.DUMMYFUNCTION("""COMPUTED_VALUE"""),7.0)</f>
        <v>7</v>
      </c>
      <c r="F257" s="132">
        <f>IFERROR(__xludf.DUMMYFUNCTION("""COMPUTED_VALUE"""),19.0)</f>
        <v>19</v>
      </c>
      <c r="G257" s="132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IFERROR(__xludf.DUMMYFUNCTION("""COMPUTED_VALUE"""),"Ted Shen")</f>
        <v>Ted Shen</v>
      </c>
      <c r="C258" s="132">
        <f>IFERROR(__xludf.DUMMYFUNCTION("""COMPUTED_VALUE"""),0.0)</f>
        <v>0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IFERROR(__xludf.DUMMYFUNCTION("""COMPUTED_VALUE"""),12.0)</f>
        <v>12</v>
      </c>
      <c r="G258" s="132">
        <f>IFERROR(__xludf.DUMMYFUNCTION("""COMPUTED_VALUE"""),1.0)</f>
        <v>1</v>
      </c>
    </row>
    <row r="259">
      <c r="A259" s="133">
        <f>IFERROR(__xludf.DUMMYFUNCTION("""COMPUTED_VALUE"""),4.0)</f>
        <v>4</v>
      </c>
      <c r="B259" s="134" t="str">
        <f>IFERROR(__xludf.DUMMYFUNCTION("""COMPUTED_VALUE"""),"Tina Hanson")</f>
        <v>Tina Hanson</v>
      </c>
      <c r="C259" s="135">
        <f>IFERROR(__xludf.DUMMYFUNCTION("""COMPUTED_VALUE"""),2.0)</f>
        <v>2</v>
      </c>
      <c r="D259" s="135">
        <f>IFERROR(__xludf.DUMMYFUNCTION("""COMPUTED_VALUE"""),6.0)</f>
        <v>6</v>
      </c>
      <c r="E259" s="135">
        <f>IFERROR(__xludf.DUMMYFUNCTION("""COMPUTED_VALUE"""),3.0)</f>
        <v>3</v>
      </c>
      <c r="F259" s="135">
        <f>IFERROR(__xludf.DUMMYFUNCTION("""COMPUTED_VALUE"""),11.0)</f>
        <v>11</v>
      </c>
      <c r="G259" s="135">
        <f>IFERROR(__xludf.DUMMYFUNCTION("""COMPUTED_VALUE"""),1.0)</f>
        <v>1</v>
      </c>
    </row>
    <row r="260">
      <c r="A260" s="133">
        <f>IFERROR(__xludf.DUMMYFUNCTION("""COMPUTED_VALUE"""),4.0)</f>
        <v>4</v>
      </c>
      <c r="B260" s="134" t="str">
        <f>IFERROR(__xludf.DUMMYFUNCTION("""COMPUTED_VALUE"""),"Chinna Ponnaganti")</f>
        <v>Chinna Ponnaganti</v>
      </c>
      <c r="C260" s="135">
        <f>IFERROR(__xludf.DUMMYFUNCTION("""COMPUTED_VALUE"""),6.0)</f>
        <v>6</v>
      </c>
      <c r="D260" s="135">
        <f>IFERROR(__xludf.DUMMYFUNCTION("""COMPUTED_VALUE"""),0.0)</f>
        <v>0</v>
      </c>
      <c r="E260" s="135">
        <f>IFERROR(__xludf.DUMMYFUNCTION("""COMPUTED_VALUE"""),3.0)</f>
        <v>3</v>
      </c>
      <c r="F260" s="135">
        <f>IFERROR(__xludf.DUMMYFUNCTION("""COMPUTED_VALUE"""),9.0)</f>
        <v>9</v>
      </c>
      <c r="G260" s="135">
        <f>IFERROR(__xludf.DUMMYFUNCTION("""COMPUTED_VALUE"""),1.0)</f>
        <v>1</v>
      </c>
    </row>
    <row r="261">
      <c r="A261" s="133">
        <f>IFERROR(__xludf.DUMMYFUNCTION("""COMPUTED_VALUE"""),4.0)</f>
        <v>4</v>
      </c>
      <c r="B261" s="134" t="str">
        <f>IFERROR(__xludf.DUMMYFUNCTION("""COMPUTED_VALUE"""),"Wayne Liu")</f>
        <v>Wayne Liu</v>
      </c>
      <c r="C261" s="135">
        <f>IFERROR(__xludf.DUMMYFUNCTION("""COMPUTED_VALUE"""),2.0)</f>
        <v>2</v>
      </c>
      <c r="D261" s="135">
        <f>IFERROR(__xludf.DUMMYFUNCTION("""COMPUTED_VALUE"""),0.0)</f>
        <v>0</v>
      </c>
      <c r="E261" s="135">
        <f>IFERROR(__xludf.DUMMYFUNCTION("""COMPUTED_VALUE"""),6.0)</f>
        <v>6</v>
      </c>
      <c r="F261" s="135">
        <f>IFERROR(__xludf.DUMMYFUNCTION("""COMPUTED_VALUE"""),8.0)</f>
        <v>8</v>
      </c>
      <c r="G261" s="135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IFERROR(__xludf.DUMMYFUNCTION("""COMPUTED_VALUE"""),"Jaya Sogata")</f>
        <v>Jaya Sogata</v>
      </c>
      <c r="C262" s="135">
        <f>IFERROR(__xludf.DUMMYFUNCTION("""COMPUTED_VALUE"""),6.0)</f>
        <v>6</v>
      </c>
      <c r="D262" s="135">
        <f>IFERROR(__xludf.DUMMYFUNCTION("""COMPUTED_VALUE"""),6.0)</f>
        <v>6</v>
      </c>
      <c r="E262" s="135">
        <f>IFERROR(__xludf.DUMMYFUNCTION("""COMPUTED_VALUE"""),6.0)</f>
        <v>6</v>
      </c>
      <c r="F262" s="135">
        <f>IFERROR(__xludf.DUMMYFUNCTION("""COMPUTED_VALUE"""),18.0)</f>
        <v>18</v>
      </c>
      <c r="G262" s="135">
        <f>IFERROR(__xludf.DUMMYFUNCTION("""COMPUTED_VALUE"""),3.0)</f>
        <v>3</v>
      </c>
    </row>
    <row r="263">
      <c r="A263" s="122">
        <f>IFERROR(__xludf.DUMMYFUNCTION("""COMPUTED_VALUE"""),5.0)</f>
        <v>5</v>
      </c>
      <c r="B263" s="36" t="str">
        <f>IFERROR(__xludf.DUMMYFUNCTION("""COMPUTED_VALUE"""),"Rajasekar Ramasamy")</f>
        <v>Rajasekar Ramasamy</v>
      </c>
      <c r="C263" s="132">
        <f>IFERROR(__xludf.DUMMYFUNCTION("""COMPUTED_VALUE"""),6.0)</f>
        <v>6</v>
      </c>
      <c r="D263" s="132">
        <f>IFERROR(__xludf.DUMMYFUNCTION("""COMPUTED_VALUE"""),6.0)</f>
        <v>6</v>
      </c>
      <c r="E263" s="132">
        <f>IFERROR(__xludf.DUMMYFUNCTION("""COMPUTED_VALUE"""),6.0)</f>
        <v>6</v>
      </c>
      <c r="F263" s="132">
        <f>IFERROR(__xludf.DUMMYFUNCTION("""COMPUTED_VALUE"""),18.0)</f>
        <v>18</v>
      </c>
      <c r="G263" s="132">
        <f>IFERROR(__xludf.DUMMYFUNCTION("""COMPUTED_VALUE"""),3.0)</f>
        <v>3</v>
      </c>
    </row>
    <row r="264">
      <c r="A264" s="122">
        <f>IFERROR(__xludf.DUMMYFUNCTION("""COMPUTED_VALUE"""),5.0)</f>
        <v>5</v>
      </c>
      <c r="B264" s="36" t="str">
        <f>IFERROR(__xludf.DUMMYFUNCTION("""COMPUTED_VALUE"""),"Alex Hou")</f>
        <v>Alex Hou</v>
      </c>
      <c r="C264" s="132">
        <f>IFERROR(__xludf.DUMMYFUNCTION("""COMPUTED_VALUE"""),3.0)</f>
        <v>3</v>
      </c>
      <c r="D264" s="132">
        <f>IFERROR(__xludf.DUMMYFUNCTION("""COMPUTED_VALUE"""),6.0)</f>
        <v>6</v>
      </c>
      <c r="E264" s="132">
        <f>IFERROR(__xludf.DUMMYFUNCTION("""COMPUTED_VALUE"""),1.0)</f>
        <v>1</v>
      </c>
      <c r="F264" s="132">
        <f>IFERROR(__xludf.DUMMYFUNCTION("""COMPUTED_VALUE"""),10.0)</f>
        <v>10</v>
      </c>
      <c r="G264" s="132">
        <f>IFERROR(__xludf.DUMMYFUNCTION("""COMPUTED_VALUE"""),1.0)</f>
        <v>1</v>
      </c>
    </row>
    <row r="265">
      <c r="A265" s="122">
        <f>IFERROR(__xludf.DUMMYFUNCTION("""COMPUTED_VALUE"""),5.0)</f>
        <v>5</v>
      </c>
      <c r="B265" s="36" t="str">
        <f>IFERROR(__xludf.DUMMYFUNCTION("""COMPUTED_VALUE"""),"Joe Luzzi")</f>
        <v>Joe Luzzi</v>
      </c>
      <c r="C265" s="132">
        <f>IFERROR(__xludf.DUMMYFUNCTION("""COMPUTED_VALUE"""),6.0)</f>
        <v>6</v>
      </c>
      <c r="D265" s="132">
        <f>IFERROR(__xludf.DUMMYFUNCTION("""COMPUTED_VALUE"""),2.0)</f>
        <v>2</v>
      </c>
      <c r="E265" s="132">
        <f>IFERROR(__xludf.DUMMYFUNCTION("""COMPUTED_VALUE"""),1.0)</f>
        <v>1</v>
      </c>
      <c r="F265" s="132">
        <f>IFERROR(__xludf.DUMMYFUNCTION("""COMPUTED_VALUE"""),9.0)</f>
        <v>9</v>
      </c>
      <c r="G265" s="132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IFERROR(__xludf.DUMMYFUNCTION("""COMPUTED_VALUE"""),"Scott Li")</f>
        <v>Scott Li</v>
      </c>
      <c r="C266" s="132">
        <f>IFERROR(__xludf.DUMMYFUNCTION("""COMPUTED_VALUE"""),3.0)</f>
        <v>3</v>
      </c>
      <c r="D266" s="132">
        <f>IFERROR(__xludf.DUMMYFUNCTION("""COMPUTED_VALUE"""),2.0)</f>
        <v>2</v>
      </c>
      <c r="E266" s="132">
        <f>IFERROR(__xludf.DUMMYFUNCTION("""COMPUTED_VALUE"""),6.0)</f>
        <v>6</v>
      </c>
      <c r="F266" s="132">
        <f>IFERROR(__xludf.DUMMYFUNCTION("""COMPUTED_VALUE"""),11.0)</f>
        <v>11</v>
      </c>
      <c r="G266" s="132">
        <f>IFERROR(__xludf.DUMMYFUNCTION("""COMPUTED_VALUE"""),1.0)</f>
        <v>1</v>
      </c>
    </row>
    <row r="267">
      <c r="A267" s="133">
        <f>IFERROR(__xludf.DUMMYFUNCTION("""COMPUTED_VALUE"""),6.0)</f>
        <v>6</v>
      </c>
      <c r="B267" s="134" t="str">
        <f>IFERROR(__xludf.DUMMYFUNCTION("""COMPUTED_VALUE"""),"Vinotkumar Nagappan")</f>
        <v>Vinotkumar Nagappan</v>
      </c>
      <c r="C267" s="135">
        <f>IFERROR(__xludf.DUMMYFUNCTION("""COMPUTED_VALUE"""),6.0)</f>
        <v>6</v>
      </c>
      <c r="D267" s="135">
        <f>IFERROR(__xludf.DUMMYFUNCTION("""COMPUTED_VALUE"""),6.0)</f>
        <v>6</v>
      </c>
      <c r="E267" s="135">
        <f>IFERROR(__xludf.DUMMYFUNCTION("""COMPUTED_VALUE"""),6.0)</f>
        <v>6</v>
      </c>
      <c r="F267" s="135">
        <f>IFERROR(__xludf.DUMMYFUNCTION("""COMPUTED_VALUE"""),18.0)</f>
        <v>18</v>
      </c>
      <c r="G267" s="135">
        <f>IFERROR(__xludf.DUMMYFUNCTION("""COMPUTED_VALUE"""),3.0)</f>
        <v>3</v>
      </c>
    </row>
    <row r="268">
      <c r="A268" s="133">
        <f>IFERROR(__xludf.DUMMYFUNCTION("""COMPUTED_VALUE"""),6.0)</f>
        <v>6</v>
      </c>
      <c r="B268" s="134" t="str">
        <f>IFERROR(__xludf.DUMMYFUNCTION("""COMPUTED_VALUE"""),"Jimmy Awolesi")</f>
        <v>Jimmy Awolesi</v>
      </c>
      <c r="C268" s="135">
        <f>IFERROR(__xludf.DUMMYFUNCTION("""COMPUTED_VALUE"""),6.0)</f>
        <v>6</v>
      </c>
      <c r="D268" s="135">
        <f>IFERROR(__xludf.DUMMYFUNCTION("""COMPUTED_VALUE"""),2.0)</f>
        <v>2</v>
      </c>
      <c r="E268" s="135">
        <f>IFERROR(__xludf.DUMMYFUNCTION("""COMPUTED_VALUE"""),3.0)</f>
        <v>3</v>
      </c>
      <c r="F268" s="135">
        <f>IFERROR(__xludf.DUMMYFUNCTION("""COMPUTED_VALUE"""),11.0)</f>
        <v>11</v>
      </c>
      <c r="G268" s="135">
        <f>IFERROR(__xludf.DUMMYFUNCTION("""COMPUTED_VALUE"""),1.0)</f>
        <v>1</v>
      </c>
    </row>
    <row r="269">
      <c r="A269" s="133">
        <f>IFERROR(__xludf.DUMMYFUNCTION("""COMPUTED_VALUE"""),6.0)</f>
        <v>6</v>
      </c>
      <c r="B269" s="134" t="str">
        <f>IFERROR(__xludf.DUMMYFUNCTION("""COMPUTED_VALUE"""),"Manuel Rivera")</f>
        <v>Manuel Rivera</v>
      </c>
      <c r="C269" s="135">
        <f>IFERROR(__xludf.DUMMYFUNCTION("""COMPUTED_VALUE"""),2.0)</f>
        <v>2</v>
      </c>
      <c r="D269" s="135">
        <f>IFERROR(__xludf.DUMMYFUNCTION("""COMPUTED_VALUE"""),6.0)</f>
        <v>6</v>
      </c>
      <c r="E269" s="135">
        <f>IFERROR(__xludf.DUMMYFUNCTION("""COMPUTED_VALUE"""),3.0)</f>
        <v>3</v>
      </c>
      <c r="F269" s="135">
        <f>IFERROR(__xludf.DUMMYFUNCTION("""COMPUTED_VALUE"""),11.0)</f>
        <v>11</v>
      </c>
      <c r="G269" s="135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IFERROR(__xludf.DUMMYFUNCTION("""COMPUTED_VALUE"""),"Hongyuan Wen")</f>
        <v>Hongyuan Wen</v>
      </c>
      <c r="C270" s="135">
        <f>IFERROR(__xludf.DUMMYFUNCTION("""COMPUTED_VALUE"""),2.0)</f>
        <v>2</v>
      </c>
      <c r="D270" s="135">
        <f>IFERROR(__xludf.DUMMYFUNCTION("""COMPUTED_VALUE"""),2.0)</f>
        <v>2</v>
      </c>
      <c r="E270" s="135">
        <f>IFERROR(__xludf.DUMMYFUNCTION("""COMPUTED_VALUE"""),6.0)</f>
        <v>6</v>
      </c>
      <c r="F270" s="135">
        <f>IFERROR(__xludf.DUMMYFUNCTION("""COMPUTED_VALUE"""),10.0)</f>
        <v>10</v>
      </c>
      <c r="G270" s="135">
        <f>IFERROR(__xludf.DUMMYFUNCTION("""COMPUTED_VALUE"""),1.0)</f>
        <v>1</v>
      </c>
    </row>
    <row r="271">
      <c r="A271" s="122">
        <f>IFERROR(__xludf.DUMMYFUNCTION("""COMPUTED_VALUE"""),7.0)</f>
        <v>7</v>
      </c>
      <c r="B271" s="36" t="str">
        <f>IFERROR(__xludf.DUMMYFUNCTION("""COMPUTED_VALUE"""),"Vishnu Amarnath")</f>
        <v>Vishnu Amarnath</v>
      </c>
      <c r="C271" s="132">
        <f>IFERROR(__xludf.DUMMYFUNCTION("""COMPUTED_VALUE"""),6.0)</f>
        <v>6</v>
      </c>
      <c r="D271" s="132">
        <f>IFERROR(__xludf.DUMMYFUNCTION("""COMPUTED_VALUE"""),6.0)</f>
        <v>6</v>
      </c>
      <c r="E271" s="132">
        <f>IFERROR(__xludf.DUMMYFUNCTION("""COMPUTED_VALUE"""),6.0)</f>
        <v>6</v>
      </c>
      <c r="F271" s="132">
        <f>IFERROR(__xludf.DUMMYFUNCTION("""COMPUTED_VALUE"""),18.0)</f>
        <v>18</v>
      </c>
      <c r="G271" s="132">
        <f>IFERROR(__xludf.DUMMYFUNCTION("""COMPUTED_VALUE"""),3.0)</f>
        <v>3</v>
      </c>
    </row>
    <row r="272">
      <c r="A272" s="122">
        <f>IFERROR(__xludf.DUMMYFUNCTION("""COMPUTED_VALUE"""),7.0)</f>
        <v>7</v>
      </c>
      <c r="B272" s="36" t="str">
        <f>IFERROR(__xludf.DUMMYFUNCTION("""COMPUTED_VALUE"""),"Vinaya Kajla")</f>
        <v>Vinaya Kajla</v>
      </c>
      <c r="C272" s="132">
        <f>IFERROR(__xludf.DUMMYFUNCTION("""COMPUTED_VALUE"""),3.0)</f>
        <v>3</v>
      </c>
      <c r="D272" s="132">
        <f>IFERROR(__xludf.DUMMYFUNCTION("""COMPUTED_VALUE"""),1.0)</f>
        <v>1</v>
      </c>
      <c r="E272" s="132">
        <f>IFERROR(__xludf.DUMMYFUNCTION("""COMPUTED_VALUE"""),6.0)</f>
        <v>6</v>
      </c>
      <c r="F272" s="132">
        <f>IFERROR(__xludf.DUMMYFUNCTION("""COMPUTED_VALUE"""),10.0)</f>
        <v>10</v>
      </c>
      <c r="G272" s="132">
        <f>IFERROR(__xludf.DUMMYFUNCTION("""COMPUTED_VALUE"""),1.0)</f>
        <v>1</v>
      </c>
    </row>
    <row r="273">
      <c r="A273" s="122">
        <f>IFERROR(__xludf.DUMMYFUNCTION("""COMPUTED_VALUE"""),7.0)</f>
        <v>7</v>
      </c>
      <c r="B273" s="36" t="str">
        <f>IFERROR(__xludf.DUMMYFUNCTION("""COMPUTED_VALUE"""),"Kumar Palakeel")</f>
        <v>Kumar Palakeel</v>
      </c>
      <c r="C273" s="132">
        <f>IFERROR(__xludf.DUMMYFUNCTION("""COMPUTED_VALUE"""),3.0)</f>
        <v>3</v>
      </c>
      <c r="D273" s="132">
        <f>IFERROR(__xludf.DUMMYFUNCTION("""COMPUTED_VALUE"""),6.0)</f>
        <v>6</v>
      </c>
      <c r="E273" s="132">
        <f>IFERROR(__xludf.DUMMYFUNCTION("""COMPUTED_VALUE"""),2.0)</f>
        <v>2</v>
      </c>
      <c r="F273" s="132">
        <f>IFERROR(__xludf.DUMMYFUNCTION("""COMPUTED_VALUE"""),11.0)</f>
        <v>11</v>
      </c>
      <c r="G273" s="132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IFERROR(__xludf.DUMMYFUNCTION("""COMPUTED_VALUE"""),"Nicole Ni")</f>
        <v>Nicole Ni</v>
      </c>
      <c r="C274" s="132">
        <f>IFERROR(__xludf.DUMMYFUNCTION("""COMPUTED_VALUE"""),6.0)</f>
        <v>6</v>
      </c>
      <c r="D274" s="132">
        <f>IFERROR(__xludf.DUMMYFUNCTION("""COMPUTED_VALUE"""),1.0)</f>
        <v>1</v>
      </c>
      <c r="E274" s="132">
        <f>IFERROR(__xludf.DUMMYFUNCTION("""COMPUTED_VALUE"""),2.0)</f>
        <v>2</v>
      </c>
      <c r="F274" s="132">
        <f>IFERROR(__xludf.DUMMYFUNCTION("""COMPUTED_VALUE"""),9.0)</f>
        <v>9</v>
      </c>
      <c r="G274" s="132">
        <f>IFERROR(__xludf.DUMMYFUNCTION("""COMPUTED_VALUE"""),1.0)</f>
        <v>1</v>
      </c>
    </row>
    <row r="275">
      <c r="A275" s="133">
        <f>IFERROR(__xludf.DUMMYFUNCTION("""COMPUTED_VALUE"""),8.0)</f>
        <v>8</v>
      </c>
      <c r="B275" s="134" t="str">
        <f>IFERROR(__xludf.DUMMYFUNCTION("""COMPUTED_VALUE"""),"Eric Tan")</f>
        <v>Eric Tan</v>
      </c>
      <c r="C275" s="135">
        <f>IFERROR(__xludf.DUMMYFUNCTION("""COMPUTED_VALUE"""),7.0)</f>
        <v>7</v>
      </c>
      <c r="D275" s="135">
        <f>IFERROR(__xludf.DUMMYFUNCTION("""COMPUTED_VALUE"""),6.0)</f>
        <v>6</v>
      </c>
      <c r="E275" s="135">
        <f>IFERROR(__xludf.DUMMYFUNCTION("""COMPUTED_VALUE"""),6.0)</f>
        <v>6</v>
      </c>
      <c r="F275" s="135">
        <f>IFERROR(__xludf.DUMMYFUNCTION("""COMPUTED_VALUE"""),19.0)</f>
        <v>19</v>
      </c>
      <c r="G275" s="135">
        <f>IFERROR(__xludf.DUMMYFUNCTION("""COMPUTED_VALUE"""),2.0)</f>
        <v>2</v>
      </c>
    </row>
    <row r="276">
      <c r="A276" s="133">
        <f>IFERROR(__xludf.DUMMYFUNCTION("""COMPUTED_VALUE"""),8.0)</f>
        <v>8</v>
      </c>
      <c r="B276" s="134" t="str">
        <f>IFERROR(__xludf.DUMMYFUNCTION("""COMPUTED_VALUE"""),"Andrew Wen")</f>
        <v>Andrew Wen</v>
      </c>
      <c r="C276" s="135">
        <f>IFERROR(__xludf.DUMMYFUNCTION("""COMPUTED_VALUE"""),7.0)</f>
        <v>7</v>
      </c>
      <c r="D276" s="135">
        <f>IFERROR(__xludf.DUMMYFUNCTION("""COMPUTED_VALUE"""),4.0)</f>
        <v>4</v>
      </c>
      <c r="E276" s="135">
        <f>IFERROR(__xludf.DUMMYFUNCTION("""COMPUTED_VALUE"""),7.0)</f>
        <v>7</v>
      </c>
      <c r="F276" s="135">
        <f>IFERROR(__xludf.DUMMYFUNCTION("""COMPUTED_VALUE"""),18.0)</f>
        <v>18</v>
      </c>
      <c r="G276" s="135">
        <f>IFERROR(__xludf.DUMMYFUNCTION("""COMPUTED_VALUE"""),2.0)</f>
        <v>2</v>
      </c>
    </row>
    <row r="277">
      <c r="A277" s="133">
        <f>IFERROR(__xludf.DUMMYFUNCTION("""COMPUTED_VALUE"""),8.0)</f>
        <v>8</v>
      </c>
      <c r="B277" s="134" t="str">
        <f>IFERROR(__xludf.DUMMYFUNCTION("""COMPUTED_VALUE"""),"Ranjith Doraiswamy")</f>
        <v>Ranjith Doraiswamy</v>
      </c>
      <c r="C277" s="135">
        <f>IFERROR(__xludf.DUMMYFUNCTION("""COMPUTED_VALUE"""),5.0)</f>
        <v>5</v>
      </c>
      <c r="D277" s="135">
        <f>IFERROR(__xludf.DUMMYFUNCTION("""COMPUTED_VALUE"""),6.0)</f>
        <v>6</v>
      </c>
      <c r="E277" s="135">
        <f>IFERROR(__xludf.DUMMYFUNCTION("""COMPUTED_VALUE"""),7.0)</f>
        <v>7</v>
      </c>
      <c r="F277" s="135">
        <f>IFERROR(__xludf.DUMMYFUNCTION("""COMPUTED_VALUE"""),18.0)</f>
        <v>18</v>
      </c>
      <c r="G277" s="135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IFERROR(__xludf.DUMMYFUNCTION("""COMPUTED_VALUE"""),"Saravanan Veerapandian")</f>
        <v>Saravanan Veerapandian</v>
      </c>
      <c r="C278" s="135">
        <f>IFERROR(__xludf.DUMMYFUNCTION("""COMPUTED_VALUE"""),5.0)</f>
        <v>5</v>
      </c>
      <c r="D278" s="135">
        <f>IFERROR(__xludf.DUMMYFUNCTION("""COMPUTED_VALUE"""),4.0)</f>
        <v>4</v>
      </c>
      <c r="E278" s="135">
        <f>IFERROR(__xludf.DUMMYFUNCTION("""COMPUTED_VALUE"""),6.0)</f>
        <v>6</v>
      </c>
      <c r="F278" s="135">
        <f>IFERROR(__xludf.DUMMYFUNCTION("""COMPUTED_VALUE"""),15.0)</f>
        <v>15</v>
      </c>
      <c r="G278" s="135">
        <f>IFERROR(__xludf.DUMMYFUNCTION("""COMPUTED_VALUE"""),0.0)</f>
        <v>0</v>
      </c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5"/>
      <c r="C291" s="5"/>
      <c r="D291" s="5"/>
      <c r="E291" s="5"/>
      <c r="F291" s="5"/>
    </row>
    <row r="292">
      <c r="A292" s="5"/>
      <c r="C292" s="5"/>
      <c r="D292" s="5"/>
      <c r="E292" s="5"/>
      <c r="F292" s="5"/>
    </row>
    <row r="293">
      <c r="A293" s="5"/>
      <c r="C293" s="5"/>
      <c r="D293" s="5"/>
      <c r="E293" s="5"/>
      <c r="F293" s="5"/>
    </row>
    <row r="294">
      <c r="A294" s="43"/>
      <c r="B294" s="134" t="s">
        <v>171</v>
      </c>
      <c r="C294" s="5"/>
      <c r="D294" s="115" t="s">
        <v>177</v>
      </c>
      <c r="E294" s="25"/>
      <c r="F294" s="26"/>
      <c r="H294" s="115" t="s">
        <v>176</v>
      </c>
      <c r="I294" s="25"/>
      <c r="J294" s="26"/>
    </row>
    <row r="295">
      <c r="A295" s="136">
        <v>1.0</v>
      </c>
      <c r="B295" s="137" t="str">
        <f>IFERROR(__xludf.DUMMYFUNCTION("QUERY(B5:R79,""Select B where R = 'X' order by B asc"",0)"),"Alejandro Mejia")</f>
        <v>Alejandro Mejia</v>
      </c>
      <c r="C295" s="138">
        <f t="shared" ref="C295:C369" si="103">A295</f>
        <v>1</v>
      </c>
      <c r="D295" s="139" t="str">
        <f>IFERROR(__xludf.DUMMYFUNCTION("QUERY(B5:R79,""Select B where R = '' order by B asc"",0)"),"Adrian Tay")</f>
        <v>Adrian Tay</v>
      </c>
      <c r="E295" s="25"/>
      <c r="F295" s="26"/>
      <c r="G295" s="138">
        <f t="shared" ref="G295:G369" si="104">C295</f>
        <v>1</v>
      </c>
      <c r="H295" s="139" t="str">
        <f>IFERROR(__xludf.DUMMYFUNCTION("QUERY(B5:R79,""Select B where R = 'N' order by B asc"",0)"),"Balaji Alahari")</f>
        <v>Balaji Alahari</v>
      </c>
      <c r="I295" s="25"/>
      <c r="J295" s="26"/>
    </row>
    <row r="296">
      <c r="A296" s="136">
        <f t="shared" ref="A296:A369" si="105">A295+1</f>
        <v>2</v>
      </c>
      <c r="B296" s="137" t="str">
        <f>IFERROR(__xludf.DUMMYFUNCTION("""COMPUTED_VALUE"""),"Alex Hou")</f>
        <v>Alex Hou</v>
      </c>
      <c r="C296" s="138">
        <f t="shared" si="103"/>
        <v>2</v>
      </c>
      <c r="D296" s="139" t="str">
        <f>IFERROR(__xludf.DUMMYFUNCTION("""COMPUTED_VALUE"""),"Robert Chang")</f>
        <v>Robert Chang</v>
      </c>
      <c r="E296" s="25"/>
      <c r="F296" s="26"/>
      <c r="G296" s="138">
        <f t="shared" si="104"/>
        <v>2</v>
      </c>
      <c r="H296" s="139" t="str">
        <f>IFERROR(__xludf.DUMMYFUNCTION("""COMPUTED_VALUE"""),"Barathi Sundaram")</f>
        <v>Barathi Sundaram</v>
      </c>
      <c r="I296" s="25"/>
      <c r="J296" s="26"/>
    </row>
    <row r="297">
      <c r="A297" s="136">
        <f t="shared" si="105"/>
        <v>3</v>
      </c>
      <c r="B297" s="137" t="str">
        <f>IFERROR(__xludf.DUMMYFUNCTION("""COMPUTED_VALUE"""),"Allen Zhang")</f>
        <v>Allen Zhang</v>
      </c>
      <c r="C297" s="138">
        <f t="shared" si="103"/>
        <v>3</v>
      </c>
      <c r="D297" s="139"/>
      <c r="E297" s="25"/>
      <c r="F297" s="26"/>
      <c r="G297" s="138">
        <f t="shared" si="104"/>
        <v>3</v>
      </c>
      <c r="H297" s="139" t="str">
        <f>IFERROR(__xludf.DUMMYFUNCTION("""COMPUTED_VALUE"""),"Charles Choi")</f>
        <v>Charles Choi</v>
      </c>
      <c r="I297" s="25"/>
      <c r="J297" s="26"/>
    </row>
    <row r="298">
      <c r="A298" s="136">
        <f t="shared" si="105"/>
        <v>4</v>
      </c>
      <c r="B298" s="137" t="str">
        <f>IFERROR(__xludf.DUMMYFUNCTION("""COMPUTED_VALUE"""),"Andrew Wen")</f>
        <v>Andrew Wen</v>
      </c>
      <c r="C298" s="138">
        <f t="shared" si="103"/>
        <v>4</v>
      </c>
      <c r="D298" s="139"/>
      <c r="E298" s="25"/>
      <c r="F298" s="26"/>
      <c r="G298" s="138">
        <f t="shared" si="104"/>
        <v>4</v>
      </c>
      <c r="H298" s="139" t="str">
        <f>IFERROR(__xludf.DUMMYFUNCTION("""COMPUTED_VALUE"""),"Hubert J Sung")</f>
        <v>Hubert J Sung</v>
      </c>
      <c r="I298" s="25"/>
      <c r="J298" s="26"/>
    </row>
    <row r="299">
      <c r="A299" s="136">
        <f t="shared" si="105"/>
        <v>5</v>
      </c>
      <c r="B299" s="137" t="str">
        <f>IFERROR(__xludf.DUMMYFUNCTION("""COMPUTED_VALUE"""),"Andrew Yao")</f>
        <v>Andrew Yao</v>
      </c>
      <c r="C299" s="138">
        <f t="shared" si="103"/>
        <v>5</v>
      </c>
      <c r="D299" s="139"/>
      <c r="E299" s="25"/>
      <c r="F299" s="26"/>
      <c r="G299" s="138">
        <f t="shared" si="104"/>
        <v>5</v>
      </c>
      <c r="H299" s="139" t="str">
        <f>IFERROR(__xludf.DUMMYFUNCTION("""COMPUTED_VALUE"""),"James Phan")</f>
        <v>James Phan</v>
      </c>
      <c r="I299" s="25"/>
      <c r="J299" s="26"/>
    </row>
    <row r="300">
      <c r="A300" s="136">
        <f t="shared" si="105"/>
        <v>6</v>
      </c>
      <c r="B300" s="137" t="str">
        <f>IFERROR(__xludf.DUMMYFUNCTION("""COMPUTED_VALUE"""),"Art Hui")</f>
        <v>Art Hui</v>
      </c>
      <c r="C300" s="138">
        <f t="shared" si="103"/>
        <v>6</v>
      </c>
      <c r="D300" s="139"/>
      <c r="E300" s="25"/>
      <c r="F300" s="26"/>
      <c r="G300" s="138">
        <f t="shared" si="104"/>
        <v>6</v>
      </c>
      <c r="H300" s="139" t="str">
        <f>IFERROR(__xludf.DUMMYFUNCTION("""COMPUTED_VALUE"""),"Jordan Tatang")</f>
        <v>Jordan Tatang</v>
      </c>
      <c r="I300" s="25"/>
      <c r="J300" s="26"/>
    </row>
    <row r="301">
      <c r="A301" s="136">
        <f t="shared" si="105"/>
        <v>7</v>
      </c>
      <c r="B301" s="137" t="str">
        <f>IFERROR(__xludf.DUMMYFUNCTION("""COMPUTED_VALUE"""),"Basudev Thoppai Vidyasankar")</f>
        <v>Basudev Thoppai Vidyasankar</v>
      </c>
      <c r="C301" s="138">
        <f t="shared" si="103"/>
        <v>7</v>
      </c>
      <c r="D301" s="139"/>
      <c r="E301" s="25"/>
      <c r="F301" s="26"/>
      <c r="G301" s="138">
        <f t="shared" si="104"/>
        <v>7</v>
      </c>
      <c r="H301" s="139" t="str">
        <f>IFERROR(__xludf.DUMMYFUNCTION("""COMPUTED_VALUE"""),"Leigh-Anh Nguyen")</f>
        <v>Leigh-Anh Nguyen</v>
      </c>
      <c r="I301" s="25"/>
      <c r="J301" s="26"/>
    </row>
    <row r="302">
      <c r="A302" s="136">
        <f t="shared" si="105"/>
        <v>8</v>
      </c>
      <c r="B302" s="137" t="str">
        <f>IFERROR(__xludf.DUMMYFUNCTION("""COMPUTED_VALUE"""),"Camille Jung")</f>
        <v>Camille Jung</v>
      </c>
      <c r="C302" s="138">
        <f t="shared" si="103"/>
        <v>8</v>
      </c>
      <c r="D302" s="139"/>
      <c r="E302" s="25"/>
      <c r="F302" s="26"/>
      <c r="G302" s="138">
        <f t="shared" si="104"/>
        <v>8</v>
      </c>
      <c r="H302" s="139" t="str">
        <f>IFERROR(__xludf.DUMMYFUNCTION("""COMPUTED_VALUE"""),"Sandy Weyant")</f>
        <v>Sandy Weyant</v>
      </c>
      <c r="I302" s="25"/>
      <c r="J302" s="26"/>
    </row>
    <row r="303">
      <c r="A303" s="136">
        <f t="shared" si="105"/>
        <v>9</v>
      </c>
      <c r="B303" s="137" t="str">
        <f>IFERROR(__xludf.DUMMYFUNCTION("""COMPUTED_VALUE"""),"Chinna Ponnaganti")</f>
        <v>Chinna Ponnaganti</v>
      </c>
      <c r="C303" s="138">
        <f t="shared" si="103"/>
        <v>9</v>
      </c>
      <c r="D303" s="139"/>
      <c r="E303" s="25"/>
      <c r="F303" s="26"/>
      <c r="G303" s="138">
        <f t="shared" si="104"/>
        <v>9</v>
      </c>
      <c r="H303" s="139"/>
      <c r="I303" s="25"/>
      <c r="J303" s="26"/>
    </row>
    <row r="304">
      <c r="A304" s="136">
        <f t="shared" si="105"/>
        <v>10</v>
      </c>
      <c r="B304" s="137" t="str">
        <f>IFERROR(__xludf.DUMMYFUNCTION("""COMPUTED_VALUE"""),"Cid Macaraeg")</f>
        <v>Cid Macaraeg</v>
      </c>
      <c r="C304" s="138">
        <f t="shared" si="103"/>
        <v>10</v>
      </c>
      <c r="D304" s="139"/>
      <c r="E304" s="25"/>
      <c r="F304" s="26"/>
      <c r="G304" s="138">
        <f t="shared" si="104"/>
        <v>10</v>
      </c>
      <c r="H304" s="139"/>
      <c r="I304" s="25"/>
      <c r="J304" s="26"/>
    </row>
    <row r="305">
      <c r="A305" s="136">
        <f t="shared" si="105"/>
        <v>11</v>
      </c>
      <c r="B305" s="137" t="str">
        <f>IFERROR(__xludf.DUMMYFUNCTION("""COMPUTED_VALUE"""),"Coco Yan")</f>
        <v>Coco Yan</v>
      </c>
      <c r="C305" s="138">
        <f t="shared" si="103"/>
        <v>11</v>
      </c>
      <c r="D305" s="139"/>
      <c r="E305" s="25"/>
      <c r="F305" s="26"/>
      <c r="G305" s="138">
        <f t="shared" si="104"/>
        <v>11</v>
      </c>
      <c r="H305" s="139"/>
      <c r="I305" s="25"/>
      <c r="J305" s="26"/>
    </row>
    <row r="306">
      <c r="A306" s="136">
        <f t="shared" si="105"/>
        <v>12</v>
      </c>
      <c r="B306" s="137" t="str">
        <f>IFERROR(__xludf.DUMMYFUNCTION("""COMPUTED_VALUE"""),"Darren Wong")</f>
        <v>Darren Wong</v>
      </c>
      <c r="C306" s="138">
        <f t="shared" si="103"/>
        <v>12</v>
      </c>
      <c r="D306" s="139"/>
      <c r="E306" s="25"/>
      <c r="F306" s="26"/>
      <c r="G306" s="138">
        <f t="shared" si="104"/>
        <v>12</v>
      </c>
      <c r="H306" s="139"/>
      <c r="I306" s="25"/>
      <c r="J306" s="26"/>
    </row>
    <row r="307">
      <c r="A307" s="136">
        <f t="shared" si="105"/>
        <v>13</v>
      </c>
      <c r="B307" s="137" t="str">
        <f>IFERROR(__xludf.DUMMYFUNCTION("""COMPUTED_VALUE"""),"David Shin")</f>
        <v>David Shin</v>
      </c>
      <c r="C307" s="138">
        <f t="shared" si="103"/>
        <v>13</v>
      </c>
      <c r="D307" s="139"/>
      <c r="E307" s="25"/>
      <c r="F307" s="26"/>
      <c r="G307" s="138">
        <f t="shared" si="104"/>
        <v>13</v>
      </c>
      <c r="H307" s="139"/>
      <c r="I307" s="25"/>
      <c r="J307" s="26"/>
    </row>
    <row r="308">
      <c r="A308" s="136">
        <f t="shared" si="105"/>
        <v>14</v>
      </c>
      <c r="B308" s="137" t="str">
        <f>IFERROR(__xludf.DUMMYFUNCTION("""COMPUTED_VALUE"""),"Elayaraja Thangaraj")</f>
        <v>Elayaraja Thangaraj</v>
      </c>
      <c r="C308" s="138">
        <f t="shared" si="103"/>
        <v>14</v>
      </c>
      <c r="D308" s="139"/>
      <c r="E308" s="25"/>
      <c r="F308" s="26"/>
      <c r="G308" s="138">
        <f t="shared" si="104"/>
        <v>14</v>
      </c>
      <c r="H308" s="139"/>
      <c r="I308" s="25"/>
      <c r="J308" s="26"/>
    </row>
    <row r="309">
      <c r="A309" s="136">
        <f t="shared" si="105"/>
        <v>15</v>
      </c>
      <c r="B309" s="137" t="str">
        <f>IFERROR(__xludf.DUMMYFUNCTION("""COMPUTED_VALUE"""),"Eric Pan")</f>
        <v>Eric Pan</v>
      </c>
      <c r="C309" s="138">
        <f t="shared" si="103"/>
        <v>15</v>
      </c>
      <c r="D309" s="139"/>
      <c r="E309" s="25"/>
      <c r="F309" s="26"/>
      <c r="G309" s="138">
        <f t="shared" si="104"/>
        <v>15</v>
      </c>
      <c r="H309" s="139"/>
      <c r="I309" s="25"/>
      <c r="J309" s="26"/>
    </row>
    <row r="310">
      <c r="A310" s="136">
        <f t="shared" si="105"/>
        <v>16</v>
      </c>
      <c r="B310" s="137" t="str">
        <f>IFERROR(__xludf.DUMMYFUNCTION("""COMPUTED_VALUE"""),"Eric Tan")</f>
        <v>Eric Tan</v>
      </c>
      <c r="C310" s="138">
        <f t="shared" si="103"/>
        <v>16</v>
      </c>
      <c r="D310" s="139"/>
      <c r="E310" s="25"/>
      <c r="F310" s="26"/>
      <c r="G310" s="138">
        <f t="shared" si="104"/>
        <v>16</v>
      </c>
      <c r="H310" s="139"/>
      <c r="I310" s="25"/>
      <c r="J310" s="26"/>
    </row>
    <row r="311">
      <c r="A311" s="136">
        <f t="shared" si="105"/>
        <v>17</v>
      </c>
      <c r="B311" s="137" t="str">
        <f>IFERROR(__xludf.DUMMYFUNCTION("""COMPUTED_VALUE"""),"Erik Hoeckmann")</f>
        <v>Erik Hoeckmann</v>
      </c>
      <c r="C311" s="138">
        <f t="shared" si="103"/>
        <v>17</v>
      </c>
      <c r="D311" s="139"/>
      <c r="E311" s="25"/>
      <c r="F311" s="26"/>
      <c r="G311" s="138">
        <f t="shared" si="104"/>
        <v>17</v>
      </c>
      <c r="H311" s="139"/>
      <c r="I311" s="25"/>
      <c r="J311" s="26"/>
    </row>
    <row r="312">
      <c r="A312" s="136">
        <f t="shared" si="105"/>
        <v>18</v>
      </c>
      <c r="B312" s="137" t="str">
        <f>IFERROR(__xludf.DUMMYFUNCTION("""COMPUTED_VALUE"""),"Ethan Gu")</f>
        <v>Ethan Gu</v>
      </c>
      <c r="C312" s="138">
        <f t="shared" si="103"/>
        <v>18</v>
      </c>
      <c r="D312" s="139"/>
      <c r="E312" s="25"/>
      <c r="F312" s="26"/>
      <c r="G312" s="138">
        <f t="shared" si="104"/>
        <v>18</v>
      </c>
      <c r="H312" s="139"/>
      <c r="I312" s="25"/>
      <c r="J312" s="26"/>
    </row>
    <row r="313">
      <c r="A313" s="136">
        <f t="shared" si="105"/>
        <v>19</v>
      </c>
      <c r="B313" s="137" t="str">
        <f>IFERROR(__xludf.DUMMYFUNCTION("""COMPUTED_VALUE"""),"Frank Moon")</f>
        <v>Frank Moon</v>
      </c>
      <c r="C313" s="138">
        <f t="shared" si="103"/>
        <v>19</v>
      </c>
      <c r="D313" s="139"/>
      <c r="E313" s="25"/>
      <c r="F313" s="26"/>
      <c r="G313" s="138">
        <f t="shared" si="104"/>
        <v>19</v>
      </c>
      <c r="H313" s="139"/>
      <c r="I313" s="25"/>
      <c r="J313" s="26"/>
    </row>
    <row r="314">
      <c r="A314" s="136">
        <f t="shared" si="105"/>
        <v>20</v>
      </c>
      <c r="B314" s="137" t="str">
        <f>IFERROR(__xludf.DUMMYFUNCTION("""COMPUTED_VALUE"""),"Herman Au")</f>
        <v>Herman Au</v>
      </c>
      <c r="C314" s="138">
        <f t="shared" si="103"/>
        <v>20</v>
      </c>
      <c r="D314" s="139"/>
      <c r="E314" s="25"/>
      <c r="F314" s="26"/>
      <c r="G314" s="138">
        <f t="shared" si="104"/>
        <v>20</v>
      </c>
      <c r="H314" s="139"/>
      <c r="I314" s="25"/>
      <c r="J314" s="26"/>
    </row>
    <row r="315">
      <c r="A315" s="136">
        <f t="shared" si="105"/>
        <v>21</v>
      </c>
      <c r="B315" s="137" t="str">
        <f>IFERROR(__xludf.DUMMYFUNCTION("""COMPUTED_VALUE"""),"Hongyuan Wen")</f>
        <v>Hongyuan Wen</v>
      </c>
      <c r="C315" s="138">
        <f t="shared" si="103"/>
        <v>21</v>
      </c>
      <c r="D315" s="139"/>
      <c r="E315" s="25"/>
      <c r="F315" s="26"/>
      <c r="G315" s="138">
        <f t="shared" si="104"/>
        <v>21</v>
      </c>
      <c r="H315" s="139"/>
      <c r="I315" s="25"/>
      <c r="J315" s="26"/>
    </row>
    <row r="316">
      <c r="A316" s="136">
        <f t="shared" si="105"/>
        <v>22</v>
      </c>
      <c r="B316" s="137" t="str">
        <f>IFERROR(__xludf.DUMMYFUNCTION("""COMPUTED_VALUE"""),"Jaya Sogata")</f>
        <v>Jaya Sogata</v>
      </c>
      <c r="C316" s="138">
        <f t="shared" si="103"/>
        <v>22</v>
      </c>
      <c r="D316" s="139"/>
      <c r="E316" s="25"/>
      <c r="F316" s="26"/>
      <c r="G316" s="138">
        <f t="shared" si="104"/>
        <v>22</v>
      </c>
      <c r="H316" s="139"/>
      <c r="I316" s="25"/>
      <c r="J316" s="26"/>
    </row>
    <row r="317">
      <c r="A317" s="136">
        <f t="shared" si="105"/>
        <v>23</v>
      </c>
      <c r="B317" s="137" t="str">
        <f>IFERROR(__xludf.DUMMYFUNCTION("""COMPUTED_VALUE"""),"Jim Miao")</f>
        <v>Jim Miao</v>
      </c>
      <c r="C317" s="138">
        <f t="shared" si="103"/>
        <v>23</v>
      </c>
      <c r="D317" s="139"/>
      <c r="E317" s="25"/>
      <c r="F317" s="26"/>
      <c r="G317" s="138">
        <f t="shared" si="104"/>
        <v>23</v>
      </c>
      <c r="H317" s="139"/>
      <c r="I317" s="25"/>
      <c r="J317" s="26"/>
    </row>
    <row r="318">
      <c r="A318" s="136">
        <f t="shared" si="105"/>
        <v>24</v>
      </c>
      <c r="B318" s="137" t="str">
        <f>IFERROR(__xludf.DUMMYFUNCTION("""COMPUTED_VALUE"""),"Jimmy Awolesi")</f>
        <v>Jimmy Awolesi</v>
      </c>
      <c r="C318" s="138">
        <f t="shared" si="103"/>
        <v>24</v>
      </c>
      <c r="D318" s="139"/>
      <c r="E318" s="25"/>
      <c r="F318" s="26"/>
      <c r="G318" s="138">
        <f t="shared" si="104"/>
        <v>24</v>
      </c>
      <c r="H318" s="139"/>
      <c r="I318" s="25"/>
      <c r="J318" s="26"/>
    </row>
    <row r="319">
      <c r="A319" s="136">
        <f t="shared" si="105"/>
        <v>25</v>
      </c>
      <c r="B319" s="137" t="str">
        <f>IFERROR(__xludf.DUMMYFUNCTION("""COMPUTED_VALUE"""),"Joe Luzzi")</f>
        <v>Joe Luzzi</v>
      </c>
      <c r="C319" s="138">
        <f t="shared" si="103"/>
        <v>25</v>
      </c>
      <c r="D319" s="139"/>
      <c r="E319" s="25"/>
      <c r="F319" s="26"/>
      <c r="G319" s="138">
        <f t="shared" si="104"/>
        <v>25</v>
      </c>
      <c r="H319" s="139"/>
      <c r="I319" s="25"/>
      <c r="J319" s="26"/>
    </row>
    <row r="320">
      <c r="A320" s="136">
        <f t="shared" si="105"/>
        <v>26</v>
      </c>
      <c r="B320" s="137" t="str">
        <f>IFERROR(__xludf.DUMMYFUNCTION("""COMPUTED_VALUE"""),"Jonathan Phan")</f>
        <v>Jonathan Phan</v>
      </c>
      <c r="C320" s="138">
        <f t="shared" si="103"/>
        <v>26</v>
      </c>
      <c r="D320" s="139"/>
      <c r="E320" s="25"/>
      <c r="F320" s="26"/>
      <c r="G320" s="138">
        <f t="shared" si="104"/>
        <v>26</v>
      </c>
      <c r="H320" s="139"/>
      <c r="I320" s="25"/>
      <c r="J320" s="26"/>
    </row>
    <row r="321">
      <c r="A321" s="136">
        <f t="shared" si="105"/>
        <v>27</v>
      </c>
      <c r="B321" s="137" t="str">
        <f>IFERROR(__xludf.DUMMYFUNCTION("""COMPUTED_VALUE"""),"Joyce Zhu")</f>
        <v>Joyce Zhu</v>
      </c>
      <c r="C321" s="138">
        <f t="shared" si="103"/>
        <v>27</v>
      </c>
      <c r="D321" s="139"/>
      <c r="E321" s="25"/>
      <c r="F321" s="26"/>
      <c r="G321" s="138">
        <f t="shared" si="104"/>
        <v>27</v>
      </c>
      <c r="H321" s="139"/>
      <c r="I321" s="25"/>
      <c r="J321" s="26"/>
    </row>
    <row r="322">
      <c r="A322" s="136">
        <f t="shared" si="105"/>
        <v>28</v>
      </c>
      <c r="B322" s="137" t="str">
        <f>IFERROR(__xludf.DUMMYFUNCTION("""COMPUTED_VALUE"""),"Kumar Palakeel")</f>
        <v>Kumar Palakeel</v>
      </c>
      <c r="C322" s="138">
        <f t="shared" si="103"/>
        <v>28</v>
      </c>
      <c r="D322" s="139"/>
      <c r="E322" s="25"/>
      <c r="F322" s="26"/>
      <c r="G322" s="138">
        <f t="shared" si="104"/>
        <v>28</v>
      </c>
      <c r="H322" s="139"/>
      <c r="I322" s="25"/>
      <c r="J322" s="26"/>
    </row>
    <row r="323">
      <c r="A323" s="136">
        <f t="shared" si="105"/>
        <v>29</v>
      </c>
      <c r="B323" s="137" t="str">
        <f>IFERROR(__xludf.DUMMYFUNCTION("""COMPUTED_VALUE"""),"Lam Bui")</f>
        <v>Lam Bui</v>
      </c>
      <c r="C323" s="138">
        <f t="shared" si="103"/>
        <v>29</v>
      </c>
      <c r="D323" s="139"/>
      <c r="E323" s="25"/>
      <c r="F323" s="26"/>
      <c r="G323" s="138">
        <f t="shared" si="104"/>
        <v>29</v>
      </c>
      <c r="H323" s="139"/>
      <c r="I323" s="25"/>
      <c r="J323" s="26"/>
    </row>
    <row r="324">
      <c r="A324" s="136">
        <f t="shared" si="105"/>
        <v>30</v>
      </c>
      <c r="B324" s="137" t="str">
        <f>IFERROR(__xludf.DUMMYFUNCTION("""COMPUTED_VALUE"""),"Lenin Belangonda ")</f>
        <v>Lenin Belangonda </v>
      </c>
      <c r="C324" s="138">
        <f t="shared" si="103"/>
        <v>30</v>
      </c>
      <c r="D324" s="139"/>
      <c r="E324" s="25"/>
      <c r="F324" s="26"/>
      <c r="G324" s="138">
        <f t="shared" si="104"/>
        <v>30</v>
      </c>
      <c r="H324" s="139"/>
      <c r="I324" s="25"/>
      <c r="J324" s="26"/>
    </row>
    <row r="325">
      <c r="A325" s="136">
        <f t="shared" si="105"/>
        <v>31</v>
      </c>
      <c r="B325" s="137" t="str">
        <f>IFERROR(__xludf.DUMMYFUNCTION("""COMPUTED_VALUE"""),"Lloyd Sagar")</f>
        <v>Lloyd Sagar</v>
      </c>
      <c r="C325" s="138">
        <f t="shared" si="103"/>
        <v>31</v>
      </c>
      <c r="D325" s="139"/>
      <c r="E325" s="25"/>
      <c r="F325" s="26"/>
      <c r="G325" s="138">
        <f t="shared" si="104"/>
        <v>31</v>
      </c>
      <c r="H325" s="139"/>
      <c r="I325" s="25"/>
      <c r="J325" s="26"/>
    </row>
    <row r="326">
      <c r="A326" s="136">
        <f t="shared" si="105"/>
        <v>32</v>
      </c>
      <c r="B326" s="137" t="str">
        <f>IFERROR(__xludf.DUMMYFUNCTION("""COMPUTED_VALUE"""),"Luis Hsu")</f>
        <v>Luis Hsu</v>
      </c>
      <c r="C326" s="138">
        <f t="shared" si="103"/>
        <v>32</v>
      </c>
      <c r="D326" s="139"/>
      <c r="E326" s="25"/>
      <c r="F326" s="26"/>
      <c r="G326" s="138">
        <f t="shared" si="104"/>
        <v>32</v>
      </c>
      <c r="H326" s="139"/>
      <c r="I326" s="25"/>
      <c r="J326" s="26"/>
    </row>
    <row r="327">
      <c r="A327" s="136">
        <f t="shared" si="105"/>
        <v>33</v>
      </c>
      <c r="B327" s="137" t="str">
        <f>IFERROR(__xludf.DUMMYFUNCTION("""COMPUTED_VALUE"""),"Manish Anand")</f>
        <v>Manish Anand</v>
      </c>
      <c r="C327" s="138">
        <f t="shared" si="103"/>
        <v>33</v>
      </c>
      <c r="D327" s="139"/>
      <c r="E327" s="25"/>
      <c r="F327" s="26"/>
      <c r="G327" s="138">
        <f t="shared" si="104"/>
        <v>33</v>
      </c>
      <c r="H327" s="139"/>
      <c r="I327" s="25"/>
      <c r="J327" s="26"/>
    </row>
    <row r="328">
      <c r="A328" s="136">
        <f t="shared" si="105"/>
        <v>34</v>
      </c>
      <c r="B328" s="137" t="str">
        <f>IFERROR(__xludf.DUMMYFUNCTION("""COMPUTED_VALUE"""),"Manuel Rivera")</f>
        <v>Manuel Rivera</v>
      </c>
      <c r="C328" s="138">
        <f t="shared" si="103"/>
        <v>34</v>
      </c>
      <c r="D328" s="139"/>
      <c r="E328" s="25"/>
      <c r="F328" s="26"/>
      <c r="G328" s="138">
        <f t="shared" si="104"/>
        <v>34</v>
      </c>
      <c r="H328" s="139"/>
      <c r="I328" s="25"/>
      <c r="J328" s="26"/>
    </row>
    <row r="329">
      <c r="A329" s="136">
        <f t="shared" si="105"/>
        <v>35</v>
      </c>
      <c r="B329" s="137" t="str">
        <f>IFERROR(__xludf.DUMMYFUNCTION("""COMPUTED_VALUE"""),"Matthew Huang")</f>
        <v>Matthew Huang</v>
      </c>
      <c r="C329" s="138">
        <f t="shared" si="103"/>
        <v>35</v>
      </c>
      <c r="D329" s="139"/>
      <c r="E329" s="25"/>
      <c r="F329" s="26"/>
      <c r="G329" s="138">
        <f t="shared" si="104"/>
        <v>35</v>
      </c>
      <c r="H329" s="139"/>
      <c r="I329" s="25"/>
      <c r="J329" s="26"/>
    </row>
    <row r="330">
      <c r="A330" s="136">
        <f t="shared" si="105"/>
        <v>36</v>
      </c>
      <c r="B330" s="137" t="str">
        <f>IFERROR(__xludf.DUMMYFUNCTION("""COMPUTED_VALUE"""),"Mauricio Palacios")</f>
        <v>Mauricio Palacios</v>
      </c>
      <c r="C330" s="138">
        <f t="shared" si="103"/>
        <v>36</v>
      </c>
      <c r="D330" s="139"/>
      <c r="E330" s="25"/>
      <c r="F330" s="26"/>
      <c r="G330" s="138">
        <f t="shared" si="104"/>
        <v>36</v>
      </c>
      <c r="H330" s="139"/>
      <c r="I330" s="25"/>
      <c r="J330" s="26"/>
    </row>
    <row r="331">
      <c r="A331" s="136">
        <f t="shared" si="105"/>
        <v>37</v>
      </c>
      <c r="B331" s="137" t="str">
        <f>IFERROR(__xludf.DUMMYFUNCTION("""COMPUTED_VALUE"""),"Naveen Raj")</f>
        <v>Naveen Raj</v>
      </c>
      <c r="C331" s="138">
        <f t="shared" si="103"/>
        <v>37</v>
      </c>
      <c r="D331" s="139"/>
      <c r="E331" s="25"/>
      <c r="F331" s="26"/>
      <c r="G331" s="138">
        <f t="shared" si="104"/>
        <v>37</v>
      </c>
      <c r="H331" s="139"/>
      <c r="I331" s="25"/>
      <c r="J331" s="26"/>
    </row>
    <row r="332">
      <c r="A332" s="136">
        <f t="shared" si="105"/>
        <v>38</v>
      </c>
      <c r="B332" s="137" t="str">
        <f>IFERROR(__xludf.DUMMYFUNCTION("""COMPUTED_VALUE"""),"Nicole Ni")</f>
        <v>Nicole Ni</v>
      </c>
      <c r="C332" s="138">
        <f t="shared" si="103"/>
        <v>38</v>
      </c>
      <c r="D332" s="139"/>
      <c r="E332" s="25"/>
      <c r="F332" s="26"/>
      <c r="G332" s="138">
        <f t="shared" si="104"/>
        <v>38</v>
      </c>
      <c r="H332" s="139"/>
      <c r="I332" s="25"/>
      <c r="J332" s="26"/>
    </row>
    <row r="333">
      <c r="A333" s="136">
        <f t="shared" si="105"/>
        <v>39</v>
      </c>
      <c r="B333" s="137" t="str">
        <f>IFERROR(__xludf.DUMMYFUNCTION("""COMPUTED_VALUE"""),"Oscar Bonilla")</f>
        <v>Oscar Bonilla</v>
      </c>
      <c r="C333" s="138">
        <f t="shared" si="103"/>
        <v>39</v>
      </c>
      <c r="D333" s="139"/>
      <c r="E333" s="25"/>
      <c r="F333" s="26"/>
      <c r="G333" s="138">
        <f t="shared" si="104"/>
        <v>39</v>
      </c>
      <c r="H333" s="139"/>
      <c r="I333" s="25"/>
      <c r="J333" s="26"/>
    </row>
    <row r="334">
      <c r="A334" s="136">
        <f t="shared" si="105"/>
        <v>40</v>
      </c>
      <c r="B334" s="137" t="str">
        <f>IFERROR(__xludf.DUMMYFUNCTION("""COMPUTED_VALUE"""),"Pavan Akkimsetty")</f>
        <v>Pavan Akkimsetty</v>
      </c>
      <c r="C334" s="138">
        <f t="shared" si="103"/>
        <v>40</v>
      </c>
      <c r="D334" s="139"/>
      <c r="E334" s="25"/>
      <c r="F334" s="26"/>
      <c r="G334" s="138">
        <f t="shared" si="104"/>
        <v>40</v>
      </c>
      <c r="H334" s="139"/>
      <c r="I334" s="25"/>
      <c r="J334" s="26"/>
    </row>
    <row r="335">
      <c r="A335" s="136">
        <f t="shared" si="105"/>
        <v>41</v>
      </c>
      <c r="B335" s="137" t="str">
        <f>IFERROR(__xludf.DUMMYFUNCTION("""COMPUTED_VALUE"""),"Pulkit Mathur")</f>
        <v>Pulkit Mathur</v>
      </c>
      <c r="C335" s="138">
        <f t="shared" si="103"/>
        <v>41</v>
      </c>
      <c r="D335" s="139"/>
      <c r="E335" s="25"/>
      <c r="F335" s="26"/>
      <c r="G335" s="138">
        <f t="shared" si="104"/>
        <v>41</v>
      </c>
      <c r="H335" s="139"/>
      <c r="I335" s="25"/>
      <c r="J335" s="26"/>
    </row>
    <row r="336">
      <c r="A336" s="136">
        <f t="shared" si="105"/>
        <v>42</v>
      </c>
      <c r="B336" s="137" t="str">
        <f>IFERROR(__xludf.DUMMYFUNCTION("""COMPUTED_VALUE"""),"Rajasekar Ramasamy")</f>
        <v>Rajasekar Ramasamy</v>
      </c>
      <c r="C336" s="138">
        <f t="shared" si="103"/>
        <v>42</v>
      </c>
      <c r="D336" s="139"/>
      <c r="E336" s="25"/>
      <c r="F336" s="26"/>
      <c r="G336" s="138">
        <f t="shared" si="104"/>
        <v>42</v>
      </c>
      <c r="H336" s="139"/>
      <c r="I336" s="25"/>
      <c r="J336" s="26"/>
    </row>
    <row r="337">
      <c r="A337" s="136">
        <f t="shared" si="105"/>
        <v>43</v>
      </c>
      <c r="B337" s="137" t="str">
        <f>IFERROR(__xludf.DUMMYFUNCTION("""COMPUTED_VALUE"""),"Rajesh Dorairaj")</f>
        <v>Rajesh Dorairaj</v>
      </c>
      <c r="C337" s="138">
        <f t="shared" si="103"/>
        <v>43</v>
      </c>
      <c r="D337" s="139"/>
      <c r="E337" s="25"/>
      <c r="F337" s="26"/>
      <c r="G337" s="138">
        <f t="shared" si="104"/>
        <v>43</v>
      </c>
      <c r="H337" s="139"/>
      <c r="I337" s="25"/>
      <c r="J337" s="26"/>
    </row>
    <row r="338">
      <c r="A338" s="136">
        <f t="shared" si="105"/>
        <v>44</v>
      </c>
      <c r="B338" s="137" t="str">
        <f>IFERROR(__xludf.DUMMYFUNCTION("""COMPUTED_VALUE"""),"Ramesh Bandaru")</f>
        <v>Ramesh Bandaru</v>
      </c>
      <c r="C338" s="138">
        <f t="shared" si="103"/>
        <v>44</v>
      </c>
      <c r="D338" s="139"/>
      <c r="E338" s="25"/>
      <c r="F338" s="26"/>
      <c r="G338" s="138">
        <f t="shared" si="104"/>
        <v>44</v>
      </c>
      <c r="H338" s="139"/>
      <c r="I338" s="25"/>
      <c r="J338" s="26"/>
    </row>
    <row r="339">
      <c r="A339" s="136">
        <f t="shared" si="105"/>
        <v>45</v>
      </c>
      <c r="B339" s="137" t="str">
        <f>IFERROR(__xludf.DUMMYFUNCTION("""COMPUTED_VALUE"""),"Ranjith Doraiswamy")</f>
        <v>Ranjith Doraiswamy</v>
      </c>
      <c r="C339" s="138">
        <f t="shared" si="103"/>
        <v>45</v>
      </c>
      <c r="D339" s="139"/>
      <c r="E339" s="25"/>
      <c r="F339" s="26"/>
      <c r="G339" s="138">
        <f t="shared" si="104"/>
        <v>45</v>
      </c>
      <c r="H339" s="139"/>
      <c r="I339" s="25"/>
      <c r="J339" s="26"/>
    </row>
    <row r="340">
      <c r="A340" s="136">
        <f t="shared" si="105"/>
        <v>46</v>
      </c>
      <c r="B340" s="137" t="str">
        <f>IFERROR(__xludf.DUMMYFUNCTION("""COMPUTED_VALUE"""),"Ruben Ron")</f>
        <v>Ruben Ron</v>
      </c>
      <c r="C340" s="138">
        <f t="shared" si="103"/>
        <v>46</v>
      </c>
      <c r="D340" s="139"/>
      <c r="E340" s="25"/>
      <c r="F340" s="26"/>
      <c r="G340" s="138">
        <f t="shared" si="104"/>
        <v>46</v>
      </c>
      <c r="H340" s="139"/>
      <c r="I340" s="25"/>
      <c r="J340" s="26"/>
    </row>
    <row r="341">
      <c r="A341" s="136">
        <f t="shared" si="105"/>
        <v>47</v>
      </c>
      <c r="B341" s="137" t="str">
        <f>IFERROR(__xludf.DUMMYFUNCTION("""COMPUTED_VALUE"""),"Rudy Tatang")</f>
        <v>Rudy Tatang</v>
      </c>
      <c r="C341" s="138">
        <f t="shared" si="103"/>
        <v>47</v>
      </c>
      <c r="D341" s="139"/>
      <c r="E341" s="25"/>
      <c r="F341" s="26"/>
      <c r="G341" s="138">
        <f t="shared" si="104"/>
        <v>47</v>
      </c>
      <c r="H341" s="139"/>
      <c r="I341" s="25"/>
      <c r="J341" s="26"/>
    </row>
    <row r="342">
      <c r="A342" s="136">
        <f t="shared" si="105"/>
        <v>48</v>
      </c>
      <c r="B342" s="137" t="str">
        <f>IFERROR(__xludf.DUMMYFUNCTION("""COMPUTED_VALUE"""),"Sandeep Kamalon")</f>
        <v>Sandeep Kamalon</v>
      </c>
      <c r="C342" s="138">
        <f t="shared" si="103"/>
        <v>48</v>
      </c>
      <c r="D342" s="139"/>
      <c r="E342" s="25"/>
      <c r="F342" s="26"/>
      <c r="G342" s="138">
        <f t="shared" si="104"/>
        <v>48</v>
      </c>
      <c r="H342" s="139"/>
      <c r="I342" s="25"/>
      <c r="J342" s="26"/>
    </row>
    <row r="343">
      <c r="A343" s="136">
        <f t="shared" si="105"/>
        <v>49</v>
      </c>
      <c r="B343" s="137" t="str">
        <f>IFERROR(__xludf.DUMMYFUNCTION("""COMPUTED_VALUE"""),"Sanjaye Elayattu")</f>
        <v>Sanjaye Elayattu</v>
      </c>
      <c r="C343" s="138">
        <f t="shared" si="103"/>
        <v>49</v>
      </c>
      <c r="D343" s="139"/>
      <c r="E343" s="25"/>
      <c r="F343" s="26"/>
      <c r="G343" s="138">
        <f t="shared" si="104"/>
        <v>49</v>
      </c>
      <c r="H343" s="139"/>
      <c r="I343" s="25"/>
      <c r="J343" s="26"/>
    </row>
    <row r="344">
      <c r="A344" s="136">
        <f t="shared" si="105"/>
        <v>50</v>
      </c>
      <c r="B344" s="137" t="str">
        <f>IFERROR(__xludf.DUMMYFUNCTION("""COMPUTED_VALUE"""),"Santosh Sundaresan")</f>
        <v>Santosh Sundaresan</v>
      </c>
      <c r="C344" s="138">
        <f t="shared" si="103"/>
        <v>50</v>
      </c>
      <c r="D344" s="139"/>
      <c r="E344" s="25"/>
      <c r="F344" s="26"/>
      <c r="G344" s="138">
        <f t="shared" si="104"/>
        <v>50</v>
      </c>
      <c r="H344" s="139"/>
      <c r="I344" s="25"/>
      <c r="J344" s="26"/>
    </row>
    <row r="345">
      <c r="A345" s="136">
        <f t="shared" si="105"/>
        <v>51</v>
      </c>
      <c r="B345" s="137" t="str">
        <f>IFERROR(__xludf.DUMMYFUNCTION("""COMPUTED_VALUE"""),"Saravanan Veerapandian")</f>
        <v>Saravanan Veerapandian</v>
      </c>
      <c r="C345" s="138">
        <f t="shared" si="103"/>
        <v>51</v>
      </c>
      <c r="D345" s="139"/>
      <c r="E345" s="25"/>
      <c r="F345" s="26"/>
      <c r="G345" s="138">
        <f t="shared" si="104"/>
        <v>51</v>
      </c>
      <c r="H345" s="139"/>
      <c r="I345" s="25"/>
      <c r="J345" s="26"/>
    </row>
    <row r="346">
      <c r="A346" s="136">
        <f t="shared" si="105"/>
        <v>52</v>
      </c>
      <c r="B346" s="137" t="str">
        <f>IFERROR(__xludf.DUMMYFUNCTION("""COMPUTED_VALUE"""),"Scott Li")</f>
        <v>Scott Li</v>
      </c>
      <c r="C346" s="138">
        <f t="shared" si="103"/>
        <v>52</v>
      </c>
      <c r="D346" s="139"/>
      <c r="E346" s="25"/>
      <c r="F346" s="26"/>
      <c r="G346" s="138">
        <f t="shared" si="104"/>
        <v>52</v>
      </c>
      <c r="H346" s="139"/>
      <c r="I346" s="25"/>
      <c r="J346" s="26"/>
    </row>
    <row r="347">
      <c r="A347" s="136">
        <f t="shared" si="105"/>
        <v>53</v>
      </c>
      <c r="B347" s="137" t="str">
        <f>IFERROR(__xludf.DUMMYFUNCTION("""COMPUTED_VALUE"""),"Sean Chang")</f>
        <v>Sean Chang</v>
      </c>
      <c r="C347" s="138">
        <f t="shared" si="103"/>
        <v>53</v>
      </c>
      <c r="D347" s="139"/>
      <c r="E347" s="25"/>
      <c r="F347" s="26"/>
      <c r="G347" s="138">
        <f t="shared" si="104"/>
        <v>53</v>
      </c>
      <c r="H347" s="139"/>
      <c r="I347" s="25"/>
      <c r="J347" s="26"/>
    </row>
    <row r="348">
      <c r="A348" s="136">
        <f t="shared" si="105"/>
        <v>54</v>
      </c>
      <c r="B348" s="137" t="str">
        <f>IFERROR(__xludf.DUMMYFUNCTION("""COMPUTED_VALUE"""),"Suleman Alidina")</f>
        <v>Suleman Alidina</v>
      </c>
      <c r="C348" s="138">
        <f t="shared" si="103"/>
        <v>54</v>
      </c>
      <c r="D348" s="139"/>
      <c r="E348" s="25"/>
      <c r="F348" s="26"/>
      <c r="G348" s="138">
        <f t="shared" si="104"/>
        <v>54</v>
      </c>
      <c r="H348" s="139"/>
      <c r="I348" s="25"/>
      <c r="J348" s="26"/>
    </row>
    <row r="349">
      <c r="A349" s="136">
        <f t="shared" si="105"/>
        <v>55</v>
      </c>
      <c r="B349" s="137" t="str">
        <f>IFERROR(__xludf.DUMMYFUNCTION("""COMPUTED_VALUE"""),"Susanta Mishra")</f>
        <v>Susanta Mishra</v>
      </c>
      <c r="C349" s="138">
        <f t="shared" si="103"/>
        <v>55</v>
      </c>
      <c r="D349" s="139"/>
      <c r="E349" s="25"/>
      <c r="F349" s="26"/>
      <c r="G349" s="138">
        <f t="shared" si="104"/>
        <v>55</v>
      </c>
      <c r="H349" s="139"/>
      <c r="I349" s="25"/>
      <c r="J349" s="26"/>
    </row>
    <row r="350">
      <c r="A350" s="136">
        <f t="shared" si="105"/>
        <v>56</v>
      </c>
      <c r="B350" s="137" t="str">
        <f>IFERROR(__xludf.DUMMYFUNCTION("""COMPUTED_VALUE"""),"Ted Shen")</f>
        <v>Ted Shen</v>
      </c>
      <c r="C350" s="138">
        <f t="shared" si="103"/>
        <v>56</v>
      </c>
      <c r="D350" s="139"/>
      <c r="E350" s="25"/>
      <c r="F350" s="26"/>
      <c r="G350" s="138">
        <f t="shared" si="104"/>
        <v>56</v>
      </c>
      <c r="H350" s="139"/>
      <c r="I350" s="25"/>
      <c r="J350" s="26"/>
    </row>
    <row r="351">
      <c r="A351" s="136">
        <f t="shared" si="105"/>
        <v>57</v>
      </c>
      <c r="B351" s="137" t="str">
        <f>IFERROR(__xludf.DUMMYFUNCTION("""COMPUTED_VALUE"""),"Tina Hanson")</f>
        <v>Tina Hanson</v>
      </c>
      <c r="C351" s="138">
        <f t="shared" si="103"/>
        <v>57</v>
      </c>
      <c r="D351" s="139"/>
      <c r="E351" s="25"/>
      <c r="F351" s="26"/>
      <c r="G351" s="138">
        <f t="shared" si="104"/>
        <v>57</v>
      </c>
      <c r="H351" s="139"/>
      <c r="I351" s="25"/>
      <c r="J351" s="26"/>
    </row>
    <row r="352">
      <c r="A352" s="136">
        <f t="shared" si="105"/>
        <v>58</v>
      </c>
      <c r="B352" s="137" t="str">
        <f>IFERROR(__xludf.DUMMYFUNCTION("""COMPUTED_VALUE"""),"Tom Le")</f>
        <v>Tom Le</v>
      </c>
      <c r="C352" s="138">
        <f t="shared" si="103"/>
        <v>58</v>
      </c>
      <c r="D352" s="139"/>
      <c r="E352" s="25"/>
      <c r="F352" s="26"/>
      <c r="G352" s="138">
        <f t="shared" si="104"/>
        <v>58</v>
      </c>
      <c r="H352" s="139"/>
      <c r="I352" s="25"/>
      <c r="J352" s="26"/>
    </row>
    <row r="353">
      <c r="A353" s="136">
        <f t="shared" si="105"/>
        <v>59</v>
      </c>
      <c r="B353" s="137" t="str">
        <f>IFERROR(__xludf.DUMMYFUNCTION("""COMPUTED_VALUE"""),"Trish Newlin")</f>
        <v>Trish Newlin</v>
      </c>
      <c r="C353" s="138">
        <f t="shared" si="103"/>
        <v>59</v>
      </c>
      <c r="D353" s="139"/>
      <c r="E353" s="25"/>
      <c r="F353" s="26"/>
      <c r="G353" s="138">
        <f t="shared" si="104"/>
        <v>59</v>
      </c>
      <c r="H353" s="139"/>
      <c r="I353" s="25"/>
      <c r="J353" s="26"/>
    </row>
    <row r="354">
      <c r="A354" s="136">
        <f t="shared" si="105"/>
        <v>60</v>
      </c>
      <c r="B354" s="137" t="str">
        <f>IFERROR(__xludf.DUMMYFUNCTION("""COMPUTED_VALUE"""),"Troy Wong")</f>
        <v>Troy Wong</v>
      </c>
      <c r="C354" s="138">
        <f t="shared" si="103"/>
        <v>60</v>
      </c>
      <c r="D354" s="139"/>
      <c r="E354" s="25"/>
      <c r="F354" s="26"/>
      <c r="G354" s="138">
        <f t="shared" si="104"/>
        <v>60</v>
      </c>
      <c r="H354" s="139"/>
      <c r="I354" s="25"/>
      <c r="J354" s="26"/>
    </row>
    <row r="355">
      <c r="A355" s="136">
        <f t="shared" si="105"/>
        <v>61</v>
      </c>
      <c r="B355" s="137" t="str">
        <f>IFERROR(__xludf.DUMMYFUNCTION("""COMPUTED_VALUE"""),"Vicki Martinet")</f>
        <v>Vicki Martinet</v>
      </c>
      <c r="C355" s="138">
        <f t="shared" si="103"/>
        <v>61</v>
      </c>
      <c r="D355" s="139"/>
      <c r="E355" s="25"/>
      <c r="F355" s="26"/>
      <c r="G355" s="138">
        <f t="shared" si="104"/>
        <v>61</v>
      </c>
      <c r="H355" s="139"/>
      <c r="I355" s="25"/>
      <c r="J355" s="26"/>
    </row>
    <row r="356">
      <c r="A356" s="136">
        <f t="shared" si="105"/>
        <v>62</v>
      </c>
      <c r="B356" s="137" t="str">
        <f>IFERROR(__xludf.DUMMYFUNCTION("""COMPUTED_VALUE"""),"Vinaya Kajla")</f>
        <v>Vinaya Kajla</v>
      </c>
      <c r="C356" s="138">
        <f t="shared" si="103"/>
        <v>62</v>
      </c>
      <c r="D356" s="139"/>
      <c r="E356" s="25"/>
      <c r="F356" s="26"/>
      <c r="G356" s="138">
        <f t="shared" si="104"/>
        <v>62</v>
      </c>
      <c r="H356" s="139"/>
      <c r="I356" s="25"/>
      <c r="J356" s="26"/>
    </row>
    <row r="357">
      <c r="A357" s="136">
        <f t="shared" si="105"/>
        <v>63</v>
      </c>
      <c r="B357" s="137" t="str">
        <f>IFERROR(__xludf.DUMMYFUNCTION("""COMPUTED_VALUE"""),"Vinotkumar Nagappan")</f>
        <v>Vinotkumar Nagappan</v>
      </c>
      <c r="C357" s="138">
        <f t="shared" si="103"/>
        <v>63</v>
      </c>
      <c r="D357" s="139"/>
      <c r="E357" s="25"/>
      <c r="F357" s="26"/>
      <c r="G357" s="138">
        <f t="shared" si="104"/>
        <v>63</v>
      </c>
      <c r="H357" s="139"/>
      <c r="I357" s="25"/>
      <c r="J357" s="26"/>
    </row>
    <row r="358">
      <c r="A358" s="136">
        <f t="shared" si="105"/>
        <v>64</v>
      </c>
      <c r="B358" s="137" t="str">
        <f>IFERROR(__xludf.DUMMYFUNCTION("""COMPUTED_VALUE"""),"Vishnu Amarnath")</f>
        <v>Vishnu Amarnath</v>
      </c>
      <c r="C358" s="138">
        <f t="shared" si="103"/>
        <v>64</v>
      </c>
      <c r="D358" s="139"/>
      <c r="E358" s="25"/>
      <c r="F358" s="26"/>
      <c r="G358" s="138">
        <f t="shared" si="104"/>
        <v>64</v>
      </c>
      <c r="H358" s="139"/>
      <c r="I358" s="25"/>
      <c r="J358" s="26"/>
    </row>
    <row r="359">
      <c r="A359" s="136">
        <f t="shared" si="105"/>
        <v>65</v>
      </c>
      <c r="B359" s="137" t="str">
        <f>IFERROR(__xludf.DUMMYFUNCTION("""COMPUTED_VALUE"""),"Wayne Liu")</f>
        <v>Wayne Liu</v>
      </c>
      <c r="C359" s="138">
        <f t="shared" si="103"/>
        <v>65</v>
      </c>
      <c r="D359" s="139"/>
      <c r="E359" s="25"/>
      <c r="F359" s="26"/>
      <c r="G359" s="138">
        <f t="shared" si="104"/>
        <v>65</v>
      </c>
      <c r="H359" s="139"/>
      <c r="I359" s="25"/>
      <c r="J359" s="26"/>
    </row>
    <row r="360">
      <c r="A360" s="136">
        <f t="shared" si="105"/>
        <v>66</v>
      </c>
      <c r="B360" s="137"/>
      <c r="C360" s="138">
        <f t="shared" si="103"/>
        <v>66</v>
      </c>
      <c r="D360" s="139"/>
      <c r="E360" s="25"/>
      <c r="F360" s="26"/>
      <c r="G360" s="138">
        <f t="shared" si="104"/>
        <v>66</v>
      </c>
      <c r="H360" s="139"/>
      <c r="I360" s="25"/>
      <c r="J360" s="26"/>
    </row>
    <row r="361">
      <c r="A361" s="136">
        <f t="shared" si="105"/>
        <v>67</v>
      </c>
      <c r="B361" s="137"/>
      <c r="C361" s="138">
        <f t="shared" si="103"/>
        <v>67</v>
      </c>
      <c r="D361" s="139"/>
      <c r="E361" s="25"/>
      <c r="F361" s="26"/>
      <c r="G361" s="138">
        <f t="shared" si="104"/>
        <v>67</v>
      </c>
      <c r="H361" s="139"/>
      <c r="I361" s="25"/>
      <c r="J361" s="26"/>
    </row>
    <row r="362">
      <c r="A362" s="136">
        <f t="shared" si="105"/>
        <v>68</v>
      </c>
      <c r="B362" s="137"/>
      <c r="C362" s="138">
        <f t="shared" si="103"/>
        <v>68</v>
      </c>
      <c r="D362" s="139"/>
      <c r="E362" s="25"/>
      <c r="F362" s="26"/>
      <c r="G362" s="138">
        <f t="shared" si="104"/>
        <v>68</v>
      </c>
      <c r="H362" s="139"/>
      <c r="I362" s="25"/>
      <c r="J362" s="26"/>
    </row>
    <row r="363">
      <c r="A363" s="136">
        <f t="shared" si="105"/>
        <v>69</v>
      </c>
      <c r="B363" s="137"/>
      <c r="C363" s="138">
        <f t="shared" si="103"/>
        <v>69</v>
      </c>
      <c r="D363" s="139"/>
      <c r="E363" s="25"/>
      <c r="F363" s="26"/>
      <c r="G363" s="138">
        <f t="shared" si="104"/>
        <v>69</v>
      </c>
      <c r="H363" s="139"/>
      <c r="I363" s="25"/>
      <c r="J363" s="26"/>
    </row>
    <row r="364">
      <c r="A364" s="136">
        <f t="shared" si="105"/>
        <v>70</v>
      </c>
      <c r="B364" s="137"/>
      <c r="C364" s="138">
        <f t="shared" si="103"/>
        <v>70</v>
      </c>
      <c r="D364" s="139"/>
      <c r="E364" s="25"/>
      <c r="F364" s="26"/>
      <c r="G364" s="138">
        <f t="shared" si="104"/>
        <v>70</v>
      </c>
      <c r="H364" s="139"/>
      <c r="I364" s="25"/>
      <c r="J364" s="26"/>
    </row>
    <row r="365">
      <c r="A365" s="136">
        <f t="shared" si="105"/>
        <v>71</v>
      </c>
      <c r="B365" s="137"/>
      <c r="C365" s="138">
        <f t="shared" si="103"/>
        <v>71</v>
      </c>
      <c r="D365" s="139"/>
      <c r="E365" s="25"/>
      <c r="F365" s="26"/>
      <c r="G365" s="138">
        <f t="shared" si="104"/>
        <v>71</v>
      </c>
      <c r="H365" s="139"/>
      <c r="I365" s="25"/>
      <c r="J365" s="26"/>
    </row>
    <row r="366">
      <c r="A366" s="136">
        <f t="shared" si="105"/>
        <v>72</v>
      </c>
      <c r="B366" s="137"/>
      <c r="C366" s="138">
        <f t="shared" si="103"/>
        <v>72</v>
      </c>
      <c r="D366" s="139"/>
      <c r="E366" s="25"/>
      <c r="F366" s="26"/>
      <c r="G366" s="138">
        <f t="shared" si="104"/>
        <v>72</v>
      </c>
      <c r="H366" s="139"/>
      <c r="I366" s="25"/>
      <c r="J366" s="26"/>
    </row>
    <row r="367">
      <c r="A367" s="136">
        <f t="shared" si="105"/>
        <v>73</v>
      </c>
      <c r="B367" s="137"/>
      <c r="C367" s="138">
        <f t="shared" si="103"/>
        <v>73</v>
      </c>
      <c r="D367" s="139"/>
      <c r="E367" s="25"/>
      <c r="F367" s="26"/>
      <c r="G367" s="138">
        <f t="shared" si="104"/>
        <v>73</v>
      </c>
      <c r="H367" s="139"/>
      <c r="I367" s="25"/>
      <c r="J367" s="26"/>
    </row>
    <row r="368">
      <c r="A368" s="136">
        <f t="shared" si="105"/>
        <v>74</v>
      </c>
      <c r="B368" s="137"/>
      <c r="C368" s="138">
        <f t="shared" si="103"/>
        <v>74</v>
      </c>
      <c r="D368" s="139"/>
      <c r="E368" s="25"/>
      <c r="F368" s="26"/>
      <c r="G368" s="138">
        <f t="shared" si="104"/>
        <v>74</v>
      </c>
      <c r="H368" s="139"/>
      <c r="I368" s="25"/>
      <c r="J368" s="26"/>
    </row>
    <row r="369">
      <c r="A369" s="136">
        <f t="shared" si="105"/>
        <v>75</v>
      </c>
      <c r="B369" s="137"/>
      <c r="C369" s="138">
        <f t="shared" si="103"/>
        <v>75</v>
      </c>
      <c r="D369" s="139"/>
      <c r="E369" s="25"/>
      <c r="F369" s="26"/>
      <c r="G369" s="138">
        <f t="shared" si="104"/>
        <v>75</v>
      </c>
      <c r="H369" s="139"/>
      <c r="I369" s="25"/>
      <c r="J369" s="26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A142:B142"/>
    <mergeCell ref="B223:C223"/>
    <mergeCell ref="D294:F294"/>
    <mergeCell ref="H294:J294"/>
    <mergeCell ref="H295:J295"/>
    <mergeCell ref="H298:J298"/>
    <mergeCell ref="H299:J299"/>
    <mergeCell ref="D295:F295"/>
    <mergeCell ref="D296:F296"/>
    <mergeCell ref="H296:J296"/>
    <mergeCell ref="D297:F297"/>
    <mergeCell ref="H297:J297"/>
    <mergeCell ref="D298:F298"/>
    <mergeCell ref="D299:F299"/>
    <mergeCell ref="D300:F300"/>
    <mergeCell ref="H300:J300"/>
    <mergeCell ref="D301:F301"/>
    <mergeCell ref="H301:J301"/>
    <mergeCell ref="D302:F302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D352:F352"/>
    <mergeCell ref="D353:F353"/>
    <mergeCell ref="D354:F354"/>
    <mergeCell ref="D355:F355"/>
    <mergeCell ref="D356:F356"/>
    <mergeCell ref="D357:F357"/>
    <mergeCell ref="D358:F358"/>
    <mergeCell ref="D366:F366"/>
    <mergeCell ref="D367:F367"/>
    <mergeCell ref="D368:F368"/>
    <mergeCell ref="D369:F369"/>
    <mergeCell ref="D359:F359"/>
    <mergeCell ref="D360:F360"/>
    <mergeCell ref="D361:F361"/>
    <mergeCell ref="D362:F362"/>
    <mergeCell ref="D363:F363"/>
    <mergeCell ref="D364:F364"/>
    <mergeCell ref="D365:F365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H367:J367"/>
    <mergeCell ref="H368:J368"/>
    <mergeCell ref="H369:J369"/>
    <mergeCell ref="H360:J360"/>
    <mergeCell ref="H361:J361"/>
    <mergeCell ref="H362:J362"/>
    <mergeCell ref="H363:J363"/>
    <mergeCell ref="H364:J364"/>
    <mergeCell ref="H365:J365"/>
    <mergeCell ref="H366:J366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4.5"/>
    <col customWidth="1" min="3" max="3" width="6.63"/>
    <col customWidth="1" min="4" max="4" width="5.13"/>
    <col customWidth="1" min="5" max="5" width="6.0"/>
    <col customWidth="1" min="6" max="8" width="5.0"/>
    <col customWidth="1" min="9" max="9" width="6.5"/>
    <col customWidth="1" min="10" max="10" width="6.13"/>
    <col customWidth="1" min="11" max="11" width="7.25"/>
    <col customWidth="1" min="12" max="12" width="23.63"/>
    <col customWidth="1" hidden="1" min="13" max="13" width="5.38"/>
    <col customWidth="1" hidden="1" min="14" max="14" width="7.75"/>
    <col customWidth="1" hidden="1" min="15" max="15" width="10.0"/>
    <col customWidth="1" hidden="1" min="16" max="17" width="8.0"/>
    <col customWidth="1" min="18" max="18" width="3.75"/>
    <col customWidth="1" min="19" max="21" width="4.88"/>
    <col customWidth="1" min="22" max="22" width="5.25"/>
    <col customWidth="1" min="23" max="23" width="23.75"/>
    <col hidden="1" min="24" max="25" width="12.63"/>
    <col customWidth="1" hidden="1" min="26" max="26" width="19.75"/>
    <col hidden="1" min="27" max="27" width="12.63"/>
    <col customWidth="1" hidden="1" min="28" max="28" width="6.25"/>
    <col customWidth="1" min="30" max="30" width="8.63"/>
    <col customWidth="1" min="31" max="31" width="8.38"/>
  </cols>
  <sheetData>
    <row r="1">
      <c r="A1" s="2" t="s">
        <v>0</v>
      </c>
      <c r="B1" s="4" t="s">
        <v>1</v>
      </c>
      <c r="C1" s="7" t="s">
        <v>6</v>
      </c>
      <c r="D1" s="7" t="s">
        <v>9</v>
      </c>
      <c r="E1" s="7" t="s">
        <v>10</v>
      </c>
      <c r="F1" s="7" t="s">
        <v>12</v>
      </c>
      <c r="G1" s="7" t="s">
        <v>13</v>
      </c>
      <c r="H1" s="7" t="s">
        <v>15</v>
      </c>
      <c r="I1" s="7" t="s">
        <v>17</v>
      </c>
      <c r="J1" s="7" t="s">
        <v>9</v>
      </c>
      <c r="K1" s="12" t="s">
        <v>0</v>
      </c>
      <c r="L1" s="7" t="s">
        <v>22</v>
      </c>
      <c r="M1" s="14" t="s">
        <v>23</v>
      </c>
      <c r="N1" s="20" t="s">
        <v>24</v>
      </c>
      <c r="O1" s="20" t="s">
        <v>26</v>
      </c>
      <c r="P1" s="21" t="s">
        <v>27</v>
      </c>
      <c r="Q1" s="21" t="s">
        <v>28</v>
      </c>
      <c r="S1" s="7" t="s">
        <v>12</v>
      </c>
      <c r="T1" s="7" t="s">
        <v>13</v>
      </c>
      <c r="U1" s="7" t="s">
        <v>15</v>
      </c>
      <c r="V1" s="7" t="s">
        <v>9</v>
      </c>
      <c r="W1" s="23"/>
      <c r="X1" s="23"/>
      <c r="Y1" s="23"/>
      <c r="Z1" s="23"/>
      <c r="AA1" s="23" t="s">
        <v>31</v>
      </c>
      <c r="AB1" s="23"/>
      <c r="AC1" s="23"/>
      <c r="AF1" s="23"/>
      <c r="AG1" s="23"/>
      <c r="AH1" s="23"/>
      <c r="AJ1" s="23"/>
      <c r="AK1" s="23"/>
      <c r="AQ1" s="21" t="s">
        <v>36</v>
      </c>
      <c r="AR1" s="21" t="s">
        <v>27</v>
      </c>
      <c r="AS1" s="21" t="s">
        <v>37</v>
      </c>
    </row>
    <row r="2">
      <c r="A2" s="30">
        <v>1.0</v>
      </c>
      <c r="B2" s="32" t="str">
        <f>IFERROR(__xludf.DUMMYFUNCTION("QUERY(indirect(""'"" &amp; ""Current"" &amp; ""'!B5:F79""),""Select B, C, D, F where F = 1 or F = 2 "",0)"),"#N/A")</f>
        <v>#N/A</v>
      </c>
      <c r="C2" s="33"/>
      <c r="D2" s="33"/>
      <c r="E2" s="34"/>
      <c r="F2" s="30"/>
      <c r="G2" s="30"/>
      <c r="H2" s="30"/>
      <c r="I2" s="30">
        <f t="shared" ref="I2:I65" si="2">sum(F2:H2)</f>
        <v>0</v>
      </c>
      <c r="J2" s="30">
        <f>if(sum(F2:F5)=0,0,if(max(F2:F5)=F2,1,0)+if(max(G2:G5)=G2,1,0)+if(max(H2:H5)=H2,1,0))</f>
        <v>0</v>
      </c>
      <c r="K2" s="42">
        <f t="shared" ref="K2:K65" si="3">A2</f>
        <v>1</v>
      </c>
      <c r="L2" s="19"/>
      <c r="M2" s="30"/>
      <c r="N2" s="43"/>
      <c r="O2" s="5">
        <f>sum(N2:N5)</f>
        <v>0</v>
      </c>
      <c r="P2" s="32">
        <f t="shared" ref="P2:P45" si="4">countif(Z$73:Z$79,B2)</f>
        <v>0</v>
      </c>
      <c r="Q2" s="32">
        <f>sum(P2:P5)</f>
        <v>0</v>
      </c>
      <c r="S2" s="19" t="str">
        <f t="shared" ref="S2:U2" si="1">if(sum(F2:F5)=0,"",if(or(max(F2:F5)=6, max(F2:F5)=7),"G","E"))</f>
        <v/>
      </c>
      <c r="T2" s="19" t="str">
        <f t="shared" si="1"/>
        <v/>
      </c>
      <c r="U2" s="19" t="str">
        <f t="shared" si="1"/>
        <v/>
      </c>
      <c r="V2" s="19">
        <f>if(sum(F2:F5)=0,0,if(max(F2:F5)=F2,1,0)+if(max(G2:G5)=G2,1,0)+if(max(H2:H5)=H2,1,0))</f>
        <v>0</v>
      </c>
      <c r="W2" s="21" t="s">
        <v>55</v>
      </c>
      <c r="AA2" s="30" t="str">
        <f t="shared" ref="AA2:AA45" si="6">if(M2&lt;&gt;"","W" &amp; vlookup(B2,B$122:E$133,4,false),"D" &amp; vlookup(B2,B44:E75,4,false))</f>
        <v>#N/A</v>
      </c>
      <c r="AQ2" s="50">
        <f t="shared" ref="AQ2:AQ45" si="7">K2</f>
        <v>1</v>
      </c>
      <c r="AR2" s="19">
        <f t="shared" ref="AR2:AR45" si="8">P2</f>
        <v>0</v>
      </c>
      <c r="AS2" s="19">
        <f t="shared" ref="AS2:AS45" si="9">counta(B2)</f>
        <v>1</v>
      </c>
    </row>
    <row r="3">
      <c r="A3" s="30">
        <v>1.0</v>
      </c>
      <c r="B3" s="19"/>
      <c r="C3" s="33"/>
      <c r="D3" s="33"/>
      <c r="E3" s="34"/>
      <c r="F3" s="30"/>
      <c r="G3" s="30"/>
      <c r="H3" s="30"/>
      <c r="I3" s="30">
        <f t="shared" si="2"/>
        <v>0</v>
      </c>
      <c r="J3" s="30">
        <f>if(sum(F2:F5)=0,0,if(max(F2:F5)=F3,1,0)+if(max(G2:G5)=G3,1,0)+if(max(H2:H5)=H3,1,0))</f>
        <v>0</v>
      </c>
      <c r="K3" s="42">
        <f t="shared" si="3"/>
        <v>1</v>
      </c>
      <c r="L3" s="19"/>
      <c r="M3" s="30"/>
      <c r="N3" s="43"/>
      <c r="O3" s="5"/>
      <c r="P3" s="32">
        <f t="shared" si="4"/>
        <v>0</v>
      </c>
      <c r="S3" s="19" t="str">
        <f t="shared" ref="S3:U3" si="5">if(sum(F2:F5)=0,"",if(SUMPRODUCT(1/COUNTIF(F2:F5, F2:F5))=2,"G","E"))</f>
        <v/>
      </c>
      <c r="T3" s="19" t="str">
        <f t="shared" si="5"/>
        <v/>
      </c>
      <c r="U3" s="19" t="str">
        <f t="shared" si="5"/>
        <v/>
      </c>
      <c r="V3" s="19">
        <f>if(sum(F2:F5)=0,0,if(max(F2:F5)=F3,1,0)+if(max(G2:G5)=G3,1,0)+if(max(H2:H5)=H3,1,0))</f>
        <v>0</v>
      </c>
      <c r="W3" s="21" t="s">
        <v>66</v>
      </c>
      <c r="AA3" s="30" t="str">
        <f t="shared" si="6"/>
        <v>#N/A</v>
      </c>
      <c r="AD3" s="54" t="s">
        <v>31</v>
      </c>
      <c r="AE3" s="55" t="s">
        <v>67</v>
      </c>
      <c r="AQ3" s="50">
        <f t="shared" si="7"/>
        <v>1</v>
      </c>
      <c r="AR3" s="19">
        <f t="shared" si="8"/>
        <v>0</v>
      </c>
      <c r="AS3" s="19">
        <f t="shared" si="9"/>
        <v>0</v>
      </c>
    </row>
    <row r="4">
      <c r="A4" s="30">
        <v>1.0</v>
      </c>
      <c r="B4" s="19"/>
      <c r="C4" s="33"/>
      <c r="D4" s="33"/>
      <c r="E4" s="34"/>
      <c r="F4" s="30"/>
      <c r="G4" s="30"/>
      <c r="H4" s="30"/>
      <c r="I4" s="30">
        <f t="shared" si="2"/>
        <v>0</v>
      </c>
      <c r="J4" s="30">
        <f>if(sum(F2:F5)=0,0,if(max(F2:F5)=F4,1,0)+if(max(G2:G5)=G4,1,0)+if(max(H2:H5)=H4,1,0))</f>
        <v>0</v>
      </c>
      <c r="K4" s="42">
        <f t="shared" si="3"/>
        <v>1</v>
      </c>
      <c r="L4" s="19"/>
      <c r="M4" s="30"/>
      <c r="N4" s="43"/>
      <c r="O4" s="5"/>
      <c r="P4" s="32">
        <f t="shared" si="4"/>
        <v>0</v>
      </c>
      <c r="S4" s="19" t="str">
        <f t="shared" ref="S4:U4" si="10">if(sum(F2:F5)=0,"",if(and(max(F2:F5)=7, min(F2:F5)=6),"G",if(max(F2:F5)-min(F2:F5)&gt;=2,"G","E")))</f>
        <v/>
      </c>
      <c r="T4" s="19" t="str">
        <f t="shared" si="10"/>
        <v/>
      </c>
      <c r="U4" s="19" t="str">
        <f t="shared" si="10"/>
        <v/>
      </c>
      <c r="V4" s="19">
        <f>if(sum(F2:F5)=0,0,if(max(F2:F5)=F4,1,0)+if(max(G2:G5)=G4,1,0)+if(max(H2:H5)=H4,1,0))</f>
        <v>0</v>
      </c>
      <c r="W4" s="21" t="s">
        <v>74</v>
      </c>
      <c r="AA4" s="30" t="str">
        <f t="shared" si="6"/>
        <v>#N/A</v>
      </c>
      <c r="AD4" s="59">
        <v>1.0</v>
      </c>
      <c r="AE4" s="43" t="str">
        <f>IF(B2="", "X", IF(COUNTA(F2:H2)=0, "N", "Y"))</f>
        <v>#N/A</v>
      </c>
      <c r="AQ4" s="50">
        <f t="shared" si="7"/>
        <v>1</v>
      </c>
      <c r="AR4" s="19">
        <f t="shared" si="8"/>
        <v>0</v>
      </c>
      <c r="AS4" s="19">
        <f t="shared" si="9"/>
        <v>0</v>
      </c>
    </row>
    <row r="5">
      <c r="A5" s="30">
        <v>1.0</v>
      </c>
      <c r="B5" s="19"/>
      <c r="C5" s="33"/>
      <c r="D5" s="33"/>
      <c r="E5" s="34"/>
      <c r="F5" s="30"/>
      <c r="G5" s="30"/>
      <c r="H5" s="30"/>
      <c r="I5" s="30">
        <f t="shared" si="2"/>
        <v>0</v>
      </c>
      <c r="J5" s="30">
        <f>if(sum(F2:F5)=0,0,if(max(F2:F5)=F5,1,0)+if(max(G2:G5)=G5,1,0)+if(max(H2:H5)=H5,1,0))</f>
        <v>0</v>
      </c>
      <c r="K5" s="42">
        <f t="shared" si="3"/>
        <v>1</v>
      </c>
      <c r="L5" s="30"/>
      <c r="M5" s="30"/>
      <c r="N5" s="43"/>
      <c r="O5" s="5"/>
      <c r="P5" s="32">
        <f t="shared" si="4"/>
        <v>0</v>
      </c>
      <c r="S5" s="19" t="str">
        <f t="shared" ref="S5:U5" si="11">IF(COUNTIF(S2:S4, "") = 3, "", IF(COUNTIF(S2:S4, "G") = 3, "G", "E"))</f>
        <v/>
      </c>
      <c r="T5" s="19" t="str">
        <f t="shared" si="11"/>
        <v/>
      </c>
      <c r="U5" s="19" t="str">
        <f t="shared" si="11"/>
        <v/>
      </c>
      <c r="V5" s="19">
        <f>if(sum(F2:F5)=0,0,if(max(F2:F5)=F5,1,0)+if(max(G2:G5)=G5,1,0)+if(max(H2:H5)=H5,1,0))</f>
        <v>0</v>
      </c>
      <c r="W5" s="21" t="s">
        <v>88</v>
      </c>
      <c r="AA5" s="30" t="str">
        <f t="shared" si="6"/>
        <v>#N/A</v>
      </c>
      <c r="AD5" s="59">
        <v>2.0</v>
      </c>
      <c r="AE5" s="43" t="str">
        <f>IF(B6="", "X", IF(COUNTA(F6:H6)=0, "N", "Y"))</f>
        <v>X</v>
      </c>
      <c r="AQ5" s="50">
        <f t="shared" si="7"/>
        <v>1</v>
      </c>
      <c r="AR5" s="19">
        <f t="shared" si="8"/>
        <v>0</v>
      </c>
      <c r="AS5" s="19">
        <f t="shared" si="9"/>
        <v>0</v>
      </c>
    </row>
    <row r="6">
      <c r="A6" s="66">
        <v>2.0</v>
      </c>
      <c r="B6" s="67"/>
      <c r="C6" s="68"/>
      <c r="D6" s="68"/>
      <c r="E6" s="69"/>
      <c r="F6" s="66"/>
      <c r="G6" s="66"/>
      <c r="H6" s="66"/>
      <c r="I6" s="66">
        <f t="shared" si="2"/>
        <v>0</v>
      </c>
      <c r="J6" s="66">
        <f>if(sum(F6:F9)=0,0,if(max(F6:F9)=F6,1,0)+if(max(G6:G9)=G6,1,0)+if(max(H6:H9)=H6,1,0))</f>
        <v>0</v>
      </c>
      <c r="K6" s="71">
        <f t="shared" si="3"/>
        <v>2</v>
      </c>
      <c r="L6" s="67"/>
      <c r="M6" s="66"/>
      <c r="N6" s="72"/>
      <c r="O6" s="5">
        <f>sum(N6:N9)</f>
        <v>0</v>
      </c>
      <c r="P6" s="32">
        <f t="shared" si="4"/>
        <v>0</v>
      </c>
      <c r="Q6" s="32">
        <f>sum(P6:P9)</f>
        <v>0</v>
      </c>
      <c r="S6" s="19" t="str">
        <f t="shared" ref="S6:U6" si="12">if(sum(F6:F9)=0,"",if(or(max(F6:F9)=6, max(F6:F9)=7),"G","E"))</f>
        <v/>
      </c>
      <c r="T6" s="19" t="str">
        <f t="shared" si="12"/>
        <v/>
      </c>
      <c r="U6" s="19" t="str">
        <f t="shared" si="12"/>
        <v/>
      </c>
      <c r="V6" s="19">
        <f>if(sum(F6:F9)=0,0,if(max(F6:F9)=F6,1,0)+if(max(G6:G9)=G6,1,0)+if(max(H6:H9)=H6,1,0))</f>
        <v>0</v>
      </c>
      <c r="W6" s="75" t="s">
        <v>55</v>
      </c>
      <c r="AA6" s="66" t="str">
        <f t="shared" si="6"/>
        <v>#N/A</v>
      </c>
      <c r="AD6" s="59">
        <v>3.0</v>
      </c>
      <c r="AE6" s="43" t="str">
        <f>IF(B10="", "X", IF(COUNTA(F10:H10)=0, "N", "Y"))</f>
        <v>X</v>
      </c>
      <c r="AQ6" s="50">
        <f t="shared" si="7"/>
        <v>2</v>
      </c>
      <c r="AR6" s="67">
        <f t="shared" si="8"/>
        <v>0</v>
      </c>
      <c r="AS6" s="67">
        <f t="shared" si="9"/>
        <v>0</v>
      </c>
    </row>
    <row r="7">
      <c r="A7" s="66">
        <v>2.0</v>
      </c>
      <c r="B7" s="67"/>
      <c r="C7" s="68"/>
      <c r="D7" s="68"/>
      <c r="E7" s="69"/>
      <c r="F7" s="66"/>
      <c r="G7" s="66"/>
      <c r="H7" s="66"/>
      <c r="I7" s="66">
        <f t="shared" si="2"/>
        <v>0</v>
      </c>
      <c r="J7" s="66">
        <f>if(sum(F6:F9)=0,0,if(max(F6:F9)=F7,1,0)+if(max(G6:G9)=G7,1,0)+if(max(H6:H9)=H7,1,0))</f>
        <v>0</v>
      </c>
      <c r="K7" s="71">
        <f t="shared" si="3"/>
        <v>2</v>
      </c>
      <c r="L7" s="67"/>
      <c r="M7" s="66"/>
      <c r="N7" s="72"/>
      <c r="O7" s="5"/>
      <c r="P7" s="32">
        <f t="shared" si="4"/>
        <v>0</v>
      </c>
      <c r="S7" s="19" t="str">
        <f t="shared" ref="S7:U7" si="13">if(sum(F6:F9)=0,"",if(SUMPRODUCT(1/COUNTIF(F6:F9, F6:F9))=2,"G","E"))</f>
        <v/>
      </c>
      <c r="T7" s="19" t="str">
        <f t="shared" si="13"/>
        <v/>
      </c>
      <c r="U7" s="19" t="str">
        <f t="shared" si="13"/>
        <v/>
      </c>
      <c r="V7" s="19">
        <f>if(sum(F6:F9)=0,0,if(max(F6:F9)=F7,1,0)+if(max(G6:G9)=G7,1,0)+if(max(H6:H9)=H7,1,0))</f>
        <v>0</v>
      </c>
      <c r="W7" s="75" t="s">
        <v>66</v>
      </c>
      <c r="AA7" s="66" t="str">
        <f t="shared" si="6"/>
        <v>#N/A</v>
      </c>
      <c r="AD7" s="59">
        <v>4.0</v>
      </c>
      <c r="AE7" s="43" t="str">
        <f>IF(B14="", "X", IF(COUNTA(F14:H14)=0, "N", "Y"))</f>
        <v>X</v>
      </c>
      <c r="AQ7" s="50">
        <f t="shared" si="7"/>
        <v>2</v>
      </c>
      <c r="AR7" s="67">
        <f t="shared" si="8"/>
        <v>0</v>
      </c>
      <c r="AS7" s="67">
        <f t="shared" si="9"/>
        <v>0</v>
      </c>
    </row>
    <row r="8">
      <c r="A8" s="66">
        <v>2.0</v>
      </c>
      <c r="B8" s="75"/>
      <c r="C8" s="68"/>
      <c r="D8" s="68"/>
      <c r="E8" s="69"/>
      <c r="F8" s="66"/>
      <c r="G8" s="66"/>
      <c r="H8" s="66"/>
      <c r="I8" s="66">
        <f t="shared" si="2"/>
        <v>0</v>
      </c>
      <c r="J8" s="66">
        <f>if(sum(F6:F9)=0,0,if(max(F6:F9)=F8,1,0)+if(max(G6:G9)=G8,1,0)+if(max(H6:H9)=H8,1,0))</f>
        <v>0</v>
      </c>
      <c r="K8" s="71">
        <f t="shared" si="3"/>
        <v>2</v>
      </c>
      <c r="L8" s="67"/>
      <c r="M8" s="66"/>
      <c r="N8" s="72"/>
      <c r="O8" s="5"/>
      <c r="P8" s="32">
        <f t="shared" si="4"/>
        <v>0</v>
      </c>
      <c r="S8" s="19" t="str">
        <f t="shared" ref="S8:U8" si="14">if(sum(F6:F9)=0,"",if(and(max(F6:F9)=7, min(F6:F9)=6),"G",if(max(F6:F9)-min(F6:F9)&gt;=2,"G","E")))</f>
        <v/>
      </c>
      <c r="T8" s="19" t="str">
        <f t="shared" si="14"/>
        <v/>
      </c>
      <c r="U8" s="19" t="str">
        <f t="shared" si="14"/>
        <v/>
      </c>
      <c r="V8" s="19">
        <f>if(sum(F6:F9)=0,0,if(max(F6:F9)=F8,1,0)+if(max(G6:G9)=G8,1,0)+if(max(H6:H9)=H8,1,0))</f>
        <v>0</v>
      </c>
      <c r="W8" s="75" t="s">
        <v>74</v>
      </c>
      <c r="AA8" s="66" t="str">
        <f t="shared" si="6"/>
        <v>#N/A</v>
      </c>
      <c r="AD8" s="59">
        <v>5.0</v>
      </c>
      <c r="AE8" s="43" t="str">
        <f>IF(B18="", "X", IF(COUNTA(F18:H18)=0, "N", "Y"))</f>
        <v>X</v>
      </c>
      <c r="AQ8" s="50">
        <f t="shared" si="7"/>
        <v>2</v>
      </c>
      <c r="AR8" s="67">
        <f t="shared" si="8"/>
        <v>0</v>
      </c>
      <c r="AS8" s="67">
        <f t="shared" si="9"/>
        <v>0</v>
      </c>
    </row>
    <row r="9">
      <c r="A9" s="66">
        <v>2.0</v>
      </c>
      <c r="B9" s="67"/>
      <c r="C9" s="68"/>
      <c r="D9" s="68"/>
      <c r="E9" s="69"/>
      <c r="F9" s="66"/>
      <c r="G9" s="66"/>
      <c r="H9" s="66"/>
      <c r="I9" s="66">
        <f t="shared" si="2"/>
        <v>0</v>
      </c>
      <c r="J9" s="66">
        <f>if(sum(F6:F9)=0,0,if(max(F6:F9)=F9,1,0)+if(max(G6:G9)=G9,1,0)+if(max(H6:H9)=H9,1,0))</f>
        <v>0</v>
      </c>
      <c r="K9" s="71">
        <f t="shared" si="3"/>
        <v>2</v>
      </c>
      <c r="L9" s="66"/>
      <c r="M9" s="66"/>
      <c r="N9" s="72"/>
      <c r="O9" s="5"/>
      <c r="P9" s="32">
        <f t="shared" si="4"/>
        <v>0</v>
      </c>
      <c r="S9" s="19" t="str">
        <f t="shared" ref="S9:U9" si="15">IF(COUNTIF(S6:S8, "") = 3, "", IF(COUNTIF(S6:S8, "G") = 3, "G", "E"))</f>
        <v/>
      </c>
      <c r="T9" s="19" t="str">
        <f t="shared" si="15"/>
        <v/>
      </c>
      <c r="U9" s="19" t="str">
        <f t="shared" si="15"/>
        <v/>
      </c>
      <c r="V9" s="19">
        <f>if(sum(F6:F9)=0,0,if(max(F6:F9)=F9,1,0)+if(max(G6:G9)=G9,1,0)+if(max(H6:H9)=H9,1,0))</f>
        <v>0</v>
      </c>
      <c r="W9" s="83"/>
      <c r="AA9" s="66" t="str">
        <f t="shared" si="6"/>
        <v>#N/A</v>
      </c>
      <c r="AD9" s="59">
        <v>6.0</v>
      </c>
      <c r="AE9" s="43" t="str">
        <f>IF(B22="", "X", IF(COUNTA(F22:H22)=0, "N", "Y"))</f>
        <v>X</v>
      </c>
      <c r="AQ9" s="50">
        <f t="shared" si="7"/>
        <v>2</v>
      </c>
      <c r="AR9" s="67">
        <f t="shared" si="8"/>
        <v>0</v>
      </c>
      <c r="AS9" s="67">
        <f t="shared" si="9"/>
        <v>0</v>
      </c>
    </row>
    <row r="10">
      <c r="A10" s="30">
        <v>3.0</v>
      </c>
      <c r="B10" s="19"/>
      <c r="C10" s="33"/>
      <c r="D10" s="33"/>
      <c r="E10" s="34"/>
      <c r="F10" s="30"/>
      <c r="G10" s="30"/>
      <c r="H10" s="30"/>
      <c r="I10" s="30">
        <f t="shared" si="2"/>
        <v>0</v>
      </c>
      <c r="J10" s="30">
        <f>if(sum(F10:F13)=0,0,if(max(F10:F13)=F10,1,0)+if(max(G10:G13)=G10,1,0)+if(max(H10:H13)=H10,1,0))</f>
        <v>0</v>
      </c>
      <c r="K10" s="42">
        <f t="shared" si="3"/>
        <v>3</v>
      </c>
      <c r="L10" s="30"/>
      <c r="M10" s="30"/>
      <c r="N10" s="43"/>
      <c r="O10" s="5">
        <f>sum(N10:N13)</f>
        <v>0</v>
      </c>
      <c r="P10" s="32">
        <f t="shared" si="4"/>
        <v>0</v>
      </c>
      <c r="Q10" s="32">
        <f>sum(P10:P13)</f>
        <v>0</v>
      </c>
      <c r="S10" s="19" t="str">
        <f t="shared" ref="S10:U10" si="16">if(sum(F10:F13)=0,"",if(or(max(F10:F13)=6, max(F10:F13)=7),"G","E"))</f>
        <v/>
      </c>
      <c r="T10" s="19" t="str">
        <f t="shared" si="16"/>
        <v/>
      </c>
      <c r="U10" s="19" t="str">
        <f t="shared" si="16"/>
        <v/>
      </c>
      <c r="V10" s="19">
        <f>if(sum(F10:F13)=0,0,if(max(F10:F13)=F10,1,0)+if(max(G10:G13)=G10,1,0)+if(max(H10:H13)=H10,1,0))</f>
        <v>0</v>
      </c>
      <c r="W10" s="21" t="s">
        <v>55</v>
      </c>
      <c r="AA10" s="30" t="str">
        <f t="shared" si="6"/>
        <v>#N/A</v>
      </c>
      <c r="AD10" s="59">
        <v>7.0</v>
      </c>
      <c r="AE10" s="43" t="str">
        <f>IF(B26="", "X", IF(COUNTA(F26:H26)=0, "N", "Y"))</f>
        <v>X</v>
      </c>
      <c r="AQ10" s="50">
        <f t="shared" si="7"/>
        <v>3</v>
      </c>
      <c r="AR10" s="19">
        <f t="shared" si="8"/>
        <v>0</v>
      </c>
      <c r="AS10" s="19">
        <f t="shared" si="9"/>
        <v>0</v>
      </c>
    </row>
    <row r="11">
      <c r="A11" s="30">
        <v>3.0</v>
      </c>
      <c r="B11" s="19"/>
      <c r="C11" s="33"/>
      <c r="D11" s="33"/>
      <c r="E11" s="34"/>
      <c r="F11" s="30"/>
      <c r="G11" s="30"/>
      <c r="H11" s="30"/>
      <c r="I11" s="30">
        <f t="shared" si="2"/>
        <v>0</v>
      </c>
      <c r="J11" s="30">
        <f>if(sum(F10:F13)=0,0,if(max(F10:F13)=F11,1,0)+if(max(G10:G13)=G11,1,0)+if(max(H10:H13)=H11,1,0))</f>
        <v>0</v>
      </c>
      <c r="K11" s="42">
        <f t="shared" si="3"/>
        <v>3</v>
      </c>
      <c r="L11" s="19"/>
      <c r="M11" s="30"/>
      <c r="N11" s="43"/>
      <c r="O11" s="5"/>
      <c r="P11" s="32">
        <f t="shared" si="4"/>
        <v>0</v>
      </c>
      <c r="S11" s="19" t="str">
        <f t="shared" ref="S11:U11" si="17">if(sum(F10:F13)=0,"",if(SUMPRODUCT(1/COUNTIF(F10:F13, F10:F13))=2,"G","E"))</f>
        <v/>
      </c>
      <c r="T11" s="19" t="str">
        <f t="shared" si="17"/>
        <v/>
      </c>
      <c r="U11" s="19" t="str">
        <f t="shared" si="17"/>
        <v/>
      </c>
      <c r="V11" s="19">
        <f>if(sum(F10:F13)=0,0,if(max(F10:F13)=F11,1,0)+if(max(G10:G13)=G11,1,0)+if(max(H10:H13)=H11,1,0))</f>
        <v>0</v>
      </c>
      <c r="W11" s="21" t="s">
        <v>66</v>
      </c>
      <c r="AA11" s="30" t="str">
        <f t="shared" si="6"/>
        <v>#N/A</v>
      </c>
      <c r="AD11" s="59">
        <v>8.0</v>
      </c>
      <c r="AE11" s="43" t="str">
        <f>IF(B30="", "X", IF(COUNTA(F30:H30)=0, "N", "Y"))</f>
        <v>X</v>
      </c>
      <c r="AQ11" s="50">
        <f t="shared" si="7"/>
        <v>3</v>
      </c>
      <c r="AR11" s="19">
        <f t="shared" si="8"/>
        <v>0</v>
      </c>
      <c r="AS11" s="19">
        <f t="shared" si="9"/>
        <v>0</v>
      </c>
    </row>
    <row r="12">
      <c r="A12" s="30">
        <v>3.0</v>
      </c>
      <c r="B12" s="19"/>
      <c r="C12" s="33"/>
      <c r="D12" s="33"/>
      <c r="E12" s="34"/>
      <c r="F12" s="30"/>
      <c r="G12" s="30"/>
      <c r="H12" s="30"/>
      <c r="I12" s="30">
        <f t="shared" si="2"/>
        <v>0</v>
      </c>
      <c r="J12" s="30">
        <f>if(sum(F10:F13)=0,0,if(max(F10:F13)=F12,1,0)+if(max(G10:G13)=G12,1,0)+if(max(H10:H13)=H12,1,0))</f>
        <v>0</v>
      </c>
      <c r="K12" s="42">
        <f t="shared" si="3"/>
        <v>3</v>
      </c>
      <c r="L12" s="19"/>
      <c r="M12" s="30"/>
      <c r="N12" s="43"/>
      <c r="O12" s="5"/>
      <c r="P12" s="32">
        <f t="shared" si="4"/>
        <v>0</v>
      </c>
      <c r="S12" s="19" t="str">
        <f t="shared" ref="S12:U12" si="18">if(sum(F10:F13)=0,"",if(and(max(F10:F13)=7, min(F10:F13)=6),"G",if(max(F10:F13)-min(F10:F13)&gt;=2,"G","E")))</f>
        <v/>
      </c>
      <c r="T12" s="19" t="str">
        <f t="shared" si="18"/>
        <v/>
      </c>
      <c r="U12" s="19" t="str">
        <f t="shared" si="18"/>
        <v/>
      </c>
      <c r="V12" s="19">
        <f>if(sum(F10:F13)=0,0,if(max(F10:F13)=F12,1,0)+if(max(G10:G13)=G12,1,0)+if(max(H10:H13)=H12,1,0))</f>
        <v>0</v>
      </c>
      <c r="W12" s="21" t="s">
        <v>74</v>
      </c>
      <c r="AA12" s="30" t="str">
        <f t="shared" si="6"/>
        <v>#N/A</v>
      </c>
      <c r="AQ12" s="50">
        <f t="shared" si="7"/>
        <v>3</v>
      </c>
      <c r="AR12" s="19">
        <f t="shared" si="8"/>
        <v>0</v>
      </c>
      <c r="AS12" s="19">
        <f t="shared" si="9"/>
        <v>0</v>
      </c>
    </row>
    <row r="13">
      <c r="A13" s="30">
        <v>3.0</v>
      </c>
      <c r="B13" s="19"/>
      <c r="C13" s="33"/>
      <c r="D13" s="33"/>
      <c r="E13" s="34"/>
      <c r="F13" s="30"/>
      <c r="G13" s="30"/>
      <c r="H13" s="30"/>
      <c r="I13" s="30">
        <f t="shared" si="2"/>
        <v>0</v>
      </c>
      <c r="J13" s="30">
        <f>if(sum(F10:F13)=0,0,if(max(F10:F13)=F13,1,0)+if(max(G10:G13)=G13,1,0)+if(max(H10:H13)=H13,1,0))</f>
        <v>0</v>
      </c>
      <c r="K13" s="42">
        <f t="shared" si="3"/>
        <v>3</v>
      </c>
      <c r="L13" s="30"/>
      <c r="M13" s="30"/>
      <c r="N13" s="43"/>
      <c r="O13" s="5"/>
      <c r="P13" s="32">
        <f t="shared" si="4"/>
        <v>0</v>
      </c>
      <c r="S13" s="19" t="str">
        <f t="shared" ref="S13:U13" si="19">IF(COUNTIF(S10:S12, "") = 3, "", IF(COUNTIF(S10:S12, "G") = 3, "G", "E"))</f>
        <v/>
      </c>
      <c r="T13" s="19" t="str">
        <f t="shared" si="19"/>
        <v/>
      </c>
      <c r="U13" s="19" t="str">
        <f t="shared" si="19"/>
        <v/>
      </c>
      <c r="V13" s="19">
        <f>if(sum(F10:F13)=0,0,if(max(F10:F13)=F13,1,0)+if(max(G10:G13)=G13,1,0)+if(max(H10:H13)=H13,1,0))</f>
        <v>0</v>
      </c>
      <c r="AA13" s="30" t="str">
        <f t="shared" si="6"/>
        <v>#N/A</v>
      </c>
      <c r="AD13" s="85" t="s">
        <v>119</v>
      </c>
      <c r="AE13" s="86" t="s">
        <v>121</v>
      </c>
      <c r="AQ13" s="50">
        <f t="shared" si="7"/>
        <v>3</v>
      </c>
      <c r="AR13" s="19">
        <f t="shared" si="8"/>
        <v>0</v>
      </c>
      <c r="AS13" s="19">
        <f t="shared" si="9"/>
        <v>0</v>
      </c>
    </row>
    <row r="14">
      <c r="A14" s="66">
        <v>4.0</v>
      </c>
      <c r="B14" s="67"/>
      <c r="C14" s="68"/>
      <c r="D14" s="68"/>
      <c r="E14" s="69"/>
      <c r="F14" s="66"/>
      <c r="G14" s="66"/>
      <c r="H14" s="66"/>
      <c r="I14" s="66">
        <f t="shared" si="2"/>
        <v>0</v>
      </c>
      <c r="J14" s="66">
        <f>if(sum(F14:F17)=0,0,if(max(F14:F17)=F14,1,0)+if(max(G14:G17)=G14,1,0)+if(max(H14:H17)=H14,1,0))</f>
        <v>0</v>
      </c>
      <c r="K14" s="71">
        <f t="shared" si="3"/>
        <v>4</v>
      </c>
      <c r="L14" s="67"/>
      <c r="M14" s="66"/>
      <c r="N14" s="72"/>
      <c r="O14" s="5">
        <f>sum(N14:N17)</f>
        <v>0</v>
      </c>
      <c r="P14" s="32">
        <f t="shared" si="4"/>
        <v>0</v>
      </c>
      <c r="Q14" s="32">
        <f>sum(P14:P17)</f>
        <v>0</v>
      </c>
      <c r="S14" s="19" t="str">
        <f t="shared" ref="S14:U14" si="20">if(sum(F14:F17)=0,"",if(or(max(F14:F17)=6, max(F14:F17)=7),"G","E"))</f>
        <v/>
      </c>
      <c r="T14" s="19" t="str">
        <f t="shared" si="20"/>
        <v/>
      </c>
      <c r="U14" s="19" t="str">
        <f t="shared" si="20"/>
        <v/>
      </c>
      <c r="V14" s="19">
        <f>if(sum(F14:F17)=0,0,if(max(F14:F17)=F14,1,0)+if(max(G14:G17)=G14,1,0)+if(max(H14:H17)=H14,1,0))</f>
        <v>0</v>
      </c>
      <c r="W14" s="75" t="s">
        <v>55</v>
      </c>
      <c r="AA14" s="66" t="str">
        <f t="shared" si="6"/>
        <v>#N/A</v>
      </c>
      <c r="AD14" s="88"/>
      <c r="AE14" s="88"/>
      <c r="AQ14" s="50">
        <f t="shared" si="7"/>
        <v>4</v>
      </c>
      <c r="AR14" s="67">
        <f t="shared" si="8"/>
        <v>0</v>
      </c>
      <c r="AS14" s="67">
        <f t="shared" si="9"/>
        <v>0</v>
      </c>
    </row>
    <row r="15">
      <c r="A15" s="66">
        <v>4.0</v>
      </c>
      <c r="B15" s="67"/>
      <c r="C15" s="68"/>
      <c r="D15" s="68"/>
      <c r="E15" s="69"/>
      <c r="F15" s="66"/>
      <c r="G15" s="66"/>
      <c r="H15" s="66"/>
      <c r="I15" s="66">
        <f t="shared" si="2"/>
        <v>0</v>
      </c>
      <c r="J15" s="66">
        <f>if(sum(F14:F17)=0,0,if(max(F14:F17)=F15,1,0)+if(max(G14:G17)=G15,1,0)+if(max(H14:H17)=H15,1,0))</f>
        <v>0</v>
      </c>
      <c r="K15" s="71">
        <f t="shared" si="3"/>
        <v>4</v>
      </c>
      <c r="L15" s="67"/>
      <c r="M15" s="66"/>
      <c r="N15" s="72"/>
      <c r="O15" s="5"/>
      <c r="P15" s="32">
        <f t="shared" si="4"/>
        <v>0</v>
      </c>
      <c r="S15" s="19" t="str">
        <f t="shared" ref="S15:U15" si="21">if(sum(F14:F17)=0,"",if(SUMPRODUCT(1/COUNTIF(F14:F17, F14:F17))=2,"G","E"))</f>
        <v/>
      </c>
      <c r="T15" s="19" t="str">
        <f t="shared" si="21"/>
        <v/>
      </c>
      <c r="U15" s="19" t="str">
        <f t="shared" si="21"/>
        <v/>
      </c>
      <c r="V15" s="19">
        <f>if(sum(F14:F17)=0,0,if(max(F14:F17)=F15,1,0)+if(max(G14:G17)=G15,1,0)+if(max(H14:H17)=H15,1,0))</f>
        <v>0</v>
      </c>
      <c r="W15" s="75" t="s">
        <v>66</v>
      </c>
      <c r="AA15" s="66" t="str">
        <f t="shared" si="6"/>
        <v>#N/A</v>
      </c>
      <c r="AD15" s="19" t="str">
        <f>IFERROR(__xludf.DUMMYFUNCTION("IFERROR(QUERY(AD4:AE11, ""SELECT AD WHERE AE = 'N'"", 0), """")"),"")</f>
        <v/>
      </c>
      <c r="AE15" s="89" t="str">
        <f>IF(AND(COUNTIF(AE4:AE11, "N")=0, COUNTIF(AE4:AE11, "Y")&gt;0), "Y", "N")</f>
        <v>N</v>
      </c>
      <c r="AQ15" s="50">
        <f t="shared" si="7"/>
        <v>4</v>
      </c>
      <c r="AR15" s="67">
        <f t="shared" si="8"/>
        <v>0</v>
      </c>
      <c r="AS15" s="67">
        <f t="shared" si="9"/>
        <v>0</v>
      </c>
    </row>
    <row r="16">
      <c r="A16" s="66">
        <v>4.0</v>
      </c>
      <c r="B16" s="67"/>
      <c r="C16" s="68"/>
      <c r="D16" s="68"/>
      <c r="E16" s="69"/>
      <c r="F16" s="66"/>
      <c r="G16" s="66"/>
      <c r="H16" s="66"/>
      <c r="I16" s="66">
        <f t="shared" si="2"/>
        <v>0</v>
      </c>
      <c r="J16" s="66">
        <f>if(sum(F14:F17)=0,0,if(max(F14:F17)=F16,1,0)+if(max(G14:G17)=G16,1,0)+if(max(H14:H17)=H16,1,0))</f>
        <v>0</v>
      </c>
      <c r="K16" s="71">
        <f t="shared" si="3"/>
        <v>4</v>
      </c>
      <c r="L16" s="67"/>
      <c r="M16" s="66"/>
      <c r="N16" s="72"/>
      <c r="O16" s="5"/>
      <c r="P16" s="32">
        <f t="shared" si="4"/>
        <v>0</v>
      </c>
      <c r="S16" s="19" t="str">
        <f t="shared" ref="S16:U16" si="22">if(sum(F14:F17)=0,"",if(and(max(F14:F17)=7, min(F14:F17)=6),"G",if(max(F14:F17)-min(F14:F17)&gt;=2,"G","E")))</f>
        <v/>
      </c>
      <c r="T16" s="19" t="str">
        <f t="shared" si="22"/>
        <v/>
      </c>
      <c r="U16" s="19" t="str">
        <f t="shared" si="22"/>
        <v/>
      </c>
      <c r="V16" s="19">
        <f>if(sum(F14:F17)=0,0,if(max(F14:F17)=F16,1,0)+if(max(G14:G17)=G16,1,0)+if(max(H14:H17)=H16,1,0))</f>
        <v>0</v>
      </c>
      <c r="W16" s="75" t="s">
        <v>74</v>
      </c>
      <c r="AA16" s="66" t="str">
        <f t="shared" si="6"/>
        <v>#N/A</v>
      </c>
      <c r="AD16" s="19"/>
      <c r="AE16" s="19"/>
      <c r="AQ16" s="50">
        <f t="shared" si="7"/>
        <v>4</v>
      </c>
      <c r="AR16" s="67">
        <f t="shared" si="8"/>
        <v>0</v>
      </c>
      <c r="AS16" s="67">
        <f t="shared" si="9"/>
        <v>0</v>
      </c>
    </row>
    <row r="17">
      <c r="A17" s="66">
        <v>4.0</v>
      </c>
      <c r="B17" s="67"/>
      <c r="C17" s="68"/>
      <c r="D17" s="68"/>
      <c r="E17" s="69"/>
      <c r="F17" s="66"/>
      <c r="G17" s="66"/>
      <c r="H17" s="66"/>
      <c r="I17" s="66">
        <f t="shared" si="2"/>
        <v>0</v>
      </c>
      <c r="J17" s="66">
        <f>if(sum(F14:F17)=0,0,if(max(F14:F17)=F17,1,0)+if(max(G14:G17)=G17,1,0)+if(max(H14:H17)=H17,1,0))</f>
        <v>0</v>
      </c>
      <c r="K17" s="71">
        <f t="shared" si="3"/>
        <v>4</v>
      </c>
      <c r="L17" s="66"/>
      <c r="M17" s="66"/>
      <c r="N17" s="72"/>
      <c r="O17" s="5"/>
      <c r="P17" s="32">
        <f t="shared" si="4"/>
        <v>0</v>
      </c>
      <c r="S17" s="19" t="str">
        <f t="shared" ref="S17:U17" si="23">IF(COUNTIF(S14:S16, "") = 3, "", IF(COUNTIF(S14:S16, "G") = 3, "G", "E"))</f>
        <v/>
      </c>
      <c r="T17" s="19" t="str">
        <f t="shared" si="23"/>
        <v/>
      </c>
      <c r="U17" s="19" t="str">
        <f t="shared" si="23"/>
        <v/>
      </c>
      <c r="V17" s="19">
        <f>if(sum(F14:F17)=0,0,if(max(F14:F17)=F17,1,0)+if(max(G14:G17)=G17,1,0)+if(max(H14:H17)=H17,1,0))</f>
        <v>0</v>
      </c>
      <c r="W17" s="83"/>
      <c r="AA17" s="66" t="str">
        <f t="shared" si="6"/>
        <v>#N/A</v>
      </c>
      <c r="AD17" s="19"/>
      <c r="AE17" s="19"/>
      <c r="AQ17" s="50">
        <f t="shared" si="7"/>
        <v>4</v>
      </c>
      <c r="AR17" s="67">
        <f t="shared" si="8"/>
        <v>0</v>
      </c>
      <c r="AS17" s="67">
        <f t="shared" si="9"/>
        <v>0</v>
      </c>
    </row>
    <row r="18">
      <c r="A18" s="30">
        <v>5.0</v>
      </c>
      <c r="B18" s="19"/>
      <c r="C18" s="33"/>
      <c r="D18" s="33"/>
      <c r="E18" s="34"/>
      <c r="F18" s="30"/>
      <c r="G18" s="30"/>
      <c r="H18" s="30"/>
      <c r="I18" s="30">
        <f t="shared" si="2"/>
        <v>0</v>
      </c>
      <c r="J18" s="30">
        <f>if(sum(F18:F21)=0,0,if(max(F18:F21)=F18,1,0)+if(max(G18:G21)=G18,1,0)+if(max(H18:H21)=H18,1,0))</f>
        <v>0</v>
      </c>
      <c r="K18" s="42">
        <f t="shared" si="3"/>
        <v>5</v>
      </c>
      <c r="L18" s="30"/>
      <c r="M18" s="30"/>
      <c r="N18" s="43"/>
      <c r="O18" s="5">
        <f>sum(N18:N21)</f>
        <v>0</v>
      </c>
      <c r="P18" s="32">
        <f t="shared" si="4"/>
        <v>0</v>
      </c>
      <c r="Q18" s="32">
        <f>sum(P18:P21)</f>
        <v>0</v>
      </c>
      <c r="S18" s="19" t="str">
        <f t="shared" ref="S18:U18" si="24">if(sum(F18:F21)=0,"",if(or(max(F18:F21)=6, max(F18:F21)=7),"G","E"))</f>
        <v/>
      </c>
      <c r="T18" s="19" t="str">
        <f t="shared" si="24"/>
        <v/>
      </c>
      <c r="U18" s="19" t="str">
        <f t="shared" si="24"/>
        <v/>
      </c>
      <c r="V18" s="19">
        <f>if(sum(F18:F21)=0,0,if(max(F18:F21)=F18,1,0)+if(max(G18:G21)=G18,1,0)+if(max(H18:H21)=H18,1,0))</f>
        <v>0</v>
      </c>
      <c r="W18" s="21" t="s">
        <v>55</v>
      </c>
      <c r="AA18" s="30" t="str">
        <f t="shared" si="6"/>
        <v>#N/A</v>
      </c>
      <c r="AD18" s="19"/>
      <c r="AE18" s="19"/>
      <c r="AQ18" s="50">
        <f t="shared" si="7"/>
        <v>5</v>
      </c>
      <c r="AR18" s="19">
        <f t="shared" si="8"/>
        <v>0</v>
      </c>
      <c r="AS18" s="19">
        <f t="shared" si="9"/>
        <v>0</v>
      </c>
    </row>
    <row r="19">
      <c r="A19" s="30">
        <v>5.0</v>
      </c>
      <c r="B19" s="19"/>
      <c r="C19" s="33"/>
      <c r="D19" s="33"/>
      <c r="E19" s="34"/>
      <c r="F19" s="30"/>
      <c r="G19" s="30"/>
      <c r="H19" s="30"/>
      <c r="I19" s="30">
        <f t="shared" si="2"/>
        <v>0</v>
      </c>
      <c r="J19" s="30">
        <f>if(sum(F18:F21)=0,0,if(max(F18:F21)=F19,1,0)+if(max(G18:G21)=G19,1,0)+if(max(H18:H21)=H19,1,0))</f>
        <v>0</v>
      </c>
      <c r="K19" s="42">
        <f t="shared" si="3"/>
        <v>5</v>
      </c>
      <c r="L19" s="19"/>
      <c r="M19" s="30"/>
      <c r="N19" s="43"/>
      <c r="O19" s="5"/>
      <c r="P19" s="32">
        <f t="shared" si="4"/>
        <v>0</v>
      </c>
      <c r="S19" s="19" t="str">
        <f t="shared" ref="S19:U19" si="25">if(sum(F18:F21)=0,"",if(SUMPRODUCT(1/COUNTIF(F18:F21, F18:F21))=2,"G","E"))</f>
        <v/>
      </c>
      <c r="T19" s="19" t="str">
        <f t="shared" si="25"/>
        <v/>
      </c>
      <c r="U19" s="19" t="str">
        <f t="shared" si="25"/>
        <v/>
      </c>
      <c r="V19" s="19">
        <f>if(sum(F18:F21)=0,0,if(max(F18:F21)=F19,1,0)+if(max(G18:G21)=G19,1,0)+if(max(H18:H21)=H19,1,0))</f>
        <v>0</v>
      </c>
      <c r="W19" s="21" t="s">
        <v>66</v>
      </c>
      <c r="AA19" s="30" t="str">
        <f t="shared" si="6"/>
        <v>#N/A</v>
      </c>
      <c r="AD19" s="19"/>
      <c r="AE19" s="19"/>
      <c r="AQ19" s="50">
        <f t="shared" si="7"/>
        <v>5</v>
      </c>
      <c r="AR19" s="19">
        <f t="shared" si="8"/>
        <v>0</v>
      </c>
      <c r="AS19" s="19">
        <f t="shared" si="9"/>
        <v>0</v>
      </c>
    </row>
    <row r="20">
      <c r="A20" s="30">
        <v>5.0</v>
      </c>
      <c r="B20" s="19"/>
      <c r="C20" s="33"/>
      <c r="D20" s="33"/>
      <c r="E20" s="34"/>
      <c r="F20" s="30"/>
      <c r="G20" s="30"/>
      <c r="H20" s="30"/>
      <c r="I20" s="30">
        <f t="shared" si="2"/>
        <v>0</v>
      </c>
      <c r="J20" s="30">
        <f>if(sum(F18:F21)=0,0,if(max(F18:F21)=F20,1,0)+if(max(G18:G21)=G20,1,0)+if(max(H18:H21)=H20,1,0))</f>
        <v>0</v>
      </c>
      <c r="K20" s="42">
        <f t="shared" si="3"/>
        <v>5</v>
      </c>
      <c r="L20" s="19"/>
      <c r="M20" s="30"/>
      <c r="N20" s="43"/>
      <c r="O20" s="5"/>
      <c r="P20" s="32">
        <f t="shared" si="4"/>
        <v>0</v>
      </c>
      <c r="S20" s="19" t="str">
        <f t="shared" ref="S20:U20" si="26">if(sum(F18:F21)=0,"",if(and(max(F18:F21)=7, min(F18:F21)=6),"G",if(max(F18:F21)-min(F18:F21)&gt;=2,"G","E")))</f>
        <v/>
      </c>
      <c r="T20" s="19" t="str">
        <f t="shared" si="26"/>
        <v/>
      </c>
      <c r="U20" s="19" t="str">
        <f t="shared" si="26"/>
        <v/>
      </c>
      <c r="V20" s="19">
        <f>if(sum(F18:F21)=0,0,if(max(F18:F21)=F20,1,0)+if(max(G18:G21)=G20,1,0)+if(max(H18:H21)=H20,1,0))</f>
        <v>0</v>
      </c>
      <c r="W20" s="21" t="s">
        <v>74</v>
      </c>
      <c r="AA20" s="30" t="str">
        <f t="shared" si="6"/>
        <v>#N/A</v>
      </c>
      <c r="AD20" s="19"/>
      <c r="AE20" s="19"/>
      <c r="AQ20" s="50">
        <f t="shared" si="7"/>
        <v>5</v>
      </c>
      <c r="AR20" s="19">
        <f t="shared" si="8"/>
        <v>0</v>
      </c>
      <c r="AS20" s="19">
        <f t="shared" si="9"/>
        <v>0</v>
      </c>
    </row>
    <row r="21">
      <c r="A21" s="30">
        <v>5.0</v>
      </c>
      <c r="B21" s="19"/>
      <c r="C21" s="33"/>
      <c r="D21" s="33"/>
      <c r="E21" s="34"/>
      <c r="F21" s="30"/>
      <c r="G21" s="30"/>
      <c r="H21" s="30"/>
      <c r="I21" s="30">
        <f t="shared" si="2"/>
        <v>0</v>
      </c>
      <c r="J21" s="30">
        <f>if(sum(F18:F21)=0,0,if(max(F18:F21)=F21,1,0)+if(max(G18:G21)=G21,1,0)+if(max(H18:H21)=H21,1,0))</f>
        <v>0</v>
      </c>
      <c r="K21" s="42">
        <f t="shared" si="3"/>
        <v>5</v>
      </c>
      <c r="L21" s="30"/>
      <c r="M21" s="30"/>
      <c r="N21" s="43"/>
      <c r="O21" s="5"/>
      <c r="P21" s="32">
        <f t="shared" si="4"/>
        <v>0</v>
      </c>
      <c r="S21" s="19" t="str">
        <f t="shared" ref="S21:U21" si="27">IF(COUNTIF(S18:S20, "") = 3, "", IF(COUNTIF(S18:S20, "G") = 3, "G", "E"))</f>
        <v/>
      </c>
      <c r="T21" s="19" t="str">
        <f t="shared" si="27"/>
        <v/>
      </c>
      <c r="U21" s="19" t="str">
        <f t="shared" si="27"/>
        <v/>
      </c>
      <c r="V21" s="19">
        <f>if(sum(F18:F21)=0,0,if(max(F18:F21)=F21,1,0)+if(max(G18:G21)=G21,1,0)+if(max(H18:H21)=H21,1,0))</f>
        <v>0</v>
      </c>
      <c r="AA21" s="30" t="str">
        <f t="shared" si="6"/>
        <v>#N/A</v>
      </c>
      <c r="AD21" s="19"/>
      <c r="AE21" s="19"/>
      <c r="AQ21" s="50">
        <f t="shared" si="7"/>
        <v>5</v>
      </c>
      <c r="AR21" s="19">
        <f t="shared" si="8"/>
        <v>0</v>
      </c>
      <c r="AS21" s="19">
        <f t="shared" si="9"/>
        <v>0</v>
      </c>
    </row>
    <row r="22">
      <c r="A22" s="66">
        <v>6.0</v>
      </c>
      <c r="B22" s="67"/>
      <c r="C22" s="68"/>
      <c r="D22" s="68"/>
      <c r="E22" s="69"/>
      <c r="F22" s="66"/>
      <c r="G22" s="66"/>
      <c r="H22" s="66"/>
      <c r="I22" s="66">
        <f t="shared" si="2"/>
        <v>0</v>
      </c>
      <c r="J22" s="66">
        <f>if(sum(F22:F25)=0,0,if(max(F22:F25)=F22,1,0)+if(max(G22:G25)=G22,1,0)+if(max(H22:H25)=H22,1,0))</f>
        <v>0</v>
      </c>
      <c r="K22" s="71">
        <f t="shared" si="3"/>
        <v>6</v>
      </c>
      <c r="L22" s="67"/>
      <c r="M22" s="66"/>
      <c r="N22" s="72"/>
      <c r="O22" s="5">
        <f>sum(N22:N25)</f>
        <v>0</v>
      </c>
      <c r="P22" s="32">
        <f t="shared" si="4"/>
        <v>0</v>
      </c>
      <c r="Q22" s="32">
        <f>sum(P22:P25)</f>
        <v>0</v>
      </c>
      <c r="S22" s="19" t="str">
        <f t="shared" ref="S22:U22" si="28">if(sum(F22:F25)=0,"",if(or(max(F22:F25)=6, max(F22:F25)=7),"G","E"))</f>
        <v/>
      </c>
      <c r="T22" s="19" t="str">
        <f t="shared" si="28"/>
        <v/>
      </c>
      <c r="U22" s="19" t="str">
        <f t="shared" si="28"/>
        <v/>
      </c>
      <c r="V22" s="19">
        <f>if(sum(F22:F25)=0,0,if(max(F22:F25)=F22,1,0)+if(max(G22:G25)=G22,1,0)+if(max(H22:H25)=H22,1,0))</f>
        <v>0</v>
      </c>
      <c r="W22" s="75" t="s">
        <v>55</v>
      </c>
      <c r="AA22" s="66" t="str">
        <f t="shared" si="6"/>
        <v>#N/A</v>
      </c>
      <c r="AD22" s="19"/>
      <c r="AE22" s="19"/>
      <c r="AQ22" s="50">
        <f t="shared" si="7"/>
        <v>6</v>
      </c>
      <c r="AR22" s="67">
        <f t="shared" si="8"/>
        <v>0</v>
      </c>
      <c r="AS22" s="67">
        <f t="shared" si="9"/>
        <v>0</v>
      </c>
    </row>
    <row r="23">
      <c r="A23" s="66">
        <v>6.0</v>
      </c>
      <c r="B23" s="67"/>
      <c r="C23" s="68"/>
      <c r="D23" s="68"/>
      <c r="E23" s="69"/>
      <c r="F23" s="66"/>
      <c r="G23" s="66"/>
      <c r="H23" s="66"/>
      <c r="I23" s="66">
        <f t="shared" si="2"/>
        <v>0</v>
      </c>
      <c r="J23" s="66">
        <f>if(sum(F22:F25)=0,0,if(max(F22:F25)=F23,1,0)+if(max(G22:G25)=G23,1,0)+if(max(H22:H25)=H23,1,0))</f>
        <v>0</v>
      </c>
      <c r="K23" s="71">
        <f t="shared" si="3"/>
        <v>6</v>
      </c>
      <c r="L23" s="67"/>
      <c r="M23" s="66"/>
      <c r="N23" s="72"/>
      <c r="O23" s="5"/>
      <c r="P23" s="32">
        <f t="shared" si="4"/>
        <v>0</v>
      </c>
      <c r="S23" s="19" t="str">
        <f t="shared" ref="S23:U23" si="29">if(sum(F22:F25)=0,"",if(SUMPRODUCT(1/COUNTIF(F22:F25, F22:F25))=2,"G","E"))</f>
        <v/>
      </c>
      <c r="T23" s="19" t="str">
        <f t="shared" si="29"/>
        <v/>
      </c>
      <c r="U23" s="19" t="str">
        <f t="shared" si="29"/>
        <v/>
      </c>
      <c r="V23" s="19">
        <f>if(sum(F22:F25)=0,0,if(max(F22:F25)=F23,1,0)+if(max(G22:G25)=G23,1,0)+if(max(H22:H25)=H23,1,0))</f>
        <v>0</v>
      </c>
      <c r="W23" s="75" t="s">
        <v>66</v>
      </c>
      <c r="AA23" s="66" t="str">
        <f t="shared" si="6"/>
        <v>#N/A</v>
      </c>
      <c r="AQ23" s="50">
        <f t="shared" si="7"/>
        <v>6</v>
      </c>
      <c r="AR23" s="67">
        <f t="shared" si="8"/>
        <v>0</v>
      </c>
      <c r="AS23" s="67">
        <f t="shared" si="9"/>
        <v>0</v>
      </c>
    </row>
    <row r="24">
      <c r="A24" s="66">
        <v>6.0</v>
      </c>
      <c r="B24" s="67"/>
      <c r="C24" s="68"/>
      <c r="D24" s="68"/>
      <c r="E24" s="69"/>
      <c r="F24" s="66"/>
      <c r="G24" s="66"/>
      <c r="H24" s="66"/>
      <c r="I24" s="66">
        <f t="shared" si="2"/>
        <v>0</v>
      </c>
      <c r="J24" s="66">
        <f>if(sum(F22:F25)=0,0,if(max(F22:F25)=F24,1,0)+if(max(G22:G25)=G24,1,0)+if(max(H22:H25)=H24,1,0))</f>
        <v>0</v>
      </c>
      <c r="K24" s="71">
        <f t="shared" si="3"/>
        <v>6</v>
      </c>
      <c r="L24" s="67"/>
      <c r="M24" s="66"/>
      <c r="N24" s="72"/>
      <c r="O24" s="5"/>
      <c r="P24" s="32">
        <f t="shared" si="4"/>
        <v>0</v>
      </c>
      <c r="S24" s="19" t="str">
        <f t="shared" ref="S24:U24" si="30">if(sum(F22:F25)=0,"",if(and(max(F22:F25)=7, min(F22:F25)=6),"G",if(max(F22:F25)-min(F22:F25)&gt;=2,"G","E")))</f>
        <v/>
      </c>
      <c r="T24" s="19" t="str">
        <f t="shared" si="30"/>
        <v/>
      </c>
      <c r="U24" s="19" t="str">
        <f t="shared" si="30"/>
        <v/>
      </c>
      <c r="V24" s="19">
        <f>if(sum(F22:F25)=0,0,if(max(F22:F25)=F24,1,0)+if(max(G22:G25)=G24,1,0)+if(max(H22:H25)=H24,1,0))</f>
        <v>0</v>
      </c>
      <c r="W24" s="75" t="s">
        <v>74</v>
      </c>
      <c r="AA24" s="66" t="str">
        <f t="shared" si="6"/>
        <v>#N/A</v>
      </c>
      <c r="AQ24" s="50">
        <f t="shared" si="7"/>
        <v>6</v>
      </c>
      <c r="AR24" s="67">
        <f t="shared" si="8"/>
        <v>0</v>
      </c>
      <c r="AS24" s="67">
        <f t="shared" si="9"/>
        <v>0</v>
      </c>
    </row>
    <row r="25">
      <c r="A25" s="66">
        <v>6.0</v>
      </c>
      <c r="B25" s="67"/>
      <c r="C25" s="68"/>
      <c r="D25" s="68"/>
      <c r="E25" s="69"/>
      <c r="F25" s="66"/>
      <c r="G25" s="66"/>
      <c r="H25" s="66"/>
      <c r="I25" s="66">
        <f t="shared" si="2"/>
        <v>0</v>
      </c>
      <c r="J25" s="66">
        <f>if(sum(F22:F25)=0,0,if(max(F22:F25)=F25,1,0)+if(max(G22:G25)=G25,1,0)+if(max(H22:H25)=H25,1,0))</f>
        <v>0</v>
      </c>
      <c r="K25" s="71">
        <f t="shared" si="3"/>
        <v>6</v>
      </c>
      <c r="L25" s="66"/>
      <c r="M25" s="66"/>
      <c r="N25" s="72"/>
      <c r="O25" s="5"/>
      <c r="P25" s="32">
        <f t="shared" si="4"/>
        <v>0</v>
      </c>
      <c r="S25" s="19" t="str">
        <f t="shared" ref="S25:U25" si="31">IF(COUNTIF(S22:S24, "") = 3, "", IF(COUNTIF(S22:S24, "G") = 3, "G", "E"))</f>
        <v/>
      </c>
      <c r="T25" s="19" t="str">
        <f t="shared" si="31"/>
        <v/>
      </c>
      <c r="U25" s="19" t="str">
        <f t="shared" si="31"/>
        <v/>
      </c>
      <c r="V25" s="19">
        <f>if(sum(F22:F25)=0,0,if(max(F22:F25)=F25,1,0)+if(max(G22:G25)=G25,1,0)+if(max(H22:H25)=H25,1,0))</f>
        <v>0</v>
      </c>
      <c r="W25" s="83"/>
      <c r="AA25" s="66" t="str">
        <f t="shared" si="6"/>
        <v>#N/A</v>
      </c>
      <c r="AQ25" s="50">
        <f t="shared" si="7"/>
        <v>6</v>
      </c>
      <c r="AR25" s="67">
        <f t="shared" si="8"/>
        <v>0</v>
      </c>
      <c r="AS25" s="67">
        <f t="shared" si="9"/>
        <v>0</v>
      </c>
    </row>
    <row r="26">
      <c r="A26" s="30">
        <v>7.0</v>
      </c>
      <c r="B26" s="19"/>
      <c r="C26" s="33"/>
      <c r="D26" s="33"/>
      <c r="E26" s="34"/>
      <c r="F26" s="30"/>
      <c r="G26" s="30"/>
      <c r="H26" s="30"/>
      <c r="I26" s="30">
        <f t="shared" si="2"/>
        <v>0</v>
      </c>
      <c r="J26" s="30">
        <f>if(sum(F26:F29)=0,0,if(max(F26:F29)=F26,1,0)+if(max(G26:G29)=G26,1,0)+if(max(H26:H29)=H26,1,0))</f>
        <v>0</v>
      </c>
      <c r="K26" s="42">
        <f t="shared" si="3"/>
        <v>7</v>
      </c>
      <c r="L26" s="30"/>
      <c r="M26" s="30"/>
      <c r="N26" s="43"/>
      <c r="O26" s="5">
        <f>sum(N26:N29)</f>
        <v>0</v>
      </c>
      <c r="P26" s="32">
        <f t="shared" si="4"/>
        <v>0</v>
      </c>
      <c r="Q26" s="32">
        <f>sum(P26:P29)</f>
        <v>0</v>
      </c>
      <c r="S26" s="19" t="str">
        <f t="shared" ref="S26:U26" si="32">if(sum(F26:F29)=0,"",if(or(max(F26:F29)=6, max(F26:F29)=7),"G","E"))</f>
        <v/>
      </c>
      <c r="T26" s="19" t="str">
        <f t="shared" si="32"/>
        <v/>
      </c>
      <c r="U26" s="19" t="str">
        <f t="shared" si="32"/>
        <v/>
      </c>
      <c r="V26" s="19">
        <f>if(sum(F26:F29)=0,0,if(max(F26:F29)=F26,1,0)+if(max(G26:G29)=G26,1,0)+if(max(H26:H29)=H26,1,0))</f>
        <v>0</v>
      </c>
      <c r="W26" s="21" t="s">
        <v>55</v>
      </c>
      <c r="AA26" s="30" t="str">
        <f t="shared" si="6"/>
        <v>#N/A</v>
      </c>
      <c r="AQ26" s="50">
        <f t="shared" si="7"/>
        <v>7</v>
      </c>
      <c r="AR26" s="19">
        <f t="shared" si="8"/>
        <v>0</v>
      </c>
      <c r="AS26" s="19">
        <f t="shared" si="9"/>
        <v>0</v>
      </c>
    </row>
    <row r="27">
      <c r="A27" s="30">
        <v>7.0</v>
      </c>
      <c r="B27" s="19"/>
      <c r="C27" s="33"/>
      <c r="D27" s="33"/>
      <c r="E27" s="34"/>
      <c r="F27" s="30"/>
      <c r="G27" s="30"/>
      <c r="H27" s="30"/>
      <c r="I27" s="30">
        <f t="shared" si="2"/>
        <v>0</v>
      </c>
      <c r="J27" s="30">
        <f>if(sum(F26:F29)=0,0,if(max(F26:F29)=F27,1,0)+if(max(G26:G29)=G27,1,0)+if(max(H26:H29)=H27,1,0))</f>
        <v>0</v>
      </c>
      <c r="K27" s="42">
        <f t="shared" si="3"/>
        <v>7</v>
      </c>
      <c r="L27" s="19"/>
      <c r="M27" s="30"/>
      <c r="N27" s="43"/>
      <c r="O27" s="5"/>
      <c r="P27" s="32">
        <f t="shared" si="4"/>
        <v>0</v>
      </c>
      <c r="S27" s="19" t="str">
        <f t="shared" ref="S27:U27" si="33">if(sum(F26:F29)=0,"",if(SUMPRODUCT(1/COUNTIF(F26:F29, F26:F29))=2,"G","E"))</f>
        <v/>
      </c>
      <c r="T27" s="19" t="str">
        <f t="shared" si="33"/>
        <v/>
      </c>
      <c r="U27" s="19" t="str">
        <f t="shared" si="33"/>
        <v/>
      </c>
      <c r="V27" s="19">
        <f>if(sum(F26:F29)=0,0,if(max(F26:F29)=F27,1,0)+if(max(G26:G29)=G27,1,0)+if(max(H26:H29)=H27,1,0))</f>
        <v>0</v>
      </c>
      <c r="W27" s="21" t="s">
        <v>66</v>
      </c>
      <c r="AA27" s="30" t="str">
        <f t="shared" si="6"/>
        <v>#N/A</v>
      </c>
      <c r="AQ27" s="50">
        <f t="shared" si="7"/>
        <v>7</v>
      </c>
      <c r="AR27" s="19">
        <f t="shared" si="8"/>
        <v>0</v>
      </c>
      <c r="AS27" s="19">
        <f t="shared" si="9"/>
        <v>0</v>
      </c>
    </row>
    <row r="28">
      <c r="A28" s="30">
        <v>7.0</v>
      </c>
      <c r="B28" s="19"/>
      <c r="C28" s="33"/>
      <c r="D28" s="33"/>
      <c r="E28" s="34"/>
      <c r="F28" s="30"/>
      <c r="G28" s="30"/>
      <c r="H28" s="30"/>
      <c r="I28" s="30">
        <f t="shared" si="2"/>
        <v>0</v>
      </c>
      <c r="J28" s="30">
        <f>if(sum(F26:F29)=0,0,if(max(F26:F29)=F28,1,0)+if(max(G26:G29)=G28,1,0)+if(max(H26:H29)=H28,1,0))</f>
        <v>0</v>
      </c>
      <c r="K28" s="42">
        <f t="shared" si="3"/>
        <v>7</v>
      </c>
      <c r="L28" s="19"/>
      <c r="M28" s="30"/>
      <c r="N28" s="43"/>
      <c r="O28" s="5"/>
      <c r="P28" s="32">
        <f t="shared" si="4"/>
        <v>0</v>
      </c>
      <c r="S28" s="19" t="str">
        <f t="shared" ref="S28:U28" si="34">if(sum(F26:F29)=0,"",if(and(max(F26:F29)=7, min(F26:F29)=6),"G",if(max(F26:F29)-min(F26:F29)&gt;=2,"G","E")))</f>
        <v/>
      </c>
      <c r="T28" s="19" t="str">
        <f t="shared" si="34"/>
        <v/>
      </c>
      <c r="U28" s="19" t="str">
        <f t="shared" si="34"/>
        <v/>
      </c>
      <c r="V28" s="19">
        <f>if(sum(F26:F29)=0,0,if(max(F26:F29)=F28,1,0)+if(max(G26:G29)=G28,1,0)+if(max(H26:H29)=H28,1,0))</f>
        <v>0</v>
      </c>
      <c r="W28" s="21" t="s">
        <v>74</v>
      </c>
      <c r="AA28" s="30" t="str">
        <f t="shared" si="6"/>
        <v>#N/A</v>
      </c>
      <c r="AQ28" s="50">
        <f t="shared" si="7"/>
        <v>7</v>
      </c>
      <c r="AR28" s="19">
        <f t="shared" si="8"/>
        <v>0</v>
      </c>
      <c r="AS28" s="19">
        <f t="shared" si="9"/>
        <v>0</v>
      </c>
    </row>
    <row r="29">
      <c r="A29" s="30">
        <v>7.0</v>
      </c>
      <c r="B29" s="19"/>
      <c r="C29" s="33"/>
      <c r="D29" s="33"/>
      <c r="E29" s="34"/>
      <c r="F29" s="30"/>
      <c r="G29" s="30"/>
      <c r="H29" s="30"/>
      <c r="I29" s="30">
        <f t="shared" si="2"/>
        <v>0</v>
      </c>
      <c r="J29" s="30">
        <f>if(sum(F26:F29)=0,0,if(max(F26:F29)=F29,1,0)+if(max(G26:G29)=G29,1,0)+if(max(H26:H29)=H29,1,0))</f>
        <v>0</v>
      </c>
      <c r="K29" s="42">
        <f t="shared" si="3"/>
        <v>7</v>
      </c>
      <c r="L29" s="30"/>
      <c r="M29" s="30"/>
      <c r="N29" s="43"/>
      <c r="O29" s="5"/>
      <c r="P29" s="32">
        <f t="shared" si="4"/>
        <v>0</v>
      </c>
      <c r="S29" s="19" t="str">
        <f t="shared" ref="S29:U29" si="35">IF(COUNTIF(S26:S28, "") = 3, "", IF(COUNTIF(S26:S28, "G") = 3, "G", "E"))</f>
        <v/>
      </c>
      <c r="T29" s="19" t="str">
        <f t="shared" si="35"/>
        <v/>
      </c>
      <c r="U29" s="19" t="str">
        <f t="shared" si="35"/>
        <v/>
      </c>
      <c r="V29" s="19">
        <f>if(sum(F26:F29)=0,0,if(max(F26:F29)=F29,1,0)+if(max(G26:G29)=G29,1,0)+if(max(H26:H29)=H29,1,0))</f>
        <v>0</v>
      </c>
      <c r="AA29" s="30" t="str">
        <f t="shared" si="6"/>
        <v>#N/A</v>
      </c>
      <c r="AQ29" s="50">
        <f t="shared" si="7"/>
        <v>7</v>
      </c>
      <c r="AR29" s="19">
        <f t="shared" si="8"/>
        <v>0</v>
      </c>
      <c r="AS29" s="19">
        <f t="shared" si="9"/>
        <v>0</v>
      </c>
    </row>
    <row r="30">
      <c r="A30" s="66">
        <v>8.0</v>
      </c>
      <c r="B30" s="67"/>
      <c r="C30" s="68"/>
      <c r="D30" s="68"/>
      <c r="E30" s="69"/>
      <c r="F30" s="66"/>
      <c r="G30" s="66"/>
      <c r="H30" s="66"/>
      <c r="I30" s="66">
        <f t="shared" si="2"/>
        <v>0</v>
      </c>
      <c r="J30" s="66">
        <f>if(sum(F30:F33)=0,0,if(max(F30:F33)=F30,1,0)+if(max(G30:G33)=G30,1,0)+if(max(H30:H33)=H30,1,0))</f>
        <v>0</v>
      </c>
      <c r="K30" s="71">
        <f t="shared" si="3"/>
        <v>8</v>
      </c>
      <c r="L30" s="67"/>
      <c r="M30" s="66"/>
      <c r="N30" s="72"/>
      <c r="O30" s="5">
        <f>sum(N30:N33)</f>
        <v>0</v>
      </c>
      <c r="P30" s="32">
        <f t="shared" si="4"/>
        <v>0</v>
      </c>
      <c r="Q30" s="32">
        <f>sum(P30:P33)</f>
        <v>0</v>
      </c>
      <c r="S30" s="19" t="str">
        <f t="shared" ref="S30:U30" si="36">if(sum(F30:F33)=0,"",if(or(max(F30:F33)=6, max(F30:F33)=7),"G","E"))</f>
        <v/>
      </c>
      <c r="T30" s="19" t="str">
        <f t="shared" si="36"/>
        <v/>
      </c>
      <c r="U30" s="19" t="str">
        <f t="shared" si="36"/>
        <v/>
      </c>
      <c r="V30" s="19">
        <f>if(sum(F30:F33)=0,0,if(max(F30:F33)=F30,1,0)+if(max(G30:G33)=G30,1,0)+if(max(H30:H33)=H30,1,0))</f>
        <v>0</v>
      </c>
      <c r="W30" s="75" t="s">
        <v>55</v>
      </c>
      <c r="AA30" s="66" t="str">
        <f t="shared" si="6"/>
        <v>#N/A</v>
      </c>
      <c r="AQ30" s="50">
        <f t="shared" si="7"/>
        <v>8</v>
      </c>
      <c r="AR30" s="19">
        <f t="shared" si="8"/>
        <v>0</v>
      </c>
      <c r="AS30" s="19">
        <f t="shared" si="9"/>
        <v>0</v>
      </c>
    </row>
    <row r="31">
      <c r="A31" s="66">
        <v>8.0</v>
      </c>
      <c r="B31" s="67"/>
      <c r="C31" s="68"/>
      <c r="D31" s="68"/>
      <c r="E31" s="69"/>
      <c r="F31" s="66"/>
      <c r="G31" s="66"/>
      <c r="H31" s="66"/>
      <c r="I31" s="66">
        <f t="shared" si="2"/>
        <v>0</v>
      </c>
      <c r="J31" s="66">
        <f>if(sum(F30:F33)=0,0,if(max(F30:F33)=F31,1,0)+if(max(G30:G33)=G31,1,0)+if(max(H30:H33)=H31,1,0))</f>
        <v>0</v>
      </c>
      <c r="K31" s="71">
        <f t="shared" si="3"/>
        <v>8</v>
      </c>
      <c r="L31" s="67"/>
      <c r="M31" s="66"/>
      <c r="N31" s="72"/>
      <c r="O31" s="5"/>
      <c r="P31" s="32">
        <f t="shared" si="4"/>
        <v>0</v>
      </c>
      <c r="S31" s="19" t="str">
        <f t="shared" ref="S31:U31" si="37">if(sum(F30:F33)=0,"",if(SUMPRODUCT(1/COUNTIF(F30:F33, F30:F33))=2,"G","E"))</f>
        <v/>
      </c>
      <c r="T31" s="19" t="str">
        <f t="shared" si="37"/>
        <v/>
      </c>
      <c r="U31" s="19" t="str">
        <f t="shared" si="37"/>
        <v/>
      </c>
      <c r="V31" s="19">
        <f>if(sum(F30:F33)=0,0,if(max(F30:F33)=F31,1,0)+if(max(G30:G33)=G31,1,0)+if(max(H30:H33)=H31,1,0))</f>
        <v>0</v>
      </c>
      <c r="W31" s="75" t="s">
        <v>66</v>
      </c>
      <c r="AA31" s="66" t="str">
        <f t="shared" si="6"/>
        <v>#N/A</v>
      </c>
      <c r="AQ31" s="50">
        <f t="shared" si="7"/>
        <v>8</v>
      </c>
      <c r="AR31" s="19">
        <f t="shared" si="8"/>
        <v>0</v>
      </c>
      <c r="AS31" s="19">
        <f t="shared" si="9"/>
        <v>0</v>
      </c>
    </row>
    <row r="32">
      <c r="A32" s="66">
        <v>8.0</v>
      </c>
      <c r="B32" s="67"/>
      <c r="C32" s="68"/>
      <c r="D32" s="68"/>
      <c r="E32" s="69"/>
      <c r="F32" s="66"/>
      <c r="G32" s="66"/>
      <c r="H32" s="66"/>
      <c r="I32" s="66">
        <f t="shared" si="2"/>
        <v>0</v>
      </c>
      <c r="J32" s="66">
        <f>if(sum(F30:F33)=0,0,if(max(F30:F33)=F32,1,0)+if(max(G30:G33)=G32,1,0)+if(max(H30:H33)=H32,1,0))</f>
        <v>0</v>
      </c>
      <c r="K32" s="71">
        <f t="shared" si="3"/>
        <v>8</v>
      </c>
      <c r="L32" s="67"/>
      <c r="M32" s="66"/>
      <c r="N32" s="72"/>
      <c r="O32" s="5"/>
      <c r="P32" s="32">
        <f t="shared" si="4"/>
        <v>0</v>
      </c>
      <c r="S32" s="19" t="str">
        <f t="shared" ref="S32:U32" si="38">if(sum(F30:F33)=0,"",if(and(max(F30:F33)=7, min(F30:F33)=6),"G",if(max(F30:F33)-min(F30:F33)&gt;=2,"G","E")))</f>
        <v/>
      </c>
      <c r="T32" s="19" t="str">
        <f t="shared" si="38"/>
        <v/>
      </c>
      <c r="U32" s="19" t="str">
        <f t="shared" si="38"/>
        <v/>
      </c>
      <c r="V32" s="19">
        <f>if(sum(F30:F33)=0,0,if(max(F30:F33)=F32,1,0)+if(max(G30:G33)=G32,1,0)+if(max(H30:H33)=H32,1,0))</f>
        <v>0</v>
      </c>
      <c r="W32" s="75" t="s">
        <v>74</v>
      </c>
      <c r="AA32" s="66" t="str">
        <f t="shared" si="6"/>
        <v>#N/A</v>
      </c>
      <c r="AQ32" s="50">
        <f t="shared" si="7"/>
        <v>8</v>
      </c>
      <c r="AR32" s="19">
        <f t="shared" si="8"/>
        <v>0</v>
      </c>
      <c r="AS32" s="19">
        <f t="shared" si="9"/>
        <v>0</v>
      </c>
    </row>
    <row r="33">
      <c r="A33" s="66">
        <v>8.0</v>
      </c>
      <c r="B33" s="67"/>
      <c r="C33" s="68"/>
      <c r="D33" s="68"/>
      <c r="E33" s="69"/>
      <c r="F33" s="66"/>
      <c r="G33" s="66"/>
      <c r="H33" s="66"/>
      <c r="I33" s="66">
        <f t="shared" si="2"/>
        <v>0</v>
      </c>
      <c r="J33" s="66">
        <f>if(sum(F30:F33)=0,0,if(max(F30:F33)=F33,1,0)+if(max(G30:G33)=G33,1,0)+if(max(H30:H33)=H33,1,0))</f>
        <v>0</v>
      </c>
      <c r="K33" s="71">
        <f t="shared" si="3"/>
        <v>8</v>
      </c>
      <c r="L33" s="66"/>
      <c r="M33" s="66"/>
      <c r="N33" s="72"/>
      <c r="O33" s="5"/>
      <c r="P33" s="32">
        <f t="shared" si="4"/>
        <v>0</v>
      </c>
      <c r="S33" s="19" t="str">
        <f t="shared" ref="S33:U33" si="39">IF(COUNTIF(S30:S32, "") = 3, "", IF(COUNTIF(S30:S32, "G") = 3, "G", "E"))</f>
        <v/>
      </c>
      <c r="T33" s="19" t="str">
        <f t="shared" si="39"/>
        <v/>
      </c>
      <c r="U33" s="19" t="str">
        <f t="shared" si="39"/>
        <v/>
      </c>
      <c r="V33" s="19">
        <f>if(sum(F30:F33)=0,0,if(max(F30:F33)=F33,1,0)+if(max(G30:G33)=G33,1,0)+if(max(H30:H33)=H33,1,0))</f>
        <v>0</v>
      </c>
      <c r="W33" s="83"/>
      <c r="AA33" s="66" t="str">
        <f t="shared" si="6"/>
        <v>#N/A</v>
      </c>
      <c r="AQ33" s="50">
        <f t="shared" si="7"/>
        <v>8</v>
      </c>
      <c r="AR33" s="19">
        <f t="shared" si="8"/>
        <v>0</v>
      </c>
      <c r="AS33" s="19">
        <f t="shared" si="9"/>
        <v>0</v>
      </c>
    </row>
    <row r="34">
      <c r="A34" s="30">
        <v>9.0</v>
      </c>
      <c r="B34" s="19"/>
      <c r="C34" s="19"/>
      <c r="D34" s="19"/>
      <c r="E34" s="19"/>
      <c r="F34" s="30"/>
      <c r="G34" s="30"/>
      <c r="H34" s="30"/>
      <c r="I34" s="30">
        <f t="shared" si="2"/>
        <v>0</v>
      </c>
      <c r="J34" s="30">
        <f>if(sum(F34:F37)=0,0,if(max(F34:F37)=F34,1,0)+if(max(G34:G37)=G34,1,0)+if(max(H34:H37)=H34,1,0))</f>
        <v>0</v>
      </c>
      <c r="K34" s="42">
        <f t="shared" si="3"/>
        <v>9</v>
      </c>
      <c r="L34" s="19"/>
      <c r="M34" s="30" t="str">
        <f t="shared" ref="M34:M45" si="41">IF(AND(A34&lt;&gt;0, OR(VALUE(A34)=VALUE($Y$64), VALUE(A34)=VALUE($Y$65), VALUE(A34)=VALUE($Y$66))), "X", "")</f>
        <v/>
      </c>
      <c r="N34" s="43" t="str">
        <f>iferror(VLOOKUP(B34,Data!B$132:C$206,2,false),"")</f>
        <v/>
      </c>
      <c r="O34" s="5">
        <f>sum(N34:N37)</f>
        <v>0</v>
      </c>
      <c r="P34" s="32">
        <f t="shared" si="4"/>
        <v>0</v>
      </c>
      <c r="Q34" s="32">
        <f>sum(P34:P37)</f>
        <v>0</v>
      </c>
      <c r="S34" s="19" t="str">
        <f t="shared" ref="S34:U34" si="40">if(sum(F34:F37)=0,"",if(or(max(F34:F37)=6, max(F34:F37)=7),"G","E"))</f>
        <v/>
      </c>
      <c r="T34" s="19" t="str">
        <f t="shared" si="40"/>
        <v/>
      </c>
      <c r="U34" s="19" t="str">
        <f t="shared" si="40"/>
        <v/>
      </c>
      <c r="V34" s="19">
        <f>if(sum(F34:F37)=0,0,if(max(F34:F37)=F34,1,0)+if(max(G34:G37)=G34,1,0)+if(max(H34:H37)=H34,1,0))</f>
        <v>0</v>
      </c>
      <c r="W34" s="21" t="s">
        <v>55</v>
      </c>
      <c r="AA34" s="30" t="str">
        <f t="shared" si="6"/>
        <v>#N/A</v>
      </c>
      <c r="AQ34" s="50">
        <f t="shared" si="7"/>
        <v>9</v>
      </c>
      <c r="AR34" s="19">
        <f t="shared" si="8"/>
        <v>0</v>
      </c>
      <c r="AS34" s="19">
        <f t="shared" si="9"/>
        <v>0</v>
      </c>
    </row>
    <row r="35">
      <c r="A35" s="30">
        <v>9.0</v>
      </c>
      <c r="B35" s="19"/>
      <c r="C35" s="33"/>
      <c r="D35" s="33"/>
      <c r="E35" s="34"/>
      <c r="F35" s="30"/>
      <c r="G35" s="30"/>
      <c r="H35" s="30"/>
      <c r="I35" s="30">
        <f t="shared" si="2"/>
        <v>0</v>
      </c>
      <c r="J35" s="30">
        <f>if(sum(F34:F37)=0,0,if(max(F34:F37)=F35,1,0)+if(max(G34:G37)=G35,1,0)+if(max(H34:H37)=H35,1,0))</f>
        <v>0</v>
      </c>
      <c r="K35" s="42">
        <f t="shared" si="3"/>
        <v>9</v>
      </c>
      <c r="L35" s="19"/>
      <c r="M35" s="30" t="str">
        <f t="shared" si="41"/>
        <v/>
      </c>
      <c r="N35" s="43" t="str">
        <f>iferror(VLOOKUP(B35,Data!B$132:C$206,2,false),"")</f>
        <v/>
      </c>
      <c r="O35" s="5"/>
      <c r="P35" s="32">
        <f t="shared" si="4"/>
        <v>0</v>
      </c>
      <c r="S35" s="19" t="str">
        <f t="shared" ref="S35:U35" si="42">if(sum(F34:F37)=0,"",if(SUMPRODUCT(1/COUNTIF(F34:F37, F34:F37))=2,"G","E"))</f>
        <v/>
      </c>
      <c r="T35" s="19" t="str">
        <f t="shared" si="42"/>
        <v/>
      </c>
      <c r="U35" s="19" t="str">
        <f t="shared" si="42"/>
        <v/>
      </c>
      <c r="V35" s="19">
        <f>if(sum(F34:F37)=0,0,if(max(F34:F37)=F35,1,0)+if(max(G34:G37)=G35,1,0)+if(max(H34:H37)=H35,1,0))</f>
        <v>0</v>
      </c>
      <c r="W35" s="21" t="s">
        <v>66</v>
      </c>
      <c r="AA35" s="30" t="str">
        <f t="shared" si="6"/>
        <v>#N/A</v>
      </c>
      <c r="AQ35" s="50">
        <f t="shared" si="7"/>
        <v>9</v>
      </c>
      <c r="AR35" s="19">
        <f t="shared" si="8"/>
        <v>0</v>
      </c>
      <c r="AS35" s="19">
        <f t="shared" si="9"/>
        <v>0</v>
      </c>
    </row>
    <row r="36">
      <c r="A36" s="30">
        <v>9.0</v>
      </c>
      <c r="B36" s="19"/>
      <c r="C36" s="19"/>
      <c r="D36" s="19"/>
      <c r="E36" s="19"/>
      <c r="F36" s="30"/>
      <c r="G36" s="30"/>
      <c r="H36" s="30"/>
      <c r="I36" s="30">
        <f t="shared" si="2"/>
        <v>0</v>
      </c>
      <c r="J36" s="30">
        <f>if(sum(F34:F37)=0,0,if(max(F34:F37)=F36,1,0)+if(max(G34:G37)=G36,1,0)+if(max(H34:H37)=H36,1,0))</f>
        <v>0</v>
      </c>
      <c r="K36" s="42">
        <f t="shared" si="3"/>
        <v>9</v>
      </c>
      <c r="L36" s="19"/>
      <c r="M36" s="30" t="str">
        <f t="shared" si="41"/>
        <v/>
      </c>
      <c r="N36" s="43" t="str">
        <f>iferror(VLOOKUP(B36,Data!B$132:C$206,2,false),"")</f>
        <v/>
      </c>
      <c r="O36" s="5"/>
      <c r="P36" s="32">
        <f t="shared" si="4"/>
        <v>0</v>
      </c>
      <c r="S36" s="19" t="str">
        <f t="shared" ref="S36:U36" si="43">if(sum(F34:F37)=0,"",if(and(max(F34:F37)=7, min(F34:F37)=6),"G",if(max(F34:F37)-min(F34:F37)&gt;=2,"G","E")))</f>
        <v/>
      </c>
      <c r="T36" s="19" t="str">
        <f t="shared" si="43"/>
        <v/>
      </c>
      <c r="U36" s="19" t="str">
        <f t="shared" si="43"/>
        <v/>
      </c>
      <c r="V36" s="19">
        <f>if(sum(F34:F37)=0,0,if(max(F34:F37)=F36,1,0)+if(max(G34:G37)=G36,1,0)+if(max(H34:H37)=H36,1,0))</f>
        <v>0</v>
      </c>
      <c r="W36" s="21" t="s">
        <v>74</v>
      </c>
      <c r="AA36" s="30" t="str">
        <f t="shared" si="6"/>
        <v>#N/A</v>
      </c>
      <c r="AQ36" s="50">
        <f t="shared" si="7"/>
        <v>9</v>
      </c>
      <c r="AR36" s="19">
        <f t="shared" si="8"/>
        <v>0</v>
      </c>
      <c r="AS36" s="19">
        <f t="shared" si="9"/>
        <v>0</v>
      </c>
    </row>
    <row r="37">
      <c r="A37" s="30">
        <v>9.0</v>
      </c>
      <c r="B37" s="19"/>
      <c r="C37" s="19"/>
      <c r="D37" s="19"/>
      <c r="E37" s="19"/>
      <c r="F37" s="30"/>
      <c r="G37" s="30"/>
      <c r="H37" s="30"/>
      <c r="I37" s="30">
        <f t="shared" si="2"/>
        <v>0</v>
      </c>
      <c r="J37" s="30">
        <f>if(sum(F34:F37)=0,0,if(max(F34:F37)=F37,1,0)+if(max(G34:G37)=G37,1,0)+if(max(H34:H37)=H37,1,0))</f>
        <v>0</v>
      </c>
      <c r="K37" s="42">
        <f t="shared" si="3"/>
        <v>9</v>
      </c>
      <c r="L37" s="30"/>
      <c r="M37" s="30" t="str">
        <f t="shared" si="41"/>
        <v/>
      </c>
      <c r="N37" s="43" t="str">
        <f>iferror(VLOOKUP(B37,Data!B$132:C$206,2,false),"")</f>
        <v/>
      </c>
      <c r="O37" s="5"/>
      <c r="P37" s="32">
        <f t="shared" si="4"/>
        <v>0</v>
      </c>
      <c r="S37" s="19" t="str">
        <f t="shared" ref="S37:U37" si="44">IF(COUNTIF(S34:S36, "") = 3, "", IF(COUNTIF(S34:S36, "G") = 3, "G", "E"))</f>
        <v/>
      </c>
      <c r="T37" s="19" t="str">
        <f t="shared" si="44"/>
        <v/>
      </c>
      <c r="U37" s="19" t="str">
        <f t="shared" si="44"/>
        <v/>
      </c>
      <c r="V37" s="19">
        <f>if(sum(F34:F37)=0,0,if(max(F34:F37)=F37,1,0)+if(max(G34:G37)=G37,1,0)+if(max(H34:H37)=H37,1,0))</f>
        <v>0</v>
      </c>
      <c r="AA37" s="30" t="str">
        <f t="shared" si="6"/>
        <v>#N/A</v>
      </c>
      <c r="AQ37" s="50">
        <f t="shared" si="7"/>
        <v>9</v>
      </c>
      <c r="AR37" s="19">
        <f t="shared" si="8"/>
        <v>0</v>
      </c>
      <c r="AS37" s="19">
        <f t="shared" si="9"/>
        <v>0</v>
      </c>
    </row>
    <row r="38">
      <c r="A38" s="66">
        <v>10.0</v>
      </c>
      <c r="B38" s="67"/>
      <c r="C38" s="68"/>
      <c r="D38" s="68"/>
      <c r="E38" s="69"/>
      <c r="F38" s="66"/>
      <c r="G38" s="66"/>
      <c r="H38" s="66"/>
      <c r="I38" s="66">
        <f t="shared" si="2"/>
        <v>0</v>
      </c>
      <c r="J38" s="66">
        <f>if(sum(F38:F41)=0,0,if(max(F38:F41)=F38,1,0)+if(max(G38:G41)=G38,1,0)+if(max(H38:H41)=H38,1,0))</f>
        <v>0</v>
      </c>
      <c r="K38" s="71">
        <f t="shared" si="3"/>
        <v>10</v>
      </c>
      <c r="L38" s="67"/>
      <c r="M38" s="66" t="str">
        <f t="shared" si="41"/>
        <v/>
      </c>
      <c r="N38" s="72" t="str">
        <f>iferror(VLOOKUP(B38,Data!B$132:C$206,2,false),"")</f>
        <v/>
      </c>
      <c r="O38" s="5">
        <f>sum(N38:N41)</f>
        <v>0</v>
      </c>
      <c r="P38" s="32">
        <f t="shared" si="4"/>
        <v>0</v>
      </c>
      <c r="Q38" s="32">
        <f>sum(P38:P41)</f>
        <v>0</v>
      </c>
      <c r="S38" s="19" t="str">
        <f t="shared" ref="S38:U38" si="45">if(sum(F38:F41)=0,"",if(or(max(F38:F41)=6, max(F38:F41)=7),"G","E"))</f>
        <v/>
      </c>
      <c r="T38" s="19" t="str">
        <f t="shared" si="45"/>
        <v/>
      </c>
      <c r="U38" s="19" t="str">
        <f t="shared" si="45"/>
        <v/>
      </c>
      <c r="V38" s="19">
        <f>if(sum(F38:F41)=0,0,if(max(F38:F41)=F38,1,0)+if(max(G38:G41)=G38,1,0)+if(max(H38:H41)=H38,1,0))</f>
        <v>0</v>
      </c>
      <c r="W38" s="75" t="s">
        <v>55</v>
      </c>
      <c r="AA38" s="66" t="str">
        <f t="shared" si="6"/>
        <v>#N/A</v>
      </c>
      <c r="AQ38" s="50">
        <f t="shared" si="7"/>
        <v>10</v>
      </c>
      <c r="AR38" s="19">
        <f t="shared" si="8"/>
        <v>0</v>
      </c>
      <c r="AS38" s="19">
        <f t="shared" si="9"/>
        <v>0</v>
      </c>
    </row>
    <row r="39">
      <c r="A39" s="66">
        <v>10.0</v>
      </c>
      <c r="B39" s="67"/>
      <c r="C39" s="68"/>
      <c r="D39" s="68"/>
      <c r="E39" s="69"/>
      <c r="F39" s="66"/>
      <c r="G39" s="66"/>
      <c r="H39" s="66"/>
      <c r="I39" s="66">
        <f t="shared" si="2"/>
        <v>0</v>
      </c>
      <c r="J39" s="66">
        <f>if(sum(F38:F41)=0,0,if(max(F38:F41)=F39,1,0)+if(max(G38:G41)=G39,1,0)+if(max(H38:H41)=H39,1,0))</f>
        <v>0</v>
      </c>
      <c r="K39" s="71">
        <f t="shared" si="3"/>
        <v>10</v>
      </c>
      <c r="L39" s="67"/>
      <c r="M39" s="66" t="str">
        <f t="shared" si="41"/>
        <v/>
      </c>
      <c r="N39" s="72" t="str">
        <f>iferror(VLOOKUP(B39,Data!B$132:C$206,2,false),"")</f>
        <v/>
      </c>
      <c r="O39" s="5"/>
      <c r="P39" s="32">
        <f t="shared" si="4"/>
        <v>0</v>
      </c>
      <c r="S39" s="19" t="str">
        <f t="shared" ref="S39:U39" si="46">if(sum(F38:F41)=0,"",if(SUMPRODUCT(1/COUNTIF(F38:F41, F38:F41))=2,"G","E"))</f>
        <v/>
      </c>
      <c r="T39" s="19" t="str">
        <f t="shared" si="46"/>
        <v/>
      </c>
      <c r="U39" s="19" t="str">
        <f t="shared" si="46"/>
        <v/>
      </c>
      <c r="V39" s="19">
        <f>if(sum(F38:F41)=0,0,if(max(F38:F41)=F39,1,0)+if(max(G38:G41)=G39,1,0)+if(max(H38:H41)=H39,1,0))</f>
        <v>0</v>
      </c>
      <c r="W39" s="75" t="s">
        <v>66</v>
      </c>
      <c r="AA39" s="66" t="str">
        <f t="shared" si="6"/>
        <v>#N/A</v>
      </c>
      <c r="AQ39" s="50">
        <f t="shared" si="7"/>
        <v>10</v>
      </c>
      <c r="AR39" s="19">
        <f t="shared" si="8"/>
        <v>0</v>
      </c>
      <c r="AS39" s="19">
        <f t="shared" si="9"/>
        <v>0</v>
      </c>
    </row>
    <row r="40">
      <c r="A40" s="66">
        <v>10.0</v>
      </c>
      <c r="B40" s="67"/>
      <c r="C40" s="68"/>
      <c r="D40" s="68"/>
      <c r="E40" s="69"/>
      <c r="F40" s="66"/>
      <c r="G40" s="66"/>
      <c r="H40" s="66"/>
      <c r="I40" s="66">
        <f t="shared" si="2"/>
        <v>0</v>
      </c>
      <c r="J40" s="66">
        <f>if(sum(F38:F41)=0,0,if(max(F38:F41)=F40,1,0)+if(max(G38:G41)=G40,1,0)+if(max(H38:H41)=H40,1,0))</f>
        <v>0</v>
      </c>
      <c r="K40" s="71">
        <f t="shared" si="3"/>
        <v>10</v>
      </c>
      <c r="L40" s="67"/>
      <c r="M40" s="66" t="str">
        <f t="shared" si="41"/>
        <v/>
      </c>
      <c r="N40" s="72" t="str">
        <f>iferror(VLOOKUP(B40,Data!B$132:C$206,2,false),"")</f>
        <v/>
      </c>
      <c r="O40" s="5"/>
      <c r="P40" s="32">
        <f t="shared" si="4"/>
        <v>0</v>
      </c>
      <c r="S40" s="19" t="str">
        <f t="shared" ref="S40:U40" si="47">if(sum(F38:F41)=0,"",if(and(max(F38:F41)=7, min(F38:F41)=6),"G",if(max(F38:F41)-min(F38:F41)&gt;=2,"G","E")))</f>
        <v/>
      </c>
      <c r="T40" s="19" t="str">
        <f t="shared" si="47"/>
        <v/>
      </c>
      <c r="U40" s="19" t="str">
        <f t="shared" si="47"/>
        <v/>
      </c>
      <c r="V40" s="19">
        <f>if(sum(F38:F41)=0,0,if(max(F38:F41)=F40,1,0)+if(max(G38:G41)=G40,1,0)+if(max(H38:H41)=H40,1,0))</f>
        <v>0</v>
      </c>
      <c r="W40" s="75" t="s">
        <v>74</v>
      </c>
      <c r="AA40" s="66" t="str">
        <f t="shared" si="6"/>
        <v>#N/A</v>
      </c>
      <c r="AQ40" s="50">
        <f t="shared" si="7"/>
        <v>10</v>
      </c>
      <c r="AR40" s="19">
        <f t="shared" si="8"/>
        <v>0</v>
      </c>
      <c r="AS40" s="19">
        <f t="shared" si="9"/>
        <v>0</v>
      </c>
    </row>
    <row r="41">
      <c r="A41" s="66">
        <v>10.0</v>
      </c>
      <c r="B41" s="67"/>
      <c r="C41" s="68"/>
      <c r="D41" s="68"/>
      <c r="E41" s="69"/>
      <c r="F41" s="66"/>
      <c r="G41" s="66"/>
      <c r="H41" s="66"/>
      <c r="I41" s="66">
        <f t="shared" si="2"/>
        <v>0</v>
      </c>
      <c r="J41" s="66">
        <f>if(sum(F38:F41)=0,0,if(max(F38:F41)=F41,1,0)+if(max(G38:G41)=G41,1,0)+if(max(H38:H41)=H41,1,0))</f>
        <v>0</v>
      </c>
      <c r="K41" s="71">
        <f t="shared" si="3"/>
        <v>10</v>
      </c>
      <c r="L41" s="66"/>
      <c r="M41" s="66" t="str">
        <f t="shared" si="41"/>
        <v/>
      </c>
      <c r="N41" s="72" t="str">
        <f>iferror(VLOOKUP(B41,Data!B$132:C$206,2,false),"")</f>
        <v/>
      </c>
      <c r="O41" s="5"/>
      <c r="P41" s="32">
        <f t="shared" si="4"/>
        <v>0</v>
      </c>
      <c r="S41" s="19" t="str">
        <f t="shared" ref="S41:U41" si="48">IF(COUNTIF(S38:S40, "") = 3, "", IF(COUNTIF(S38:S40, "G") = 3, "G", "E"))</f>
        <v/>
      </c>
      <c r="T41" s="19" t="str">
        <f t="shared" si="48"/>
        <v/>
      </c>
      <c r="U41" s="19" t="str">
        <f t="shared" si="48"/>
        <v/>
      </c>
      <c r="V41" s="19">
        <f>if(sum(F38:F41)=0,0,if(max(F38:F41)=F41,1,0)+if(max(G38:G41)=G41,1,0)+if(max(H38:H41)=H41,1,0))</f>
        <v>0</v>
      </c>
      <c r="W41" s="83"/>
      <c r="AA41" s="66" t="str">
        <f t="shared" si="6"/>
        <v>#N/A</v>
      </c>
      <c r="AQ41" s="50">
        <f t="shared" si="7"/>
        <v>10</v>
      </c>
      <c r="AR41" s="19">
        <f t="shared" si="8"/>
        <v>0</v>
      </c>
      <c r="AS41" s="19">
        <f t="shared" si="9"/>
        <v>0</v>
      </c>
    </row>
    <row r="42">
      <c r="A42" s="30">
        <v>11.0</v>
      </c>
      <c r="B42" s="19"/>
      <c r="C42" s="19"/>
      <c r="D42" s="19"/>
      <c r="E42" s="30"/>
      <c r="F42" s="30"/>
      <c r="G42" s="30"/>
      <c r="H42" s="30"/>
      <c r="I42" s="30">
        <f t="shared" si="2"/>
        <v>0</v>
      </c>
      <c r="J42" s="30">
        <f>if(sum(F42:F45)=0,0,if(max(F42:F45)=F42,1,0)+if(max(G42:G45)=G42,1,0)+if(max(H42:H45)=H42,1,0))</f>
        <v>0</v>
      </c>
      <c r="K42" s="42">
        <f t="shared" si="3"/>
        <v>11</v>
      </c>
      <c r="L42" s="19"/>
      <c r="M42" s="30" t="str">
        <f t="shared" si="41"/>
        <v/>
      </c>
      <c r="N42" s="43" t="str">
        <f>iferror(VLOOKUP(B42,Data!B$132:C$206,2,false),"")</f>
        <v/>
      </c>
      <c r="O42" s="5">
        <f>sum(N42:N45)</f>
        <v>0</v>
      </c>
      <c r="P42" s="32">
        <f t="shared" si="4"/>
        <v>0</v>
      </c>
      <c r="Q42" s="32">
        <f>sum(P42:P45)</f>
        <v>0</v>
      </c>
      <c r="S42" s="19" t="str">
        <f t="shared" ref="S42:U42" si="49">if(sum(F42:F45)=0,"",if(or(max(F42:F45)=6, max(F42:F45)=7),"G","E"))</f>
        <v/>
      </c>
      <c r="T42" s="19" t="str">
        <f t="shared" si="49"/>
        <v/>
      </c>
      <c r="U42" s="19" t="str">
        <f t="shared" si="49"/>
        <v/>
      </c>
      <c r="V42" s="19">
        <f>if(sum(F42:F45)=0,0,if(max(F42:F45)=F42,1,0)+if(max(G42:G45)=G42,1,0)+if(max(H42:H45)=H42,1,0))</f>
        <v>0</v>
      </c>
      <c r="AA42" s="30" t="str">
        <f t="shared" si="6"/>
        <v>#N/A</v>
      </c>
      <c r="AQ42" s="50">
        <f t="shared" si="7"/>
        <v>11</v>
      </c>
      <c r="AR42" s="19">
        <f t="shared" si="8"/>
        <v>0</v>
      </c>
      <c r="AS42" s="19">
        <f t="shared" si="9"/>
        <v>0</v>
      </c>
    </row>
    <row r="43">
      <c r="A43" s="30">
        <v>11.0</v>
      </c>
      <c r="B43" s="19"/>
      <c r="C43" s="19"/>
      <c r="D43" s="19"/>
      <c r="E43" s="30"/>
      <c r="F43" s="30"/>
      <c r="G43" s="30"/>
      <c r="H43" s="30"/>
      <c r="I43" s="30">
        <f t="shared" si="2"/>
        <v>0</v>
      </c>
      <c r="J43" s="30">
        <f>if(sum(F42:F45)=0,0,if(max(F42:F45)=F43,1,0)+if(max(G42:G45)=G43,1,0)+if(max(H42:H45)=H43,1,0))</f>
        <v>0</v>
      </c>
      <c r="K43" s="42">
        <f t="shared" si="3"/>
        <v>11</v>
      </c>
      <c r="L43" s="19"/>
      <c r="M43" s="30" t="str">
        <f t="shared" si="41"/>
        <v/>
      </c>
      <c r="N43" s="43" t="str">
        <f>iferror(VLOOKUP(B43,Data!B$132:C$206,2,false),"")</f>
        <v/>
      </c>
      <c r="O43" s="5"/>
      <c r="P43" s="32">
        <f t="shared" si="4"/>
        <v>0</v>
      </c>
      <c r="S43" s="19" t="str">
        <f t="shared" ref="S43:U43" si="50">if(sum(F42:F45)=0,"",if(SUMPRODUCT(1/COUNTIF(F42:F45, F42:F45))=2,"G","E"))</f>
        <v/>
      </c>
      <c r="T43" s="19" t="str">
        <f t="shared" si="50"/>
        <v/>
      </c>
      <c r="U43" s="19" t="str">
        <f t="shared" si="50"/>
        <v/>
      </c>
      <c r="V43" s="19">
        <f>if(sum(F42:F45)=0,0,if(max(F42:F45)=F43,1,0)+if(max(G42:G45)=G43,1,0)+if(max(H42:H45)=H43,1,0))</f>
        <v>0</v>
      </c>
      <c r="AA43" s="30" t="str">
        <f t="shared" si="6"/>
        <v>#N/A</v>
      </c>
      <c r="AQ43" s="50">
        <f t="shared" si="7"/>
        <v>11</v>
      </c>
      <c r="AR43" s="19">
        <f t="shared" si="8"/>
        <v>0</v>
      </c>
      <c r="AS43" s="19">
        <f t="shared" si="9"/>
        <v>0</v>
      </c>
    </row>
    <row r="44">
      <c r="A44" s="30">
        <v>11.0</v>
      </c>
      <c r="B44" s="19"/>
      <c r="C44" s="19"/>
      <c r="D44" s="19"/>
      <c r="E44" s="30"/>
      <c r="F44" s="30"/>
      <c r="G44" s="30"/>
      <c r="H44" s="30"/>
      <c r="I44" s="30">
        <f t="shared" si="2"/>
        <v>0</v>
      </c>
      <c r="J44" s="30">
        <f>if(sum(F42:F45)=0,0,if(max(F42:F45)=F44,1,0)+if(max(G42:G45)=G44,1,0)+if(max(H42:H45)=H44,1,0))</f>
        <v>0</v>
      </c>
      <c r="K44" s="42">
        <f t="shared" si="3"/>
        <v>11</v>
      </c>
      <c r="L44" s="19"/>
      <c r="M44" s="30" t="str">
        <f t="shared" si="41"/>
        <v/>
      </c>
      <c r="N44" s="43" t="str">
        <f>iferror(VLOOKUP(B44,Data!B$132:C$206,2,false),"")</f>
        <v/>
      </c>
      <c r="O44" s="5"/>
      <c r="P44" s="32">
        <f t="shared" si="4"/>
        <v>0</v>
      </c>
      <c r="S44" s="19" t="str">
        <f t="shared" ref="S44:U44" si="51">if(sum(F42:F45)=0,"",if(and(max(F42:F45)=7, min(F42:F45)=6),"G",if(max(F42:F45)-min(F42:F45)&gt;=2,"G","E")))</f>
        <v/>
      </c>
      <c r="T44" s="19" t="str">
        <f t="shared" si="51"/>
        <v/>
      </c>
      <c r="U44" s="19" t="str">
        <f t="shared" si="51"/>
        <v/>
      </c>
      <c r="V44" s="19">
        <f>if(sum(F42:F45)=0,0,if(max(F42:F45)=F44,1,0)+if(max(G42:G45)=G44,1,0)+if(max(H42:H45)=H44,1,0))</f>
        <v>0</v>
      </c>
      <c r="AA44" s="30" t="str">
        <f t="shared" si="6"/>
        <v>#N/A</v>
      </c>
      <c r="AQ44" s="50">
        <f t="shared" si="7"/>
        <v>11</v>
      </c>
      <c r="AR44" s="19">
        <f t="shared" si="8"/>
        <v>0</v>
      </c>
      <c r="AS44" s="19">
        <f t="shared" si="9"/>
        <v>0</v>
      </c>
    </row>
    <row r="45">
      <c r="A45" s="30">
        <v>11.0</v>
      </c>
      <c r="B45" s="19"/>
      <c r="C45" s="19"/>
      <c r="D45" s="19"/>
      <c r="E45" s="30"/>
      <c r="F45" s="30"/>
      <c r="G45" s="30"/>
      <c r="H45" s="30"/>
      <c r="I45" s="30">
        <f t="shared" si="2"/>
        <v>0</v>
      </c>
      <c r="J45" s="30">
        <f>if(sum(F42:F45)=0,0,if(max(F42:F45)=F45,1,0)+if(max(G42:G45)=G45,1,0)+if(max(H42:H45)=H45,1,0))</f>
        <v>0</v>
      </c>
      <c r="K45" s="42">
        <f t="shared" si="3"/>
        <v>11</v>
      </c>
      <c r="L45" s="30"/>
      <c r="M45" s="30" t="str">
        <f t="shared" si="41"/>
        <v/>
      </c>
      <c r="N45" s="43" t="str">
        <f>iferror(VLOOKUP(B45,Data!B$132:C$206,2,false),"")</f>
        <v/>
      </c>
      <c r="P45" s="32">
        <f t="shared" si="4"/>
        <v>0</v>
      </c>
      <c r="S45" s="19" t="str">
        <f t="shared" ref="S45:U45" si="52">IF(COUNTIF(S42:S44, "") = 3, "", IF(COUNTIF(S42:S44, "G") = 3, "G", "E"))</f>
        <v/>
      </c>
      <c r="T45" s="19" t="str">
        <f t="shared" si="52"/>
        <v/>
      </c>
      <c r="U45" s="19" t="str">
        <f t="shared" si="52"/>
        <v/>
      </c>
      <c r="V45" s="19">
        <f>if(sum(F42:F45)=0,0,if(max(F42:F45)=F45,1,0)+if(max(G42:G45)=G45,1,0)+if(max(H42:H45)=H45,1,0))</f>
        <v>0</v>
      </c>
      <c r="AA45" s="30" t="str">
        <f t="shared" si="6"/>
        <v>#N/A</v>
      </c>
      <c r="AQ45" s="50">
        <f t="shared" si="7"/>
        <v>11</v>
      </c>
      <c r="AR45" s="19">
        <f t="shared" si="8"/>
        <v>0</v>
      </c>
      <c r="AS45" s="19">
        <f t="shared" si="9"/>
        <v>0</v>
      </c>
    </row>
    <row r="46">
      <c r="A46" s="101">
        <v>12.0</v>
      </c>
      <c r="B46" s="102"/>
      <c r="C46" s="102"/>
      <c r="D46" s="102"/>
      <c r="E46" s="102"/>
      <c r="F46" s="102"/>
      <c r="G46" s="102"/>
      <c r="H46" s="102"/>
      <c r="I46" s="102">
        <f t="shared" si="2"/>
        <v>0</v>
      </c>
      <c r="J46" s="102"/>
      <c r="K46" s="103">
        <f t="shared" si="3"/>
        <v>12</v>
      </c>
      <c r="L46" s="102"/>
      <c r="P46" s="32">
        <f t="shared" ref="P46:P65" si="53">countif(Z$73:Z$78,B46)</f>
        <v>0</v>
      </c>
    </row>
    <row r="47">
      <c r="A47" s="101">
        <v>12.0</v>
      </c>
      <c r="B47" s="102"/>
      <c r="C47" s="102"/>
      <c r="D47" s="102"/>
      <c r="E47" s="102"/>
      <c r="F47" s="102"/>
      <c r="G47" s="102"/>
      <c r="H47" s="102"/>
      <c r="I47" s="102">
        <f t="shared" si="2"/>
        <v>0</v>
      </c>
      <c r="J47" s="102"/>
      <c r="K47" s="103">
        <f t="shared" si="3"/>
        <v>12</v>
      </c>
      <c r="L47" s="102"/>
      <c r="P47" s="32">
        <f t="shared" si="53"/>
        <v>0</v>
      </c>
    </row>
    <row r="48">
      <c r="A48" s="101">
        <v>12.0</v>
      </c>
      <c r="B48" s="102"/>
      <c r="C48" s="102"/>
      <c r="D48" s="102"/>
      <c r="E48" s="102"/>
      <c r="F48" s="102"/>
      <c r="G48" s="102"/>
      <c r="H48" s="102"/>
      <c r="I48" s="102">
        <f t="shared" si="2"/>
        <v>0</v>
      </c>
      <c r="J48" s="102"/>
      <c r="K48" s="103">
        <f t="shared" si="3"/>
        <v>12</v>
      </c>
      <c r="L48" s="102"/>
      <c r="P48" s="32">
        <f t="shared" si="53"/>
        <v>0</v>
      </c>
    </row>
    <row r="49">
      <c r="A49" s="101">
        <v>12.0</v>
      </c>
      <c r="B49" s="102"/>
      <c r="C49" s="102"/>
      <c r="D49" s="102"/>
      <c r="E49" s="102"/>
      <c r="F49" s="102"/>
      <c r="G49" s="102"/>
      <c r="H49" s="102"/>
      <c r="I49" s="102">
        <f t="shared" si="2"/>
        <v>0</v>
      </c>
      <c r="J49" s="102"/>
      <c r="K49" s="103">
        <f t="shared" si="3"/>
        <v>12</v>
      </c>
      <c r="L49" s="102"/>
      <c r="P49" s="32">
        <f t="shared" si="53"/>
        <v>0</v>
      </c>
    </row>
    <row r="50">
      <c r="A50" s="101">
        <v>13.0</v>
      </c>
      <c r="B50" s="102"/>
      <c r="C50" s="102"/>
      <c r="D50" s="102"/>
      <c r="E50" s="102"/>
      <c r="F50" s="102"/>
      <c r="G50" s="102"/>
      <c r="H50" s="102"/>
      <c r="I50" s="102">
        <f t="shared" si="2"/>
        <v>0</v>
      </c>
      <c r="J50" s="102"/>
      <c r="K50" s="103">
        <f t="shared" si="3"/>
        <v>13</v>
      </c>
      <c r="L50" s="102"/>
      <c r="P50" s="32">
        <f t="shared" si="53"/>
        <v>0</v>
      </c>
    </row>
    <row r="51">
      <c r="A51" s="101">
        <v>13.0</v>
      </c>
      <c r="B51" s="102"/>
      <c r="C51" s="102"/>
      <c r="D51" s="102"/>
      <c r="E51" s="102"/>
      <c r="F51" s="102"/>
      <c r="G51" s="102"/>
      <c r="H51" s="102"/>
      <c r="I51" s="102">
        <f t="shared" si="2"/>
        <v>0</v>
      </c>
      <c r="J51" s="102"/>
      <c r="K51" s="103">
        <f t="shared" si="3"/>
        <v>13</v>
      </c>
      <c r="L51" s="102"/>
      <c r="P51" s="32">
        <f t="shared" si="53"/>
        <v>0</v>
      </c>
    </row>
    <row r="52">
      <c r="A52" s="101">
        <v>13.0</v>
      </c>
      <c r="B52" s="102"/>
      <c r="C52" s="102"/>
      <c r="D52" s="102"/>
      <c r="E52" s="102"/>
      <c r="F52" s="102"/>
      <c r="G52" s="102"/>
      <c r="H52" s="102"/>
      <c r="I52" s="102">
        <f t="shared" si="2"/>
        <v>0</v>
      </c>
      <c r="J52" s="102"/>
      <c r="K52" s="103">
        <f t="shared" si="3"/>
        <v>13</v>
      </c>
      <c r="L52" s="102"/>
      <c r="P52" s="32">
        <f t="shared" si="53"/>
        <v>0</v>
      </c>
    </row>
    <row r="53">
      <c r="A53" s="101">
        <v>13.0</v>
      </c>
      <c r="B53" s="102"/>
      <c r="C53" s="102"/>
      <c r="D53" s="102"/>
      <c r="E53" s="102"/>
      <c r="F53" s="102"/>
      <c r="G53" s="102"/>
      <c r="H53" s="102"/>
      <c r="I53" s="102">
        <f t="shared" si="2"/>
        <v>0</v>
      </c>
      <c r="J53" s="102"/>
      <c r="K53" s="103">
        <f t="shared" si="3"/>
        <v>13</v>
      </c>
      <c r="L53" s="102"/>
      <c r="P53" s="32">
        <f t="shared" si="53"/>
        <v>0</v>
      </c>
    </row>
    <row r="54">
      <c r="A54" s="101">
        <v>14.0</v>
      </c>
      <c r="B54" s="102"/>
      <c r="C54" s="102"/>
      <c r="D54" s="102"/>
      <c r="E54" s="102"/>
      <c r="F54" s="102"/>
      <c r="G54" s="102"/>
      <c r="H54" s="102"/>
      <c r="I54" s="102">
        <f t="shared" si="2"/>
        <v>0</v>
      </c>
      <c r="J54" s="102"/>
      <c r="K54" s="103">
        <f t="shared" si="3"/>
        <v>14</v>
      </c>
      <c r="L54" s="102"/>
      <c r="P54" s="32">
        <f t="shared" si="53"/>
        <v>0</v>
      </c>
    </row>
    <row r="55">
      <c r="A55" s="101">
        <v>14.0</v>
      </c>
      <c r="B55" s="102"/>
      <c r="C55" s="102"/>
      <c r="D55" s="102"/>
      <c r="E55" s="102"/>
      <c r="F55" s="102"/>
      <c r="G55" s="102"/>
      <c r="H55" s="102"/>
      <c r="I55" s="102">
        <f t="shared" si="2"/>
        <v>0</v>
      </c>
      <c r="J55" s="102"/>
      <c r="K55" s="103">
        <f t="shared" si="3"/>
        <v>14</v>
      </c>
      <c r="L55" s="102"/>
      <c r="P55" s="32">
        <f t="shared" si="53"/>
        <v>0</v>
      </c>
    </row>
    <row r="56">
      <c r="A56" s="101">
        <v>14.0</v>
      </c>
      <c r="B56" s="102"/>
      <c r="C56" s="102"/>
      <c r="D56" s="102"/>
      <c r="E56" s="102"/>
      <c r="F56" s="102"/>
      <c r="G56" s="102"/>
      <c r="H56" s="102"/>
      <c r="I56" s="102">
        <f t="shared" si="2"/>
        <v>0</v>
      </c>
      <c r="J56" s="102"/>
      <c r="K56" s="103">
        <f t="shared" si="3"/>
        <v>14</v>
      </c>
      <c r="L56" s="102"/>
      <c r="P56" s="32">
        <f t="shared" si="53"/>
        <v>0</v>
      </c>
    </row>
    <row r="57">
      <c r="A57" s="101">
        <v>14.0</v>
      </c>
      <c r="B57" s="102"/>
      <c r="C57" s="102"/>
      <c r="D57" s="102"/>
      <c r="E57" s="102"/>
      <c r="F57" s="102"/>
      <c r="G57" s="102"/>
      <c r="H57" s="102"/>
      <c r="I57" s="102">
        <f t="shared" si="2"/>
        <v>0</v>
      </c>
      <c r="J57" s="102"/>
      <c r="K57" s="103">
        <f t="shared" si="3"/>
        <v>14</v>
      </c>
      <c r="L57" s="102"/>
      <c r="P57" s="32">
        <f t="shared" si="53"/>
        <v>0</v>
      </c>
    </row>
    <row r="58">
      <c r="A58" s="101">
        <v>15.0</v>
      </c>
      <c r="B58" s="102"/>
      <c r="C58" s="102"/>
      <c r="D58" s="102"/>
      <c r="E58" s="102"/>
      <c r="F58" s="102"/>
      <c r="G58" s="102"/>
      <c r="H58" s="102"/>
      <c r="I58" s="102">
        <f t="shared" si="2"/>
        <v>0</v>
      </c>
      <c r="J58" s="102"/>
      <c r="K58" s="103">
        <f t="shared" si="3"/>
        <v>15</v>
      </c>
      <c r="L58" s="102"/>
      <c r="P58" s="32">
        <f t="shared" si="53"/>
        <v>0</v>
      </c>
    </row>
    <row r="59">
      <c r="A59" s="101">
        <v>15.0</v>
      </c>
      <c r="B59" s="102"/>
      <c r="C59" s="102"/>
      <c r="D59" s="102"/>
      <c r="E59" s="102"/>
      <c r="F59" s="102"/>
      <c r="G59" s="102"/>
      <c r="H59" s="102"/>
      <c r="I59" s="102">
        <f t="shared" si="2"/>
        <v>0</v>
      </c>
      <c r="J59" s="102"/>
      <c r="K59" s="103">
        <f t="shared" si="3"/>
        <v>15</v>
      </c>
      <c r="L59" s="102"/>
      <c r="P59" s="32">
        <f t="shared" si="53"/>
        <v>0</v>
      </c>
    </row>
    <row r="60">
      <c r="A60" s="101">
        <v>15.0</v>
      </c>
      <c r="B60" s="102"/>
      <c r="C60" s="102"/>
      <c r="D60" s="102"/>
      <c r="E60" s="102"/>
      <c r="F60" s="102"/>
      <c r="G60" s="102"/>
      <c r="H60" s="102"/>
      <c r="I60" s="102">
        <f t="shared" si="2"/>
        <v>0</v>
      </c>
      <c r="J60" s="102"/>
      <c r="K60" s="103">
        <f t="shared" si="3"/>
        <v>15</v>
      </c>
      <c r="L60" s="102"/>
      <c r="P60" s="32">
        <f t="shared" si="53"/>
        <v>0</v>
      </c>
    </row>
    <row r="61">
      <c r="A61" s="101">
        <v>15.0</v>
      </c>
      <c r="B61" s="102"/>
      <c r="C61" s="102"/>
      <c r="D61" s="102"/>
      <c r="E61" s="102"/>
      <c r="F61" s="102"/>
      <c r="G61" s="102"/>
      <c r="H61" s="102"/>
      <c r="I61" s="102">
        <f t="shared" si="2"/>
        <v>0</v>
      </c>
      <c r="J61" s="102"/>
      <c r="K61" s="103">
        <f t="shared" si="3"/>
        <v>15</v>
      </c>
      <c r="L61" s="102"/>
      <c r="P61" s="32">
        <f t="shared" si="53"/>
        <v>0</v>
      </c>
    </row>
    <row r="62">
      <c r="A62" s="101">
        <v>16.0</v>
      </c>
      <c r="B62" s="102"/>
      <c r="C62" s="102"/>
      <c r="D62" s="102"/>
      <c r="E62" s="102"/>
      <c r="F62" s="102"/>
      <c r="G62" s="102"/>
      <c r="H62" s="102"/>
      <c r="I62" s="102">
        <f t="shared" si="2"/>
        <v>0</v>
      </c>
      <c r="J62" s="102"/>
      <c r="K62" s="103">
        <f t="shared" si="3"/>
        <v>16</v>
      </c>
      <c r="L62" s="102"/>
      <c r="P62" s="32">
        <f t="shared" si="53"/>
        <v>0</v>
      </c>
    </row>
    <row r="63">
      <c r="A63" s="101">
        <v>16.0</v>
      </c>
      <c r="B63" s="102"/>
      <c r="C63" s="102"/>
      <c r="D63" s="102"/>
      <c r="E63" s="102"/>
      <c r="F63" s="102"/>
      <c r="G63" s="102"/>
      <c r="H63" s="102"/>
      <c r="I63" s="102">
        <f t="shared" si="2"/>
        <v>0</v>
      </c>
      <c r="J63" s="102"/>
      <c r="K63" s="103">
        <f t="shared" si="3"/>
        <v>16</v>
      </c>
      <c r="L63" s="102"/>
      <c r="P63" s="32">
        <f t="shared" si="53"/>
        <v>0</v>
      </c>
      <c r="X63" s="61" t="s">
        <v>165</v>
      </c>
      <c r="Y63" s="61" t="s">
        <v>0</v>
      </c>
      <c r="Z63" s="61" t="s">
        <v>27</v>
      </c>
      <c r="AC63" s="32" t="str">
        <f>Checkin!O15</f>
        <v>Playing</v>
      </c>
      <c r="AD63" s="32">
        <f>Checkin!P15</f>
        <v>0</v>
      </c>
    </row>
    <row r="64">
      <c r="A64" s="101">
        <v>16.0</v>
      </c>
      <c r="B64" s="102"/>
      <c r="C64" s="102"/>
      <c r="D64" s="102"/>
      <c r="E64" s="102"/>
      <c r="F64" s="102"/>
      <c r="G64" s="102"/>
      <c r="H64" s="102"/>
      <c r="I64" s="102">
        <f t="shared" si="2"/>
        <v>0</v>
      </c>
      <c r="J64" s="102"/>
      <c r="K64" s="103">
        <f t="shared" si="3"/>
        <v>16</v>
      </c>
      <c r="L64" s="102"/>
      <c r="P64" s="32">
        <f t="shared" si="53"/>
        <v>0</v>
      </c>
      <c r="X64" s="30" t="s">
        <v>166</v>
      </c>
      <c r="Y64" s="43">
        <f t="array" ref="Y64">if(AD63&gt;=9,_xlfn.XLOOKUP("Y", AD73:AD79, AB73:AB79, 0),0)</f>
        <v>0</v>
      </c>
      <c r="Z64" s="43" t="str">
        <f t="array" ref="Z64">if(AD63&gt;=9,_xlfn.XLOOKUP("Y", AD73:AD79, Z73:Z79, "No Admin Found"),"WHS Admin not needed")</f>
        <v>WHS Admin not needed</v>
      </c>
    </row>
    <row r="65">
      <c r="A65" s="101">
        <v>16.0</v>
      </c>
      <c r="B65" s="102"/>
      <c r="C65" s="102"/>
      <c r="D65" s="102"/>
      <c r="E65" s="102"/>
      <c r="F65" s="102"/>
      <c r="G65" s="102"/>
      <c r="H65" s="102"/>
      <c r="I65" s="102">
        <f t="shared" si="2"/>
        <v>0</v>
      </c>
      <c r="J65" s="102"/>
      <c r="K65" s="103">
        <f t="shared" si="3"/>
        <v>16</v>
      </c>
      <c r="L65" s="102"/>
      <c r="P65" s="32">
        <f t="shared" si="53"/>
        <v>0</v>
      </c>
      <c r="X65" s="30" t="s">
        <v>167</v>
      </c>
      <c r="Y65" s="43">
        <f t="array" ref="Y65">if(AD63&gt;=10,_xlfn.XLOOKUP(MINIFS(AK73:AK83, AK73:AK83, "&gt;0"), AK73:AK83, AG73:AG83, "None Found"),0)</f>
        <v>0</v>
      </c>
      <c r="Z65" s="43"/>
    </row>
    <row r="66">
      <c r="K66" s="5"/>
      <c r="X66" s="30" t="s">
        <v>170</v>
      </c>
      <c r="Y66" s="43">
        <f>IFERROR(__xludf.DUMMYFUNCTION("if(AD63=11,XLOOKUP(SMALL(FILTER(AK73:AK83, AK73:AK83 &gt; 0), 2), AK73:AK83, AG73:AG83, ""None Found""),0)"),0.0)</f>
        <v>0</v>
      </c>
      <c r="Z66" s="43"/>
    </row>
    <row r="67">
      <c r="K67" s="5"/>
    </row>
    <row r="68">
      <c r="K68" s="5"/>
    </row>
    <row r="69">
      <c r="A69" s="108" t="s">
        <v>172</v>
      </c>
      <c r="B69" s="25"/>
      <c r="C69" s="25"/>
      <c r="D69" s="26"/>
      <c r="K69" s="5"/>
    </row>
    <row r="70">
      <c r="A70" s="109" t="s">
        <v>173</v>
      </c>
      <c r="B70" s="25"/>
      <c r="C70" s="25"/>
      <c r="D70" s="26"/>
      <c r="E70" s="111"/>
      <c r="F70" s="111"/>
      <c r="G70" s="111"/>
      <c r="H70" s="111"/>
      <c r="I70" s="111"/>
      <c r="J70" s="111"/>
      <c r="K70" s="112"/>
      <c r="Z70" s="46" t="s">
        <v>174</v>
      </c>
    </row>
    <row r="71">
      <c r="A71" s="4" t="s">
        <v>0</v>
      </c>
      <c r="B71" s="4" t="s">
        <v>1</v>
      </c>
      <c r="C71" s="7" t="s">
        <v>6</v>
      </c>
      <c r="D71" s="20" t="s">
        <v>9</v>
      </c>
      <c r="E71" s="111"/>
      <c r="F71" s="111"/>
      <c r="G71" s="111"/>
      <c r="H71" s="111"/>
      <c r="I71" s="111"/>
      <c r="J71" s="111"/>
      <c r="K71" s="112"/>
      <c r="M71" s="112"/>
      <c r="N71" s="112"/>
      <c r="O71" s="112"/>
      <c r="P71" s="112"/>
      <c r="Q71" s="112"/>
      <c r="R71" s="112"/>
      <c r="S71" s="104"/>
      <c r="T71" s="104"/>
      <c r="U71" s="104"/>
      <c r="V71" s="104"/>
      <c r="W71" s="104"/>
      <c r="X71" s="104"/>
      <c r="Y71" s="104"/>
    </row>
    <row r="72">
      <c r="A72" s="30">
        <v>1.0</v>
      </c>
      <c r="B72" s="19" t="str">
        <f>IFERROR(__xludf.DUMMYFUNCTION("QUERY(A2:AD45, ""SELECT B, C, D WHERE M IS NULL OR M = ''"", 0)"),"#N/A")</f>
        <v>#N/A</v>
      </c>
      <c r="C72" s="19"/>
      <c r="D72" s="19"/>
      <c r="E72" s="32">
        <f t="shared" ref="E72:E103" si="54">A72</f>
        <v>1</v>
      </c>
      <c r="K72" s="5"/>
      <c r="M72" s="104"/>
      <c r="N72" s="104"/>
      <c r="O72" s="104"/>
      <c r="P72" s="104"/>
      <c r="Q72" s="104"/>
      <c r="R72" s="104"/>
      <c r="Z72" s="116" t="s">
        <v>27</v>
      </c>
      <c r="AA72" s="116" t="s">
        <v>178</v>
      </c>
      <c r="AB72" s="116" t="s">
        <v>31</v>
      </c>
      <c r="AC72" s="116" t="s">
        <v>102</v>
      </c>
      <c r="AD72" s="116" t="s">
        <v>179</v>
      </c>
      <c r="AG72" s="59" t="s">
        <v>31</v>
      </c>
      <c r="AH72" s="59" t="s">
        <v>102</v>
      </c>
      <c r="AI72" s="63" t="s">
        <v>180</v>
      </c>
      <c r="AJ72" s="62" t="s">
        <v>37</v>
      </c>
      <c r="AK72" s="62" t="s">
        <v>35</v>
      </c>
    </row>
    <row r="73">
      <c r="A73" s="30">
        <v>1.0</v>
      </c>
      <c r="B73" s="19"/>
      <c r="C73" s="19"/>
      <c r="D73" s="19"/>
      <c r="E73" s="32">
        <f t="shared" si="54"/>
        <v>1</v>
      </c>
      <c r="K73" s="5"/>
      <c r="M73" s="125"/>
      <c r="N73" s="125"/>
      <c r="O73" s="111"/>
      <c r="P73" s="111"/>
      <c r="Q73" s="111"/>
      <c r="R73" s="111"/>
      <c r="Z73" s="19" t="s">
        <v>104</v>
      </c>
      <c r="AA73" s="43" t="str">
        <f t="shared" ref="AA73:AA79" si="55">if(countif(B$2:B$45,Z73)=0,"N","Y")</f>
        <v>N</v>
      </c>
      <c r="AB73" s="128">
        <f t="shared" ref="AB73:AB79" si="56">if(AA73="Y",VLOOKUP(Z73,B$2:K$45,10,false),0)</f>
        <v>0</v>
      </c>
      <c r="AC73" s="59">
        <f t="array" ref="AC73">IF(AB73&gt;0, VLOOKUP(AB73, {VALUE($AG$73:$AG$83), $AH$73:$AH$83}, 2, FALSE), 0)</f>
        <v>0</v>
      </c>
      <c r="AD73" s="43" t="str">
        <f t="shared" ref="AD73:AD79" si="57">if(AC73=1,"Y","N")</f>
        <v>N</v>
      </c>
      <c r="AG73" s="129">
        <f>value(AM73)</f>
        <v>1</v>
      </c>
      <c r="AH73" s="128">
        <f>AN73</f>
        <v>0</v>
      </c>
      <c r="AI73" s="43">
        <f>O2</f>
        <v>0</v>
      </c>
      <c r="AJ73" s="43">
        <f t="shared" ref="AJ73:AJ83" si="59">AO73</f>
        <v>1</v>
      </c>
      <c r="AK73" s="43">
        <f>IFERROR(__xludf.DUMMYFUNCTION("IF(AND(AH73=0, AJ73&gt;0), RANK(AI73, FILTER($AI$73:$AI$83, ($AH$73:$AH$83=0)*($AJ$73:$AJ$83&gt;0)), 1) + COUNTIFS($AH$73:AH73, 0, $AJ$73:AJ73, ""&gt;0"", $AI$73:AI73, AI73) - 1, """")"),1.0)</f>
        <v>1</v>
      </c>
    </row>
    <row r="74">
      <c r="A74" s="30">
        <v>1.0</v>
      </c>
      <c r="B74" s="19"/>
      <c r="C74" s="19"/>
      <c r="D74" s="19"/>
      <c r="E74" s="32">
        <f t="shared" si="54"/>
        <v>1</v>
      </c>
      <c r="K74" s="5"/>
      <c r="Z74" s="19" t="s">
        <v>73</v>
      </c>
      <c r="AA74" s="43" t="str">
        <f t="shared" si="55"/>
        <v>N</v>
      </c>
      <c r="AB74" s="128">
        <f t="shared" si="56"/>
        <v>0</v>
      </c>
      <c r="AC74" s="43">
        <f t="shared" ref="AC74:AC79" si="60">if(AB74&gt;0,VLOOKUP(AB74,AG$73:AH$83,2,false),0)</f>
        <v>0</v>
      </c>
      <c r="AD74" s="43" t="str">
        <f t="shared" si="57"/>
        <v>N</v>
      </c>
      <c r="AG74" s="129">
        <f t="shared" ref="AG74:AH74" si="58">AM74</f>
        <v>2</v>
      </c>
      <c r="AH74" s="128">
        <f t="shared" si="58"/>
        <v>0</v>
      </c>
      <c r="AI74" s="43">
        <f>O6</f>
        <v>0</v>
      </c>
      <c r="AJ74" s="43">
        <f t="shared" si="59"/>
        <v>0</v>
      </c>
      <c r="AK74" s="43" t="str">
        <f>IFERROR(__xludf.DUMMYFUNCTION("IF(AND(AH74=0, AJ74&gt;0), RANK(AI74, FILTER($AI$73:$AI$83, ($AH$73:$AH$83=0)*($AJ$73:$AJ$83&gt;0)), 1) + COUNTIFS($AH$73:AH74, 0, $AJ$73:AJ74, ""&gt;0"", $AI$73:AI74, AI74) - 1, """")"),"")</f>
        <v/>
      </c>
    </row>
    <row r="75">
      <c r="A75" s="30">
        <v>1.0</v>
      </c>
      <c r="B75" s="19"/>
      <c r="C75" s="19"/>
      <c r="D75" s="19"/>
      <c r="E75" s="32">
        <f t="shared" si="54"/>
        <v>1</v>
      </c>
      <c r="K75" s="5"/>
      <c r="Z75" s="19" t="s">
        <v>101</v>
      </c>
      <c r="AA75" s="43" t="str">
        <f t="shared" si="55"/>
        <v>N</v>
      </c>
      <c r="AB75" s="128">
        <f t="shared" si="56"/>
        <v>0</v>
      </c>
      <c r="AC75" s="43">
        <f t="shared" si="60"/>
        <v>0</v>
      </c>
      <c r="AD75" s="43" t="str">
        <f t="shared" si="57"/>
        <v>N</v>
      </c>
      <c r="AG75" s="129">
        <f t="shared" ref="AG75:AH75" si="61">AM75</f>
        <v>3</v>
      </c>
      <c r="AH75" s="128">
        <f t="shared" si="61"/>
        <v>0</v>
      </c>
      <c r="AI75" s="43">
        <f>O10</f>
        <v>0</v>
      </c>
      <c r="AJ75" s="43">
        <f t="shared" si="59"/>
        <v>0</v>
      </c>
      <c r="AK75" s="43" t="str">
        <f>IFERROR(__xludf.DUMMYFUNCTION("IF(AND(AH75=0, AJ75&gt;0), RANK(AI75, FILTER($AI$73:$AI$83, ($AH$73:$AH$83=0)*($AJ$73:$AJ$83&gt;0)), 1) + COUNTIFS($AH$73:AH75, 0, $AJ$73:AJ75, ""&gt;0"", $AI$73:AI75, AI75) - 1, """")"),"")</f>
        <v/>
      </c>
    </row>
    <row r="76">
      <c r="A76" s="66">
        <v>2.0</v>
      </c>
      <c r="B76" s="67"/>
      <c r="C76" s="67"/>
      <c r="D76" s="67"/>
      <c r="E76" s="32">
        <f t="shared" si="54"/>
        <v>2</v>
      </c>
      <c r="K76" s="5"/>
      <c r="Z76" s="19" t="s">
        <v>103</v>
      </c>
      <c r="AA76" s="43" t="str">
        <f t="shared" si="55"/>
        <v>N</v>
      </c>
      <c r="AB76" s="128">
        <f t="shared" si="56"/>
        <v>0</v>
      </c>
      <c r="AC76" s="43">
        <f t="shared" si="60"/>
        <v>0</v>
      </c>
      <c r="AD76" s="43" t="str">
        <f t="shared" si="57"/>
        <v>N</v>
      </c>
      <c r="AG76" s="129">
        <f t="shared" ref="AG76:AH76" si="62">AM76</f>
        <v>4</v>
      </c>
      <c r="AH76" s="128">
        <f t="shared" si="62"/>
        <v>0</v>
      </c>
      <c r="AI76" s="43">
        <f>O14</f>
        <v>0</v>
      </c>
      <c r="AJ76" s="43">
        <f t="shared" si="59"/>
        <v>0</v>
      </c>
      <c r="AK76" s="43" t="str">
        <f>IFERROR(__xludf.DUMMYFUNCTION("IF(AND(AH76=0, AJ76&gt;0), RANK(AI76, FILTER($AI$73:$AI$83, ($AH$73:$AH$83=0)*($AJ$73:$AJ$83&gt;0)), 1) + COUNTIFS($AH$73:AH76, 0, $AJ$73:AJ76, ""&gt;0"", $AI$73:AI76, AI76) - 1, """")"),"")</f>
        <v/>
      </c>
    </row>
    <row r="77">
      <c r="A77" s="66">
        <v>2.0</v>
      </c>
      <c r="B77" s="67"/>
      <c r="C77" s="67"/>
      <c r="D77" s="67"/>
      <c r="E77" s="32">
        <f t="shared" si="54"/>
        <v>2</v>
      </c>
      <c r="K77" s="5"/>
      <c r="Z77" s="19" t="s">
        <v>106</v>
      </c>
      <c r="AA77" s="43" t="str">
        <f t="shared" si="55"/>
        <v>N</v>
      </c>
      <c r="AB77" s="128">
        <f t="shared" si="56"/>
        <v>0</v>
      </c>
      <c r="AC77" s="43">
        <f t="shared" si="60"/>
        <v>0</v>
      </c>
      <c r="AD77" s="43" t="str">
        <f t="shared" si="57"/>
        <v>N</v>
      </c>
      <c r="AG77" s="129">
        <f t="shared" ref="AG77:AH77" si="63">AM77</f>
        <v>5</v>
      </c>
      <c r="AH77" s="128">
        <f t="shared" si="63"/>
        <v>0</v>
      </c>
      <c r="AI77" s="43">
        <f>O18</f>
        <v>0</v>
      </c>
      <c r="AJ77" s="43">
        <f t="shared" si="59"/>
        <v>0</v>
      </c>
      <c r="AK77" s="43" t="str">
        <f>IFERROR(__xludf.DUMMYFUNCTION("IF(AND(AH77=0, AJ77&gt;0), RANK(AI77, FILTER($AI$73:$AI$83, ($AH$73:$AH$83=0)*($AJ$73:$AJ$83&gt;0)), 1) + COUNTIFS($AH$73:AH77, 0, $AJ$73:AJ77, ""&gt;0"", $AI$73:AI77, AI77) - 1, """")"),"")</f>
        <v/>
      </c>
    </row>
    <row r="78">
      <c r="A78" s="66">
        <v>2.0</v>
      </c>
      <c r="B78" s="67"/>
      <c r="C78" s="67"/>
      <c r="D78" s="67"/>
      <c r="E78" s="32">
        <f t="shared" si="54"/>
        <v>2</v>
      </c>
      <c r="K78" s="5"/>
      <c r="Z78" s="19" t="s">
        <v>107</v>
      </c>
      <c r="AA78" s="43" t="str">
        <f t="shared" si="55"/>
        <v>N</v>
      </c>
      <c r="AB78" s="128">
        <f t="shared" si="56"/>
        <v>0</v>
      </c>
      <c r="AC78" s="43">
        <f t="shared" si="60"/>
        <v>0</v>
      </c>
      <c r="AD78" s="43" t="str">
        <f t="shared" si="57"/>
        <v>N</v>
      </c>
      <c r="AG78" s="129">
        <f t="shared" ref="AG78:AH78" si="64">AM78</f>
        <v>6</v>
      </c>
      <c r="AH78" s="128">
        <f t="shared" si="64"/>
        <v>0</v>
      </c>
      <c r="AI78" s="43">
        <f>O22</f>
        <v>0</v>
      </c>
      <c r="AJ78" s="43">
        <f t="shared" si="59"/>
        <v>0</v>
      </c>
      <c r="AK78" s="43" t="str">
        <f>IFERROR(__xludf.DUMMYFUNCTION("IF(AND(AH78=0, AJ78&gt;0), RANK(AI78, FILTER($AI$73:$AI$83, ($AH$73:$AH$83=0)*($AJ$73:$AJ$83&gt;0)), 1) + COUNTIFS($AH$73:AH78, 0, $AJ$73:AJ78, ""&gt;0"", $AI$73:AI78, AI78) - 1, """")"),"")</f>
        <v/>
      </c>
    </row>
    <row r="79">
      <c r="A79" s="66">
        <v>2.0</v>
      </c>
      <c r="B79" s="67"/>
      <c r="C79" s="67"/>
      <c r="D79" s="67"/>
      <c r="E79" s="32">
        <f t="shared" si="54"/>
        <v>2</v>
      </c>
      <c r="K79" s="5"/>
      <c r="Z79" s="19" t="s">
        <v>105</v>
      </c>
      <c r="AA79" s="43" t="str">
        <f t="shared" si="55"/>
        <v>N</v>
      </c>
      <c r="AB79" s="128">
        <f t="shared" si="56"/>
        <v>0</v>
      </c>
      <c r="AC79" s="43">
        <f t="shared" si="60"/>
        <v>0</v>
      </c>
      <c r="AD79" s="43" t="str">
        <f t="shared" si="57"/>
        <v>N</v>
      </c>
      <c r="AG79" s="129">
        <f t="shared" ref="AG79:AH79" si="65">AM79</f>
        <v>7</v>
      </c>
      <c r="AH79" s="128">
        <f t="shared" si="65"/>
        <v>0</v>
      </c>
      <c r="AI79" s="43">
        <f>O26</f>
        <v>0</v>
      </c>
      <c r="AJ79" s="43">
        <f t="shared" si="59"/>
        <v>0</v>
      </c>
      <c r="AK79" s="43" t="str">
        <f>IFERROR(__xludf.DUMMYFUNCTION("IF(AND(AH79=0, AJ79&gt;0), RANK(AI79, FILTER($AI$73:$AI$83, ($AH$73:$AH$83=0)*($AJ$73:$AJ$83&gt;0)), 1) + COUNTIFS($AH$73:AH79, 0, $AJ$73:AJ79, ""&gt;0"", $AI$73:AI79, AI79) - 1, """")"),"")</f>
        <v/>
      </c>
    </row>
    <row r="80">
      <c r="A80" s="30">
        <v>3.0</v>
      </c>
      <c r="B80" s="19"/>
      <c r="C80" s="19"/>
      <c r="D80" s="19"/>
      <c r="E80" s="32">
        <f t="shared" si="54"/>
        <v>3</v>
      </c>
      <c r="K80" s="5"/>
      <c r="AG80" s="129">
        <f t="shared" ref="AG80:AH80" si="66">AM80</f>
        <v>8</v>
      </c>
      <c r="AH80" s="128">
        <f t="shared" si="66"/>
        <v>0</v>
      </c>
      <c r="AI80" s="43">
        <f>O30</f>
        <v>0</v>
      </c>
      <c r="AJ80" s="43">
        <f t="shared" si="59"/>
        <v>0</v>
      </c>
      <c r="AK80" s="43" t="str">
        <f>IFERROR(__xludf.DUMMYFUNCTION("IF(AND(AH80=0, AJ80&gt;0), RANK(AI80, FILTER($AI$73:$AI$83, ($AH$73:$AH$83=0)*($AJ$73:$AJ$83&gt;0)), 1) + COUNTIFS($AH$73:AH80, 0, $AJ$73:AJ80, ""&gt;0"", $AI$73:AI80, AI80) - 1, """")"),"")</f>
        <v/>
      </c>
    </row>
    <row r="81">
      <c r="A81" s="30">
        <v>3.0</v>
      </c>
      <c r="B81" s="19"/>
      <c r="C81" s="19"/>
      <c r="D81" s="19"/>
      <c r="E81" s="32">
        <f t="shared" si="54"/>
        <v>3</v>
      </c>
      <c r="K81" s="5"/>
      <c r="AG81" s="129">
        <f t="shared" ref="AG81:AH81" si="67">AM81</f>
        <v>9</v>
      </c>
      <c r="AH81" s="128">
        <f t="shared" si="67"/>
        <v>0</v>
      </c>
      <c r="AI81" s="43">
        <f>O34</f>
        <v>0</v>
      </c>
      <c r="AJ81" s="43">
        <f t="shared" si="59"/>
        <v>0</v>
      </c>
      <c r="AK81" s="43" t="str">
        <f>IFERROR(__xludf.DUMMYFUNCTION("IF(AND(AH81=0, AJ81&gt;0), RANK(AI81, FILTER($AI$73:$AI$83, ($AH$73:$AH$83=0)*($AJ$73:$AJ$83&gt;0)), 1) + COUNTIFS($AH$73:AH81, 0, $AJ$73:AJ81, ""&gt;0"", $AI$73:AI81, AI81) - 1, """")"),"")</f>
        <v/>
      </c>
    </row>
    <row r="82">
      <c r="A82" s="30">
        <v>3.0</v>
      </c>
      <c r="B82" s="19"/>
      <c r="C82" s="19"/>
      <c r="D82" s="19"/>
      <c r="E82" s="32">
        <f t="shared" si="54"/>
        <v>3</v>
      </c>
      <c r="K82" s="5"/>
      <c r="AG82" s="129">
        <f t="shared" ref="AG82:AH82" si="68">AM82</f>
        <v>10</v>
      </c>
      <c r="AH82" s="128">
        <f t="shared" si="68"/>
        <v>0</v>
      </c>
      <c r="AI82" s="43">
        <f>O38</f>
        <v>0</v>
      </c>
      <c r="AJ82" s="43">
        <f t="shared" si="59"/>
        <v>0</v>
      </c>
      <c r="AK82" s="43" t="str">
        <f>IFERROR(__xludf.DUMMYFUNCTION("IF(AND(AH82=0, AJ82&gt;0), RANK(AI82, FILTER($AI$73:$AI$83, ($AH$73:$AH$83=0)*($AJ$73:$AJ$83&gt;0)), 1) + COUNTIFS($AH$73:AH82, 0, $AJ$73:AJ82, ""&gt;0"", $AI$73:AI82, AI82) - 1, """")"),"")</f>
        <v/>
      </c>
    </row>
    <row r="83">
      <c r="A83" s="30">
        <v>3.0</v>
      </c>
      <c r="B83" s="19"/>
      <c r="C83" s="19"/>
      <c r="D83" s="19"/>
      <c r="E83" s="32">
        <f t="shared" si="54"/>
        <v>3</v>
      </c>
      <c r="K83" s="5"/>
      <c r="AG83" s="129">
        <f t="shared" ref="AG83:AH83" si="69">AM83</f>
        <v>11</v>
      </c>
      <c r="AH83" s="128">
        <f t="shared" si="69"/>
        <v>0</v>
      </c>
      <c r="AI83" s="43">
        <f>O42</f>
        <v>0</v>
      </c>
      <c r="AJ83" s="43">
        <f t="shared" si="59"/>
        <v>0</v>
      </c>
      <c r="AK83" s="43" t="str">
        <f>IFERROR(__xludf.DUMMYFUNCTION("IF(AND(AH83=0, AJ83&gt;0), RANK(AI83, FILTER($AI$73:$AI$83, ($AH$73:$AH$83=0)*($AJ$73:$AJ$83&gt;0)), 1) + COUNTIFS($AH$73:AH83, 0, $AJ$73:AJ83, ""&gt;0"", $AI$73:AI83, AI83) - 1, """")"),"")</f>
        <v/>
      </c>
    </row>
    <row r="84">
      <c r="A84" s="66">
        <v>4.0</v>
      </c>
      <c r="B84" s="67"/>
      <c r="C84" s="67"/>
      <c r="D84" s="67"/>
      <c r="E84" s="32">
        <f t="shared" si="54"/>
        <v>4</v>
      </c>
      <c r="K84" s="5"/>
    </row>
    <row r="85">
      <c r="A85" s="66">
        <v>4.0</v>
      </c>
      <c r="B85" s="67"/>
      <c r="C85" s="67"/>
      <c r="D85" s="67"/>
      <c r="E85" s="32">
        <f t="shared" si="54"/>
        <v>4</v>
      </c>
      <c r="K85" s="5"/>
      <c r="Z85" s="116" t="s">
        <v>27</v>
      </c>
    </row>
    <row r="86">
      <c r="A86" s="66">
        <v>4.0</v>
      </c>
      <c r="B86" s="67"/>
      <c r="C86" s="67"/>
      <c r="D86" s="67"/>
      <c r="E86" s="32">
        <f t="shared" si="54"/>
        <v>4</v>
      </c>
      <c r="K86" s="5"/>
      <c r="Z86" s="19" t="s">
        <v>101</v>
      </c>
    </row>
    <row r="87">
      <c r="A87" s="66">
        <v>4.0</v>
      </c>
      <c r="B87" s="67"/>
      <c r="C87" s="67"/>
      <c r="D87" s="67"/>
      <c r="E87" s="32">
        <f t="shared" si="54"/>
        <v>4</v>
      </c>
      <c r="K87" s="5"/>
      <c r="Z87" s="19" t="s">
        <v>73</v>
      </c>
    </row>
    <row r="88">
      <c r="A88" s="30">
        <v>5.0</v>
      </c>
      <c r="B88" s="19"/>
      <c r="C88" s="19"/>
      <c r="D88" s="19"/>
      <c r="E88" s="32">
        <f t="shared" si="54"/>
        <v>5</v>
      </c>
      <c r="K88" s="5"/>
      <c r="Z88" s="19" t="s">
        <v>104</v>
      </c>
    </row>
    <row r="89">
      <c r="A89" s="30">
        <v>5.0</v>
      </c>
      <c r="B89" s="19"/>
      <c r="C89" s="19"/>
      <c r="D89" s="19"/>
      <c r="E89" s="32">
        <f t="shared" si="54"/>
        <v>5</v>
      </c>
      <c r="K89" s="5"/>
      <c r="Z89" s="19" t="s">
        <v>103</v>
      </c>
    </row>
    <row r="90">
      <c r="A90" s="30">
        <v>5.0</v>
      </c>
      <c r="B90" s="19"/>
      <c r="C90" s="19"/>
      <c r="D90" s="19"/>
      <c r="E90" s="32">
        <f t="shared" si="54"/>
        <v>5</v>
      </c>
      <c r="K90" s="5"/>
      <c r="Z90" s="19" t="s">
        <v>106</v>
      </c>
    </row>
    <row r="91">
      <c r="A91" s="30">
        <v>5.0</v>
      </c>
      <c r="B91" s="19"/>
      <c r="C91" s="19"/>
      <c r="D91" s="19"/>
      <c r="E91" s="32">
        <f t="shared" si="54"/>
        <v>5</v>
      </c>
      <c r="K91" s="5"/>
      <c r="Z91" s="19" t="s">
        <v>107</v>
      </c>
    </row>
    <row r="92">
      <c r="A92" s="66">
        <v>6.0</v>
      </c>
      <c r="B92" s="67"/>
      <c r="C92" s="67"/>
      <c r="D92" s="67"/>
      <c r="E92" s="32">
        <f t="shared" si="54"/>
        <v>6</v>
      </c>
      <c r="K92" s="5"/>
      <c r="Z92" s="19" t="s">
        <v>105</v>
      </c>
    </row>
    <row r="93">
      <c r="A93" s="66">
        <v>6.0</v>
      </c>
      <c r="B93" s="67"/>
      <c r="C93" s="67"/>
      <c r="D93" s="67"/>
      <c r="E93" s="32">
        <f t="shared" si="54"/>
        <v>6</v>
      </c>
      <c r="K93" s="5"/>
    </row>
    <row r="94">
      <c r="A94" s="66">
        <v>6.0</v>
      </c>
      <c r="B94" s="67"/>
      <c r="C94" s="67"/>
      <c r="D94" s="67"/>
      <c r="E94" s="32">
        <f t="shared" si="54"/>
        <v>6</v>
      </c>
      <c r="K94" s="5"/>
    </row>
    <row r="95">
      <c r="A95" s="66">
        <v>6.0</v>
      </c>
      <c r="B95" s="67"/>
      <c r="C95" s="67"/>
      <c r="D95" s="67"/>
      <c r="E95" s="32">
        <f t="shared" si="54"/>
        <v>6</v>
      </c>
      <c r="K95" s="5"/>
    </row>
    <row r="96">
      <c r="A96" s="30">
        <v>7.0</v>
      </c>
      <c r="B96" s="19"/>
      <c r="C96" s="19"/>
      <c r="D96" s="19"/>
      <c r="E96" s="32">
        <f t="shared" si="54"/>
        <v>7</v>
      </c>
      <c r="K96" s="5"/>
    </row>
    <row r="97">
      <c r="A97" s="30">
        <v>7.0</v>
      </c>
      <c r="B97" s="19"/>
      <c r="C97" s="19"/>
      <c r="D97" s="19"/>
      <c r="E97" s="32">
        <f t="shared" si="54"/>
        <v>7</v>
      </c>
      <c r="K97" s="5"/>
    </row>
    <row r="98">
      <c r="A98" s="30">
        <v>7.0</v>
      </c>
      <c r="B98" s="19"/>
      <c r="C98" s="19"/>
      <c r="D98" s="19"/>
      <c r="E98" s="32">
        <f t="shared" si="54"/>
        <v>7</v>
      </c>
      <c r="K98" s="5"/>
    </row>
    <row r="99">
      <c r="A99" s="30">
        <v>7.0</v>
      </c>
      <c r="B99" s="19"/>
      <c r="C99" s="19"/>
      <c r="D99" s="19"/>
      <c r="E99" s="32">
        <f t="shared" si="54"/>
        <v>7</v>
      </c>
      <c r="K99" s="5"/>
    </row>
    <row r="100">
      <c r="A100" s="66">
        <v>8.0</v>
      </c>
      <c r="B100" s="67"/>
      <c r="C100" s="67"/>
      <c r="D100" s="67"/>
      <c r="E100" s="32">
        <f t="shared" si="54"/>
        <v>8</v>
      </c>
      <c r="K100" s="5"/>
    </row>
    <row r="101">
      <c r="A101" s="66">
        <v>8.0</v>
      </c>
      <c r="B101" s="67"/>
      <c r="C101" s="67"/>
      <c r="D101" s="67"/>
      <c r="E101" s="32">
        <f t="shared" si="54"/>
        <v>8</v>
      </c>
      <c r="K101" s="5"/>
    </row>
    <row r="102">
      <c r="A102" s="66">
        <v>8.0</v>
      </c>
      <c r="B102" s="67"/>
      <c r="C102" s="67"/>
      <c r="D102" s="67"/>
      <c r="E102" s="32">
        <f t="shared" si="54"/>
        <v>8</v>
      </c>
      <c r="K102" s="5"/>
    </row>
    <row r="103">
      <c r="A103" s="66">
        <v>8.0</v>
      </c>
      <c r="B103" s="67"/>
      <c r="C103" s="67"/>
      <c r="D103" s="67"/>
      <c r="E103" s="32">
        <f t="shared" si="54"/>
        <v>8</v>
      </c>
      <c r="K103" s="5"/>
    </row>
    <row r="104">
      <c r="B104" s="32"/>
      <c r="C104" s="32"/>
      <c r="D104" s="32"/>
      <c r="K104" s="5"/>
    </row>
    <row r="105">
      <c r="B105" s="32"/>
      <c r="C105" s="32"/>
      <c r="D105" s="32"/>
      <c r="K105" s="5"/>
    </row>
    <row r="106">
      <c r="B106" s="32"/>
      <c r="C106" s="32"/>
      <c r="D106" s="32"/>
      <c r="K106" s="5"/>
    </row>
    <row r="107">
      <c r="B107" s="32"/>
      <c r="C107" s="32"/>
      <c r="D107" s="32"/>
      <c r="K107" s="5"/>
    </row>
    <row r="108">
      <c r="B108" s="32"/>
      <c r="C108" s="32"/>
      <c r="D108" s="32"/>
      <c r="K108" s="5"/>
    </row>
    <row r="109">
      <c r="B109" s="32"/>
      <c r="C109" s="32"/>
      <c r="D109" s="32"/>
      <c r="K109" s="5"/>
    </row>
    <row r="110">
      <c r="B110" s="32"/>
      <c r="C110" s="32"/>
      <c r="D110" s="32"/>
      <c r="K110" s="5"/>
    </row>
    <row r="111">
      <c r="B111" s="32"/>
      <c r="C111" s="32"/>
      <c r="D111" s="32"/>
      <c r="K111" s="5"/>
    </row>
    <row r="112">
      <c r="B112" s="32"/>
      <c r="C112" s="32"/>
      <c r="D112" s="32"/>
      <c r="K112" s="5"/>
    </row>
    <row r="113">
      <c r="B113" s="32"/>
      <c r="C113" s="32"/>
      <c r="D113" s="32"/>
      <c r="K113" s="5"/>
    </row>
    <row r="114">
      <c r="B114" s="32"/>
      <c r="C114" s="32"/>
      <c r="D114" s="32"/>
      <c r="K114" s="5"/>
    </row>
    <row r="115">
      <c r="B115" s="32"/>
      <c r="C115" s="32"/>
      <c r="D115" s="32"/>
      <c r="K115" s="5"/>
    </row>
    <row r="116">
      <c r="K116" s="5"/>
    </row>
    <row r="117">
      <c r="K117" s="5"/>
    </row>
    <row r="118">
      <c r="K118" s="5"/>
    </row>
    <row r="119">
      <c r="A119" s="131" t="s">
        <v>193</v>
      </c>
      <c r="K119" s="5"/>
    </row>
    <row r="120">
      <c r="A120" s="112" t="s">
        <v>194</v>
      </c>
      <c r="K120" s="5"/>
    </row>
    <row r="121">
      <c r="A121" s="4" t="s">
        <v>0</v>
      </c>
      <c r="B121" s="4" t="s">
        <v>1</v>
      </c>
      <c r="C121" s="7" t="s">
        <v>6</v>
      </c>
      <c r="D121" s="20" t="s">
        <v>9</v>
      </c>
      <c r="K121" s="5"/>
    </row>
    <row r="122">
      <c r="A122" s="30">
        <v>1.0</v>
      </c>
      <c r="B122" s="32" t="str">
        <f>IFERROR(__xludf.DUMMYFUNCTION("IFERROR(QUERY(A2:AD45, ""SELECT B, C, D WHERE M = 'X'"", 0), """")"),"")</f>
        <v/>
      </c>
      <c r="C122" s="19"/>
      <c r="D122" s="19"/>
      <c r="E122" s="32">
        <f t="shared" ref="E122:E133" si="70">A122</f>
        <v>1</v>
      </c>
      <c r="K122" s="5"/>
    </row>
    <row r="123">
      <c r="A123" s="30">
        <v>1.0</v>
      </c>
      <c r="B123" s="19"/>
      <c r="C123" s="19"/>
      <c r="D123" s="19"/>
      <c r="E123" s="32">
        <f t="shared" si="70"/>
        <v>1</v>
      </c>
      <c r="K123" s="5"/>
    </row>
    <row r="124">
      <c r="A124" s="30">
        <v>1.0</v>
      </c>
      <c r="B124" s="19"/>
      <c r="C124" s="19"/>
      <c r="D124" s="19"/>
      <c r="E124" s="32">
        <f t="shared" si="70"/>
        <v>1</v>
      </c>
      <c r="K124" s="5"/>
    </row>
    <row r="125">
      <c r="A125" s="30">
        <v>1.0</v>
      </c>
      <c r="B125" s="19"/>
      <c r="C125" s="19"/>
      <c r="D125" s="19"/>
      <c r="E125" s="32">
        <f t="shared" si="70"/>
        <v>1</v>
      </c>
      <c r="K125" s="5"/>
    </row>
    <row r="126">
      <c r="A126" s="66">
        <v>2.0</v>
      </c>
      <c r="B126" s="67"/>
      <c r="C126" s="67"/>
      <c r="D126" s="67"/>
      <c r="E126" s="32">
        <f t="shared" si="70"/>
        <v>2</v>
      </c>
      <c r="K126" s="5"/>
    </row>
    <row r="127">
      <c r="A127" s="66">
        <v>2.0</v>
      </c>
      <c r="B127" s="67"/>
      <c r="C127" s="67"/>
      <c r="D127" s="67"/>
      <c r="E127" s="32">
        <f t="shared" si="70"/>
        <v>2</v>
      </c>
      <c r="K127" s="5"/>
    </row>
    <row r="128">
      <c r="A128" s="66">
        <v>2.0</v>
      </c>
      <c r="B128" s="67"/>
      <c r="C128" s="67"/>
      <c r="D128" s="67"/>
      <c r="E128" s="32">
        <f t="shared" si="70"/>
        <v>2</v>
      </c>
      <c r="K128" s="5"/>
    </row>
    <row r="129">
      <c r="A129" s="66">
        <v>2.0</v>
      </c>
      <c r="B129" s="67"/>
      <c r="C129" s="67"/>
      <c r="D129" s="67"/>
      <c r="E129" s="32">
        <f t="shared" si="70"/>
        <v>2</v>
      </c>
      <c r="K129" s="5"/>
    </row>
    <row r="130">
      <c r="A130" s="30">
        <v>3.0</v>
      </c>
      <c r="B130" s="19"/>
      <c r="C130" s="19"/>
      <c r="D130" s="19"/>
      <c r="E130" s="32">
        <f t="shared" si="70"/>
        <v>3</v>
      </c>
      <c r="K130" s="5"/>
    </row>
    <row r="131">
      <c r="A131" s="30">
        <v>3.0</v>
      </c>
      <c r="B131" s="19"/>
      <c r="C131" s="19"/>
      <c r="D131" s="19"/>
      <c r="E131" s="32">
        <f t="shared" si="70"/>
        <v>3</v>
      </c>
      <c r="K131" s="5"/>
    </row>
    <row r="132">
      <c r="A132" s="30">
        <v>3.0</v>
      </c>
      <c r="B132" s="19"/>
      <c r="C132" s="19"/>
      <c r="D132" s="19"/>
      <c r="E132" s="32">
        <f t="shared" si="70"/>
        <v>3</v>
      </c>
      <c r="K132" s="5"/>
    </row>
    <row r="133">
      <c r="A133" s="30">
        <v>3.0</v>
      </c>
      <c r="B133" s="19"/>
      <c r="C133" s="19"/>
      <c r="D133" s="19"/>
      <c r="E133" s="32">
        <f t="shared" si="70"/>
        <v>3</v>
      </c>
      <c r="K133" s="5"/>
    </row>
    <row r="134">
      <c r="K134" s="5"/>
    </row>
    <row r="135">
      <c r="K135" s="5"/>
    </row>
    <row r="136">
      <c r="K136" s="5"/>
    </row>
    <row r="137">
      <c r="K137" s="5"/>
    </row>
    <row r="138">
      <c r="K138" s="5"/>
    </row>
    <row r="139">
      <c r="K139" s="5"/>
    </row>
    <row r="140">
      <c r="K140" s="5"/>
    </row>
    <row r="141">
      <c r="K141" s="5"/>
    </row>
    <row r="142">
      <c r="K142" s="5"/>
    </row>
    <row r="143">
      <c r="K143" s="5"/>
    </row>
    <row r="144">
      <c r="K144" s="5"/>
    </row>
    <row r="145">
      <c r="K145" s="5"/>
    </row>
    <row r="146">
      <c r="K146" s="5"/>
    </row>
    <row r="147">
      <c r="K147" s="5"/>
    </row>
    <row r="148">
      <c r="K148" s="5"/>
    </row>
    <row r="149">
      <c r="K149" s="5"/>
    </row>
    <row r="150">
      <c r="K150" s="5"/>
    </row>
    <row r="151">
      <c r="K151" s="5"/>
    </row>
    <row r="152">
      <c r="K152" s="5"/>
    </row>
    <row r="153">
      <c r="K153" s="5"/>
    </row>
    <row r="154">
      <c r="K154" s="5"/>
    </row>
    <row r="155">
      <c r="K155" s="5"/>
    </row>
    <row r="156">
      <c r="K156" s="5"/>
    </row>
    <row r="157">
      <c r="K157" s="5"/>
    </row>
    <row r="158">
      <c r="K158" s="5"/>
    </row>
    <row r="159">
      <c r="K159" s="5"/>
    </row>
    <row r="160">
      <c r="K160" s="5"/>
    </row>
    <row r="161">
      <c r="K161" s="5"/>
    </row>
    <row r="162">
      <c r="K162" s="5"/>
    </row>
    <row r="163">
      <c r="K163" s="5"/>
    </row>
    <row r="164">
      <c r="K164" s="5"/>
    </row>
    <row r="165">
      <c r="K165" s="5"/>
    </row>
    <row r="166">
      <c r="K166" s="5"/>
    </row>
    <row r="167">
      <c r="K167" s="5"/>
    </row>
    <row r="168">
      <c r="K168" s="5"/>
    </row>
    <row r="169">
      <c r="K169" s="5"/>
    </row>
    <row r="170">
      <c r="K170" s="5"/>
    </row>
    <row r="171">
      <c r="K171" s="5"/>
    </row>
    <row r="172">
      <c r="K172" s="5"/>
    </row>
    <row r="173">
      <c r="K173" s="5"/>
    </row>
    <row r="174">
      <c r="K174" s="5"/>
    </row>
    <row r="175">
      <c r="K175" s="5"/>
    </row>
    <row r="176">
      <c r="K176" s="5"/>
    </row>
    <row r="177">
      <c r="K177" s="5"/>
    </row>
    <row r="178">
      <c r="K178" s="5"/>
    </row>
    <row r="179">
      <c r="K179" s="5"/>
    </row>
    <row r="180">
      <c r="K180" s="5"/>
    </row>
    <row r="181">
      <c r="K181" s="5"/>
    </row>
    <row r="182">
      <c r="K182" s="5"/>
    </row>
    <row r="183">
      <c r="K183" s="5"/>
    </row>
    <row r="184">
      <c r="K184" s="5"/>
    </row>
    <row r="185">
      <c r="K185" s="5"/>
    </row>
    <row r="186">
      <c r="K186" s="5"/>
    </row>
    <row r="187">
      <c r="K187" s="5"/>
    </row>
    <row r="188">
      <c r="K188" s="5"/>
    </row>
    <row r="189">
      <c r="K189" s="5"/>
    </row>
    <row r="190">
      <c r="K190" s="5"/>
    </row>
    <row r="191">
      <c r="K191" s="5"/>
    </row>
    <row r="192">
      <c r="K192" s="5"/>
    </row>
    <row r="193">
      <c r="K193" s="5"/>
    </row>
    <row r="194">
      <c r="K194" s="5"/>
    </row>
    <row r="195">
      <c r="K195" s="5"/>
    </row>
    <row r="196">
      <c r="K196" s="5"/>
    </row>
    <row r="197">
      <c r="K197" s="5"/>
    </row>
    <row r="198">
      <c r="K198" s="5"/>
    </row>
    <row r="199">
      <c r="K199" s="5"/>
    </row>
    <row r="200">
      <c r="K200" s="5"/>
    </row>
    <row r="201">
      <c r="K201" s="5"/>
    </row>
    <row r="202">
      <c r="K202" s="5"/>
    </row>
    <row r="203">
      <c r="K203" s="5"/>
    </row>
    <row r="204">
      <c r="K204" s="5"/>
    </row>
    <row r="205">
      <c r="K205" s="5"/>
    </row>
    <row r="206">
      <c r="K206" s="5"/>
    </row>
    <row r="207">
      <c r="K207" s="5"/>
    </row>
    <row r="208">
      <c r="K208" s="5"/>
    </row>
    <row r="209">
      <c r="K209" s="5"/>
    </row>
    <row r="210">
      <c r="K210" s="5"/>
    </row>
    <row r="211">
      <c r="K211" s="5"/>
    </row>
    <row r="212">
      <c r="K212" s="5"/>
    </row>
    <row r="213">
      <c r="K213" s="5"/>
    </row>
    <row r="214">
      <c r="K214" s="5"/>
    </row>
    <row r="215">
      <c r="K215" s="5"/>
    </row>
    <row r="216">
      <c r="K216" s="5"/>
    </row>
    <row r="217">
      <c r="K217" s="5"/>
    </row>
    <row r="218">
      <c r="K218" s="5"/>
    </row>
    <row r="219">
      <c r="K219" s="5"/>
    </row>
    <row r="220">
      <c r="K220" s="5"/>
    </row>
    <row r="221">
      <c r="K221" s="5"/>
    </row>
    <row r="222">
      <c r="K222" s="5"/>
    </row>
    <row r="223">
      <c r="K223" s="5"/>
    </row>
    <row r="224">
      <c r="K224" s="5"/>
    </row>
    <row r="225">
      <c r="K225" s="5"/>
    </row>
    <row r="226">
      <c r="K226" s="5"/>
    </row>
    <row r="227">
      <c r="K227" s="5"/>
    </row>
    <row r="228">
      <c r="K228" s="5"/>
    </row>
    <row r="229">
      <c r="K229" s="5"/>
    </row>
    <row r="230">
      <c r="K230" s="5"/>
    </row>
    <row r="231">
      <c r="K231" s="5"/>
    </row>
    <row r="232">
      <c r="K232" s="5"/>
    </row>
    <row r="233">
      <c r="K233" s="5"/>
    </row>
    <row r="234">
      <c r="K234" s="5"/>
    </row>
    <row r="235">
      <c r="K235" s="5"/>
    </row>
    <row r="236">
      <c r="K236" s="5"/>
    </row>
    <row r="237">
      <c r="K237" s="5"/>
    </row>
    <row r="238">
      <c r="K238" s="5"/>
    </row>
    <row r="239">
      <c r="K239" s="5"/>
    </row>
    <row r="240">
      <c r="K240" s="5"/>
    </row>
    <row r="241">
      <c r="K241" s="5"/>
    </row>
    <row r="242">
      <c r="K242" s="5"/>
    </row>
    <row r="243">
      <c r="K243" s="5"/>
    </row>
    <row r="244">
      <c r="K244" s="5"/>
    </row>
    <row r="245">
      <c r="K245" s="5"/>
    </row>
    <row r="246">
      <c r="K246" s="5"/>
    </row>
    <row r="247">
      <c r="K247" s="5"/>
    </row>
    <row r="248">
      <c r="K248" s="5"/>
    </row>
    <row r="249">
      <c r="K249" s="5"/>
    </row>
    <row r="250">
      <c r="K250" s="5"/>
    </row>
    <row r="251">
      <c r="K251" s="5"/>
    </row>
    <row r="252">
      <c r="K252" s="5"/>
    </row>
    <row r="253">
      <c r="K253" s="5"/>
    </row>
    <row r="254">
      <c r="K254" s="5"/>
    </row>
    <row r="255">
      <c r="K255" s="5"/>
    </row>
    <row r="256">
      <c r="K256" s="5"/>
    </row>
    <row r="257">
      <c r="K257" s="5"/>
    </row>
    <row r="258">
      <c r="K258" s="5"/>
    </row>
    <row r="259">
      <c r="K259" s="5"/>
    </row>
    <row r="260">
      <c r="K260" s="5"/>
    </row>
    <row r="261">
      <c r="K261" s="5"/>
    </row>
    <row r="262">
      <c r="K262" s="5"/>
    </row>
    <row r="263">
      <c r="K263" s="5"/>
    </row>
    <row r="264">
      <c r="K264" s="5"/>
    </row>
    <row r="265">
      <c r="K265" s="5"/>
    </row>
    <row r="266">
      <c r="K266" s="5"/>
    </row>
    <row r="267">
      <c r="K267" s="5"/>
    </row>
    <row r="268">
      <c r="K268" s="5"/>
    </row>
    <row r="269">
      <c r="K269" s="5"/>
    </row>
    <row r="270">
      <c r="K270" s="5"/>
    </row>
    <row r="271">
      <c r="K271" s="5"/>
    </row>
    <row r="272">
      <c r="K272" s="5"/>
    </row>
    <row r="273">
      <c r="K273" s="5"/>
    </row>
    <row r="274">
      <c r="K274" s="5"/>
    </row>
    <row r="275">
      <c r="K275" s="5"/>
    </row>
    <row r="276">
      <c r="K276" s="5"/>
    </row>
    <row r="277">
      <c r="K277" s="5"/>
    </row>
    <row r="278">
      <c r="K278" s="5"/>
    </row>
    <row r="279">
      <c r="K279" s="5"/>
    </row>
    <row r="280">
      <c r="K280" s="5"/>
    </row>
    <row r="281">
      <c r="K281" s="5"/>
    </row>
    <row r="282">
      <c r="K282" s="5"/>
    </row>
    <row r="283">
      <c r="K283" s="5"/>
    </row>
    <row r="284">
      <c r="K284" s="5"/>
    </row>
    <row r="285">
      <c r="K285" s="5"/>
    </row>
    <row r="286">
      <c r="K286" s="5"/>
    </row>
    <row r="287">
      <c r="K287" s="5"/>
    </row>
    <row r="288">
      <c r="K288" s="5"/>
    </row>
    <row r="289">
      <c r="K289" s="5"/>
    </row>
    <row r="290">
      <c r="K290" s="5"/>
    </row>
    <row r="291">
      <c r="K291" s="5"/>
    </row>
    <row r="292">
      <c r="K292" s="5"/>
    </row>
    <row r="293">
      <c r="K293" s="5"/>
    </row>
    <row r="294">
      <c r="K294" s="5"/>
    </row>
    <row r="295">
      <c r="K295" s="5"/>
    </row>
    <row r="296">
      <c r="K296" s="5"/>
    </row>
    <row r="297">
      <c r="K297" s="5"/>
    </row>
    <row r="298">
      <c r="K298" s="5"/>
    </row>
    <row r="299">
      <c r="K299" s="5"/>
    </row>
    <row r="300">
      <c r="K300" s="5"/>
    </row>
    <row r="301">
      <c r="K301" s="5"/>
    </row>
    <row r="302">
      <c r="K302" s="5"/>
    </row>
    <row r="303">
      <c r="K303" s="5"/>
    </row>
    <row r="304">
      <c r="K304" s="5"/>
    </row>
    <row r="305">
      <c r="K305" s="5"/>
    </row>
    <row r="306">
      <c r="K306" s="5"/>
    </row>
    <row r="307">
      <c r="K307" s="5"/>
    </row>
    <row r="308">
      <c r="K308" s="5"/>
    </row>
    <row r="309">
      <c r="K309" s="5"/>
    </row>
    <row r="310">
      <c r="K310" s="5"/>
    </row>
    <row r="311">
      <c r="K311" s="5"/>
    </row>
    <row r="312">
      <c r="K312" s="5"/>
    </row>
    <row r="313">
      <c r="K313" s="5"/>
    </row>
    <row r="314">
      <c r="K314" s="5"/>
    </row>
    <row r="315">
      <c r="K315" s="5"/>
    </row>
    <row r="316">
      <c r="K316" s="5"/>
    </row>
    <row r="317">
      <c r="K317" s="5"/>
    </row>
    <row r="318">
      <c r="K318" s="5"/>
    </row>
    <row r="319">
      <c r="K319" s="5"/>
    </row>
    <row r="320">
      <c r="K320" s="5"/>
    </row>
    <row r="321">
      <c r="K321" s="5"/>
    </row>
    <row r="322">
      <c r="K322" s="5"/>
    </row>
    <row r="323">
      <c r="K323" s="5"/>
    </row>
    <row r="324">
      <c r="K324" s="5"/>
    </row>
    <row r="325">
      <c r="K325" s="5"/>
    </row>
    <row r="326">
      <c r="K326" s="5"/>
    </row>
    <row r="327">
      <c r="K327" s="5"/>
    </row>
    <row r="328">
      <c r="K328" s="5"/>
    </row>
    <row r="329">
      <c r="K329" s="5"/>
    </row>
    <row r="330">
      <c r="K330" s="5"/>
    </row>
    <row r="331">
      <c r="K331" s="5"/>
    </row>
    <row r="332">
      <c r="K332" s="5"/>
    </row>
    <row r="333">
      <c r="K333" s="5"/>
    </row>
    <row r="334">
      <c r="K334" s="5"/>
    </row>
    <row r="335">
      <c r="K335" s="5"/>
    </row>
    <row r="336">
      <c r="K336" s="5"/>
    </row>
    <row r="337">
      <c r="K337" s="5"/>
    </row>
    <row r="338">
      <c r="K338" s="5"/>
    </row>
    <row r="339">
      <c r="K339" s="5"/>
    </row>
    <row r="340">
      <c r="K340" s="5"/>
    </row>
    <row r="341">
      <c r="K341" s="5"/>
    </row>
    <row r="342">
      <c r="K342" s="5"/>
    </row>
    <row r="343">
      <c r="K343" s="5"/>
    </row>
    <row r="344">
      <c r="K344" s="5"/>
    </row>
    <row r="345">
      <c r="K345" s="5"/>
    </row>
    <row r="346">
      <c r="K346" s="5"/>
    </row>
    <row r="347">
      <c r="K347" s="5"/>
    </row>
    <row r="348">
      <c r="K348" s="5"/>
    </row>
    <row r="349">
      <c r="K349" s="5"/>
    </row>
    <row r="350">
      <c r="K350" s="5"/>
    </row>
    <row r="351">
      <c r="K351" s="5"/>
    </row>
    <row r="352">
      <c r="K352" s="5"/>
    </row>
    <row r="353">
      <c r="K353" s="5"/>
    </row>
    <row r="354">
      <c r="K354" s="5"/>
    </row>
    <row r="355">
      <c r="K355" s="5"/>
    </row>
    <row r="356">
      <c r="K356" s="5"/>
    </row>
    <row r="357">
      <c r="K357" s="5"/>
    </row>
    <row r="358">
      <c r="K358" s="5"/>
    </row>
    <row r="359">
      <c r="K359" s="5"/>
    </row>
    <row r="360">
      <c r="K360" s="5"/>
    </row>
    <row r="361">
      <c r="K361" s="5"/>
    </row>
    <row r="362">
      <c r="K362" s="5"/>
    </row>
    <row r="363">
      <c r="K363" s="5"/>
    </row>
    <row r="364">
      <c r="K364" s="5"/>
    </row>
    <row r="365">
      <c r="K365" s="5"/>
    </row>
    <row r="366">
      <c r="K366" s="5"/>
    </row>
    <row r="367">
      <c r="K367" s="5"/>
    </row>
    <row r="368">
      <c r="K368" s="5"/>
    </row>
    <row r="369">
      <c r="K369" s="5"/>
    </row>
    <row r="370">
      <c r="K370" s="5"/>
    </row>
    <row r="371">
      <c r="K371" s="5"/>
    </row>
    <row r="372">
      <c r="K372" s="5"/>
    </row>
    <row r="373">
      <c r="K373" s="5"/>
    </row>
    <row r="374">
      <c r="K374" s="5"/>
    </row>
    <row r="375">
      <c r="K375" s="5"/>
    </row>
    <row r="376">
      <c r="K376" s="5"/>
    </row>
    <row r="377">
      <c r="K377" s="5"/>
    </row>
    <row r="378">
      <c r="K378" s="5"/>
    </row>
    <row r="379">
      <c r="K379" s="5"/>
    </row>
    <row r="380">
      <c r="K380" s="5"/>
    </row>
    <row r="381">
      <c r="K381" s="5"/>
    </row>
    <row r="382">
      <c r="K382" s="5"/>
    </row>
    <row r="383">
      <c r="K383" s="5"/>
    </row>
    <row r="384">
      <c r="K384" s="5"/>
    </row>
    <row r="385">
      <c r="K385" s="5"/>
    </row>
    <row r="386">
      <c r="K386" s="5"/>
    </row>
    <row r="387">
      <c r="K387" s="5"/>
    </row>
    <row r="388">
      <c r="K388" s="5"/>
    </row>
    <row r="389">
      <c r="K389" s="5"/>
    </row>
    <row r="390">
      <c r="K390" s="5"/>
    </row>
    <row r="391">
      <c r="K391" s="5"/>
    </row>
    <row r="392">
      <c r="K392" s="5"/>
    </row>
    <row r="393">
      <c r="K393" s="5"/>
    </row>
    <row r="394">
      <c r="K394" s="5"/>
    </row>
    <row r="395">
      <c r="K395" s="5"/>
    </row>
    <row r="396">
      <c r="K396" s="5"/>
    </row>
    <row r="397">
      <c r="K397" s="5"/>
    </row>
    <row r="398">
      <c r="K398" s="5"/>
    </row>
    <row r="399">
      <c r="K399" s="5"/>
    </row>
    <row r="400">
      <c r="K400" s="5"/>
    </row>
    <row r="401">
      <c r="K401" s="5"/>
    </row>
    <row r="402">
      <c r="K402" s="5"/>
    </row>
    <row r="403">
      <c r="K403" s="5"/>
    </row>
    <row r="404">
      <c r="K404" s="5"/>
    </row>
    <row r="405">
      <c r="K405" s="5"/>
    </row>
    <row r="406">
      <c r="K406" s="5"/>
    </row>
    <row r="407">
      <c r="K407" s="5"/>
    </row>
    <row r="408">
      <c r="K408" s="5"/>
    </row>
    <row r="409">
      <c r="K409" s="5"/>
    </row>
    <row r="410">
      <c r="K410" s="5"/>
    </row>
    <row r="411">
      <c r="K411" s="5"/>
    </row>
    <row r="412">
      <c r="K412" s="5"/>
    </row>
    <row r="413">
      <c r="K413" s="5"/>
    </row>
    <row r="414">
      <c r="K414" s="5"/>
    </row>
    <row r="415">
      <c r="K415" s="5"/>
    </row>
    <row r="416">
      <c r="K416" s="5"/>
    </row>
    <row r="417">
      <c r="K417" s="5"/>
    </row>
    <row r="418">
      <c r="K418" s="5"/>
    </row>
    <row r="419">
      <c r="K419" s="5"/>
    </row>
    <row r="420">
      <c r="K420" s="5"/>
    </row>
    <row r="421">
      <c r="K421" s="5"/>
    </row>
    <row r="422">
      <c r="K422" s="5"/>
    </row>
    <row r="423">
      <c r="K423" s="5"/>
    </row>
    <row r="424">
      <c r="K424" s="5"/>
    </row>
    <row r="425">
      <c r="K425" s="5"/>
    </row>
    <row r="426">
      <c r="K426" s="5"/>
    </row>
    <row r="427">
      <c r="K427" s="5"/>
    </row>
    <row r="428">
      <c r="K428" s="5"/>
    </row>
    <row r="429">
      <c r="K429" s="5"/>
    </row>
    <row r="430">
      <c r="K430" s="5"/>
    </row>
    <row r="431">
      <c r="K431" s="5"/>
    </row>
    <row r="432">
      <c r="K432" s="5"/>
    </row>
    <row r="433">
      <c r="K433" s="5"/>
    </row>
    <row r="434">
      <c r="K434" s="5"/>
    </row>
    <row r="435">
      <c r="K435" s="5"/>
    </row>
    <row r="436">
      <c r="K436" s="5"/>
    </row>
    <row r="437">
      <c r="K437" s="5"/>
    </row>
    <row r="438">
      <c r="K438" s="5"/>
    </row>
    <row r="439">
      <c r="K439" s="5"/>
    </row>
    <row r="440">
      <c r="K440" s="5"/>
    </row>
    <row r="441">
      <c r="K441" s="5"/>
    </row>
    <row r="442">
      <c r="K442" s="5"/>
    </row>
    <row r="443">
      <c r="K443" s="5"/>
    </row>
    <row r="444">
      <c r="K444" s="5"/>
    </row>
    <row r="445">
      <c r="K445" s="5"/>
    </row>
    <row r="446">
      <c r="K446" s="5"/>
    </row>
    <row r="447">
      <c r="K447" s="5"/>
    </row>
    <row r="448">
      <c r="K448" s="5"/>
    </row>
    <row r="449">
      <c r="K449" s="5"/>
    </row>
    <row r="450">
      <c r="K450" s="5"/>
    </row>
    <row r="451">
      <c r="K451" s="5"/>
    </row>
    <row r="452">
      <c r="K452" s="5"/>
    </row>
    <row r="453">
      <c r="K453" s="5"/>
    </row>
    <row r="454">
      <c r="K454" s="5"/>
    </row>
    <row r="455">
      <c r="K455" s="5"/>
    </row>
    <row r="456">
      <c r="K456" s="5"/>
    </row>
    <row r="457">
      <c r="K457" s="5"/>
    </row>
    <row r="458">
      <c r="K458" s="5"/>
    </row>
    <row r="459">
      <c r="K459" s="5"/>
    </row>
    <row r="460">
      <c r="K460" s="5"/>
    </row>
    <row r="461">
      <c r="K461" s="5"/>
    </row>
    <row r="462">
      <c r="K462" s="5"/>
    </row>
    <row r="463">
      <c r="K463" s="5"/>
    </row>
    <row r="464">
      <c r="K464" s="5"/>
    </row>
    <row r="465">
      <c r="K465" s="5"/>
    </row>
    <row r="466">
      <c r="K466" s="5"/>
    </row>
    <row r="467">
      <c r="K467" s="5"/>
    </row>
    <row r="468">
      <c r="K468" s="5"/>
    </row>
    <row r="469">
      <c r="K469" s="5"/>
    </row>
    <row r="470">
      <c r="K470" s="5"/>
    </row>
    <row r="471">
      <c r="K471" s="5"/>
    </row>
    <row r="472">
      <c r="K472" s="5"/>
    </row>
    <row r="473">
      <c r="K473" s="5"/>
    </row>
    <row r="474">
      <c r="K474" s="5"/>
    </row>
    <row r="475">
      <c r="K475" s="5"/>
    </row>
    <row r="476">
      <c r="K476" s="5"/>
    </row>
    <row r="477">
      <c r="K477" s="5"/>
    </row>
    <row r="478">
      <c r="K478" s="5"/>
    </row>
    <row r="479">
      <c r="K479" s="5"/>
    </row>
    <row r="480">
      <c r="K480" s="5"/>
    </row>
    <row r="481">
      <c r="K481" s="5"/>
    </row>
    <row r="482">
      <c r="K482" s="5"/>
    </row>
    <row r="483">
      <c r="K483" s="5"/>
    </row>
    <row r="484">
      <c r="K484" s="5"/>
    </row>
    <row r="485">
      <c r="K485" s="5"/>
    </row>
    <row r="486">
      <c r="K486" s="5"/>
    </row>
    <row r="487">
      <c r="K487" s="5"/>
    </row>
    <row r="488">
      <c r="K488" s="5"/>
    </row>
    <row r="489">
      <c r="K489" s="5"/>
    </row>
    <row r="490">
      <c r="K490" s="5"/>
    </row>
    <row r="491">
      <c r="K491" s="5"/>
    </row>
    <row r="492">
      <c r="K492" s="5"/>
    </row>
    <row r="493">
      <c r="K493" s="5"/>
    </row>
    <row r="494">
      <c r="K494" s="5"/>
    </row>
    <row r="495">
      <c r="K495" s="5"/>
    </row>
    <row r="496">
      <c r="K496" s="5"/>
    </row>
    <row r="497">
      <c r="K497" s="5"/>
    </row>
    <row r="498">
      <c r="K498" s="5"/>
    </row>
    <row r="499">
      <c r="K499" s="5"/>
    </row>
    <row r="500">
      <c r="K500" s="5"/>
    </row>
    <row r="501">
      <c r="K501" s="5"/>
    </row>
    <row r="502">
      <c r="K502" s="5"/>
    </row>
    <row r="503">
      <c r="K503" s="5"/>
    </row>
    <row r="504">
      <c r="K504" s="5"/>
    </row>
    <row r="505">
      <c r="K505" s="5"/>
    </row>
    <row r="506">
      <c r="K506" s="5"/>
    </row>
    <row r="507">
      <c r="K507" s="5"/>
    </row>
    <row r="508">
      <c r="K508" s="5"/>
    </row>
    <row r="509">
      <c r="K509" s="5"/>
    </row>
    <row r="510">
      <c r="K510" s="5"/>
    </row>
    <row r="511">
      <c r="K511" s="5"/>
    </row>
    <row r="512">
      <c r="K512" s="5"/>
    </row>
    <row r="513">
      <c r="K513" s="5"/>
    </row>
    <row r="514">
      <c r="K514" s="5"/>
    </row>
    <row r="515">
      <c r="K515" s="5"/>
    </row>
    <row r="516">
      <c r="K516" s="5"/>
    </row>
    <row r="517">
      <c r="K517" s="5"/>
    </row>
    <row r="518">
      <c r="K518" s="5"/>
    </row>
    <row r="519">
      <c r="K519" s="5"/>
    </row>
    <row r="520">
      <c r="K520" s="5"/>
    </row>
    <row r="521">
      <c r="K521" s="5"/>
    </row>
    <row r="522">
      <c r="K522" s="5"/>
    </row>
    <row r="523">
      <c r="K523" s="5"/>
    </row>
    <row r="524">
      <c r="K524" s="5"/>
    </row>
    <row r="525">
      <c r="K525" s="5"/>
    </row>
    <row r="526">
      <c r="K526" s="5"/>
    </row>
    <row r="527">
      <c r="K527" s="5"/>
    </row>
    <row r="528">
      <c r="K528" s="5"/>
    </row>
    <row r="529">
      <c r="K529" s="5"/>
    </row>
    <row r="530">
      <c r="K530" s="5"/>
    </row>
    <row r="531">
      <c r="K531" s="5"/>
    </row>
    <row r="532">
      <c r="K532" s="5"/>
    </row>
    <row r="533">
      <c r="K533" s="5"/>
    </row>
    <row r="534">
      <c r="K534" s="5"/>
    </row>
    <row r="535">
      <c r="K535" s="5"/>
    </row>
    <row r="536">
      <c r="K536" s="5"/>
    </row>
    <row r="537">
      <c r="K537" s="5"/>
    </row>
    <row r="538">
      <c r="K538" s="5"/>
    </row>
    <row r="539">
      <c r="K539" s="5"/>
    </row>
    <row r="540">
      <c r="K540" s="5"/>
    </row>
    <row r="541">
      <c r="K541" s="5"/>
    </row>
    <row r="542">
      <c r="K542" s="5"/>
    </row>
    <row r="543">
      <c r="K543" s="5"/>
    </row>
    <row r="544">
      <c r="K544" s="5"/>
    </row>
    <row r="545">
      <c r="K545" s="5"/>
    </row>
    <row r="546">
      <c r="K546" s="5"/>
    </row>
    <row r="547">
      <c r="K547" s="5"/>
    </row>
    <row r="548">
      <c r="K548" s="5"/>
    </row>
    <row r="549">
      <c r="K549" s="5"/>
    </row>
    <row r="550">
      <c r="K550" s="5"/>
    </row>
    <row r="551">
      <c r="K551" s="5"/>
    </row>
    <row r="552">
      <c r="K552" s="5"/>
    </row>
    <row r="553">
      <c r="K553" s="5"/>
    </row>
    <row r="554">
      <c r="K554" s="5"/>
    </row>
    <row r="555">
      <c r="K555" s="5"/>
    </row>
    <row r="556">
      <c r="K556" s="5"/>
    </row>
    <row r="557">
      <c r="K557" s="5"/>
    </row>
    <row r="558">
      <c r="K558" s="5"/>
    </row>
    <row r="559">
      <c r="K559" s="5"/>
    </row>
    <row r="560">
      <c r="K560" s="5"/>
    </row>
    <row r="561">
      <c r="K561" s="5"/>
    </row>
    <row r="562">
      <c r="K562" s="5"/>
    </row>
    <row r="563">
      <c r="K563" s="5"/>
    </row>
    <row r="564">
      <c r="K564" s="5"/>
    </row>
    <row r="565">
      <c r="K565" s="5"/>
    </row>
    <row r="566">
      <c r="K566" s="5"/>
    </row>
    <row r="567">
      <c r="K567" s="5"/>
    </row>
    <row r="568">
      <c r="K568" s="5"/>
    </row>
    <row r="569">
      <c r="K569" s="5"/>
    </row>
    <row r="570">
      <c r="K570" s="5"/>
    </row>
    <row r="571">
      <c r="K571" s="5"/>
    </row>
    <row r="572">
      <c r="K572" s="5"/>
    </row>
    <row r="573">
      <c r="K573" s="5"/>
    </row>
    <row r="574">
      <c r="K574" s="5"/>
    </row>
    <row r="575">
      <c r="K575" s="5"/>
    </row>
    <row r="576">
      <c r="K576" s="5"/>
    </row>
    <row r="577">
      <c r="K577" s="5"/>
    </row>
    <row r="578">
      <c r="K578" s="5"/>
    </row>
    <row r="579">
      <c r="K579" s="5"/>
    </row>
    <row r="580">
      <c r="K580" s="5"/>
    </row>
    <row r="581">
      <c r="K581" s="5"/>
    </row>
    <row r="582">
      <c r="K582" s="5"/>
    </row>
    <row r="583">
      <c r="K583" s="5"/>
    </row>
    <row r="584">
      <c r="K584" s="5"/>
    </row>
    <row r="585">
      <c r="K585" s="5"/>
    </row>
    <row r="586">
      <c r="K586" s="5"/>
    </row>
    <row r="587">
      <c r="K587" s="5"/>
    </row>
    <row r="588">
      <c r="K588" s="5"/>
    </row>
    <row r="589">
      <c r="K589" s="5"/>
    </row>
    <row r="590">
      <c r="K590" s="5"/>
    </row>
    <row r="591">
      <c r="K591" s="5"/>
    </row>
    <row r="592">
      <c r="K592" s="5"/>
    </row>
    <row r="593">
      <c r="K593" s="5"/>
    </row>
    <row r="594">
      <c r="K594" s="5"/>
    </row>
    <row r="595">
      <c r="K595" s="5"/>
    </row>
    <row r="596">
      <c r="K596" s="5"/>
    </row>
    <row r="597">
      <c r="K597" s="5"/>
    </row>
    <row r="598">
      <c r="K598" s="5"/>
    </row>
    <row r="599">
      <c r="K599" s="5"/>
    </row>
    <row r="600">
      <c r="K600" s="5"/>
    </row>
    <row r="601">
      <c r="K601" s="5"/>
    </row>
    <row r="602">
      <c r="K602" s="5"/>
    </row>
    <row r="603">
      <c r="K603" s="5"/>
    </row>
    <row r="604">
      <c r="K604" s="5"/>
    </row>
    <row r="605">
      <c r="K605" s="5"/>
    </row>
    <row r="606">
      <c r="K606" s="5"/>
    </row>
    <row r="607">
      <c r="K607" s="5"/>
    </row>
    <row r="608">
      <c r="K608" s="5"/>
    </row>
    <row r="609">
      <c r="K609" s="5"/>
    </row>
    <row r="610">
      <c r="K610" s="5"/>
    </row>
    <row r="611">
      <c r="K611" s="5"/>
    </row>
    <row r="612">
      <c r="K612" s="5"/>
    </row>
    <row r="613">
      <c r="K613" s="5"/>
    </row>
    <row r="614">
      <c r="K614" s="5"/>
    </row>
    <row r="615">
      <c r="K615" s="5"/>
    </row>
    <row r="616">
      <c r="K616" s="5"/>
    </row>
    <row r="617">
      <c r="K617" s="5"/>
    </row>
    <row r="618">
      <c r="K618" s="5"/>
    </row>
    <row r="619">
      <c r="K619" s="5"/>
    </row>
    <row r="620">
      <c r="K620" s="5"/>
    </row>
    <row r="621">
      <c r="K621" s="5"/>
    </row>
    <row r="622">
      <c r="K622" s="5"/>
    </row>
    <row r="623">
      <c r="K623" s="5"/>
    </row>
    <row r="624">
      <c r="K624" s="5"/>
    </row>
    <row r="625">
      <c r="K625" s="5"/>
    </row>
    <row r="626">
      <c r="K626" s="5"/>
    </row>
    <row r="627">
      <c r="K627" s="5"/>
    </row>
    <row r="628">
      <c r="K628" s="5"/>
    </row>
    <row r="629">
      <c r="K629" s="5"/>
    </row>
    <row r="630">
      <c r="K630" s="5"/>
    </row>
    <row r="631">
      <c r="K631" s="5"/>
    </row>
    <row r="632">
      <c r="K632" s="5"/>
    </row>
    <row r="633">
      <c r="K633" s="5"/>
    </row>
    <row r="634">
      <c r="K634" s="5"/>
    </row>
    <row r="635">
      <c r="K635" s="5"/>
    </row>
    <row r="636">
      <c r="K636" s="5"/>
    </row>
    <row r="637">
      <c r="K637" s="5"/>
    </row>
    <row r="638">
      <c r="K638" s="5"/>
    </row>
    <row r="639">
      <c r="K639" s="5"/>
    </row>
    <row r="640">
      <c r="K640" s="5"/>
    </row>
    <row r="641">
      <c r="K641" s="5"/>
    </row>
    <row r="642">
      <c r="K642" s="5"/>
    </row>
    <row r="643">
      <c r="K643" s="5"/>
    </row>
    <row r="644">
      <c r="K644" s="5"/>
    </row>
    <row r="645">
      <c r="K645" s="5"/>
    </row>
    <row r="646">
      <c r="K646" s="5"/>
    </row>
    <row r="647">
      <c r="K647" s="5"/>
    </row>
    <row r="648">
      <c r="K648" s="5"/>
    </row>
    <row r="649">
      <c r="K649" s="5"/>
    </row>
    <row r="650">
      <c r="K650" s="5"/>
    </row>
    <row r="651">
      <c r="K651" s="5"/>
    </row>
    <row r="652">
      <c r="K652" s="5"/>
    </row>
    <row r="653">
      <c r="K653" s="5"/>
    </row>
    <row r="654">
      <c r="K654" s="5"/>
    </row>
    <row r="655">
      <c r="K655" s="5"/>
    </row>
    <row r="656">
      <c r="K656" s="5"/>
    </row>
    <row r="657">
      <c r="K657" s="5"/>
    </row>
    <row r="658">
      <c r="K658" s="5"/>
    </row>
    <row r="659">
      <c r="K659" s="5"/>
    </row>
    <row r="660">
      <c r="K660" s="5"/>
    </row>
    <row r="661">
      <c r="K661" s="5"/>
    </row>
    <row r="662">
      <c r="K662" s="5"/>
    </row>
    <row r="663">
      <c r="K663" s="5"/>
    </row>
    <row r="664">
      <c r="K664" s="5"/>
    </row>
    <row r="665">
      <c r="K665" s="5"/>
    </row>
    <row r="666">
      <c r="K666" s="5"/>
    </row>
    <row r="667">
      <c r="K667" s="5"/>
    </row>
    <row r="668">
      <c r="K668" s="5"/>
    </row>
    <row r="669">
      <c r="K669" s="5"/>
    </row>
    <row r="670">
      <c r="K670" s="5"/>
    </row>
    <row r="671">
      <c r="K671" s="5"/>
    </row>
    <row r="672">
      <c r="K672" s="5"/>
    </row>
    <row r="673">
      <c r="K673" s="5"/>
    </row>
    <row r="674">
      <c r="K674" s="5"/>
    </row>
    <row r="675">
      <c r="K675" s="5"/>
    </row>
    <row r="676">
      <c r="K676" s="5"/>
    </row>
    <row r="677">
      <c r="K677" s="5"/>
    </row>
    <row r="678">
      <c r="K678" s="5"/>
    </row>
    <row r="679">
      <c r="K679" s="5"/>
    </row>
    <row r="680">
      <c r="K680" s="5"/>
    </row>
    <row r="681">
      <c r="K681" s="5"/>
    </row>
    <row r="682">
      <c r="K682" s="5"/>
    </row>
    <row r="683">
      <c r="K683" s="5"/>
    </row>
    <row r="684">
      <c r="K684" s="5"/>
    </row>
    <row r="685">
      <c r="K685" s="5"/>
    </row>
    <row r="686">
      <c r="K686" s="5"/>
    </row>
    <row r="687">
      <c r="K687" s="5"/>
    </row>
    <row r="688">
      <c r="K688" s="5"/>
    </row>
    <row r="689">
      <c r="K689" s="5"/>
    </row>
    <row r="690">
      <c r="K690" s="5"/>
    </row>
    <row r="691">
      <c r="K691" s="5"/>
    </row>
    <row r="692">
      <c r="K692" s="5"/>
    </row>
    <row r="693">
      <c r="K693" s="5"/>
    </row>
    <row r="694">
      <c r="K694" s="5"/>
    </row>
    <row r="695">
      <c r="K695" s="5"/>
    </row>
    <row r="696">
      <c r="K696" s="5"/>
    </row>
    <row r="697">
      <c r="K697" s="5"/>
    </row>
    <row r="698">
      <c r="K698" s="5"/>
    </row>
    <row r="699">
      <c r="K699" s="5"/>
    </row>
    <row r="700">
      <c r="K700" s="5"/>
    </row>
    <row r="701">
      <c r="K701" s="5"/>
    </row>
    <row r="702">
      <c r="K702" s="5"/>
    </row>
    <row r="703">
      <c r="K703" s="5"/>
    </row>
    <row r="704">
      <c r="K704" s="5"/>
    </row>
    <row r="705">
      <c r="K705" s="5"/>
    </row>
    <row r="706">
      <c r="K706" s="5"/>
    </row>
    <row r="707">
      <c r="K707" s="5"/>
    </row>
    <row r="708">
      <c r="K708" s="5"/>
    </row>
    <row r="709">
      <c r="K709" s="5"/>
    </row>
    <row r="710">
      <c r="K710" s="5"/>
    </row>
    <row r="711">
      <c r="K711" s="5"/>
    </row>
    <row r="712">
      <c r="K712" s="5"/>
    </row>
    <row r="713">
      <c r="K713" s="5"/>
    </row>
    <row r="714">
      <c r="K714" s="5"/>
    </row>
    <row r="715">
      <c r="K715" s="5"/>
    </row>
    <row r="716">
      <c r="K716" s="5"/>
    </row>
    <row r="717">
      <c r="K717" s="5"/>
    </row>
    <row r="718">
      <c r="K718" s="5"/>
    </row>
    <row r="719">
      <c r="K719" s="5"/>
    </row>
    <row r="720">
      <c r="K720" s="5"/>
    </row>
    <row r="721">
      <c r="K721" s="5"/>
    </row>
    <row r="722">
      <c r="K722" s="5"/>
    </row>
    <row r="723">
      <c r="K723" s="5"/>
    </row>
    <row r="724">
      <c r="K724" s="5"/>
    </row>
    <row r="725">
      <c r="K725" s="5"/>
    </row>
    <row r="726">
      <c r="K726" s="5"/>
    </row>
    <row r="727">
      <c r="K727" s="5"/>
    </row>
    <row r="728">
      <c r="K728" s="5"/>
    </row>
    <row r="729">
      <c r="K729" s="5"/>
    </row>
    <row r="730">
      <c r="K730" s="5"/>
    </row>
    <row r="731">
      <c r="K731" s="5"/>
    </row>
    <row r="732">
      <c r="K732" s="5"/>
    </row>
    <row r="733">
      <c r="K733" s="5"/>
    </row>
    <row r="734">
      <c r="K734" s="5"/>
    </row>
    <row r="735">
      <c r="K735" s="5"/>
    </row>
    <row r="736">
      <c r="K736" s="5"/>
    </row>
    <row r="737">
      <c r="K737" s="5"/>
    </row>
    <row r="738">
      <c r="K738" s="5"/>
    </row>
    <row r="739">
      <c r="K739" s="5"/>
    </row>
    <row r="740">
      <c r="K740" s="5"/>
    </row>
    <row r="741">
      <c r="K741" s="5"/>
    </row>
    <row r="742">
      <c r="K742" s="5"/>
    </row>
    <row r="743">
      <c r="K743" s="5"/>
    </row>
    <row r="744">
      <c r="K744" s="5"/>
    </row>
    <row r="745">
      <c r="K745" s="5"/>
    </row>
    <row r="746">
      <c r="K746" s="5"/>
    </row>
    <row r="747">
      <c r="K747" s="5"/>
    </row>
    <row r="748">
      <c r="K748" s="5"/>
    </row>
    <row r="749">
      <c r="K749" s="5"/>
    </row>
    <row r="750">
      <c r="K750" s="5"/>
    </row>
    <row r="751">
      <c r="K751" s="5"/>
    </row>
    <row r="752">
      <c r="K752" s="5"/>
    </row>
    <row r="753">
      <c r="K753" s="5"/>
    </row>
    <row r="754">
      <c r="K754" s="5"/>
    </row>
    <row r="755">
      <c r="K755" s="5"/>
    </row>
    <row r="756">
      <c r="K756" s="5"/>
    </row>
    <row r="757">
      <c r="K757" s="5"/>
    </row>
    <row r="758">
      <c r="K758" s="5"/>
    </row>
    <row r="759">
      <c r="K759" s="5"/>
    </row>
    <row r="760">
      <c r="K760" s="5"/>
    </row>
    <row r="761">
      <c r="K761" s="5"/>
    </row>
    <row r="762">
      <c r="K762" s="5"/>
    </row>
    <row r="763">
      <c r="K763" s="5"/>
    </row>
    <row r="764">
      <c r="K764" s="5"/>
    </row>
    <row r="765">
      <c r="K765" s="5"/>
    </row>
    <row r="766">
      <c r="K766" s="5"/>
    </row>
    <row r="767">
      <c r="K767" s="5"/>
    </row>
    <row r="768">
      <c r="K768" s="5"/>
    </row>
    <row r="769">
      <c r="K769" s="5"/>
    </row>
    <row r="770">
      <c r="K770" s="5"/>
    </row>
    <row r="771">
      <c r="K771" s="5"/>
    </row>
    <row r="772">
      <c r="K772" s="5"/>
    </row>
    <row r="773">
      <c r="K773" s="5"/>
    </row>
    <row r="774">
      <c r="K774" s="5"/>
    </row>
    <row r="775">
      <c r="K775" s="5"/>
    </row>
    <row r="776">
      <c r="K776" s="5"/>
    </row>
    <row r="777">
      <c r="K777" s="5"/>
    </row>
    <row r="778">
      <c r="K778" s="5"/>
    </row>
    <row r="779">
      <c r="K779" s="5"/>
    </row>
    <row r="780">
      <c r="K780" s="5"/>
    </row>
    <row r="781">
      <c r="K781" s="5"/>
    </row>
    <row r="782">
      <c r="K782" s="5"/>
    </row>
    <row r="783">
      <c r="K783" s="5"/>
    </row>
    <row r="784">
      <c r="K784" s="5"/>
    </row>
    <row r="785">
      <c r="K785" s="5"/>
    </row>
    <row r="786">
      <c r="K786" s="5"/>
    </row>
    <row r="787">
      <c r="K787" s="5"/>
    </row>
    <row r="788">
      <c r="K788" s="5"/>
    </row>
    <row r="789">
      <c r="K789" s="5"/>
    </row>
    <row r="790">
      <c r="K790" s="5"/>
    </row>
    <row r="791">
      <c r="K791" s="5"/>
    </row>
    <row r="792">
      <c r="K792" s="5"/>
    </row>
    <row r="793">
      <c r="K793" s="5"/>
    </row>
    <row r="794">
      <c r="K794" s="5"/>
    </row>
    <row r="795">
      <c r="K795" s="5"/>
    </row>
    <row r="796">
      <c r="K796" s="5"/>
    </row>
    <row r="797">
      <c r="K797" s="5"/>
    </row>
    <row r="798">
      <c r="K798" s="5"/>
    </row>
    <row r="799">
      <c r="K799" s="5"/>
    </row>
    <row r="800">
      <c r="K800" s="5"/>
    </row>
    <row r="801">
      <c r="K801" s="5"/>
    </row>
    <row r="802">
      <c r="K802" s="5"/>
    </row>
    <row r="803">
      <c r="K803" s="5"/>
    </row>
    <row r="804">
      <c r="K804" s="5"/>
    </row>
    <row r="805">
      <c r="K805" s="5"/>
    </row>
    <row r="806">
      <c r="K806" s="5"/>
    </row>
    <row r="807">
      <c r="K807" s="5"/>
    </row>
    <row r="808">
      <c r="K808" s="5"/>
    </row>
    <row r="809">
      <c r="K809" s="5"/>
    </row>
    <row r="810">
      <c r="K810" s="5"/>
    </row>
    <row r="811">
      <c r="K811" s="5"/>
    </row>
    <row r="812">
      <c r="K812" s="5"/>
    </row>
    <row r="813">
      <c r="K813" s="5"/>
    </row>
    <row r="814">
      <c r="K814" s="5"/>
    </row>
    <row r="815">
      <c r="K815" s="5"/>
    </row>
    <row r="816">
      <c r="K816" s="5"/>
    </row>
    <row r="817">
      <c r="K817" s="5"/>
    </row>
    <row r="818">
      <c r="K818" s="5"/>
    </row>
    <row r="819">
      <c r="K819" s="5"/>
    </row>
    <row r="820">
      <c r="K820" s="5"/>
    </row>
    <row r="821">
      <c r="K821" s="5"/>
    </row>
    <row r="822">
      <c r="K822" s="5"/>
    </row>
    <row r="823">
      <c r="K823" s="5"/>
    </row>
    <row r="824">
      <c r="K824" s="5"/>
    </row>
    <row r="825">
      <c r="K825" s="5"/>
    </row>
    <row r="826">
      <c r="K826" s="5"/>
    </row>
    <row r="827">
      <c r="K827" s="5"/>
    </row>
    <row r="828">
      <c r="K828" s="5"/>
    </row>
    <row r="829">
      <c r="K829" s="5"/>
    </row>
    <row r="830">
      <c r="K830" s="5"/>
    </row>
    <row r="831">
      <c r="K831" s="5"/>
    </row>
    <row r="832">
      <c r="K832" s="5"/>
    </row>
    <row r="833">
      <c r="K833" s="5"/>
    </row>
    <row r="834">
      <c r="K834" s="5"/>
    </row>
    <row r="835">
      <c r="K835" s="5"/>
    </row>
    <row r="836">
      <c r="K836" s="5"/>
    </row>
    <row r="837">
      <c r="K837" s="5"/>
    </row>
    <row r="838">
      <c r="K838" s="5"/>
    </row>
    <row r="839">
      <c r="K839" s="5"/>
    </row>
    <row r="840">
      <c r="K840" s="5"/>
    </row>
    <row r="841">
      <c r="K841" s="5"/>
    </row>
    <row r="842">
      <c r="K842" s="5"/>
    </row>
    <row r="843">
      <c r="K843" s="5"/>
    </row>
    <row r="844">
      <c r="K844" s="5"/>
    </row>
    <row r="845">
      <c r="K845" s="5"/>
    </row>
    <row r="846">
      <c r="K846" s="5"/>
    </row>
    <row r="847">
      <c r="K847" s="5"/>
    </row>
    <row r="848">
      <c r="K848" s="5"/>
    </row>
    <row r="849">
      <c r="K849" s="5"/>
    </row>
    <row r="850">
      <c r="K850" s="5"/>
    </row>
    <row r="851">
      <c r="K851" s="5"/>
    </row>
    <row r="852">
      <c r="K852" s="5"/>
    </row>
    <row r="853">
      <c r="K853" s="5"/>
    </row>
    <row r="854">
      <c r="K854" s="5"/>
    </row>
    <row r="855">
      <c r="K855" s="5"/>
    </row>
    <row r="856">
      <c r="K856" s="5"/>
    </row>
    <row r="857">
      <c r="K857" s="5"/>
    </row>
    <row r="858">
      <c r="K858" s="5"/>
    </row>
    <row r="859">
      <c r="K859" s="5"/>
    </row>
    <row r="860">
      <c r="K860" s="5"/>
    </row>
    <row r="861">
      <c r="K861" s="5"/>
    </row>
    <row r="862">
      <c r="K862" s="5"/>
    </row>
    <row r="863">
      <c r="K863" s="5"/>
    </row>
    <row r="864">
      <c r="K864" s="5"/>
    </row>
    <row r="865">
      <c r="K865" s="5"/>
    </row>
    <row r="866">
      <c r="K866" s="5"/>
    </row>
    <row r="867">
      <c r="K867" s="5"/>
    </row>
    <row r="868">
      <c r="K868" s="5"/>
    </row>
    <row r="869">
      <c r="K869" s="5"/>
    </row>
    <row r="870">
      <c r="K870" s="5"/>
    </row>
    <row r="871">
      <c r="K871" s="5"/>
    </row>
    <row r="872">
      <c r="K872" s="5"/>
    </row>
    <row r="873">
      <c r="K873" s="5"/>
    </row>
    <row r="874">
      <c r="K874" s="5"/>
    </row>
    <row r="875">
      <c r="K875" s="5"/>
    </row>
    <row r="876">
      <c r="K876" s="5"/>
    </row>
    <row r="877">
      <c r="K877" s="5"/>
    </row>
    <row r="878">
      <c r="K878" s="5"/>
    </row>
    <row r="879">
      <c r="K879" s="5"/>
    </row>
    <row r="880">
      <c r="K880" s="5"/>
    </row>
    <row r="881">
      <c r="K881" s="5"/>
    </row>
    <row r="882">
      <c r="K882" s="5"/>
    </row>
    <row r="883">
      <c r="K883" s="5"/>
    </row>
    <row r="884">
      <c r="K884" s="5"/>
    </row>
    <row r="885">
      <c r="K885" s="5"/>
    </row>
    <row r="886">
      <c r="K886" s="5"/>
    </row>
    <row r="887">
      <c r="K887" s="5"/>
    </row>
    <row r="888">
      <c r="K888" s="5"/>
    </row>
    <row r="889">
      <c r="K889" s="5"/>
    </row>
    <row r="890">
      <c r="K890" s="5"/>
    </row>
    <row r="891">
      <c r="K891" s="5"/>
    </row>
    <row r="892">
      <c r="K892" s="5"/>
    </row>
    <row r="893">
      <c r="K893" s="5"/>
    </row>
    <row r="894">
      <c r="K894" s="5"/>
    </row>
    <row r="895">
      <c r="K895" s="5"/>
    </row>
    <row r="896">
      <c r="K896" s="5"/>
    </row>
    <row r="897">
      <c r="K897" s="5"/>
    </row>
    <row r="898">
      <c r="K898" s="5"/>
    </row>
    <row r="899">
      <c r="K899" s="5"/>
    </row>
    <row r="900">
      <c r="K900" s="5"/>
    </row>
    <row r="901">
      <c r="K901" s="5"/>
    </row>
    <row r="902">
      <c r="K902" s="5"/>
    </row>
    <row r="903">
      <c r="K903" s="5"/>
    </row>
    <row r="904">
      <c r="K904" s="5"/>
    </row>
    <row r="905">
      <c r="K905" s="5"/>
    </row>
    <row r="906">
      <c r="K906" s="5"/>
    </row>
    <row r="907">
      <c r="K907" s="5"/>
    </row>
    <row r="908">
      <c r="K908" s="5"/>
    </row>
    <row r="909">
      <c r="K909" s="5"/>
    </row>
    <row r="910">
      <c r="K910" s="5"/>
    </row>
    <row r="911">
      <c r="K911" s="5"/>
    </row>
    <row r="912">
      <c r="K912" s="5"/>
    </row>
    <row r="913">
      <c r="K913" s="5"/>
    </row>
    <row r="914">
      <c r="K914" s="5"/>
    </row>
    <row r="915">
      <c r="K915" s="5"/>
    </row>
    <row r="916">
      <c r="K916" s="5"/>
    </row>
    <row r="917">
      <c r="K917" s="5"/>
    </row>
    <row r="918">
      <c r="K918" s="5"/>
    </row>
    <row r="919">
      <c r="K919" s="5"/>
    </row>
    <row r="920">
      <c r="K920" s="5"/>
    </row>
    <row r="921">
      <c r="K921" s="5"/>
    </row>
    <row r="922">
      <c r="K922" s="5"/>
    </row>
    <row r="923">
      <c r="K923" s="5"/>
    </row>
    <row r="924">
      <c r="K924" s="5"/>
    </row>
    <row r="925">
      <c r="K925" s="5"/>
    </row>
    <row r="926">
      <c r="K926" s="5"/>
    </row>
    <row r="927">
      <c r="K927" s="5"/>
    </row>
    <row r="928">
      <c r="K928" s="5"/>
    </row>
    <row r="929">
      <c r="K929" s="5"/>
    </row>
    <row r="930">
      <c r="K930" s="5"/>
    </row>
    <row r="931">
      <c r="K931" s="5"/>
    </row>
    <row r="932">
      <c r="K932" s="5"/>
    </row>
    <row r="933">
      <c r="K933" s="5"/>
    </row>
    <row r="934">
      <c r="K934" s="5"/>
    </row>
    <row r="935">
      <c r="K935" s="5"/>
    </row>
    <row r="936">
      <c r="K936" s="5"/>
    </row>
    <row r="937">
      <c r="K937" s="5"/>
    </row>
    <row r="938">
      <c r="K938" s="5"/>
    </row>
    <row r="939">
      <c r="K939" s="5"/>
    </row>
    <row r="940">
      <c r="K940" s="5"/>
    </row>
    <row r="941">
      <c r="K941" s="5"/>
    </row>
    <row r="942">
      <c r="K942" s="5"/>
    </row>
    <row r="943">
      <c r="K943" s="5"/>
    </row>
    <row r="944">
      <c r="K944" s="5"/>
    </row>
    <row r="945">
      <c r="K945" s="5"/>
    </row>
    <row r="946">
      <c r="K946" s="5"/>
    </row>
    <row r="947">
      <c r="K947" s="5"/>
    </row>
    <row r="948">
      <c r="K948" s="5"/>
    </row>
    <row r="949">
      <c r="K949" s="5"/>
    </row>
    <row r="950">
      <c r="K950" s="5"/>
    </row>
    <row r="951">
      <c r="K951" s="5"/>
    </row>
    <row r="952">
      <c r="K952" s="5"/>
    </row>
    <row r="953">
      <c r="K953" s="5"/>
    </row>
    <row r="954">
      <c r="K954" s="5"/>
    </row>
    <row r="955">
      <c r="K955" s="5"/>
    </row>
    <row r="956">
      <c r="K956" s="5"/>
    </row>
    <row r="957">
      <c r="K957" s="5"/>
    </row>
    <row r="958">
      <c r="K958" s="5"/>
    </row>
    <row r="959">
      <c r="K959" s="5"/>
    </row>
    <row r="960">
      <c r="K960" s="5"/>
    </row>
    <row r="961">
      <c r="K961" s="5"/>
    </row>
    <row r="962">
      <c r="K962" s="5"/>
    </row>
    <row r="963">
      <c r="K963" s="5"/>
    </row>
    <row r="964">
      <c r="K964" s="5"/>
    </row>
    <row r="965">
      <c r="K965" s="5"/>
    </row>
    <row r="966">
      <c r="K966" s="5"/>
    </row>
    <row r="967">
      <c r="K967" s="5"/>
    </row>
    <row r="968">
      <c r="K968" s="5"/>
    </row>
    <row r="969">
      <c r="K969" s="5"/>
    </row>
    <row r="970">
      <c r="K970" s="5"/>
    </row>
    <row r="971">
      <c r="K971" s="5"/>
    </row>
    <row r="972">
      <c r="K972" s="5"/>
    </row>
    <row r="973">
      <c r="K973" s="5"/>
    </row>
    <row r="974">
      <c r="K974" s="5"/>
    </row>
    <row r="975">
      <c r="K975" s="5"/>
    </row>
    <row r="976">
      <c r="K976" s="5"/>
    </row>
  </sheetData>
  <mergeCells count="8">
    <mergeCell ref="AC1:AD1"/>
    <mergeCell ref="AD13:AD14"/>
    <mergeCell ref="AE13:AE14"/>
    <mergeCell ref="A69:D69"/>
    <mergeCell ref="A70:D70"/>
    <mergeCell ref="Z70:AC70"/>
    <mergeCell ref="A119:D119"/>
    <mergeCell ref="A120:D120"/>
  </mergeCells>
  <conditionalFormatting sqref="O45">
    <cfRule type="expression" dxfId="3" priority="1">
      <formula>AND(O45&gt;0, O45&lt;=SMALL(FILTER($O$2:$O$100, $O$2:$O$100&gt;0), 3))</formula>
    </cfRule>
  </conditionalFormatting>
  <conditionalFormatting sqref="AB73:AB79">
    <cfRule type="expression" dxfId="3" priority="2">
      <formula>ISTEXT(AB73)</formula>
    </cfRule>
  </conditionalFormatting>
  <conditionalFormatting sqref="AG73:AG83">
    <cfRule type="expression" dxfId="3" priority="3">
      <formula>ISTEXT(AG73)</formula>
    </cfRule>
  </conditionalFormatting>
  <conditionalFormatting sqref="S2:U45">
    <cfRule type="beginsWith" dxfId="0" priority="4" operator="beginsWith" text="G">
      <formula>LEFT((S2),LEN("G"))=("G")</formula>
    </cfRule>
  </conditionalFormatting>
  <conditionalFormatting sqref="S2:U45">
    <cfRule type="beginsWith" dxfId="2" priority="5" operator="beginsWith" text="E">
      <formula>LEFT((S2),LEN("E"))=("E")</formula>
    </cfRule>
  </conditionalFormatting>
  <conditionalFormatting sqref="V2:V45">
    <cfRule type="expression" dxfId="0" priority="6">
      <formula>V2=J2</formula>
    </cfRule>
  </conditionalFormatting>
  <conditionalFormatting sqref="V2:V45">
    <cfRule type="expression" dxfId="2" priority="7">
      <formula>V2&lt;&gt;J2</formula>
    </cfRule>
  </conditionalFormatting>
  <conditionalFormatting sqref="AD4:AE11">
    <cfRule type="expression" dxfId="1" priority="8">
      <formula>$AE4="Y"</formula>
    </cfRule>
  </conditionalFormatting>
  <conditionalFormatting sqref="AD4:AE11">
    <cfRule type="expression" dxfId="2" priority="9">
      <formula>$AE4="N"</formula>
    </cfRule>
  </conditionalFormatting>
  <printOptions gridLines="1" horizontalCentered="1"/>
  <pageMargins bottom="0.75" footer="0.0" header="0.0" left="0.25" right="0.25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7.38"/>
    <col customWidth="1" min="3" max="4" width="8.88"/>
    <col customWidth="1" min="5" max="5" width="5.13"/>
    <col customWidth="1" min="6" max="6" width="26.63"/>
    <col customWidth="1" min="7" max="7" width="23.63"/>
    <col customWidth="1" min="8" max="8" width="19.25"/>
    <col customWidth="1" min="9" max="9" width="23.75"/>
    <col customWidth="1" min="10" max="10" width="17.25"/>
    <col customWidth="1" min="11" max="11" width="19.75"/>
    <col customWidth="1" min="12" max="12" width="8.5"/>
    <col customWidth="1" min="13" max="13" width="10.25"/>
    <col customWidth="1" min="14" max="14" width="6.0"/>
    <col customWidth="1" min="15" max="15" width="17.25"/>
    <col customWidth="1" min="16" max="16" width="14.88"/>
    <col customWidth="1" min="17" max="17" width="13.63"/>
    <col customWidth="1" min="18" max="18" width="19.88"/>
  </cols>
  <sheetData>
    <row r="1">
      <c r="A1" s="1" t="s">
        <v>1</v>
      </c>
      <c r="B1" s="1" t="s">
        <v>3</v>
      </c>
      <c r="C1" s="6" t="s">
        <v>5</v>
      </c>
      <c r="E1" s="9" t="s">
        <v>8</v>
      </c>
      <c r="F1" s="1" t="s">
        <v>11</v>
      </c>
      <c r="G1" s="1" t="s">
        <v>14</v>
      </c>
      <c r="H1" s="1" t="s">
        <v>16</v>
      </c>
      <c r="I1" s="1" t="s">
        <v>18</v>
      </c>
      <c r="J1" s="1" t="s">
        <v>19</v>
      </c>
      <c r="K1" s="6" t="s">
        <v>20</v>
      </c>
      <c r="L1" s="6" t="s">
        <v>5</v>
      </c>
      <c r="M1" s="6" t="s">
        <v>21</v>
      </c>
    </row>
    <row r="2">
      <c r="A2" s="19" t="str">
        <f>IFERROR(__xludf.DUMMYFUNCTION("IMPORTRANGE(""1uZFF2o7rrfB0YZtASdZnP52Ef50ZinvtOPb1Tbuq8J4"",""CheckIn!C1:D99"")"),"#REF!")</f>
        <v>#REF!</v>
      </c>
      <c r="B2" s="19"/>
      <c r="C2" s="19" t="str">
        <f t="shared" ref="C2:C76" si="1">iferror(VLOOKUP(A2,indirect("'" &amp; "Current" &amp; "'!$B:$T"),19,false),"")</f>
        <v/>
      </c>
      <c r="D2" s="32" t="str">
        <f t="shared" ref="D2:D24" si="2">IF(COUNTIF(A:A, A2) &gt; 1, "Duplicate", "")</f>
        <v/>
      </c>
      <c r="E2" s="30">
        <v>1.0</v>
      </c>
      <c r="F2" s="19" t="str">
        <f>IFERROR(__xludf.DUMMYFUNCTION("QUERY(A2:B99, ""Select A  where B = 1   order by A"")"),"#N/A")</f>
        <v>#N/A</v>
      </c>
      <c r="G2" s="19" t="str">
        <f>IFERROR(__xludf.DUMMYFUNCTION("QUERY($A2:$B99, ""Select A where B = 3 order by A"")"),"#N/A")</f>
        <v>#N/A</v>
      </c>
      <c r="H2" s="19" t="str">
        <f>IFERROR(__xludf.DUMMYFUNCTION("IFERROR(QUERY($A2:$B99, ""Select A where B = 4""),"""")"),"")</f>
        <v/>
      </c>
      <c r="I2" s="19" t="str">
        <f>IFERROR(__xludf.DUMMYFUNCTION("IFERROR(QUERY(Current!B5:F79, ""Select B where F = 0 order by B""), """")"),"Adrian Tay")</f>
        <v>Adrian Tay</v>
      </c>
      <c r="J2" s="19" t="str">
        <f>IFERROR(__xludf.DUMMYFUNCTION("iferror(QUERY($A2:$C99, ""Select A where B = 5 order by C""),"""")"),"")</f>
        <v/>
      </c>
      <c r="K2" s="19" t="str">
        <f>IFERROR(__xludf.DUMMYFUNCTION("iferror(QUERY($A2:$C99, ""Select A,C where B = 2 order by C""),"""")"),"")</f>
        <v/>
      </c>
      <c r="L2" s="19"/>
      <c r="M2" s="19" t="str">
        <f>if(P21&gt;0,1,"")</f>
        <v/>
      </c>
    </row>
    <row r="3">
      <c r="A3" s="19"/>
      <c r="B3" s="19"/>
      <c r="C3" s="19" t="str">
        <f t="shared" si="1"/>
        <v/>
      </c>
      <c r="D3" s="32" t="str">
        <f t="shared" si="2"/>
        <v/>
      </c>
      <c r="E3" s="19">
        <f t="shared" ref="E3:E76" si="3">E2+1</f>
        <v>2</v>
      </c>
      <c r="F3" s="19"/>
      <c r="G3" s="19"/>
      <c r="H3" s="19"/>
      <c r="I3" s="19" t="str">
        <f>IFERROR(__xludf.DUMMYFUNCTION("""COMPUTED_VALUE"""),"Alejandro Mejia")</f>
        <v>Alejandro Mejia</v>
      </c>
      <c r="J3" s="19"/>
      <c r="K3" s="19"/>
      <c r="L3" s="19"/>
      <c r="M3" s="19" t="str">
        <f t="shared" ref="M3:M28" si="4">if(M2="","",if(P$21&gt;M2,M2+1,""))</f>
        <v/>
      </c>
    </row>
    <row r="4">
      <c r="A4" s="19"/>
      <c r="B4" s="19"/>
      <c r="C4" s="19" t="str">
        <f t="shared" si="1"/>
        <v/>
      </c>
      <c r="D4" s="32" t="str">
        <f t="shared" si="2"/>
        <v/>
      </c>
      <c r="E4" s="19">
        <f t="shared" si="3"/>
        <v>3</v>
      </c>
      <c r="F4" s="19"/>
      <c r="G4" s="19"/>
      <c r="H4" s="19"/>
      <c r="I4" s="19" t="str">
        <f>IFERROR(__xludf.DUMMYFUNCTION("""COMPUTED_VALUE"""),"Alex Hou")</f>
        <v>Alex Hou</v>
      </c>
      <c r="J4" s="19"/>
      <c r="K4" s="19"/>
      <c r="L4" s="19"/>
      <c r="M4" s="19" t="str">
        <f t="shared" si="4"/>
        <v/>
      </c>
      <c r="O4" s="21"/>
      <c r="R4" s="46" t="s">
        <v>52</v>
      </c>
    </row>
    <row r="5">
      <c r="A5" s="19"/>
      <c r="B5" s="19"/>
      <c r="C5" s="19" t="str">
        <f t="shared" si="1"/>
        <v/>
      </c>
      <c r="D5" s="32" t="str">
        <f t="shared" si="2"/>
        <v/>
      </c>
      <c r="E5" s="19">
        <f t="shared" si="3"/>
        <v>4</v>
      </c>
      <c r="F5" s="19"/>
      <c r="G5" s="19"/>
      <c r="H5" s="19"/>
      <c r="I5" s="19" t="str">
        <f>IFERROR(__xludf.DUMMYFUNCTION("""COMPUTED_VALUE"""),"Allen Zhang")</f>
        <v>Allen Zhang</v>
      </c>
      <c r="J5" s="19"/>
      <c r="K5" s="19"/>
      <c r="L5" s="19"/>
      <c r="M5" s="19" t="str">
        <f t="shared" si="4"/>
        <v/>
      </c>
    </row>
    <row r="6">
      <c r="A6" s="19"/>
      <c r="B6" s="19"/>
      <c r="C6" s="19" t="str">
        <f t="shared" si="1"/>
        <v/>
      </c>
      <c r="D6" s="32" t="str">
        <f t="shared" si="2"/>
        <v/>
      </c>
      <c r="E6" s="19">
        <f t="shared" si="3"/>
        <v>5</v>
      </c>
      <c r="F6" s="19"/>
      <c r="G6" s="19"/>
      <c r="H6" s="19"/>
      <c r="I6" s="19" t="str">
        <f>IFERROR(__xludf.DUMMYFUNCTION("""COMPUTED_VALUE"""),"Andrew Wen")</f>
        <v>Andrew Wen</v>
      </c>
      <c r="J6" s="19"/>
      <c r="K6" s="19"/>
      <c r="L6" s="19"/>
      <c r="M6" s="19" t="str">
        <f t="shared" si="4"/>
        <v/>
      </c>
      <c r="O6" s="30" t="s">
        <v>53</v>
      </c>
      <c r="P6" s="19">
        <f>COUNTIF(F2:F99, "?*")</f>
        <v>0</v>
      </c>
      <c r="R6" s="32" t="str">
        <f>CONCATENATE( "*",P$14," Courts Full*")</f>
        <v>*0 Courts Full*</v>
      </c>
    </row>
    <row r="7">
      <c r="A7" s="19"/>
      <c r="B7" s="19"/>
      <c r="C7" s="19" t="str">
        <f t="shared" si="1"/>
        <v/>
      </c>
      <c r="D7" s="32" t="str">
        <f t="shared" si="2"/>
        <v/>
      </c>
      <c r="E7" s="19">
        <f t="shared" si="3"/>
        <v>6</v>
      </c>
      <c r="F7" s="19"/>
      <c r="G7" s="19"/>
      <c r="H7" s="19"/>
      <c r="I7" s="19" t="str">
        <f>IFERROR(__xludf.DUMMYFUNCTION("""COMPUTED_VALUE"""),"Andrew Yao")</f>
        <v>Andrew Yao</v>
      </c>
      <c r="J7" s="19"/>
      <c r="K7" s="19"/>
      <c r="L7" s="19"/>
      <c r="M7" s="19" t="str">
        <f t="shared" si="4"/>
        <v/>
      </c>
      <c r="O7" s="30" t="s">
        <v>56</v>
      </c>
      <c r="P7" s="19">
        <f>COUNTIF(K2:K99, "?*")</f>
        <v>0</v>
      </c>
      <c r="R7" s="32" t="str">
        <f>CONCATENATE(O$15," --- ",P$15)</f>
        <v>Playing --- 0</v>
      </c>
    </row>
    <row r="8">
      <c r="A8" s="19"/>
      <c r="B8" s="19"/>
      <c r="C8" s="19" t="str">
        <f t="shared" si="1"/>
        <v/>
      </c>
      <c r="D8" s="32" t="str">
        <f t="shared" si="2"/>
        <v/>
      </c>
      <c r="E8" s="19">
        <f t="shared" si="3"/>
        <v>7</v>
      </c>
      <c r="F8" s="19"/>
      <c r="G8" s="19"/>
      <c r="H8" s="19"/>
      <c r="I8" s="19" t="str">
        <f>IFERROR(__xludf.DUMMYFUNCTION("""COMPUTED_VALUE"""),"Art Hui")</f>
        <v>Art Hui</v>
      </c>
      <c r="J8" s="19"/>
      <c r="K8" s="19"/>
      <c r="L8" s="19"/>
      <c r="M8" s="19" t="str">
        <f t="shared" si="4"/>
        <v/>
      </c>
      <c r="O8" s="30" t="s">
        <v>58</v>
      </c>
      <c r="P8" s="19">
        <f>COUNTIF(H2:H99, "?*")</f>
        <v>0</v>
      </c>
      <c r="R8" s="32" t="str">
        <f>CONCATENATE(O$17," ------ ",P$17)</f>
        <v>Out ------ 0</v>
      </c>
    </row>
    <row r="9">
      <c r="A9" s="19"/>
      <c r="B9" s="19"/>
      <c r="C9" s="19" t="str">
        <f t="shared" si="1"/>
        <v/>
      </c>
      <c r="D9" s="32" t="str">
        <f t="shared" si="2"/>
        <v/>
      </c>
      <c r="E9" s="19">
        <f t="shared" si="3"/>
        <v>8</v>
      </c>
      <c r="F9" s="19"/>
      <c r="G9" s="19"/>
      <c r="H9" s="19"/>
      <c r="I9" s="19" t="str">
        <f>IFERROR(__xludf.DUMMYFUNCTION("""COMPUTED_VALUE"""),"Balaji Alahari")</f>
        <v>Balaji Alahari</v>
      </c>
      <c r="J9" s="19"/>
      <c r="K9" s="19"/>
      <c r="L9" s="19"/>
      <c r="M9" s="19" t="str">
        <f t="shared" si="4"/>
        <v/>
      </c>
      <c r="O9" s="30" t="s">
        <v>60</v>
      </c>
      <c r="P9" s="19">
        <f>COUNTIF(G2:G99, "?*")</f>
        <v>0</v>
      </c>
      <c r="R9" s="32" t="str">
        <f>CONCATENATE(O$18," ------ ",P$18)</f>
        <v>TBD ------ 75</v>
      </c>
    </row>
    <row r="10">
      <c r="A10" s="19"/>
      <c r="B10" s="19"/>
      <c r="C10" s="19" t="str">
        <f t="shared" si="1"/>
        <v/>
      </c>
      <c r="D10" s="32" t="str">
        <f t="shared" si="2"/>
        <v/>
      </c>
      <c r="E10" s="19">
        <f t="shared" si="3"/>
        <v>9</v>
      </c>
      <c r="F10" s="19"/>
      <c r="G10" s="19"/>
      <c r="H10" s="19"/>
      <c r="I10" s="19" t="str">
        <f>IFERROR(__xludf.DUMMYFUNCTION("""COMPUTED_VALUE"""),"Barathi Sundaram")</f>
        <v>Barathi Sundaram</v>
      </c>
      <c r="J10" s="19"/>
      <c r="K10" s="19"/>
      <c r="L10" s="19"/>
      <c r="M10" s="19" t="str">
        <f t="shared" si="4"/>
        <v/>
      </c>
      <c r="O10" s="30" t="s">
        <v>61</v>
      </c>
      <c r="P10" s="19">
        <f>COUNTIF(J2:J99, "?*")</f>
        <v>0</v>
      </c>
      <c r="R10" s="32" t="str">
        <f>CONCATENATE(O$19," ------ ",P$19)</f>
        <v>Total ------ 75</v>
      </c>
    </row>
    <row r="11">
      <c r="A11" s="19"/>
      <c r="B11" s="19"/>
      <c r="C11" s="19" t="str">
        <f t="shared" si="1"/>
        <v/>
      </c>
      <c r="D11" s="32" t="str">
        <f t="shared" si="2"/>
        <v/>
      </c>
      <c r="E11" s="19">
        <f t="shared" si="3"/>
        <v>10</v>
      </c>
      <c r="F11" s="19"/>
      <c r="G11" s="19"/>
      <c r="H11" s="19"/>
      <c r="I11" s="19" t="str">
        <f>IFERROR(__xludf.DUMMYFUNCTION("""COMPUTED_VALUE"""),"Basudev Thoppai Vidyasankar")</f>
        <v>Basudev Thoppai Vidyasankar</v>
      </c>
      <c r="J11" s="19"/>
      <c r="K11" s="19"/>
      <c r="L11" s="19"/>
      <c r="M11" s="19" t="str">
        <f t="shared" si="4"/>
        <v/>
      </c>
      <c r="O11" s="30" t="s">
        <v>62</v>
      </c>
      <c r="P11" s="19">
        <f>COUNTIF(I2:I99, "?*")</f>
        <v>75</v>
      </c>
      <c r="R11" s="32" t="str">
        <f>CONCATENATE(O$16," ---- ",P$16)</f>
        <v>Sitouts Required ---- 0</v>
      </c>
    </row>
    <row r="12">
      <c r="A12" s="19"/>
      <c r="B12" s="19"/>
      <c r="C12" s="19" t="str">
        <f t="shared" si="1"/>
        <v/>
      </c>
      <c r="D12" s="32" t="str">
        <f t="shared" si="2"/>
        <v/>
      </c>
      <c r="E12" s="19">
        <f t="shared" si="3"/>
        <v>11</v>
      </c>
      <c r="F12" s="19"/>
      <c r="G12" s="19"/>
      <c r="H12" s="19"/>
      <c r="I12" s="19" t="str">
        <f>IFERROR(__xludf.DUMMYFUNCTION("""COMPUTED_VALUE"""),"Camille Jung")</f>
        <v>Camille Jung</v>
      </c>
      <c r="J12" s="19"/>
      <c r="K12" s="19"/>
      <c r="L12" s="19"/>
      <c r="M12" s="19" t="str">
        <f t="shared" si="4"/>
        <v/>
      </c>
      <c r="O12" s="30" t="s">
        <v>65</v>
      </c>
      <c r="P12" s="19">
        <f>sum(P6:P11)</f>
        <v>75</v>
      </c>
      <c r="R12" s="32" t="str">
        <f>CONCATENATE(O$7," ---- ",P$7)</f>
        <v>Playing-Can Sit ---- 0</v>
      </c>
    </row>
    <row r="13">
      <c r="A13" s="19"/>
      <c r="B13" s="19"/>
      <c r="C13" s="19" t="str">
        <f t="shared" si="1"/>
        <v/>
      </c>
      <c r="D13" s="32" t="str">
        <f t="shared" si="2"/>
        <v/>
      </c>
      <c r="E13" s="19">
        <f t="shared" si="3"/>
        <v>12</v>
      </c>
      <c r="F13" s="19"/>
      <c r="G13" s="19"/>
      <c r="H13" s="19"/>
      <c r="I13" s="19" t="str">
        <f>IFERROR(__xludf.DUMMYFUNCTION("""COMPUTED_VALUE"""),"Charles Choi")</f>
        <v>Charles Choi</v>
      </c>
      <c r="J13" s="19"/>
      <c r="K13" s="19"/>
      <c r="L13" s="19"/>
      <c r="M13" s="19" t="str">
        <f t="shared" si="4"/>
        <v/>
      </c>
      <c r="R13" s="53" t="str">
        <f>IF(AND(MOD(NOW(),1) &gt;= S13, P7&gt;=P21), "*We have enough Sitouts*", IF(MOD(NOW(),1) &gt;= S13, "*We need more sitouts*", ""))</f>
        <v>*We have enough Sitouts*</v>
      </c>
      <c r="S13" s="56">
        <v>0.4513888888888889</v>
      </c>
    </row>
    <row r="14">
      <c r="A14" s="19"/>
      <c r="B14" s="19"/>
      <c r="C14" s="19" t="str">
        <f t="shared" si="1"/>
        <v/>
      </c>
      <c r="D14" s="32" t="str">
        <f t="shared" si="2"/>
        <v/>
      </c>
      <c r="E14" s="19">
        <f t="shared" si="3"/>
        <v>13</v>
      </c>
      <c r="F14" s="19"/>
      <c r="G14" s="19"/>
      <c r="H14" s="19"/>
      <c r="I14" s="19" t="str">
        <f>IFERROR(__xludf.DUMMYFUNCTION("""COMPUTED_VALUE"""),"Chinna Ponnaganti")</f>
        <v>Chinna Ponnaganti</v>
      </c>
      <c r="J14" s="19"/>
      <c r="K14" s="19"/>
      <c r="L14" s="19"/>
      <c r="M14" s="19" t="str">
        <f t="shared" si="4"/>
        <v/>
      </c>
      <c r="O14" s="30" t="s">
        <v>69</v>
      </c>
      <c r="P14" s="19">
        <f>if(rounddown(P15/4,0)&gt;8,8,rounddown(P15/4,0))</f>
        <v>0</v>
      </c>
    </row>
    <row r="15">
      <c r="A15" s="19"/>
      <c r="B15" s="19"/>
      <c r="C15" s="19" t="str">
        <f t="shared" si="1"/>
        <v/>
      </c>
      <c r="D15" s="32" t="str">
        <f t="shared" si="2"/>
        <v/>
      </c>
      <c r="E15" s="19">
        <f t="shared" si="3"/>
        <v>14</v>
      </c>
      <c r="F15" s="19"/>
      <c r="G15" s="19"/>
      <c r="H15" s="19"/>
      <c r="I15" s="19" t="str">
        <f>IFERROR(__xludf.DUMMYFUNCTION("""COMPUTED_VALUE"""),"Cid Macaraeg")</f>
        <v>Cid Macaraeg</v>
      </c>
      <c r="J15" s="19"/>
      <c r="K15" s="19"/>
      <c r="L15" s="19"/>
      <c r="M15" s="19" t="str">
        <f t="shared" si="4"/>
        <v/>
      </c>
      <c r="O15" s="30" t="s">
        <v>53</v>
      </c>
      <c r="P15" s="19">
        <f>P6+P7</f>
        <v>0</v>
      </c>
      <c r="T15" s="57"/>
    </row>
    <row r="16">
      <c r="A16" s="19"/>
      <c r="B16" s="19"/>
      <c r="C16" s="19" t="str">
        <f t="shared" si="1"/>
        <v/>
      </c>
      <c r="D16" s="32" t="str">
        <f t="shared" si="2"/>
        <v/>
      </c>
      <c r="E16" s="19">
        <f t="shared" si="3"/>
        <v>15</v>
      </c>
      <c r="F16" s="19"/>
      <c r="G16" s="19"/>
      <c r="H16" s="19"/>
      <c r="I16" s="19" t="str">
        <f>IFERROR(__xludf.DUMMYFUNCTION("""COMPUTED_VALUE"""),"Coco Yan")</f>
        <v>Coco Yan</v>
      </c>
      <c r="J16" s="19"/>
      <c r="K16" s="19"/>
      <c r="L16" s="19"/>
      <c r="M16" s="19" t="str">
        <f t="shared" si="4"/>
        <v/>
      </c>
      <c r="O16" s="30" t="s">
        <v>71</v>
      </c>
      <c r="P16" s="19">
        <f>P21</f>
        <v>0</v>
      </c>
      <c r="Q16" s="57"/>
      <c r="R16" s="54" t="s">
        <v>72</v>
      </c>
      <c r="T16" s="57"/>
    </row>
    <row r="17">
      <c r="A17" s="30"/>
      <c r="B17" s="19"/>
      <c r="C17" s="19" t="str">
        <f t="shared" si="1"/>
        <v/>
      </c>
      <c r="D17" s="32" t="str">
        <f t="shared" si="2"/>
        <v/>
      </c>
      <c r="E17" s="19">
        <f t="shared" si="3"/>
        <v>16</v>
      </c>
      <c r="F17" s="19"/>
      <c r="G17" s="19"/>
      <c r="H17" s="19"/>
      <c r="I17" s="19" t="str">
        <f>IFERROR(__xludf.DUMMYFUNCTION("""COMPUTED_VALUE"""),"Darren Wong")</f>
        <v>Darren Wong</v>
      </c>
      <c r="J17" s="19"/>
      <c r="K17" s="19"/>
      <c r="L17" s="19"/>
      <c r="M17" s="19" t="str">
        <f t="shared" si="4"/>
        <v/>
      </c>
      <c r="O17" s="30" t="s">
        <v>60</v>
      </c>
      <c r="P17" s="19">
        <f>P9+P8+P10</f>
        <v>0</v>
      </c>
      <c r="Q17" s="57"/>
      <c r="R17" s="58">
        <v>46382.0</v>
      </c>
    </row>
    <row r="18">
      <c r="A18" s="19"/>
      <c r="B18" s="19"/>
      <c r="C18" s="19" t="str">
        <f t="shared" si="1"/>
        <v/>
      </c>
      <c r="D18" s="32" t="str">
        <f t="shared" si="2"/>
        <v/>
      </c>
      <c r="E18" s="19">
        <f t="shared" si="3"/>
        <v>17</v>
      </c>
      <c r="F18" s="19"/>
      <c r="G18" s="19"/>
      <c r="H18" s="19"/>
      <c r="I18" s="19" t="str">
        <f>IFERROR(__xludf.DUMMYFUNCTION("""COMPUTED_VALUE"""),"David Shin")</f>
        <v>David Shin</v>
      </c>
      <c r="J18" s="19"/>
      <c r="K18" s="19"/>
      <c r="L18" s="19"/>
      <c r="M18" s="19" t="str">
        <f t="shared" si="4"/>
        <v/>
      </c>
      <c r="O18" s="30" t="s">
        <v>62</v>
      </c>
      <c r="P18" s="19">
        <f>P11</f>
        <v>75</v>
      </c>
      <c r="Q18" s="57"/>
    </row>
    <row r="19">
      <c r="A19" s="19"/>
      <c r="B19" s="19"/>
      <c r="C19" s="19" t="str">
        <f t="shared" si="1"/>
        <v/>
      </c>
      <c r="D19" s="32" t="str">
        <f t="shared" si="2"/>
        <v/>
      </c>
      <c r="E19" s="19">
        <f t="shared" si="3"/>
        <v>18</v>
      </c>
      <c r="F19" s="19"/>
      <c r="G19" s="19"/>
      <c r="H19" s="19"/>
      <c r="I19" s="19" t="str">
        <f>IFERROR(__xludf.DUMMYFUNCTION("""COMPUTED_VALUE"""),"Elayaraja Thangaraj")</f>
        <v>Elayaraja Thangaraj</v>
      </c>
      <c r="J19" s="19"/>
      <c r="K19" s="19"/>
      <c r="L19" s="19"/>
      <c r="M19" s="19" t="str">
        <f t="shared" si="4"/>
        <v/>
      </c>
      <c r="O19" s="30" t="s">
        <v>65</v>
      </c>
      <c r="P19" s="19">
        <f>P15+P17+P18</f>
        <v>75</v>
      </c>
      <c r="Q19" s="32" t="str">
        <f>if(P19&gt;75,"Check duplicates","")</f>
        <v/>
      </c>
      <c r="R19" s="54" t="s">
        <v>75</v>
      </c>
    </row>
    <row r="20">
      <c r="A20" s="19"/>
      <c r="B20" s="19"/>
      <c r="C20" s="19" t="str">
        <f t="shared" si="1"/>
        <v/>
      </c>
      <c r="D20" s="32" t="str">
        <f t="shared" si="2"/>
        <v/>
      </c>
      <c r="E20" s="19">
        <f t="shared" si="3"/>
        <v>19</v>
      </c>
      <c r="F20" s="19"/>
      <c r="G20" s="19"/>
      <c r="H20" s="19"/>
      <c r="I20" s="19" t="str">
        <f>IFERROR(__xludf.DUMMYFUNCTION("""COMPUTED_VALUE"""),"Eric Pan")</f>
        <v>Eric Pan</v>
      </c>
      <c r="J20" s="19"/>
      <c r="K20" s="19"/>
      <c r="L20" s="19"/>
      <c r="M20" s="19" t="str">
        <f t="shared" si="4"/>
        <v/>
      </c>
      <c r="R20" s="60">
        <f>Current!C1+7</f>
        <v>46207</v>
      </c>
      <c r="T20" s="60"/>
    </row>
    <row r="21">
      <c r="A21" s="19"/>
      <c r="B21" s="19"/>
      <c r="C21" s="19" t="str">
        <f t="shared" si="1"/>
        <v/>
      </c>
      <c r="D21" s="32" t="str">
        <f t="shared" si="2"/>
        <v/>
      </c>
      <c r="E21" s="19">
        <f t="shared" si="3"/>
        <v>20</v>
      </c>
      <c r="F21" s="19"/>
      <c r="G21" s="19"/>
      <c r="H21" s="19"/>
      <c r="I21" s="19" t="str">
        <f>IFERROR(__xludf.DUMMYFUNCTION("""COMPUTED_VALUE"""),"Eric Tan")</f>
        <v>Eric Tan</v>
      </c>
      <c r="J21" s="19"/>
      <c r="K21" s="19"/>
      <c r="L21" s="19"/>
      <c r="M21" s="19" t="str">
        <f t="shared" si="4"/>
        <v/>
      </c>
      <c r="O21" s="61" t="s">
        <v>71</v>
      </c>
      <c r="P21" s="19">
        <f>max(mod(sum(P6:P7),4),sum(P6:P7)-32)</f>
        <v>0</v>
      </c>
    </row>
    <row r="22">
      <c r="A22" s="19"/>
      <c r="B22" s="19"/>
      <c r="C22" s="19" t="str">
        <f t="shared" si="1"/>
        <v/>
      </c>
      <c r="D22" s="32" t="str">
        <f t="shared" si="2"/>
        <v/>
      </c>
      <c r="E22" s="19">
        <f t="shared" si="3"/>
        <v>21</v>
      </c>
      <c r="F22" s="19"/>
      <c r="G22" s="19"/>
      <c r="H22" s="19"/>
      <c r="I22" s="19" t="str">
        <f>IFERROR(__xludf.DUMMYFUNCTION("""COMPUTED_VALUE"""),"Erik Hoeckmann")</f>
        <v>Erik Hoeckmann</v>
      </c>
      <c r="J22" s="19"/>
      <c r="K22" s="19"/>
      <c r="L22" s="19"/>
      <c r="M22" s="19" t="str">
        <f t="shared" si="4"/>
        <v/>
      </c>
    </row>
    <row r="23">
      <c r="A23" s="19"/>
      <c r="B23" s="19"/>
      <c r="C23" s="19" t="str">
        <f t="shared" si="1"/>
        <v/>
      </c>
      <c r="D23" s="32" t="str">
        <f t="shared" si="2"/>
        <v/>
      </c>
      <c r="E23" s="19">
        <f t="shared" si="3"/>
        <v>22</v>
      </c>
      <c r="F23" s="19"/>
      <c r="G23" s="19"/>
      <c r="H23" s="19"/>
      <c r="I23" s="19" t="str">
        <f>IFERROR(__xludf.DUMMYFUNCTION("""COMPUTED_VALUE"""),"Ethan Gu")</f>
        <v>Ethan Gu</v>
      </c>
      <c r="J23" s="19"/>
      <c r="K23" s="19"/>
      <c r="L23" s="19"/>
      <c r="M23" s="19" t="str">
        <f t="shared" si="4"/>
        <v/>
      </c>
      <c r="O23" s="62" t="s">
        <v>79</v>
      </c>
    </row>
    <row r="24">
      <c r="A24" s="19"/>
      <c r="B24" s="19"/>
      <c r="C24" s="19" t="str">
        <f t="shared" si="1"/>
        <v/>
      </c>
      <c r="D24" s="32" t="str">
        <f t="shared" si="2"/>
        <v/>
      </c>
      <c r="E24" s="19">
        <f t="shared" si="3"/>
        <v>23</v>
      </c>
      <c r="F24" s="19"/>
      <c r="G24" s="19"/>
      <c r="H24" s="19"/>
      <c r="I24" s="19" t="str">
        <f>IFERROR(__xludf.DUMMYFUNCTION("""COMPUTED_VALUE"""),"Frank Moon")</f>
        <v>Frank Moon</v>
      </c>
      <c r="J24" s="19"/>
      <c r="K24" s="19"/>
      <c r="L24" s="59"/>
      <c r="M24" s="19" t="str">
        <f t="shared" si="4"/>
        <v/>
      </c>
      <c r="O24" s="63" t="s">
        <v>81</v>
      </c>
      <c r="P24" s="63" t="s">
        <v>82</v>
      </c>
      <c r="Q24" s="63" t="s">
        <v>83</v>
      </c>
      <c r="R24" s="63" t="s">
        <v>84</v>
      </c>
      <c r="S24" s="63" t="s">
        <v>85</v>
      </c>
      <c r="T24" s="63" t="s">
        <v>86</v>
      </c>
    </row>
    <row r="25">
      <c r="A25" s="19"/>
      <c r="B25" s="19"/>
      <c r="C25" s="19" t="str">
        <f t="shared" si="1"/>
        <v/>
      </c>
      <c r="E25" s="19">
        <f t="shared" si="3"/>
        <v>24</v>
      </c>
      <c r="F25" s="19"/>
      <c r="G25" s="19"/>
      <c r="H25" s="19"/>
      <c r="I25" s="19" t="str">
        <f>IFERROR(__xludf.DUMMYFUNCTION("""COMPUTED_VALUE"""),"Herman Au")</f>
        <v>Herman Au</v>
      </c>
      <c r="J25" s="19"/>
      <c r="K25" s="19"/>
      <c r="L25" s="19"/>
      <c r="M25" s="19" t="str">
        <f t="shared" si="4"/>
        <v/>
      </c>
      <c r="O25" s="64" t="str">
        <f>IFERROR(__xludf.DUMMYFUNCTION("Query(IMPORTRANGE(""1uZFF2o7rrfB0YZtASdZnP52Ef50ZinvtOPb1Tbuq8J4"",""Vacations!B2:E9999""),""Select Col1,Col2, Col3, Col4 where Col3 &lt;= date '"" &amp;TEXT(R20, ""YYYY-MM-DD"")&amp; ""' and Col4 &gt;= date '"" &amp;TEXT(R20, ""YYYY-MM-DD"")&amp; ""'   "")"),"#REF!")</f>
        <v>#REF!</v>
      </c>
      <c r="P25" s="65"/>
      <c r="Q25" s="58"/>
      <c r="R25" s="58"/>
      <c r="S25" s="43" t="str">
        <f t="shared" ref="S25:S49" si="5">if(isblank(O25),"",if(AND($R$20 &gt;= Q25, $R$20 &lt;= R25),"Yes","No"))</f>
        <v>No</v>
      </c>
      <c r="T25" s="43" t="str">
        <f t="shared" ref="T25:T46" si="6">if(isblank(O25),"",if(isna(vlookup(O25,A$2:A$76,1,false)),"No","Yes"))</f>
        <v>Yes</v>
      </c>
    </row>
    <row r="26">
      <c r="A26" s="19"/>
      <c r="B26" s="19"/>
      <c r="C26" s="19" t="str">
        <f t="shared" si="1"/>
        <v/>
      </c>
      <c r="E26" s="19">
        <f t="shared" si="3"/>
        <v>25</v>
      </c>
      <c r="F26" s="19"/>
      <c r="G26" s="19"/>
      <c r="H26" s="19"/>
      <c r="I26" s="19" t="str">
        <f>IFERROR(__xludf.DUMMYFUNCTION("""COMPUTED_VALUE"""),"Hongyuan Wen")</f>
        <v>Hongyuan Wen</v>
      </c>
      <c r="J26" s="19"/>
      <c r="K26" s="19"/>
      <c r="L26" s="19"/>
      <c r="M26" s="19" t="str">
        <f t="shared" si="4"/>
        <v/>
      </c>
      <c r="O26" s="19"/>
      <c r="P26" s="43"/>
      <c r="Q26" s="58"/>
      <c r="R26" s="58"/>
      <c r="S26" s="43" t="str">
        <f t="shared" si="5"/>
        <v/>
      </c>
      <c r="T26" s="43" t="str">
        <f t="shared" si="6"/>
        <v/>
      </c>
    </row>
    <row r="27">
      <c r="A27" s="19"/>
      <c r="B27" s="19"/>
      <c r="C27" s="19" t="str">
        <f t="shared" si="1"/>
        <v/>
      </c>
      <c r="D27" s="32" t="str">
        <f t="shared" ref="D27:D66" si="7">IF(COUNTIF(A:A, A27) &gt; 1, "Duplicate", "")</f>
        <v/>
      </c>
      <c r="E27" s="19">
        <f t="shared" si="3"/>
        <v>26</v>
      </c>
      <c r="F27" s="19"/>
      <c r="G27" s="19"/>
      <c r="H27" s="19"/>
      <c r="I27" s="19" t="str">
        <f>IFERROR(__xludf.DUMMYFUNCTION("""COMPUTED_VALUE"""),"Hubert J Sung")</f>
        <v>Hubert J Sung</v>
      </c>
      <c r="J27" s="19"/>
      <c r="K27" s="19"/>
      <c r="L27" s="19"/>
      <c r="M27" s="19" t="str">
        <f t="shared" si="4"/>
        <v/>
      </c>
      <c r="O27" s="30"/>
      <c r="P27" s="70"/>
      <c r="Q27" s="58"/>
      <c r="R27" s="58"/>
      <c r="S27" s="43" t="str">
        <f t="shared" si="5"/>
        <v/>
      </c>
      <c r="T27" s="43" t="str">
        <f t="shared" si="6"/>
        <v/>
      </c>
    </row>
    <row r="28">
      <c r="A28" s="19"/>
      <c r="B28" s="19"/>
      <c r="C28" s="19" t="str">
        <f t="shared" si="1"/>
        <v/>
      </c>
      <c r="D28" s="32" t="str">
        <f t="shared" si="7"/>
        <v/>
      </c>
      <c r="E28" s="19">
        <f t="shared" si="3"/>
        <v>27</v>
      </c>
      <c r="F28" s="19"/>
      <c r="G28" s="19"/>
      <c r="H28" s="19"/>
      <c r="I28" s="19" t="str">
        <f>IFERROR(__xludf.DUMMYFUNCTION("""COMPUTED_VALUE"""),"James Phan")</f>
        <v>James Phan</v>
      </c>
      <c r="J28" s="19"/>
      <c r="K28" s="19"/>
      <c r="L28" s="19"/>
      <c r="M28" s="19" t="str">
        <f t="shared" si="4"/>
        <v/>
      </c>
      <c r="O28" s="19"/>
      <c r="P28" s="43"/>
      <c r="Q28" s="58"/>
      <c r="R28" s="58"/>
      <c r="S28" s="43" t="str">
        <f t="shared" si="5"/>
        <v/>
      </c>
      <c r="T28" s="43" t="str">
        <f t="shared" si="6"/>
        <v/>
      </c>
    </row>
    <row r="29">
      <c r="A29" s="19"/>
      <c r="B29" s="19"/>
      <c r="C29" s="19" t="str">
        <f t="shared" si="1"/>
        <v/>
      </c>
      <c r="D29" s="32" t="str">
        <f t="shared" si="7"/>
        <v/>
      </c>
      <c r="E29" s="19">
        <f t="shared" si="3"/>
        <v>28</v>
      </c>
      <c r="F29" s="19"/>
      <c r="G29" s="19"/>
      <c r="H29" s="19"/>
      <c r="I29" s="19" t="str">
        <f>IFERROR(__xludf.DUMMYFUNCTION("""COMPUTED_VALUE"""),"Jaya Sogata")</f>
        <v>Jaya Sogata</v>
      </c>
      <c r="J29" s="19"/>
      <c r="K29" s="19"/>
      <c r="L29" s="19"/>
      <c r="M29" s="19"/>
      <c r="O29" s="30"/>
      <c r="P29" s="73"/>
      <c r="Q29" s="58"/>
      <c r="R29" s="58"/>
      <c r="S29" s="43" t="str">
        <f t="shared" si="5"/>
        <v/>
      </c>
      <c r="T29" s="43" t="str">
        <f t="shared" si="6"/>
        <v/>
      </c>
    </row>
    <row r="30">
      <c r="A30" s="19"/>
      <c r="B30" s="19"/>
      <c r="C30" s="19" t="str">
        <f t="shared" si="1"/>
        <v/>
      </c>
      <c r="D30" s="32" t="str">
        <f t="shared" si="7"/>
        <v/>
      </c>
      <c r="E30" s="19">
        <f t="shared" si="3"/>
        <v>29</v>
      </c>
      <c r="F30" s="19"/>
      <c r="G30" s="19"/>
      <c r="H30" s="19"/>
      <c r="I30" s="19" t="str">
        <f>IFERROR(__xludf.DUMMYFUNCTION("""COMPUTED_VALUE"""),"Jim Miao")</f>
        <v>Jim Miao</v>
      </c>
      <c r="J30" s="19"/>
      <c r="K30" s="19"/>
      <c r="L30" s="19"/>
      <c r="M30" s="19"/>
      <c r="O30" s="19"/>
      <c r="P30" s="43"/>
      <c r="Q30" s="58"/>
      <c r="R30" s="58"/>
      <c r="S30" s="43" t="str">
        <f t="shared" si="5"/>
        <v/>
      </c>
      <c r="T30" s="43" t="str">
        <f t="shared" si="6"/>
        <v/>
      </c>
    </row>
    <row r="31">
      <c r="A31" s="19"/>
      <c r="B31" s="19"/>
      <c r="C31" s="19" t="str">
        <f t="shared" si="1"/>
        <v/>
      </c>
      <c r="D31" s="32" t="str">
        <f t="shared" si="7"/>
        <v/>
      </c>
      <c r="E31" s="19">
        <f t="shared" si="3"/>
        <v>30</v>
      </c>
      <c r="F31" s="19"/>
      <c r="G31" s="19"/>
      <c r="H31" s="19"/>
      <c r="I31" s="19" t="str">
        <f>IFERROR(__xludf.DUMMYFUNCTION("""COMPUTED_VALUE"""),"Jimmy Awolesi")</f>
        <v>Jimmy Awolesi</v>
      </c>
      <c r="J31" s="19"/>
      <c r="K31" s="19"/>
      <c r="L31" s="19"/>
      <c r="M31" s="19"/>
      <c r="O31" s="19"/>
      <c r="P31" s="43"/>
      <c r="Q31" s="58"/>
      <c r="R31" s="58"/>
      <c r="S31" s="43" t="str">
        <f t="shared" si="5"/>
        <v/>
      </c>
      <c r="T31" s="43" t="str">
        <f t="shared" si="6"/>
        <v/>
      </c>
    </row>
    <row r="32">
      <c r="A32" s="19"/>
      <c r="B32" s="19"/>
      <c r="C32" s="19" t="str">
        <f t="shared" si="1"/>
        <v/>
      </c>
      <c r="D32" s="32" t="str">
        <f t="shared" si="7"/>
        <v/>
      </c>
      <c r="E32" s="19">
        <f t="shared" si="3"/>
        <v>31</v>
      </c>
      <c r="F32" s="19"/>
      <c r="G32" s="19"/>
      <c r="H32" s="19"/>
      <c r="I32" s="19" t="str">
        <f>IFERROR(__xludf.DUMMYFUNCTION("""COMPUTED_VALUE"""),"Joe Luzzi")</f>
        <v>Joe Luzzi</v>
      </c>
      <c r="J32" s="19"/>
      <c r="K32" s="19"/>
      <c r="L32" s="19"/>
      <c r="M32" s="19"/>
      <c r="O32" s="30"/>
      <c r="P32" s="43"/>
      <c r="Q32" s="58"/>
      <c r="R32" s="58"/>
      <c r="S32" s="43" t="str">
        <f t="shared" si="5"/>
        <v/>
      </c>
      <c r="T32" s="43" t="str">
        <f t="shared" si="6"/>
        <v/>
      </c>
    </row>
    <row r="33">
      <c r="A33" s="19"/>
      <c r="B33" s="19"/>
      <c r="C33" s="19" t="str">
        <f t="shared" si="1"/>
        <v/>
      </c>
      <c r="D33" s="32" t="str">
        <f t="shared" si="7"/>
        <v/>
      </c>
      <c r="E33" s="19">
        <f t="shared" si="3"/>
        <v>32</v>
      </c>
      <c r="F33" s="19"/>
      <c r="G33" s="19"/>
      <c r="H33" s="19"/>
      <c r="I33" s="19" t="str">
        <f>IFERROR(__xludf.DUMMYFUNCTION("""COMPUTED_VALUE"""),"Jonathan Phan")</f>
        <v>Jonathan Phan</v>
      </c>
      <c r="J33" s="19"/>
      <c r="K33" s="19"/>
      <c r="L33" s="19"/>
      <c r="M33" s="19"/>
      <c r="O33" s="19"/>
      <c r="P33" s="74"/>
      <c r="Q33" s="58"/>
      <c r="R33" s="58"/>
      <c r="S33" s="43" t="str">
        <f t="shared" si="5"/>
        <v/>
      </c>
      <c r="T33" s="43" t="str">
        <f t="shared" si="6"/>
        <v/>
      </c>
    </row>
    <row r="34">
      <c r="A34" s="19"/>
      <c r="B34" s="19"/>
      <c r="C34" s="19" t="str">
        <f t="shared" si="1"/>
        <v/>
      </c>
      <c r="D34" s="32" t="str">
        <f t="shared" si="7"/>
        <v/>
      </c>
      <c r="E34" s="19">
        <f t="shared" si="3"/>
        <v>33</v>
      </c>
      <c r="F34" s="19"/>
      <c r="G34" s="19"/>
      <c r="H34" s="19"/>
      <c r="I34" s="19" t="str">
        <f>IFERROR(__xludf.DUMMYFUNCTION("""COMPUTED_VALUE"""),"Jordan Tatang")</f>
        <v>Jordan Tatang</v>
      </c>
      <c r="J34" s="19"/>
      <c r="K34" s="19"/>
      <c r="L34" s="19"/>
      <c r="M34" s="19"/>
      <c r="O34" s="19"/>
      <c r="P34" s="43"/>
      <c r="Q34" s="58"/>
      <c r="R34" s="58"/>
      <c r="S34" s="43" t="str">
        <f t="shared" si="5"/>
        <v/>
      </c>
      <c r="T34" s="43" t="str">
        <f t="shared" si="6"/>
        <v/>
      </c>
    </row>
    <row r="35">
      <c r="A35" s="19"/>
      <c r="B35" s="19"/>
      <c r="C35" s="19" t="str">
        <f t="shared" si="1"/>
        <v/>
      </c>
      <c r="D35" s="32" t="str">
        <f t="shared" si="7"/>
        <v/>
      </c>
      <c r="E35" s="19">
        <f t="shared" si="3"/>
        <v>34</v>
      </c>
      <c r="F35" s="19"/>
      <c r="G35" s="19"/>
      <c r="H35" s="19"/>
      <c r="I35" s="19" t="str">
        <f>IFERROR(__xludf.DUMMYFUNCTION("""COMPUTED_VALUE"""),"Joyce Zhu")</f>
        <v>Joyce Zhu</v>
      </c>
      <c r="J35" s="19"/>
      <c r="K35" s="19"/>
      <c r="L35" s="19"/>
      <c r="M35" s="19"/>
      <c r="O35" s="19"/>
      <c r="P35" s="43"/>
      <c r="Q35" s="58"/>
      <c r="R35" s="58"/>
      <c r="S35" s="43" t="str">
        <f t="shared" si="5"/>
        <v/>
      </c>
      <c r="T35" s="43" t="str">
        <f t="shared" si="6"/>
        <v/>
      </c>
    </row>
    <row r="36">
      <c r="A36" s="19"/>
      <c r="B36" s="19"/>
      <c r="C36" s="19" t="str">
        <f t="shared" si="1"/>
        <v/>
      </c>
      <c r="D36" s="32" t="str">
        <f t="shared" si="7"/>
        <v/>
      </c>
      <c r="E36" s="19">
        <f t="shared" si="3"/>
        <v>35</v>
      </c>
      <c r="F36" s="19"/>
      <c r="G36" s="19"/>
      <c r="H36" s="19"/>
      <c r="I36" s="19" t="str">
        <f>IFERROR(__xludf.DUMMYFUNCTION("""COMPUTED_VALUE"""),"Kumar Palakeel")</f>
        <v>Kumar Palakeel</v>
      </c>
      <c r="J36" s="19"/>
      <c r="K36" s="19"/>
      <c r="L36" s="19"/>
      <c r="M36" s="19"/>
      <c r="O36" s="19"/>
      <c r="P36" s="43"/>
      <c r="Q36" s="58"/>
      <c r="R36" s="58"/>
      <c r="S36" s="43" t="str">
        <f t="shared" si="5"/>
        <v/>
      </c>
      <c r="T36" s="43" t="str">
        <f t="shared" si="6"/>
        <v/>
      </c>
    </row>
    <row r="37">
      <c r="A37" s="19"/>
      <c r="B37" s="19"/>
      <c r="C37" s="19" t="str">
        <f t="shared" si="1"/>
        <v/>
      </c>
      <c r="D37" s="32" t="str">
        <f t="shared" si="7"/>
        <v/>
      </c>
      <c r="E37" s="19">
        <f t="shared" si="3"/>
        <v>36</v>
      </c>
      <c r="F37" s="19"/>
      <c r="G37" s="19"/>
      <c r="H37" s="19"/>
      <c r="I37" s="19" t="str">
        <f>IFERROR(__xludf.DUMMYFUNCTION("""COMPUTED_VALUE"""),"Lam Bui")</f>
        <v>Lam Bui</v>
      </c>
      <c r="J37" s="19"/>
      <c r="K37" s="19"/>
      <c r="L37" s="19"/>
      <c r="M37" s="19"/>
      <c r="O37" s="19"/>
      <c r="P37" s="43"/>
      <c r="Q37" s="58"/>
      <c r="R37" s="58"/>
      <c r="S37" s="43" t="str">
        <f t="shared" si="5"/>
        <v/>
      </c>
      <c r="T37" s="43" t="str">
        <f t="shared" si="6"/>
        <v/>
      </c>
    </row>
    <row r="38">
      <c r="A38" s="19"/>
      <c r="B38" s="19"/>
      <c r="C38" s="19" t="str">
        <f t="shared" si="1"/>
        <v/>
      </c>
      <c r="D38" s="32" t="str">
        <f t="shared" si="7"/>
        <v/>
      </c>
      <c r="E38" s="19">
        <f t="shared" si="3"/>
        <v>37</v>
      </c>
      <c r="F38" s="19"/>
      <c r="G38" s="19"/>
      <c r="H38" s="19"/>
      <c r="I38" s="19" t="str">
        <f>IFERROR(__xludf.DUMMYFUNCTION("""COMPUTED_VALUE"""),"Leigh-Anh Nguyen")</f>
        <v>Leigh-Anh Nguyen</v>
      </c>
      <c r="J38" s="19"/>
      <c r="K38" s="19"/>
      <c r="L38" s="19"/>
      <c r="M38" s="19"/>
      <c r="O38" s="19"/>
      <c r="P38" s="43"/>
      <c r="Q38" s="58"/>
      <c r="R38" s="58"/>
      <c r="S38" s="43" t="str">
        <f t="shared" si="5"/>
        <v/>
      </c>
      <c r="T38" s="43" t="str">
        <f t="shared" si="6"/>
        <v/>
      </c>
    </row>
    <row r="39">
      <c r="A39" s="19"/>
      <c r="B39" s="19"/>
      <c r="C39" s="19" t="str">
        <f t="shared" si="1"/>
        <v/>
      </c>
      <c r="D39" s="32" t="str">
        <f t="shared" si="7"/>
        <v/>
      </c>
      <c r="E39" s="19">
        <f t="shared" si="3"/>
        <v>38</v>
      </c>
      <c r="F39" s="19"/>
      <c r="G39" s="19"/>
      <c r="H39" s="19"/>
      <c r="I39" s="19" t="str">
        <f>IFERROR(__xludf.DUMMYFUNCTION("""COMPUTED_VALUE"""),"Lenin Belangonda ")</f>
        <v>Lenin Belangonda </v>
      </c>
      <c r="J39" s="19"/>
      <c r="K39" s="19"/>
      <c r="L39" s="19"/>
      <c r="M39" s="19"/>
      <c r="O39" s="19"/>
      <c r="P39" s="43"/>
      <c r="Q39" s="58"/>
      <c r="R39" s="58"/>
      <c r="S39" s="43" t="str">
        <f t="shared" si="5"/>
        <v/>
      </c>
      <c r="T39" s="43" t="str">
        <f t="shared" si="6"/>
        <v/>
      </c>
    </row>
    <row r="40">
      <c r="A40" s="19"/>
      <c r="B40" s="19"/>
      <c r="C40" s="19" t="str">
        <f t="shared" si="1"/>
        <v/>
      </c>
      <c r="D40" s="32" t="str">
        <f t="shared" si="7"/>
        <v/>
      </c>
      <c r="E40" s="19">
        <f t="shared" si="3"/>
        <v>39</v>
      </c>
      <c r="F40" s="19"/>
      <c r="G40" s="19"/>
      <c r="H40" s="19"/>
      <c r="I40" s="19" t="str">
        <f>IFERROR(__xludf.DUMMYFUNCTION("""COMPUTED_VALUE"""),"Lloyd Sagar")</f>
        <v>Lloyd Sagar</v>
      </c>
      <c r="J40" s="19"/>
      <c r="K40" s="19"/>
      <c r="L40" s="19"/>
      <c r="M40" s="19"/>
      <c r="O40" s="19"/>
      <c r="P40" s="43"/>
      <c r="Q40" s="43"/>
      <c r="R40" s="43"/>
      <c r="S40" s="43" t="str">
        <f t="shared" si="5"/>
        <v/>
      </c>
      <c r="T40" s="43" t="str">
        <f t="shared" si="6"/>
        <v/>
      </c>
    </row>
    <row r="41">
      <c r="A41" s="19"/>
      <c r="B41" s="19"/>
      <c r="C41" s="19" t="str">
        <f t="shared" si="1"/>
        <v/>
      </c>
      <c r="D41" s="32" t="str">
        <f t="shared" si="7"/>
        <v/>
      </c>
      <c r="E41" s="19">
        <f t="shared" si="3"/>
        <v>40</v>
      </c>
      <c r="F41" s="19"/>
      <c r="G41" s="19"/>
      <c r="H41" s="19"/>
      <c r="I41" s="19" t="str">
        <f>IFERROR(__xludf.DUMMYFUNCTION("""COMPUTED_VALUE"""),"Luis Hsu")</f>
        <v>Luis Hsu</v>
      </c>
      <c r="J41" s="19"/>
      <c r="K41" s="19"/>
      <c r="L41" s="19"/>
      <c r="M41" s="19"/>
      <c r="O41" s="19"/>
      <c r="P41" s="43"/>
      <c r="Q41" s="43"/>
      <c r="R41" s="43"/>
      <c r="S41" s="43" t="str">
        <f t="shared" si="5"/>
        <v/>
      </c>
      <c r="T41" s="43" t="str">
        <f t="shared" si="6"/>
        <v/>
      </c>
    </row>
    <row r="42">
      <c r="A42" s="19"/>
      <c r="B42" s="19"/>
      <c r="C42" s="19" t="str">
        <f t="shared" si="1"/>
        <v/>
      </c>
      <c r="D42" s="32" t="str">
        <f t="shared" si="7"/>
        <v/>
      </c>
      <c r="E42" s="19">
        <f t="shared" si="3"/>
        <v>41</v>
      </c>
      <c r="F42" s="19"/>
      <c r="G42" s="19"/>
      <c r="H42" s="19"/>
      <c r="I42" s="19" t="str">
        <f>IFERROR(__xludf.DUMMYFUNCTION("""COMPUTED_VALUE"""),"Manish Anand")</f>
        <v>Manish Anand</v>
      </c>
      <c r="J42" s="19"/>
      <c r="K42" s="19"/>
      <c r="L42" s="19"/>
      <c r="M42" s="19"/>
      <c r="O42" s="19"/>
      <c r="P42" s="43"/>
      <c r="Q42" s="43"/>
      <c r="R42" s="43"/>
      <c r="S42" s="43" t="str">
        <f t="shared" si="5"/>
        <v/>
      </c>
      <c r="T42" s="43" t="str">
        <f t="shared" si="6"/>
        <v/>
      </c>
    </row>
    <row r="43">
      <c r="A43" s="19"/>
      <c r="B43" s="19"/>
      <c r="C43" s="19" t="str">
        <f t="shared" si="1"/>
        <v/>
      </c>
      <c r="D43" s="32" t="str">
        <f t="shared" si="7"/>
        <v/>
      </c>
      <c r="E43" s="19">
        <f t="shared" si="3"/>
        <v>42</v>
      </c>
      <c r="F43" s="19"/>
      <c r="G43" s="19"/>
      <c r="H43" s="19"/>
      <c r="I43" s="19" t="str">
        <f>IFERROR(__xludf.DUMMYFUNCTION("""COMPUTED_VALUE"""),"Manuel Rivera")</f>
        <v>Manuel Rivera</v>
      </c>
      <c r="J43" s="19"/>
      <c r="K43" s="19"/>
      <c r="L43" s="19"/>
      <c r="M43" s="19"/>
      <c r="O43" s="19"/>
      <c r="P43" s="43"/>
      <c r="Q43" s="43"/>
      <c r="R43" s="43"/>
      <c r="S43" s="43" t="str">
        <f t="shared" si="5"/>
        <v/>
      </c>
      <c r="T43" s="43" t="str">
        <f t="shared" si="6"/>
        <v/>
      </c>
    </row>
    <row r="44">
      <c r="A44" s="19"/>
      <c r="B44" s="19"/>
      <c r="C44" s="19" t="str">
        <f t="shared" si="1"/>
        <v/>
      </c>
      <c r="D44" s="32" t="str">
        <f t="shared" si="7"/>
        <v/>
      </c>
      <c r="E44" s="19">
        <f t="shared" si="3"/>
        <v>43</v>
      </c>
      <c r="F44" s="19"/>
      <c r="G44" s="19"/>
      <c r="H44" s="19"/>
      <c r="I44" s="19" t="str">
        <f>IFERROR(__xludf.DUMMYFUNCTION("""COMPUTED_VALUE"""),"Matthew Huang")</f>
        <v>Matthew Huang</v>
      </c>
      <c r="J44" s="19"/>
      <c r="K44" s="19"/>
      <c r="L44" s="19"/>
      <c r="M44" s="19"/>
      <c r="O44" s="19"/>
      <c r="P44" s="43"/>
      <c r="Q44" s="43"/>
      <c r="R44" s="43"/>
      <c r="S44" s="43" t="str">
        <f t="shared" si="5"/>
        <v/>
      </c>
      <c r="T44" s="43" t="str">
        <f t="shared" si="6"/>
        <v/>
      </c>
    </row>
    <row r="45">
      <c r="A45" s="19"/>
      <c r="B45" s="19"/>
      <c r="C45" s="19" t="str">
        <f t="shared" si="1"/>
        <v/>
      </c>
      <c r="D45" s="32" t="str">
        <f t="shared" si="7"/>
        <v/>
      </c>
      <c r="E45" s="19">
        <f t="shared" si="3"/>
        <v>44</v>
      </c>
      <c r="F45" s="19"/>
      <c r="G45" s="19"/>
      <c r="H45" s="19"/>
      <c r="I45" s="19" t="str">
        <f>IFERROR(__xludf.DUMMYFUNCTION("""COMPUTED_VALUE"""),"Mauricio Palacios")</f>
        <v>Mauricio Palacios</v>
      </c>
      <c r="J45" s="19"/>
      <c r="K45" s="19"/>
      <c r="L45" s="19"/>
      <c r="M45" s="19"/>
      <c r="O45" s="19"/>
      <c r="P45" s="43"/>
      <c r="Q45" s="43"/>
      <c r="R45" s="43"/>
      <c r="S45" s="43" t="str">
        <f t="shared" si="5"/>
        <v/>
      </c>
      <c r="T45" s="43" t="str">
        <f t="shared" si="6"/>
        <v/>
      </c>
    </row>
    <row r="46">
      <c r="A46" s="19"/>
      <c r="B46" s="19"/>
      <c r="C46" s="19" t="str">
        <f t="shared" si="1"/>
        <v/>
      </c>
      <c r="D46" s="32" t="str">
        <f t="shared" si="7"/>
        <v/>
      </c>
      <c r="E46" s="19">
        <f t="shared" si="3"/>
        <v>45</v>
      </c>
      <c r="F46" s="19"/>
      <c r="G46" s="19"/>
      <c r="H46" s="19"/>
      <c r="I46" s="19" t="str">
        <f>IFERROR(__xludf.DUMMYFUNCTION("""COMPUTED_VALUE"""),"Naveen Raj")</f>
        <v>Naveen Raj</v>
      </c>
      <c r="J46" s="19"/>
      <c r="K46" s="19"/>
      <c r="L46" s="19"/>
      <c r="M46" s="19"/>
      <c r="O46" s="19"/>
      <c r="P46" s="43"/>
      <c r="Q46" s="43"/>
      <c r="R46" s="43"/>
      <c r="S46" s="43" t="str">
        <f t="shared" si="5"/>
        <v/>
      </c>
      <c r="T46" s="43" t="str">
        <f t="shared" si="6"/>
        <v/>
      </c>
    </row>
    <row r="47">
      <c r="A47" s="19"/>
      <c r="B47" s="19"/>
      <c r="C47" s="19" t="str">
        <f t="shared" si="1"/>
        <v/>
      </c>
      <c r="D47" s="32" t="str">
        <f t="shared" si="7"/>
        <v/>
      </c>
      <c r="E47" s="19">
        <f t="shared" si="3"/>
        <v>46</v>
      </c>
      <c r="F47" s="19"/>
      <c r="G47" s="19"/>
      <c r="H47" s="19"/>
      <c r="I47" s="19" t="str">
        <f>IFERROR(__xludf.DUMMYFUNCTION("""COMPUTED_VALUE"""),"Nicole Ni")</f>
        <v>Nicole Ni</v>
      </c>
      <c r="J47" s="19"/>
      <c r="K47" s="19"/>
      <c r="L47" s="19"/>
      <c r="M47" s="19"/>
      <c r="O47" s="19"/>
      <c r="P47" s="43"/>
      <c r="Q47" s="43"/>
      <c r="R47" s="43"/>
      <c r="S47" s="43" t="str">
        <f t="shared" si="5"/>
        <v/>
      </c>
      <c r="T47" s="43" t="str">
        <f t="shared" ref="T47:T49" si="8">if(isblank(O47),"",if(isna(vlookup(O47,A$2:A$66,1,false)),"No","Yes"))</f>
        <v/>
      </c>
    </row>
    <row r="48">
      <c r="A48" s="19"/>
      <c r="B48" s="19"/>
      <c r="C48" s="19" t="str">
        <f t="shared" si="1"/>
        <v/>
      </c>
      <c r="D48" s="32" t="str">
        <f t="shared" si="7"/>
        <v/>
      </c>
      <c r="E48" s="19">
        <f t="shared" si="3"/>
        <v>47</v>
      </c>
      <c r="F48" s="19"/>
      <c r="G48" s="19"/>
      <c r="H48" s="19"/>
      <c r="I48" s="19" t="str">
        <f>IFERROR(__xludf.DUMMYFUNCTION("""COMPUTED_VALUE"""),"Oscar Bonilla")</f>
        <v>Oscar Bonilla</v>
      </c>
      <c r="J48" s="19"/>
      <c r="K48" s="19"/>
      <c r="L48" s="19"/>
      <c r="M48" s="19"/>
      <c r="O48" s="19"/>
      <c r="P48" s="43"/>
      <c r="Q48" s="43"/>
      <c r="R48" s="43"/>
      <c r="S48" s="43" t="str">
        <f t="shared" si="5"/>
        <v/>
      </c>
      <c r="T48" s="43" t="str">
        <f t="shared" si="8"/>
        <v/>
      </c>
    </row>
    <row r="49">
      <c r="A49" s="19"/>
      <c r="B49" s="19"/>
      <c r="C49" s="19" t="str">
        <f t="shared" si="1"/>
        <v/>
      </c>
      <c r="D49" s="32" t="str">
        <f t="shared" si="7"/>
        <v/>
      </c>
      <c r="E49" s="19">
        <f t="shared" si="3"/>
        <v>48</v>
      </c>
      <c r="F49" s="19"/>
      <c r="G49" s="19"/>
      <c r="H49" s="19"/>
      <c r="I49" s="19" t="str">
        <f>IFERROR(__xludf.DUMMYFUNCTION("""COMPUTED_VALUE"""),"Pavan Akkimsetty")</f>
        <v>Pavan Akkimsetty</v>
      </c>
      <c r="J49" s="19"/>
      <c r="K49" s="19"/>
      <c r="L49" s="19"/>
      <c r="M49" s="19"/>
      <c r="O49" s="19"/>
      <c r="P49" s="43"/>
      <c r="Q49" s="43"/>
      <c r="R49" s="43"/>
      <c r="S49" s="43" t="str">
        <f t="shared" si="5"/>
        <v/>
      </c>
      <c r="T49" s="43" t="str">
        <f t="shared" si="8"/>
        <v/>
      </c>
    </row>
    <row r="50">
      <c r="A50" s="19"/>
      <c r="B50" s="19"/>
      <c r="C50" s="19" t="str">
        <f t="shared" si="1"/>
        <v/>
      </c>
      <c r="D50" s="32" t="str">
        <f t="shared" si="7"/>
        <v/>
      </c>
      <c r="E50" s="19">
        <f t="shared" si="3"/>
        <v>49</v>
      </c>
      <c r="F50" s="19"/>
      <c r="G50" s="19"/>
      <c r="H50" s="19"/>
      <c r="I50" s="19" t="str">
        <f>IFERROR(__xludf.DUMMYFUNCTION("""COMPUTED_VALUE"""),"Pulkit Mathur")</f>
        <v>Pulkit Mathur</v>
      </c>
      <c r="J50" s="19"/>
      <c r="K50" s="19"/>
      <c r="L50" s="19"/>
      <c r="M50" s="19"/>
    </row>
    <row r="51">
      <c r="A51" s="19"/>
      <c r="B51" s="19"/>
      <c r="C51" s="19" t="str">
        <f t="shared" si="1"/>
        <v/>
      </c>
      <c r="D51" s="32" t="str">
        <f t="shared" si="7"/>
        <v/>
      </c>
      <c r="E51" s="19">
        <f t="shared" si="3"/>
        <v>50</v>
      </c>
      <c r="F51" s="19"/>
      <c r="G51" s="19"/>
      <c r="H51" s="19"/>
      <c r="I51" s="19" t="str">
        <f>IFERROR(__xludf.DUMMYFUNCTION("""COMPUTED_VALUE"""),"Rajasekar Ramasamy")</f>
        <v>Rajasekar Ramasamy</v>
      </c>
      <c r="J51" s="19"/>
      <c r="K51" s="19"/>
      <c r="L51" s="19"/>
      <c r="M51" s="19"/>
    </row>
    <row r="52">
      <c r="A52" s="19"/>
      <c r="B52" s="19"/>
      <c r="C52" s="19" t="str">
        <f t="shared" si="1"/>
        <v/>
      </c>
      <c r="D52" s="32" t="str">
        <f t="shared" si="7"/>
        <v/>
      </c>
      <c r="E52" s="19">
        <f t="shared" si="3"/>
        <v>51</v>
      </c>
      <c r="F52" s="19"/>
      <c r="G52" s="19"/>
      <c r="H52" s="19"/>
      <c r="I52" s="19" t="str">
        <f>IFERROR(__xludf.DUMMYFUNCTION("""COMPUTED_VALUE"""),"Rajesh Dorairaj")</f>
        <v>Rajesh Dorairaj</v>
      </c>
      <c r="J52" s="19"/>
      <c r="K52" s="19"/>
      <c r="L52" s="19"/>
      <c r="M52" s="19"/>
    </row>
    <row r="53">
      <c r="A53" s="19"/>
      <c r="B53" s="19"/>
      <c r="C53" s="19" t="str">
        <f t="shared" si="1"/>
        <v/>
      </c>
      <c r="D53" s="32" t="str">
        <f t="shared" si="7"/>
        <v/>
      </c>
      <c r="E53" s="19">
        <f t="shared" si="3"/>
        <v>52</v>
      </c>
      <c r="F53" s="19"/>
      <c r="G53" s="19"/>
      <c r="H53" s="19"/>
      <c r="I53" s="19" t="str">
        <f>IFERROR(__xludf.DUMMYFUNCTION("""COMPUTED_VALUE"""),"Ramesh Bandaru")</f>
        <v>Ramesh Bandaru</v>
      </c>
      <c r="J53" s="19"/>
      <c r="K53" s="19"/>
      <c r="L53" s="19"/>
      <c r="M53" s="19"/>
    </row>
    <row r="54">
      <c r="A54" s="19"/>
      <c r="B54" s="19"/>
      <c r="C54" s="19" t="str">
        <f t="shared" si="1"/>
        <v/>
      </c>
      <c r="D54" s="32" t="str">
        <f t="shared" si="7"/>
        <v/>
      </c>
      <c r="E54" s="19">
        <f t="shared" si="3"/>
        <v>53</v>
      </c>
      <c r="F54" s="19"/>
      <c r="G54" s="19"/>
      <c r="H54" s="19"/>
      <c r="I54" s="19" t="str">
        <f>IFERROR(__xludf.DUMMYFUNCTION("""COMPUTED_VALUE"""),"Ranjith Doraiswamy")</f>
        <v>Ranjith Doraiswamy</v>
      </c>
      <c r="J54" s="19"/>
      <c r="K54" s="19"/>
      <c r="L54" s="19"/>
      <c r="M54" s="19"/>
    </row>
    <row r="55">
      <c r="A55" s="19"/>
      <c r="B55" s="19"/>
      <c r="C55" s="19" t="str">
        <f t="shared" si="1"/>
        <v/>
      </c>
      <c r="D55" s="32" t="str">
        <f t="shared" si="7"/>
        <v/>
      </c>
      <c r="E55" s="19">
        <f t="shared" si="3"/>
        <v>54</v>
      </c>
      <c r="F55" s="19"/>
      <c r="G55" s="19"/>
      <c r="H55" s="19"/>
      <c r="I55" s="19" t="str">
        <f>IFERROR(__xludf.DUMMYFUNCTION("""COMPUTED_VALUE"""),"Robert Chang")</f>
        <v>Robert Chang</v>
      </c>
      <c r="J55" s="19"/>
      <c r="K55" s="19"/>
      <c r="L55" s="19"/>
      <c r="M55" s="19"/>
    </row>
    <row r="56">
      <c r="A56" s="19"/>
      <c r="B56" s="19"/>
      <c r="C56" s="19" t="str">
        <f t="shared" si="1"/>
        <v/>
      </c>
      <c r="D56" s="32" t="str">
        <f t="shared" si="7"/>
        <v/>
      </c>
      <c r="E56" s="19">
        <f t="shared" si="3"/>
        <v>55</v>
      </c>
      <c r="F56" s="19"/>
      <c r="G56" s="19"/>
      <c r="H56" s="19"/>
      <c r="I56" s="19" t="str">
        <f>IFERROR(__xludf.DUMMYFUNCTION("""COMPUTED_VALUE"""),"Ruben Ron")</f>
        <v>Ruben Ron</v>
      </c>
      <c r="J56" s="19"/>
      <c r="K56" s="19"/>
      <c r="L56" s="19"/>
      <c r="M56" s="19"/>
    </row>
    <row r="57">
      <c r="A57" s="19"/>
      <c r="B57" s="19"/>
      <c r="C57" s="19" t="str">
        <f t="shared" si="1"/>
        <v/>
      </c>
      <c r="D57" s="32" t="str">
        <f t="shared" si="7"/>
        <v/>
      </c>
      <c r="E57" s="19">
        <f t="shared" si="3"/>
        <v>56</v>
      </c>
      <c r="F57" s="19"/>
      <c r="G57" s="19"/>
      <c r="H57" s="19"/>
      <c r="I57" s="19" t="str">
        <f>IFERROR(__xludf.DUMMYFUNCTION("""COMPUTED_VALUE"""),"Rudy Tatang")</f>
        <v>Rudy Tatang</v>
      </c>
      <c r="J57" s="19"/>
      <c r="K57" s="19"/>
      <c r="L57" s="19"/>
      <c r="M57" s="19"/>
    </row>
    <row r="58">
      <c r="A58" s="19"/>
      <c r="B58" s="19"/>
      <c r="C58" s="19" t="str">
        <f t="shared" si="1"/>
        <v/>
      </c>
      <c r="D58" s="32" t="str">
        <f t="shared" si="7"/>
        <v/>
      </c>
      <c r="E58" s="19">
        <f t="shared" si="3"/>
        <v>57</v>
      </c>
      <c r="F58" s="19"/>
      <c r="G58" s="19"/>
      <c r="H58" s="19"/>
      <c r="I58" s="19" t="str">
        <f>IFERROR(__xludf.DUMMYFUNCTION("""COMPUTED_VALUE"""),"Sandeep Kamalon")</f>
        <v>Sandeep Kamalon</v>
      </c>
      <c r="J58" s="19"/>
      <c r="K58" s="19"/>
      <c r="L58" s="19"/>
      <c r="M58" s="19"/>
    </row>
    <row r="59">
      <c r="A59" s="19"/>
      <c r="B59" s="19"/>
      <c r="C59" s="19" t="str">
        <f t="shared" si="1"/>
        <v/>
      </c>
      <c r="D59" s="32" t="str">
        <f t="shared" si="7"/>
        <v/>
      </c>
      <c r="E59" s="19">
        <f t="shared" si="3"/>
        <v>58</v>
      </c>
      <c r="F59" s="19"/>
      <c r="G59" s="19"/>
      <c r="H59" s="19"/>
      <c r="I59" s="19" t="str">
        <f>IFERROR(__xludf.DUMMYFUNCTION("""COMPUTED_VALUE"""),"Sandy Weyant")</f>
        <v>Sandy Weyant</v>
      </c>
      <c r="J59" s="19"/>
      <c r="K59" s="19"/>
      <c r="L59" s="19"/>
      <c r="M59" s="19"/>
    </row>
    <row r="60">
      <c r="A60" s="19"/>
      <c r="B60" s="19"/>
      <c r="C60" s="19" t="str">
        <f t="shared" si="1"/>
        <v/>
      </c>
      <c r="D60" s="32" t="str">
        <f t="shared" si="7"/>
        <v/>
      </c>
      <c r="E60" s="19">
        <f t="shared" si="3"/>
        <v>59</v>
      </c>
      <c r="F60" s="19"/>
      <c r="G60" s="19"/>
      <c r="H60" s="19"/>
      <c r="I60" s="19" t="str">
        <f>IFERROR(__xludf.DUMMYFUNCTION("""COMPUTED_VALUE"""),"Sanjaye Elayattu")</f>
        <v>Sanjaye Elayattu</v>
      </c>
      <c r="J60" s="19"/>
      <c r="K60" s="19"/>
      <c r="L60" s="19"/>
      <c r="M60" s="19"/>
      <c r="O60" s="76"/>
      <c r="P60" s="77"/>
      <c r="R60" s="78"/>
    </row>
    <row r="61">
      <c r="A61" s="19"/>
      <c r="B61" s="19"/>
      <c r="C61" s="19" t="str">
        <f t="shared" si="1"/>
        <v/>
      </c>
      <c r="D61" s="32" t="str">
        <f t="shared" si="7"/>
        <v/>
      </c>
      <c r="E61" s="19">
        <f t="shared" si="3"/>
        <v>60</v>
      </c>
      <c r="F61" s="19"/>
      <c r="G61" s="19"/>
      <c r="H61" s="19"/>
      <c r="I61" s="19" t="str">
        <f>IFERROR(__xludf.DUMMYFUNCTION("""COMPUTED_VALUE"""),"Santosh Sundaresan")</f>
        <v>Santosh Sundaresan</v>
      </c>
      <c r="J61" s="19"/>
      <c r="K61" s="19"/>
      <c r="L61" s="19"/>
      <c r="M61" s="19"/>
      <c r="Q61" s="79"/>
      <c r="R61" s="78"/>
    </row>
    <row r="62">
      <c r="A62" s="19"/>
      <c r="B62" s="19"/>
      <c r="C62" s="19" t="str">
        <f t="shared" si="1"/>
        <v/>
      </c>
      <c r="D62" s="32" t="str">
        <f t="shared" si="7"/>
        <v/>
      </c>
      <c r="E62" s="19">
        <f t="shared" si="3"/>
        <v>61</v>
      </c>
      <c r="F62" s="19"/>
      <c r="G62" s="19"/>
      <c r="H62" s="19"/>
      <c r="I62" s="19" t="str">
        <f>IFERROR(__xludf.DUMMYFUNCTION("""COMPUTED_VALUE"""),"Saravanan Veerapandian")</f>
        <v>Saravanan Veerapandian</v>
      </c>
      <c r="J62" s="19"/>
      <c r="K62" s="19"/>
      <c r="L62" s="19"/>
      <c r="M62" s="19"/>
      <c r="O62" s="21"/>
      <c r="P62" s="80"/>
      <c r="Q62" s="79"/>
      <c r="R62" s="78"/>
    </row>
    <row r="63">
      <c r="A63" s="19"/>
      <c r="B63" s="19"/>
      <c r="C63" s="19" t="str">
        <f t="shared" si="1"/>
        <v/>
      </c>
      <c r="D63" s="32" t="str">
        <f t="shared" si="7"/>
        <v/>
      </c>
      <c r="E63" s="19">
        <f t="shared" si="3"/>
        <v>62</v>
      </c>
      <c r="F63" s="19"/>
      <c r="G63" s="19"/>
      <c r="H63" s="19"/>
      <c r="I63" s="19" t="str">
        <f>IFERROR(__xludf.DUMMYFUNCTION("""COMPUTED_VALUE"""),"Scott Li")</f>
        <v>Scott Li</v>
      </c>
      <c r="J63" s="19"/>
      <c r="K63" s="19"/>
      <c r="L63" s="19"/>
      <c r="M63" s="19"/>
      <c r="Q63" s="79"/>
      <c r="R63" s="78"/>
    </row>
    <row r="64">
      <c r="A64" s="19"/>
      <c r="B64" s="19"/>
      <c r="C64" s="19" t="str">
        <f t="shared" si="1"/>
        <v/>
      </c>
      <c r="D64" s="32" t="str">
        <f t="shared" si="7"/>
        <v/>
      </c>
      <c r="E64" s="19">
        <f t="shared" si="3"/>
        <v>63</v>
      </c>
      <c r="F64" s="19"/>
      <c r="G64" s="19"/>
      <c r="H64" s="19"/>
      <c r="I64" s="19" t="str">
        <f>IFERROR(__xludf.DUMMYFUNCTION("""COMPUTED_VALUE"""),"Sean Chang")</f>
        <v>Sean Chang</v>
      </c>
      <c r="J64" s="19"/>
      <c r="K64" s="19"/>
      <c r="L64" s="19"/>
      <c r="M64" s="19"/>
      <c r="O64" s="21"/>
      <c r="P64" s="81"/>
      <c r="Q64" s="79"/>
      <c r="R64" s="78"/>
    </row>
    <row r="65">
      <c r="A65" s="19"/>
      <c r="B65" s="19"/>
      <c r="C65" s="19" t="str">
        <f t="shared" si="1"/>
        <v/>
      </c>
      <c r="D65" s="32" t="str">
        <f t="shared" si="7"/>
        <v/>
      </c>
      <c r="E65" s="19">
        <f t="shared" si="3"/>
        <v>64</v>
      </c>
      <c r="F65" s="19"/>
      <c r="G65" s="19"/>
      <c r="H65" s="19"/>
      <c r="I65" s="19" t="str">
        <f>IFERROR(__xludf.DUMMYFUNCTION("""COMPUTED_VALUE"""),"Suleman Alidina")</f>
        <v>Suleman Alidina</v>
      </c>
      <c r="J65" s="19"/>
      <c r="K65" s="19"/>
      <c r="L65" s="19"/>
      <c r="M65" s="19"/>
      <c r="Q65" s="79"/>
      <c r="R65" s="82"/>
    </row>
    <row r="66">
      <c r="A66" s="19"/>
      <c r="B66" s="19"/>
      <c r="C66" s="19" t="str">
        <f t="shared" si="1"/>
        <v/>
      </c>
      <c r="D66" s="32" t="str">
        <f t="shared" si="7"/>
        <v/>
      </c>
      <c r="E66" s="19">
        <f t="shared" si="3"/>
        <v>65</v>
      </c>
      <c r="F66" s="19"/>
      <c r="G66" s="19"/>
      <c r="H66" s="19"/>
      <c r="I66" s="19" t="str">
        <f>IFERROR(__xludf.DUMMYFUNCTION("""COMPUTED_VALUE"""),"Susanta Mishra")</f>
        <v>Susanta Mishra</v>
      </c>
      <c r="J66" s="19"/>
      <c r="K66" s="19"/>
      <c r="L66" s="19"/>
      <c r="M66" s="19"/>
      <c r="Q66" s="82"/>
      <c r="R66" s="82"/>
    </row>
    <row r="67">
      <c r="A67" s="19"/>
      <c r="B67" s="19"/>
      <c r="C67" s="19" t="str">
        <f t="shared" si="1"/>
        <v/>
      </c>
      <c r="E67" s="19">
        <f t="shared" si="3"/>
        <v>66</v>
      </c>
      <c r="F67" s="19"/>
      <c r="G67" s="19"/>
      <c r="H67" s="19"/>
      <c r="I67" s="19" t="str">
        <f>IFERROR(__xludf.DUMMYFUNCTION("""COMPUTED_VALUE"""),"Ted Shen")</f>
        <v>Ted Shen</v>
      </c>
      <c r="J67" s="19"/>
      <c r="K67" s="19"/>
      <c r="L67" s="19"/>
      <c r="M67" s="19"/>
    </row>
    <row r="68">
      <c r="A68" s="19"/>
      <c r="B68" s="19"/>
      <c r="C68" s="19" t="str">
        <f t="shared" si="1"/>
        <v/>
      </c>
      <c r="E68" s="19">
        <f t="shared" si="3"/>
        <v>67</v>
      </c>
      <c r="F68" s="19"/>
      <c r="G68" s="19"/>
      <c r="H68" s="19"/>
      <c r="I68" s="19" t="str">
        <f>IFERROR(__xludf.DUMMYFUNCTION("""COMPUTED_VALUE"""),"Tina Hanson")</f>
        <v>Tina Hanson</v>
      </c>
      <c r="J68" s="19"/>
      <c r="K68" s="19"/>
      <c r="L68" s="19"/>
      <c r="M68" s="19"/>
    </row>
    <row r="69">
      <c r="A69" s="19"/>
      <c r="B69" s="19"/>
      <c r="C69" s="19" t="str">
        <f t="shared" si="1"/>
        <v/>
      </c>
      <c r="E69" s="19">
        <f t="shared" si="3"/>
        <v>68</v>
      </c>
      <c r="F69" s="19"/>
      <c r="G69" s="19"/>
      <c r="H69" s="19"/>
      <c r="I69" s="19" t="str">
        <f>IFERROR(__xludf.DUMMYFUNCTION("""COMPUTED_VALUE"""),"Tom Le")</f>
        <v>Tom Le</v>
      </c>
      <c r="J69" s="19"/>
      <c r="K69" s="19"/>
      <c r="L69" s="19"/>
      <c r="M69" s="19"/>
    </row>
    <row r="70">
      <c r="A70" s="19"/>
      <c r="B70" s="19"/>
      <c r="C70" s="19" t="str">
        <f t="shared" si="1"/>
        <v/>
      </c>
      <c r="E70" s="19">
        <f t="shared" si="3"/>
        <v>69</v>
      </c>
      <c r="F70" s="19"/>
      <c r="G70" s="19"/>
      <c r="H70" s="19"/>
      <c r="I70" s="19" t="str">
        <f>IFERROR(__xludf.DUMMYFUNCTION("""COMPUTED_VALUE"""),"Trish Newlin")</f>
        <v>Trish Newlin</v>
      </c>
      <c r="J70" s="19"/>
      <c r="K70" s="19"/>
      <c r="L70" s="19"/>
      <c r="M70" s="19"/>
    </row>
    <row r="71">
      <c r="A71" s="19"/>
      <c r="B71" s="19"/>
      <c r="C71" s="19" t="str">
        <f t="shared" si="1"/>
        <v/>
      </c>
      <c r="E71" s="19">
        <f t="shared" si="3"/>
        <v>70</v>
      </c>
      <c r="F71" s="19"/>
      <c r="G71" s="19"/>
      <c r="H71" s="19"/>
      <c r="I71" s="19" t="str">
        <f>IFERROR(__xludf.DUMMYFUNCTION("""COMPUTED_VALUE"""),"Troy Wong")</f>
        <v>Troy Wong</v>
      </c>
      <c r="J71" s="19"/>
      <c r="K71" s="19"/>
      <c r="L71" s="19"/>
      <c r="M71" s="19"/>
    </row>
    <row r="72">
      <c r="A72" s="19"/>
      <c r="B72" s="19"/>
      <c r="C72" s="19" t="str">
        <f t="shared" si="1"/>
        <v/>
      </c>
      <c r="E72" s="19">
        <f t="shared" si="3"/>
        <v>71</v>
      </c>
      <c r="F72" s="19"/>
      <c r="G72" s="19"/>
      <c r="H72" s="19"/>
      <c r="I72" s="19" t="str">
        <f>IFERROR(__xludf.DUMMYFUNCTION("""COMPUTED_VALUE"""),"Vicki Martinet")</f>
        <v>Vicki Martinet</v>
      </c>
      <c r="J72" s="19"/>
      <c r="K72" s="19"/>
      <c r="L72" s="19"/>
      <c r="M72" s="19"/>
    </row>
    <row r="73">
      <c r="A73" s="19"/>
      <c r="B73" s="19"/>
      <c r="C73" s="19" t="str">
        <f t="shared" si="1"/>
        <v/>
      </c>
      <c r="E73" s="19">
        <f t="shared" si="3"/>
        <v>72</v>
      </c>
      <c r="F73" s="19"/>
      <c r="G73" s="19"/>
      <c r="H73" s="19"/>
      <c r="I73" s="19" t="str">
        <f>IFERROR(__xludf.DUMMYFUNCTION("""COMPUTED_VALUE"""),"Vinaya Kajla")</f>
        <v>Vinaya Kajla</v>
      </c>
      <c r="J73" s="19"/>
      <c r="K73" s="19"/>
      <c r="L73" s="19"/>
      <c r="M73" s="19"/>
    </row>
    <row r="74">
      <c r="A74" s="19"/>
      <c r="B74" s="19"/>
      <c r="C74" s="19" t="str">
        <f t="shared" si="1"/>
        <v/>
      </c>
      <c r="E74" s="19">
        <f t="shared" si="3"/>
        <v>73</v>
      </c>
      <c r="F74" s="19"/>
      <c r="G74" s="19"/>
      <c r="H74" s="19"/>
      <c r="I74" s="19" t="str">
        <f>IFERROR(__xludf.DUMMYFUNCTION("""COMPUTED_VALUE"""),"Vinotkumar Nagappan")</f>
        <v>Vinotkumar Nagappan</v>
      </c>
      <c r="J74" s="19"/>
      <c r="K74" s="19"/>
      <c r="L74" s="19"/>
      <c r="M74" s="19"/>
    </row>
    <row r="75">
      <c r="A75" s="19"/>
      <c r="B75" s="19"/>
      <c r="C75" s="19" t="str">
        <f t="shared" si="1"/>
        <v/>
      </c>
      <c r="E75" s="19">
        <f t="shared" si="3"/>
        <v>74</v>
      </c>
      <c r="F75" s="19"/>
      <c r="G75" s="19"/>
      <c r="H75" s="19"/>
      <c r="I75" s="19" t="str">
        <f>IFERROR(__xludf.DUMMYFUNCTION("""COMPUTED_VALUE"""),"Vishnu Amarnath")</f>
        <v>Vishnu Amarnath</v>
      </c>
      <c r="J75" s="19"/>
      <c r="K75" s="19"/>
      <c r="L75" s="19"/>
      <c r="M75" s="19"/>
      <c r="O75" s="62" t="s">
        <v>102</v>
      </c>
    </row>
    <row r="76">
      <c r="A76" s="19"/>
      <c r="B76" s="19"/>
      <c r="C76" s="19" t="str">
        <f t="shared" si="1"/>
        <v/>
      </c>
      <c r="E76" s="19">
        <f t="shared" si="3"/>
        <v>75</v>
      </c>
      <c r="F76" s="19"/>
      <c r="G76" s="19"/>
      <c r="H76" s="19"/>
      <c r="I76" s="19" t="str">
        <f>IFERROR(__xludf.DUMMYFUNCTION("""COMPUTED_VALUE"""),"Wayne Liu")</f>
        <v>Wayne Liu</v>
      </c>
      <c r="J76" s="19"/>
      <c r="K76" s="19"/>
      <c r="L76" s="19"/>
      <c r="M76" s="19"/>
      <c r="O76" s="19" t="s">
        <v>101</v>
      </c>
    </row>
    <row r="77">
      <c r="O77" s="19" t="s">
        <v>103</v>
      </c>
    </row>
    <row r="78">
      <c r="O78" s="19" t="s">
        <v>104</v>
      </c>
    </row>
    <row r="79">
      <c r="O79" s="19" t="s">
        <v>105</v>
      </c>
    </row>
    <row r="80">
      <c r="O80" s="19" t="s">
        <v>106</v>
      </c>
    </row>
    <row r="81">
      <c r="O81" s="19" t="s">
        <v>107</v>
      </c>
    </row>
    <row r="82">
      <c r="O82" s="19" t="s">
        <v>73</v>
      </c>
    </row>
  </sheetData>
  <conditionalFormatting sqref="K3">
    <cfRule type="expression" dxfId="0" priority="1">
      <formula>M3&lt;&gt;""</formula>
    </cfRule>
  </conditionalFormatting>
  <conditionalFormatting sqref="K4">
    <cfRule type="expression" dxfId="0" priority="2">
      <formula>M4&lt;&gt;""</formula>
    </cfRule>
  </conditionalFormatting>
  <conditionalFormatting sqref="K5">
    <cfRule type="expression" dxfId="0" priority="3">
      <formula>M5&lt;&gt;""</formula>
    </cfRule>
  </conditionalFormatting>
  <conditionalFormatting sqref="K6">
    <cfRule type="expression" dxfId="0" priority="4">
      <formula>M6&lt;&gt;""</formula>
    </cfRule>
  </conditionalFormatting>
  <conditionalFormatting sqref="K7:K22">
    <cfRule type="expression" dxfId="0" priority="5">
      <formula>M7&lt;&gt;""</formula>
    </cfRule>
  </conditionalFormatting>
  <conditionalFormatting sqref="K9:K22">
    <cfRule type="expression" dxfId="0" priority="6">
      <formula>M9&lt;&gt;""</formula>
    </cfRule>
  </conditionalFormatting>
  <conditionalFormatting sqref="K12">
    <cfRule type="expression" dxfId="0" priority="7">
      <formula>M12&lt;&gt;""</formula>
    </cfRule>
  </conditionalFormatting>
  <conditionalFormatting sqref="K13">
    <cfRule type="expression" dxfId="0" priority="8">
      <formula>M13&lt;&gt;""</formula>
    </cfRule>
  </conditionalFormatting>
  <conditionalFormatting sqref="K14">
    <cfRule type="expression" dxfId="0" priority="9">
      <formula>M14&lt;&gt;""</formula>
    </cfRule>
  </conditionalFormatting>
  <conditionalFormatting sqref="K15">
    <cfRule type="expression" dxfId="1" priority="10">
      <formula>M15&lt;&gt;""</formula>
    </cfRule>
  </conditionalFormatting>
  <conditionalFormatting sqref="K16">
    <cfRule type="expression" dxfId="0" priority="11">
      <formula>M16&lt;&gt;""</formula>
    </cfRule>
  </conditionalFormatting>
  <conditionalFormatting sqref="K17">
    <cfRule type="expression" dxfId="0" priority="12">
      <formula>M17&lt;&gt;""</formula>
    </cfRule>
  </conditionalFormatting>
  <conditionalFormatting sqref="K18">
    <cfRule type="expression" dxfId="0" priority="13">
      <formula>M18&lt;&gt;""</formula>
    </cfRule>
  </conditionalFormatting>
  <conditionalFormatting sqref="K19">
    <cfRule type="expression" dxfId="0" priority="14">
      <formula>M19&lt;&gt;""</formula>
    </cfRule>
  </conditionalFormatting>
  <conditionalFormatting sqref="K20">
    <cfRule type="expression" dxfId="0" priority="15">
      <formula>M20&lt;&gt;""</formula>
    </cfRule>
  </conditionalFormatting>
  <conditionalFormatting sqref="Q19">
    <cfRule type="notContainsBlanks" dxfId="2" priority="16">
      <formula>LEN(TRIM(Q19))&gt;0</formula>
    </cfRule>
  </conditionalFormatting>
  <conditionalFormatting sqref="H2:H21">
    <cfRule type="notContainsBlanks" dxfId="3" priority="17">
      <formula>LEN(TRIM(H2))&gt;0</formula>
    </cfRule>
  </conditionalFormatting>
  <conditionalFormatting sqref="A1:A978">
    <cfRule type="expression" dxfId="2" priority="18">
      <formula>COUNTIF(A:A, A1) &gt; 1</formula>
    </cfRule>
  </conditionalFormatting>
  <conditionalFormatting sqref="S24:T49">
    <cfRule type="beginsWith" dxfId="0" priority="19" operator="beginsWith" text="Y">
      <formula>LEFT((S24),LEN("Y"))=("Y")</formula>
    </cfRule>
  </conditionalFormatting>
  <conditionalFormatting sqref="S24:T49">
    <cfRule type="beginsWith" dxfId="2" priority="20" operator="beginsWith" text="N">
      <formula>LEFT((S24),LEN("N"))=("N")</formula>
    </cfRule>
  </conditionalFormatting>
  <conditionalFormatting sqref="F78:F85">
    <cfRule type="expression" dxfId="1" priority="21">
      <formula>SUMPRODUCT(--($G$78:$G$80&lt;&gt;""), --ISNUMBER( SEARCH($G$78:$G$80, F78) ) )&gt;0</formula>
    </cfRule>
  </conditionalFormatting>
  <conditionalFormatting sqref="F2:K66">
    <cfRule type="expression" dxfId="4" priority="22">
      <formula>SUMPRODUCT(--($O$76:$O$82&lt;&gt;""), --ISNUMBER( SEARCH($O$76:$O$82, F2) ) )&gt;0</formula>
    </cfRule>
  </conditionalFormatting>
  <conditionalFormatting sqref="K2">
    <cfRule type="expression" dxfId="0" priority="23">
      <formula>M2&lt;&gt;""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14.75"/>
    <col customWidth="1" min="6" max="6" width="19.38"/>
    <col customWidth="1" min="13" max="13" width="10.13"/>
    <col customWidth="1" min="15" max="15" width="10.13"/>
    <col customWidth="1" min="24" max="24" width="12.13"/>
    <col customWidth="1" min="28" max="31" width="12.13"/>
  </cols>
  <sheetData>
    <row r="1">
      <c r="A1" s="3" t="s">
        <v>2</v>
      </c>
      <c r="B1" s="3" t="s">
        <v>4</v>
      </c>
      <c r="C1" s="8">
        <v>46025.0</v>
      </c>
      <c r="D1" s="8">
        <f t="shared" ref="D1:AB1" si="1">C1+7</f>
        <v>46032</v>
      </c>
      <c r="E1" s="8">
        <f t="shared" si="1"/>
        <v>46039</v>
      </c>
      <c r="F1" s="8">
        <f t="shared" si="1"/>
        <v>46046</v>
      </c>
      <c r="G1" s="8">
        <f t="shared" si="1"/>
        <v>46053</v>
      </c>
      <c r="H1" s="8">
        <f t="shared" si="1"/>
        <v>46060</v>
      </c>
      <c r="I1" s="8">
        <f t="shared" si="1"/>
        <v>46067</v>
      </c>
      <c r="J1" s="8">
        <f t="shared" si="1"/>
        <v>46074</v>
      </c>
      <c r="K1" s="8">
        <f t="shared" si="1"/>
        <v>46081</v>
      </c>
      <c r="L1" s="8">
        <f t="shared" si="1"/>
        <v>46088</v>
      </c>
      <c r="M1" s="8">
        <f t="shared" si="1"/>
        <v>46095</v>
      </c>
      <c r="N1" s="8">
        <f t="shared" si="1"/>
        <v>46102</v>
      </c>
      <c r="O1" s="8">
        <f t="shared" si="1"/>
        <v>46109</v>
      </c>
      <c r="P1" s="8">
        <f t="shared" si="1"/>
        <v>46116</v>
      </c>
      <c r="Q1" s="8">
        <f t="shared" si="1"/>
        <v>46123</v>
      </c>
      <c r="R1" s="8">
        <f t="shared" si="1"/>
        <v>46130</v>
      </c>
      <c r="S1" s="8">
        <f t="shared" si="1"/>
        <v>46137</v>
      </c>
      <c r="T1" s="8">
        <f t="shared" si="1"/>
        <v>46144</v>
      </c>
      <c r="U1" s="8">
        <f t="shared" si="1"/>
        <v>46151</v>
      </c>
      <c r="V1" s="8">
        <f t="shared" si="1"/>
        <v>46158</v>
      </c>
      <c r="W1" s="8">
        <f t="shared" si="1"/>
        <v>46165</v>
      </c>
      <c r="X1" s="8">
        <f t="shared" si="1"/>
        <v>46172</v>
      </c>
      <c r="Y1" s="8">
        <f t="shared" si="1"/>
        <v>46179</v>
      </c>
      <c r="Z1" s="8">
        <f t="shared" si="1"/>
        <v>46186</v>
      </c>
      <c r="AA1" s="8">
        <f t="shared" si="1"/>
        <v>46193</v>
      </c>
      <c r="AB1" s="8">
        <f t="shared" si="1"/>
        <v>46200</v>
      </c>
      <c r="AC1" s="38"/>
      <c r="AD1" s="38"/>
      <c r="AE1" s="38"/>
    </row>
    <row r="2">
      <c r="A2" s="39">
        <v>1.0</v>
      </c>
      <c r="B2" s="36" t="s">
        <v>51</v>
      </c>
      <c r="C2" s="35"/>
      <c r="D2" s="35">
        <f t="shared" ref="D2:AB2" si="2">IFERROR(VLOOKUP($B2,indirect(text(D$1,"mm/dd/yy")&amp;"!B:L"),11,false),"Not played")</f>
        <v>9</v>
      </c>
      <c r="E2" s="35">
        <f t="shared" si="2"/>
        <v>9</v>
      </c>
      <c r="F2" s="35">
        <f t="shared" si="2"/>
        <v>9</v>
      </c>
      <c r="G2" s="35">
        <f t="shared" si="2"/>
        <v>9</v>
      </c>
      <c r="H2" s="35">
        <f t="shared" si="2"/>
        <v>17</v>
      </c>
      <c r="I2" s="35">
        <f t="shared" si="2"/>
        <v>18</v>
      </c>
      <c r="J2" s="35">
        <f t="shared" si="2"/>
        <v>18</v>
      </c>
      <c r="K2" s="35">
        <f t="shared" si="2"/>
        <v>9</v>
      </c>
      <c r="L2" s="35">
        <f t="shared" si="2"/>
        <v>9</v>
      </c>
      <c r="M2" s="35">
        <f t="shared" si="2"/>
        <v>9</v>
      </c>
      <c r="N2" s="35">
        <f t="shared" si="2"/>
        <v>18</v>
      </c>
      <c r="O2" s="35">
        <f t="shared" si="2"/>
        <v>18</v>
      </c>
      <c r="P2" s="35">
        <f t="shared" si="2"/>
        <v>9</v>
      </c>
      <c r="Q2" s="35">
        <f t="shared" si="2"/>
        <v>9</v>
      </c>
      <c r="R2" s="35">
        <f t="shared" si="2"/>
        <v>9</v>
      </c>
      <c r="S2" s="35">
        <f t="shared" si="2"/>
        <v>9</v>
      </c>
      <c r="T2" s="35">
        <f t="shared" si="2"/>
        <v>9</v>
      </c>
      <c r="U2" s="35">
        <f t="shared" si="2"/>
        <v>9</v>
      </c>
      <c r="V2" s="35">
        <f t="shared" si="2"/>
        <v>9</v>
      </c>
      <c r="W2" s="35">
        <f t="shared" si="2"/>
        <v>9</v>
      </c>
      <c r="X2" s="35">
        <f t="shared" si="2"/>
        <v>9</v>
      </c>
      <c r="Y2" s="35">
        <f t="shared" si="2"/>
        <v>9</v>
      </c>
      <c r="Z2" s="35">
        <f t="shared" si="2"/>
        <v>9</v>
      </c>
      <c r="AA2" s="35">
        <f t="shared" si="2"/>
        <v>9</v>
      </c>
      <c r="AB2" s="35">
        <f t="shared" si="2"/>
        <v>9</v>
      </c>
      <c r="AC2" s="47"/>
      <c r="AD2" s="47"/>
      <c r="AE2" s="47"/>
    </row>
    <row r="3">
      <c r="A3" s="39">
        <f t="shared" ref="A3:A76" si="4">A2+1</f>
        <v>2</v>
      </c>
      <c r="B3" s="36" t="s">
        <v>54</v>
      </c>
      <c r="C3" s="35"/>
      <c r="D3" s="35">
        <f t="shared" ref="D3:AB3" si="3">IFERROR(VLOOKUP($B3,indirect(text(D$1,"mm/dd/yy")&amp;"!B:L"),11,false),"Not played")</f>
        <v>9</v>
      </c>
      <c r="E3" s="35">
        <f t="shared" si="3"/>
        <v>9</v>
      </c>
      <c r="F3" s="35">
        <f t="shared" si="3"/>
        <v>9</v>
      </c>
      <c r="G3" s="35">
        <f t="shared" si="3"/>
        <v>9</v>
      </c>
      <c r="H3" s="35">
        <f t="shared" si="3"/>
        <v>9</v>
      </c>
      <c r="I3" s="35">
        <f t="shared" si="3"/>
        <v>9</v>
      </c>
      <c r="J3" s="35">
        <f t="shared" si="3"/>
        <v>9</v>
      </c>
      <c r="K3" s="35">
        <f t="shared" si="3"/>
        <v>9</v>
      </c>
      <c r="L3" s="35">
        <f t="shared" si="3"/>
        <v>9</v>
      </c>
      <c r="M3" s="35">
        <f t="shared" si="3"/>
        <v>9</v>
      </c>
      <c r="N3" s="35">
        <f t="shared" si="3"/>
        <v>17</v>
      </c>
      <c r="O3" s="35">
        <f t="shared" si="3"/>
        <v>9</v>
      </c>
      <c r="P3" s="35">
        <f t="shared" si="3"/>
        <v>14</v>
      </c>
      <c r="Q3" s="35">
        <f t="shared" si="3"/>
        <v>18</v>
      </c>
      <c r="R3" s="35">
        <f t="shared" si="3"/>
        <v>18</v>
      </c>
      <c r="S3" s="35">
        <f t="shared" si="3"/>
        <v>10</v>
      </c>
      <c r="T3" s="35">
        <f t="shared" si="3"/>
        <v>19</v>
      </c>
      <c r="U3" s="35">
        <f t="shared" si="3"/>
        <v>9</v>
      </c>
      <c r="V3" s="35">
        <f t="shared" si="3"/>
        <v>17</v>
      </c>
      <c r="W3" s="35">
        <f t="shared" si="3"/>
        <v>18</v>
      </c>
      <c r="X3" s="35">
        <f t="shared" si="3"/>
        <v>9</v>
      </c>
      <c r="Y3" s="35">
        <f t="shared" si="3"/>
        <v>9</v>
      </c>
      <c r="Z3" s="35">
        <f t="shared" si="3"/>
        <v>9</v>
      </c>
      <c r="AA3" s="35">
        <f t="shared" si="3"/>
        <v>9</v>
      </c>
      <c r="AB3" s="35">
        <f t="shared" si="3"/>
        <v>9</v>
      </c>
      <c r="AC3" s="47"/>
      <c r="AD3" s="47"/>
      <c r="AE3" s="47"/>
    </row>
    <row r="4">
      <c r="A4" s="39">
        <f t="shared" si="4"/>
        <v>3</v>
      </c>
      <c r="B4" s="36" t="s">
        <v>59</v>
      </c>
      <c r="C4" s="35"/>
      <c r="D4" s="35">
        <f t="shared" ref="D4:AB4" si="5">IFERROR(VLOOKUP($B4,indirect(text(D$1,"mm/dd/yy")&amp;"!B:L"),11,false),"Not played")</f>
        <v>19</v>
      </c>
      <c r="E4" s="35">
        <f t="shared" si="5"/>
        <v>16</v>
      </c>
      <c r="F4" s="35">
        <f t="shared" si="5"/>
        <v>9</v>
      </c>
      <c r="G4" s="35">
        <f t="shared" si="5"/>
        <v>14</v>
      </c>
      <c r="H4" s="35">
        <f t="shared" si="5"/>
        <v>5</v>
      </c>
      <c r="I4" s="35">
        <f t="shared" si="5"/>
        <v>12</v>
      </c>
      <c r="J4" s="35">
        <f t="shared" si="5"/>
        <v>11</v>
      </c>
      <c r="K4" s="35">
        <f t="shared" si="5"/>
        <v>12</v>
      </c>
      <c r="L4" s="35">
        <f t="shared" si="5"/>
        <v>11</v>
      </c>
      <c r="M4" s="35">
        <f t="shared" si="5"/>
        <v>15</v>
      </c>
      <c r="N4" s="35">
        <f t="shared" si="5"/>
        <v>8</v>
      </c>
      <c r="O4" s="35">
        <f t="shared" si="5"/>
        <v>9</v>
      </c>
      <c r="P4" s="35">
        <f t="shared" si="5"/>
        <v>16</v>
      </c>
      <c r="Q4" s="35">
        <f t="shared" si="5"/>
        <v>10</v>
      </c>
      <c r="R4" s="35">
        <f t="shared" si="5"/>
        <v>9</v>
      </c>
      <c r="S4" s="35">
        <f t="shared" si="5"/>
        <v>13</v>
      </c>
      <c r="T4" s="35">
        <f t="shared" si="5"/>
        <v>18</v>
      </c>
      <c r="U4" s="35">
        <f t="shared" si="5"/>
        <v>10</v>
      </c>
      <c r="V4" s="35">
        <f t="shared" si="5"/>
        <v>17</v>
      </c>
      <c r="W4" s="35">
        <f t="shared" si="5"/>
        <v>12</v>
      </c>
      <c r="X4" s="35">
        <f t="shared" si="5"/>
        <v>7</v>
      </c>
      <c r="Y4" s="35">
        <f t="shared" si="5"/>
        <v>13</v>
      </c>
      <c r="Z4" s="35">
        <f t="shared" si="5"/>
        <v>18</v>
      </c>
      <c r="AA4" s="35">
        <f t="shared" si="5"/>
        <v>9</v>
      </c>
      <c r="AB4" s="35">
        <f t="shared" si="5"/>
        <v>10</v>
      </c>
      <c r="AC4" s="47"/>
      <c r="AD4" s="47"/>
      <c r="AE4" s="47"/>
    </row>
    <row r="5">
      <c r="A5" s="39">
        <f t="shared" si="4"/>
        <v>4</v>
      </c>
      <c r="B5" s="36" t="s">
        <v>64</v>
      </c>
      <c r="C5" s="35"/>
      <c r="D5" s="35">
        <f t="shared" ref="D5:AB5" si="6">IFERROR(VLOOKUP($B5,indirect(text(D$1,"mm/dd/yy")&amp;"!B:L"),11,false),"Not played")</f>
        <v>13</v>
      </c>
      <c r="E5" s="35">
        <f t="shared" si="6"/>
        <v>11</v>
      </c>
      <c r="F5" s="35">
        <f t="shared" si="6"/>
        <v>13</v>
      </c>
      <c r="G5" s="35">
        <f t="shared" si="6"/>
        <v>13</v>
      </c>
      <c r="H5" s="35">
        <f t="shared" si="6"/>
        <v>7</v>
      </c>
      <c r="I5" s="35">
        <f t="shared" si="6"/>
        <v>14</v>
      </c>
      <c r="J5" s="35">
        <f t="shared" si="6"/>
        <v>13</v>
      </c>
      <c r="K5" s="35">
        <f t="shared" si="6"/>
        <v>12</v>
      </c>
      <c r="L5" s="35">
        <f t="shared" si="6"/>
        <v>14</v>
      </c>
      <c r="M5" s="35">
        <f t="shared" si="6"/>
        <v>15</v>
      </c>
      <c r="N5" s="35">
        <f t="shared" si="6"/>
        <v>14</v>
      </c>
      <c r="O5" s="35">
        <f t="shared" si="6"/>
        <v>6</v>
      </c>
      <c r="P5" s="35">
        <f t="shared" si="6"/>
        <v>9</v>
      </c>
      <c r="Q5" s="35">
        <f t="shared" si="6"/>
        <v>16</v>
      </c>
      <c r="R5" s="35">
        <f t="shared" si="6"/>
        <v>10</v>
      </c>
      <c r="S5" s="35">
        <f t="shared" si="6"/>
        <v>5</v>
      </c>
      <c r="T5" s="35">
        <f t="shared" si="6"/>
        <v>10</v>
      </c>
      <c r="U5" s="35">
        <f t="shared" si="6"/>
        <v>15</v>
      </c>
      <c r="V5" s="35">
        <f t="shared" si="6"/>
        <v>6</v>
      </c>
      <c r="W5" s="35">
        <f t="shared" si="6"/>
        <v>12</v>
      </c>
      <c r="X5" s="35">
        <f t="shared" si="6"/>
        <v>14</v>
      </c>
      <c r="Y5" s="35">
        <f t="shared" si="6"/>
        <v>18</v>
      </c>
      <c r="Z5" s="35">
        <f t="shared" si="6"/>
        <v>14</v>
      </c>
      <c r="AA5" s="35">
        <f t="shared" si="6"/>
        <v>18</v>
      </c>
      <c r="AB5" s="35">
        <f t="shared" si="6"/>
        <v>9</v>
      </c>
      <c r="AC5" s="47"/>
      <c r="AD5" s="47"/>
      <c r="AE5" s="47"/>
    </row>
    <row r="6">
      <c r="A6" s="39">
        <f t="shared" si="4"/>
        <v>5</v>
      </c>
      <c r="B6" s="36" t="s">
        <v>70</v>
      </c>
      <c r="C6" s="35"/>
      <c r="D6" s="35">
        <f t="shared" ref="D6:AB6" si="7">IFERROR(VLOOKUP($B6,indirect(text(D$1,"mm/dd/yy")&amp;"!B:L"),11,false),"Not played")</f>
        <v>9</v>
      </c>
      <c r="E6" s="35">
        <f t="shared" si="7"/>
        <v>13</v>
      </c>
      <c r="F6" s="35">
        <f t="shared" si="7"/>
        <v>9</v>
      </c>
      <c r="G6" s="35">
        <f t="shared" si="7"/>
        <v>12</v>
      </c>
      <c r="H6" s="35">
        <f t="shared" si="7"/>
        <v>14</v>
      </c>
      <c r="I6" s="35">
        <f t="shared" si="7"/>
        <v>7</v>
      </c>
      <c r="J6" s="35">
        <f t="shared" si="7"/>
        <v>9</v>
      </c>
      <c r="K6" s="35">
        <f t="shared" si="7"/>
        <v>9</v>
      </c>
      <c r="L6" s="35">
        <f t="shared" si="7"/>
        <v>9</v>
      </c>
      <c r="M6" s="35">
        <f t="shared" si="7"/>
        <v>9</v>
      </c>
      <c r="N6" s="35">
        <f t="shared" si="7"/>
        <v>9</v>
      </c>
      <c r="O6" s="35">
        <f t="shared" si="7"/>
        <v>9</v>
      </c>
      <c r="P6" s="35">
        <f t="shared" si="7"/>
        <v>9</v>
      </c>
      <c r="Q6" s="35">
        <f t="shared" si="7"/>
        <v>9</v>
      </c>
      <c r="R6" s="35">
        <f t="shared" si="7"/>
        <v>18</v>
      </c>
      <c r="S6" s="35">
        <f t="shared" si="7"/>
        <v>9</v>
      </c>
      <c r="T6" s="35">
        <f t="shared" si="7"/>
        <v>9</v>
      </c>
      <c r="U6" s="35">
        <f t="shared" si="7"/>
        <v>9</v>
      </c>
      <c r="V6" s="35">
        <f t="shared" si="7"/>
        <v>9</v>
      </c>
      <c r="W6" s="35">
        <f t="shared" si="7"/>
        <v>9</v>
      </c>
      <c r="X6" s="35">
        <f t="shared" si="7"/>
        <v>20</v>
      </c>
      <c r="Y6" s="35">
        <f t="shared" si="7"/>
        <v>9</v>
      </c>
      <c r="Z6" s="35">
        <f t="shared" si="7"/>
        <v>13</v>
      </c>
      <c r="AA6" s="35">
        <f t="shared" si="7"/>
        <v>9</v>
      </c>
      <c r="AB6" s="35">
        <f t="shared" si="7"/>
        <v>18</v>
      </c>
      <c r="AC6" s="47"/>
      <c r="AD6" s="47"/>
      <c r="AE6" s="47"/>
    </row>
    <row r="7">
      <c r="A7" s="39">
        <f t="shared" si="4"/>
        <v>6</v>
      </c>
      <c r="B7" s="36" t="s">
        <v>50</v>
      </c>
      <c r="C7" s="35"/>
      <c r="D7" s="35">
        <f t="shared" ref="D7:AB7" si="8">IFERROR(VLOOKUP($B7,indirect(text(D$1,"mm/dd/yy")&amp;"!B:L"),11,false),"Not played")</f>
        <v>19</v>
      </c>
      <c r="E7" s="35">
        <f t="shared" si="8"/>
        <v>19</v>
      </c>
      <c r="F7" s="35">
        <f t="shared" si="8"/>
        <v>11</v>
      </c>
      <c r="G7" s="35">
        <f t="shared" si="8"/>
        <v>18</v>
      </c>
      <c r="H7" s="35">
        <f t="shared" si="8"/>
        <v>19</v>
      </c>
      <c r="I7" s="35">
        <f t="shared" si="8"/>
        <v>19</v>
      </c>
      <c r="J7" s="35">
        <f t="shared" si="8"/>
        <v>14</v>
      </c>
      <c r="K7" s="35">
        <f t="shared" si="8"/>
        <v>16</v>
      </c>
      <c r="L7" s="35">
        <f t="shared" si="8"/>
        <v>18</v>
      </c>
      <c r="M7" s="35">
        <f t="shared" si="8"/>
        <v>10</v>
      </c>
      <c r="N7" s="35">
        <f t="shared" si="8"/>
        <v>16</v>
      </c>
      <c r="O7" s="35">
        <f t="shared" si="8"/>
        <v>9</v>
      </c>
      <c r="P7" s="35">
        <f t="shared" si="8"/>
        <v>9</v>
      </c>
      <c r="Q7" s="35">
        <f t="shared" si="8"/>
        <v>13</v>
      </c>
      <c r="R7" s="35">
        <f t="shared" si="8"/>
        <v>14</v>
      </c>
      <c r="S7" s="35">
        <f t="shared" si="8"/>
        <v>20</v>
      </c>
      <c r="T7" s="35">
        <f t="shared" si="8"/>
        <v>16</v>
      </c>
      <c r="U7" s="35">
        <f t="shared" si="8"/>
        <v>18</v>
      </c>
      <c r="V7" s="35">
        <f t="shared" si="8"/>
        <v>13</v>
      </c>
      <c r="W7" s="35">
        <f t="shared" si="8"/>
        <v>15</v>
      </c>
      <c r="X7" s="35">
        <f t="shared" si="8"/>
        <v>18</v>
      </c>
      <c r="Y7" s="35">
        <f t="shared" si="8"/>
        <v>19</v>
      </c>
      <c r="Z7" s="35">
        <f t="shared" si="8"/>
        <v>13</v>
      </c>
      <c r="AA7" s="35">
        <f t="shared" si="8"/>
        <v>9</v>
      </c>
      <c r="AB7" s="35">
        <f t="shared" si="8"/>
        <v>16</v>
      </c>
      <c r="AC7" s="47"/>
      <c r="AD7" s="47"/>
      <c r="AE7" s="47"/>
    </row>
    <row r="8">
      <c r="A8" s="39">
        <f t="shared" si="4"/>
        <v>7</v>
      </c>
      <c r="B8" s="36" t="s">
        <v>76</v>
      </c>
      <c r="C8" s="35"/>
      <c r="D8" s="35">
        <f t="shared" ref="D8:AB8" si="9">IFERROR(VLOOKUP($B8,indirect(text(D$1,"mm/dd/yy")&amp;"!B:L"),11,false),"Not played")</f>
        <v>9</v>
      </c>
      <c r="E8" s="35">
        <f t="shared" si="9"/>
        <v>7</v>
      </c>
      <c r="F8" s="35">
        <f t="shared" si="9"/>
        <v>9</v>
      </c>
      <c r="G8" s="35">
        <f t="shared" si="9"/>
        <v>16</v>
      </c>
      <c r="H8" s="35">
        <f t="shared" si="9"/>
        <v>14</v>
      </c>
      <c r="I8" s="35">
        <f t="shared" si="9"/>
        <v>13</v>
      </c>
      <c r="J8" s="35">
        <f t="shared" si="9"/>
        <v>13</v>
      </c>
      <c r="K8" s="35">
        <f t="shared" si="9"/>
        <v>17</v>
      </c>
      <c r="L8" s="35">
        <f t="shared" si="9"/>
        <v>9</v>
      </c>
      <c r="M8" s="35">
        <f t="shared" si="9"/>
        <v>9</v>
      </c>
      <c r="N8" s="35">
        <f t="shared" si="9"/>
        <v>12</v>
      </c>
      <c r="O8" s="35">
        <f t="shared" si="9"/>
        <v>9</v>
      </c>
      <c r="P8" s="35">
        <f t="shared" si="9"/>
        <v>9</v>
      </c>
      <c r="Q8" s="35">
        <f t="shared" si="9"/>
        <v>9</v>
      </c>
      <c r="R8" s="35">
        <f t="shared" si="9"/>
        <v>9</v>
      </c>
      <c r="S8" s="35">
        <f t="shared" si="9"/>
        <v>9</v>
      </c>
      <c r="T8" s="35">
        <f t="shared" si="9"/>
        <v>9</v>
      </c>
      <c r="U8" s="35">
        <f t="shared" si="9"/>
        <v>9</v>
      </c>
      <c r="V8" s="35">
        <f t="shared" si="9"/>
        <v>9</v>
      </c>
      <c r="W8" s="35">
        <f t="shared" si="9"/>
        <v>9</v>
      </c>
      <c r="X8" s="35">
        <f t="shared" si="9"/>
        <v>9</v>
      </c>
      <c r="Y8" s="35">
        <f t="shared" si="9"/>
        <v>9</v>
      </c>
      <c r="Z8" s="35">
        <f t="shared" si="9"/>
        <v>9</v>
      </c>
      <c r="AA8" s="35">
        <f t="shared" si="9"/>
        <v>9</v>
      </c>
      <c r="AB8" s="35">
        <f t="shared" si="9"/>
        <v>9</v>
      </c>
      <c r="AC8" s="47"/>
      <c r="AD8" s="47"/>
      <c r="AE8" s="47"/>
    </row>
    <row r="9">
      <c r="A9" s="39">
        <f t="shared" si="4"/>
        <v>8</v>
      </c>
      <c r="B9" s="36" t="s">
        <v>78</v>
      </c>
      <c r="C9" s="35"/>
      <c r="D9" s="35">
        <f t="shared" ref="D9:AB9" si="10">IFERROR(VLOOKUP($B9,indirect(text(D$1,"mm/dd/yy")&amp;"!B:L"),11,false),"Not played")</f>
        <v>9</v>
      </c>
      <c r="E9" s="35">
        <f t="shared" si="10"/>
        <v>9</v>
      </c>
      <c r="F9" s="35">
        <f t="shared" si="10"/>
        <v>15</v>
      </c>
      <c r="G9" s="35">
        <f t="shared" si="10"/>
        <v>13</v>
      </c>
      <c r="H9" s="35">
        <f t="shared" si="10"/>
        <v>9</v>
      </c>
      <c r="I9" s="35">
        <f t="shared" si="10"/>
        <v>9</v>
      </c>
      <c r="J9" s="35">
        <f t="shared" si="10"/>
        <v>9</v>
      </c>
      <c r="K9" s="35">
        <f t="shared" si="10"/>
        <v>9</v>
      </c>
      <c r="L9" s="35">
        <f t="shared" si="10"/>
        <v>9</v>
      </c>
      <c r="M9" s="35">
        <f t="shared" si="10"/>
        <v>9</v>
      </c>
      <c r="N9" s="35">
        <f t="shared" si="10"/>
        <v>9</v>
      </c>
      <c r="O9" s="35">
        <f t="shared" si="10"/>
        <v>9</v>
      </c>
      <c r="P9" s="35">
        <f t="shared" si="10"/>
        <v>9</v>
      </c>
      <c r="Q9" s="35">
        <f t="shared" si="10"/>
        <v>9</v>
      </c>
      <c r="R9" s="35">
        <f t="shared" si="10"/>
        <v>9</v>
      </c>
      <c r="S9" s="35">
        <f t="shared" si="10"/>
        <v>9</v>
      </c>
      <c r="T9" s="35">
        <f t="shared" si="10"/>
        <v>9</v>
      </c>
      <c r="U9" s="35">
        <f t="shared" si="10"/>
        <v>9</v>
      </c>
      <c r="V9" s="35">
        <f t="shared" si="10"/>
        <v>9</v>
      </c>
      <c r="W9" s="35">
        <f t="shared" si="10"/>
        <v>9</v>
      </c>
      <c r="X9" s="35">
        <f t="shared" si="10"/>
        <v>9</v>
      </c>
      <c r="Y9" s="35">
        <f t="shared" si="10"/>
        <v>9</v>
      </c>
      <c r="Z9" s="35">
        <f t="shared" si="10"/>
        <v>9</v>
      </c>
      <c r="AA9" s="35">
        <f t="shared" si="10"/>
        <v>9</v>
      </c>
      <c r="AB9" s="35">
        <f t="shared" si="10"/>
        <v>9</v>
      </c>
      <c r="AC9" s="47"/>
      <c r="AD9" s="47"/>
      <c r="AE9" s="47"/>
    </row>
    <row r="10">
      <c r="A10" s="39">
        <f t="shared" si="4"/>
        <v>9</v>
      </c>
      <c r="B10" s="36" t="s">
        <v>87</v>
      </c>
      <c r="C10" s="35"/>
      <c r="D10" s="35">
        <f t="shared" ref="D10:AB10" si="11">IFERROR(VLOOKUP($B10,indirect(text(D$1,"mm/dd/yy")&amp;"!B:L"),11,false),"Not played")</f>
        <v>9</v>
      </c>
      <c r="E10" s="35">
        <f t="shared" si="11"/>
        <v>9</v>
      </c>
      <c r="F10" s="35">
        <f t="shared" si="11"/>
        <v>9</v>
      </c>
      <c r="G10" s="35">
        <f t="shared" si="11"/>
        <v>9</v>
      </c>
      <c r="H10" s="35">
        <f t="shared" si="11"/>
        <v>9</v>
      </c>
      <c r="I10" s="35">
        <f t="shared" si="11"/>
        <v>9</v>
      </c>
      <c r="J10" s="35">
        <f t="shared" si="11"/>
        <v>9</v>
      </c>
      <c r="K10" s="35">
        <f t="shared" si="11"/>
        <v>9</v>
      </c>
      <c r="L10" s="35">
        <f t="shared" si="11"/>
        <v>9</v>
      </c>
      <c r="M10" s="35">
        <f t="shared" si="11"/>
        <v>9</v>
      </c>
      <c r="N10" s="35">
        <f t="shared" si="11"/>
        <v>9</v>
      </c>
      <c r="O10" s="35">
        <f t="shared" si="11"/>
        <v>9</v>
      </c>
      <c r="P10" s="35">
        <f t="shared" si="11"/>
        <v>9</v>
      </c>
      <c r="Q10" s="35">
        <f t="shared" si="11"/>
        <v>9</v>
      </c>
      <c r="R10" s="35">
        <f t="shared" si="11"/>
        <v>9</v>
      </c>
      <c r="S10" s="35">
        <f t="shared" si="11"/>
        <v>9</v>
      </c>
      <c r="T10" s="35">
        <f t="shared" si="11"/>
        <v>9</v>
      </c>
      <c r="U10" s="35">
        <f t="shared" si="11"/>
        <v>9</v>
      </c>
      <c r="V10" s="35">
        <f t="shared" si="11"/>
        <v>9</v>
      </c>
      <c r="W10" s="35">
        <f t="shared" si="11"/>
        <v>9</v>
      </c>
      <c r="X10" s="35">
        <f t="shared" si="11"/>
        <v>9</v>
      </c>
      <c r="Y10" s="35">
        <f t="shared" si="11"/>
        <v>9</v>
      </c>
      <c r="Z10" s="35">
        <f t="shared" si="11"/>
        <v>9</v>
      </c>
      <c r="AA10" s="35">
        <f t="shared" si="11"/>
        <v>9</v>
      </c>
      <c r="AB10" s="35">
        <f t="shared" si="11"/>
        <v>9</v>
      </c>
      <c r="AC10" s="47"/>
      <c r="AD10" s="47"/>
      <c r="AE10" s="47"/>
    </row>
    <row r="11">
      <c r="A11" s="39">
        <f t="shared" si="4"/>
        <v>10</v>
      </c>
      <c r="B11" s="36" t="s">
        <v>90</v>
      </c>
      <c r="C11" s="35"/>
      <c r="D11" s="35">
        <f t="shared" ref="D11:AB11" si="12">IFERROR(VLOOKUP($B11,indirect(text(D$1,"mm/dd/yy")&amp;"!B:L"),11,false),"Not played")</f>
        <v>15</v>
      </c>
      <c r="E11" s="35">
        <f t="shared" si="12"/>
        <v>9</v>
      </c>
      <c r="F11" s="35">
        <f t="shared" si="12"/>
        <v>9</v>
      </c>
      <c r="G11" s="35">
        <f t="shared" si="12"/>
        <v>15</v>
      </c>
      <c r="H11" s="35">
        <f t="shared" si="12"/>
        <v>9</v>
      </c>
      <c r="I11" s="35">
        <f t="shared" si="12"/>
        <v>18</v>
      </c>
      <c r="J11" s="35">
        <f t="shared" si="12"/>
        <v>9</v>
      </c>
      <c r="K11" s="35">
        <f t="shared" si="12"/>
        <v>18</v>
      </c>
      <c r="L11" s="35">
        <f t="shared" si="12"/>
        <v>9</v>
      </c>
      <c r="M11" s="35">
        <f t="shared" si="12"/>
        <v>9</v>
      </c>
      <c r="N11" s="35">
        <f t="shared" si="12"/>
        <v>9</v>
      </c>
      <c r="O11" s="35">
        <f t="shared" si="12"/>
        <v>14</v>
      </c>
      <c r="P11" s="35">
        <f t="shared" si="12"/>
        <v>17</v>
      </c>
      <c r="Q11" s="35">
        <f t="shared" si="12"/>
        <v>9</v>
      </c>
      <c r="R11" s="35">
        <f t="shared" si="12"/>
        <v>9</v>
      </c>
      <c r="S11" s="35">
        <f t="shared" si="12"/>
        <v>9</v>
      </c>
      <c r="T11" s="35">
        <f t="shared" si="12"/>
        <v>9</v>
      </c>
      <c r="U11" s="35">
        <f t="shared" si="12"/>
        <v>9</v>
      </c>
      <c r="V11" s="35">
        <f t="shared" si="12"/>
        <v>9</v>
      </c>
      <c r="W11" s="35">
        <f t="shared" si="12"/>
        <v>9</v>
      </c>
      <c r="X11" s="35">
        <f t="shared" si="12"/>
        <v>9</v>
      </c>
      <c r="Y11" s="35">
        <f t="shared" si="12"/>
        <v>16</v>
      </c>
      <c r="Z11" s="35">
        <f t="shared" si="12"/>
        <v>9</v>
      </c>
      <c r="AA11" s="35">
        <f t="shared" si="12"/>
        <v>18</v>
      </c>
      <c r="AB11" s="35">
        <f t="shared" si="12"/>
        <v>9</v>
      </c>
      <c r="AC11" s="47"/>
      <c r="AD11" s="47"/>
      <c r="AE11" s="47"/>
    </row>
    <row r="12">
      <c r="A12" s="39">
        <f t="shared" si="4"/>
        <v>11</v>
      </c>
      <c r="B12" s="36" t="s">
        <v>98</v>
      </c>
      <c r="C12" s="35"/>
      <c r="D12" s="35">
        <f t="shared" ref="D12:AB12" si="13">IFERROR(VLOOKUP($B12,indirect(text(D$1,"mm/dd/yy")&amp;"!B:L"),11,false),"Not played")</f>
        <v>9</v>
      </c>
      <c r="E12" s="35">
        <f t="shared" si="13"/>
        <v>5</v>
      </c>
      <c r="F12" s="35">
        <f t="shared" si="13"/>
        <v>9</v>
      </c>
      <c r="G12" s="35">
        <f t="shared" si="13"/>
        <v>6</v>
      </c>
      <c r="H12" s="35">
        <f t="shared" si="13"/>
        <v>8</v>
      </c>
      <c r="I12" s="35">
        <f t="shared" si="13"/>
        <v>7</v>
      </c>
      <c r="J12" s="35">
        <f t="shared" si="13"/>
        <v>12</v>
      </c>
      <c r="K12" s="35">
        <f t="shared" si="13"/>
        <v>9</v>
      </c>
      <c r="L12" s="35">
        <f t="shared" si="13"/>
        <v>9</v>
      </c>
      <c r="M12" s="35">
        <f t="shared" si="13"/>
        <v>9</v>
      </c>
      <c r="N12" s="35">
        <f t="shared" si="13"/>
        <v>9</v>
      </c>
      <c r="O12" s="35">
        <f t="shared" si="13"/>
        <v>9</v>
      </c>
      <c r="P12" s="35">
        <f t="shared" si="13"/>
        <v>13</v>
      </c>
      <c r="Q12" s="35">
        <f t="shared" si="13"/>
        <v>6</v>
      </c>
      <c r="R12" s="35">
        <f t="shared" si="13"/>
        <v>18</v>
      </c>
      <c r="S12" s="35">
        <f t="shared" si="13"/>
        <v>17</v>
      </c>
      <c r="T12" s="35">
        <f t="shared" si="13"/>
        <v>12</v>
      </c>
      <c r="U12" s="35">
        <f t="shared" si="13"/>
        <v>10</v>
      </c>
      <c r="V12" s="35">
        <f t="shared" si="13"/>
        <v>12</v>
      </c>
      <c r="W12" s="35">
        <f t="shared" si="13"/>
        <v>7</v>
      </c>
      <c r="X12" s="35">
        <f t="shared" si="13"/>
        <v>15</v>
      </c>
      <c r="Y12" s="35">
        <f t="shared" si="13"/>
        <v>9</v>
      </c>
      <c r="Z12" s="35">
        <f t="shared" si="13"/>
        <v>17</v>
      </c>
      <c r="AA12" s="35">
        <f t="shared" si="13"/>
        <v>4</v>
      </c>
      <c r="AB12" s="35">
        <f t="shared" si="13"/>
        <v>13</v>
      </c>
      <c r="AC12" s="47"/>
      <c r="AD12" s="47"/>
      <c r="AE12" s="47"/>
    </row>
    <row r="13">
      <c r="A13" s="39">
        <f t="shared" si="4"/>
        <v>12</v>
      </c>
      <c r="B13" s="36" t="s">
        <v>100</v>
      </c>
      <c r="C13" s="35"/>
      <c r="D13" s="35">
        <f t="shared" ref="D13:AB13" si="14">IFERROR(VLOOKUP($B13,indirect(text(D$1,"mm/dd/yy")&amp;"!B:L"),11,false),"Not played")</f>
        <v>14</v>
      </c>
      <c r="E13" s="35">
        <f t="shared" si="14"/>
        <v>15</v>
      </c>
      <c r="F13" s="35">
        <f t="shared" si="14"/>
        <v>15</v>
      </c>
      <c r="G13" s="35">
        <f t="shared" si="14"/>
        <v>9</v>
      </c>
      <c r="H13" s="35">
        <f t="shared" si="14"/>
        <v>9</v>
      </c>
      <c r="I13" s="35">
        <f t="shared" si="14"/>
        <v>9</v>
      </c>
      <c r="J13" s="35">
        <f t="shared" si="14"/>
        <v>9</v>
      </c>
      <c r="K13" s="35">
        <f t="shared" si="14"/>
        <v>9</v>
      </c>
      <c r="L13" s="35">
        <f t="shared" si="14"/>
        <v>9</v>
      </c>
      <c r="M13" s="35">
        <f t="shared" si="14"/>
        <v>9</v>
      </c>
      <c r="N13" s="35">
        <f t="shared" si="14"/>
        <v>9</v>
      </c>
      <c r="O13" s="35">
        <f t="shared" si="14"/>
        <v>9</v>
      </c>
      <c r="P13" s="35">
        <f t="shared" si="14"/>
        <v>9</v>
      </c>
      <c r="Q13" s="35">
        <f t="shared" si="14"/>
        <v>9</v>
      </c>
      <c r="R13" s="35">
        <f t="shared" si="14"/>
        <v>9</v>
      </c>
      <c r="S13" s="35">
        <f t="shared" si="14"/>
        <v>9</v>
      </c>
      <c r="T13" s="35">
        <f t="shared" si="14"/>
        <v>9</v>
      </c>
      <c r="U13" s="35">
        <f t="shared" si="14"/>
        <v>9</v>
      </c>
      <c r="V13" s="35">
        <f t="shared" si="14"/>
        <v>9</v>
      </c>
      <c r="W13" s="35">
        <f t="shared" si="14"/>
        <v>9</v>
      </c>
      <c r="X13" s="35">
        <f t="shared" si="14"/>
        <v>9</v>
      </c>
      <c r="Y13" s="35">
        <f t="shared" si="14"/>
        <v>9</v>
      </c>
      <c r="Z13" s="35">
        <f t="shared" si="14"/>
        <v>9</v>
      </c>
      <c r="AA13" s="35">
        <f t="shared" si="14"/>
        <v>9</v>
      </c>
      <c r="AB13" s="35">
        <f t="shared" si="14"/>
        <v>9</v>
      </c>
      <c r="AC13" s="47"/>
      <c r="AD13" s="47"/>
      <c r="AE13" s="47"/>
    </row>
    <row r="14">
      <c r="A14" s="39">
        <f t="shared" si="4"/>
        <v>13</v>
      </c>
      <c r="B14" s="36" t="s">
        <v>101</v>
      </c>
      <c r="C14" s="35"/>
      <c r="D14" s="35">
        <f t="shared" ref="D14:AB14" si="15">IFERROR(VLOOKUP($B14,indirect(text(D$1,"mm/dd/yy")&amp;"!B:L"),11,false),"Not played")</f>
        <v>9</v>
      </c>
      <c r="E14" s="35">
        <f t="shared" si="15"/>
        <v>9</v>
      </c>
      <c r="F14" s="35">
        <f t="shared" si="15"/>
        <v>9</v>
      </c>
      <c r="G14" s="35">
        <f t="shared" si="15"/>
        <v>9</v>
      </c>
      <c r="H14" s="35">
        <f t="shared" si="15"/>
        <v>9</v>
      </c>
      <c r="I14" s="35">
        <f t="shared" si="15"/>
        <v>16</v>
      </c>
      <c r="J14" s="35">
        <f t="shared" si="15"/>
        <v>18</v>
      </c>
      <c r="K14" s="35">
        <f t="shared" si="15"/>
        <v>15</v>
      </c>
      <c r="L14" s="35">
        <f t="shared" si="15"/>
        <v>13</v>
      </c>
      <c r="M14" s="35">
        <f t="shared" si="15"/>
        <v>9</v>
      </c>
      <c r="N14" s="35">
        <f t="shared" si="15"/>
        <v>13</v>
      </c>
      <c r="O14" s="35">
        <f t="shared" si="15"/>
        <v>9</v>
      </c>
      <c r="P14" s="35">
        <f t="shared" si="15"/>
        <v>15</v>
      </c>
      <c r="Q14" s="35">
        <f t="shared" si="15"/>
        <v>14</v>
      </c>
      <c r="R14" s="35">
        <f t="shared" si="15"/>
        <v>9</v>
      </c>
      <c r="S14" s="35">
        <f t="shared" si="15"/>
        <v>18</v>
      </c>
      <c r="T14" s="35">
        <f t="shared" si="15"/>
        <v>6</v>
      </c>
      <c r="U14" s="35">
        <f t="shared" si="15"/>
        <v>13</v>
      </c>
      <c r="V14" s="35">
        <f t="shared" si="15"/>
        <v>13</v>
      </c>
      <c r="W14" s="35">
        <f t="shared" si="15"/>
        <v>16</v>
      </c>
      <c r="X14" s="35">
        <f t="shared" si="15"/>
        <v>18</v>
      </c>
      <c r="Y14" s="35">
        <f t="shared" si="15"/>
        <v>18</v>
      </c>
      <c r="Z14" s="35">
        <f t="shared" si="15"/>
        <v>13</v>
      </c>
      <c r="AA14" s="35">
        <f t="shared" si="15"/>
        <v>8</v>
      </c>
      <c r="AB14" s="35">
        <f t="shared" si="15"/>
        <v>9</v>
      </c>
      <c r="AC14" s="47"/>
      <c r="AD14" s="47"/>
      <c r="AE14" s="47"/>
    </row>
    <row r="15">
      <c r="A15" s="39">
        <f t="shared" si="4"/>
        <v>14</v>
      </c>
      <c r="B15" s="36" t="s">
        <v>109</v>
      </c>
      <c r="C15" s="35"/>
      <c r="D15" s="35">
        <f t="shared" ref="D15:AB15" si="16">IFERROR(VLOOKUP($B15,indirect(text(D$1,"mm/dd/yy")&amp;"!B:L"),11,false),"Not played")</f>
        <v>12</v>
      </c>
      <c r="E15" s="35">
        <f t="shared" si="16"/>
        <v>12</v>
      </c>
      <c r="F15" s="35">
        <f t="shared" si="16"/>
        <v>9</v>
      </c>
      <c r="G15" s="35">
        <f t="shared" si="16"/>
        <v>14</v>
      </c>
      <c r="H15" s="35">
        <f t="shared" si="16"/>
        <v>18</v>
      </c>
      <c r="I15" s="35">
        <f t="shared" si="16"/>
        <v>12</v>
      </c>
      <c r="J15" s="35">
        <f t="shared" si="16"/>
        <v>9</v>
      </c>
      <c r="K15" s="35">
        <f t="shared" si="16"/>
        <v>9</v>
      </c>
      <c r="L15" s="35">
        <f t="shared" si="16"/>
        <v>18</v>
      </c>
      <c r="M15" s="35">
        <f t="shared" si="16"/>
        <v>13</v>
      </c>
      <c r="N15" s="35">
        <f t="shared" si="16"/>
        <v>8</v>
      </c>
      <c r="O15" s="35">
        <f t="shared" si="16"/>
        <v>9</v>
      </c>
      <c r="P15" s="35">
        <f t="shared" si="16"/>
        <v>9</v>
      </c>
      <c r="Q15" s="35">
        <f t="shared" si="16"/>
        <v>18</v>
      </c>
      <c r="R15" s="35">
        <f t="shared" si="16"/>
        <v>16</v>
      </c>
      <c r="S15" s="35">
        <f t="shared" si="16"/>
        <v>9</v>
      </c>
      <c r="T15" s="35">
        <f t="shared" si="16"/>
        <v>9</v>
      </c>
      <c r="U15" s="35">
        <f t="shared" si="16"/>
        <v>9</v>
      </c>
      <c r="V15" s="35">
        <f t="shared" si="16"/>
        <v>9</v>
      </c>
      <c r="W15" s="35">
        <f t="shared" si="16"/>
        <v>9</v>
      </c>
      <c r="X15" s="35">
        <f t="shared" si="16"/>
        <v>9</v>
      </c>
      <c r="Y15" s="35">
        <f t="shared" si="16"/>
        <v>9</v>
      </c>
      <c r="Z15" s="35">
        <f t="shared" si="16"/>
        <v>9</v>
      </c>
      <c r="AA15" s="35">
        <f t="shared" si="16"/>
        <v>9</v>
      </c>
      <c r="AB15" s="35">
        <f t="shared" si="16"/>
        <v>9</v>
      </c>
      <c r="AC15" s="47"/>
      <c r="AD15" s="47"/>
      <c r="AE15" s="47"/>
    </row>
    <row r="16">
      <c r="A16" s="39">
        <f t="shared" si="4"/>
        <v>15</v>
      </c>
      <c r="B16" s="36" t="s">
        <v>110</v>
      </c>
      <c r="C16" s="35"/>
      <c r="D16" s="35">
        <f t="shared" ref="D16:AB16" si="17">IFERROR(VLOOKUP($B16,indirect(text(D$1,"mm/dd/yy")&amp;"!B:L"),11,false),"Not played")</f>
        <v>13</v>
      </c>
      <c r="E16" s="35">
        <f t="shared" si="17"/>
        <v>9</v>
      </c>
      <c r="F16" s="35">
        <f t="shared" si="17"/>
        <v>14</v>
      </c>
      <c r="G16" s="35">
        <f t="shared" si="17"/>
        <v>14</v>
      </c>
      <c r="H16" s="35">
        <f t="shared" si="17"/>
        <v>10</v>
      </c>
      <c r="I16" s="35">
        <f t="shared" si="17"/>
        <v>11</v>
      </c>
      <c r="J16" s="35">
        <f t="shared" si="17"/>
        <v>7</v>
      </c>
      <c r="K16" s="35">
        <f t="shared" si="17"/>
        <v>15</v>
      </c>
      <c r="L16" s="35">
        <f t="shared" si="17"/>
        <v>5</v>
      </c>
      <c r="M16" s="35">
        <f t="shared" si="17"/>
        <v>12</v>
      </c>
      <c r="N16" s="35">
        <f t="shared" si="17"/>
        <v>8</v>
      </c>
      <c r="O16" s="35">
        <f t="shared" si="17"/>
        <v>14</v>
      </c>
      <c r="P16" s="35">
        <f t="shared" si="17"/>
        <v>15</v>
      </c>
      <c r="Q16" s="35">
        <f t="shared" si="17"/>
        <v>16</v>
      </c>
      <c r="R16" s="35">
        <f t="shared" si="17"/>
        <v>9</v>
      </c>
      <c r="S16" s="35">
        <f t="shared" si="17"/>
        <v>9</v>
      </c>
      <c r="T16" s="35">
        <f t="shared" si="17"/>
        <v>9</v>
      </c>
      <c r="U16" s="35">
        <f t="shared" si="17"/>
        <v>9</v>
      </c>
      <c r="V16" s="35">
        <f t="shared" si="17"/>
        <v>9</v>
      </c>
      <c r="W16" s="35">
        <f t="shared" si="17"/>
        <v>17</v>
      </c>
      <c r="X16" s="35">
        <f t="shared" si="17"/>
        <v>9</v>
      </c>
      <c r="Y16" s="35">
        <f t="shared" si="17"/>
        <v>16</v>
      </c>
      <c r="Z16" s="35">
        <f t="shared" si="17"/>
        <v>16</v>
      </c>
      <c r="AA16" s="35">
        <f t="shared" si="17"/>
        <v>12</v>
      </c>
      <c r="AB16" s="35">
        <f t="shared" si="17"/>
        <v>13</v>
      </c>
      <c r="AC16" s="47"/>
      <c r="AD16" s="47"/>
      <c r="AE16" s="47"/>
    </row>
    <row r="17">
      <c r="A17" s="39">
        <f t="shared" si="4"/>
        <v>16</v>
      </c>
      <c r="B17" s="36" t="s">
        <v>89</v>
      </c>
      <c r="C17" s="35"/>
      <c r="D17" s="35">
        <f t="shared" ref="D17:AB17" si="18">IFERROR(VLOOKUP($B17,indirect(text(D$1,"mm/dd/yy")&amp;"!B:L"),11,false),"Not played")</f>
        <v>14</v>
      </c>
      <c r="E17" s="35">
        <f t="shared" si="18"/>
        <v>18</v>
      </c>
      <c r="F17" s="35">
        <f t="shared" si="18"/>
        <v>9</v>
      </c>
      <c r="G17" s="35">
        <f t="shared" si="18"/>
        <v>9</v>
      </c>
      <c r="H17" s="35">
        <f t="shared" si="18"/>
        <v>18</v>
      </c>
      <c r="I17" s="35">
        <f t="shared" si="18"/>
        <v>9</v>
      </c>
      <c r="J17" s="35">
        <f t="shared" si="18"/>
        <v>18</v>
      </c>
      <c r="K17" s="35">
        <f t="shared" si="18"/>
        <v>11</v>
      </c>
      <c r="L17" s="35">
        <f t="shared" si="18"/>
        <v>9</v>
      </c>
      <c r="M17" s="35">
        <f t="shared" si="18"/>
        <v>9</v>
      </c>
      <c r="N17" s="35">
        <f t="shared" si="18"/>
        <v>16</v>
      </c>
      <c r="O17" s="35">
        <f t="shared" si="18"/>
        <v>17</v>
      </c>
      <c r="P17" s="35">
        <f t="shared" si="18"/>
        <v>15</v>
      </c>
      <c r="Q17" s="35">
        <f t="shared" si="18"/>
        <v>9</v>
      </c>
      <c r="R17" s="35">
        <f t="shared" si="18"/>
        <v>18</v>
      </c>
      <c r="S17" s="35">
        <f t="shared" si="18"/>
        <v>9</v>
      </c>
      <c r="T17" s="35">
        <f t="shared" si="18"/>
        <v>9</v>
      </c>
      <c r="U17" s="35">
        <f t="shared" si="18"/>
        <v>9</v>
      </c>
      <c r="V17" s="35">
        <f t="shared" si="18"/>
        <v>18</v>
      </c>
      <c r="W17" s="35">
        <f t="shared" si="18"/>
        <v>17</v>
      </c>
      <c r="X17" s="35">
        <f t="shared" si="18"/>
        <v>19</v>
      </c>
      <c r="Y17" s="35">
        <f t="shared" si="18"/>
        <v>9</v>
      </c>
      <c r="Z17" s="35">
        <f t="shared" si="18"/>
        <v>9</v>
      </c>
      <c r="AA17" s="35">
        <f t="shared" si="18"/>
        <v>9</v>
      </c>
      <c r="AB17" s="35">
        <f t="shared" si="18"/>
        <v>19</v>
      </c>
      <c r="AC17" s="47"/>
      <c r="AD17" s="47"/>
      <c r="AE17" s="47"/>
    </row>
    <row r="18">
      <c r="A18" s="39">
        <f t="shared" si="4"/>
        <v>17</v>
      </c>
      <c r="B18" s="36" t="s">
        <v>94</v>
      </c>
      <c r="C18" s="35"/>
      <c r="D18" s="35">
        <f t="shared" ref="D18:AB18" si="19">IFERROR(VLOOKUP($B18,indirect(text(D$1,"mm/dd/yy")&amp;"!B:L"),11,false),"Not played")</f>
        <v>9</v>
      </c>
      <c r="E18" s="35">
        <f t="shared" si="19"/>
        <v>15</v>
      </c>
      <c r="F18" s="35">
        <f t="shared" si="19"/>
        <v>17</v>
      </c>
      <c r="G18" s="35">
        <f t="shared" si="19"/>
        <v>14</v>
      </c>
      <c r="H18" s="35">
        <f t="shared" si="19"/>
        <v>18</v>
      </c>
      <c r="I18" s="35">
        <f t="shared" si="19"/>
        <v>19</v>
      </c>
      <c r="J18" s="35">
        <f t="shared" si="19"/>
        <v>9</v>
      </c>
      <c r="K18" s="35">
        <f t="shared" si="19"/>
        <v>14</v>
      </c>
      <c r="L18" s="35">
        <f t="shared" si="19"/>
        <v>8</v>
      </c>
      <c r="M18" s="35">
        <f t="shared" si="19"/>
        <v>10</v>
      </c>
      <c r="N18" s="35">
        <f t="shared" si="19"/>
        <v>14</v>
      </c>
      <c r="O18" s="35">
        <f t="shared" si="19"/>
        <v>6</v>
      </c>
      <c r="P18" s="35">
        <f t="shared" si="19"/>
        <v>16</v>
      </c>
      <c r="Q18" s="35">
        <f t="shared" si="19"/>
        <v>14</v>
      </c>
      <c r="R18" s="35">
        <f t="shared" si="19"/>
        <v>14</v>
      </c>
      <c r="S18" s="35">
        <f t="shared" si="19"/>
        <v>16</v>
      </c>
      <c r="T18" s="35">
        <f t="shared" si="19"/>
        <v>13</v>
      </c>
      <c r="U18" s="35">
        <f t="shared" si="19"/>
        <v>15</v>
      </c>
      <c r="V18" s="35">
        <f t="shared" si="19"/>
        <v>13</v>
      </c>
      <c r="W18" s="35">
        <f t="shared" si="19"/>
        <v>15</v>
      </c>
      <c r="X18" s="35">
        <f t="shared" si="19"/>
        <v>13</v>
      </c>
      <c r="Y18" s="35">
        <f t="shared" si="19"/>
        <v>13</v>
      </c>
      <c r="Z18" s="35">
        <f t="shared" si="19"/>
        <v>10</v>
      </c>
      <c r="AA18" s="35">
        <f t="shared" si="19"/>
        <v>9</v>
      </c>
      <c r="AB18" s="35">
        <f t="shared" si="19"/>
        <v>9</v>
      </c>
      <c r="AC18" s="47"/>
      <c r="AD18" s="47"/>
      <c r="AE18" s="47"/>
    </row>
    <row r="19">
      <c r="A19" s="39">
        <f t="shared" si="4"/>
        <v>18</v>
      </c>
      <c r="B19" s="36" t="s">
        <v>97</v>
      </c>
      <c r="C19" s="35"/>
      <c r="D19" s="35">
        <f t="shared" ref="D19:AB19" si="20">IFERROR(VLOOKUP($B19,indirect(text(D$1,"mm/dd/yy")&amp;"!B:L"),11,false),"Not played")</f>
        <v>14</v>
      </c>
      <c r="E19" s="35">
        <f t="shared" si="20"/>
        <v>9</v>
      </c>
      <c r="F19" s="35">
        <f t="shared" si="20"/>
        <v>9</v>
      </c>
      <c r="G19" s="35">
        <f t="shared" si="20"/>
        <v>9</v>
      </c>
      <c r="H19" s="35">
        <f t="shared" si="20"/>
        <v>9</v>
      </c>
      <c r="I19" s="35">
        <f t="shared" si="20"/>
        <v>16</v>
      </c>
      <c r="J19" s="35">
        <f t="shared" si="20"/>
        <v>19</v>
      </c>
      <c r="K19" s="35">
        <f t="shared" si="20"/>
        <v>15</v>
      </c>
      <c r="L19" s="35">
        <f t="shared" si="20"/>
        <v>9</v>
      </c>
      <c r="M19" s="35">
        <f t="shared" si="20"/>
        <v>9</v>
      </c>
      <c r="N19" s="35">
        <f t="shared" si="20"/>
        <v>9</v>
      </c>
      <c r="O19" s="35">
        <f t="shared" si="20"/>
        <v>16</v>
      </c>
      <c r="P19" s="35">
        <f t="shared" si="20"/>
        <v>16</v>
      </c>
      <c r="Q19" s="35">
        <f t="shared" si="20"/>
        <v>10</v>
      </c>
      <c r="R19" s="35">
        <f t="shared" si="20"/>
        <v>16</v>
      </c>
      <c r="S19" s="35">
        <f t="shared" si="20"/>
        <v>14</v>
      </c>
      <c r="T19" s="35">
        <f t="shared" si="20"/>
        <v>9</v>
      </c>
      <c r="U19" s="35">
        <f t="shared" si="20"/>
        <v>14</v>
      </c>
      <c r="V19" s="35">
        <f t="shared" si="20"/>
        <v>12</v>
      </c>
      <c r="W19" s="35">
        <f t="shared" si="20"/>
        <v>13</v>
      </c>
      <c r="X19" s="35">
        <f t="shared" si="20"/>
        <v>19</v>
      </c>
      <c r="Y19" s="35">
        <f t="shared" si="20"/>
        <v>19</v>
      </c>
      <c r="Z19" s="35">
        <f t="shared" si="20"/>
        <v>13</v>
      </c>
      <c r="AA19" s="35">
        <f t="shared" si="20"/>
        <v>10</v>
      </c>
      <c r="AB19" s="35">
        <f t="shared" si="20"/>
        <v>13</v>
      </c>
      <c r="AC19" s="47"/>
      <c r="AD19" s="47"/>
      <c r="AE19" s="47"/>
    </row>
    <row r="20">
      <c r="A20" s="39">
        <f t="shared" si="4"/>
        <v>19</v>
      </c>
      <c r="B20" s="36" t="s">
        <v>114</v>
      </c>
      <c r="C20" s="35"/>
      <c r="D20" s="35">
        <f t="shared" ref="D20:AB20" si="21">IFERROR(VLOOKUP($B20,indirect(text(D$1,"mm/dd/yy")&amp;"!B:L"),11,false),"Not played")</f>
        <v>19</v>
      </c>
      <c r="E20" s="35">
        <f t="shared" si="21"/>
        <v>9</v>
      </c>
      <c r="F20" s="35">
        <f t="shared" si="21"/>
        <v>13</v>
      </c>
      <c r="G20" s="35">
        <f t="shared" si="21"/>
        <v>18</v>
      </c>
      <c r="H20" s="35">
        <f t="shared" si="21"/>
        <v>14</v>
      </c>
      <c r="I20" s="35">
        <f t="shared" si="21"/>
        <v>14</v>
      </c>
      <c r="J20" s="35">
        <f t="shared" si="21"/>
        <v>9</v>
      </c>
      <c r="K20" s="35">
        <f t="shared" si="21"/>
        <v>9</v>
      </c>
      <c r="L20" s="35">
        <f t="shared" si="21"/>
        <v>9</v>
      </c>
      <c r="M20" s="35">
        <f t="shared" si="21"/>
        <v>9</v>
      </c>
      <c r="N20" s="35">
        <f t="shared" si="21"/>
        <v>18</v>
      </c>
      <c r="O20" s="35">
        <f t="shared" si="21"/>
        <v>14</v>
      </c>
      <c r="P20" s="35">
        <f t="shared" si="21"/>
        <v>14</v>
      </c>
      <c r="Q20" s="35">
        <f t="shared" si="21"/>
        <v>12</v>
      </c>
      <c r="R20" s="35">
        <f t="shared" si="21"/>
        <v>9</v>
      </c>
      <c r="S20" s="35">
        <f t="shared" si="21"/>
        <v>9</v>
      </c>
      <c r="T20" s="35">
        <f t="shared" si="21"/>
        <v>9</v>
      </c>
      <c r="U20" s="35">
        <f t="shared" si="21"/>
        <v>9</v>
      </c>
      <c r="V20" s="35">
        <f t="shared" si="21"/>
        <v>9</v>
      </c>
      <c r="W20" s="35">
        <f t="shared" si="21"/>
        <v>9</v>
      </c>
      <c r="X20" s="35">
        <f t="shared" si="21"/>
        <v>9</v>
      </c>
      <c r="Y20" s="35">
        <f t="shared" si="21"/>
        <v>9</v>
      </c>
      <c r="Z20" s="35">
        <f t="shared" si="21"/>
        <v>9</v>
      </c>
      <c r="AA20" s="35">
        <f t="shared" si="21"/>
        <v>9</v>
      </c>
      <c r="AB20" s="35">
        <f t="shared" si="21"/>
        <v>9</v>
      </c>
      <c r="AC20" s="47"/>
      <c r="AD20" s="47"/>
      <c r="AE20" s="47"/>
    </row>
    <row r="21">
      <c r="A21" s="39">
        <f t="shared" si="4"/>
        <v>20</v>
      </c>
      <c r="B21" s="36" t="s">
        <v>116</v>
      </c>
      <c r="C21" s="35"/>
      <c r="D21" s="35">
        <f t="shared" ref="D21:AB21" si="22">IFERROR(VLOOKUP($B21,indirect(text(D$1,"mm/dd/yy")&amp;"!B:L"),11,false),"Not played")</f>
        <v>10</v>
      </c>
      <c r="E21" s="35">
        <f t="shared" si="22"/>
        <v>10</v>
      </c>
      <c r="F21" s="35">
        <f t="shared" si="22"/>
        <v>4</v>
      </c>
      <c r="G21" s="35">
        <f t="shared" si="22"/>
        <v>14</v>
      </c>
      <c r="H21" s="35">
        <f t="shared" si="22"/>
        <v>8</v>
      </c>
      <c r="I21" s="35">
        <f t="shared" si="22"/>
        <v>15</v>
      </c>
      <c r="J21" s="35">
        <f t="shared" si="22"/>
        <v>11</v>
      </c>
      <c r="K21" s="35">
        <f t="shared" si="22"/>
        <v>14</v>
      </c>
      <c r="L21" s="35">
        <f t="shared" si="22"/>
        <v>13</v>
      </c>
      <c r="M21" s="35">
        <f t="shared" si="22"/>
        <v>13</v>
      </c>
      <c r="N21" s="35">
        <f t="shared" si="22"/>
        <v>4</v>
      </c>
      <c r="O21" s="35">
        <f t="shared" si="22"/>
        <v>9</v>
      </c>
      <c r="P21" s="35">
        <f t="shared" si="22"/>
        <v>10</v>
      </c>
      <c r="Q21" s="35">
        <f t="shared" si="22"/>
        <v>6</v>
      </c>
      <c r="R21" s="35">
        <f t="shared" si="22"/>
        <v>11</v>
      </c>
      <c r="S21" s="35">
        <f t="shared" si="22"/>
        <v>16</v>
      </c>
      <c r="T21" s="35">
        <f t="shared" si="22"/>
        <v>14</v>
      </c>
      <c r="U21" s="35">
        <f t="shared" si="22"/>
        <v>13</v>
      </c>
      <c r="V21" s="35">
        <f t="shared" si="22"/>
        <v>8</v>
      </c>
      <c r="W21" s="35">
        <f t="shared" si="22"/>
        <v>12</v>
      </c>
      <c r="X21" s="35">
        <f t="shared" si="22"/>
        <v>16</v>
      </c>
      <c r="Y21" s="35">
        <f t="shared" si="22"/>
        <v>10</v>
      </c>
      <c r="Z21" s="35">
        <f t="shared" si="22"/>
        <v>12</v>
      </c>
      <c r="AA21" s="35">
        <f t="shared" si="22"/>
        <v>12</v>
      </c>
      <c r="AB21" s="35">
        <f t="shared" si="22"/>
        <v>19</v>
      </c>
      <c r="AC21" s="47"/>
      <c r="AD21" s="47"/>
      <c r="AE21" s="47"/>
    </row>
    <row r="22">
      <c r="A22" s="39">
        <f t="shared" si="4"/>
        <v>21</v>
      </c>
      <c r="B22" s="36" t="s">
        <v>93</v>
      </c>
      <c r="C22" s="35"/>
      <c r="D22" s="35">
        <f t="shared" ref="D22:AB22" si="23">IFERROR(VLOOKUP($B22,indirect(text(D$1,"mm/dd/yy")&amp;"!B:L"),11,false),"Not played")</f>
        <v>9</v>
      </c>
      <c r="E22" s="35">
        <f t="shared" si="23"/>
        <v>13</v>
      </c>
      <c r="F22" s="35">
        <f t="shared" si="23"/>
        <v>12</v>
      </c>
      <c r="G22" s="35">
        <f t="shared" si="23"/>
        <v>13</v>
      </c>
      <c r="H22" s="35">
        <f t="shared" si="23"/>
        <v>10</v>
      </c>
      <c r="I22" s="35">
        <f t="shared" si="23"/>
        <v>11</v>
      </c>
      <c r="J22" s="35">
        <f t="shared" si="23"/>
        <v>13</v>
      </c>
      <c r="K22" s="35">
        <f t="shared" si="23"/>
        <v>14</v>
      </c>
      <c r="L22" s="35">
        <f t="shared" si="23"/>
        <v>20</v>
      </c>
      <c r="M22" s="35">
        <f t="shared" si="23"/>
        <v>13</v>
      </c>
      <c r="N22" s="35">
        <f t="shared" si="23"/>
        <v>19</v>
      </c>
      <c r="O22" s="35">
        <f t="shared" si="23"/>
        <v>16</v>
      </c>
      <c r="P22" s="35">
        <f t="shared" si="23"/>
        <v>9</v>
      </c>
      <c r="Q22" s="35">
        <f t="shared" si="23"/>
        <v>9</v>
      </c>
      <c r="R22" s="35">
        <f t="shared" si="23"/>
        <v>12</v>
      </c>
      <c r="S22" s="35">
        <f t="shared" si="23"/>
        <v>17</v>
      </c>
      <c r="T22" s="35">
        <f t="shared" si="23"/>
        <v>13</v>
      </c>
      <c r="U22" s="35">
        <f t="shared" si="23"/>
        <v>12</v>
      </c>
      <c r="V22" s="35">
        <f t="shared" si="23"/>
        <v>19</v>
      </c>
      <c r="W22" s="35">
        <f t="shared" si="23"/>
        <v>17</v>
      </c>
      <c r="X22" s="35">
        <f t="shared" si="23"/>
        <v>14</v>
      </c>
      <c r="Y22" s="35">
        <f t="shared" si="23"/>
        <v>11</v>
      </c>
      <c r="Z22" s="35">
        <f t="shared" si="23"/>
        <v>11</v>
      </c>
      <c r="AA22" s="35">
        <f t="shared" si="23"/>
        <v>8</v>
      </c>
      <c r="AB22" s="35">
        <f t="shared" si="23"/>
        <v>9</v>
      </c>
      <c r="AC22" s="47"/>
      <c r="AD22" s="47"/>
      <c r="AE22" s="47"/>
    </row>
    <row r="23">
      <c r="A23" s="39">
        <f t="shared" si="4"/>
        <v>22</v>
      </c>
      <c r="B23" s="36" t="s">
        <v>92</v>
      </c>
      <c r="C23" s="35"/>
      <c r="D23" s="35">
        <f t="shared" ref="D23:AB23" si="24">IFERROR(VLOOKUP($B23,indirect(text(D$1,"mm/dd/yy")&amp;"!B:L"),11,false),"Not played")</f>
        <v>15</v>
      </c>
      <c r="E23" s="35">
        <f t="shared" si="24"/>
        <v>9</v>
      </c>
      <c r="F23" s="35">
        <f t="shared" si="24"/>
        <v>9</v>
      </c>
      <c r="G23" s="35">
        <f t="shared" si="24"/>
        <v>18</v>
      </c>
      <c r="H23" s="35">
        <f t="shared" si="24"/>
        <v>19</v>
      </c>
      <c r="I23" s="35">
        <f t="shared" si="24"/>
        <v>9</v>
      </c>
      <c r="J23" s="35">
        <f t="shared" si="24"/>
        <v>9</v>
      </c>
      <c r="K23" s="35">
        <f t="shared" si="24"/>
        <v>16</v>
      </c>
      <c r="L23" s="35">
        <f t="shared" si="24"/>
        <v>13</v>
      </c>
      <c r="M23" s="35">
        <f t="shared" si="24"/>
        <v>12</v>
      </c>
      <c r="N23" s="35">
        <f t="shared" si="24"/>
        <v>18</v>
      </c>
      <c r="O23" s="35">
        <f t="shared" si="24"/>
        <v>15</v>
      </c>
      <c r="P23" s="35">
        <f t="shared" si="24"/>
        <v>15</v>
      </c>
      <c r="Q23" s="35">
        <f t="shared" si="24"/>
        <v>11</v>
      </c>
      <c r="R23" s="35">
        <f t="shared" si="24"/>
        <v>18</v>
      </c>
      <c r="S23" s="35">
        <f t="shared" si="24"/>
        <v>17</v>
      </c>
      <c r="T23" s="35">
        <f t="shared" si="24"/>
        <v>8</v>
      </c>
      <c r="U23" s="35">
        <f t="shared" si="24"/>
        <v>14</v>
      </c>
      <c r="V23" s="35">
        <f t="shared" si="24"/>
        <v>6</v>
      </c>
      <c r="W23" s="35">
        <f t="shared" si="24"/>
        <v>9</v>
      </c>
      <c r="X23" s="35">
        <f t="shared" si="24"/>
        <v>9</v>
      </c>
      <c r="Y23" s="35">
        <f t="shared" si="24"/>
        <v>19</v>
      </c>
      <c r="Z23" s="35">
        <f t="shared" si="24"/>
        <v>13</v>
      </c>
      <c r="AA23" s="35">
        <f t="shared" si="24"/>
        <v>14</v>
      </c>
      <c r="AB23" s="35">
        <f t="shared" si="24"/>
        <v>10</v>
      </c>
      <c r="AC23" s="47"/>
      <c r="AD23" s="47"/>
      <c r="AE23" s="47"/>
    </row>
    <row r="24">
      <c r="A24" s="39">
        <f t="shared" si="4"/>
        <v>23</v>
      </c>
      <c r="B24" s="36" t="s">
        <v>96</v>
      </c>
      <c r="C24" s="35"/>
      <c r="D24" s="35">
        <f t="shared" ref="D24:AB24" si="25">IFERROR(VLOOKUP($B24,indirect(text(D$1,"mm/dd/yy")&amp;"!B:L"),11,false),"Not played")</f>
        <v>18</v>
      </c>
      <c r="E24" s="35">
        <f t="shared" si="25"/>
        <v>13</v>
      </c>
      <c r="F24" s="35">
        <f t="shared" si="25"/>
        <v>18</v>
      </c>
      <c r="G24" s="35">
        <f t="shared" si="25"/>
        <v>11</v>
      </c>
      <c r="H24" s="35">
        <f t="shared" si="25"/>
        <v>11</v>
      </c>
      <c r="I24" s="35">
        <f t="shared" si="25"/>
        <v>9</v>
      </c>
      <c r="J24" s="35">
        <f t="shared" si="25"/>
        <v>12</v>
      </c>
      <c r="K24" s="35">
        <f t="shared" si="25"/>
        <v>13</v>
      </c>
      <c r="L24" s="35">
        <f t="shared" si="25"/>
        <v>13</v>
      </c>
      <c r="M24" s="35">
        <f t="shared" si="25"/>
        <v>18</v>
      </c>
      <c r="N24" s="35">
        <f t="shared" si="25"/>
        <v>12</v>
      </c>
      <c r="O24" s="35">
        <f t="shared" si="25"/>
        <v>12</v>
      </c>
      <c r="P24" s="35">
        <f t="shared" si="25"/>
        <v>13</v>
      </c>
      <c r="Q24" s="35">
        <f t="shared" si="25"/>
        <v>9</v>
      </c>
      <c r="R24" s="35">
        <f t="shared" si="25"/>
        <v>8</v>
      </c>
      <c r="S24" s="35">
        <f t="shared" si="25"/>
        <v>16</v>
      </c>
      <c r="T24" s="35">
        <f t="shared" si="25"/>
        <v>14</v>
      </c>
      <c r="U24" s="35">
        <f t="shared" si="25"/>
        <v>9</v>
      </c>
      <c r="V24" s="35">
        <f t="shared" si="25"/>
        <v>5</v>
      </c>
      <c r="W24" s="35">
        <f t="shared" si="25"/>
        <v>19</v>
      </c>
      <c r="X24" s="35">
        <f t="shared" si="25"/>
        <v>12</v>
      </c>
      <c r="Y24" s="35">
        <f t="shared" si="25"/>
        <v>18</v>
      </c>
      <c r="Z24" s="35">
        <f t="shared" si="25"/>
        <v>12</v>
      </c>
      <c r="AA24" s="35">
        <f t="shared" si="25"/>
        <v>15</v>
      </c>
      <c r="AB24" s="35">
        <f t="shared" si="25"/>
        <v>11</v>
      </c>
      <c r="AC24" s="47"/>
      <c r="AD24" s="47"/>
      <c r="AE24" s="47"/>
    </row>
    <row r="25">
      <c r="A25" s="39">
        <f t="shared" si="4"/>
        <v>24</v>
      </c>
      <c r="B25" s="36" t="s">
        <v>117</v>
      </c>
      <c r="C25" s="35"/>
      <c r="D25" s="35">
        <f t="shared" ref="D25:AB25" si="26">IFERROR(VLOOKUP($B25,indirect(text(D$1,"mm/dd/yy")&amp;"!B:L"),11,false),"Not played")</f>
        <v>16</v>
      </c>
      <c r="E25" s="35">
        <f t="shared" si="26"/>
        <v>14</v>
      </c>
      <c r="F25" s="35">
        <f t="shared" si="26"/>
        <v>13</v>
      </c>
      <c r="G25" s="35">
        <f t="shared" si="26"/>
        <v>9</v>
      </c>
      <c r="H25" s="35">
        <f t="shared" si="26"/>
        <v>14</v>
      </c>
      <c r="I25" s="35">
        <f t="shared" si="26"/>
        <v>13</v>
      </c>
      <c r="J25" s="35">
        <f t="shared" si="26"/>
        <v>10</v>
      </c>
      <c r="K25" s="35">
        <f t="shared" si="26"/>
        <v>14</v>
      </c>
      <c r="L25" s="35">
        <f t="shared" si="26"/>
        <v>9</v>
      </c>
      <c r="M25" s="35">
        <f t="shared" si="26"/>
        <v>12</v>
      </c>
      <c r="N25" s="35">
        <f t="shared" si="26"/>
        <v>11</v>
      </c>
      <c r="O25" s="35">
        <f t="shared" si="26"/>
        <v>10</v>
      </c>
      <c r="P25" s="35">
        <f t="shared" si="26"/>
        <v>13</v>
      </c>
      <c r="Q25" s="35">
        <f t="shared" si="26"/>
        <v>9</v>
      </c>
      <c r="R25" s="35">
        <f t="shared" si="26"/>
        <v>18</v>
      </c>
      <c r="S25" s="35">
        <f t="shared" si="26"/>
        <v>20</v>
      </c>
      <c r="T25" s="35">
        <f t="shared" si="26"/>
        <v>13</v>
      </c>
      <c r="U25" s="35">
        <f t="shared" si="26"/>
        <v>15</v>
      </c>
      <c r="V25" s="35">
        <f t="shared" si="26"/>
        <v>16</v>
      </c>
      <c r="W25" s="35">
        <f t="shared" si="26"/>
        <v>9</v>
      </c>
      <c r="X25" s="35">
        <f t="shared" si="26"/>
        <v>12</v>
      </c>
      <c r="Y25" s="35">
        <f t="shared" si="26"/>
        <v>13</v>
      </c>
      <c r="Z25" s="35">
        <f t="shared" si="26"/>
        <v>9</v>
      </c>
      <c r="AA25" s="35">
        <f t="shared" si="26"/>
        <v>9</v>
      </c>
      <c r="AB25" s="35">
        <f t="shared" si="26"/>
        <v>9</v>
      </c>
      <c r="AC25" s="47"/>
      <c r="AD25" s="47"/>
      <c r="AE25" s="47"/>
    </row>
    <row r="26">
      <c r="A26" s="39">
        <f t="shared" si="4"/>
        <v>25</v>
      </c>
      <c r="B26" s="36" t="s">
        <v>118</v>
      </c>
      <c r="C26" s="35"/>
      <c r="D26" s="35">
        <f t="shared" ref="D26:AB26" si="27">IFERROR(VLOOKUP($B26,indirect(text(D$1,"mm/dd/yy")&amp;"!B:L"),11,false),"Not played")</f>
        <v>14</v>
      </c>
      <c r="E26" s="35">
        <f t="shared" si="27"/>
        <v>15</v>
      </c>
      <c r="F26" s="35">
        <f t="shared" si="27"/>
        <v>7</v>
      </c>
      <c r="G26" s="35">
        <f t="shared" si="27"/>
        <v>12</v>
      </c>
      <c r="H26" s="35">
        <f t="shared" si="27"/>
        <v>9</v>
      </c>
      <c r="I26" s="35">
        <f t="shared" si="27"/>
        <v>7</v>
      </c>
      <c r="J26" s="35">
        <f t="shared" si="27"/>
        <v>15</v>
      </c>
      <c r="K26" s="35">
        <f t="shared" si="27"/>
        <v>7</v>
      </c>
      <c r="L26" s="35">
        <f t="shared" si="27"/>
        <v>9</v>
      </c>
      <c r="M26" s="35">
        <f t="shared" si="27"/>
        <v>14</v>
      </c>
      <c r="N26" s="35">
        <f t="shared" si="27"/>
        <v>10</v>
      </c>
      <c r="O26" s="35">
        <f t="shared" si="27"/>
        <v>18</v>
      </c>
      <c r="P26" s="35">
        <f t="shared" si="27"/>
        <v>14</v>
      </c>
      <c r="Q26" s="35">
        <f t="shared" si="27"/>
        <v>11</v>
      </c>
      <c r="R26" s="35">
        <f t="shared" si="27"/>
        <v>11</v>
      </c>
      <c r="S26" s="35">
        <f t="shared" si="27"/>
        <v>10</v>
      </c>
      <c r="T26" s="35">
        <f t="shared" si="27"/>
        <v>12</v>
      </c>
      <c r="U26" s="35">
        <f t="shared" si="27"/>
        <v>12</v>
      </c>
      <c r="V26" s="35">
        <f t="shared" si="27"/>
        <v>15</v>
      </c>
      <c r="W26" s="35">
        <f t="shared" si="27"/>
        <v>11</v>
      </c>
      <c r="X26" s="35">
        <f t="shared" si="27"/>
        <v>9</v>
      </c>
      <c r="Y26" s="35">
        <f t="shared" si="27"/>
        <v>11</v>
      </c>
      <c r="Z26" s="35">
        <f t="shared" si="27"/>
        <v>13</v>
      </c>
      <c r="AA26" s="35">
        <f t="shared" si="27"/>
        <v>7</v>
      </c>
      <c r="AB26" s="35">
        <f t="shared" si="27"/>
        <v>10</v>
      </c>
      <c r="AC26" s="47"/>
      <c r="AD26" s="47"/>
      <c r="AE26" s="47"/>
    </row>
    <row r="27">
      <c r="A27" s="39">
        <f t="shared" si="4"/>
        <v>26</v>
      </c>
      <c r="B27" s="36" t="s">
        <v>124</v>
      </c>
      <c r="C27" s="35"/>
      <c r="D27" s="35">
        <f t="shared" ref="D27:AB27" si="28">IFERROR(VLOOKUP($B27,indirect(text(D$1,"mm/dd/yy")&amp;"!B:L"),11,false),"Not played")</f>
        <v>9</v>
      </c>
      <c r="E27" s="35">
        <f t="shared" si="28"/>
        <v>9</v>
      </c>
      <c r="F27" s="35">
        <f t="shared" si="28"/>
        <v>9</v>
      </c>
      <c r="G27" s="35">
        <f t="shared" si="28"/>
        <v>11</v>
      </c>
      <c r="H27" s="35">
        <f t="shared" si="28"/>
        <v>9</v>
      </c>
      <c r="I27" s="35">
        <f t="shared" si="28"/>
        <v>9</v>
      </c>
      <c r="J27" s="35">
        <f t="shared" si="28"/>
        <v>9</v>
      </c>
      <c r="K27" s="35">
        <f t="shared" si="28"/>
        <v>9</v>
      </c>
      <c r="L27" s="35">
        <f t="shared" si="28"/>
        <v>9</v>
      </c>
      <c r="M27" s="35">
        <f t="shared" si="28"/>
        <v>9</v>
      </c>
      <c r="N27" s="35">
        <f t="shared" si="28"/>
        <v>9</v>
      </c>
      <c r="O27" s="35">
        <f t="shared" si="28"/>
        <v>9</v>
      </c>
      <c r="P27" s="35">
        <f t="shared" si="28"/>
        <v>9</v>
      </c>
      <c r="Q27" s="35">
        <f t="shared" si="28"/>
        <v>9</v>
      </c>
      <c r="R27" s="35">
        <f t="shared" si="28"/>
        <v>9</v>
      </c>
      <c r="S27" s="35">
        <f t="shared" si="28"/>
        <v>9</v>
      </c>
      <c r="T27" s="35">
        <f t="shared" si="28"/>
        <v>9</v>
      </c>
      <c r="U27" s="35">
        <f t="shared" si="28"/>
        <v>9</v>
      </c>
      <c r="V27" s="35">
        <f t="shared" si="28"/>
        <v>9</v>
      </c>
      <c r="W27" s="35">
        <f t="shared" si="28"/>
        <v>9</v>
      </c>
      <c r="X27" s="35">
        <f t="shared" si="28"/>
        <v>9</v>
      </c>
      <c r="Y27" s="35">
        <f t="shared" si="28"/>
        <v>9</v>
      </c>
      <c r="Z27" s="35">
        <f t="shared" si="28"/>
        <v>9</v>
      </c>
      <c r="AA27" s="35">
        <f t="shared" si="28"/>
        <v>9</v>
      </c>
      <c r="AB27" s="35">
        <f t="shared" si="28"/>
        <v>9</v>
      </c>
      <c r="AC27" s="47"/>
      <c r="AD27" s="47"/>
      <c r="AE27" s="47"/>
    </row>
    <row r="28">
      <c r="A28" s="39">
        <f t="shared" si="4"/>
        <v>27</v>
      </c>
      <c r="B28" s="36" t="s">
        <v>125</v>
      </c>
      <c r="C28" s="35"/>
      <c r="D28" s="35">
        <f t="shared" ref="D28:AB28" si="29">IFERROR(VLOOKUP($B28,indirect(text(D$1,"mm/dd/yy")&amp;"!B:L"),11,false),"Not played")</f>
        <v>9</v>
      </c>
      <c r="E28" s="35">
        <f t="shared" si="29"/>
        <v>9</v>
      </c>
      <c r="F28" s="35">
        <f t="shared" si="29"/>
        <v>9</v>
      </c>
      <c r="G28" s="35">
        <f t="shared" si="29"/>
        <v>19</v>
      </c>
      <c r="H28" s="35">
        <f t="shared" si="29"/>
        <v>9</v>
      </c>
      <c r="I28" s="35">
        <f t="shared" si="29"/>
        <v>9</v>
      </c>
      <c r="J28" s="35">
        <f t="shared" si="29"/>
        <v>9</v>
      </c>
      <c r="K28" s="35">
        <f t="shared" si="29"/>
        <v>9</v>
      </c>
      <c r="L28" s="35">
        <f t="shared" si="29"/>
        <v>9</v>
      </c>
      <c r="M28" s="35">
        <f t="shared" si="29"/>
        <v>9</v>
      </c>
      <c r="N28" s="35">
        <f t="shared" si="29"/>
        <v>9</v>
      </c>
      <c r="O28" s="35">
        <f t="shared" si="29"/>
        <v>9</v>
      </c>
      <c r="P28" s="35">
        <f t="shared" si="29"/>
        <v>9</v>
      </c>
      <c r="Q28" s="35">
        <f t="shared" si="29"/>
        <v>9</v>
      </c>
      <c r="R28" s="35">
        <f t="shared" si="29"/>
        <v>9</v>
      </c>
      <c r="S28" s="35">
        <f t="shared" si="29"/>
        <v>9</v>
      </c>
      <c r="T28" s="35">
        <f t="shared" si="29"/>
        <v>9</v>
      </c>
      <c r="U28" s="35">
        <f t="shared" si="29"/>
        <v>9</v>
      </c>
      <c r="V28" s="35">
        <f t="shared" si="29"/>
        <v>9</v>
      </c>
      <c r="W28" s="35">
        <f t="shared" si="29"/>
        <v>9</v>
      </c>
      <c r="X28" s="35">
        <f t="shared" si="29"/>
        <v>9</v>
      </c>
      <c r="Y28" s="35">
        <f t="shared" si="29"/>
        <v>9</v>
      </c>
      <c r="Z28" s="35">
        <f t="shared" si="29"/>
        <v>9</v>
      </c>
      <c r="AA28" s="35">
        <f t="shared" si="29"/>
        <v>9</v>
      </c>
      <c r="AB28" s="35">
        <f t="shared" si="29"/>
        <v>9</v>
      </c>
      <c r="AC28" s="47"/>
      <c r="AD28" s="47"/>
      <c r="AE28" s="47"/>
    </row>
    <row r="29">
      <c r="A29" s="39">
        <f t="shared" si="4"/>
        <v>28</v>
      </c>
      <c r="B29" s="36" t="s">
        <v>111</v>
      </c>
      <c r="C29" s="35"/>
      <c r="D29" s="35">
        <f t="shared" ref="D29:AB29" si="30">IFERROR(VLOOKUP($B29,indirect(text(D$1,"mm/dd/yy")&amp;"!B:L"),11,false),"Not played")</f>
        <v>18</v>
      </c>
      <c r="E29" s="35">
        <f t="shared" si="30"/>
        <v>14</v>
      </c>
      <c r="F29" s="35">
        <f t="shared" si="30"/>
        <v>19</v>
      </c>
      <c r="G29" s="35">
        <f t="shared" si="30"/>
        <v>14</v>
      </c>
      <c r="H29" s="35">
        <f t="shared" si="30"/>
        <v>9</v>
      </c>
      <c r="I29" s="35">
        <f t="shared" si="30"/>
        <v>15</v>
      </c>
      <c r="J29" s="35">
        <f t="shared" si="30"/>
        <v>6</v>
      </c>
      <c r="K29" s="35">
        <f t="shared" si="30"/>
        <v>13</v>
      </c>
      <c r="L29" s="35">
        <f t="shared" si="30"/>
        <v>9</v>
      </c>
      <c r="M29" s="35">
        <f t="shared" si="30"/>
        <v>11</v>
      </c>
      <c r="N29" s="35">
        <f t="shared" si="30"/>
        <v>21</v>
      </c>
      <c r="O29" s="35">
        <f t="shared" si="30"/>
        <v>15</v>
      </c>
      <c r="P29" s="35">
        <f t="shared" si="30"/>
        <v>16</v>
      </c>
      <c r="Q29" s="35">
        <f t="shared" si="30"/>
        <v>15</v>
      </c>
      <c r="R29" s="35">
        <f t="shared" si="30"/>
        <v>9</v>
      </c>
      <c r="S29" s="35">
        <f t="shared" si="30"/>
        <v>9</v>
      </c>
      <c r="T29" s="35">
        <f t="shared" si="30"/>
        <v>9</v>
      </c>
      <c r="U29" s="35">
        <f t="shared" si="30"/>
        <v>9</v>
      </c>
      <c r="V29" s="35">
        <f t="shared" si="30"/>
        <v>9</v>
      </c>
      <c r="W29" s="35">
        <f t="shared" si="30"/>
        <v>9</v>
      </c>
      <c r="X29" s="35">
        <f t="shared" si="30"/>
        <v>9</v>
      </c>
      <c r="Y29" s="35">
        <f t="shared" si="30"/>
        <v>18</v>
      </c>
      <c r="Z29" s="35">
        <f t="shared" si="30"/>
        <v>9</v>
      </c>
      <c r="AA29" s="35">
        <f t="shared" si="30"/>
        <v>9</v>
      </c>
      <c r="AB29" s="35">
        <f t="shared" si="30"/>
        <v>18</v>
      </c>
      <c r="AC29" s="47"/>
      <c r="AD29" s="47"/>
      <c r="AE29" s="47"/>
    </row>
    <row r="30">
      <c r="A30" s="39">
        <f t="shared" si="4"/>
        <v>29</v>
      </c>
      <c r="B30" s="36" t="s">
        <v>128</v>
      </c>
      <c r="C30" s="35"/>
      <c r="D30" s="35">
        <f t="shared" ref="D30:AB30" si="31">IFERROR(VLOOKUP($B30,indirect(text(D$1,"mm/dd/yy")&amp;"!B:L"),11,false),"Not played")</f>
        <v>16</v>
      </c>
      <c r="E30" s="35">
        <f t="shared" si="31"/>
        <v>19</v>
      </c>
      <c r="F30" s="35">
        <f t="shared" si="31"/>
        <v>8</v>
      </c>
      <c r="G30" s="35">
        <f t="shared" si="31"/>
        <v>11</v>
      </c>
      <c r="H30" s="35">
        <f t="shared" si="31"/>
        <v>13</v>
      </c>
      <c r="I30" s="35">
        <f t="shared" si="31"/>
        <v>9</v>
      </c>
      <c r="J30" s="35">
        <f t="shared" si="31"/>
        <v>16</v>
      </c>
      <c r="K30" s="35">
        <f t="shared" si="31"/>
        <v>17</v>
      </c>
      <c r="L30" s="35">
        <f t="shared" si="31"/>
        <v>14</v>
      </c>
      <c r="M30" s="35">
        <f t="shared" si="31"/>
        <v>9</v>
      </c>
      <c r="N30" s="35">
        <f t="shared" si="31"/>
        <v>18</v>
      </c>
      <c r="O30" s="35">
        <f t="shared" si="31"/>
        <v>9</v>
      </c>
      <c r="P30" s="35">
        <f t="shared" si="31"/>
        <v>6</v>
      </c>
      <c r="Q30" s="35">
        <f t="shared" si="31"/>
        <v>9</v>
      </c>
      <c r="R30" s="35">
        <f t="shared" si="31"/>
        <v>15</v>
      </c>
      <c r="S30" s="35">
        <f t="shared" si="31"/>
        <v>10</v>
      </c>
      <c r="T30" s="35">
        <f t="shared" si="31"/>
        <v>13</v>
      </c>
      <c r="U30" s="35">
        <f t="shared" si="31"/>
        <v>9</v>
      </c>
      <c r="V30" s="35">
        <f t="shared" si="31"/>
        <v>11</v>
      </c>
      <c r="W30" s="35">
        <f t="shared" si="31"/>
        <v>9</v>
      </c>
      <c r="X30" s="35">
        <f t="shared" si="31"/>
        <v>9</v>
      </c>
      <c r="Y30" s="35">
        <f t="shared" si="31"/>
        <v>9</v>
      </c>
      <c r="Z30" s="35">
        <f t="shared" si="31"/>
        <v>16</v>
      </c>
      <c r="AA30" s="35">
        <f t="shared" si="31"/>
        <v>13</v>
      </c>
      <c r="AB30" s="35">
        <f t="shared" si="31"/>
        <v>9</v>
      </c>
      <c r="AC30" s="47"/>
      <c r="AD30" s="47"/>
      <c r="AE30" s="47"/>
    </row>
    <row r="31">
      <c r="A31" s="39">
        <f t="shared" si="4"/>
        <v>30</v>
      </c>
      <c r="B31" s="36" t="s">
        <v>129</v>
      </c>
      <c r="C31" s="35"/>
      <c r="D31" s="35">
        <f t="shared" ref="D31:AB31" si="32">IFERROR(VLOOKUP($B31,indirect(text(D$1,"mm/dd/yy")&amp;"!B:L"),11,false),"Not played")</f>
        <v>10</v>
      </c>
      <c r="E31" s="35">
        <f t="shared" si="32"/>
        <v>9</v>
      </c>
      <c r="F31" s="35">
        <f t="shared" si="32"/>
        <v>9</v>
      </c>
      <c r="G31" s="35">
        <f t="shared" si="32"/>
        <v>9</v>
      </c>
      <c r="H31" s="35">
        <f t="shared" si="32"/>
        <v>14</v>
      </c>
      <c r="I31" s="35">
        <f t="shared" si="32"/>
        <v>9</v>
      </c>
      <c r="J31" s="35">
        <f t="shared" si="32"/>
        <v>15</v>
      </c>
      <c r="K31" s="35">
        <f t="shared" si="32"/>
        <v>14</v>
      </c>
      <c r="L31" s="35">
        <f t="shared" si="32"/>
        <v>11</v>
      </c>
      <c r="M31" s="35">
        <f t="shared" si="32"/>
        <v>5</v>
      </c>
      <c r="N31" s="35">
        <f t="shared" si="32"/>
        <v>12</v>
      </c>
      <c r="O31" s="35">
        <f t="shared" si="32"/>
        <v>9</v>
      </c>
      <c r="P31" s="35">
        <f t="shared" si="32"/>
        <v>16</v>
      </c>
      <c r="Q31" s="35">
        <f t="shared" si="32"/>
        <v>10</v>
      </c>
      <c r="R31" s="35">
        <f t="shared" si="32"/>
        <v>14</v>
      </c>
      <c r="S31" s="35">
        <f t="shared" si="32"/>
        <v>11</v>
      </c>
      <c r="T31" s="35">
        <f t="shared" si="32"/>
        <v>9</v>
      </c>
      <c r="U31" s="35">
        <f t="shared" si="32"/>
        <v>18</v>
      </c>
      <c r="V31" s="35">
        <f t="shared" si="32"/>
        <v>18</v>
      </c>
      <c r="W31" s="35">
        <f t="shared" si="32"/>
        <v>10</v>
      </c>
      <c r="X31" s="35">
        <f t="shared" si="32"/>
        <v>17</v>
      </c>
      <c r="Y31" s="35">
        <f t="shared" si="32"/>
        <v>9</v>
      </c>
      <c r="Z31" s="35">
        <f t="shared" si="32"/>
        <v>13</v>
      </c>
      <c r="AA31" s="35">
        <f t="shared" si="32"/>
        <v>9</v>
      </c>
      <c r="AB31" s="35">
        <f t="shared" si="32"/>
        <v>11</v>
      </c>
      <c r="AC31" s="47"/>
      <c r="AD31" s="47"/>
      <c r="AE31" s="47"/>
    </row>
    <row r="32">
      <c r="A32" s="39">
        <f t="shared" si="4"/>
        <v>31</v>
      </c>
      <c r="B32" s="36" t="s">
        <v>103</v>
      </c>
      <c r="C32" s="35"/>
      <c r="D32" s="35">
        <f t="shared" ref="D32:AB32" si="33">IFERROR(VLOOKUP($B32,indirect(text(D$1,"mm/dd/yy")&amp;"!B:L"),11,false),"Not played")</f>
        <v>9</v>
      </c>
      <c r="E32" s="35">
        <f t="shared" si="33"/>
        <v>14</v>
      </c>
      <c r="F32" s="35">
        <f t="shared" si="33"/>
        <v>14</v>
      </c>
      <c r="G32" s="35">
        <f t="shared" si="33"/>
        <v>19</v>
      </c>
      <c r="H32" s="35">
        <f t="shared" si="33"/>
        <v>14</v>
      </c>
      <c r="I32" s="35">
        <f t="shared" si="33"/>
        <v>12</v>
      </c>
      <c r="J32" s="35">
        <f t="shared" si="33"/>
        <v>13</v>
      </c>
      <c r="K32" s="35">
        <f t="shared" si="33"/>
        <v>13</v>
      </c>
      <c r="L32" s="35">
        <f t="shared" si="33"/>
        <v>13</v>
      </c>
      <c r="M32" s="35">
        <f t="shared" si="33"/>
        <v>10</v>
      </c>
      <c r="N32" s="35">
        <f t="shared" si="33"/>
        <v>17</v>
      </c>
      <c r="O32" s="35">
        <f t="shared" si="33"/>
        <v>15</v>
      </c>
      <c r="P32" s="35">
        <f t="shared" si="33"/>
        <v>11</v>
      </c>
      <c r="Q32" s="35">
        <f t="shared" si="33"/>
        <v>9</v>
      </c>
      <c r="R32" s="35">
        <f t="shared" si="33"/>
        <v>14</v>
      </c>
      <c r="S32" s="35">
        <f t="shared" si="33"/>
        <v>13</v>
      </c>
      <c r="T32" s="35">
        <f t="shared" si="33"/>
        <v>13</v>
      </c>
      <c r="U32" s="35">
        <f t="shared" si="33"/>
        <v>6</v>
      </c>
      <c r="V32" s="35">
        <f t="shared" si="33"/>
        <v>9</v>
      </c>
      <c r="W32" s="35">
        <f t="shared" si="33"/>
        <v>9</v>
      </c>
      <c r="X32" s="35">
        <f t="shared" si="33"/>
        <v>14</v>
      </c>
      <c r="Y32" s="35">
        <f t="shared" si="33"/>
        <v>9</v>
      </c>
      <c r="Z32" s="35">
        <f t="shared" si="33"/>
        <v>13</v>
      </c>
      <c r="AA32" s="35">
        <f t="shared" si="33"/>
        <v>9</v>
      </c>
      <c r="AB32" s="35">
        <f t="shared" si="33"/>
        <v>9</v>
      </c>
      <c r="AC32" s="47"/>
      <c r="AD32" s="47"/>
      <c r="AE32" s="47"/>
    </row>
    <row r="33">
      <c r="A33" s="39">
        <f t="shared" si="4"/>
        <v>32</v>
      </c>
      <c r="B33" s="36" t="s">
        <v>131</v>
      </c>
      <c r="C33" s="35"/>
      <c r="D33" s="35">
        <f t="shared" ref="D33:AB33" si="34">IFERROR(VLOOKUP($B33,indirect(text(D$1,"mm/dd/yy")&amp;"!B:L"),11,false),"Not played")</f>
        <v>9</v>
      </c>
      <c r="E33" s="35">
        <f t="shared" si="34"/>
        <v>15</v>
      </c>
      <c r="F33" s="35">
        <f t="shared" si="34"/>
        <v>13</v>
      </c>
      <c r="G33" s="35">
        <f t="shared" si="34"/>
        <v>15</v>
      </c>
      <c r="H33" s="35">
        <f t="shared" si="34"/>
        <v>9</v>
      </c>
      <c r="I33" s="35">
        <f t="shared" si="34"/>
        <v>13</v>
      </c>
      <c r="J33" s="35">
        <f t="shared" si="34"/>
        <v>9</v>
      </c>
      <c r="K33" s="35">
        <f t="shared" si="34"/>
        <v>9</v>
      </c>
      <c r="L33" s="35">
        <f t="shared" si="34"/>
        <v>9</v>
      </c>
      <c r="M33" s="35">
        <f t="shared" si="34"/>
        <v>9</v>
      </c>
      <c r="N33" s="35">
        <f t="shared" si="34"/>
        <v>9</v>
      </c>
      <c r="O33" s="35">
        <f t="shared" si="34"/>
        <v>9</v>
      </c>
      <c r="P33" s="35">
        <f t="shared" si="34"/>
        <v>9</v>
      </c>
      <c r="Q33" s="35">
        <f t="shared" si="34"/>
        <v>9</v>
      </c>
      <c r="R33" s="35">
        <f t="shared" si="34"/>
        <v>9</v>
      </c>
      <c r="S33" s="35">
        <f t="shared" si="34"/>
        <v>9</v>
      </c>
      <c r="T33" s="35">
        <f t="shared" si="34"/>
        <v>9</v>
      </c>
      <c r="U33" s="35">
        <f t="shared" si="34"/>
        <v>9</v>
      </c>
      <c r="V33" s="35">
        <f t="shared" si="34"/>
        <v>9</v>
      </c>
      <c r="W33" s="35">
        <f t="shared" si="34"/>
        <v>9</v>
      </c>
      <c r="X33" s="35">
        <f t="shared" si="34"/>
        <v>9</v>
      </c>
      <c r="Y33" s="35">
        <f t="shared" si="34"/>
        <v>9</v>
      </c>
      <c r="Z33" s="35">
        <f t="shared" si="34"/>
        <v>9</v>
      </c>
      <c r="AA33" s="35">
        <f t="shared" si="34"/>
        <v>9</v>
      </c>
      <c r="AB33" s="35">
        <f t="shared" si="34"/>
        <v>9</v>
      </c>
      <c r="AC33" s="47"/>
      <c r="AD33" s="47"/>
      <c r="AE33" s="47"/>
    </row>
    <row r="34">
      <c r="A34" s="39">
        <f t="shared" si="4"/>
        <v>33</v>
      </c>
      <c r="B34" s="36" t="s">
        <v>132</v>
      </c>
      <c r="C34" s="35"/>
      <c r="D34" s="35">
        <f t="shared" ref="D34:AB34" si="35">IFERROR(VLOOKUP($B34,indirect(text(D$1,"mm/dd/yy")&amp;"!B:L"),11,false),"Not played")</f>
        <v>9</v>
      </c>
      <c r="E34" s="35">
        <f t="shared" si="35"/>
        <v>14</v>
      </c>
      <c r="F34" s="35">
        <f t="shared" si="35"/>
        <v>18</v>
      </c>
      <c r="G34" s="35">
        <f t="shared" si="35"/>
        <v>15</v>
      </c>
      <c r="H34" s="35">
        <f t="shared" si="35"/>
        <v>11</v>
      </c>
      <c r="I34" s="35">
        <f t="shared" si="35"/>
        <v>9</v>
      </c>
      <c r="J34" s="35">
        <f t="shared" si="35"/>
        <v>9</v>
      </c>
      <c r="K34" s="35">
        <f t="shared" si="35"/>
        <v>9</v>
      </c>
      <c r="L34" s="35">
        <f t="shared" si="35"/>
        <v>9</v>
      </c>
      <c r="M34" s="35">
        <f t="shared" si="35"/>
        <v>9</v>
      </c>
      <c r="N34" s="35">
        <f t="shared" si="35"/>
        <v>18</v>
      </c>
      <c r="O34" s="35">
        <f t="shared" si="35"/>
        <v>16</v>
      </c>
      <c r="P34" s="35">
        <f t="shared" si="35"/>
        <v>19</v>
      </c>
      <c r="Q34" s="35">
        <f t="shared" si="35"/>
        <v>18</v>
      </c>
      <c r="R34" s="35">
        <f t="shared" si="35"/>
        <v>9</v>
      </c>
      <c r="S34" s="35">
        <f t="shared" si="35"/>
        <v>9</v>
      </c>
      <c r="T34" s="35">
        <f t="shared" si="35"/>
        <v>9</v>
      </c>
      <c r="U34" s="35">
        <f t="shared" si="35"/>
        <v>9</v>
      </c>
      <c r="V34" s="35">
        <f t="shared" si="35"/>
        <v>9</v>
      </c>
      <c r="W34" s="35">
        <f t="shared" si="35"/>
        <v>9</v>
      </c>
      <c r="X34" s="35">
        <f t="shared" si="35"/>
        <v>9</v>
      </c>
      <c r="Y34" s="35">
        <f t="shared" si="35"/>
        <v>9</v>
      </c>
      <c r="Z34" s="35">
        <f t="shared" si="35"/>
        <v>9</v>
      </c>
      <c r="AA34" s="35">
        <f t="shared" si="35"/>
        <v>9</v>
      </c>
      <c r="AB34" s="35">
        <f t="shared" si="35"/>
        <v>9</v>
      </c>
      <c r="AC34" s="47"/>
      <c r="AD34" s="47"/>
      <c r="AE34" s="47"/>
    </row>
    <row r="35">
      <c r="A35" s="39">
        <f t="shared" si="4"/>
        <v>34</v>
      </c>
      <c r="B35" s="36" t="s">
        <v>133</v>
      </c>
      <c r="C35" s="35"/>
      <c r="D35" s="35">
        <f t="shared" ref="D35:AB35" si="36">IFERROR(VLOOKUP($B35,indirect(text(D$1,"mm/dd/yy")&amp;"!B:L"),11,false),"Not played")</f>
        <v>4</v>
      </c>
      <c r="E35" s="35">
        <f t="shared" si="36"/>
        <v>9</v>
      </c>
      <c r="F35" s="35">
        <f t="shared" si="36"/>
        <v>16</v>
      </c>
      <c r="G35" s="35">
        <f t="shared" si="36"/>
        <v>9</v>
      </c>
      <c r="H35" s="35">
        <f t="shared" si="36"/>
        <v>9</v>
      </c>
      <c r="I35" s="35">
        <f t="shared" si="36"/>
        <v>11</v>
      </c>
      <c r="J35" s="35">
        <f t="shared" si="36"/>
        <v>9</v>
      </c>
      <c r="K35" s="35">
        <f t="shared" si="36"/>
        <v>9</v>
      </c>
      <c r="L35" s="35">
        <f t="shared" si="36"/>
        <v>10</v>
      </c>
      <c r="M35" s="35">
        <f t="shared" si="36"/>
        <v>9</v>
      </c>
      <c r="N35" s="35">
        <f t="shared" si="36"/>
        <v>9</v>
      </c>
      <c r="O35" s="35">
        <f t="shared" si="36"/>
        <v>6</v>
      </c>
      <c r="P35" s="35">
        <f t="shared" si="36"/>
        <v>7</v>
      </c>
      <c r="Q35" s="35">
        <f t="shared" si="36"/>
        <v>9</v>
      </c>
      <c r="R35" s="35">
        <f t="shared" si="36"/>
        <v>14</v>
      </c>
      <c r="S35" s="35">
        <f t="shared" si="36"/>
        <v>17</v>
      </c>
      <c r="T35" s="35">
        <f t="shared" si="36"/>
        <v>9</v>
      </c>
      <c r="U35" s="35">
        <f t="shared" si="36"/>
        <v>9</v>
      </c>
      <c r="V35" s="35">
        <f t="shared" si="36"/>
        <v>9</v>
      </c>
      <c r="W35" s="35">
        <f t="shared" si="36"/>
        <v>9</v>
      </c>
      <c r="X35" s="35">
        <f t="shared" si="36"/>
        <v>9</v>
      </c>
      <c r="Y35" s="35">
        <f t="shared" si="36"/>
        <v>9</v>
      </c>
      <c r="Z35" s="35">
        <f t="shared" si="36"/>
        <v>16</v>
      </c>
      <c r="AA35" s="35">
        <f t="shared" si="36"/>
        <v>9</v>
      </c>
      <c r="AB35" s="35">
        <f t="shared" si="36"/>
        <v>9</v>
      </c>
      <c r="AC35" s="47"/>
      <c r="AD35" s="47"/>
      <c r="AE35" s="47"/>
    </row>
    <row r="36">
      <c r="A36" s="39">
        <f t="shared" si="4"/>
        <v>35</v>
      </c>
      <c r="B36" s="36" t="s">
        <v>134</v>
      </c>
      <c r="C36" s="35"/>
      <c r="D36" s="35">
        <f t="shared" ref="D36:AB36" si="37">IFERROR(VLOOKUP($B36,indirect(text(D$1,"mm/dd/yy")&amp;"!B:L"),11,false),"Not played")</f>
        <v>10</v>
      </c>
      <c r="E36" s="35">
        <f t="shared" si="37"/>
        <v>15</v>
      </c>
      <c r="F36" s="35">
        <f t="shared" si="37"/>
        <v>5</v>
      </c>
      <c r="G36" s="35">
        <f t="shared" si="37"/>
        <v>6</v>
      </c>
      <c r="H36" s="35">
        <f t="shared" si="37"/>
        <v>9</v>
      </c>
      <c r="I36" s="35">
        <f t="shared" si="37"/>
        <v>15</v>
      </c>
      <c r="J36" s="35">
        <f t="shared" si="37"/>
        <v>9</v>
      </c>
      <c r="K36" s="35">
        <f t="shared" si="37"/>
        <v>17</v>
      </c>
      <c r="L36" s="35">
        <f t="shared" si="37"/>
        <v>9</v>
      </c>
      <c r="M36" s="35">
        <f t="shared" si="37"/>
        <v>13</v>
      </c>
      <c r="N36" s="35">
        <f t="shared" si="37"/>
        <v>11</v>
      </c>
      <c r="O36" s="35">
        <f t="shared" si="37"/>
        <v>15</v>
      </c>
      <c r="P36" s="35">
        <f t="shared" si="37"/>
        <v>16</v>
      </c>
      <c r="Q36" s="35">
        <f t="shared" si="37"/>
        <v>12</v>
      </c>
      <c r="R36" s="35">
        <f t="shared" si="37"/>
        <v>11</v>
      </c>
      <c r="S36" s="35">
        <f t="shared" si="37"/>
        <v>12</v>
      </c>
      <c r="T36" s="35">
        <f t="shared" si="37"/>
        <v>9</v>
      </c>
      <c r="U36" s="35">
        <f t="shared" si="37"/>
        <v>11</v>
      </c>
      <c r="V36" s="35">
        <f t="shared" si="37"/>
        <v>12</v>
      </c>
      <c r="W36" s="35">
        <f t="shared" si="37"/>
        <v>12</v>
      </c>
      <c r="X36" s="35">
        <f t="shared" si="37"/>
        <v>14</v>
      </c>
      <c r="Y36" s="35">
        <f t="shared" si="37"/>
        <v>9</v>
      </c>
      <c r="Z36" s="35">
        <f t="shared" si="37"/>
        <v>9</v>
      </c>
      <c r="AA36" s="35">
        <f t="shared" si="37"/>
        <v>9</v>
      </c>
      <c r="AB36" s="35">
        <f t="shared" si="37"/>
        <v>11</v>
      </c>
      <c r="AC36" s="47"/>
      <c r="AD36" s="47"/>
      <c r="AE36" s="47"/>
    </row>
    <row r="37">
      <c r="A37" s="39">
        <f t="shared" si="4"/>
        <v>36</v>
      </c>
      <c r="B37" s="36" t="s">
        <v>104</v>
      </c>
      <c r="C37" s="35"/>
      <c r="D37" s="35">
        <f t="shared" ref="D37:AB37" si="38">IFERROR(VLOOKUP($B37,indirect(text(D$1,"mm/dd/yy")&amp;"!B:L"),11,false),"Not played")</f>
        <v>19</v>
      </c>
      <c r="E37" s="35">
        <f t="shared" si="38"/>
        <v>9</v>
      </c>
      <c r="F37" s="35">
        <f t="shared" si="38"/>
        <v>15</v>
      </c>
      <c r="G37" s="35">
        <f t="shared" si="38"/>
        <v>11</v>
      </c>
      <c r="H37" s="35">
        <f t="shared" si="38"/>
        <v>9</v>
      </c>
      <c r="I37" s="35">
        <f t="shared" si="38"/>
        <v>14</v>
      </c>
      <c r="J37" s="35">
        <f t="shared" si="38"/>
        <v>16</v>
      </c>
      <c r="K37" s="35">
        <f t="shared" si="38"/>
        <v>5</v>
      </c>
      <c r="L37" s="35">
        <f t="shared" si="38"/>
        <v>18</v>
      </c>
      <c r="M37" s="35">
        <f t="shared" si="38"/>
        <v>9</v>
      </c>
      <c r="N37" s="35">
        <f t="shared" si="38"/>
        <v>9</v>
      </c>
      <c r="O37" s="35">
        <f t="shared" si="38"/>
        <v>11</v>
      </c>
      <c r="P37" s="35">
        <f t="shared" si="38"/>
        <v>9</v>
      </c>
      <c r="Q37" s="35">
        <f t="shared" si="38"/>
        <v>9</v>
      </c>
      <c r="R37" s="35">
        <f t="shared" si="38"/>
        <v>9</v>
      </c>
      <c r="S37" s="35">
        <f t="shared" si="38"/>
        <v>18</v>
      </c>
      <c r="T37" s="35">
        <f t="shared" si="38"/>
        <v>9</v>
      </c>
      <c r="U37" s="35">
        <f t="shared" si="38"/>
        <v>9</v>
      </c>
      <c r="V37" s="35">
        <f t="shared" si="38"/>
        <v>9</v>
      </c>
      <c r="W37" s="35">
        <f t="shared" si="38"/>
        <v>18</v>
      </c>
      <c r="X37" s="35">
        <f t="shared" si="38"/>
        <v>9</v>
      </c>
      <c r="Y37" s="35">
        <f t="shared" si="38"/>
        <v>9</v>
      </c>
      <c r="Z37" s="35">
        <f t="shared" si="38"/>
        <v>19</v>
      </c>
      <c r="AA37" s="35">
        <f t="shared" si="38"/>
        <v>9</v>
      </c>
      <c r="AB37" s="35">
        <f t="shared" si="38"/>
        <v>9</v>
      </c>
      <c r="AC37" s="47"/>
      <c r="AD37" s="47"/>
      <c r="AE37" s="47"/>
    </row>
    <row r="38">
      <c r="A38" s="39">
        <f t="shared" si="4"/>
        <v>37</v>
      </c>
      <c r="B38" s="36" t="s">
        <v>105</v>
      </c>
      <c r="C38" s="35"/>
      <c r="D38" s="35">
        <f t="shared" ref="D38:AB38" si="39">IFERROR(VLOOKUP($B38,indirect(text(D$1,"mm/dd/yy")&amp;"!B:L"),11,false),"Not played")</f>
        <v>9</v>
      </c>
      <c r="E38" s="35">
        <f t="shared" si="39"/>
        <v>9</v>
      </c>
      <c r="F38" s="35">
        <f t="shared" si="39"/>
        <v>9</v>
      </c>
      <c r="G38" s="35">
        <f t="shared" si="39"/>
        <v>9</v>
      </c>
      <c r="H38" s="35">
        <f t="shared" si="39"/>
        <v>9</v>
      </c>
      <c r="I38" s="35">
        <f t="shared" si="39"/>
        <v>9</v>
      </c>
      <c r="J38" s="35">
        <f t="shared" si="39"/>
        <v>9</v>
      </c>
      <c r="K38" s="35">
        <f t="shared" si="39"/>
        <v>9</v>
      </c>
      <c r="L38" s="35">
        <f t="shared" si="39"/>
        <v>9</v>
      </c>
      <c r="M38" s="35">
        <f t="shared" si="39"/>
        <v>9</v>
      </c>
      <c r="N38" s="35">
        <f t="shared" si="39"/>
        <v>9</v>
      </c>
      <c r="O38" s="35">
        <f t="shared" si="39"/>
        <v>9</v>
      </c>
      <c r="P38" s="35">
        <f t="shared" si="39"/>
        <v>9</v>
      </c>
      <c r="Q38" s="35">
        <f t="shared" si="39"/>
        <v>9</v>
      </c>
      <c r="R38" s="35">
        <f t="shared" si="39"/>
        <v>9</v>
      </c>
      <c r="S38" s="35">
        <f t="shared" si="39"/>
        <v>9</v>
      </c>
      <c r="T38" s="35">
        <f t="shared" si="39"/>
        <v>9</v>
      </c>
      <c r="U38" s="35">
        <f t="shared" si="39"/>
        <v>9</v>
      </c>
      <c r="V38" s="35">
        <f t="shared" si="39"/>
        <v>9</v>
      </c>
      <c r="W38" s="35">
        <f t="shared" si="39"/>
        <v>9</v>
      </c>
      <c r="X38" s="35">
        <f t="shared" si="39"/>
        <v>9</v>
      </c>
      <c r="Y38" s="35">
        <f t="shared" si="39"/>
        <v>9</v>
      </c>
      <c r="Z38" s="35">
        <f t="shared" si="39"/>
        <v>9</v>
      </c>
      <c r="AA38" s="35">
        <f t="shared" si="39"/>
        <v>9</v>
      </c>
      <c r="AB38" s="35">
        <f t="shared" si="39"/>
        <v>9</v>
      </c>
      <c r="AC38" s="47"/>
      <c r="AD38" s="47"/>
      <c r="AE38" s="47"/>
    </row>
    <row r="39">
      <c r="A39" s="39">
        <f t="shared" si="4"/>
        <v>38</v>
      </c>
      <c r="B39" s="36" t="s">
        <v>136</v>
      </c>
      <c r="C39" s="35"/>
      <c r="D39" s="35">
        <f t="shared" ref="D39:AB39" si="40">IFERROR(VLOOKUP($B39,indirect(text(D$1,"mm/dd/yy")&amp;"!B:L"),11,false),"Not played")</f>
        <v>9</v>
      </c>
      <c r="E39" s="35">
        <f t="shared" si="40"/>
        <v>9</v>
      </c>
      <c r="F39" s="35">
        <f t="shared" si="40"/>
        <v>16</v>
      </c>
      <c r="G39" s="35">
        <f t="shared" si="40"/>
        <v>6</v>
      </c>
      <c r="H39" s="35">
        <f t="shared" si="40"/>
        <v>8</v>
      </c>
      <c r="I39" s="35">
        <f t="shared" si="40"/>
        <v>9</v>
      </c>
      <c r="J39" s="35">
        <f t="shared" si="40"/>
        <v>9</v>
      </c>
      <c r="K39" s="35">
        <f t="shared" si="40"/>
        <v>15</v>
      </c>
      <c r="L39" s="35">
        <f t="shared" si="40"/>
        <v>12</v>
      </c>
      <c r="M39" s="35">
        <f t="shared" si="40"/>
        <v>9</v>
      </c>
      <c r="N39" s="35">
        <f t="shared" si="40"/>
        <v>8</v>
      </c>
      <c r="O39" s="35">
        <f t="shared" si="40"/>
        <v>9</v>
      </c>
      <c r="P39" s="35">
        <f t="shared" si="40"/>
        <v>9</v>
      </c>
      <c r="Q39" s="35">
        <f t="shared" si="40"/>
        <v>9</v>
      </c>
      <c r="R39" s="35">
        <f t="shared" si="40"/>
        <v>9</v>
      </c>
      <c r="S39" s="35">
        <f t="shared" si="40"/>
        <v>9</v>
      </c>
      <c r="T39" s="35">
        <f t="shared" si="40"/>
        <v>9</v>
      </c>
      <c r="U39" s="35">
        <f t="shared" si="40"/>
        <v>9</v>
      </c>
      <c r="V39" s="35">
        <f t="shared" si="40"/>
        <v>9</v>
      </c>
      <c r="W39" s="35">
        <f t="shared" si="40"/>
        <v>9</v>
      </c>
      <c r="X39" s="35">
        <f t="shared" si="40"/>
        <v>9</v>
      </c>
      <c r="Y39" s="35">
        <f t="shared" si="40"/>
        <v>9</v>
      </c>
      <c r="Z39" s="35">
        <f t="shared" si="40"/>
        <v>9</v>
      </c>
      <c r="AA39" s="35">
        <f t="shared" si="40"/>
        <v>9</v>
      </c>
      <c r="AB39" s="35">
        <f t="shared" si="40"/>
        <v>9</v>
      </c>
      <c r="AC39" s="47"/>
      <c r="AD39" s="47"/>
      <c r="AE39" s="47"/>
    </row>
    <row r="40">
      <c r="A40" s="39">
        <f t="shared" si="4"/>
        <v>39</v>
      </c>
      <c r="B40" s="36" t="s">
        <v>137</v>
      </c>
      <c r="C40" s="35"/>
      <c r="D40" s="35">
        <f t="shared" ref="D40:AB40" si="41">IFERROR(VLOOKUP($B40,indirect(text(D$1,"mm/dd/yy")&amp;"!B:L"),11,false),"Not played")</f>
        <v>15</v>
      </c>
      <c r="E40" s="35">
        <f t="shared" si="41"/>
        <v>12</v>
      </c>
      <c r="F40" s="35">
        <f t="shared" si="41"/>
        <v>14</v>
      </c>
      <c r="G40" s="35">
        <f t="shared" si="41"/>
        <v>9</v>
      </c>
      <c r="H40" s="35">
        <f t="shared" si="41"/>
        <v>9</v>
      </c>
      <c r="I40" s="35">
        <f t="shared" si="41"/>
        <v>9</v>
      </c>
      <c r="J40" s="35">
        <f t="shared" si="41"/>
        <v>14</v>
      </c>
      <c r="K40" s="35">
        <f t="shared" si="41"/>
        <v>15</v>
      </c>
      <c r="L40" s="35">
        <f t="shared" si="41"/>
        <v>10</v>
      </c>
      <c r="M40" s="35">
        <f t="shared" si="41"/>
        <v>15</v>
      </c>
      <c r="N40" s="35">
        <f t="shared" si="41"/>
        <v>15</v>
      </c>
      <c r="O40" s="35">
        <f t="shared" si="41"/>
        <v>9</v>
      </c>
      <c r="P40" s="35">
        <f t="shared" si="41"/>
        <v>7</v>
      </c>
      <c r="Q40" s="35">
        <f t="shared" si="41"/>
        <v>15</v>
      </c>
      <c r="R40" s="35">
        <f t="shared" si="41"/>
        <v>9</v>
      </c>
      <c r="S40" s="35">
        <f t="shared" si="41"/>
        <v>13</v>
      </c>
      <c r="T40" s="35">
        <f t="shared" si="41"/>
        <v>19</v>
      </c>
      <c r="U40" s="35">
        <f t="shared" si="41"/>
        <v>18</v>
      </c>
      <c r="V40" s="35">
        <f t="shared" si="41"/>
        <v>9</v>
      </c>
      <c r="W40" s="35">
        <f t="shared" si="41"/>
        <v>9</v>
      </c>
      <c r="X40" s="35">
        <f t="shared" si="41"/>
        <v>13</v>
      </c>
      <c r="Y40" s="35">
        <f t="shared" si="41"/>
        <v>18</v>
      </c>
      <c r="Z40" s="35">
        <f t="shared" si="41"/>
        <v>7</v>
      </c>
      <c r="AA40" s="35">
        <f t="shared" si="41"/>
        <v>9</v>
      </c>
      <c r="AB40" s="35">
        <f t="shared" si="41"/>
        <v>9</v>
      </c>
      <c r="AC40" s="47"/>
      <c r="AD40" s="47"/>
      <c r="AE40" s="47"/>
    </row>
    <row r="41">
      <c r="A41" s="39">
        <f t="shared" si="4"/>
        <v>40</v>
      </c>
      <c r="B41" s="36" t="s">
        <v>120</v>
      </c>
      <c r="C41" s="35"/>
      <c r="D41" s="35">
        <f t="shared" ref="D41:AB41" si="42">IFERROR(VLOOKUP($B41,indirect(text(D$1,"mm/dd/yy")&amp;"!B:L"),11,false),"Not played")</f>
        <v>9</v>
      </c>
      <c r="E41" s="35">
        <f t="shared" si="42"/>
        <v>16</v>
      </c>
      <c r="F41" s="35">
        <f t="shared" si="42"/>
        <v>20</v>
      </c>
      <c r="G41" s="35">
        <f t="shared" si="42"/>
        <v>9</v>
      </c>
      <c r="H41" s="35">
        <f t="shared" si="42"/>
        <v>9</v>
      </c>
      <c r="I41" s="35">
        <f t="shared" si="42"/>
        <v>9</v>
      </c>
      <c r="J41" s="35">
        <f t="shared" si="42"/>
        <v>16</v>
      </c>
      <c r="K41" s="35">
        <f t="shared" si="42"/>
        <v>9</v>
      </c>
      <c r="L41" s="35">
        <f t="shared" si="42"/>
        <v>9</v>
      </c>
      <c r="M41" s="35">
        <f t="shared" si="42"/>
        <v>9</v>
      </c>
      <c r="N41" s="35">
        <f t="shared" si="42"/>
        <v>14</v>
      </c>
      <c r="O41" s="35">
        <f t="shared" si="42"/>
        <v>17</v>
      </c>
      <c r="P41" s="35">
        <f t="shared" si="42"/>
        <v>9</v>
      </c>
      <c r="Q41" s="35">
        <f t="shared" si="42"/>
        <v>18</v>
      </c>
      <c r="R41" s="35">
        <f t="shared" si="42"/>
        <v>9</v>
      </c>
      <c r="S41" s="35">
        <f t="shared" si="42"/>
        <v>18</v>
      </c>
      <c r="T41" s="35">
        <f t="shared" si="42"/>
        <v>15</v>
      </c>
      <c r="U41" s="35">
        <f t="shared" si="42"/>
        <v>18</v>
      </c>
      <c r="V41" s="35">
        <f t="shared" si="42"/>
        <v>13</v>
      </c>
      <c r="W41" s="35">
        <f t="shared" si="42"/>
        <v>9</v>
      </c>
      <c r="X41" s="35">
        <f t="shared" si="42"/>
        <v>9</v>
      </c>
      <c r="Y41" s="35">
        <f t="shared" si="42"/>
        <v>9</v>
      </c>
      <c r="Z41" s="35">
        <f t="shared" si="42"/>
        <v>15</v>
      </c>
      <c r="AA41" s="35">
        <f t="shared" si="42"/>
        <v>9</v>
      </c>
      <c r="AB41" s="35">
        <f t="shared" si="42"/>
        <v>9</v>
      </c>
      <c r="AC41" s="47"/>
      <c r="AD41" s="47"/>
      <c r="AE41" s="47"/>
    </row>
    <row r="42">
      <c r="A42" s="39">
        <f t="shared" si="4"/>
        <v>41</v>
      </c>
      <c r="B42" s="36" t="s">
        <v>95</v>
      </c>
      <c r="C42" s="35"/>
      <c r="D42" s="35">
        <f t="shared" ref="D42:AB42" si="43">IFERROR(VLOOKUP($B42,indirect(text(D$1,"mm/dd/yy")&amp;"!B:L"),11,false),"Not played")</f>
        <v>9</v>
      </c>
      <c r="E42" s="35">
        <f t="shared" si="43"/>
        <v>9</v>
      </c>
      <c r="F42" s="35">
        <f t="shared" si="43"/>
        <v>12</v>
      </c>
      <c r="G42" s="35">
        <f t="shared" si="43"/>
        <v>16</v>
      </c>
      <c r="H42" s="35">
        <f t="shared" si="43"/>
        <v>9</v>
      </c>
      <c r="I42" s="35">
        <f t="shared" si="43"/>
        <v>14</v>
      </c>
      <c r="J42" s="35">
        <f t="shared" si="43"/>
        <v>12</v>
      </c>
      <c r="K42" s="35">
        <f t="shared" si="43"/>
        <v>9</v>
      </c>
      <c r="L42" s="35">
        <f t="shared" si="43"/>
        <v>16</v>
      </c>
      <c r="M42" s="35">
        <f t="shared" si="43"/>
        <v>17</v>
      </c>
      <c r="N42" s="35">
        <f t="shared" si="43"/>
        <v>11</v>
      </c>
      <c r="O42" s="35">
        <f t="shared" si="43"/>
        <v>17</v>
      </c>
      <c r="P42" s="35">
        <f t="shared" si="43"/>
        <v>14</v>
      </c>
      <c r="Q42" s="35">
        <f t="shared" si="43"/>
        <v>6</v>
      </c>
      <c r="R42" s="35">
        <f t="shared" si="43"/>
        <v>19</v>
      </c>
      <c r="S42" s="35">
        <f t="shared" si="43"/>
        <v>17</v>
      </c>
      <c r="T42" s="35">
        <f t="shared" si="43"/>
        <v>18</v>
      </c>
      <c r="U42" s="35">
        <f t="shared" si="43"/>
        <v>19</v>
      </c>
      <c r="V42" s="35">
        <f t="shared" si="43"/>
        <v>14</v>
      </c>
      <c r="W42" s="35">
        <f t="shared" si="43"/>
        <v>10</v>
      </c>
      <c r="X42" s="35">
        <f t="shared" si="43"/>
        <v>14</v>
      </c>
      <c r="Y42" s="35">
        <f t="shared" si="43"/>
        <v>9</v>
      </c>
      <c r="Z42" s="35">
        <f t="shared" si="43"/>
        <v>9</v>
      </c>
      <c r="AA42" s="35">
        <f t="shared" si="43"/>
        <v>9</v>
      </c>
      <c r="AB42" s="35">
        <f t="shared" si="43"/>
        <v>13</v>
      </c>
      <c r="AC42" s="47"/>
      <c r="AD42" s="47"/>
      <c r="AE42" s="47"/>
    </row>
    <row r="43">
      <c r="A43" s="39">
        <f t="shared" si="4"/>
        <v>42</v>
      </c>
      <c r="B43" s="36" t="s">
        <v>138</v>
      </c>
      <c r="C43" s="35"/>
      <c r="D43" s="35">
        <f t="shared" ref="D43:AB43" si="44">IFERROR(VLOOKUP($B43,indirect(text(D$1,"mm/dd/yy")&amp;"!B:L"),11,false),"Not played")</f>
        <v>9</v>
      </c>
      <c r="E43" s="35">
        <f t="shared" si="44"/>
        <v>12</v>
      </c>
      <c r="F43" s="35">
        <f t="shared" si="44"/>
        <v>10</v>
      </c>
      <c r="G43" s="35">
        <f t="shared" si="44"/>
        <v>10</v>
      </c>
      <c r="H43" s="35">
        <f t="shared" si="44"/>
        <v>9</v>
      </c>
      <c r="I43" s="35">
        <f t="shared" si="44"/>
        <v>16</v>
      </c>
      <c r="J43" s="35">
        <f t="shared" si="44"/>
        <v>11</v>
      </c>
      <c r="K43" s="35">
        <f t="shared" si="44"/>
        <v>15</v>
      </c>
      <c r="L43" s="35">
        <f t="shared" si="44"/>
        <v>9</v>
      </c>
      <c r="M43" s="35">
        <f t="shared" si="44"/>
        <v>13</v>
      </c>
      <c r="N43" s="35">
        <f t="shared" si="44"/>
        <v>9</v>
      </c>
      <c r="O43" s="35">
        <f t="shared" si="44"/>
        <v>10</v>
      </c>
      <c r="P43" s="35">
        <f t="shared" si="44"/>
        <v>16</v>
      </c>
      <c r="Q43" s="35">
        <f t="shared" si="44"/>
        <v>17</v>
      </c>
      <c r="R43" s="35">
        <f t="shared" si="44"/>
        <v>9</v>
      </c>
      <c r="S43" s="35">
        <f t="shared" si="44"/>
        <v>9</v>
      </c>
      <c r="T43" s="35">
        <f t="shared" si="44"/>
        <v>11</v>
      </c>
      <c r="U43" s="35">
        <f t="shared" si="44"/>
        <v>19</v>
      </c>
      <c r="V43" s="35">
        <f t="shared" si="44"/>
        <v>9</v>
      </c>
      <c r="W43" s="35">
        <f t="shared" si="44"/>
        <v>13</v>
      </c>
      <c r="X43" s="35">
        <f t="shared" si="44"/>
        <v>9</v>
      </c>
      <c r="Y43" s="35">
        <f t="shared" si="44"/>
        <v>12</v>
      </c>
      <c r="Z43" s="35">
        <f t="shared" si="44"/>
        <v>9</v>
      </c>
      <c r="AA43" s="35">
        <f t="shared" si="44"/>
        <v>11</v>
      </c>
      <c r="AB43" s="35">
        <f t="shared" si="44"/>
        <v>11</v>
      </c>
      <c r="AC43" s="47"/>
      <c r="AD43" s="47"/>
      <c r="AE43" s="47"/>
    </row>
    <row r="44">
      <c r="A44" s="39">
        <f t="shared" si="4"/>
        <v>43</v>
      </c>
      <c r="B44" s="36" t="s">
        <v>91</v>
      </c>
      <c r="C44" s="35"/>
      <c r="D44" s="35">
        <f t="shared" ref="D44:AB44" si="45">IFERROR(VLOOKUP($B44,indirect(text(D$1,"mm/dd/yy")&amp;"!B:L"),11,false),"Not played")</f>
        <v>9</v>
      </c>
      <c r="E44" s="35">
        <f t="shared" si="45"/>
        <v>15</v>
      </c>
      <c r="F44" s="35">
        <f t="shared" si="45"/>
        <v>15</v>
      </c>
      <c r="G44" s="35">
        <f t="shared" si="45"/>
        <v>16</v>
      </c>
      <c r="H44" s="35">
        <f t="shared" si="45"/>
        <v>9</v>
      </c>
      <c r="I44" s="35">
        <f t="shared" si="45"/>
        <v>19</v>
      </c>
      <c r="J44" s="35">
        <f t="shared" si="45"/>
        <v>14</v>
      </c>
      <c r="K44" s="35">
        <f t="shared" si="45"/>
        <v>9</v>
      </c>
      <c r="L44" s="35">
        <f t="shared" si="45"/>
        <v>19</v>
      </c>
      <c r="M44" s="35">
        <f t="shared" si="45"/>
        <v>9</v>
      </c>
      <c r="N44" s="35">
        <f t="shared" si="45"/>
        <v>9</v>
      </c>
      <c r="O44" s="35">
        <f t="shared" si="45"/>
        <v>9</v>
      </c>
      <c r="P44" s="35">
        <f t="shared" si="45"/>
        <v>14</v>
      </c>
      <c r="Q44" s="35">
        <f t="shared" si="45"/>
        <v>16</v>
      </c>
      <c r="R44" s="35">
        <f t="shared" si="45"/>
        <v>9</v>
      </c>
      <c r="S44" s="35">
        <f t="shared" si="45"/>
        <v>20</v>
      </c>
      <c r="T44" s="35">
        <f t="shared" si="45"/>
        <v>9</v>
      </c>
      <c r="U44" s="35">
        <f t="shared" si="45"/>
        <v>9</v>
      </c>
      <c r="V44" s="35">
        <f t="shared" si="45"/>
        <v>14</v>
      </c>
      <c r="W44" s="35">
        <f t="shared" si="45"/>
        <v>14</v>
      </c>
      <c r="X44" s="35">
        <f t="shared" si="45"/>
        <v>14</v>
      </c>
      <c r="Y44" s="35">
        <f t="shared" si="45"/>
        <v>13</v>
      </c>
      <c r="Z44" s="35">
        <f t="shared" si="45"/>
        <v>12</v>
      </c>
      <c r="AA44" s="35">
        <f t="shared" si="45"/>
        <v>18</v>
      </c>
      <c r="AB44" s="35">
        <f t="shared" si="45"/>
        <v>11</v>
      </c>
      <c r="AC44" s="47"/>
      <c r="AD44" s="47"/>
      <c r="AE44" s="47"/>
    </row>
    <row r="45">
      <c r="A45" s="39">
        <f t="shared" si="4"/>
        <v>44</v>
      </c>
      <c r="B45" s="36" t="s">
        <v>99</v>
      </c>
      <c r="C45" s="35"/>
      <c r="D45" s="35">
        <f t="shared" ref="D45:AB45" si="46">IFERROR(VLOOKUP($B45,indirect(text(D$1,"mm/dd/yy")&amp;"!B:L"),11,false),"Not played")</f>
        <v>14</v>
      </c>
      <c r="E45" s="35">
        <f t="shared" si="46"/>
        <v>17</v>
      </c>
      <c r="F45" s="35">
        <f t="shared" si="46"/>
        <v>15</v>
      </c>
      <c r="G45" s="35">
        <f t="shared" si="46"/>
        <v>7</v>
      </c>
      <c r="H45" s="35">
        <f t="shared" si="46"/>
        <v>9</v>
      </c>
      <c r="I45" s="35">
        <f t="shared" si="46"/>
        <v>9</v>
      </c>
      <c r="J45" s="35">
        <f t="shared" si="46"/>
        <v>14</v>
      </c>
      <c r="K45" s="35">
        <f t="shared" si="46"/>
        <v>19</v>
      </c>
      <c r="L45" s="35">
        <f t="shared" si="46"/>
        <v>11</v>
      </c>
      <c r="M45" s="35">
        <f t="shared" si="46"/>
        <v>13</v>
      </c>
      <c r="N45" s="35">
        <f t="shared" si="46"/>
        <v>9</v>
      </c>
      <c r="O45" s="35">
        <f t="shared" si="46"/>
        <v>13</v>
      </c>
      <c r="P45" s="35">
        <f t="shared" si="46"/>
        <v>15</v>
      </c>
      <c r="Q45" s="35">
        <f t="shared" si="46"/>
        <v>12</v>
      </c>
      <c r="R45" s="35">
        <f t="shared" si="46"/>
        <v>9</v>
      </c>
      <c r="S45" s="35">
        <f t="shared" si="46"/>
        <v>14</v>
      </c>
      <c r="T45" s="35">
        <f t="shared" si="46"/>
        <v>13</v>
      </c>
      <c r="U45" s="35">
        <f t="shared" si="46"/>
        <v>16</v>
      </c>
      <c r="V45" s="35">
        <f t="shared" si="46"/>
        <v>9</v>
      </c>
      <c r="W45" s="35">
        <f t="shared" si="46"/>
        <v>10</v>
      </c>
      <c r="X45" s="35">
        <f t="shared" si="46"/>
        <v>13</v>
      </c>
      <c r="Y45" s="35">
        <f t="shared" si="46"/>
        <v>18</v>
      </c>
      <c r="Z45" s="35">
        <f t="shared" si="46"/>
        <v>13</v>
      </c>
      <c r="AA45" s="35">
        <f t="shared" si="46"/>
        <v>16</v>
      </c>
      <c r="AB45" s="35">
        <f t="shared" si="46"/>
        <v>8</v>
      </c>
      <c r="AC45" s="47"/>
      <c r="AD45" s="47"/>
      <c r="AE45" s="47"/>
    </row>
    <row r="46">
      <c r="A46" s="39">
        <f t="shared" si="4"/>
        <v>45</v>
      </c>
      <c r="B46" s="36" t="s">
        <v>139</v>
      </c>
      <c r="C46" s="35"/>
      <c r="D46" s="35">
        <f t="shared" ref="D46:AB46" si="47">IFERROR(VLOOKUP($B46,indirect(text(D$1,"mm/dd/yy")&amp;"!B:L"),11,false),"Not played")</f>
        <v>14</v>
      </c>
      <c r="E46" s="35">
        <f t="shared" si="47"/>
        <v>15</v>
      </c>
      <c r="F46" s="35">
        <f t="shared" si="47"/>
        <v>8</v>
      </c>
      <c r="G46" s="35">
        <f t="shared" si="47"/>
        <v>13</v>
      </c>
      <c r="H46" s="35">
        <f t="shared" si="47"/>
        <v>9</v>
      </c>
      <c r="I46" s="35">
        <f t="shared" si="47"/>
        <v>11</v>
      </c>
      <c r="J46" s="35">
        <f t="shared" si="47"/>
        <v>12</v>
      </c>
      <c r="K46" s="35">
        <f t="shared" si="47"/>
        <v>9</v>
      </c>
      <c r="L46" s="35">
        <f t="shared" si="47"/>
        <v>16</v>
      </c>
      <c r="M46" s="35">
        <f t="shared" si="47"/>
        <v>16</v>
      </c>
      <c r="N46" s="35">
        <f t="shared" si="47"/>
        <v>9</v>
      </c>
      <c r="O46" s="35">
        <f t="shared" si="47"/>
        <v>7</v>
      </c>
      <c r="P46" s="35">
        <f t="shared" si="47"/>
        <v>9</v>
      </c>
      <c r="Q46" s="35">
        <f t="shared" si="47"/>
        <v>15</v>
      </c>
      <c r="R46" s="35">
        <f t="shared" si="47"/>
        <v>18</v>
      </c>
      <c r="S46" s="35">
        <f t="shared" si="47"/>
        <v>14</v>
      </c>
      <c r="T46" s="35">
        <f t="shared" si="47"/>
        <v>13</v>
      </c>
      <c r="U46" s="35">
        <f t="shared" si="47"/>
        <v>10</v>
      </c>
      <c r="V46" s="35">
        <f t="shared" si="47"/>
        <v>13</v>
      </c>
      <c r="W46" s="35">
        <f t="shared" si="47"/>
        <v>9</v>
      </c>
      <c r="X46" s="35">
        <f t="shared" si="47"/>
        <v>9</v>
      </c>
      <c r="Y46" s="35">
        <f t="shared" si="47"/>
        <v>13</v>
      </c>
      <c r="Z46" s="35">
        <f t="shared" si="47"/>
        <v>13</v>
      </c>
      <c r="AA46" s="35">
        <f t="shared" si="47"/>
        <v>9</v>
      </c>
      <c r="AB46" s="35">
        <f t="shared" si="47"/>
        <v>9</v>
      </c>
      <c r="AC46" s="47"/>
      <c r="AD46" s="47"/>
      <c r="AE46" s="47"/>
    </row>
    <row r="47">
      <c r="A47" s="39">
        <f t="shared" si="4"/>
        <v>46</v>
      </c>
      <c r="B47" s="36" t="s">
        <v>140</v>
      </c>
      <c r="C47" s="35"/>
      <c r="D47" s="35">
        <f t="shared" ref="D47:AB47" si="48">IFERROR(VLOOKUP($B47,indirect(text(D$1,"mm/dd/yy")&amp;"!B:L"),11,false),"Not played")</f>
        <v>14</v>
      </c>
      <c r="E47" s="35">
        <f t="shared" si="48"/>
        <v>14</v>
      </c>
      <c r="F47" s="35">
        <f t="shared" si="48"/>
        <v>9</v>
      </c>
      <c r="G47" s="35">
        <f t="shared" si="48"/>
        <v>9</v>
      </c>
      <c r="H47" s="35">
        <f t="shared" si="48"/>
        <v>8</v>
      </c>
      <c r="I47" s="35">
        <f t="shared" si="48"/>
        <v>10</v>
      </c>
      <c r="J47" s="35">
        <f t="shared" si="48"/>
        <v>17</v>
      </c>
      <c r="K47" s="35">
        <f t="shared" si="48"/>
        <v>9</v>
      </c>
      <c r="L47" s="35">
        <f t="shared" si="48"/>
        <v>9</v>
      </c>
      <c r="M47" s="35">
        <f t="shared" si="48"/>
        <v>9</v>
      </c>
      <c r="N47" s="35">
        <f t="shared" si="48"/>
        <v>18</v>
      </c>
      <c r="O47" s="35">
        <f t="shared" si="48"/>
        <v>9</v>
      </c>
      <c r="P47" s="35">
        <f t="shared" si="48"/>
        <v>11</v>
      </c>
      <c r="Q47" s="35">
        <f t="shared" si="48"/>
        <v>8</v>
      </c>
      <c r="R47" s="35">
        <f t="shared" si="48"/>
        <v>8</v>
      </c>
      <c r="S47" s="35">
        <f t="shared" si="48"/>
        <v>10</v>
      </c>
      <c r="T47" s="35">
        <f t="shared" si="48"/>
        <v>9</v>
      </c>
      <c r="U47" s="35">
        <f t="shared" si="48"/>
        <v>11</v>
      </c>
      <c r="V47" s="35">
        <f t="shared" si="48"/>
        <v>10</v>
      </c>
      <c r="W47" s="35">
        <f t="shared" si="48"/>
        <v>16</v>
      </c>
      <c r="X47" s="35">
        <f t="shared" si="48"/>
        <v>9</v>
      </c>
      <c r="Y47" s="35">
        <f t="shared" si="48"/>
        <v>11</v>
      </c>
      <c r="Z47" s="35">
        <f t="shared" si="48"/>
        <v>17</v>
      </c>
      <c r="AA47" s="35">
        <f t="shared" si="48"/>
        <v>13</v>
      </c>
      <c r="AB47" s="35">
        <f t="shared" si="48"/>
        <v>9</v>
      </c>
      <c r="AC47" s="47"/>
      <c r="AD47" s="47"/>
      <c r="AE47" s="47"/>
    </row>
    <row r="48">
      <c r="A48" s="39">
        <f t="shared" si="4"/>
        <v>47</v>
      </c>
      <c r="B48" s="36" t="s">
        <v>113</v>
      </c>
      <c r="C48" s="35"/>
      <c r="D48" s="35">
        <f t="shared" ref="D48:AB48" si="49">IFERROR(VLOOKUP($B48,indirect(text(D$1,"mm/dd/yy")&amp;"!B:L"),11,false),"Not played")</f>
        <v>9</v>
      </c>
      <c r="E48" s="35">
        <f t="shared" si="49"/>
        <v>13</v>
      </c>
      <c r="F48" s="35">
        <f t="shared" si="49"/>
        <v>17</v>
      </c>
      <c r="G48" s="35">
        <f t="shared" si="49"/>
        <v>6</v>
      </c>
      <c r="H48" s="35">
        <f t="shared" si="49"/>
        <v>15</v>
      </c>
      <c r="I48" s="35">
        <f t="shared" si="49"/>
        <v>9</v>
      </c>
      <c r="J48" s="35">
        <f t="shared" si="49"/>
        <v>9</v>
      </c>
      <c r="K48" s="35">
        <f t="shared" si="49"/>
        <v>9</v>
      </c>
      <c r="L48" s="35">
        <f t="shared" si="49"/>
        <v>9</v>
      </c>
      <c r="M48" s="35">
        <f t="shared" si="49"/>
        <v>18</v>
      </c>
      <c r="N48" s="35">
        <f t="shared" si="49"/>
        <v>9</v>
      </c>
      <c r="O48" s="35">
        <f t="shared" si="49"/>
        <v>18</v>
      </c>
      <c r="P48" s="35">
        <f t="shared" si="49"/>
        <v>9</v>
      </c>
      <c r="Q48" s="35">
        <f t="shared" si="49"/>
        <v>20</v>
      </c>
      <c r="R48" s="35">
        <f t="shared" si="49"/>
        <v>14</v>
      </c>
      <c r="S48" s="35">
        <f t="shared" si="49"/>
        <v>9</v>
      </c>
      <c r="T48" s="35">
        <f t="shared" si="49"/>
        <v>17</v>
      </c>
      <c r="U48" s="35">
        <f t="shared" si="49"/>
        <v>9</v>
      </c>
      <c r="V48" s="35">
        <f t="shared" si="49"/>
        <v>18</v>
      </c>
      <c r="W48" s="35">
        <f t="shared" si="49"/>
        <v>9</v>
      </c>
      <c r="X48" s="35">
        <f t="shared" si="49"/>
        <v>16</v>
      </c>
      <c r="Y48" s="35">
        <f t="shared" si="49"/>
        <v>16</v>
      </c>
      <c r="Z48" s="35">
        <f t="shared" si="49"/>
        <v>16</v>
      </c>
      <c r="AA48" s="35">
        <f t="shared" si="49"/>
        <v>9</v>
      </c>
      <c r="AB48" s="35">
        <f t="shared" si="49"/>
        <v>9</v>
      </c>
      <c r="AC48" s="47"/>
      <c r="AD48" s="47"/>
      <c r="AE48" s="47"/>
    </row>
    <row r="49">
      <c r="A49" s="39">
        <f t="shared" si="4"/>
        <v>48</v>
      </c>
      <c r="B49" s="36" t="s">
        <v>80</v>
      </c>
      <c r="C49" s="35"/>
      <c r="D49" s="35">
        <f t="shared" ref="D49:AB49" si="50">IFERROR(VLOOKUP($B49,indirect(text(D$1,"mm/dd/yy")&amp;"!B:L"),11,false),"Not played")</f>
        <v>11</v>
      </c>
      <c r="E49" s="35">
        <f t="shared" si="50"/>
        <v>16</v>
      </c>
      <c r="F49" s="35">
        <f t="shared" si="50"/>
        <v>13</v>
      </c>
      <c r="G49" s="35">
        <f t="shared" si="50"/>
        <v>9</v>
      </c>
      <c r="H49" s="35">
        <f t="shared" si="50"/>
        <v>11</v>
      </c>
      <c r="I49" s="35">
        <f t="shared" si="50"/>
        <v>13</v>
      </c>
      <c r="J49" s="35">
        <f t="shared" si="50"/>
        <v>15</v>
      </c>
      <c r="K49" s="35">
        <f t="shared" si="50"/>
        <v>19</v>
      </c>
      <c r="L49" s="35">
        <f t="shared" si="50"/>
        <v>17</v>
      </c>
      <c r="M49" s="35">
        <f t="shared" si="50"/>
        <v>10</v>
      </c>
      <c r="N49" s="35">
        <f t="shared" si="50"/>
        <v>19</v>
      </c>
      <c r="O49" s="35">
        <f t="shared" si="50"/>
        <v>17</v>
      </c>
      <c r="P49" s="35">
        <f t="shared" si="50"/>
        <v>9</v>
      </c>
      <c r="Q49" s="35">
        <f t="shared" si="50"/>
        <v>9</v>
      </c>
      <c r="R49" s="35">
        <f t="shared" si="50"/>
        <v>15</v>
      </c>
      <c r="S49" s="35">
        <f t="shared" si="50"/>
        <v>16</v>
      </c>
      <c r="T49" s="35">
        <f t="shared" si="50"/>
        <v>9</v>
      </c>
      <c r="U49" s="35">
        <f t="shared" si="50"/>
        <v>14</v>
      </c>
      <c r="V49" s="35">
        <f t="shared" si="50"/>
        <v>9</v>
      </c>
      <c r="W49" s="35">
        <f t="shared" si="50"/>
        <v>15</v>
      </c>
      <c r="X49" s="35">
        <f t="shared" si="50"/>
        <v>13</v>
      </c>
      <c r="Y49" s="35">
        <f t="shared" si="50"/>
        <v>9</v>
      </c>
      <c r="Z49" s="35">
        <f t="shared" si="50"/>
        <v>18</v>
      </c>
      <c r="AA49" s="35">
        <f t="shared" si="50"/>
        <v>14</v>
      </c>
      <c r="AB49" s="35">
        <f t="shared" si="50"/>
        <v>10</v>
      </c>
      <c r="AC49" s="47"/>
      <c r="AD49" s="47"/>
      <c r="AE49" s="47"/>
    </row>
    <row r="50">
      <c r="A50" s="39">
        <f t="shared" si="4"/>
        <v>49</v>
      </c>
      <c r="B50" s="36" t="s">
        <v>63</v>
      </c>
      <c r="C50" s="35"/>
      <c r="D50" s="35">
        <f t="shared" ref="D50:AB50" si="51">IFERROR(VLOOKUP($B50,indirect(text(D$1,"mm/dd/yy")&amp;"!B:L"),11,false),"Not played")</f>
        <v>13</v>
      </c>
      <c r="E50" s="35">
        <f t="shared" si="51"/>
        <v>9</v>
      </c>
      <c r="F50" s="35">
        <f t="shared" si="51"/>
        <v>19</v>
      </c>
      <c r="G50" s="35">
        <f t="shared" si="51"/>
        <v>13</v>
      </c>
      <c r="H50" s="35">
        <f t="shared" si="51"/>
        <v>16</v>
      </c>
      <c r="I50" s="35">
        <f t="shared" si="51"/>
        <v>18</v>
      </c>
      <c r="J50" s="35">
        <f t="shared" si="51"/>
        <v>9</v>
      </c>
      <c r="K50" s="35">
        <f t="shared" si="51"/>
        <v>10</v>
      </c>
      <c r="L50" s="35">
        <f t="shared" si="51"/>
        <v>20</v>
      </c>
      <c r="M50" s="35">
        <f t="shared" si="51"/>
        <v>18</v>
      </c>
      <c r="N50" s="35">
        <f t="shared" si="51"/>
        <v>14</v>
      </c>
      <c r="O50" s="35">
        <f t="shared" si="51"/>
        <v>17</v>
      </c>
      <c r="P50" s="35">
        <f t="shared" si="51"/>
        <v>19</v>
      </c>
      <c r="Q50" s="35">
        <f t="shared" si="51"/>
        <v>16</v>
      </c>
      <c r="R50" s="35">
        <f t="shared" si="51"/>
        <v>16</v>
      </c>
      <c r="S50" s="35">
        <f t="shared" si="51"/>
        <v>15</v>
      </c>
      <c r="T50" s="35">
        <f t="shared" si="51"/>
        <v>17</v>
      </c>
      <c r="U50" s="35">
        <f t="shared" si="51"/>
        <v>18</v>
      </c>
      <c r="V50" s="35">
        <f t="shared" si="51"/>
        <v>15</v>
      </c>
      <c r="W50" s="35">
        <f t="shared" si="51"/>
        <v>9</v>
      </c>
      <c r="X50" s="35">
        <f t="shared" si="51"/>
        <v>9</v>
      </c>
      <c r="Y50" s="35">
        <f t="shared" si="51"/>
        <v>14</v>
      </c>
      <c r="Z50" s="35">
        <f t="shared" si="51"/>
        <v>15</v>
      </c>
      <c r="AA50" s="35">
        <f t="shared" si="51"/>
        <v>15</v>
      </c>
      <c r="AB50" s="35">
        <f t="shared" si="51"/>
        <v>17</v>
      </c>
      <c r="AC50" s="47"/>
      <c r="AD50" s="47"/>
      <c r="AE50" s="47"/>
    </row>
    <row r="51">
      <c r="A51" s="39">
        <f t="shared" si="4"/>
        <v>50</v>
      </c>
      <c r="B51" s="36" t="s">
        <v>112</v>
      </c>
      <c r="C51" s="35"/>
      <c r="D51" s="35">
        <f t="shared" ref="D51:AB51" si="52">IFERROR(VLOOKUP($B51,indirect(text(D$1,"mm/dd/yy")&amp;"!B:L"),11,false),"Not played")</f>
        <v>9</v>
      </c>
      <c r="E51" s="35">
        <f t="shared" si="52"/>
        <v>12</v>
      </c>
      <c r="F51" s="35">
        <f t="shared" si="52"/>
        <v>13</v>
      </c>
      <c r="G51" s="35">
        <f t="shared" si="52"/>
        <v>9</v>
      </c>
      <c r="H51" s="35">
        <f t="shared" si="52"/>
        <v>17</v>
      </c>
      <c r="I51" s="35">
        <f t="shared" si="52"/>
        <v>18</v>
      </c>
      <c r="J51" s="35">
        <f t="shared" si="52"/>
        <v>9</v>
      </c>
      <c r="K51" s="35">
        <f t="shared" si="52"/>
        <v>15</v>
      </c>
      <c r="L51" s="35">
        <f t="shared" si="52"/>
        <v>9</v>
      </c>
      <c r="M51" s="35">
        <f t="shared" si="52"/>
        <v>9</v>
      </c>
      <c r="N51" s="35">
        <f t="shared" si="52"/>
        <v>17</v>
      </c>
      <c r="O51" s="35">
        <f t="shared" si="52"/>
        <v>15</v>
      </c>
      <c r="P51" s="35">
        <f t="shared" si="52"/>
        <v>10</v>
      </c>
      <c r="Q51" s="35">
        <f t="shared" si="52"/>
        <v>11</v>
      </c>
      <c r="R51" s="35">
        <f t="shared" si="52"/>
        <v>13</v>
      </c>
      <c r="S51" s="35">
        <f t="shared" si="52"/>
        <v>18</v>
      </c>
      <c r="T51" s="35">
        <f t="shared" si="52"/>
        <v>9</v>
      </c>
      <c r="U51" s="35">
        <f t="shared" si="52"/>
        <v>12</v>
      </c>
      <c r="V51" s="35">
        <f t="shared" si="52"/>
        <v>11</v>
      </c>
      <c r="W51" s="35">
        <f t="shared" si="52"/>
        <v>9</v>
      </c>
      <c r="X51" s="35">
        <f t="shared" si="52"/>
        <v>9</v>
      </c>
      <c r="Y51" s="35">
        <f t="shared" si="52"/>
        <v>9</v>
      </c>
      <c r="Z51" s="35">
        <f t="shared" si="52"/>
        <v>20</v>
      </c>
      <c r="AA51" s="35">
        <f t="shared" si="52"/>
        <v>11</v>
      </c>
      <c r="AB51" s="35">
        <f t="shared" si="52"/>
        <v>18</v>
      </c>
      <c r="AC51" s="47"/>
      <c r="AD51" s="47"/>
      <c r="AE51" s="47"/>
    </row>
    <row r="52">
      <c r="A52" s="39">
        <f t="shared" si="4"/>
        <v>51</v>
      </c>
      <c r="B52" s="36" t="s">
        <v>141</v>
      </c>
      <c r="C52" s="35"/>
      <c r="D52" s="35">
        <f t="shared" ref="D52:AB52" si="53">IFERROR(VLOOKUP($B52,indirect(text(D$1,"mm/dd/yy")&amp;"!B:L"),11,false),"Not played")</f>
        <v>9</v>
      </c>
      <c r="E52" s="35">
        <f t="shared" si="53"/>
        <v>9</v>
      </c>
      <c r="F52" s="35">
        <f t="shared" si="53"/>
        <v>9</v>
      </c>
      <c r="G52" s="35">
        <f t="shared" si="53"/>
        <v>9</v>
      </c>
      <c r="H52" s="35">
        <f t="shared" si="53"/>
        <v>9</v>
      </c>
      <c r="I52" s="35">
        <f t="shared" si="53"/>
        <v>9</v>
      </c>
      <c r="J52" s="35">
        <f t="shared" si="53"/>
        <v>9</v>
      </c>
      <c r="K52" s="35">
        <f t="shared" si="53"/>
        <v>9</v>
      </c>
      <c r="L52" s="35">
        <f t="shared" si="53"/>
        <v>9</v>
      </c>
      <c r="M52" s="35">
        <f t="shared" si="53"/>
        <v>9</v>
      </c>
      <c r="N52" s="35">
        <f t="shared" si="53"/>
        <v>9</v>
      </c>
      <c r="O52" s="35">
        <f t="shared" si="53"/>
        <v>9</v>
      </c>
      <c r="P52" s="35">
        <f t="shared" si="53"/>
        <v>9</v>
      </c>
      <c r="Q52" s="35">
        <f t="shared" si="53"/>
        <v>9</v>
      </c>
      <c r="R52" s="35">
        <f t="shared" si="53"/>
        <v>9</v>
      </c>
      <c r="S52" s="35">
        <f t="shared" si="53"/>
        <v>9</v>
      </c>
      <c r="T52" s="35">
        <f t="shared" si="53"/>
        <v>9</v>
      </c>
      <c r="U52" s="35">
        <f t="shared" si="53"/>
        <v>9</v>
      </c>
      <c r="V52" s="35">
        <f t="shared" si="53"/>
        <v>9</v>
      </c>
      <c r="W52" s="35">
        <f t="shared" si="53"/>
        <v>9</v>
      </c>
      <c r="X52" s="35">
        <f t="shared" si="53"/>
        <v>9</v>
      </c>
      <c r="Y52" s="35">
        <f t="shared" si="53"/>
        <v>14</v>
      </c>
      <c r="Z52" s="35">
        <f t="shared" si="53"/>
        <v>9</v>
      </c>
      <c r="AA52" s="35">
        <f t="shared" si="53"/>
        <v>9</v>
      </c>
      <c r="AB52" s="35">
        <f t="shared" si="53"/>
        <v>9</v>
      </c>
      <c r="AC52" s="47"/>
      <c r="AD52" s="47"/>
      <c r="AE52" s="47"/>
    </row>
    <row r="53">
      <c r="A53" s="39">
        <f t="shared" si="4"/>
        <v>52</v>
      </c>
      <c r="B53" s="36" t="s">
        <v>143</v>
      </c>
      <c r="C53" s="35"/>
      <c r="D53" s="35">
        <f t="shared" ref="D53:AB53" si="54">IFERROR(VLOOKUP($B53,indirect(text(D$1,"mm/dd/yy")&amp;"!B:L"),11,false),"Not played")</f>
        <v>9</v>
      </c>
      <c r="E53" s="35">
        <f t="shared" si="54"/>
        <v>13</v>
      </c>
      <c r="F53" s="35">
        <f t="shared" si="54"/>
        <v>9</v>
      </c>
      <c r="G53" s="35">
        <f t="shared" si="54"/>
        <v>9</v>
      </c>
      <c r="H53" s="35">
        <f t="shared" si="54"/>
        <v>16</v>
      </c>
      <c r="I53" s="35">
        <f t="shared" si="54"/>
        <v>14</v>
      </c>
      <c r="J53" s="35">
        <f t="shared" si="54"/>
        <v>9</v>
      </c>
      <c r="K53" s="35">
        <f t="shared" si="54"/>
        <v>9</v>
      </c>
      <c r="L53" s="35">
        <f t="shared" si="54"/>
        <v>15</v>
      </c>
      <c r="M53" s="35">
        <f t="shared" si="54"/>
        <v>12</v>
      </c>
      <c r="N53" s="35">
        <f t="shared" si="54"/>
        <v>13</v>
      </c>
      <c r="O53" s="35">
        <f t="shared" si="54"/>
        <v>16</v>
      </c>
      <c r="P53" s="35">
        <f t="shared" si="54"/>
        <v>15</v>
      </c>
      <c r="Q53" s="35">
        <f t="shared" si="54"/>
        <v>9</v>
      </c>
      <c r="R53" s="35">
        <f t="shared" si="54"/>
        <v>8</v>
      </c>
      <c r="S53" s="35">
        <f t="shared" si="54"/>
        <v>14</v>
      </c>
      <c r="T53" s="35">
        <f t="shared" si="54"/>
        <v>9</v>
      </c>
      <c r="U53" s="35">
        <f t="shared" si="54"/>
        <v>9</v>
      </c>
      <c r="V53" s="35">
        <f t="shared" si="54"/>
        <v>9</v>
      </c>
      <c r="W53" s="35">
        <f t="shared" si="54"/>
        <v>12</v>
      </c>
      <c r="X53" s="35">
        <f t="shared" si="54"/>
        <v>9</v>
      </c>
      <c r="Y53" s="35">
        <f t="shared" si="54"/>
        <v>9</v>
      </c>
      <c r="Z53" s="35">
        <f t="shared" si="54"/>
        <v>9</v>
      </c>
      <c r="AA53" s="35">
        <f t="shared" si="54"/>
        <v>9</v>
      </c>
      <c r="AB53" s="35">
        <f t="shared" si="54"/>
        <v>9</v>
      </c>
      <c r="AC53" s="47"/>
      <c r="AD53" s="47"/>
      <c r="AE53" s="47"/>
    </row>
    <row r="54">
      <c r="A54" s="39">
        <f t="shared" si="4"/>
        <v>53</v>
      </c>
      <c r="B54" s="36" t="s">
        <v>144</v>
      </c>
      <c r="C54" s="35"/>
      <c r="D54" s="35">
        <f t="shared" ref="D54:AB54" si="55">IFERROR(VLOOKUP($B54,indirect(text(D$1,"mm/dd/yy")&amp;"!B:L"),11,false),"Not played")</f>
        <v>4</v>
      </c>
      <c r="E54" s="35">
        <f t="shared" si="55"/>
        <v>6</v>
      </c>
      <c r="F54" s="35">
        <f t="shared" si="55"/>
        <v>11</v>
      </c>
      <c r="G54" s="35">
        <f t="shared" si="55"/>
        <v>12</v>
      </c>
      <c r="H54" s="35">
        <f t="shared" si="55"/>
        <v>9</v>
      </c>
      <c r="I54" s="35">
        <f t="shared" si="55"/>
        <v>12</v>
      </c>
      <c r="J54" s="35">
        <f t="shared" si="55"/>
        <v>9</v>
      </c>
      <c r="K54" s="35">
        <f t="shared" si="55"/>
        <v>8</v>
      </c>
      <c r="L54" s="35">
        <f t="shared" si="55"/>
        <v>12</v>
      </c>
      <c r="M54" s="35">
        <f t="shared" si="55"/>
        <v>11</v>
      </c>
      <c r="N54" s="35">
        <f t="shared" si="55"/>
        <v>9</v>
      </c>
      <c r="O54" s="35">
        <f t="shared" si="55"/>
        <v>9</v>
      </c>
      <c r="P54" s="35">
        <f t="shared" si="55"/>
        <v>9</v>
      </c>
      <c r="Q54" s="35">
        <f t="shared" si="55"/>
        <v>9</v>
      </c>
      <c r="R54" s="35">
        <f t="shared" si="55"/>
        <v>9</v>
      </c>
      <c r="S54" s="35">
        <f t="shared" si="55"/>
        <v>9</v>
      </c>
      <c r="T54" s="35">
        <f t="shared" si="55"/>
        <v>9</v>
      </c>
      <c r="U54" s="35">
        <f t="shared" si="55"/>
        <v>9</v>
      </c>
      <c r="V54" s="35">
        <f t="shared" si="55"/>
        <v>12</v>
      </c>
      <c r="W54" s="35">
        <f t="shared" si="55"/>
        <v>10</v>
      </c>
      <c r="X54" s="35">
        <f t="shared" si="55"/>
        <v>15</v>
      </c>
      <c r="Y54" s="35">
        <f t="shared" si="55"/>
        <v>12</v>
      </c>
      <c r="Z54" s="35">
        <f t="shared" si="55"/>
        <v>9</v>
      </c>
      <c r="AA54" s="35">
        <f t="shared" si="55"/>
        <v>9</v>
      </c>
      <c r="AB54" s="35">
        <f t="shared" si="55"/>
        <v>18</v>
      </c>
      <c r="AC54" s="47"/>
      <c r="AD54" s="47"/>
      <c r="AE54" s="47"/>
    </row>
    <row r="55">
      <c r="A55" s="39">
        <f t="shared" si="4"/>
        <v>54</v>
      </c>
      <c r="B55" s="36" t="s">
        <v>106</v>
      </c>
      <c r="C55" s="35"/>
      <c r="D55" s="35">
        <f t="shared" ref="D55:AB55" si="56">IFERROR(VLOOKUP($B55,indirect(text(D$1,"mm/dd/yy")&amp;"!B:L"),11,false),"Not played")</f>
        <v>15</v>
      </c>
      <c r="E55" s="35">
        <f t="shared" si="56"/>
        <v>9</v>
      </c>
      <c r="F55" s="35">
        <f t="shared" si="56"/>
        <v>9</v>
      </c>
      <c r="G55" s="35">
        <f t="shared" si="56"/>
        <v>9</v>
      </c>
      <c r="H55" s="35">
        <f t="shared" si="56"/>
        <v>9</v>
      </c>
      <c r="I55" s="35">
        <f t="shared" si="56"/>
        <v>9</v>
      </c>
      <c r="J55" s="35">
        <f t="shared" si="56"/>
        <v>9</v>
      </c>
      <c r="K55" s="35">
        <f t="shared" si="56"/>
        <v>9</v>
      </c>
      <c r="L55" s="35">
        <f t="shared" si="56"/>
        <v>9</v>
      </c>
      <c r="M55" s="35">
        <f t="shared" si="56"/>
        <v>9</v>
      </c>
      <c r="N55" s="35">
        <f t="shared" si="56"/>
        <v>9</v>
      </c>
      <c r="O55" s="35">
        <f t="shared" si="56"/>
        <v>9</v>
      </c>
      <c r="P55" s="35">
        <f t="shared" si="56"/>
        <v>9</v>
      </c>
      <c r="Q55" s="35">
        <f t="shared" si="56"/>
        <v>9</v>
      </c>
      <c r="R55" s="35">
        <f t="shared" si="56"/>
        <v>9</v>
      </c>
      <c r="S55" s="35">
        <f t="shared" si="56"/>
        <v>9</v>
      </c>
      <c r="T55" s="35">
        <f t="shared" si="56"/>
        <v>9</v>
      </c>
      <c r="U55" s="35">
        <f t="shared" si="56"/>
        <v>9</v>
      </c>
      <c r="V55" s="35">
        <f t="shared" si="56"/>
        <v>9</v>
      </c>
      <c r="W55" s="35">
        <f t="shared" si="56"/>
        <v>9</v>
      </c>
      <c r="X55" s="35">
        <f t="shared" si="56"/>
        <v>9</v>
      </c>
      <c r="Y55" s="35">
        <f t="shared" si="56"/>
        <v>9</v>
      </c>
      <c r="Z55" s="35">
        <f t="shared" si="56"/>
        <v>9</v>
      </c>
      <c r="AA55" s="35">
        <f t="shared" si="56"/>
        <v>9</v>
      </c>
      <c r="AB55" s="35">
        <f t="shared" si="56"/>
        <v>9</v>
      </c>
      <c r="AC55" s="47"/>
      <c r="AD55" s="47"/>
      <c r="AE55" s="47"/>
    </row>
    <row r="56">
      <c r="A56" s="39">
        <f t="shared" si="4"/>
        <v>55</v>
      </c>
      <c r="B56" s="36" t="s">
        <v>142</v>
      </c>
      <c r="C56" s="35"/>
      <c r="D56" s="35">
        <f t="shared" ref="D56:AB56" si="57">IFERROR(VLOOKUP($B56,indirect(text(D$1,"mm/dd/yy")&amp;"!B:L"),11,false),"Not played")</f>
        <v>9</v>
      </c>
      <c r="E56" s="35">
        <f t="shared" si="57"/>
        <v>13</v>
      </c>
      <c r="F56" s="35">
        <f t="shared" si="57"/>
        <v>9</v>
      </c>
      <c r="G56" s="35">
        <f t="shared" si="57"/>
        <v>14</v>
      </c>
      <c r="H56" s="35">
        <f t="shared" si="57"/>
        <v>9</v>
      </c>
      <c r="I56" s="35">
        <f t="shared" si="57"/>
        <v>16</v>
      </c>
      <c r="J56" s="35">
        <f t="shared" si="57"/>
        <v>10</v>
      </c>
      <c r="K56" s="35">
        <f t="shared" si="57"/>
        <v>16</v>
      </c>
      <c r="L56" s="35">
        <f t="shared" si="57"/>
        <v>9</v>
      </c>
      <c r="M56" s="35">
        <f t="shared" si="57"/>
        <v>16</v>
      </c>
      <c r="N56" s="35">
        <f t="shared" si="57"/>
        <v>16</v>
      </c>
      <c r="O56" s="35">
        <f t="shared" si="57"/>
        <v>16</v>
      </c>
      <c r="P56" s="35">
        <f t="shared" si="57"/>
        <v>15</v>
      </c>
      <c r="Q56" s="35">
        <f t="shared" si="57"/>
        <v>9</v>
      </c>
      <c r="R56" s="35">
        <f t="shared" si="57"/>
        <v>11</v>
      </c>
      <c r="S56" s="35">
        <f t="shared" si="57"/>
        <v>9</v>
      </c>
      <c r="T56" s="35">
        <f t="shared" si="57"/>
        <v>9</v>
      </c>
      <c r="U56" s="35">
        <f t="shared" si="57"/>
        <v>9</v>
      </c>
      <c r="V56" s="35">
        <f t="shared" si="57"/>
        <v>9</v>
      </c>
      <c r="W56" s="35">
        <f t="shared" si="57"/>
        <v>9</v>
      </c>
      <c r="X56" s="35">
        <f t="shared" si="57"/>
        <v>19</v>
      </c>
      <c r="Y56" s="35">
        <f t="shared" si="57"/>
        <v>9</v>
      </c>
      <c r="Z56" s="35">
        <f t="shared" si="57"/>
        <v>9</v>
      </c>
      <c r="AA56" s="35">
        <f t="shared" si="57"/>
        <v>9</v>
      </c>
      <c r="AB56" s="35">
        <f t="shared" si="57"/>
        <v>13</v>
      </c>
      <c r="AC56" s="47"/>
      <c r="AD56" s="47"/>
      <c r="AE56" s="47"/>
    </row>
    <row r="57">
      <c r="A57" s="39">
        <f t="shared" si="4"/>
        <v>56</v>
      </c>
      <c r="B57" s="36" t="s">
        <v>127</v>
      </c>
      <c r="C57" s="35"/>
      <c r="D57" s="35">
        <f t="shared" ref="D57:AB57" si="58">IFERROR(VLOOKUP($B57,indirect(text(D$1,"mm/dd/yy")&amp;"!B:L"),11,false),"Not played")</f>
        <v>9</v>
      </c>
      <c r="E57" s="35">
        <f t="shared" si="58"/>
        <v>19</v>
      </c>
      <c r="F57" s="35">
        <f t="shared" si="58"/>
        <v>14</v>
      </c>
      <c r="G57" s="35">
        <f t="shared" si="58"/>
        <v>14</v>
      </c>
      <c r="H57" s="35">
        <f t="shared" si="58"/>
        <v>12</v>
      </c>
      <c r="I57" s="35">
        <f t="shared" si="58"/>
        <v>11</v>
      </c>
      <c r="J57" s="35">
        <f t="shared" si="58"/>
        <v>19</v>
      </c>
      <c r="K57" s="35">
        <f t="shared" si="58"/>
        <v>18</v>
      </c>
      <c r="L57" s="35">
        <f t="shared" si="58"/>
        <v>9</v>
      </c>
      <c r="M57" s="35">
        <f t="shared" si="58"/>
        <v>18</v>
      </c>
      <c r="N57" s="35">
        <f t="shared" si="58"/>
        <v>9</v>
      </c>
      <c r="O57" s="35">
        <f t="shared" si="58"/>
        <v>14</v>
      </c>
      <c r="P57" s="35">
        <f t="shared" si="58"/>
        <v>14</v>
      </c>
      <c r="Q57" s="35">
        <f t="shared" si="58"/>
        <v>9</v>
      </c>
      <c r="R57" s="35">
        <f t="shared" si="58"/>
        <v>15</v>
      </c>
      <c r="S57" s="35">
        <f t="shared" si="58"/>
        <v>9</v>
      </c>
      <c r="T57" s="35">
        <f t="shared" si="58"/>
        <v>19</v>
      </c>
      <c r="U57" s="35">
        <f t="shared" si="58"/>
        <v>9</v>
      </c>
      <c r="V57" s="35">
        <f t="shared" si="58"/>
        <v>9</v>
      </c>
      <c r="W57" s="35">
        <f t="shared" si="58"/>
        <v>9</v>
      </c>
      <c r="X57" s="35">
        <f t="shared" si="58"/>
        <v>9</v>
      </c>
      <c r="Y57" s="35">
        <f t="shared" si="58"/>
        <v>9</v>
      </c>
      <c r="Z57" s="35">
        <f t="shared" si="58"/>
        <v>9</v>
      </c>
      <c r="AA57" s="35">
        <f t="shared" si="58"/>
        <v>9</v>
      </c>
      <c r="AB57" s="35">
        <f t="shared" si="58"/>
        <v>9</v>
      </c>
      <c r="AC57" s="47"/>
      <c r="AD57" s="47"/>
      <c r="AE57" s="47"/>
    </row>
    <row r="58">
      <c r="A58" s="39">
        <f t="shared" si="4"/>
        <v>57</v>
      </c>
      <c r="B58" s="36" t="s">
        <v>68</v>
      </c>
      <c r="C58" s="35"/>
      <c r="D58" s="35">
        <f t="shared" ref="D58:AB58" si="59">IFERROR(VLOOKUP($B58,indirect(text(D$1,"mm/dd/yy")&amp;"!B:L"),11,false),"Not played")</f>
        <v>19</v>
      </c>
      <c r="E58" s="35">
        <f t="shared" si="59"/>
        <v>15</v>
      </c>
      <c r="F58" s="35">
        <f t="shared" si="59"/>
        <v>18</v>
      </c>
      <c r="G58" s="35">
        <f t="shared" si="59"/>
        <v>17</v>
      </c>
      <c r="H58" s="35">
        <f t="shared" si="59"/>
        <v>15</v>
      </c>
      <c r="I58" s="35">
        <f t="shared" si="59"/>
        <v>9</v>
      </c>
      <c r="J58" s="35">
        <f t="shared" si="59"/>
        <v>13</v>
      </c>
      <c r="K58" s="35">
        <f t="shared" si="59"/>
        <v>18</v>
      </c>
      <c r="L58" s="35">
        <f t="shared" si="59"/>
        <v>10</v>
      </c>
      <c r="M58" s="35">
        <f t="shared" si="59"/>
        <v>9</v>
      </c>
      <c r="N58" s="35">
        <f t="shared" si="59"/>
        <v>9</v>
      </c>
      <c r="O58" s="35">
        <f t="shared" si="59"/>
        <v>18</v>
      </c>
      <c r="P58" s="35">
        <f t="shared" si="59"/>
        <v>15</v>
      </c>
      <c r="Q58" s="35">
        <f t="shared" si="59"/>
        <v>8</v>
      </c>
      <c r="R58" s="35">
        <f t="shared" si="59"/>
        <v>16</v>
      </c>
      <c r="S58" s="35">
        <f t="shared" si="59"/>
        <v>9</v>
      </c>
      <c r="T58" s="35">
        <f t="shared" si="59"/>
        <v>15</v>
      </c>
      <c r="U58" s="35">
        <f t="shared" si="59"/>
        <v>18</v>
      </c>
      <c r="V58" s="35">
        <f t="shared" si="59"/>
        <v>14</v>
      </c>
      <c r="W58" s="35">
        <f t="shared" si="59"/>
        <v>18</v>
      </c>
      <c r="X58" s="35">
        <f t="shared" si="59"/>
        <v>13</v>
      </c>
      <c r="Y58" s="35">
        <f t="shared" si="59"/>
        <v>14</v>
      </c>
      <c r="Z58" s="35">
        <f t="shared" si="59"/>
        <v>15</v>
      </c>
      <c r="AA58" s="35">
        <f t="shared" si="59"/>
        <v>15</v>
      </c>
      <c r="AB58" s="35">
        <f t="shared" si="59"/>
        <v>15</v>
      </c>
      <c r="AC58" s="47"/>
      <c r="AD58" s="47"/>
      <c r="AE58" s="47"/>
    </row>
    <row r="59">
      <c r="A59" s="39">
        <f t="shared" si="4"/>
        <v>58</v>
      </c>
      <c r="B59" s="36" t="s">
        <v>145</v>
      </c>
      <c r="C59" s="35"/>
      <c r="D59" s="35">
        <f t="shared" ref="D59:AB59" si="60">IFERROR(VLOOKUP($B59,indirect(text(D$1,"mm/dd/yy")&amp;"!B:L"),11,false),"Not played")</f>
        <v>13</v>
      </c>
      <c r="E59" s="35">
        <f t="shared" si="60"/>
        <v>9</v>
      </c>
      <c r="F59" s="35">
        <f t="shared" si="60"/>
        <v>9</v>
      </c>
      <c r="G59" s="35">
        <f t="shared" si="60"/>
        <v>10</v>
      </c>
      <c r="H59" s="35">
        <f t="shared" si="60"/>
        <v>9</v>
      </c>
      <c r="I59" s="35">
        <f t="shared" si="60"/>
        <v>8</v>
      </c>
      <c r="J59" s="35">
        <f t="shared" si="60"/>
        <v>11</v>
      </c>
      <c r="K59" s="35">
        <f t="shared" si="60"/>
        <v>9</v>
      </c>
      <c r="L59" s="35">
        <f t="shared" si="60"/>
        <v>9</v>
      </c>
      <c r="M59" s="35">
        <f t="shared" si="60"/>
        <v>10</v>
      </c>
      <c r="N59" s="35">
        <f t="shared" si="60"/>
        <v>15</v>
      </c>
      <c r="O59" s="35">
        <f t="shared" si="60"/>
        <v>9</v>
      </c>
      <c r="P59" s="35">
        <f t="shared" si="60"/>
        <v>13</v>
      </c>
      <c r="Q59" s="35">
        <f t="shared" si="60"/>
        <v>9</v>
      </c>
      <c r="R59" s="35">
        <f t="shared" si="60"/>
        <v>9</v>
      </c>
      <c r="S59" s="35">
        <f t="shared" si="60"/>
        <v>9</v>
      </c>
      <c r="T59" s="35">
        <f t="shared" si="60"/>
        <v>9</v>
      </c>
      <c r="U59" s="35">
        <f t="shared" si="60"/>
        <v>9</v>
      </c>
      <c r="V59" s="35">
        <f t="shared" si="60"/>
        <v>9</v>
      </c>
      <c r="W59" s="35">
        <f t="shared" si="60"/>
        <v>9</v>
      </c>
      <c r="X59" s="35">
        <f t="shared" si="60"/>
        <v>9</v>
      </c>
      <c r="Y59" s="35">
        <f t="shared" si="60"/>
        <v>9</v>
      </c>
      <c r="Z59" s="35">
        <f t="shared" si="60"/>
        <v>9</v>
      </c>
      <c r="AA59" s="35">
        <f t="shared" si="60"/>
        <v>9</v>
      </c>
      <c r="AB59" s="35">
        <f t="shared" si="60"/>
        <v>9</v>
      </c>
      <c r="AC59" s="47"/>
      <c r="AD59" s="47"/>
      <c r="AE59" s="47"/>
    </row>
    <row r="60">
      <c r="A60" s="39">
        <f t="shared" si="4"/>
        <v>59</v>
      </c>
      <c r="B60" s="36" t="s">
        <v>146</v>
      </c>
      <c r="C60" s="35"/>
      <c r="D60" s="35">
        <f t="shared" ref="D60:AB60" si="61">IFERROR(VLOOKUP($B60,indirect(text(D$1,"mm/dd/yy")&amp;"!B:L"),11,false),"Not played")</f>
        <v>9</v>
      </c>
      <c r="E60" s="35">
        <f t="shared" si="61"/>
        <v>9</v>
      </c>
      <c r="F60" s="35">
        <f t="shared" si="61"/>
        <v>9</v>
      </c>
      <c r="G60" s="35">
        <f t="shared" si="61"/>
        <v>13</v>
      </c>
      <c r="H60" s="35">
        <f t="shared" si="61"/>
        <v>9</v>
      </c>
      <c r="I60" s="35">
        <f t="shared" si="61"/>
        <v>9</v>
      </c>
      <c r="J60" s="35">
        <f t="shared" si="61"/>
        <v>13</v>
      </c>
      <c r="K60" s="35">
        <f t="shared" si="61"/>
        <v>9</v>
      </c>
      <c r="L60" s="35">
        <f t="shared" si="61"/>
        <v>9</v>
      </c>
      <c r="M60" s="35">
        <f t="shared" si="61"/>
        <v>9</v>
      </c>
      <c r="N60" s="35">
        <f t="shared" si="61"/>
        <v>14</v>
      </c>
      <c r="O60" s="35">
        <f t="shared" si="61"/>
        <v>7</v>
      </c>
      <c r="P60" s="35">
        <f t="shared" si="61"/>
        <v>9</v>
      </c>
      <c r="Q60" s="35">
        <f t="shared" si="61"/>
        <v>9</v>
      </c>
      <c r="R60" s="35">
        <f t="shared" si="61"/>
        <v>9</v>
      </c>
      <c r="S60" s="35">
        <f t="shared" si="61"/>
        <v>9</v>
      </c>
      <c r="T60" s="35">
        <f t="shared" si="61"/>
        <v>9</v>
      </c>
      <c r="U60" s="35">
        <f t="shared" si="61"/>
        <v>9</v>
      </c>
      <c r="V60" s="35">
        <f t="shared" si="61"/>
        <v>9</v>
      </c>
      <c r="W60" s="35">
        <f t="shared" si="61"/>
        <v>9</v>
      </c>
      <c r="X60" s="35">
        <f t="shared" si="61"/>
        <v>9</v>
      </c>
      <c r="Y60" s="35">
        <f t="shared" si="61"/>
        <v>9</v>
      </c>
      <c r="Z60" s="35">
        <f t="shared" si="61"/>
        <v>9</v>
      </c>
      <c r="AA60" s="35">
        <f t="shared" si="61"/>
        <v>15</v>
      </c>
      <c r="AB60" s="35">
        <f t="shared" si="61"/>
        <v>9</v>
      </c>
      <c r="AC60" s="47"/>
      <c r="AD60" s="47"/>
      <c r="AE60" s="47"/>
    </row>
    <row r="61">
      <c r="A61" s="39">
        <f t="shared" si="4"/>
        <v>60</v>
      </c>
      <c r="B61" s="36" t="s">
        <v>148</v>
      </c>
      <c r="C61" s="35"/>
      <c r="D61" s="35">
        <f t="shared" ref="D61:AB61" si="62">IFERROR(VLOOKUP($B61,indirect(text(D$1,"mm/dd/yy")&amp;"!B:L"),11,false),"Not played")</f>
        <v>9</v>
      </c>
      <c r="E61" s="35">
        <f t="shared" si="62"/>
        <v>9</v>
      </c>
      <c r="F61" s="35">
        <f t="shared" si="62"/>
        <v>9</v>
      </c>
      <c r="G61" s="35">
        <f t="shared" si="62"/>
        <v>9</v>
      </c>
      <c r="H61" s="35">
        <f t="shared" si="62"/>
        <v>9</v>
      </c>
      <c r="I61" s="35">
        <f t="shared" si="62"/>
        <v>9</v>
      </c>
      <c r="J61" s="35">
        <f t="shared" si="62"/>
        <v>18</v>
      </c>
      <c r="K61" s="35">
        <f t="shared" si="62"/>
        <v>9</v>
      </c>
      <c r="L61" s="35">
        <f t="shared" si="62"/>
        <v>9</v>
      </c>
      <c r="M61" s="35">
        <f t="shared" si="62"/>
        <v>9</v>
      </c>
      <c r="N61" s="35">
        <f t="shared" si="62"/>
        <v>9</v>
      </c>
      <c r="O61" s="35">
        <f t="shared" si="62"/>
        <v>9</v>
      </c>
      <c r="P61" s="35">
        <f t="shared" si="62"/>
        <v>9</v>
      </c>
      <c r="Q61" s="35">
        <f t="shared" si="62"/>
        <v>9</v>
      </c>
      <c r="R61" s="35">
        <f t="shared" si="62"/>
        <v>9</v>
      </c>
      <c r="S61" s="35">
        <f t="shared" si="62"/>
        <v>9</v>
      </c>
      <c r="T61" s="35">
        <f t="shared" si="62"/>
        <v>9</v>
      </c>
      <c r="U61" s="35">
        <f t="shared" si="62"/>
        <v>13</v>
      </c>
      <c r="V61" s="35">
        <f t="shared" si="62"/>
        <v>9</v>
      </c>
      <c r="W61" s="35">
        <f t="shared" si="62"/>
        <v>11</v>
      </c>
      <c r="X61" s="35">
        <f t="shared" si="62"/>
        <v>9</v>
      </c>
      <c r="Y61" s="35">
        <f t="shared" si="62"/>
        <v>9</v>
      </c>
      <c r="Z61" s="35">
        <f t="shared" si="62"/>
        <v>9</v>
      </c>
      <c r="AA61" s="35">
        <f t="shared" si="62"/>
        <v>9</v>
      </c>
      <c r="AB61" s="35">
        <f t="shared" si="62"/>
        <v>13</v>
      </c>
      <c r="AC61" s="47"/>
      <c r="AD61" s="47"/>
      <c r="AE61" s="47"/>
    </row>
    <row r="62">
      <c r="A62" s="39">
        <f t="shared" si="4"/>
        <v>61</v>
      </c>
      <c r="B62" s="36" t="s">
        <v>149</v>
      </c>
      <c r="C62" s="35"/>
      <c r="D62" s="35">
        <f t="shared" ref="D62:AB62" si="63">IFERROR(VLOOKUP($B62,indirect(text(D$1,"mm/dd/yy")&amp;"!B:L"),11,false),"Not played")</f>
        <v>12</v>
      </c>
      <c r="E62" s="35">
        <f t="shared" si="63"/>
        <v>9</v>
      </c>
      <c r="F62" s="35">
        <f t="shared" si="63"/>
        <v>9</v>
      </c>
      <c r="G62" s="35">
        <f t="shared" si="63"/>
        <v>9</v>
      </c>
      <c r="H62" s="35">
        <f t="shared" si="63"/>
        <v>15</v>
      </c>
      <c r="I62" s="35">
        <f t="shared" si="63"/>
        <v>15</v>
      </c>
      <c r="J62" s="35">
        <f t="shared" si="63"/>
        <v>3</v>
      </c>
      <c r="K62" s="35">
        <f t="shared" si="63"/>
        <v>8</v>
      </c>
      <c r="L62" s="35">
        <f t="shared" si="63"/>
        <v>9</v>
      </c>
      <c r="M62" s="35">
        <f t="shared" si="63"/>
        <v>9</v>
      </c>
      <c r="N62" s="35">
        <f t="shared" si="63"/>
        <v>9</v>
      </c>
      <c r="O62" s="35">
        <f t="shared" si="63"/>
        <v>9</v>
      </c>
      <c r="P62" s="35">
        <f t="shared" si="63"/>
        <v>9</v>
      </c>
      <c r="Q62" s="35">
        <f t="shared" si="63"/>
        <v>9</v>
      </c>
      <c r="R62" s="35">
        <f t="shared" si="63"/>
        <v>9</v>
      </c>
      <c r="S62" s="35">
        <f t="shared" si="63"/>
        <v>9</v>
      </c>
      <c r="T62" s="35">
        <f t="shared" si="63"/>
        <v>9</v>
      </c>
      <c r="U62" s="35">
        <f t="shared" si="63"/>
        <v>9</v>
      </c>
      <c r="V62" s="35">
        <f t="shared" si="63"/>
        <v>9</v>
      </c>
      <c r="W62" s="35">
        <f t="shared" si="63"/>
        <v>9</v>
      </c>
      <c r="X62" s="35">
        <f t="shared" si="63"/>
        <v>9</v>
      </c>
      <c r="Y62" s="35">
        <f t="shared" si="63"/>
        <v>13</v>
      </c>
      <c r="Z62" s="35">
        <f t="shared" si="63"/>
        <v>9</v>
      </c>
      <c r="AA62" s="35">
        <f t="shared" si="63"/>
        <v>9</v>
      </c>
      <c r="AB62" s="35">
        <f t="shared" si="63"/>
        <v>15</v>
      </c>
      <c r="AC62" s="47"/>
      <c r="AD62" s="47"/>
      <c r="AE62" s="47"/>
    </row>
    <row r="63">
      <c r="A63" s="39">
        <f t="shared" si="4"/>
        <v>62</v>
      </c>
      <c r="B63" s="36" t="s">
        <v>135</v>
      </c>
      <c r="C63" s="35"/>
      <c r="D63" s="35">
        <f t="shared" ref="D63:AB63" si="64">IFERROR(VLOOKUP($B63,indirect(text(D$1,"mm/dd/yy")&amp;"!B:L"),11,false),"Not played")</f>
        <v>9</v>
      </c>
      <c r="E63" s="35">
        <f t="shared" si="64"/>
        <v>9</v>
      </c>
      <c r="F63" s="35">
        <f t="shared" si="64"/>
        <v>9</v>
      </c>
      <c r="G63" s="35">
        <f t="shared" si="64"/>
        <v>15</v>
      </c>
      <c r="H63" s="35">
        <f t="shared" si="64"/>
        <v>18</v>
      </c>
      <c r="I63" s="35">
        <f t="shared" si="64"/>
        <v>11</v>
      </c>
      <c r="J63" s="35">
        <f t="shared" si="64"/>
        <v>9</v>
      </c>
      <c r="K63" s="35">
        <f t="shared" si="64"/>
        <v>12</v>
      </c>
      <c r="L63" s="35">
        <f t="shared" si="64"/>
        <v>17</v>
      </c>
      <c r="M63" s="35">
        <f t="shared" si="64"/>
        <v>19</v>
      </c>
      <c r="N63" s="35">
        <f t="shared" si="64"/>
        <v>18</v>
      </c>
      <c r="O63" s="35">
        <f t="shared" si="64"/>
        <v>17</v>
      </c>
      <c r="P63" s="35">
        <f t="shared" si="64"/>
        <v>16</v>
      </c>
      <c r="Q63" s="35">
        <f t="shared" si="64"/>
        <v>12</v>
      </c>
      <c r="R63" s="35">
        <f t="shared" si="64"/>
        <v>10</v>
      </c>
      <c r="S63" s="35">
        <f t="shared" si="64"/>
        <v>9</v>
      </c>
      <c r="T63" s="35">
        <f t="shared" si="64"/>
        <v>7</v>
      </c>
      <c r="U63" s="35">
        <f t="shared" si="64"/>
        <v>15</v>
      </c>
      <c r="V63" s="35">
        <f t="shared" si="64"/>
        <v>14</v>
      </c>
      <c r="W63" s="35">
        <f t="shared" si="64"/>
        <v>9</v>
      </c>
      <c r="X63" s="35">
        <f t="shared" si="64"/>
        <v>9</v>
      </c>
      <c r="Y63" s="35">
        <f t="shared" si="64"/>
        <v>9</v>
      </c>
      <c r="Z63" s="35">
        <f t="shared" si="64"/>
        <v>9</v>
      </c>
      <c r="AA63" s="35">
        <f t="shared" si="64"/>
        <v>9</v>
      </c>
      <c r="AB63" s="35">
        <f t="shared" si="64"/>
        <v>11</v>
      </c>
      <c r="AC63" s="47"/>
      <c r="AD63" s="47"/>
      <c r="AE63" s="47"/>
    </row>
    <row r="64">
      <c r="A64" s="39">
        <f t="shared" si="4"/>
        <v>63</v>
      </c>
      <c r="B64" s="36" t="s">
        <v>107</v>
      </c>
      <c r="C64" s="35"/>
      <c r="D64" s="35">
        <f t="shared" ref="D64:AB64" si="65">IFERROR(VLOOKUP($B64,indirect(text(D$1,"mm/dd/yy")&amp;"!B:L"),11,false),"Not played")</f>
        <v>9</v>
      </c>
      <c r="E64" s="35">
        <f t="shared" si="65"/>
        <v>9</v>
      </c>
      <c r="F64" s="35">
        <f t="shared" si="65"/>
        <v>13</v>
      </c>
      <c r="G64" s="35">
        <f t="shared" si="65"/>
        <v>9</v>
      </c>
      <c r="H64" s="35">
        <f t="shared" si="65"/>
        <v>14</v>
      </c>
      <c r="I64" s="35">
        <f t="shared" si="65"/>
        <v>17</v>
      </c>
      <c r="J64" s="35">
        <f t="shared" si="65"/>
        <v>9</v>
      </c>
      <c r="K64" s="35">
        <f t="shared" si="65"/>
        <v>9</v>
      </c>
      <c r="L64" s="35">
        <f t="shared" si="65"/>
        <v>19</v>
      </c>
      <c r="M64" s="35">
        <f t="shared" si="65"/>
        <v>9</v>
      </c>
      <c r="N64" s="35">
        <f t="shared" si="65"/>
        <v>9</v>
      </c>
      <c r="O64" s="35">
        <f t="shared" si="65"/>
        <v>9</v>
      </c>
      <c r="P64" s="35">
        <f t="shared" si="65"/>
        <v>19</v>
      </c>
      <c r="Q64" s="35">
        <f t="shared" si="65"/>
        <v>12</v>
      </c>
      <c r="R64" s="35">
        <f t="shared" si="65"/>
        <v>9</v>
      </c>
      <c r="S64" s="35">
        <f t="shared" si="65"/>
        <v>13</v>
      </c>
      <c r="T64" s="35">
        <f t="shared" si="65"/>
        <v>14</v>
      </c>
      <c r="U64" s="35">
        <f t="shared" si="65"/>
        <v>11</v>
      </c>
      <c r="V64" s="35">
        <f t="shared" si="65"/>
        <v>15</v>
      </c>
      <c r="W64" s="35">
        <f t="shared" si="65"/>
        <v>16</v>
      </c>
      <c r="X64" s="35">
        <f t="shared" si="65"/>
        <v>9</v>
      </c>
      <c r="Y64" s="35">
        <f t="shared" si="65"/>
        <v>14</v>
      </c>
      <c r="Z64" s="35">
        <f t="shared" si="65"/>
        <v>11</v>
      </c>
      <c r="AA64" s="35">
        <f t="shared" si="65"/>
        <v>13</v>
      </c>
      <c r="AB64" s="35">
        <f t="shared" si="65"/>
        <v>13</v>
      </c>
      <c r="AC64" s="47"/>
      <c r="AD64" s="47"/>
      <c r="AE64" s="47"/>
    </row>
    <row r="65">
      <c r="A65" s="39">
        <f t="shared" si="4"/>
        <v>64</v>
      </c>
      <c r="B65" s="36" t="s">
        <v>77</v>
      </c>
      <c r="C65" s="35"/>
      <c r="D65" s="35">
        <f t="shared" ref="D65:AB65" si="66">IFERROR(VLOOKUP($B65,indirect(text(D$1,"mm/dd/yy")&amp;"!B:L"),11,false),"Not played")</f>
        <v>13</v>
      </c>
      <c r="E65" s="35">
        <f t="shared" si="66"/>
        <v>18</v>
      </c>
      <c r="F65" s="35">
        <f t="shared" si="66"/>
        <v>15</v>
      </c>
      <c r="G65" s="35">
        <f t="shared" si="66"/>
        <v>16</v>
      </c>
      <c r="H65" s="35">
        <f t="shared" si="66"/>
        <v>13</v>
      </c>
      <c r="I65" s="35">
        <f t="shared" si="66"/>
        <v>16</v>
      </c>
      <c r="J65" s="35">
        <f t="shared" si="66"/>
        <v>15</v>
      </c>
      <c r="K65" s="35">
        <f t="shared" si="66"/>
        <v>10</v>
      </c>
      <c r="L65" s="35">
        <f t="shared" si="66"/>
        <v>10</v>
      </c>
      <c r="M65" s="35">
        <f t="shared" si="66"/>
        <v>13</v>
      </c>
      <c r="N65" s="35">
        <f t="shared" si="66"/>
        <v>6</v>
      </c>
      <c r="O65" s="35">
        <f t="shared" si="66"/>
        <v>20</v>
      </c>
      <c r="P65" s="35">
        <f t="shared" si="66"/>
        <v>14</v>
      </c>
      <c r="Q65" s="35">
        <f t="shared" si="66"/>
        <v>18</v>
      </c>
      <c r="R65" s="35">
        <f t="shared" si="66"/>
        <v>15</v>
      </c>
      <c r="S65" s="35">
        <f t="shared" si="66"/>
        <v>16</v>
      </c>
      <c r="T65" s="35">
        <f t="shared" si="66"/>
        <v>13</v>
      </c>
      <c r="U65" s="35">
        <f t="shared" si="66"/>
        <v>14</v>
      </c>
      <c r="V65" s="35">
        <f t="shared" si="66"/>
        <v>13</v>
      </c>
      <c r="W65" s="35">
        <f t="shared" si="66"/>
        <v>15</v>
      </c>
      <c r="X65" s="35">
        <f t="shared" si="66"/>
        <v>9</v>
      </c>
      <c r="Y65" s="35">
        <f t="shared" si="66"/>
        <v>13</v>
      </c>
      <c r="Z65" s="35">
        <f t="shared" si="66"/>
        <v>7</v>
      </c>
      <c r="AA65" s="35">
        <f t="shared" si="66"/>
        <v>9</v>
      </c>
      <c r="AB65" s="35">
        <f t="shared" si="66"/>
        <v>13</v>
      </c>
      <c r="AC65" s="47"/>
      <c r="AD65" s="47"/>
      <c r="AE65" s="47"/>
    </row>
    <row r="66">
      <c r="A66" s="39">
        <f t="shared" si="4"/>
        <v>65</v>
      </c>
      <c r="B66" s="36" t="s">
        <v>150</v>
      </c>
      <c r="C66" s="35"/>
      <c r="D66" s="35">
        <f t="shared" ref="D66:AB66" si="67">IFERROR(VLOOKUP($B66,indirect(text(D$1,"mm/dd/yy")&amp;"!B:L"),11,false),"Not played")</f>
        <v>9</v>
      </c>
      <c r="E66" s="35">
        <f t="shared" si="67"/>
        <v>9</v>
      </c>
      <c r="F66" s="35">
        <f t="shared" si="67"/>
        <v>9</v>
      </c>
      <c r="G66" s="35">
        <f t="shared" si="67"/>
        <v>9</v>
      </c>
      <c r="H66" s="35">
        <f t="shared" si="67"/>
        <v>9</v>
      </c>
      <c r="I66" s="35">
        <f t="shared" si="67"/>
        <v>9</v>
      </c>
      <c r="J66" s="35">
        <f t="shared" si="67"/>
        <v>9</v>
      </c>
      <c r="K66" s="35">
        <f t="shared" si="67"/>
        <v>9</v>
      </c>
      <c r="L66" s="35">
        <f t="shared" si="67"/>
        <v>9</v>
      </c>
      <c r="M66" s="35">
        <f t="shared" si="67"/>
        <v>9</v>
      </c>
      <c r="N66" s="35">
        <f t="shared" si="67"/>
        <v>9</v>
      </c>
      <c r="O66" s="35">
        <f t="shared" si="67"/>
        <v>9</v>
      </c>
      <c r="P66" s="35">
        <f t="shared" si="67"/>
        <v>9</v>
      </c>
      <c r="Q66" s="35">
        <f t="shared" si="67"/>
        <v>9</v>
      </c>
      <c r="R66" s="35">
        <f t="shared" si="67"/>
        <v>9</v>
      </c>
      <c r="S66" s="35">
        <f t="shared" si="67"/>
        <v>9</v>
      </c>
      <c r="T66" s="35">
        <f t="shared" si="67"/>
        <v>9</v>
      </c>
      <c r="U66" s="35">
        <f t="shared" si="67"/>
        <v>9</v>
      </c>
      <c r="V66" s="35">
        <f t="shared" si="67"/>
        <v>18</v>
      </c>
      <c r="W66" s="35">
        <f t="shared" si="67"/>
        <v>18</v>
      </c>
      <c r="X66" s="35">
        <f t="shared" si="67"/>
        <v>9</v>
      </c>
      <c r="Y66" s="35">
        <f t="shared" si="67"/>
        <v>18</v>
      </c>
      <c r="Z66" s="35">
        <f t="shared" si="67"/>
        <v>20</v>
      </c>
      <c r="AA66" s="35">
        <f t="shared" si="67"/>
        <v>9</v>
      </c>
      <c r="AB66" s="35">
        <f t="shared" si="67"/>
        <v>9</v>
      </c>
      <c r="AC66" s="47"/>
      <c r="AD66" s="47"/>
      <c r="AE66" s="47"/>
    </row>
    <row r="67">
      <c r="A67" s="39">
        <f t="shared" si="4"/>
        <v>66</v>
      </c>
      <c r="B67" s="36" t="s">
        <v>108</v>
      </c>
      <c r="C67" s="35"/>
      <c r="D67" s="35">
        <f t="shared" ref="D67:AB67" si="68">IFERROR(VLOOKUP($B67,indirect(text(D$1,"mm/dd/yy")&amp;"!B:L"),11,false),"Not played")</f>
        <v>19</v>
      </c>
      <c r="E67" s="35">
        <f t="shared" si="68"/>
        <v>14</v>
      </c>
      <c r="F67" s="35">
        <f t="shared" si="68"/>
        <v>12</v>
      </c>
      <c r="G67" s="35">
        <f t="shared" si="68"/>
        <v>13</v>
      </c>
      <c r="H67" s="35">
        <f t="shared" si="68"/>
        <v>13</v>
      </c>
      <c r="I67" s="35">
        <f t="shared" si="68"/>
        <v>12</v>
      </c>
      <c r="J67" s="35">
        <f t="shared" si="68"/>
        <v>9</v>
      </c>
      <c r="K67" s="35">
        <f t="shared" si="68"/>
        <v>13</v>
      </c>
      <c r="L67" s="35">
        <f t="shared" si="68"/>
        <v>13</v>
      </c>
      <c r="M67" s="35">
        <f t="shared" si="68"/>
        <v>9</v>
      </c>
      <c r="N67" s="35">
        <f t="shared" si="68"/>
        <v>14</v>
      </c>
      <c r="O67" s="35">
        <f t="shared" si="68"/>
        <v>13</v>
      </c>
      <c r="P67" s="35">
        <f t="shared" si="68"/>
        <v>15</v>
      </c>
      <c r="Q67" s="35">
        <f t="shared" si="68"/>
        <v>9</v>
      </c>
      <c r="R67" s="35">
        <f t="shared" si="68"/>
        <v>9</v>
      </c>
      <c r="S67" s="35">
        <f t="shared" si="68"/>
        <v>9</v>
      </c>
      <c r="T67" s="35">
        <f t="shared" si="68"/>
        <v>14</v>
      </c>
      <c r="U67" s="35">
        <f t="shared" si="68"/>
        <v>16</v>
      </c>
      <c r="V67" s="35">
        <f t="shared" si="68"/>
        <v>10</v>
      </c>
      <c r="W67" s="35">
        <f t="shared" si="68"/>
        <v>16</v>
      </c>
      <c r="X67" s="35">
        <f t="shared" si="68"/>
        <v>5</v>
      </c>
      <c r="Y67" s="35">
        <f t="shared" si="68"/>
        <v>16</v>
      </c>
      <c r="Z67" s="35">
        <f t="shared" si="68"/>
        <v>12</v>
      </c>
      <c r="AA67" s="35">
        <f t="shared" si="68"/>
        <v>18</v>
      </c>
      <c r="AB67" s="35">
        <f t="shared" si="68"/>
        <v>12</v>
      </c>
      <c r="AC67" s="47"/>
      <c r="AD67" s="47"/>
      <c r="AE67" s="47"/>
    </row>
    <row r="68">
      <c r="A68" s="39">
        <f t="shared" si="4"/>
        <v>67</v>
      </c>
      <c r="B68" s="36" t="s">
        <v>115</v>
      </c>
      <c r="C68" s="35"/>
      <c r="D68" s="35">
        <f t="shared" ref="D68:AB68" si="69">IFERROR(VLOOKUP($B68,indirect(text(D$1,"mm/dd/yy")&amp;"!B:L"),11,false),"Not played")</f>
        <v>14</v>
      </c>
      <c r="E68" s="35">
        <f t="shared" si="69"/>
        <v>20</v>
      </c>
      <c r="F68" s="35">
        <f t="shared" si="69"/>
        <v>12</v>
      </c>
      <c r="G68" s="35">
        <f t="shared" si="69"/>
        <v>9</v>
      </c>
      <c r="H68" s="35">
        <f t="shared" si="69"/>
        <v>11</v>
      </c>
      <c r="I68" s="35">
        <f t="shared" si="69"/>
        <v>9</v>
      </c>
      <c r="J68" s="35">
        <f t="shared" si="69"/>
        <v>9</v>
      </c>
      <c r="K68" s="35">
        <f t="shared" si="69"/>
        <v>9</v>
      </c>
      <c r="L68" s="35">
        <f t="shared" si="69"/>
        <v>14</v>
      </c>
      <c r="M68" s="35">
        <f t="shared" si="69"/>
        <v>14</v>
      </c>
      <c r="N68" s="35">
        <f t="shared" si="69"/>
        <v>10</v>
      </c>
      <c r="O68" s="35">
        <f t="shared" si="69"/>
        <v>10</v>
      </c>
      <c r="P68" s="35">
        <f t="shared" si="69"/>
        <v>10</v>
      </c>
      <c r="Q68" s="35">
        <f t="shared" si="69"/>
        <v>13</v>
      </c>
      <c r="R68" s="35">
        <f t="shared" si="69"/>
        <v>9</v>
      </c>
      <c r="S68" s="35">
        <f t="shared" si="69"/>
        <v>13</v>
      </c>
      <c r="T68" s="35">
        <f t="shared" si="69"/>
        <v>9</v>
      </c>
      <c r="U68" s="35">
        <f t="shared" si="69"/>
        <v>19</v>
      </c>
      <c r="V68" s="35">
        <f t="shared" si="69"/>
        <v>14</v>
      </c>
      <c r="W68" s="35">
        <f t="shared" si="69"/>
        <v>15</v>
      </c>
      <c r="X68" s="35">
        <f t="shared" si="69"/>
        <v>15</v>
      </c>
      <c r="Y68" s="35">
        <f t="shared" si="69"/>
        <v>14</v>
      </c>
      <c r="Z68" s="35">
        <f t="shared" si="69"/>
        <v>15</v>
      </c>
      <c r="AA68" s="35">
        <f t="shared" si="69"/>
        <v>13</v>
      </c>
      <c r="AB68" s="35">
        <f t="shared" si="69"/>
        <v>11</v>
      </c>
      <c r="AC68" s="47"/>
      <c r="AD68" s="47"/>
      <c r="AE68" s="47"/>
    </row>
    <row r="69">
      <c r="A69" s="39">
        <f t="shared" si="4"/>
        <v>68</v>
      </c>
      <c r="B69" s="36" t="s">
        <v>73</v>
      </c>
      <c r="C69" s="35"/>
      <c r="D69" s="35">
        <f t="shared" ref="D69:AB69" si="70">IFERROR(VLOOKUP($B69,indirect(text(D$1,"mm/dd/yy")&amp;"!B:L"),11,false),"Not played")</f>
        <v>9</v>
      </c>
      <c r="E69" s="35">
        <f t="shared" si="70"/>
        <v>13</v>
      </c>
      <c r="F69" s="35">
        <f t="shared" si="70"/>
        <v>9</v>
      </c>
      <c r="G69" s="35">
        <f t="shared" si="70"/>
        <v>9</v>
      </c>
      <c r="H69" s="35">
        <f t="shared" si="70"/>
        <v>9</v>
      </c>
      <c r="I69" s="35">
        <f t="shared" si="70"/>
        <v>9</v>
      </c>
      <c r="J69" s="35">
        <f t="shared" si="70"/>
        <v>9</v>
      </c>
      <c r="K69" s="35">
        <f t="shared" si="70"/>
        <v>9</v>
      </c>
      <c r="L69" s="35">
        <f t="shared" si="70"/>
        <v>9</v>
      </c>
      <c r="M69" s="35">
        <f t="shared" si="70"/>
        <v>9</v>
      </c>
      <c r="N69" s="35">
        <f t="shared" si="70"/>
        <v>9</v>
      </c>
      <c r="O69" s="35">
        <f t="shared" si="70"/>
        <v>18</v>
      </c>
      <c r="P69" s="35">
        <f t="shared" si="70"/>
        <v>18</v>
      </c>
      <c r="Q69" s="35">
        <f t="shared" si="70"/>
        <v>18</v>
      </c>
      <c r="R69" s="35">
        <f t="shared" si="70"/>
        <v>9</v>
      </c>
      <c r="S69" s="35">
        <f t="shared" si="70"/>
        <v>18</v>
      </c>
      <c r="T69" s="35">
        <f t="shared" si="70"/>
        <v>18</v>
      </c>
      <c r="U69" s="35">
        <f t="shared" si="70"/>
        <v>18</v>
      </c>
      <c r="V69" s="35">
        <f t="shared" si="70"/>
        <v>18</v>
      </c>
      <c r="W69" s="35">
        <f t="shared" si="70"/>
        <v>17</v>
      </c>
      <c r="X69" s="35">
        <f t="shared" si="70"/>
        <v>15</v>
      </c>
      <c r="Y69" s="35">
        <f t="shared" si="70"/>
        <v>13</v>
      </c>
      <c r="Z69" s="35">
        <f t="shared" si="70"/>
        <v>19</v>
      </c>
      <c r="AA69" s="35">
        <f t="shared" si="70"/>
        <v>16</v>
      </c>
      <c r="AB69" s="35">
        <f t="shared" si="70"/>
        <v>18</v>
      </c>
      <c r="AC69" s="47"/>
      <c r="AD69" s="47"/>
      <c r="AE69" s="47"/>
    </row>
    <row r="70">
      <c r="A70" s="39">
        <f t="shared" si="4"/>
        <v>69</v>
      </c>
      <c r="B70" s="36" t="s">
        <v>151</v>
      </c>
      <c r="C70" s="35"/>
      <c r="D70" s="35">
        <f t="shared" ref="D70:AB70" si="71">IFERROR(VLOOKUP($B70,indirect(text(D$1,"mm/dd/yy")&amp;"!B:L"),11,false),"Not played")</f>
        <v>13</v>
      </c>
      <c r="E70" s="35">
        <f t="shared" si="71"/>
        <v>10</v>
      </c>
      <c r="F70" s="35">
        <f t="shared" si="71"/>
        <v>8</v>
      </c>
      <c r="G70" s="35">
        <f t="shared" si="71"/>
        <v>10</v>
      </c>
      <c r="H70" s="35">
        <f t="shared" si="71"/>
        <v>8</v>
      </c>
      <c r="I70" s="35">
        <f t="shared" si="71"/>
        <v>13</v>
      </c>
      <c r="J70" s="35">
        <f t="shared" si="71"/>
        <v>11</v>
      </c>
      <c r="K70" s="35">
        <f t="shared" si="71"/>
        <v>15</v>
      </c>
      <c r="L70" s="35">
        <f t="shared" si="71"/>
        <v>13</v>
      </c>
      <c r="M70" s="35">
        <f t="shared" si="71"/>
        <v>9</v>
      </c>
      <c r="N70" s="35">
        <f t="shared" si="71"/>
        <v>9</v>
      </c>
      <c r="O70" s="35">
        <f t="shared" si="71"/>
        <v>9</v>
      </c>
      <c r="P70" s="35">
        <f t="shared" si="71"/>
        <v>15</v>
      </c>
      <c r="Q70" s="35">
        <f t="shared" si="71"/>
        <v>10</v>
      </c>
      <c r="R70" s="35">
        <f t="shared" si="71"/>
        <v>9</v>
      </c>
      <c r="S70" s="35">
        <f t="shared" si="71"/>
        <v>9</v>
      </c>
      <c r="T70" s="35">
        <f t="shared" si="71"/>
        <v>14</v>
      </c>
      <c r="U70" s="35">
        <f t="shared" si="71"/>
        <v>9</v>
      </c>
      <c r="V70" s="35">
        <f t="shared" si="71"/>
        <v>16</v>
      </c>
      <c r="W70" s="35">
        <f t="shared" si="71"/>
        <v>9</v>
      </c>
      <c r="X70" s="35">
        <f t="shared" si="71"/>
        <v>16</v>
      </c>
      <c r="Y70" s="35">
        <f t="shared" si="71"/>
        <v>9</v>
      </c>
      <c r="Z70" s="35">
        <f t="shared" si="71"/>
        <v>13</v>
      </c>
      <c r="AA70" s="35">
        <f t="shared" si="71"/>
        <v>9</v>
      </c>
      <c r="AB70" s="35">
        <f t="shared" si="71"/>
        <v>9</v>
      </c>
      <c r="AC70" s="47"/>
      <c r="AD70" s="47"/>
      <c r="AE70" s="47"/>
    </row>
    <row r="71">
      <c r="A71" s="39">
        <f t="shared" si="4"/>
        <v>70</v>
      </c>
      <c r="B71" s="36" t="s">
        <v>153</v>
      </c>
      <c r="C71" s="35"/>
      <c r="D71" s="35">
        <f t="shared" ref="D71:AB71" si="72">IFERROR(VLOOKUP($B71,indirect(text(D$1,"mm/dd/yy")&amp;"!B:L"),11,false),"Not played")</f>
        <v>9</v>
      </c>
      <c r="E71" s="35">
        <f t="shared" si="72"/>
        <v>9</v>
      </c>
      <c r="F71" s="35">
        <f t="shared" si="72"/>
        <v>9</v>
      </c>
      <c r="G71" s="35">
        <f t="shared" si="72"/>
        <v>9</v>
      </c>
      <c r="H71" s="35">
        <f t="shared" si="72"/>
        <v>9</v>
      </c>
      <c r="I71" s="35">
        <f t="shared" si="72"/>
        <v>9</v>
      </c>
      <c r="J71" s="35">
        <f t="shared" si="72"/>
        <v>9</v>
      </c>
      <c r="K71" s="35">
        <f t="shared" si="72"/>
        <v>9</v>
      </c>
      <c r="L71" s="35">
        <f t="shared" si="72"/>
        <v>18</v>
      </c>
      <c r="M71" s="35">
        <f t="shared" si="72"/>
        <v>19</v>
      </c>
      <c r="N71" s="35">
        <f t="shared" si="72"/>
        <v>12</v>
      </c>
      <c r="O71" s="35">
        <f t="shared" si="72"/>
        <v>9</v>
      </c>
      <c r="P71" s="35">
        <f t="shared" si="72"/>
        <v>9</v>
      </c>
      <c r="Q71" s="35">
        <f t="shared" si="72"/>
        <v>9</v>
      </c>
      <c r="R71" s="35">
        <f t="shared" si="72"/>
        <v>9</v>
      </c>
      <c r="S71" s="35">
        <f t="shared" si="72"/>
        <v>9</v>
      </c>
      <c r="T71" s="35">
        <f t="shared" si="72"/>
        <v>19</v>
      </c>
      <c r="U71" s="35">
        <f t="shared" si="72"/>
        <v>9</v>
      </c>
      <c r="V71" s="35">
        <f t="shared" si="72"/>
        <v>9</v>
      </c>
      <c r="W71" s="35">
        <f t="shared" si="72"/>
        <v>9</v>
      </c>
      <c r="X71" s="35">
        <f t="shared" si="72"/>
        <v>9</v>
      </c>
      <c r="Y71" s="35">
        <f t="shared" si="72"/>
        <v>9</v>
      </c>
      <c r="Z71" s="35">
        <f t="shared" si="72"/>
        <v>9</v>
      </c>
      <c r="AA71" s="35">
        <f t="shared" si="72"/>
        <v>9</v>
      </c>
      <c r="AB71" s="35">
        <f t="shared" si="72"/>
        <v>9</v>
      </c>
      <c r="AC71" s="47"/>
      <c r="AD71" s="47"/>
      <c r="AE71" s="47"/>
    </row>
    <row r="72">
      <c r="A72" s="39">
        <f t="shared" si="4"/>
        <v>71</v>
      </c>
      <c r="B72" s="36" t="s">
        <v>154</v>
      </c>
      <c r="C72" s="35"/>
      <c r="D72" s="35">
        <f t="shared" ref="D72:AB72" si="73">IFERROR(VLOOKUP($B72,indirect(text(D$1,"mm/dd/yy")&amp;"!B:L"),11,false),"Not played")</f>
        <v>9</v>
      </c>
      <c r="E72" s="35">
        <f t="shared" si="73"/>
        <v>9</v>
      </c>
      <c r="F72" s="35">
        <f t="shared" si="73"/>
        <v>15</v>
      </c>
      <c r="G72" s="35">
        <f t="shared" si="73"/>
        <v>9</v>
      </c>
      <c r="H72" s="35">
        <f t="shared" si="73"/>
        <v>7</v>
      </c>
      <c r="I72" s="35">
        <f t="shared" si="73"/>
        <v>9</v>
      </c>
      <c r="J72" s="35">
        <f t="shared" si="73"/>
        <v>11</v>
      </c>
      <c r="K72" s="35">
        <f t="shared" si="73"/>
        <v>9</v>
      </c>
      <c r="L72" s="35">
        <f t="shared" si="73"/>
        <v>9</v>
      </c>
      <c r="M72" s="35">
        <f t="shared" si="73"/>
        <v>9</v>
      </c>
      <c r="N72" s="35">
        <f t="shared" si="73"/>
        <v>9</v>
      </c>
      <c r="O72" s="35">
        <f t="shared" si="73"/>
        <v>9</v>
      </c>
      <c r="P72" s="35">
        <f t="shared" si="73"/>
        <v>9</v>
      </c>
      <c r="Q72" s="35">
        <f t="shared" si="73"/>
        <v>9</v>
      </c>
      <c r="R72" s="35">
        <f t="shared" si="73"/>
        <v>18</v>
      </c>
      <c r="S72" s="35">
        <f t="shared" si="73"/>
        <v>9</v>
      </c>
      <c r="T72" s="35">
        <f t="shared" si="73"/>
        <v>9</v>
      </c>
      <c r="U72" s="35">
        <f t="shared" si="73"/>
        <v>9</v>
      </c>
      <c r="V72" s="35">
        <f t="shared" si="73"/>
        <v>9</v>
      </c>
      <c r="W72" s="35">
        <f t="shared" si="73"/>
        <v>9</v>
      </c>
      <c r="X72" s="35">
        <f t="shared" si="73"/>
        <v>9</v>
      </c>
      <c r="Y72" s="35">
        <f t="shared" si="73"/>
        <v>19</v>
      </c>
      <c r="Z72" s="35">
        <f t="shared" si="73"/>
        <v>9</v>
      </c>
      <c r="AA72" s="35">
        <f t="shared" si="73"/>
        <v>9</v>
      </c>
      <c r="AB72" s="35">
        <f t="shared" si="73"/>
        <v>9</v>
      </c>
      <c r="AC72" s="47"/>
      <c r="AD72" s="47"/>
      <c r="AE72" s="47"/>
    </row>
    <row r="73">
      <c r="A73" s="39">
        <f t="shared" si="4"/>
        <v>72</v>
      </c>
      <c r="B73" s="36" t="s">
        <v>152</v>
      </c>
      <c r="C73" s="35"/>
      <c r="D73" s="35">
        <f t="shared" ref="D73:AB73" si="74">IFERROR(VLOOKUP($B73,indirect(text(D$1,"mm/dd/yy")&amp;"!B:L"),11,false),"Not played")</f>
        <v>14</v>
      </c>
      <c r="E73" s="35">
        <f t="shared" si="74"/>
        <v>6</v>
      </c>
      <c r="F73" s="35">
        <f t="shared" si="74"/>
        <v>9</v>
      </c>
      <c r="G73" s="35">
        <f t="shared" si="74"/>
        <v>9</v>
      </c>
      <c r="H73" s="35">
        <f t="shared" si="74"/>
        <v>13</v>
      </c>
      <c r="I73" s="35">
        <f t="shared" si="74"/>
        <v>9</v>
      </c>
      <c r="J73" s="35">
        <f t="shared" si="74"/>
        <v>16</v>
      </c>
      <c r="K73" s="35">
        <f t="shared" si="74"/>
        <v>9</v>
      </c>
      <c r="L73" s="35">
        <f t="shared" si="74"/>
        <v>9</v>
      </c>
      <c r="M73" s="35">
        <f t="shared" si="74"/>
        <v>9</v>
      </c>
      <c r="N73" s="35">
        <f t="shared" si="74"/>
        <v>13</v>
      </c>
      <c r="O73" s="35">
        <f t="shared" si="74"/>
        <v>7</v>
      </c>
      <c r="P73" s="35">
        <f t="shared" si="74"/>
        <v>15</v>
      </c>
      <c r="Q73" s="35">
        <f t="shared" si="74"/>
        <v>6</v>
      </c>
      <c r="R73" s="35">
        <f t="shared" si="74"/>
        <v>11</v>
      </c>
      <c r="S73" s="35">
        <f t="shared" si="74"/>
        <v>20</v>
      </c>
      <c r="T73" s="35">
        <f t="shared" si="74"/>
        <v>9</v>
      </c>
      <c r="U73" s="35">
        <f t="shared" si="74"/>
        <v>9</v>
      </c>
      <c r="V73" s="35">
        <f t="shared" si="74"/>
        <v>13</v>
      </c>
      <c r="W73" s="35">
        <f t="shared" si="74"/>
        <v>17</v>
      </c>
      <c r="X73" s="35">
        <f t="shared" si="74"/>
        <v>13</v>
      </c>
      <c r="Y73" s="35">
        <f t="shared" si="74"/>
        <v>15</v>
      </c>
      <c r="Z73" s="35">
        <f t="shared" si="74"/>
        <v>9</v>
      </c>
      <c r="AA73" s="35">
        <f t="shared" si="74"/>
        <v>10</v>
      </c>
      <c r="AB73" s="35">
        <f t="shared" si="74"/>
        <v>10</v>
      </c>
      <c r="AC73" s="47"/>
      <c r="AD73" s="47"/>
      <c r="AE73" s="47"/>
    </row>
    <row r="74">
      <c r="A74" s="39">
        <f t="shared" si="4"/>
        <v>73</v>
      </c>
      <c r="B74" s="36" t="s">
        <v>126</v>
      </c>
      <c r="C74" s="35"/>
      <c r="D74" s="35">
        <f t="shared" ref="D74:AB74" si="75">IFERROR(VLOOKUP($B74,indirect(text(D$1,"mm/dd/yy")&amp;"!B:L"),11,false),"Not played")</f>
        <v>14</v>
      </c>
      <c r="E74" s="35">
        <f t="shared" si="75"/>
        <v>9</v>
      </c>
      <c r="F74" s="35">
        <f t="shared" si="75"/>
        <v>9</v>
      </c>
      <c r="G74" s="35">
        <f t="shared" si="75"/>
        <v>9</v>
      </c>
      <c r="H74" s="35">
        <f t="shared" si="75"/>
        <v>15</v>
      </c>
      <c r="I74" s="35">
        <f t="shared" si="75"/>
        <v>15</v>
      </c>
      <c r="J74" s="35">
        <f t="shared" si="75"/>
        <v>8</v>
      </c>
      <c r="K74" s="35">
        <f t="shared" si="75"/>
        <v>13</v>
      </c>
      <c r="L74" s="35">
        <f t="shared" si="75"/>
        <v>14</v>
      </c>
      <c r="M74" s="35">
        <f t="shared" si="75"/>
        <v>9</v>
      </c>
      <c r="N74" s="35">
        <f t="shared" si="75"/>
        <v>11</v>
      </c>
      <c r="O74" s="35">
        <f t="shared" si="75"/>
        <v>20</v>
      </c>
      <c r="P74" s="35">
        <f t="shared" si="75"/>
        <v>13</v>
      </c>
      <c r="Q74" s="35">
        <f t="shared" si="75"/>
        <v>13</v>
      </c>
      <c r="R74" s="35">
        <f t="shared" si="75"/>
        <v>9</v>
      </c>
      <c r="S74" s="35">
        <f t="shared" si="75"/>
        <v>14</v>
      </c>
      <c r="T74" s="35">
        <f t="shared" si="75"/>
        <v>15</v>
      </c>
      <c r="U74" s="35">
        <f t="shared" si="75"/>
        <v>18</v>
      </c>
      <c r="V74" s="35">
        <f t="shared" si="75"/>
        <v>9</v>
      </c>
      <c r="W74" s="35">
        <f t="shared" si="75"/>
        <v>9</v>
      </c>
      <c r="X74" s="35">
        <f t="shared" si="75"/>
        <v>9</v>
      </c>
      <c r="Y74" s="35">
        <f t="shared" si="75"/>
        <v>9</v>
      </c>
      <c r="Z74" s="35">
        <f t="shared" si="75"/>
        <v>14</v>
      </c>
      <c r="AA74" s="35">
        <f t="shared" si="75"/>
        <v>9</v>
      </c>
      <c r="AB74" s="35">
        <f t="shared" si="75"/>
        <v>18</v>
      </c>
      <c r="AC74" s="47"/>
      <c r="AD74" s="47"/>
      <c r="AE74" s="47"/>
    </row>
    <row r="75">
      <c r="A75" s="39">
        <f t="shared" si="4"/>
        <v>74</v>
      </c>
      <c r="B75" s="36" t="s">
        <v>147</v>
      </c>
      <c r="C75" s="35"/>
      <c r="D75" s="35">
        <f t="shared" ref="D75:AB75" si="76">IFERROR(VLOOKUP($B75,indirect(text(D$1,"mm/dd/yy")&amp;"!B:L"),11,false),"Not played")</f>
        <v>14</v>
      </c>
      <c r="E75" s="35">
        <f t="shared" si="76"/>
        <v>9</v>
      </c>
      <c r="F75" s="35">
        <f t="shared" si="76"/>
        <v>7</v>
      </c>
      <c r="G75" s="35">
        <f t="shared" si="76"/>
        <v>9</v>
      </c>
      <c r="H75" s="35">
        <f t="shared" si="76"/>
        <v>16</v>
      </c>
      <c r="I75" s="35">
        <f t="shared" si="76"/>
        <v>9</v>
      </c>
      <c r="J75" s="35">
        <f t="shared" si="76"/>
        <v>17</v>
      </c>
      <c r="K75" s="35">
        <f t="shared" si="76"/>
        <v>13</v>
      </c>
      <c r="L75" s="35">
        <f t="shared" si="76"/>
        <v>9</v>
      </c>
      <c r="M75" s="35">
        <f t="shared" si="76"/>
        <v>9</v>
      </c>
      <c r="N75" s="35">
        <f t="shared" si="76"/>
        <v>9</v>
      </c>
      <c r="O75" s="35">
        <f t="shared" si="76"/>
        <v>9</v>
      </c>
      <c r="P75" s="35">
        <f t="shared" si="76"/>
        <v>9</v>
      </c>
      <c r="Q75" s="35">
        <f t="shared" si="76"/>
        <v>9</v>
      </c>
      <c r="R75" s="35">
        <f t="shared" si="76"/>
        <v>9</v>
      </c>
      <c r="S75" s="35">
        <f t="shared" si="76"/>
        <v>12</v>
      </c>
      <c r="T75" s="35">
        <f t="shared" si="76"/>
        <v>11</v>
      </c>
      <c r="U75" s="35">
        <f t="shared" si="76"/>
        <v>18</v>
      </c>
      <c r="V75" s="35">
        <f t="shared" si="76"/>
        <v>15</v>
      </c>
      <c r="W75" s="35">
        <f t="shared" si="76"/>
        <v>9</v>
      </c>
      <c r="X75" s="35">
        <f t="shared" si="76"/>
        <v>19</v>
      </c>
      <c r="Y75" s="35">
        <f t="shared" si="76"/>
        <v>13</v>
      </c>
      <c r="Z75" s="35">
        <f t="shared" si="76"/>
        <v>9</v>
      </c>
      <c r="AA75" s="35">
        <f t="shared" si="76"/>
        <v>9</v>
      </c>
      <c r="AB75" s="35">
        <f t="shared" si="76"/>
        <v>18</v>
      </c>
      <c r="AC75" s="47"/>
      <c r="AD75" s="47"/>
      <c r="AE75" s="47"/>
    </row>
    <row r="76">
      <c r="A76" s="39">
        <f t="shared" si="4"/>
        <v>75</v>
      </c>
      <c r="B76" s="36" t="s">
        <v>130</v>
      </c>
      <c r="C76" s="35"/>
      <c r="D76" s="35">
        <f t="shared" ref="D76:AB76" si="77">IFERROR(VLOOKUP($B76,indirect(text(D$1,"mm/dd/yy")&amp;"!B:L"),11,false),"Not played")</f>
        <v>9</v>
      </c>
      <c r="E76" s="35">
        <f t="shared" si="77"/>
        <v>15</v>
      </c>
      <c r="F76" s="35">
        <f t="shared" si="77"/>
        <v>14</v>
      </c>
      <c r="G76" s="35">
        <f t="shared" si="77"/>
        <v>8</v>
      </c>
      <c r="H76" s="35">
        <f t="shared" si="77"/>
        <v>11</v>
      </c>
      <c r="I76" s="35">
        <f t="shared" si="77"/>
        <v>10</v>
      </c>
      <c r="J76" s="35">
        <f t="shared" si="77"/>
        <v>13</v>
      </c>
      <c r="K76" s="35">
        <f t="shared" si="77"/>
        <v>17</v>
      </c>
      <c r="L76" s="35">
        <f t="shared" si="77"/>
        <v>14</v>
      </c>
      <c r="M76" s="35">
        <f t="shared" si="77"/>
        <v>2</v>
      </c>
      <c r="N76" s="35">
        <f t="shared" si="77"/>
        <v>13</v>
      </c>
      <c r="O76" s="35">
        <f t="shared" si="77"/>
        <v>18</v>
      </c>
      <c r="P76" s="35">
        <f t="shared" si="77"/>
        <v>9</v>
      </c>
      <c r="Q76" s="35">
        <f t="shared" si="77"/>
        <v>19</v>
      </c>
      <c r="R76" s="35">
        <f t="shared" si="77"/>
        <v>13</v>
      </c>
      <c r="S76" s="35">
        <f t="shared" si="77"/>
        <v>16</v>
      </c>
      <c r="T76" s="35">
        <f t="shared" si="77"/>
        <v>5</v>
      </c>
      <c r="U76" s="35">
        <f t="shared" si="77"/>
        <v>9</v>
      </c>
      <c r="V76" s="35">
        <f t="shared" si="77"/>
        <v>16</v>
      </c>
      <c r="W76" s="35">
        <f t="shared" si="77"/>
        <v>11</v>
      </c>
      <c r="X76" s="35">
        <f t="shared" si="77"/>
        <v>15</v>
      </c>
      <c r="Y76" s="35">
        <f t="shared" si="77"/>
        <v>10</v>
      </c>
      <c r="Z76" s="35">
        <f t="shared" si="77"/>
        <v>16</v>
      </c>
      <c r="AA76" s="35">
        <f t="shared" si="77"/>
        <v>12</v>
      </c>
      <c r="AB76" s="35">
        <f t="shared" si="77"/>
        <v>8</v>
      </c>
      <c r="AC76" s="47"/>
      <c r="AD76" s="47"/>
      <c r="AE76" s="47"/>
    </row>
    <row r="77">
      <c r="A77" s="39"/>
    </row>
    <row r="79">
      <c r="B79" s="36" t="s">
        <v>156</v>
      </c>
      <c r="C79" s="94" t="s">
        <v>157</v>
      </c>
    </row>
    <row r="80">
      <c r="B80" s="36"/>
      <c r="C80" s="95" t="s">
        <v>158</v>
      </c>
    </row>
    <row r="81">
      <c r="B81" s="36"/>
      <c r="C81" s="96" t="s">
        <v>159</v>
      </c>
    </row>
    <row r="82">
      <c r="B82" s="36"/>
      <c r="C82" s="97" t="s">
        <v>160</v>
      </c>
    </row>
    <row r="83">
      <c r="B83" s="36"/>
      <c r="C83" s="36"/>
    </row>
    <row r="84">
      <c r="B84" s="36"/>
      <c r="C84" s="36"/>
    </row>
    <row r="85">
      <c r="B85" s="36"/>
      <c r="C85" s="36"/>
    </row>
    <row r="86">
      <c r="B86" s="36"/>
      <c r="C86" s="36"/>
    </row>
    <row r="87">
      <c r="B87" s="36"/>
      <c r="C87" s="36"/>
    </row>
    <row r="88">
      <c r="B88" s="36"/>
      <c r="C88" s="36"/>
    </row>
    <row r="95">
      <c r="I95" s="98"/>
    </row>
    <row r="96">
      <c r="B96" s="21" t="s">
        <v>161</v>
      </c>
    </row>
    <row r="97">
      <c r="C97" s="21" t="s">
        <v>162</v>
      </c>
      <c r="D97" s="21" t="s">
        <v>163</v>
      </c>
      <c r="F97" s="32" t="str">
        <f>IFERROR(__xludf.DUMMYFUNCTION("QUERY(C98:C123, ""SELECT C, COUNT(C) WHERE C IS NOT NULL GROUP BY C LABEL C 'Name', COUNT(C) 'Weeks'"")"),"Name")</f>
        <v>Name</v>
      </c>
      <c r="G97" s="32" t="str">
        <f>IFERROR(__xludf.DUMMYFUNCTION("""COMPUTED_VALUE"""),"Weeks")</f>
        <v>Weeks</v>
      </c>
    </row>
    <row r="98">
      <c r="B98" s="21" t="s">
        <v>164</v>
      </c>
      <c r="C98" s="32" t="str">
        <f t="shared" ref="C98:C124" si="78">if(iserror(INDIRECT("'" &amp; TEXT(B98, "mm/dd/yy") &amp; "'!$B$5")),"",INDIRECT("'" &amp; TEXT(B98, "mm/dd/yy") &amp; "'!$B$5"))</f>
        <v>Andrew Yao</v>
      </c>
      <c r="D98" s="32">
        <f t="shared" ref="D98:D124" si="79">if(C98&lt;&gt;"",1,"")</f>
        <v>1</v>
      </c>
      <c r="F98" s="32" t="str">
        <f>IFERROR(__xludf.DUMMYFUNCTION("""COMPUTED_VALUE"""),"Andrew Yao")</f>
        <v>Andrew Yao</v>
      </c>
      <c r="G98" s="32">
        <f>IFERROR(__xludf.DUMMYFUNCTION("""COMPUTED_VALUE"""),20.0)</f>
        <v>20</v>
      </c>
    </row>
    <row r="99">
      <c r="B99" s="82">
        <v>46200.0</v>
      </c>
      <c r="C99" s="32" t="str">
        <f t="shared" si="78"/>
        <v>Andrew Yao</v>
      </c>
      <c r="D99" s="32">
        <f t="shared" si="79"/>
        <v>1</v>
      </c>
      <c r="F99" s="32" t="str">
        <f>IFERROR(__xludf.DUMMYFUNCTION("""COMPUTED_VALUE"""),"Pulkit Mathur")</f>
        <v>Pulkit Mathur</v>
      </c>
      <c r="G99" s="32">
        <f>IFERROR(__xludf.DUMMYFUNCTION("""COMPUTED_VALUE"""),3.0)</f>
        <v>3</v>
      </c>
    </row>
    <row r="100">
      <c r="B100" s="99">
        <f t="shared" ref="B100:B123" si="80">B99-7</f>
        <v>46193</v>
      </c>
      <c r="C100" s="32" t="str">
        <f t="shared" si="78"/>
        <v>Andrew Yao</v>
      </c>
      <c r="D100" s="32">
        <f t="shared" si="79"/>
        <v>1</v>
      </c>
      <c r="F100" s="32" t="str">
        <f>IFERROR(__xludf.DUMMYFUNCTION("""COMPUTED_VALUE"""),"Sandeep Kamalon")</f>
        <v>Sandeep Kamalon</v>
      </c>
      <c r="G100" s="32">
        <f>IFERROR(__xludf.DUMMYFUNCTION("""COMPUTED_VALUE"""),2.0)</f>
        <v>2</v>
      </c>
    </row>
    <row r="101">
      <c r="B101" s="99">
        <f t="shared" si="80"/>
        <v>46186</v>
      </c>
      <c r="C101" s="32" t="str">
        <f t="shared" si="78"/>
        <v>Andrew Yao</v>
      </c>
      <c r="D101" s="32">
        <f t="shared" si="79"/>
        <v>1</v>
      </c>
      <c r="F101" s="32" t="str">
        <f>IFERROR(__xludf.DUMMYFUNCTION("""COMPUTED_VALUE"""),"Sanjaye Elayattu")</f>
        <v>Sanjaye Elayattu</v>
      </c>
      <c r="G101" s="32">
        <f>IFERROR(__xludf.DUMMYFUNCTION("""COMPUTED_VALUE"""),1.0)</f>
        <v>1</v>
      </c>
    </row>
    <row r="102">
      <c r="B102" s="99">
        <f t="shared" si="80"/>
        <v>46179</v>
      </c>
      <c r="C102" s="32" t="str">
        <f t="shared" si="78"/>
        <v>Andrew Yao</v>
      </c>
      <c r="D102" s="32">
        <f t="shared" si="79"/>
        <v>1</v>
      </c>
    </row>
    <row r="103">
      <c r="B103" s="99">
        <f t="shared" si="80"/>
        <v>46172</v>
      </c>
      <c r="C103" s="32" t="str">
        <f t="shared" si="78"/>
        <v>Andrew Yao</v>
      </c>
      <c r="D103" s="32">
        <f t="shared" si="79"/>
        <v>1</v>
      </c>
    </row>
    <row r="104">
      <c r="B104" s="99">
        <f t="shared" si="80"/>
        <v>46165</v>
      </c>
      <c r="C104" s="32" t="str">
        <f t="shared" si="78"/>
        <v>Pulkit Mathur</v>
      </c>
      <c r="D104" s="32">
        <f t="shared" si="79"/>
        <v>1</v>
      </c>
    </row>
    <row r="105">
      <c r="B105" s="99">
        <f t="shared" si="80"/>
        <v>46158</v>
      </c>
      <c r="C105" s="32" t="str">
        <f t="shared" si="78"/>
        <v>Andrew Yao</v>
      </c>
      <c r="D105" s="32">
        <f t="shared" si="79"/>
        <v>1</v>
      </c>
    </row>
    <row r="106">
      <c r="B106" s="99">
        <f t="shared" si="80"/>
        <v>46151</v>
      </c>
      <c r="C106" s="32" t="str">
        <f t="shared" si="78"/>
        <v>Andrew Yao</v>
      </c>
      <c r="D106" s="32">
        <f t="shared" si="79"/>
        <v>1</v>
      </c>
    </row>
    <row r="107">
      <c r="B107" s="99">
        <f t="shared" si="80"/>
        <v>46144</v>
      </c>
      <c r="C107" s="32" t="str">
        <f t="shared" si="78"/>
        <v>Andrew Yao</v>
      </c>
      <c r="D107" s="32">
        <f t="shared" si="79"/>
        <v>1</v>
      </c>
    </row>
    <row r="108">
      <c r="B108" s="99">
        <f t="shared" si="80"/>
        <v>46137</v>
      </c>
      <c r="C108" s="32" t="str">
        <f t="shared" si="78"/>
        <v>Pulkit Mathur</v>
      </c>
      <c r="D108" s="32">
        <f t="shared" si="79"/>
        <v>1</v>
      </c>
    </row>
    <row r="109">
      <c r="B109" s="99">
        <f t="shared" si="80"/>
        <v>46130</v>
      </c>
      <c r="C109" s="32" t="str">
        <f t="shared" si="78"/>
        <v>Pulkit Mathur</v>
      </c>
      <c r="D109" s="32">
        <f t="shared" si="79"/>
        <v>1</v>
      </c>
    </row>
    <row r="110">
      <c r="B110" s="99">
        <f t="shared" si="80"/>
        <v>46123</v>
      </c>
      <c r="C110" s="32" t="str">
        <f t="shared" si="78"/>
        <v>Andrew Yao</v>
      </c>
      <c r="D110" s="32">
        <f t="shared" si="79"/>
        <v>1</v>
      </c>
    </row>
    <row r="111">
      <c r="B111" s="99">
        <f t="shared" si="80"/>
        <v>46116</v>
      </c>
      <c r="C111" s="32" t="str">
        <f t="shared" si="78"/>
        <v>Andrew Yao</v>
      </c>
      <c r="D111" s="32">
        <f t="shared" si="79"/>
        <v>1</v>
      </c>
    </row>
    <row r="112">
      <c r="B112" s="99">
        <f t="shared" si="80"/>
        <v>46109</v>
      </c>
      <c r="C112" s="32" t="str">
        <f t="shared" si="78"/>
        <v>Andrew Yao</v>
      </c>
      <c r="D112" s="32">
        <f t="shared" si="79"/>
        <v>1</v>
      </c>
    </row>
    <row r="113">
      <c r="B113" s="99">
        <f t="shared" si="80"/>
        <v>46102</v>
      </c>
      <c r="C113" s="32" t="str">
        <f t="shared" si="78"/>
        <v>Andrew Yao</v>
      </c>
      <c r="D113" s="32">
        <f t="shared" si="79"/>
        <v>1</v>
      </c>
    </row>
    <row r="114">
      <c r="B114" s="99">
        <f t="shared" si="80"/>
        <v>46095</v>
      </c>
      <c r="C114" s="32" t="str">
        <f t="shared" si="78"/>
        <v>Andrew Yao</v>
      </c>
      <c r="D114" s="32">
        <f t="shared" si="79"/>
        <v>1</v>
      </c>
    </row>
    <row r="115">
      <c r="B115" s="99">
        <f t="shared" si="80"/>
        <v>46088</v>
      </c>
      <c r="C115" s="32" t="str">
        <f t="shared" si="78"/>
        <v>Andrew Yao</v>
      </c>
      <c r="D115" s="32">
        <f t="shared" si="79"/>
        <v>1</v>
      </c>
    </row>
    <row r="116">
      <c r="B116" s="99">
        <f t="shared" si="80"/>
        <v>46081</v>
      </c>
      <c r="C116" s="32" t="str">
        <f t="shared" si="78"/>
        <v>Andrew Yao</v>
      </c>
      <c r="D116" s="32">
        <f t="shared" si="79"/>
        <v>1</v>
      </c>
    </row>
    <row r="117">
      <c r="B117" s="99">
        <f t="shared" si="80"/>
        <v>46074</v>
      </c>
      <c r="C117" s="32" t="str">
        <f t="shared" si="78"/>
        <v>Andrew Yao</v>
      </c>
      <c r="D117" s="32">
        <f t="shared" si="79"/>
        <v>1</v>
      </c>
      <c r="F117" s="32" t="str">
        <f t="array" ref="F117:G122">sort(F98:G103,2,false)</f>
        <v>Andrew Yao</v>
      </c>
      <c r="G117" s="32">
        <v>20.0</v>
      </c>
    </row>
    <row r="118">
      <c r="B118" s="99">
        <f t="shared" si="80"/>
        <v>46067</v>
      </c>
      <c r="C118" s="32" t="str">
        <f t="shared" si="78"/>
        <v>Andrew Yao</v>
      </c>
      <c r="D118" s="32">
        <f t="shared" si="79"/>
        <v>1</v>
      </c>
      <c r="F118" s="32" t="s">
        <v>63</v>
      </c>
      <c r="G118" s="32">
        <v>3.0</v>
      </c>
    </row>
    <row r="119">
      <c r="B119" s="99">
        <f t="shared" si="80"/>
        <v>46060</v>
      </c>
      <c r="C119" s="32" t="str">
        <f t="shared" si="78"/>
        <v>Sandeep Kamalon</v>
      </c>
      <c r="D119" s="32">
        <f t="shared" si="79"/>
        <v>1</v>
      </c>
      <c r="F119" s="32" t="s">
        <v>68</v>
      </c>
      <c r="G119" s="32">
        <v>2.0</v>
      </c>
    </row>
    <row r="120">
      <c r="B120" s="99">
        <f t="shared" si="80"/>
        <v>46053</v>
      </c>
      <c r="C120" s="32" t="str">
        <f t="shared" si="78"/>
        <v>Sandeep Kamalon</v>
      </c>
      <c r="D120" s="32">
        <f t="shared" si="79"/>
        <v>1</v>
      </c>
      <c r="F120" s="32" t="s">
        <v>146</v>
      </c>
      <c r="G120" s="32">
        <v>1.0</v>
      </c>
    </row>
    <row r="121">
      <c r="B121" s="99">
        <f t="shared" si="80"/>
        <v>46046</v>
      </c>
      <c r="C121" s="32" t="str">
        <f t="shared" si="78"/>
        <v>Andrew Yao</v>
      </c>
      <c r="D121" s="32">
        <f t="shared" si="79"/>
        <v>1</v>
      </c>
      <c r="F121" s="32"/>
      <c r="G121" s="32"/>
    </row>
    <row r="122">
      <c r="B122" s="99">
        <f t="shared" si="80"/>
        <v>46039</v>
      </c>
      <c r="C122" s="32" t="str">
        <f t="shared" si="78"/>
        <v>Andrew Yao</v>
      </c>
      <c r="D122" s="32">
        <f t="shared" si="79"/>
        <v>1</v>
      </c>
      <c r="F122" s="32"/>
      <c r="G122" s="32"/>
    </row>
    <row r="123">
      <c r="B123" s="99">
        <f t="shared" si="80"/>
        <v>46032</v>
      </c>
      <c r="C123" s="32" t="str">
        <f t="shared" si="78"/>
        <v>Sanjaye Elayattu</v>
      </c>
      <c r="D123" s="32">
        <f t="shared" si="79"/>
        <v>1</v>
      </c>
    </row>
    <row r="124">
      <c r="C124" s="32" t="str">
        <f t="shared" si="78"/>
        <v/>
      </c>
      <c r="D124" s="32" t="str">
        <f t="shared" si="79"/>
        <v/>
      </c>
    </row>
    <row r="131">
      <c r="A131" s="3" t="s">
        <v>2</v>
      </c>
      <c r="B131" s="3" t="s">
        <v>4</v>
      </c>
      <c r="C131" s="3" t="s">
        <v>23</v>
      </c>
      <c r="D131" s="8">
        <v>46025.0</v>
      </c>
      <c r="E131" s="8">
        <f t="shared" ref="E131:AC131" si="81">D131+7</f>
        <v>46032</v>
      </c>
      <c r="F131" s="8">
        <f t="shared" si="81"/>
        <v>46039</v>
      </c>
      <c r="G131" s="8">
        <f t="shared" si="81"/>
        <v>46046</v>
      </c>
      <c r="H131" s="8">
        <f t="shared" si="81"/>
        <v>46053</v>
      </c>
      <c r="I131" s="8">
        <f t="shared" si="81"/>
        <v>46060</v>
      </c>
      <c r="J131" s="8">
        <f t="shared" si="81"/>
        <v>46067</v>
      </c>
      <c r="K131" s="8">
        <f t="shared" si="81"/>
        <v>46074</v>
      </c>
      <c r="L131" s="8">
        <f t="shared" si="81"/>
        <v>46081</v>
      </c>
      <c r="M131" s="8">
        <f t="shared" si="81"/>
        <v>46088</v>
      </c>
      <c r="N131" s="8">
        <f t="shared" si="81"/>
        <v>46095</v>
      </c>
      <c r="O131" s="8">
        <f t="shared" si="81"/>
        <v>46102</v>
      </c>
      <c r="P131" s="8">
        <f t="shared" si="81"/>
        <v>46109</v>
      </c>
      <c r="Q131" s="8">
        <f t="shared" si="81"/>
        <v>46116</v>
      </c>
      <c r="R131" s="8">
        <f t="shared" si="81"/>
        <v>46123</v>
      </c>
      <c r="S131" s="8">
        <f t="shared" si="81"/>
        <v>46130</v>
      </c>
      <c r="T131" s="8">
        <f t="shared" si="81"/>
        <v>46137</v>
      </c>
      <c r="U131" s="8">
        <f t="shared" si="81"/>
        <v>46144</v>
      </c>
      <c r="V131" s="8">
        <f t="shared" si="81"/>
        <v>46151</v>
      </c>
      <c r="W131" s="8">
        <f t="shared" si="81"/>
        <v>46158</v>
      </c>
      <c r="X131" s="8">
        <f t="shared" si="81"/>
        <v>46165</v>
      </c>
      <c r="Y131" s="8">
        <f t="shared" si="81"/>
        <v>46172</v>
      </c>
      <c r="Z131" s="8">
        <f t="shared" si="81"/>
        <v>46179</v>
      </c>
      <c r="AA131" s="8">
        <f t="shared" si="81"/>
        <v>46186</v>
      </c>
      <c r="AB131" s="8">
        <f t="shared" si="81"/>
        <v>46193</v>
      </c>
      <c r="AC131" s="8">
        <f t="shared" si="81"/>
        <v>46200</v>
      </c>
      <c r="AD131" s="8"/>
      <c r="AE131" s="8"/>
    </row>
    <row r="132">
      <c r="A132" s="39">
        <v>1.0</v>
      </c>
      <c r="B132" s="36" t="s">
        <v>51</v>
      </c>
      <c r="C132" s="100">
        <f t="shared" ref="C132:C143" si="83">sum(D132:AC132)</f>
        <v>2</v>
      </c>
      <c r="D132" s="35"/>
      <c r="E132" s="100">
        <f t="shared" ref="E132:AC132" si="82">iferror(IF(VLOOKUP($B132,indirect(text(D$1,"mm/dd/yy")&amp;"!B:L"),6,false)&gt;8,1,0),0)</f>
        <v>0</v>
      </c>
      <c r="F132" s="100">
        <f t="shared" si="82"/>
        <v>0</v>
      </c>
      <c r="G132" s="100">
        <f t="shared" si="82"/>
        <v>0</v>
      </c>
      <c r="H132" s="100">
        <f t="shared" si="82"/>
        <v>0</v>
      </c>
      <c r="I132" s="100">
        <f t="shared" si="82"/>
        <v>1</v>
      </c>
      <c r="J132" s="100">
        <f t="shared" si="82"/>
        <v>1</v>
      </c>
      <c r="K132" s="100">
        <f t="shared" si="82"/>
        <v>0</v>
      </c>
      <c r="L132" s="100">
        <f t="shared" si="82"/>
        <v>0</v>
      </c>
      <c r="M132" s="100">
        <f t="shared" si="82"/>
        <v>0</v>
      </c>
      <c r="N132" s="100">
        <f t="shared" si="82"/>
        <v>0</v>
      </c>
      <c r="O132" s="100">
        <f t="shared" si="82"/>
        <v>0</v>
      </c>
      <c r="P132" s="100">
        <f t="shared" si="82"/>
        <v>0</v>
      </c>
      <c r="Q132" s="100">
        <f t="shared" si="82"/>
        <v>0</v>
      </c>
      <c r="R132" s="100">
        <f t="shared" si="82"/>
        <v>0</v>
      </c>
      <c r="S132" s="100">
        <f t="shared" si="82"/>
        <v>0</v>
      </c>
      <c r="T132" s="100">
        <f t="shared" si="82"/>
        <v>0</v>
      </c>
      <c r="U132" s="100">
        <f t="shared" si="82"/>
        <v>0</v>
      </c>
      <c r="V132" s="100">
        <f t="shared" si="82"/>
        <v>0</v>
      </c>
      <c r="W132" s="100">
        <f t="shared" si="82"/>
        <v>0</v>
      </c>
      <c r="X132" s="100">
        <f t="shared" si="82"/>
        <v>0</v>
      </c>
      <c r="Y132" s="100">
        <f t="shared" si="82"/>
        <v>0</v>
      </c>
      <c r="Z132" s="100">
        <f t="shared" si="82"/>
        <v>0</v>
      </c>
      <c r="AA132" s="100">
        <f t="shared" si="82"/>
        <v>0</v>
      </c>
      <c r="AB132" s="100">
        <f t="shared" si="82"/>
        <v>0</v>
      </c>
      <c r="AC132" s="100">
        <f t="shared" si="82"/>
        <v>0</v>
      </c>
      <c r="AD132" s="100"/>
      <c r="AE132" s="100"/>
    </row>
    <row r="133">
      <c r="A133" s="39">
        <f t="shared" ref="A133:A206" si="85">A132+1</f>
        <v>2</v>
      </c>
      <c r="B133" s="36" t="s">
        <v>54</v>
      </c>
      <c r="C133" s="100">
        <f t="shared" si="83"/>
        <v>3</v>
      </c>
      <c r="D133" s="35"/>
      <c r="E133" s="100">
        <f t="shared" ref="E133:AC133" si="84">iferror(IF(VLOOKUP($B133,indirect(text(D$1,"mm/dd/yy")&amp;"!B:L"),6,false)&gt;8,1,0),0)</f>
        <v>0</v>
      </c>
      <c r="F133" s="100">
        <f t="shared" si="84"/>
        <v>0</v>
      </c>
      <c r="G133" s="100">
        <f t="shared" si="84"/>
        <v>0</v>
      </c>
      <c r="H133" s="100">
        <f t="shared" si="84"/>
        <v>0</v>
      </c>
      <c r="I133" s="100">
        <f t="shared" si="84"/>
        <v>0</v>
      </c>
      <c r="J133" s="100">
        <f t="shared" si="84"/>
        <v>0</v>
      </c>
      <c r="K133" s="100">
        <f t="shared" si="84"/>
        <v>0</v>
      </c>
      <c r="L133" s="100">
        <f t="shared" si="84"/>
        <v>0</v>
      </c>
      <c r="M133" s="100">
        <f t="shared" si="84"/>
        <v>0</v>
      </c>
      <c r="N133" s="100">
        <f t="shared" si="84"/>
        <v>0</v>
      </c>
      <c r="O133" s="100">
        <f t="shared" si="84"/>
        <v>1</v>
      </c>
      <c r="P133" s="100">
        <f t="shared" si="84"/>
        <v>0</v>
      </c>
      <c r="Q133" s="100">
        <f t="shared" si="84"/>
        <v>1</v>
      </c>
      <c r="R133" s="100">
        <f t="shared" si="84"/>
        <v>0</v>
      </c>
      <c r="S133" s="100">
        <f t="shared" si="84"/>
        <v>0</v>
      </c>
      <c r="T133" s="100">
        <f t="shared" si="84"/>
        <v>1</v>
      </c>
      <c r="U133" s="100">
        <f t="shared" si="84"/>
        <v>0</v>
      </c>
      <c r="V133" s="100">
        <f t="shared" si="84"/>
        <v>0</v>
      </c>
      <c r="W133" s="100">
        <f t="shared" si="84"/>
        <v>0</v>
      </c>
      <c r="X133" s="100">
        <f t="shared" si="84"/>
        <v>0</v>
      </c>
      <c r="Y133" s="100">
        <f t="shared" si="84"/>
        <v>0</v>
      </c>
      <c r="Z133" s="100">
        <f t="shared" si="84"/>
        <v>0</v>
      </c>
      <c r="AA133" s="100">
        <f t="shared" si="84"/>
        <v>0</v>
      </c>
      <c r="AB133" s="100">
        <f t="shared" si="84"/>
        <v>0</v>
      </c>
      <c r="AC133" s="100">
        <f t="shared" si="84"/>
        <v>0</v>
      </c>
      <c r="AD133" s="100"/>
      <c r="AE133" s="100"/>
    </row>
    <row r="134">
      <c r="A134" s="39">
        <f t="shared" si="85"/>
        <v>3</v>
      </c>
      <c r="B134" s="36" t="s">
        <v>59</v>
      </c>
      <c r="C134" s="100">
        <f t="shared" si="83"/>
        <v>0</v>
      </c>
      <c r="D134" s="35"/>
      <c r="E134" s="100">
        <f t="shared" ref="E134:AC134" si="86">iferror(IF(VLOOKUP($B134,indirect(text(D$1,"mm/dd/yy")&amp;"!B:L"),6,false)&gt;8,1,0),0)</f>
        <v>0</v>
      </c>
      <c r="F134" s="100">
        <f t="shared" si="86"/>
        <v>0</v>
      </c>
      <c r="G134" s="100">
        <f t="shared" si="86"/>
        <v>0</v>
      </c>
      <c r="H134" s="100">
        <f t="shared" si="86"/>
        <v>0</v>
      </c>
      <c r="I134" s="100">
        <f t="shared" si="86"/>
        <v>0</v>
      </c>
      <c r="J134" s="100">
        <f t="shared" si="86"/>
        <v>0</v>
      </c>
      <c r="K134" s="100">
        <f t="shared" si="86"/>
        <v>0</v>
      </c>
      <c r="L134" s="100">
        <f t="shared" si="86"/>
        <v>0</v>
      </c>
      <c r="M134" s="100">
        <f t="shared" si="86"/>
        <v>0</v>
      </c>
      <c r="N134" s="100">
        <f t="shared" si="86"/>
        <v>0</v>
      </c>
      <c r="O134" s="100">
        <f t="shared" si="86"/>
        <v>0</v>
      </c>
      <c r="P134" s="100">
        <f t="shared" si="86"/>
        <v>0</v>
      </c>
      <c r="Q134" s="100">
        <f t="shared" si="86"/>
        <v>0</v>
      </c>
      <c r="R134" s="100">
        <f t="shared" si="86"/>
        <v>0</v>
      </c>
      <c r="S134" s="100">
        <f t="shared" si="86"/>
        <v>0</v>
      </c>
      <c r="T134" s="100">
        <f t="shared" si="86"/>
        <v>0</v>
      </c>
      <c r="U134" s="100">
        <f t="shared" si="86"/>
        <v>0</v>
      </c>
      <c r="V134" s="100">
        <f t="shared" si="86"/>
        <v>0</v>
      </c>
      <c r="W134" s="100">
        <f t="shared" si="86"/>
        <v>0</v>
      </c>
      <c r="X134" s="100">
        <f t="shared" si="86"/>
        <v>0</v>
      </c>
      <c r="Y134" s="100">
        <f t="shared" si="86"/>
        <v>0</v>
      </c>
      <c r="Z134" s="100">
        <f t="shared" si="86"/>
        <v>0</v>
      </c>
      <c r="AA134" s="100">
        <f t="shared" si="86"/>
        <v>0</v>
      </c>
      <c r="AB134" s="100">
        <f t="shared" si="86"/>
        <v>0</v>
      </c>
      <c r="AC134" s="100">
        <f t="shared" si="86"/>
        <v>0</v>
      </c>
      <c r="AD134" s="100"/>
      <c r="AE134" s="100"/>
    </row>
    <row r="135">
      <c r="A135" s="39">
        <f t="shared" si="85"/>
        <v>4</v>
      </c>
      <c r="B135" s="36" t="s">
        <v>64</v>
      </c>
      <c r="C135" s="100">
        <f t="shared" si="83"/>
        <v>4</v>
      </c>
      <c r="D135" s="35"/>
      <c r="E135" s="100">
        <f t="shared" ref="E135:AC135" si="87">iferror(IF(VLOOKUP($B135,indirect(text(D$1,"mm/dd/yy")&amp;"!B:L"),6,false)&gt;8,1,0),0)</f>
        <v>1</v>
      </c>
      <c r="F135" s="100">
        <f t="shared" si="87"/>
        <v>0</v>
      </c>
      <c r="G135" s="100">
        <f t="shared" si="87"/>
        <v>1</v>
      </c>
      <c r="H135" s="100">
        <f t="shared" si="87"/>
        <v>0</v>
      </c>
      <c r="I135" s="100">
        <f t="shared" si="87"/>
        <v>0</v>
      </c>
      <c r="J135" s="100">
        <f t="shared" si="87"/>
        <v>0</v>
      </c>
      <c r="K135" s="100">
        <f t="shared" si="87"/>
        <v>0</v>
      </c>
      <c r="L135" s="100">
        <f t="shared" si="87"/>
        <v>0</v>
      </c>
      <c r="M135" s="100">
        <f t="shared" si="87"/>
        <v>0</v>
      </c>
      <c r="N135" s="100">
        <f t="shared" si="87"/>
        <v>0</v>
      </c>
      <c r="O135" s="100">
        <f t="shared" si="87"/>
        <v>0</v>
      </c>
      <c r="P135" s="100">
        <f t="shared" si="87"/>
        <v>0</v>
      </c>
      <c r="Q135" s="100">
        <f t="shared" si="87"/>
        <v>0</v>
      </c>
      <c r="R135" s="100">
        <f t="shared" si="87"/>
        <v>1</v>
      </c>
      <c r="S135" s="100">
        <f t="shared" si="87"/>
        <v>0</v>
      </c>
      <c r="T135" s="100">
        <f t="shared" si="87"/>
        <v>0</v>
      </c>
      <c r="U135" s="100">
        <f t="shared" si="87"/>
        <v>1</v>
      </c>
      <c r="V135" s="100">
        <f t="shared" si="87"/>
        <v>0</v>
      </c>
      <c r="W135" s="100">
        <f t="shared" si="87"/>
        <v>0</v>
      </c>
      <c r="X135" s="100">
        <f t="shared" si="87"/>
        <v>0</v>
      </c>
      <c r="Y135" s="100">
        <f t="shared" si="87"/>
        <v>0</v>
      </c>
      <c r="Z135" s="100">
        <f t="shared" si="87"/>
        <v>0</v>
      </c>
      <c r="AA135" s="100">
        <f t="shared" si="87"/>
        <v>0</v>
      </c>
      <c r="AB135" s="100">
        <f t="shared" si="87"/>
        <v>0</v>
      </c>
      <c r="AC135" s="100">
        <f t="shared" si="87"/>
        <v>0</v>
      </c>
      <c r="AD135" s="100"/>
      <c r="AE135" s="100"/>
    </row>
    <row r="136">
      <c r="A136" s="39">
        <f t="shared" si="85"/>
        <v>5</v>
      </c>
      <c r="B136" s="36" t="s">
        <v>70</v>
      </c>
      <c r="C136" s="100">
        <f t="shared" si="83"/>
        <v>0</v>
      </c>
      <c r="D136" s="35"/>
      <c r="E136" s="100">
        <f t="shared" ref="E136:AC136" si="88">iferror(IF(VLOOKUP($B136,indirect(text(D$1,"mm/dd/yy")&amp;"!B:L"),6,false)&gt;8,1,0),0)</f>
        <v>0</v>
      </c>
      <c r="F136" s="100">
        <f t="shared" si="88"/>
        <v>0</v>
      </c>
      <c r="G136" s="100">
        <f t="shared" si="88"/>
        <v>0</v>
      </c>
      <c r="H136" s="100">
        <f t="shared" si="88"/>
        <v>0</v>
      </c>
      <c r="I136" s="100">
        <f t="shared" si="88"/>
        <v>0</v>
      </c>
      <c r="J136" s="100">
        <f t="shared" si="88"/>
        <v>0</v>
      </c>
      <c r="K136" s="100">
        <f t="shared" si="88"/>
        <v>0</v>
      </c>
      <c r="L136" s="100">
        <f t="shared" si="88"/>
        <v>0</v>
      </c>
      <c r="M136" s="100">
        <f t="shared" si="88"/>
        <v>0</v>
      </c>
      <c r="N136" s="100">
        <f t="shared" si="88"/>
        <v>0</v>
      </c>
      <c r="O136" s="100">
        <f t="shared" si="88"/>
        <v>0</v>
      </c>
      <c r="P136" s="100">
        <f t="shared" si="88"/>
        <v>0</v>
      </c>
      <c r="Q136" s="100">
        <f t="shared" si="88"/>
        <v>0</v>
      </c>
      <c r="R136" s="100">
        <f t="shared" si="88"/>
        <v>0</v>
      </c>
      <c r="S136" s="100">
        <f t="shared" si="88"/>
        <v>0</v>
      </c>
      <c r="T136" s="100">
        <f t="shared" si="88"/>
        <v>0</v>
      </c>
      <c r="U136" s="100">
        <f t="shared" si="88"/>
        <v>0</v>
      </c>
      <c r="V136" s="100">
        <f t="shared" si="88"/>
        <v>0</v>
      </c>
      <c r="W136" s="100">
        <f t="shared" si="88"/>
        <v>0</v>
      </c>
      <c r="X136" s="100">
        <f t="shared" si="88"/>
        <v>0</v>
      </c>
      <c r="Y136" s="100">
        <f t="shared" si="88"/>
        <v>0</v>
      </c>
      <c r="Z136" s="100">
        <f t="shared" si="88"/>
        <v>0</v>
      </c>
      <c r="AA136" s="100">
        <f t="shared" si="88"/>
        <v>0</v>
      </c>
      <c r="AB136" s="100">
        <f t="shared" si="88"/>
        <v>0</v>
      </c>
      <c r="AC136" s="100">
        <f t="shared" si="88"/>
        <v>0</v>
      </c>
      <c r="AD136" s="100"/>
      <c r="AE136" s="100"/>
    </row>
    <row r="137">
      <c r="A137" s="39">
        <f t="shared" si="85"/>
        <v>6</v>
      </c>
      <c r="B137" s="36" t="s">
        <v>50</v>
      </c>
      <c r="C137" s="100">
        <f t="shared" si="83"/>
        <v>2</v>
      </c>
      <c r="D137" s="35"/>
      <c r="E137" s="100">
        <f t="shared" ref="E137:AC137" si="89">iferror(IF(VLOOKUP($B137,indirect(text(D$1,"mm/dd/yy")&amp;"!B:L"),6,false)&gt;8,1,0),0)</f>
        <v>0</v>
      </c>
      <c r="F137" s="100">
        <f t="shared" si="89"/>
        <v>0</v>
      </c>
      <c r="G137" s="100">
        <f t="shared" si="89"/>
        <v>0</v>
      </c>
      <c r="H137" s="100">
        <f t="shared" si="89"/>
        <v>0</v>
      </c>
      <c r="I137" s="100">
        <f t="shared" si="89"/>
        <v>0</v>
      </c>
      <c r="J137" s="100">
        <f t="shared" si="89"/>
        <v>0</v>
      </c>
      <c r="K137" s="100">
        <f t="shared" si="89"/>
        <v>0</v>
      </c>
      <c r="L137" s="100">
        <f t="shared" si="89"/>
        <v>1</v>
      </c>
      <c r="M137" s="100">
        <f t="shared" si="89"/>
        <v>0</v>
      </c>
      <c r="N137" s="100">
        <f t="shared" si="89"/>
        <v>0</v>
      </c>
      <c r="O137" s="100">
        <f t="shared" si="89"/>
        <v>0</v>
      </c>
      <c r="P137" s="100">
        <f t="shared" si="89"/>
        <v>0</v>
      </c>
      <c r="Q137" s="100">
        <f t="shared" si="89"/>
        <v>0</v>
      </c>
      <c r="R137" s="100">
        <f t="shared" si="89"/>
        <v>0</v>
      </c>
      <c r="S137" s="100">
        <f t="shared" si="89"/>
        <v>1</v>
      </c>
      <c r="T137" s="100">
        <f t="shared" si="89"/>
        <v>0</v>
      </c>
      <c r="U137" s="100">
        <f t="shared" si="89"/>
        <v>0</v>
      </c>
      <c r="V137" s="100">
        <f t="shared" si="89"/>
        <v>0</v>
      </c>
      <c r="W137" s="100">
        <f t="shared" si="89"/>
        <v>0</v>
      </c>
      <c r="X137" s="100">
        <f t="shared" si="89"/>
        <v>0</v>
      </c>
      <c r="Y137" s="100">
        <f t="shared" si="89"/>
        <v>0</v>
      </c>
      <c r="Z137" s="100">
        <f t="shared" si="89"/>
        <v>0</v>
      </c>
      <c r="AA137" s="100">
        <f t="shared" si="89"/>
        <v>0</v>
      </c>
      <c r="AB137" s="100">
        <f t="shared" si="89"/>
        <v>0</v>
      </c>
      <c r="AC137" s="100">
        <f t="shared" si="89"/>
        <v>0</v>
      </c>
      <c r="AD137" s="100"/>
      <c r="AE137" s="100"/>
    </row>
    <row r="138">
      <c r="A138" s="39">
        <f t="shared" si="85"/>
        <v>7</v>
      </c>
      <c r="B138" s="36" t="s">
        <v>76</v>
      </c>
      <c r="C138" s="100">
        <f t="shared" si="83"/>
        <v>3</v>
      </c>
      <c r="D138" s="35"/>
      <c r="E138" s="100">
        <f t="shared" ref="E138:AC138" si="90">iferror(IF(VLOOKUP($B138,indirect(text(D$1,"mm/dd/yy")&amp;"!B:L"),6,false)&gt;8,1,0),0)</f>
        <v>0</v>
      </c>
      <c r="F138" s="100">
        <f t="shared" si="90"/>
        <v>1</v>
      </c>
      <c r="G138" s="100">
        <f t="shared" si="90"/>
        <v>0</v>
      </c>
      <c r="H138" s="100">
        <f t="shared" si="90"/>
        <v>1</v>
      </c>
      <c r="I138" s="100">
        <f t="shared" si="90"/>
        <v>1</v>
      </c>
      <c r="J138" s="100">
        <f t="shared" si="90"/>
        <v>0</v>
      </c>
      <c r="K138" s="100">
        <f t="shared" si="90"/>
        <v>0</v>
      </c>
      <c r="L138" s="100">
        <f t="shared" si="90"/>
        <v>0</v>
      </c>
      <c r="M138" s="100">
        <f t="shared" si="90"/>
        <v>0</v>
      </c>
      <c r="N138" s="100">
        <f t="shared" si="90"/>
        <v>0</v>
      </c>
      <c r="O138" s="100">
        <f t="shared" si="90"/>
        <v>0</v>
      </c>
      <c r="P138" s="100">
        <f t="shared" si="90"/>
        <v>0</v>
      </c>
      <c r="Q138" s="100">
        <f t="shared" si="90"/>
        <v>0</v>
      </c>
      <c r="R138" s="100">
        <f t="shared" si="90"/>
        <v>0</v>
      </c>
      <c r="S138" s="100">
        <f t="shared" si="90"/>
        <v>0</v>
      </c>
      <c r="T138" s="100">
        <f t="shared" si="90"/>
        <v>0</v>
      </c>
      <c r="U138" s="100">
        <f t="shared" si="90"/>
        <v>0</v>
      </c>
      <c r="V138" s="100">
        <f t="shared" si="90"/>
        <v>0</v>
      </c>
      <c r="W138" s="100">
        <f t="shared" si="90"/>
        <v>0</v>
      </c>
      <c r="X138" s="100">
        <f t="shared" si="90"/>
        <v>0</v>
      </c>
      <c r="Y138" s="100">
        <f t="shared" si="90"/>
        <v>0</v>
      </c>
      <c r="Z138" s="100">
        <f t="shared" si="90"/>
        <v>0</v>
      </c>
      <c r="AA138" s="100">
        <f t="shared" si="90"/>
        <v>0</v>
      </c>
      <c r="AB138" s="100">
        <f t="shared" si="90"/>
        <v>0</v>
      </c>
      <c r="AC138" s="100">
        <f t="shared" si="90"/>
        <v>0</v>
      </c>
      <c r="AD138" s="100"/>
      <c r="AE138" s="100"/>
    </row>
    <row r="139">
      <c r="A139" s="39">
        <f t="shared" si="85"/>
        <v>8</v>
      </c>
      <c r="B139" s="36" t="s">
        <v>78</v>
      </c>
      <c r="C139" s="100">
        <f t="shared" si="83"/>
        <v>0</v>
      </c>
      <c r="D139" s="35"/>
      <c r="E139" s="100">
        <f t="shared" ref="E139:AC139" si="91">iferror(IF(VLOOKUP($B139,indirect(text(D$1,"mm/dd/yy")&amp;"!B:L"),6,false)&gt;8,1,0),0)</f>
        <v>0</v>
      </c>
      <c r="F139" s="100">
        <f t="shared" si="91"/>
        <v>0</v>
      </c>
      <c r="G139" s="100">
        <f t="shared" si="91"/>
        <v>0</v>
      </c>
      <c r="H139" s="100">
        <f t="shared" si="91"/>
        <v>0</v>
      </c>
      <c r="I139" s="100">
        <f t="shared" si="91"/>
        <v>0</v>
      </c>
      <c r="J139" s="100">
        <f t="shared" si="91"/>
        <v>0</v>
      </c>
      <c r="K139" s="100">
        <f t="shared" si="91"/>
        <v>0</v>
      </c>
      <c r="L139" s="100">
        <f t="shared" si="91"/>
        <v>0</v>
      </c>
      <c r="M139" s="100">
        <f t="shared" si="91"/>
        <v>0</v>
      </c>
      <c r="N139" s="100">
        <f t="shared" si="91"/>
        <v>0</v>
      </c>
      <c r="O139" s="100">
        <f t="shared" si="91"/>
        <v>0</v>
      </c>
      <c r="P139" s="100">
        <f t="shared" si="91"/>
        <v>0</v>
      </c>
      <c r="Q139" s="100">
        <f t="shared" si="91"/>
        <v>0</v>
      </c>
      <c r="R139" s="100">
        <f t="shared" si="91"/>
        <v>0</v>
      </c>
      <c r="S139" s="100">
        <f t="shared" si="91"/>
        <v>0</v>
      </c>
      <c r="T139" s="100">
        <f t="shared" si="91"/>
        <v>0</v>
      </c>
      <c r="U139" s="100">
        <f t="shared" si="91"/>
        <v>0</v>
      </c>
      <c r="V139" s="100">
        <f t="shared" si="91"/>
        <v>0</v>
      </c>
      <c r="W139" s="100">
        <f t="shared" si="91"/>
        <v>0</v>
      </c>
      <c r="X139" s="100">
        <f t="shared" si="91"/>
        <v>0</v>
      </c>
      <c r="Y139" s="100">
        <f t="shared" si="91"/>
        <v>0</v>
      </c>
      <c r="Z139" s="100">
        <f t="shared" si="91"/>
        <v>0</v>
      </c>
      <c r="AA139" s="100">
        <f t="shared" si="91"/>
        <v>0</v>
      </c>
      <c r="AB139" s="100">
        <f t="shared" si="91"/>
        <v>0</v>
      </c>
      <c r="AC139" s="100">
        <f t="shared" si="91"/>
        <v>0</v>
      </c>
      <c r="AD139" s="100"/>
      <c r="AE139" s="100"/>
    </row>
    <row r="140">
      <c r="A140" s="39">
        <f t="shared" si="85"/>
        <v>9</v>
      </c>
      <c r="B140" s="36" t="s">
        <v>87</v>
      </c>
      <c r="C140" s="100">
        <f t="shared" si="83"/>
        <v>0</v>
      </c>
      <c r="D140" s="35"/>
      <c r="E140" s="100">
        <f t="shared" ref="E140:AC140" si="92">iferror(IF(VLOOKUP($B140,indirect(text(D$1,"mm/dd/yy")&amp;"!B:L"),6,false)&gt;8,1,0),0)</f>
        <v>0</v>
      </c>
      <c r="F140" s="100">
        <f t="shared" si="92"/>
        <v>0</v>
      </c>
      <c r="G140" s="100">
        <f t="shared" si="92"/>
        <v>0</v>
      </c>
      <c r="H140" s="100">
        <f t="shared" si="92"/>
        <v>0</v>
      </c>
      <c r="I140" s="100">
        <f t="shared" si="92"/>
        <v>0</v>
      </c>
      <c r="J140" s="100">
        <f t="shared" si="92"/>
        <v>0</v>
      </c>
      <c r="K140" s="100">
        <f t="shared" si="92"/>
        <v>0</v>
      </c>
      <c r="L140" s="100">
        <f t="shared" si="92"/>
        <v>0</v>
      </c>
      <c r="M140" s="100">
        <f t="shared" si="92"/>
        <v>0</v>
      </c>
      <c r="N140" s="100">
        <f t="shared" si="92"/>
        <v>0</v>
      </c>
      <c r="O140" s="100">
        <f t="shared" si="92"/>
        <v>0</v>
      </c>
      <c r="P140" s="100">
        <f t="shared" si="92"/>
        <v>0</v>
      </c>
      <c r="Q140" s="100">
        <f t="shared" si="92"/>
        <v>0</v>
      </c>
      <c r="R140" s="100">
        <f t="shared" si="92"/>
        <v>0</v>
      </c>
      <c r="S140" s="100">
        <f t="shared" si="92"/>
        <v>0</v>
      </c>
      <c r="T140" s="100">
        <f t="shared" si="92"/>
        <v>0</v>
      </c>
      <c r="U140" s="100">
        <f t="shared" si="92"/>
        <v>0</v>
      </c>
      <c r="V140" s="100">
        <f t="shared" si="92"/>
        <v>0</v>
      </c>
      <c r="W140" s="100">
        <f t="shared" si="92"/>
        <v>0</v>
      </c>
      <c r="X140" s="100">
        <f t="shared" si="92"/>
        <v>0</v>
      </c>
      <c r="Y140" s="100">
        <f t="shared" si="92"/>
        <v>0</v>
      </c>
      <c r="Z140" s="100">
        <f t="shared" si="92"/>
        <v>0</v>
      </c>
      <c r="AA140" s="100">
        <f t="shared" si="92"/>
        <v>0</v>
      </c>
      <c r="AB140" s="100">
        <f t="shared" si="92"/>
        <v>0</v>
      </c>
      <c r="AC140" s="100">
        <f t="shared" si="92"/>
        <v>0</v>
      </c>
      <c r="AD140" s="100"/>
      <c r="AE140" s="100"/>
    </row>
    <row r="141">
      <c r="A141" s="39">
        <f t="shared" si="85"/>
        <v>10</v>
      </c>
      <c r="B141" s="36" t="s">
        <v>90</v>
      </c>
      <c r="C141" s="100">
        <f t="shared" si="83"/>
        <v>2</v>
      </c>
      <c r="D141" s="35"/>
      <c r="E141" s="100">
        <f t="shared" ref="E141:AC141" si="93">iferror(IF(VLOOKUP($B141,indirect(text(D$1,"mm/dd/yy")&amp;"!B:L"),6,false)&gt;8,1,0),0)</f>
        <v>1</v>
      </c>
      <c r="F141" s="100">
        <f t="shared" si="93"/>
        <v>0</v>
      </c>
      <c r="G141" s="100">
        <f t="shared" si="93"/>
        <v>0</v>
      </c>
      <c r="H141" s="100">
        <f t="shared" si="93"/>
        <v>0</v>
      </c>
      <c r="I141" s="100">
        <f t="shared" si="93"/>
        <v>0</v>
      </c>
      <c r="J141" s="100">
        <f t="shared" si="93"/>
        <v>0</v>
      </c>
      <c r="K141" s="100">
        <f t="shared" si="93"/>
        <v>0</v>
      </c>
      <c r="L141" s="100">
        <f t="shared" si="93"/>
        <v>0</v>
      </c>
      <c r="M141" s="100">
        <f t="shared" si="93"/>
        <v>0</v>
      </c>
      <c r="N141" s="100">
        <f t="shared" si="93"/>
        <v>0</v>
      </c>
      <c r="O141" s="100">
        <f t="shared" si="93"/>
        <v>0</v>
      </c>
      <c r="P141" s="100">
        <f t="shared" si="93"/>
        <v>1</v>
      </c>
      <c r="Q141" s="100">
        <f t="shared" si="93"/>
        <v>0</v>
      </c>
      <c r="R141" s="100">
        <f t="shared" si="93"/>
        <v>0</v>
      </c>
      <c r="S141" s="100">
        <f t="shared" si="93"/>
        <v>0</v>
      </c>
      <c r="T141" s="100">
        <f t="shared" si="93"/>
        <v>0</v>
      </c>
      <c r="U141" s="100">
        <f t="shared" si="93"/>
        <v>0</v>
      </c>
      <c r="V141" s="100">
        <f t="shared" si="93"/>
        <v>0</v>
      </c>
      <c r="W141" s="100">
        <f t="shared" si="93"/>
        <v>0</v>
      </c>
      <c r="X141" s="100">
        <f t="shared" si="93"/>
        <v>0</v>
      </c>
      <c r="Y141" s="100">
        <f t="shared" si="93"/>
        <v>0</v>
      </c>
      <c r="Z141" s="100">
        <f t="shared" si="93"/>
        <v>0</v>
      </c>
      <c r="AA141" s="100">
        <f t="shared" si="93"/>
        <v>0</v>
      </c>
      <c r="AB141" s="100">
        <f t="shared" si="93"/>
        <v>0</v>
      </c>
      <c r="AC141" s="100">
        <f t="shared" si="93"/>
        <v>0</v>
      </c>
      <c r="AD141" s="100"/>
      <c r="AE141" s="100"/>
    </row>
    <row r="142">
      <c r="A142" s="39">
        <f t="shared" si="85"/>
        <v>11</v>
      </c>
      <c r="B142" s="36" t="s">
        <v>98</v>
      </c>
      <c r="C142" s="100">
        <f t="shared" si="83"/>
        <v>7</v>
      </c>
      <c r="D142" s="35"/>
      <c r="E142" s="100">
        <f t="shared" ref="E142:AC142" si="94">iferror(IF(VLOOKUP($B142,indirect(text(D$1,"mm/dd/yy")&amp;"!B:L"),6,false)&gt;8,1,0),0)</f>
        <v>0</v>
      </c>
      <c r="F142" s="100">
        <f t="shared" si="94"/>
        <v>0</v>
      </c>
      <c r="G142" s="100">
        <f t="shared" si="94"/>
        <v>0</v>
      </c>
      <c r="H142" s="100">
        <f t="shared" si="94"/>
        <v>1</v>
      </c>
      <c r="I142" s="100">
        <f t="shared" si="94"/>
        <v>1</v>
      </c>
      <c r="J142" s="100">
        <f t="shared" si="94"/>
        <v>1</v>
      </c>
      <c r="K142" s="100">
        <f t="shared" si="94"/>
        <v>1</v>
      </c>
      <c r="L142" s="100">
        <f t="shared" si="94"/>
        <v>0</v>
      </c>
      <c r="M142" s="100">
        <f t="shared" si="94"/>
        <v>0</v>
      </c>
      <c r="N142" s="100">
        <f t="shared" si="94"/>
        <v>0</v>
      </c>
      <c r="O142" s="100">
        <f t="shared" si="94"/>
        <v>0</v>
      </c>
      <c r="P142" s="100">
        <f t="shared" si="94"/>
        <v>0</v>
      </c>
      <c r="Q142" s="100">
        <f t="shared" si="94"/>
        <v>0</v>
      </c>
      <c r="R142" s="100">
        <f t="shared" si="94"/>
        <v>0</v>
      </c>
      <c r="S142" s="100">
        <f t="shared" si="94"/>
        <v>0</v>
      </c>
      <c r="T142" s="100">
        <f t="shared" si="94"/>
        <v>0</v>
      </c>
      <c r="U142" s="100">
        <f t="shared" si="94"/>
        <v>0</v>
      </c>
      <c r="V142" s="100">
        <f t="shared" si="94"/>
        <v>1</v>
      </c>
      <c r="W142" s="100">
        <f t="shared" si="94"/>
        <v>1</v>
      </c>
      <c r="X142" s="100">
        <f t="shared" si="94"/>
        <v>1</v>
      </c>
      <c r="Y142" s="100">
        <f t="shared" si="94"/>
        <v>0</v>
      </c>
      <c r="Z142" s="100">
        <f t="shared" si="94"/>
        <v>0</v>
      </c>
      <c r="AA142" s="100">
        <f t="shared" si="94"/>
        <v>0</v>
      </c>
      <c r="AB142" s="100">
        <f t="shared" si="94"/>
        <v>0</v>
      </c>
      <c r="AC142" s="100">
        <f t="shared" si="94"/>
        <v>0</v>
      </c>
      <c r="AD142" s="100"/>
      <c r="AE142" s="100"/>
    </row>
    <row r="143">
      <c r="A143" s="39">
        <f t="shared" si="85"/>
        <v>12</v>
      </c>
      <c r="B143" s="36" t="s">
        <v>100</v>
      </c>
      <c r="C143" s="100">
        <f t="shared" si="83"/>
        <v>0</v>
      </c>
      <c r="D143" s="35"/>
      <c r="E143" s="100">
        <f t="shared" ref="E143:AC143" si="95">iferror(IF(VLOOKUP($B143,indirect(text(D$1,"mm/dd/yy")&amp;"!B:L"),6,false)&gt;8,1,0),0)</f>
        <v>0</v>
      </c>
      <c r="F143" s="100">
        <f t="shared" si="95"/>
        <v>0</v>
      </c>
      <c r="G143" s="100">
        <f t="shared" si="95"/>
        <v>0</v>
      </c>
      <c r="H143" s="100">
        <f t="shared" si="95"/>
        <v>0</v>
      </c>
      <c r="I143" s="100">
        <f t="shared" si="95"/>
        <v>0</v>
      </c>
      <c r="J143" s="100">
        <f t="shared" si="95"/>
        <v>0</v>
      </c>
      <c r="K143" s="100">
        <f t="shared" si="95"/>
        <v>0</v>
      </c>
      <c r="L143" s="100">
        <f t="shared" si="95"/>
        <v>0</v>
      </c>
      <c r="M143" s="100">
        <f t="shared" si="95"/>
        <v>0</v>
      </c>
      <c r="N143" s="100">
        <f t="shared" si="95"/>
        <v>0</v>
      </c>
      <c r="O143" s="100">
        <f t="shared" si="95"/>
        <v>0</v>
      </c>
      <c r="P143" s="100">
        <f t="shared" si="95"/>
        <v>0</v>
      </c>
      <c r="Q143" s="100">
        <f t="shared" si="95"/>
        <v>0</v>
      </c>
      <c r="R143" s="100">
        <f t="shared" si="95"/>
        <v>0</v>
      </c>
      <c r="S143" s="100">
        <f t="shared" si="95"/>
        <v>0</v>
      </c>
      <c r="T143" s="100">
        <f t="shared" si="95"/>
        <v>0</v>
      </c>
      <c r="U143" s="100">
        <f t="shared" si="95"/>
        <v>0</v>
      </c>
      <c r="V143" s="100">
        <f t="shared" si="95"/>
        <v>0</v>
      </c>
      <c r="W143" s="100">
        <f t="shared" si="95"/>
        <v>0</v>
      </c>
      <c r="X143" s="100">
        <f t="shared" si="95"/>
        <v>0</v>
      </c>
      <c r="Y143" s="100">
        <f t="shared" si="95"/>
        <v>0</v>
      </c>
      <c r="Z143" s="100">
        <f t="shared" si="95"/>
        <v>0</v>
      </c>
      <c r="AA143" s="100">
        <f t="shared" si="95"/>
        <v>0</v>
      </c>
      <c r="AB143" s="100">
        <f t="shared" si="95"/>
        <v>0</v>
      </c>
      <c r="AC143" s="100">
        <f t="shared" si="95"/>
        <v>0</v>
      </c>
      <c r="AD143" s="100"/>
      <c r="AE143" s="100"/>
    </row>
    <row r="144">
      <c r="A144" s="39">
        <f t="shared" si="85"/>
        <v>13</v>
      </c>
      <c r="B144" s="36" t="s">
        <v>101</v>
      </c>
      <c r="C144" s="100"/>
      <c r="D144" s="35"/>
      <c r="E144" s="100">
        <f t="shared" ref="E144:AC144" si="96">iferror(IF(VLOOKUP($B144,indirect(text(D$1,"mm/dd/yy")&amp;"!B:L"),6,false)&gt;8,1,0),0)</f>
        <v>0</v>
      </c>
      <c r="F144" s="100">
        <f t="shared" si="96"/>
        <v>0</v>
      </c>
      <c r="G144" s="100">
        <f t="shared" si="96"/>
        <v>0</v>
      </c>
      <c r="H144" s="100">
        <f t="shared" si="96"/>
        <v>0</v>
      </c>
      <c r="I144" s="100">
        <f t="shared" si="96"/>
        <v>0</v>
      </c>
      <c r="J144" s="100">
        <f t="shared" si="96"/>
        <v>1</v>
      </c>
      <c r="K144" s="100">
        <f t="shared" si="96"/>
        <v>1</v>
      </c>
      <c r="L144" s="100">
        <f t="shared" si="96"/>
        <v>1</v>
      </c>
      <c r="M144" s="100">
        <f t="shared" si="96"/>
        <v>1</v>
      </c>
      <c r="N144" s="100">
        <f t="shared" si="96"/>
        <v>1</v>
      </c>
      <c r="O144" s="100">
        <f t="shared" si="96"/>
        <v>0</v>
      </c>
      <c r="P144" s="100">
        <f t="shared" si="96"/>
        <v>1</v>
      </c>
      <c r="Q144" s="100">
        <f t="shared" si="96"/>
        <v>0</v>
      </c>
      <c r="R144" s="100">
        <f t="shared" si="96"/>
        <v>1</v>
      </c>
      <c r="S144" s="100">
        <f t="shared" si="96"/>
        <v>0</v>
      </c>
      <c r="T144" s="100">
        <f t="shared" si="96"/>
        <v>0</v>
      </c>
      <c r="U144" s="100">
        <f t="shared" si="96"/>
        <v>0</v>
      </c>
      <c r="V144" s="100">
        <f t="shared" si="96"/>
        <v>0</v>
      </c>
      <c r="W144" s="100">
        <f t="shared" si="96"/>
        <v>0</v>
      </c>
      <c r="X144" s="100">
        <f t="shared" si="96"/>
        <v>0</v>
      </c>
      <c r="Y144" s="100">
        <f t="shared" si="96"/>
        <v>0</v>
      </c>
      <c r="Z144" s="100">
        <f t="shared" si="96"/>
        <v>0</v>
      </c>
      <c r="AA144" s="100">
        <f t="shared" si="96"/>
        <v>0</v>
      </c>
      <c r="AB144" s="100">
        <f t="shared" si="96"/>
        <v>0</v>
      </c>
      <c r="AC144" s="100">
        <f t="shared" si="96"/>
        <v>0</v>
      </c>
      <c r="AD144" s="100"/>
      <c r="AE144" s="100"/>
    </row>
    <row r="145">
      <c r="A145" s="39">
        <f t="shared" si="85"/>
        <v>14</v>
      </c>
      <c r="B145" s="36" t="s">
        <v>109</v>
      </c>
      <c r="C145" s="100">
        <f t="shared" ref="C145:C161" si="98">sum(D145:AC145)</f>
        <v>1</v>
      </c>
      <c r="D145" s="35"/>
      <c r="E145" s="100">
        <f t="shared" ref="E145:AC145" si="97">iferror(IF(VLOOKUP($B145,indirect(text(D$1,"mm/dd/yy")&amp;"!B:L"),6,false)&gt;8,1,0),0)</f>
        <v>1</v>
      </c>
      <c r="F145" s="100">
        <f t="shared" si="97"/>
        <v>0</v>
      </c>
      <c r="G145" s="100">
        <f t="shared" si="97"/>
        <v>0</v>
      </c>
      <c r="H145" s="100">
        <f t="shared" si="97"/>
        <v>0</v>
      </c>
      <c r="I145" s="100">
        <f t="shared" si="97"/>
        <v>0</v>
      </c>
      <c r="J145" s="100">
        <f t="shared" si="97"/>
        <v>0</v>
      </c>
      <c r="K145" s="100">
        <f t="shared" si="97"/>
        <v>0</v>
      </c>
      <c r="L145" s="100">
        <f t="shared" si="97"/>
        <v>0</v>
      </c>
      <c r="M145" s="100">
        <f t="shared" si="97"/>
        <v>0</v>
      </c>
      <c r="N145" s="100">
        <f t="shared" si="97"/>
        <v>0</v>
      </c>
      <c r="O145" s="100">
        <f t="shared" si="97"/>
        <v>0</v>
      </c>
      <c r="P145" s="100">
        <f t="shared" si="97"/>
        <v>0</v>
      </c>
      <c r="Q145" s="100">
        <f t="shared" si="97"/>
        <v>0</v>
      </c>
      <c r="R145" s="100">
        <f t="shared" si="97"/>
        <v>0</v>
      </c>
      <c r="S145" s="100">
        <f t="shared" si="97"/>
        <v>0</v>
      </c>
      <c r="T145" s="100">
        <f t="shared" si="97"/>
        <v>0</v>
      </c>
      <c r="U145" s="100">
        <f t="shared" si="97"/>
        <v>0</v>
      </c>
      <c r="V145" s="100">
        <f t="shared" si="97"/>
        <v>0</v>
      </c>
      <c r="W145" s="100">
        <f t="shared" si="97"/>
        <v>0</v>
      </c>
      <c r="X145" s="100">
        <f t="shared" si="97"/>
        <v>0</v>
      </c>
      <c r="Y145" s="100">
        <f t="shared" si="97"/>
        <v>0</v>
      </c>
      <c r="Z145" s="100">
        <f t="shared" si="97"/>
        <v>0</v>
      </c>
      <c r="AA145" s="100">
        <f t="shared" si="97"/>
        <v>0</v>
      </c>
      <c r="AB145" s="100">
        <f t="shared" si="97"/>
        <v>0</v>
      </c>
      <c r="AC145" s="100">
        <f t="shared" si="97"/>
        <v>0</v>
      </c>
      <c r="AD145" s="100"/>
      <c r="AE145" s="100"/>
    </row>
    <row r="146">
      <c r="A146" s="39">
        <f t="shared" si="85"/>
        <v>15</v>
      </c>
      <c r="B146" s="36" t="s">
        <v>110</v>
      </c>
      <c r="C146" s="100">
        <f t="shared" si="98"/>
        <v>5</v>
      </c>
      <c r="D146" s="35"/>
      <c r="E146" s="100">
        <f t="shared" ref="E146:AC146" si="99">iferror(IF(VLOOKUP($B146,indirect(text(D$1,"mm/dd/yy")&amp;"!B:L"),6,false)&gt;8,1,0),0)</f>
        <v>1</v>
      </c>
      <c r="F146" s="100">
        <f t="shared" si="99"/>
        <v>0</v>
      </c>
      <c r="G146" s="100">
        <f t="shared" si="99"/>
        <v>1</v>
      </c>
      <c r="H146" s="100">
        <f t="shared" si="99"/>
        <v>0</v>
      </c>
      <c r="I146" s="100">
        <f t="shared" si="99"/>
        <v>0</v>
      </c>
      <c r="J146" s="100">
        <f t="shared" si="99"/>
        <v>0</v>
      </c>
      <c r="K146" s="100">
        <f t="shared" si="99"/>
        <v>0</v>
      </c>
      <c r="L146" s="100">
        <f t="shared" si="99"/>
        <v>1</v>
      </c>
      <c r="M146" s="100">
        <f t="shared" si="99"/>
        <v>1</v>
      </c>
      <c r="N146" s="100">
        <f t="shared" si="99"/>
        <v>0</v>
      </c>
      <c r="O146" s="100">
        <f t="shared" si="99"/>
        <v>0</v>
      </c>
      <c r="P146" s="100">
        <f t="shared" si="99"/>
        <v>1</v>
      </c>
      <c r="Q146" s="100">
        <f t="shared" si="99"/>
        <v>0</v>
      </c>
      <c r="R146" s="100">
        <f t="shared" si="99"/>
        <v>0</v>
      </c>
      <c r="S146" s="100">
        <f t="shared" si="99"/>
        <v>0</v>
      </c>
      <c r="T146" s="100">
        <f t="shared" si="99"/>
        <v>0</v>
      </c>
      <c r="U146" s="100">
        <f t="shared" si="99"/>
        <v>0</v>
      </c>
      <c r="V146" s="100">
        <f t="shared" si="99"/>
        <v>0</v>
      </c>
      <c r="W146" s="100">
        <f t="shared" si="99"/>
        <v>0</v>
      </c>
      <c r="X146" s="100">
        <f t="shared" si="99"/>
        <v>0</v>
      </c>
      <c r="Y146" s="100">
        <f t="shared" si="99"/>
        <v>0</v>
      </c>
      <c r="Z146" s="100">
        <f t="shared" si="99"/>
        <v>0</v>
      </c>
      <c r="AA146" s="100">
        <f t="shared" si="99"/>
        <v>0</v>
      </c>
      <c r="AB146" s="100">
        <f t="shared" si="99"/>
        <v>0</v>
      </c>
      <c r="AC146" s="100">
        <f t="shared" si="99"/>
        <v>0</v>
      </c>
      <c r="AD146" s="100"/>
      <c r="AE146" s="100"/>
    </row>
    <row r="147">
      <c r="A147" s="39">
        <f t="shared" si="85"/>
        <v>16</v>
      </c>
      <c r="B147" s="36" t="s">
        <v>89</v>
      </c>
      <c r="C147" s="100">
        <f t="shared" si="98"/>
        <v>1</v>
      </c>
      <c r="D147" s="35"/>
      <c r="E147" s="100">
        <f t="shared" ref="E147:AC147" si="100">iferror(IF(VLOOKUP($B147,indirect(text(D$1,"mm/dd/yy")&amp;"!B:L"),6,false)&gt;8,1,0),0)</f>
        <v>1</v>
      </c>
      <c r="F147" s="100">
        <f t="shared" si="100"/>
        <v>0</v>
      </c>
      <c r="G147" s="100">
        <f t="shared" si="100"/>
        <v>0</v>
      </c>
      <c r="H147" s="100">
        <f t="shared" si="100"/>
        <v>0</v>
      </c>
      <c r="I147" s="100">
        <f t="shared" si="100"/>
        <v>0</v>
      </c>
      <c r="J147" s="100">
        <f t="shared" si="100"/>
        <v>0</v>
      </c>
      <c r="K147" s="100">
        <f t="shared" si="100"/>
        <v>0</v>
      </c>
      <c r="L147" s="100">
        <f t="shared" si="100"/>
        <v>0</v>
      </c>
      <c r="M147" s="100">
        <f t="shared" si="100"/>
        <v>0</v>
      </c>
      <c r="N147" s="100">
        <f t="shared" si="100"/>
        <v>0</v>
      </c>
      <c r="O147" s="100">
        <f t="shared" si="100"/>
        <v>0</v>
      </c>
      <c r="P147" s="100">
        <f t="shared" si="100"/>
        <v>0</v>
      </c>
      <c r="Q147" s="100">
        <f t="shared" si="100"/>
        <v>0</v>
      </c>
      <c r="R147" s="100">
        <f t="shared" si="100"/>
        <v>0</v>
      </c>
      <c r="S147" s="100">
        <f t="shared" si="100"/>
        <v>0</v>
      </c>
      <c r="T147" s="100">
        <f t="shared" si="100"/>
        <v>0</v>
      </c>
      <c r="U147" s="100">
        <f t="shared" si="100"/>
        <v>0</v>
      </c>
      <c r="V147" s="100">
        <f t="shared" si="100"/>
        <v>0</v>
      </c>
      <c r="W147" s="100">
        <f t="shared" si="100"/>
        <v>0</v>
      </c>
      <c r="X147" s="100">
        <f t="shared" si="100"/>
        <v>0</v>
      </c>
      <c r="Y147" s="100">
        <f t="shared" si="100"/>
        <v>0</v>
      </c>
      <c r="Z147" s="100">
        <f t="shared" si="100"/>
        <v>0</v>
      </c>
      <c r="AA147" s="100">
        <f t="shared" si="100"/>
        <v>0</v>
      </c>
      <c r="AB147" s="100">
        <f t="shared" si="100"/>
        <v>0</v>
      </c>
      <c r="AC147" s="100">
        <f t="shared" si="100"/>
        <v>0</v>
      </c>
      <c r="AD147" s="100"/>
      <c r="AE147" s="100"/>
    </row>
    <row r="148">
      <c r="A148" s="39">
        <f t="shared" si="85"/>
        <v>17</v>
      </c>
      <c r="B148" s="36" t="s">
        <v>94</v>
      </c>
      <c r="C148" s="100">
        <f t="shared" si="98"/>
        <v>4</v>
      </c>
      <c r="D148" s="35"/>
      <c r="E148" s="100">
        <f t="shared" ref="E148:AC148" si="101">iferror(IF(VLOOKUP($B148,indirect(text(D$1,"mm/dd/yy")&amp;"!B:L"),6,false)&gt;8,1,0),0)</f>
        <v>0</v>
      </c>
      <c r="F148" s="100">
        <f t="shared" si="101"/>
        <v>0</v>
      </c>
      <c r="G148" s="100">
        <f t="shared" si="101"/>
        <v>1</v>
      </c>
      <c r="H148" s="100">
        <f t="shared" si="101"/>
        <v>0</v>
      </c>
      <c r="I148" s="100">
        <f t="shared" si="101"/>
        <v>0</v>
      </c>
      <c r="J148" s="100">
        <f t="shared" si="101"/>
        <v>0</v>
      </c>
      <c r="K148" s="100">
        <f t="shared" si="101"/>
        <v>0</v>
      </c>
      <c r="L148" s="100">
        <f t="shared" si="101"/>
        <v>1</v>
      </c>
      <c r="M148" s="100">
        <f t="shared" si="101"/>
        <v>0</v>
      </c>
      <c r="N148" s="100">
        <f t="shared" si="101"/>
        <v>0</v>
      </c>
      <c r="O148" s="100">
        <f t="shared" si="101"/>
        <v>1</v>
      </c>
      <c r="P148" s="100">
        <f t="shared" si="101"/>
        <v>0</v>
      </c>
      <c r="Q148" s="100">
        <f t="shared" si="101"/>
        <v>0</v>
      </c>
      <c r="R148" s="100">
        <f t="shared" si="101"/>
        <v>0</v>
      </c>
      <c r="S148" s="100">
        <f t="shared" si="101"/>
        <v>1</v>
      </c>
      <c r="T148" s="100">
        <f t="shared" si="101"/>
        <v>0</v>
      </c>
      <c r="U148" s="100">
        <f t="shared" si="101"/>
        <v>0</v>
      </c>
      <c r="V148" s="100">
        <f t="shared" si="101"/>
        <v>0</v>
      </c>
      <c r="W148" s="100">
        <f t="shared" si="101"/>
        <v>0</v>
      </c>
      <c r="X148" s="100">
        <f t="shared" si="101"/>
        <v>0</v>
      </c>
      <c r="Y148" s="100">
        <f t="shared" si="101"/>
        <v>0</v>
      </c>
      <c r="Z148" s="100">
        <f t="shared" si="101"/>
        <v>0</v>
      </c>
      <c r="AA148" s="100">
        <f t="shared" si="101"/>
        <v>0</v>
      </c>
      <c r="AB148" s="100">
        <f t="shared" si="101"/>
        <v>0</v>
      </c>
      <c r="AC148" s="100">
        <f t="shared" si="101"/>
        <v>0</v>
      </c>
      <c r="AD148" s="100"/>
      <c r="AE148" s="100"/>
    </row>
    <row r="149">
      <c r="A149" s="39">
        <f t="shared" si="85"/>
        <v>18</v>
      </c>
      <c r="B149" s="36" t="s">
        <v>97</v>
      </c>
      <c r="C149" s="100">
        <f t="shared" si="98"/>
        <v>2</v>
      </c>
      <c r="D149" s="35"/>
      <c r="E149" s="100">
        <f t="shared" ref="E149:AC149" si="102">iferror(IF(VLOOKUP($B149,indirect(text(D$1,"mm/dd/yy")&amp;"!B:L"),6,false)&gt;8,1,0),0)</f>
        <v>0</v>
      </c>
      <c r="F149" s="100">
        <f t="shared" si="102"/>
        <v>0</v>
      </c>
      <c r="G149" s="100">
        <f t="shared" si="102"/>
        <v>0</v>
      </c>
      <c r="H149" s="100">
        <f t="shared" si="102"/>
        <v>0</v>
      </c>
      <c r="I149" s="100">
        <f t="shared" si="102"/>
        <v>0</v>
      </c>
      <c r="J149" s="100">
        <f t="shared" si="102"/>
        <v>1</v>
      </c>
      <c r="K149" s="100">
        <f t="shared" si="102"/>
        <v>0</v>
      </c>
      <c r="L149" s="100">
        <f t="shared" si="102"/>
        <v>0</v>
      </c>
      <c r="M149" s="100">
        <f t="shared" si="102"/>
        <v>0</v>
      </c>
      <c r="N149" s="100">
        <f t="shared" si="102"/>
        <v>0</v>
      </c>
      <c r="O149" s="100">
        <f t="shared" si="102"/>
        <v>0</v>
      </c>
      <c r="P149" s="100">
        <f t="shared" si="102"/>
        <v>1</v>
      </c>
      <c r="Q149" s="100">
        <f t="shared" si="102"/>
        <v>0</v>
      </c>
      <c r="R149" s="100">
        <f t="shared" si="102"/>
        <v>0</v>
      </c>
      <c r="S149" s="100">
        <f t="shared" si="102"/>
        <v>0</v>
      </c>
      <c r="T149" s="100">
        <f t="shared" si="102"/>
        <v>0</v>
      </c>
      <c r="U149" s="100">
        <f t="shared" si="102"/>
        <v>0</v>
      </c>
      <c r="V149" s="100">
        <f t="shared" si="102"/>
        <v>0</v>
      </c>
      <c r="W149" s="100">
        <f t="shared" si="102"/>
        <v>0</v>
      </c>
      <c r="X149" s="100">
        <f t="shared" si="102"/>
        <v>0</v>
      </c>
      <c r="Y149" s="100">
        <f t="shared" si="102"/>
        <v>0</v>
      </c>
      <c r="Z149" s="100">
        <f t="shared" si="102"/>
        <v>0</v>
      </c>
      <c r="AA149" s="100">
        <f t="shared" si="102"/>
        <v>0</v>
      </c>
      <c r="AB149" s="100">
        <f t="shared" si="102"/>
        <v>0</v>
      </c>
      <c r="AC149" s="100">
        <f t="shared" si="102"/>
        <v>0</v>
      </c>
      <c r="AD149" s="100"/>
      <c r="AE149" s="100"/>
    </row>
    <row r="150">
      <c r="A150" s="39">
        <f t="shared" si="85"/>
        <v>19</v>
      </c>
      <c r="B150" s="36" t="s">
        <v>114</v>
      </c>
      <c r="C150" s="100">
        <f t="shared" si="98"/>
        <v>1</v>
      </c>
      <c r="D150" s="35"/>
      <c r="E150" s="100">
        <f t="shared" ref="E150:AC150" si="103">iferror(IF(VLOOKUP($B150,indirect(text(D$1,"mm/dd/yy")&amp;"!B:L"),6,false)&gt;8,1,0),0)</f>
        <v>0</v>
      </c>
      <c r="F150" s="100">
        <f t="shared" si="103"/>
        <v>0</v>
      </c>
      <c r="G150" s="100">
        <f t="shared" si="103"/>
        <v>0</v>
      </c>
      <c r="H150" s="100">
        <f t="shared" si="103"/>
        <v>1</v>
      </c>
      <c r="I150" s="100">
        <f t="shared" si="103"/>
        <v>0</v>
      </c>
      <c r="J150" s="100">
        <f t="shared" si="103"/>
        <v>0</v>
      </c>
      <c r="K150" s="100">
        <f t="shared" si="103"/>
        <v>0</v>
      </c>
      <c r="L150" s="100">
        <f t="shared" si="103"/>
        <v>0</v>
      </c>
      <c r="M150" s="100">
        <f t="shared" si="103"/>
        <v>0</v>
      </c>
      <c r="N150" s="100">
        <f t="shared" si="103"/>
        <v>0</v>
      </c>
      <c r="O150" s="100">
        <f t="shared" si="103"/>
        <v>0</v>
      </c>
      <c r="P150" s="100">
        <f t="shared" si="103"/>
        <v>0</v>
      </c>
      <c r="Q150" s="100">
        <f t="shared" si="103"/>
        <v>0</v>
      </c>
      <c r="R150" s="100">
        <f t="shared" si="103"/>
        <v>0</v>
      </c>
      <c r="S150" s="100">
        <f t="shared" si="103"/>
        <v>0</v>
      </c>
      <c r="T150" s="100">
        <f t="shared" si="103"/>
        <v>0</v>
      </c>
      <c r="U150" s="100">
        <f t="shared" si="103"/>
        <v>0</v>
      </c>
      <c r="V150" s="100">
        <f t="shared" si="103"/>
        <v>0</v>
      </c>
      <c r="W150" s="100">
        <f t="shared" si="103"/>
        <v>0</v>
      </c>
      <c r="X150" s="100">
        <f t="shared" si="103"/>
        <v>0</v>
      </c>
      <c r="Y150" s="100">
        <f t="shared" si="103"/>
        <v>0</v>
      </c>
      <c r="Z150" s="100">
        <f t="shared" si="103"/>
        <v>0</v>
      </c>
      <c r="AA150" s="100">
        <f t="shared" si="103"/>
        <v>0</v>
      </c>
      <c r="AB150" s="100">
        <f t="shared" si="103"/>
        <v>0</v>
      </c>
      <c r="AC150" s="100">
        <f t="shared" si="103"/>
        <v>0</v>
      </c>
      <c r="AD150" s="100"/>
      <c r="AE150" s="100"/>
    </row>
    <row r="151">
      <c r="A151" s="39">
        <f t="shared" si="85"/>
        <v>20</v>
      </c>
      <c r="B151" s="36" t="s">
        <v>116</v>
      </c>
      <c r="C151" s="100">
        <f t="shared" si="98"/>
        <v>7</v>
      </c>
      <c r="D151" s="35"/>
      <c r="E151" s="100">
        <f t="shared" ref="E151:AC151" si="104">iferror(IF(VLOOKUP($B151,indirect(text(D$1,"mm/dd/yy")&amp;"!B:L"),6,false)&gt;8,1,0),0)</f>
        <v>0</v>
      </c>
      <c r="F151" s="100">
        <f t="shared" si="104"/>
        <v>0</v>
      </c>
      <c r="G151" s="100">
        <f t="shared" si="104"/>
        <v>0</v>
      </c>
      <c r="H151" s="100">
        <f t="shared" si="104"/>
        <v>1</v>
      </c>
      <c r="I151" s="100">
        <f t="shared" si="104"/>
        <v>1</v>
      </c>
      <c r="J151" s="100">
        <f t="shared" si="104"/>
        <v>1</v>
      </c>
      <c r="K151" s="100">
        <f t="shared" si="104"/>
        <v>1</v>
      </c>
      <c r="L151" s="100">
        <f t="shared" si="104"/>
        <v>0</v>
      </c>
      <c r="M151" s="100">
        <f t="shared" si="104"/>
        <v>0</v>
      </c>
      <c r="N151" s="100">
        <f t="shared" si="104"/>
        <v>0</v>
      </c>
      <c r="O151" s="100">
        <f t="shared" si="104"/>
        <v>0</v>
      </c>
      <c r="P151" s="100">
        <f t="shared" si="104"/>
        <v>1</v>
      </c>
      <c r="Q151" s="100">
        <f t="shared" si="104"/>
        <v>1</v>
      </c>
      <c r="R151" s="100">
        <f t="shared" si="104"/>
        <v>0</v>
      </c>
      <c r="S151" s="100">
        <f t="shared" si="104"/>
        <v>0</v>
      </c>
      <c r="T151" s="100">
        <f t="shared" si="104"/>
        <v>0</v>
      </c>
      <c r="U151" s="100">
        <f t="shared" si="104"/>
        <v>0</v>
      </c>
      <c r="V151" s="100">
        <f t="shared" si="104"/>
        <v>0</v>
      </c>
      <c r="W151" s="100">
        <f t="shared" si="104"/>
        <v>1</v>
      </c>
      <c r="X151" s="100">
        <f t="shared" si="104"/>
        <v>0</v>
      </c>
      <c r="Y151" s="100">
        <f t="shared" si="104"/>
        <v>0</v>
      </c>
      <c r="Z151" s="100">
        <f t="shared" si="104"/>
        <v>0</v>
      </c>
      <c r="AA151" s="100">
        <f t="shared" si="104"/>
        <v>0</v>
      </c>
      <c r="AB151" s="100">
        <f t="shared" si="104"/>
        <v>0</v>
      </c>
      <c r="AC151" s="100">
        <f t="shared" si="104"/>
        <v>0</v>
      </c>
      <c r="AD151" s="100"/>
      <c r="AE151" s="100"/>
    </row>
    <row r="152">
      <c r="A152" s="39">
        <f t="shared" si="85"/>
        <v>21</v>
      </c>
      <c r="B152" s="36" t="s">
        <v>93</v>
      </c>
      <c r="C152" s="100">
        <f t="shared" si="98"/>
        <v>0</v>
      </c>
      <c r="D152" s="35"/>
      <c r="E152" s="100">
        <f t="shared" ref="E152:AC152" si="105">iferror(IF(VLOOKUP($B152,indirect(text(D$1,"mm/dd/yy")&amp;"!B:L"),6,false)&gt;8,1,0),0)</f>
        <v>0</v>
      </c>
      <c r="F152" s="100">
        <f t="shared" si="105"/>
        <v>0</v>
      </c>
      <c r="G152" s="100">
        <f t="shared" si="105"/>
        <v>0</v>
      </c>
      <c r="H152" s="100">
        <f t="shared" si="105"/>
        <v>0</v>
      </c>
      <c r="I152" s="100">
        <f t="shared" si="105"/>
        <v>0</v>
      </c>
      <c r="J152" s="100">
        <f t="shared" si="105"/>
        <v>0</v>
      </c>
      <c r="K152" s="100">
        <f t="shared" si="105"/>
        <v>0</v>
      </c>
      <c r="L152" s="100">
        <f t="shared" si="105"/>
        <v>0</v>
      </c>
      <c r="M152" s="100">
        <f t="shared" si="105"/>
        <v>0</v>
      </c>
      <c r="N152" s="100">
        <f t="shared" si="105"/>
        <v>0</v>
      </c>
      <c r="O152" s="100">
        <f t="shared" si="105"/>
        <v>0</v>
      </c>
      <c r="P152" s="100">
        <f t="shared" si="105"/>
        <v>0</v>
      </c>
      <c r="Q152" s="100">
        <f t="shared" si="105"/>
        <v>0</v>
      </c>
      <c r="R152" s="100">
        <f t="shared" si="105"/>
        <v>0</v>
      </c>
      <c r="S152" s="100">
        <f t="shared" si="105"/>
        <v>0</v>
      </c>
      <c r="T152" s="100">
        <f t="shared" si="105"/>
        <v>0</v>
      </c>
      <c r="U152" s="100">
        <f t="shared" si="105"/>
        <v>0</v>
      </c>
      <c r="V152" s="100">
        <f t="shared" si="105"/>
        <v>0</v>
      </c>
      <c r="W152" s="100">
        <f t="shared" si="105"/>
        <v>0</v>
      </c>
      <c r="X152" s="100">
        <f t="shared" si="105"/>
        <v>0</v>
      </c>
      <c r="Y152" s="100">
        <f t="shared" si="105"/>
        <v>0</v>
      </c>
      <c r="Z152" s="100">
        <f t="shared" si="105"/>
        <v>0</v>
      </c>
      <c r="AA152" s="100">
        <f t="shared" si="105"/>
        <v>0</v>
      </c>
      <c r="AB152" s="100">
        <f t="shared" si="105"/>
        <v>0</v>
      </c>
      <c r="AC152" s="100">
        <f t="shared" si="105"/>
        <v>0</v>
      </c>
      <c r="AD152" s="100"/>
      <c r="AE152" s="100"/>
    </row>
    <row r="153">
      <c r="A153" s="39">
        <f t="shared" si="85"/>
        <v>22</v>
      </c>
      <c r="B153" s="36" t="s">
        <v>92</v>
      </c>
      <c r="C153" s="100">
        <f t="shared" si="98"/>
        <v>2</v>
      </c>
      <c r="D153" s="35"/>
      <c r="E153" s="100">
        <f t="shared" ref="E153:AC153" si="106">iferror(IF(VLOOKUP($B153,indirect(text(D$1,"mm/dd/yy")&amp;"!B:L"),6,false)&gt;8,1,0),0)</f>
        <v>0</v>
      </c>
      <c r="F153" s="100">
        <f t="shared" si="106"/>
        <v>0</v>
      </c>
      <c r="G153" s="100">
        <f t="shared" si="106"/>
        <v>0</v>
      </c>
      <c r="H153" s="100">
        <f t="shared" si="106"/>
        <v>0</v>
      </c>
      <c r="I153" s="100">
        <f t="shared" si="106"/>
        <v>0</v>
      </c>
      <c r="J153" s="100">
        <f t="shared" si="106"/>
        <v>0</v>
      </c>
      <c r="K153" s="100">
        <f t="shared" si="106"/>
        <v>0</v>
      </c>
      <c r="L153" s="100">
        <f t="shared" si="106"/>
        <v>0</v>
      </c>
      <c r="M153" s="100">
        <f t="shared" si="106"/>
        <v>0</v>
      </c>
      <c r="N153" s="100">
        <f t="shared" si="106"/>
        <v>0</v>
      </c>
      <c r="O153" s="100">
        <f t="shared" si="106"/>
        <v>0</v>
      </c>
      <c r="P153" s="100">
        <f t="shared" si="106"/>
        <v>0</v>
      </c>
      <c r="Q153" s="100">
        <f t="shared" si="106"/>
        <v>0</v>
      </c>
      <c r="R153" s="100">
        <f t="shared" si="106"/>
        <v>1</v>
      </c>
      <c r="S153" s="100">
        <f t="shared" si="106"/>
        <v>1</v>
      </c>
      <c r="T153" s="100">
        <f t="shared" si="106"/>
        <v>0</v>
      </c>
      <c r="U153" s="100">
        <f t="shared" si="106"/>
        <v>0</v>
      </c>
      <c r="V153" s="100">
        <f t="shared" si="106"/>
        <v>0</v>
      </c>
      <c r="W153" s="100">
        <f t="shared" si="106"/>
        <v>0</v>
      </c>
      <c r="X153" s="100">
        <f t="shared" si="106"/>
        <v>0</v>
      </c>
      <c r="Y153" s="100">
        <f t="shared" si="106"/>
        <v>0</v>
      </c>
      <c r="Z153" s="100">
        <f t="shared" si="106"/>
        <v>0</v>
      </c>
      <c r="AA153" s="100">
        <f t="shared" si="106"/>
        <v>0</v>
      </c>
      <c r="AB153" s="100">
        <f t="shared" si="106"/>
        <v>0</v>
      </c>
      <c r="AC153" s="100">
        <f t="shared" si="106"/>
        <v>0</v>
      </c>
      <c r="AD153" s="100"/>
      <c r="AE153" s="100"/>
    </row>
    <row r="154">
      <c r="A154" s="39">
        <f t="shared" si="85"/>
        <v>23</v>
      </c>
      <c r="B154" s="36" t="s">
        <v>96</v>
      </c>
      <c r="C154" s="100">
        <f t="shared" si="98"/>
        <v>2</v>
      </c>
      <c r="D154" s="35"/>
      <c r="E154" s="100">
        <f t="shared" ref="E154:AC154" si="107">iferror(IF(VLOOKUP($B154,indirect(text(D$1,"mm/dd/yy")&amp;"!B:L"),6,false)&gt;8,1,0),0)</f>
        <v>0</v>
      </c>
      <c r="F154" s="100">
        <f t="shared" si="107"/>
        <v>0</v>
      </c>
      <c r="G154" s="100">
        <f t="shared" si="107"/>
        <v>0</v>
      </c>
      <c r="H154" s="100">
        <f t="shared" si="107"/>
        <v>0</v>
      </c>
      <c r="I154" s="100">
        <f t="shared" si="107"/>
        <v>0</v>
      </c>
      <c r="J154" s="100">
        <f t="shared" si="107"/>
        <v>0</v>
      </c>
      <c r="K154" s="100">
        <f t="shared" si="107"/>
        <v>0</v>
      </c>
      <c r="L154" s="100">
        <f t="shared" si="107"/>
        <v>0</v>
      </c>
      <c r="M154" s="100">
        <f t="shared" si="107"/>
        <v>0</v>
      </c>
      <c r="N154" s="100">
        <f t="shared" si="107"/>
        <v>0</v>
      </c>
      <c r="O154" s="100">
        <f t="shared" si="107"/>
        <v>0</v>
      </c>
      <c r="P154" s="100">
        <f t="shared" si="107"/>
        <v>0</v>
      </c>
      <c r="Q154" s="100">
        <f t="shared" si="107"/>
        <v>0</v>
      </c>
      <c r="R154" s="100">
        <f t="shared" si="107"/>
        <v>1</v>
      </c>
      <c r="S154" s="100">
        <f t="shared" si="107"/>
        <v>1</v>
      </c>
      <c r="T154" s="100">
        <f t="shared" si="107"/>
        <v>0</v>
      </c>
      <c r="U154" s="100">
        <f t="shared" si="107"/>
        <v>0</v>
      </c>
      <c r="V154" s="100">
        <f t="shared" si="107"/>
        <v>0</v>
      </c>
      <c r="W154" s="100">
        <f t="shared" si="107"/>
        <v>0</v>
      </c>
      <c r="X154" s="100">
        <f t="shared" si="107"/>
        <v>0</v>
      </c>
      <c r="Y154" s="100">
        <f t="shared" si="107"/>
        <v>0</v>
      </c>
      <c r="Z154" s="100">
        <f t="shared" si="107"/>
        <v>0</v>
      </c>
      <c r="AA154" s="100">
        <f t="shared" si="107"/>
        <v>0</v>
      </c>
      <c r="AB154" s="100">
        <f t="shared" si="107"/>
        <v>0</v>
      </c>
      <c r="AC154" s="100">
        <f t="shared" si="107"/>
        <v>0</v>
      </c>
      <c r="AD154" s="100"/>
      <c r="AE154" s="100"/>
    </row>
    <row r="155">
      <c r="A155" s="39">
        <f t="shared" si="85"/>
        <v>24</v>
      </c>
      <c r="B155" s="36" t="s">
        <v>117</v>
      </c>
      <c r="C155" s="100">
        <f t="shared" si="98"/>
        <v>0</v>
      </c>
      <c r="D155" s="35"/>
      <c r="E155" s="100">
        <f t="shared" ref="E155:AC155" si="108">iferror(IF(VLOOKUP($B155,indirect(text(D$1,"mm/dd/yy")&amp;"!B:L"),6,false)&gt;8,1,0),0)</f>
        <v>0</v>
      </c>
      <c r="F155" s="100">
        <f t="shared" si="108"/>
        <v>0</v>
      </c>
      <c r="G155" s="100">
        <f t="shared" si="108"/>
        <v>0</v>
      </c>
      <c r="H155" s="100">
        <f t="shared" si="108"/>
        <v>0</v>
      </c>
      <c r="I155" s="100">
        <f t="shared" si="108"/>
        <v>0</v>
      </c>
      <c r="J155" s="100">
        <f t="shared" si="108"/>
        <v>0</v>
      </c>
      <c r="K155" s="100">
        <f t="shared" si="108"/>
        <v>0</v>
      </c>
      <c r="L155" s="100">
        <f t="shared" si="108"/>
        <v>0</v>
      </c>
      <c r="M155" s="100">
        <f t="shared" si="108"/>
        <v>0</v>
      </c>
      <c r="N155" s="100">
        <f t="shared" si="108"/>
        <v>0</v>
      </c>
      <c r="O155" s="100">
        <f t="shared" si="108"/>
        <v>0</v>
      </c>
      <c r="P155" s="100">
        <f t="shared" si="108"/>
        <v>0</v>
      </c>
      <c r="Q155" s="100">
        <f t="shared" si="108"/>
        <v>0</v>
      </c>
      <c r="R155" s="100">
        <f t="shared" si="108"/>
        <v>0</v>
      </c>
      <c r="S155" s="100">
        <f t="shared" si="108"/>
        <v>0</v>
      </c>
      <c r="T155" s="100">
        <f t="shared" si="108"/>
        <v>0</v>
      </c>
      <c r="U155" s="100">
        <f t="shared" si="108"/>
        <v>0</v>
      </c>
      <c r="V155" s="100">
        <f t="shared" si="108"/>
        <v>0</v>
      </c>
      <c r="W155" s="100">
        <f t="shared" si="108"/>
        <v>0</v>
      </c>
      <c r="X155" s="100">
        <f t="shared" si="108"/>
        <v>0</v>
      </c>
      <c r="Y155" s="100">
        <f t="shared" si="108"/>
        <v>0</v>
      </c>
      <c r="Z155" s="100">
        <f t="shared" si="108"/>
        <v>0</v>
      </c>
      <c r="AA155" s="100">
        <f t="shared" si="108"/>
        <v>0</v>
      </c>
      <c r="AB155" s="100">
        <f t="shared" si="108"/>
        <v>0</v>
      </c>
      <c r="AC155" s="100">
        <f t="shared" si="108"/>
        <v>0</v>
      </c>
      <c r="AD155" s="100"/>
      <c r="AE155" s="100"/>
    </row>
    <row r="156">
      <c r="A156" s="39">
        <f t="shared" si="85"/>
        <v>25</v>
      </c>
      <c r="B156" s="36" t="s">
        <v>118</v>
      </c>
      <c r="C156" s="100">
        <f t="shared" si="98"/>
        <v>3</v>
      </c>
      <c r="D156" s="35"/>
      <c r="E156" s="100">
        <f t="shared" ref="E156:AC156" si="109">iferror(IF(VLOOKUP($B156,indirect(text(D$1,"mm/dd/yy")&amp;"!B:L"),6,false)&gt;8,1,0),0)</f>
        <v>0</v>
      </c>
      <c r="F156" s="100">
        <f t="shared" si="109"/>
        <v>0</v>
      </c>
      <c r="G156" s="100">
        <f t="shared" si="109"/>
        <v>0</v>
      </c>
      <c r="H156" s="100">
        <f t="shared" si="109"/>
        <v>0</v>
      </c>
      <c r="I156" s="100">
        <f t="shared" si="109"/>
        <v>0</v>
      </c>
      <c r="J156" s="100">
        <f t="shared" si="109"/>
        <v>0</v>
      </c>
      <c r="K156" s="100">
        <f t="shared" si="109"/>
        <v>1</v>
      </c>
      <c r="L156" s="100">
        <f t="shared" si="109"/>
        <v>1</v>
      </c>
      <c r="M156" s="100">
        <f t="shared" si="109"/>
        <v>0</v>
      </c>
      <c r="N156" s="100">
        <f t="shared" si="109"/>
        <v>0</v>
      </c>
      <c r="O156" s="100">
        <f t="shared" si="109"/>
        <v>0</v>
      </c>
      <c r="P156" s="100">
        <f t="shared" si="109"/>
        <v>1</v>
      </c>
      <c r="Q156" s="100">
        <f t="shared" si="109"/>
        <v>0</v>
      </c>
      <c r="R156" s="100">
        <f t="shared" si="109"/>
        <v>0</v>
      </c>
      <c r="S156" s="100">
        <f t="shared" si="109"/>
        <v>0</v>
      </c>
      <c r="T156" s="100">
        <f t="shared" si="109"/>
        <v>0</v>
      </c>
      <c r="U156" s="100">
        <f t="shared" si="109"/>
        <v>0</v>
      </c>
      <c r="V156" s="100">
        <f t="shared" si="109"/>
        <v>0</v>
      </c>
      <c r="W156" s="100">
        <f t="shared" si="109"/>
        <v>0</v>
      </c>
      <c r="X156" s="100">
        <f t="shared" si="109"/>
        <v>0</v>
      </c>
      <c r="Y156" s="100">
        <f t="shared" si="109"/>
        <v>0</v>
      </c>
      <c r="Z156" s="100">
        <f t="shared" si="109"/>
        <v>0</v>
      </c>
      <c r="AA156" s="100">
        <f t="shared" si="109"/>
        <v>0</v>
      </c>
      <c r="AB156" s="100">
        <f t="shared" si="109"/>
        <v>0</v>
      </c>
      <c r="AC156" s="100">
        <f t="shared" si="109"/>
        <v>0</v>
      </c>
      <c r="AD156" s="100"/>
      <c r="AE156" s="100"/>
    </row>
    <row r="157">
      <c r="A157" s="39">
        <f t="shared" si="85"/>
        <v>26</v>
      </c>
      <c r="B157" s="36" t="s">
        <v>124</v>
      </c>
      <c r="C157" s="100">
        <f t="shared" si="98"/>
        <v>1</v>
      </c>
      <c r="D157" s="35"/>
      <c r="E157" s="100">
        <f t="shared" ref="E157:AC157" si="110">iferror(IF(VLOOKUP($B157,indirect(text(D$1,"mm/dd/yy")&amp;"!B:L"),6,false)&gt;8,1,0),0)</f>
        <v>0</v>
      </c>
      <c r="F157" s="100">
        <f t="shared" si="110"/>
        <v>0</v>
      </c>
      <c r="G157" s="100">
        <f t="shared" si="110"/>
        <v>0</v>
      </c>
      <c r="H157" s="100">
        <f t="shared" si="110"/>
        <v>1</v>
      </c>
      <c r="I157" s="100">
        <f t="shared" si="110"/>
        <v>0</v>
      </c>
      <c r="J157" s="100">
        <f t="shared" si="110"/>
        <v>0</v>
      </c>
      <c r="K157" s="100">
        <f t="shared" si="110"/>
        <v>0</v>
      </c>
      <c r="L157" s="100">
        <f t="shared" si="110"/>
        <v>0</v>
      </c>
      <c r="M157" s="100">
        <f t="shared" si="110"/>
        <v>0</v>
      </c>
      <c r="N157" s="100">
        <f t="shared" si="110"/>
        <v>0</v>
      </c>
      <c r="O157" s="100">
        <f t="shared" si="110"/>
        <v>0</v>
      </c>
      <c r="P157" s="100">
        <f t="shared" si="110"/>
        <v>0</v>
      </c>
      <c r="Q157" s="100">
        <f t="shared" si="110"/>
        <v>0</v>
      </c>
      <c r="R157" s="100">
        <f t="shared" si="110"/>
        <v>0</v>
      </c>
      <c r="S157" s="100">
        <f t="shared" si="110"/>
        <v>0</v>
      </c>
      <c r="T157" s="100">
        <f t="shared" si="110"/>
        <v>0</v>
      </c>
      <c r="U157" s="100">
        <f t="shared" si="110"/>
        <v>0</v>
      </c>
      <c r="V157" s="100">
        <f t="shared" si="110"/>
        <v>0</v>
      </c>
      <c r="W157" s="100">
        <f t="shared" si="110"/>
        <v>0</v>
      </c>
      <c r="X157" s="100">
        <f t="shared" si="110"/>
        <v>0</v>
      </c>
      <c r="Y157" s="100">
        <f t="shared" si="110"/>
        <v>0</v>
      </c>
      <c r="Z157" s="100">
        <f t="shared" si="110"/>
        <v>0</v>
      </c>
      <c r="AA157" s="100">
        <f t="shared" si="110"/>
        <v>0</v>
      </c>
      <c r="AB157" s="100">
        <f t="shared" si="110"/>
        <v>0</v>
      </c>
      <c r="AC157" s="100">
        <f t="shared" si="110"/>
        <v>0</v>
      </c>
      <c r="AD157" s="100"/>
      <c r="AE157" s="100"/>
    </row>
    <row r="158">
      <c r="A158" s="39">
        <f t="shared" si="85"/>
        <v>27</v>
      </c>
      <c r="B158" s="36" t="s">
        <v>125</v>
      </c>
      <c r="C158" s="100">
        <f t="shared" si="98"/>
        <v>1</v>
      </c>
      <c r="D158" s="35"/>
      <c r="E158" s="100">
        <f t="shared" ref="E158:AC158" si="111">iferror(IF(VLOOKUP($B158,indirect(text(D$1,"mm/dd/yy")&amp;"!B:L"),6,false)&gt;8,1,0),0)</f>
        <v>0</v>
      </c>
      <c r="F158" s="100">
        <f t="shared" si="111"/>
        <v>0</v>
      </c>
      <c r="G158" s="100">
        <f t="shared" si="111"/>
        <v>0</v>
      </c>
      <c r="H158" s="100">
        <f t="shared" si="111"/>
        <v>1</v>
      </c>
      <c r="I158" s="100">
        <f t="shared" si="111"/>
        <v>0</v>
      </c>
      <c r="J158" s="100">
        <f t="shared" si="111"/>
        <v>0</v>
      </c>
      <c r="K158" s="100">
        <f t="shared" si="111"/>
        <v>0</v>
      </c>
      <c r="L158" s="100">
        <f t="shared" si="111"/>
        <v>0</v>
      </c>
      <c r="M158" s="100">
        <f t="shared" si="111"/>
        <v>0</v>
      </c>
      <c r="N158" s="100">
        <f t="shared" si="111"/>
        <v>0</v>
      </c>
      <c r="O158" s="100">
        <f t="shared" si="111"/>
        <v>0</v>
      </c>
      <c r="P158" s="100">
        <f t="shared" si="111"/>
        <v>0</v>
      </c>
      <c r="Q158" s="100">
        <f t="shared" si="111"/>
        <v>0</v>
      </c>
      <c r="R158" s="100">
        <f t="shared" si="111"/>
        <v>0</v>
      </c>
      <c r="S158" s="100">
        <f t="shared" si="111"/>
        <v>0</v>
      </c>
      <c r="T158" s="100">
        <f t="shared" si="111"/>
        <v>0</v>
      </c>
      <c r="U158" s="100">
        <f t="shared" si="111"/>
        <v>0</v>
      </c>
      <c r="V158" s="100">
        <f t="shared" si="111"/>
        <v>0</v>
      </c>
      <c r="W158" s="100">
        <f t="shared" si="111"/>
        <v>0</v>
      </c>
      <c r="X158" s="100">
        <f t="shared" si="111"/>
        <v>0</v>
      </c>
      <c r="Y158" s="100">
        <f t="shared" si="111"/>
        <v>0</v>
      </c>
      <c r="Z158" s="100">
        <f t="shared" si="111"/>
        <v>0</v>
      </c>
      <c r="AA158" s="100">
        <f t="shared" si="111"/>
        <v>0</v>
      </c>
      <c r="AB158" s="100">
        <f t="shared" si="111"/>
        <v>0</v>
      </c>
      <c r="AC158" s="100">
        <f t="shared" si="111"/>
        <v>0</v>
      </c>
      <c r="AD158" s="100"/>
      <c r="AE158" s="100"/>
    </row>
    <row r="159">
      <c r="A159" s="39">
        <f t="shared" si="85"/>
        <v>28</v>
      </c>
      <c r="B159" s="36" t="s">
        <v>111</v>
      </c>
      <c r="C159" s="100">
        <f t="shared" si="98"/>
        <v>1</v>
      </c>
      <c r="D159" s="35"/>
      <c r="E159" s="100">
        <f t="shared" ref="E159:AC159" si="112">iferror(IF(VLOOKUP($B159,indirect(text(D$1,"mm/dd/yy")&amp;"!B:L"),6,false)&gt;8,1,0),0)</f>
        <v>0</v>
      </c>
      <c r="F159" s="100">
        <f t="shared" si="112"/>
        <v>0</v>
      </c>
      <c r="G159" s="100">
        <f t="shared" si="112"/>
        <v>0</v>
      </c>
      <c r="H159" s="100">
        <f t="shared" si="112"/>
        <v>0</v>
      </c>
      <c r="I159" s="100">
        <f t="shared" si="112"/>
        <v>0</v>
      </c>
      <c r="J159" s="100">
        <f t="shared" si="112"/>
        <v>0</v>
      </c>
      <c r="K159" s="100">
        <f t="shared" si="112"/>
        <v>0</v>
      </c>
      <c r="L159" s="100">
        <f t="shared" si="112"/>
        <v>0</v>
      </c>
      <c r="M159" s="100">
        <f t="shared" si="112"/>
        <v>0</v>
      </c>
      <c r="N159" s="100">
        <f t="shared" si="112"/>
        <v>0</v>
      </c>
      <c r="O159" s="100">
        <f t="shared" si="112"/>
        <v>0</v>
      </c>
      <c r="P159" s="100">
        <f t="shared" si="112"/>
        <v>0</v>
      </c>
      <c r="Q159" s="100">
        <f t="shared" si="112"/>
        <v>0</v>
      </c>
      <c r="R159" s="100">
        <f t="shared" si="112"/>
        <v>0</v>
      </c>
      <c r="S159" s="100">
        <f t="shared" si="112"/>
        <v>1</v>
      </c>
      <c r="T159" s="100">
        <f t="shared" si="112"/>
        <v>0</v>
      </c>
      <c r="U159" s="100">
        <f t="shared" si="112"/>
        <v>0</v>
      </c>
      <c r="V159" s="100">
        <f t="shared" si="112"/>
        <v>0</v>
      </c>
      <c r="W159" s="100">
        <f t="shared" si="112"/>
        <v>0</v>
      </c>
      <c r="X159" s="100">
        <f t="shared" si="112"/>
        <v>0</v>
      </c>
      <c r="Y159" s="100">
        <f t="shared" si="112"/>
        <v>0</v>
      </c>
      <c r="Z159" s="100">
        <f t="shared" si="112"/>
        <v>0</v>
      </c>
      <c r="AA159" s="100">
        <f t="shared" si="112"/>
        <v>0</v>
      </c>
      <c r="AB159" s="100">
        <f t="shared" si="112"/>
        <v>0</v>
      </c>
      <c r="AC159" s="100">
        <f t="shared" si="112"/>
        <v>0</v>
      </c>
      <c r="AD159" s="100"/>
      <c r="AE159" s="100"/>
    </row>
    <row r="160">
      <c r="A160" s="39">
        <f t="shared" si="85"/>
        <v>29</v>
      </c>
      <c r="B160" s="36" t="s">
        <v>128</v>
      </c>
      <c r="C160" s="100">
        <f t="shared" si="98"/>
        <v>3</v>
      </c>
      <c r="D160" s="35"/>
      <c r="E160" s="100">
        <f t="shared" ref="E160:AC160" si="113">iferror(IF(VLOOKUP($B160,indirect(text(D$1,"mm/dd/yy")&amp;"!B:L"),6,false)&gt;8,1,0),0)</f>
        <v>0</v>
      </c>
      <c r="F160" s="100">
        <f t="shared" si="113"/>
        <v>0</v>
      </c>
      <c r="G160" s="100">
        <f t="shared" si="113"/>
        <v>0</v>
      </c>
      <c r="H160" s="100">
        <f t="shared" si="113"/>
        <v>1</v>
      </c>
      <c r="I160" s="100">
        <f t="shared" si="113"/>
        <v>0</v>
      </c>
      <c r="J160" s="100">
        <f t="shared" si="113"/>
        <v>0</v>
      </c>
      <c r="K160" s="100">
        <f t="shared" si="113"/>
        <v>0</v>
      </c>
      <c r="L160" s="100">
        <f t="shared" si="113"/>
        <v>0</v>
      </c>
      <c r="M160" s="100">
        <f t="shared" si="113"/>
        <v>0</v>
      </c>
      <c r="N160" s="100">
        <f t="shared" si="113"/>
        <v>0</v>
      </c>
      <c r="O160" s="100">
        <f t="shared" si="113"/>
        <v>1</v>
      </c>
      <c r="P160" s="100">
        <f t="shared" si="113"/>
        <v>0</v>
      </c>
      <c r="Q160" s="100">
        <f t="shared" si="113"/>
        <v>0</v>
      </c>
      <c r="R160" s="100">
        <f t="shared" si="113"/>
        <v>0</v>
      </c>
      <c r="S160" s="100">
        <f t="shared" si="113"/>
        <v>0</v>
      </c>
      <c r="T160" s="100">
        <f t="shared" si="113"/>
        <v>1</v>
      </c>
      <c r="U160" s="100">
        <f t="shared" si="113"/>
        <v>0</v>
      </c>
      <c r="V160" s="100">
        <f t="shared" si="113"/>
        <v>0</v>
      </c>
      <c r="W160" s="100">
        <f t="shared" si="113"/>
        <v>0</v>
      </c>
      <c r="X160" s="100">
        <f t="shared" si="113"/>
        <v>0</v>
      </c>
      <c r="Y160" s="100">
        <f t="shared" si="113"/>
        <v>0</v>
      </c>
      <c r="Z160" s="100">
        <f t="shared" si="113"/>
        <v>0</v>
      </c>
      <c r="AA160" s="100">
        <f t="shared" si="113"/>
        <v>0</v>
      </c>
      <c r="AB160" s="100">
        <f t="shared" si="113"/>
        <v>0</v>
      </c>
      <c r="AC160" s="100">
        <f t="shared" si="113"/>
        <v>0</v>
      </c>
      <c r="AD160" s="100"/>
      <c r="AE160" s="100"/>
    </row>
    <row r="161">
      <c r="A161" s="39">
        <f t="shared" si="85"/>
        <v>30</v>
      </c>
      <c r="B161" s="36" t="s">
        <v>129</v>
      </c>
      <c r="C161" s="100">
        <f t="shared" si="98"/>
        <v>5</v>
      </c>
      <c r="D161" s="35"/>
      <c r="E161" s="100">
        <f t="shared" ref="E161:AC161" si="114">iferror(IF(VLOOKUP($B161,indirect(text(D$1,"mm/dd/yy")&amp;"!B:L"),6,false)&gt;8,1,0),0)</f>
        <v>0</v>
      </c>
      <c r="F161" s="100">
        <f t="shared" si="114"/>
        <v>0</v>
      </c>
      <c r="G161" s="100">
        <f t="shared" si="114"/>
        <v>0</v>
      </c>
      <c r="H161" s="100">
        <f t="shared" si="114"/>
        <v>0</v>
      </c>
      <c r="I161" s="100">
        <f t="shared" si="114"/>
        <v>1</v>
      </c>
      <c r="J161" s="100">
        <f t="shared" si="114"/>
        <v>1</v>
      </c>
      <c r="K161" s="100">
        <f t="shared" si="114"/>
        <v>1</v>
      </c>
      <c r="L161" s="100">
        <f t="shared" si="114"/>
        <v>0</v>
      </c>
      <c r="M161" s="100">
        <f t="shared" si="114"/>
        <v>0</v>
      </c>
      <c r="N161" s="100">
        <f t="shared" si="114"/>
        <v>0</v>
      </c>
      <c r="O161" s="100">
        <f t="shared" si="114"/>
        <v>1</v>
      </c>
      <c r="P161" s="100">
        <f t="shared" si="114"/>
        <v>0</v>
      </c>
      <c r="Q161" s="100">
        <f t="shared" si="114"/>
        <v>1</v>
      </c>
      <c r="R161" s="100">
        <f t="shared" si="114"/>
        <v>0</v>
      </c>
      <c r="S161" s="100">
        <f t="shared" si="114"/>
        <v>0</v>
      </c>
      <c r="T161" s="100">
        <f t="shared" si="114"/>
        <v>0</v>
      </c>
      <c r="U161" s="100">
        <f t="shared" si="114"/>
        <v>0</v>
      </c>
      <c r="V161" s="100">
        <f t="shared" si="114"/>
        <v>0</v>
      </c>
      <c r="W161" s="100">
        <f t="shared" si="114"/>
        <v>0</v>
      </c>
      <c r="X161" s="100">
        <f t="shared" si="114"/>
        <v>0</v>
      </c>
      <c r="Y161" s="100">
        <f t="shared" si="114"/>
        <v>0</v>
      </c>
      <c r="Z161" s="100">
        <f t="shared" si="114"/>
        <v>0</v>
      </c>
      <c r="AA161" s="100">
        <f t="shared" si="114"/>
        <v>0</v>
      </c>
      <c r="AB161" s="100">
        <f t="shared" si="114"/>
        <v>0</v>
      </c>
      <c r="AC161" s="100">
        <f t="shared" si="114"/>
        <v>0</v>
      </c>
      <c r="AD161" s="100"/>
      <c r="AE161" s="100"/>
    </row>
    <row r="162">
      <c r="A162" s="39">
        <f t="shared" si="85"/>
        <v>31</v>
      </c>
      <c r="B162" s="36" t="s">
        <v>103</v>
      </c>
      <c r="C162" s="100"/>
      <c r="D162" s="35"/>
      <c r="E162" s="100">
        <f t="shared" ref="E162:AC162" si="115">iferror(IF(VLOOKUP($B162,indirect(text(D$1,"mm/dd/yy")&amp;"!B:L"),6,false)&gt;8,1,0),0)</f>
        <v>0</v>
      </c>
      <c r="F162" s="100">
        <f t="shared" si="115"/>
        <v>1</v>
      </c>
      <c r="G162" s="100">
        <f t="shared" si="115"/>
        <v>1</v>
      </c>
      <c r="H162" s="100">
        <f t="shared" si="115"/>
        <v>0</v>
      </c>
      <c r="I162" s="100">
        <f t="shared" si="115"/>
        <v>0</v>
      </c>
      <c r="J162" s="100">
        <f t="shared" si="115"/>
        <v>0</v>
      </c>
      <c r="K162" s="100">
        <f t="shared" si="115"/>
        <v>0</v>
      </c>
      <c r="L162" s="100">
        <f t="shared" si="115"/>
        <v>0</v>
      </c>
      <c r="M162" s="100">
        <f t="shared" si="115"/>
        <v>0</v>
      </c>
      <c r="N162" s="100">
        <f t="shared" si="115"/>
        <v>0</v>
      </c>
      <c r="O162" s="100">
        <f t="shared" si="115"/>
        <v>1</v>
      </c>
      <c r="P162" s="100">
        <f t="shared" si="115"/>
        <v>0</v>
      </c>
      <c r="Q162" s="100">
        <f t="shared" si="115"/>
        <v>0</v>
      </c>
      <c r="R162" s="100">
        <f t="shared" si="115"/>
        <v>0</v>
      </c>
      <c r="S162" s="100">
        <f t="shared" si="115"/>
        <v>1</v>
      </c>
      <c r="T162" s="100">
        <f t="shared" si="115"/>
        <v>0</v>
      </c>
      <c r="U162" s="100">
        <f t="shared" si="115"/>
        <v>0</v>
      </c>
      <c r="V162" s="100">
        <f t="shared" si="115"/>
        <v>0</v>
      </c>
      <c r="W162" s="100">
        <f t="shared" si="115"/>
        <v>0</v>
      </c>
      <c r="X162" s="100">
        <f t="shared" si="115"/>
        <v>0</v>
      </c>
      <c r="Y162" s="100">
        <f t="shared" si="115"/>
        <v>0</v>
      </c>
      <c r="Z162" s="100">
        <f t="shared" si="115"/>
        <v>0</v>
      </c>
      <c r="AA162" s="100">
        <f t="shared" si="115"/>
        <v>0</v>
      </c>
      <c r="AB162" s="100">
        <f t="shared" si="115"/>
        <v>0</v>
      </c>
      <c r="AC162" s="100">
        <f t="shared" si="115"/>
        <v>0</v>
      </c>
      <c r="AD162" s="100"/>
      <c r="AE162" s="100"/>
    </row>
    <row r="163">
      <c r="A163" s="39">
        <f t="shared" si="85"/>
        <v>32</v>
      </c>
      <c r="B163" s="36" t="s">
        <v>131</v>
      </c>
      <c r="C163" s="100">
        <f t="shared" ref="C163:C166" si="117">sum(D163:AC163)</f>
        <v>1</v>
      </c>
      <c r="D163" s="35"/>
      <c r="E163" s="100">
        <f t="shared" ref="E163:AC163" si="116">iferror(IF(VLOOKUP($B163,indirect(text(D$1,"mm/dd/yy")&amp;"!B:L"),6,false)&gt;8,1,0),0)</f>
        <v>0</v>
      </c>
      <c r="F163" s="100">
        <f t="shared" si="116"/>
        <v>1</v>
      </c>
      <c r="G163" s="100">
        <f t="shared" si="116"/>
        <v>0</v>
      </c>
      <c r="H163" s="100">
        <f t="shared" si="116"/>
        <v>0</v>
      </c>
      <c r="I163" s="100">
        <f t="shared" si="116"/>
        <v>0</v>
      </c>
      <c r="J163" s="100">
        <f t="shared" si="116"/>
        <v>0</v>
      </c>
      <c r="K163" s="100">
        <f t="shared" si="116"/>
        <v>0</v>
      </c>
      <c r="L163" s="100">
        <f t="shared" si="116"/>
        <v>0</v>
      </c>
      <c r="M163" s="100">
        <f t="shared" si="116"/>
        <v>0</v>
      </c>
      <c r="N163" s="100">
        <f t="shared" si="116"/>
        <v>0</v>
      </c>
      <c r="O163" s="100">
        <f t="shared" si="116"/>
        <v>0</v>
      </c>
      <c r="P163" s="100">
        <f t="shared" si="116"/>
        <v>0</v>
      </c>
      <c r="Q163" s="100">
        <f t="shared" si="116"/>
        <v>0</v>
      </c>
      <c r="R163" s="100">
        <f t="shared" si="116"/>
        <v>0</v>
      </c>
      <c r="S163" s="100">
        <f t="shared" si="116"/>
        <v>0</v>
      </c>
      <c r="T163" s="100">
        <f t="shared" si="116"/>
        <v>0</v>
      </c>
      <c r="U163" s="100">
        <f t="shared" si="116"/>
        <v>0</v>
      </c>
      <c r="V163" s="100">
        <f t="shared" si="116"/>
        <v>0</v>
      </c>
      <c r="W163" s="100">
        <f t="shared" si="116"/>
        <v>0</v>
      </c>
      <c r="X163" s="100">
        <f t="shared" si="116"/>
        <v>0</v>
      </c>
      <c r="Y163" s="100">
        <f t="shared" si="116"/>
        <v>0</v>
      </c>
      <c r="Z163" s="100">
        <f t="shared" si="116"/>
        <v>0</v>
      </c>
      <c r="AA163" s="100">
        <f t="shared" si="116"/>
        <v>0</v>
      </c>
      <c r="AB163" s="100">
        <f t="shared" si="116"/>
        <v>0</v>
      </c>
      <c r="AC163" s="100">
        <f t="shared" si="116"/>
        <v>0</v>
      </c>
      <c r="AD163" s="100"/>
      <c r="AE163" s="100"/>
    </row>
    <row r="164">
      <c r="A164" s="39">
        <f t="shared" si="85"/>
        <v>33</v>
      </c>
      <c r="B164" s="36" t="s">
        <v>132</v>
      </c>
      <c r="C164" s="100">
        <f t="shared" si="117"/>
        <v>2</v>
      </c>
      <c r="D164" s="35"/>
      <c r="E164" s="100">
        <f t="shared" ref="E164:AC164" si="118">iferror(IF(VLOOKUP($B164,indirect(text(D$1,"mm/dd/yy")&amp;"!B:L"),6,false)&gt;8,1,0),0)</f>
        <v>0</v>
      </c>
      <c r="F164" s="100">
        <f t="shared" si="118"/>
        <v>1</v>
      </c>
      <c r="G164" s="100">
        <f t="shared" si="118"/>
        <v>0</v>
      </c>
      <c r="H164" s="100">
        <f t="shared" si="118"/>
        <v>0</v>
      </c>
      <c r="I164" s="100">
        <f t="shared" si="118"/>
        <v>0</v>
      </c>
      <c r="J164" s="100">
        <f t="shared" si="118"/>
        <v>0</v>
      </c>
      <c r="K164" s="100">
        <f t="shared" si="118"/>
        <v>0</v>
      </c>
      <c r="L164" s="100">
        <f t="shared" si="118"/>
        <v>0</v>
      </c>
      <c r="M164" s="100">
        <f t="shared" si="118"/>
        <v>0</v>
      </c>
      <c r="N164" s="100">
        <f t="shared" si="118"/>
        <v>0</v>
      </c>
      <c r="O164" s="100">
        <f t="shared" si="118"/>
        <v>0</v>
      </c>
      <c r="P164" s="100">
        <f t="shared" si="118"/>
        <v>1</v>
      </c>
      <c r="Q164" s="100">
        <f t="shared" si="118"/>
        <v>0</v>
      </c>
      <c r="R164" s="100">
        <f t="shared" si="118"/>
        <v>0</v>
      </c>
      <c r="S164" s="100">
        <f t="shared" si="118"/>
        <v>0</v>
      </c>
      <c r="T164" s="100">
        <f t="shared" si="118"/>
        <v>0</v>
      </c>
      <c r="U164" s="100">
        <f t="shared" si="118"/>
        <v>0</v>
      </c>
      <c r="V164" s="100">
        <f t="shared" si="118"/>
        <v>0</v>
      </c>
      <c r="W164" s="100">
        <f t="shared" si="118"/>
        <v>0</v>
      </c>
      <c r="X164" s="100">
        <f t="shared" si="118"/>
        <v>0</v>
      </c>
      <c r="Y164" s="100">
        <f t="shared" si="118"/>
        <v>0</v>
      </c>
      <c r="Z164" s="100">
        <f t="shared" si="118"/>
        <v>0</v>
      </c>
      <c r="AA164" s="100">
        <f t="shared" si="118"/>
        <v>0</v>
      </c>
      <c r="AB164" s="100">
        <f t="shared" si="118"/>
        <v>0</v>
      </c>
      <c r="AC164" s="100">
        <f t="shared" si="118"/>
        <v>0</v>
      </c>
      <c r="AD164" s="100"/>
      <c r="AE164" s="100"/>
    </row>
    <row r="165">
      <c r="A165" s="39">
        <f t="shared" si="85"/>
        <v>34</v>
      </c>
      <c r="B165" s="36" t="s">
        <v>133</v>
      </c>
      <c r="C165" s="100">
        <f t="shared" si="117"/>
        <v>3</v>
      </c>
      <c r="D165" s="35"/>
      <c r="E165" s="100">
        <f t="shared" ref="E165:AC165" si="119">iferror(IF(VLOOKUP($B165,indirect(text(D$1,"mm/dd/yy")&amp;"!B:L"),6,false)&gt;8,1,0),0)</f>
        <v>0</v>
      </c>
      <c r="F165" s="100">
        <f t="shared" si="119"/>
        <v>0</v>
      </c>
      <c r="G165" s="100">
        <f t="shared" si="119"/>
        <v>1</v>
      </c>
      <c r="H165" s="100">
        <f t="shared" si="119"/>
        <v>0</v>
      </c>
      <c r="I165" s="100">
        <f t="shared" si="119"/>
        <v>0</v>
      </c>
      <c r="J165" s="100">
        <f t="shared" si="119"/>
        <v>1</v>
      </c>
      <c r="K165" s="100">
        <f t="shared" si="119"/>
        <v>0</v>
      </c>
      <c r="L165" s="100">
        <f t="shared" si="119"/>
        <v>0</v>
      </c>
      <c r="M165" s="100">
        <f t="shared" si="119"/>
        <v>0</v>
      </c>
      <c r="N165" s="100">
        <f t="shared" si="119"/>
        <v>0</v>
      </c>
      <c r="O165" s="100">
        <f t="shared" si="119"/>
        <v>0</v>
      </c>
      <c r="P165" s="100">
        <f t="shared" si="119"/>
        <v>0</v>
      </c>
      <c r="Q165" s="100">
        <f t="shared" si="119"/>
        <v>1</v>
      </c>
      <c r="R165" s="100">
        <f t="shared" si="119"/>
        <v>0</v>
      </c>
      <c r="S165" s="100">
        <f t="shared" si="119"/>
        <v>0</v>
      </c>
      <c r="T165" s="100">
        <f t="shared" si="119"/>
        <v>0</v>
      </c>
      <c r="U165" s="100">
        <f t="shared" si="119"/>
        <v>0</v>
      </c>
      <c r="V165" s="100">
        <f t="shared" si="119"/>
        <v>0</v>
      </c>
      <c r="W165" s="100">
        <f t="shared" si="119"/>
        <v>0</v>
      </c>
      <c r="X165" s="100">
        <f t="shared" si="119"/>
        <v>0</v>
      </c>
      <c r="Y165" s="100">
        <f t="shared" si="119"/>
        <v>0</v>
      </c>
      <c r="Z165" s="100">
        <f t="shared" si="119"/>
        <v>0</v>
      </c>
      <c r="AA165" s="100">
        <f t="shared" si="119"/>
        <v>0</v>
      </c>
      <c r="AB165" s="100">
        <f t="shared" si="119"/>
        <v>0</v>
      </c>
      <c r="AC165" s="100">
        <f t="shared" si="119"/>
        <v>0</v>
      </c>
      <c r="AD165" s="100"/>
      <c r="AE165" s="100"/>
    </row>
    <row r="166">
      <c r="A166" s="39">
        <f t="shared" si="85"/>
        <v>35</v>
      </c>
      <c r="B166" s="36" t="s">
        <v>134</v>
      </c>
      <c r="C166" s="100">
        <f t="shared" si="117"/>
        <v>4</v>
      </c>
      <c r="D166" s="35"/>
      <c r="E166" s="100">
        <f t="shared" ref="E166:AC166" si="120">iferror(IF(VLOOKUP($B166,indirect(text(D$1,"mm/dd/yy")&amp;"!B:L"),6,false)&gt;8,1,0),0)</f>
        <v>0</v>
      </c>
      <c r="F166" s="100">
        <f t="shared" si="120"/>
        <v>0</v>
      </c>
      <c r="G166" s="100">
        <f t="shared" si="120"/>
        <v>0</v>
      </c>
      <c r="H166" s="100">
        <f t="shared" si="120"/>
        <v>0</v>
      </c>
      <c r="I166" s="100">
        <f t="shared" si="120"/>
        <v>0</v>
      </c>
      <c r="J166" s="100">
        <f t="shared" si="120"/>
        <v>1</v>
      </c>
      <c r="K166" s="100">
        <f t="shared" si="120"/>
        <v>0</v>
      </c>
      <c r="L166" s="100">
        <f t="shared" si="120"/>
        <v>0</v>
      </c>
      <c r="M166" s="100">
        <f t="shared" si="120"/>
        <v>0</v>
      </c>
      <c r="N166" s="100">
        <f t="shared" si="120"/>
        <v>0</v>
      </c>
      <c r="O166" s="100">
        <f t="shared" si="120"/>
        <v>1</v>
      </c>
      <c r="P166" s="100">
        <f t="shared" si="120"/>
        <v>1</v>
      </c>
      <c r="Q166" s="100">
        <f t="shared" si="120"/>
        <v>0</v>
      </c>
      <c r="R166" s="100">
        <f t="shared" si="120"/>
        <v>0</v>
      </c>
      <c r="S166" s="100">
        <f t="shared" si="120"/>
        <v>0</v>
      </c>
      <c r="T166" s="100">
        <f t="shared" si="120"/>
        <v>0</v>
      </c>
      <c r="U166" s="100">
        <f t="shared" si="120"/>
        <v>1</v>
      </c>
      <c r="V166" s="100">
        <f t="shared" si="120"/>
        <v>0</v>
      </c>
      <c r="W166" s="100">
        <f t="shared" si="120"/>
        <v>0</v>
      </c>
      <c r="X166" s="100">
        <f t="shared" si="120"/>
        <v>0</v>
      </c>
      <c r="Y166" s="100">
        <f t="shared" si="120"/>
        <v>0</v>
      </c>
      <c r="Z166" s="100">
        <f t="shared" si="120"/>
        <v>0</v>
      </c>
      <c r="AA166" s="100">
        <f t="shared" si="120"/>
        <v>0</v>
      </c>
      <c r="AB166" s="100">
        <f t="shared" si="120"/>
        <v>0</v>
      </c>
      <c r="AC166" s="100">
        <f t="shared" si="120"/>
        <v>0</v>
      </c>
      <c r="AD166" s="100"/>
      <c r="AE166" s="100"/>
    </row>
    <row r="167">
      <c r="A167" s="39">
        <f t="shared" si="85"/>
        <v>36</v>
      </c>
      <c r="B167" s="36" t="s">
        <v>104</v>
      </c>
      <c r="C167" s="100"/>
      <c r="D167" s="35"/>
      <c r="E167" s="100">
        <f t="shared" ref="E167:AC167" si="121">iferror(IF(VLOOKUP($B167,indirect(text(D$1,"mm/dd/yy")&amp;"!B:L"),6,false)&gt;8,1,0),0)</f>
        <v>1</v>
      </c>
      <c r="F167" s="100">
        <f t="shared" si="121"/>
        <v>0</v>
      </c>
      <c r="G167" s="100">
        <f t="shared" si="121"/>
        <v>0</v>
      </c>
      <c r="H167" s="100">
        <f t="shared" si="121"/>
        <v>1</v>
      </c>
      <c r="I167" s="100">
        <f t="shared" si="121"/>
        <v>0</v>
      </c>
      <c r="J167" s="100">
        <f t="shared" si="121"/>
        <v>0</v>
      </c>
      <c r="K167" s="100">
        <f t="shared" si="121"/>
        <v>0</v>
      </c>
      <c r="L167" s="100">
        <f t="shared" si="121"/>
        <v>0</v>
      </c>
      <c r="M167" s="100">
        <f t="shared" si="121"/>
        <v>0</v>
      </c>
      <c r="N167" s="100">
        <f t="shared" si="121"/>
        <v>0</v>
      </c>
      <c r="O167" s="100">
        <f t="shared" si="121"/>
        <v>0</v>
      </c>
      <c r="P167" s="100">
        <f t="shared" si="121"/>
        <v>0</v>
      </c>
      <c r="Q167" s="100">
        <f t="shared" si="121"/>
        <v>0</v>
      </c>
      <c r="R167" s="100">
        <f t="shared" si="121"/>
        <v>0</v>
      </c>
      <c r="S167" s="100">
        <f t="shared" si="121"/>
        <v>0</v>
      </c>
      <c r="T167" s="100">
        <f t="shared" si="121"/>
        <v>0</v>
      </c>
      <c r="U167" s="100">
        <f t="shared" si="121"/>
        <v>0</v>
      </c>
      <c r="V167" s="100">
        <f t="shared" si="121"/>
        <v>0</v>
      </c>
      <c r="W167" s="100">
        <f t="shared" si="121"/>
        <v>0</v>
      </c>
      <c r="X167" s="100">
        <f t="shared" si="121"/>
        <v>0</v>
      </c>
      <c r="Y167" s="100">
        <f t="shared" si="121"/>
        <v>0</v>
      </c>
      <c r="Z167" s="100">
        <f t="shared" si="121"/>
        <v>0</v>
      </c>
      <c r="AA167" s="100">
        <f t="shared" si="121"/>
        <v>0</v>
      </c>
      <c r="AB167" s="100">
        <f t="shared" si="121"/>
        <v>0</v>
      </c>
      <c r="AC167" s="100">
        <f t="shared" si="121"/>
        <v>0</v>
      </c>
      <c r="AD167" s="100"/>
      <c r="AE167" s="100"/>
    </row>
    <row r="168">
      <c r="A168" s="39">
        <f t="shared" si="85"/>
        <v>37</v>
      </c>
      <c r="B168" s="36" t="s">
        <v>105</v>
      </c>
      <c r="C168" s="100"/>
      <c r="D168" s="35"/>
      <c r="E168" s="100">
        <f t="shared" ref="E168:AC168" si="122">iferror(IF(VLOOKUP($B168,indirect(text(D$1,"mm/dd/yy")&amp;"!B:L"),6,false)&gt;8,1,0),0)</f>
        <v>0</v>
      </c>
      <c r="F168" s="100">
        <f t="shared" si="122"/>
        <v>0</v>
      </c>
      <c r="G168" s="100">
        <f t="shared" si="122"/>
        <v>0</v>
      </c>
      <c r="H168" s="100">
        <f t="shared" si="122"/>
        <v>0</v>
      </c>
      <c r="I168" s="100">
        <f t="shared" si="122"/>
        <v>0</v>
      </c>
      <c r="J168" s="100">
        <f t="shared" si="122"/>
        <v>0</v>
      </c>
      <c r="K168" s="100">
        <f t="shared" si="122"/>
        <v>0</v>
      </c>
      <c r="L168" s="100">
        <f t="shared" si="122"/>
        <v>0</v>
      </c>
      <c r="M168" s="100">
        <f t="shared" si="122"/>
        <v>0</v>
      </c>
      <c r="N168" s="100">
        <f t="shared" si="122"/>
        <v>0</v>
      </c>
      <c r="O168" s="100">
        <f t="shared" si="122"/>
        <v>0</v>
      </c>
      <c r="P168" s="100">
        <f t="shared" si="122"/>
        <v>0</v>
      </c>
      <c r="Q168" s="100">
        <f t="shared" si="122"/>
        <v>0</v>
      </c>
      <c r="R168" s="100">
        <f t="shared" si="122"/>
        <v>0</v>
      </c>
      <c r="S168" s="100">
        <f t="shared" si="122"/>
        <v>0</v>
      </c>
      <c r="T168" s="100">
        <f t="shared" si="122"/>
        <v>0</v>
      </c>
      <c r="U168" s="100">
        <f t="shared" si="122"/>
        <v>0</v>
      </c>
      <c r="V168" s="100">
        <f t="shared" si="122"/>
        <v>0</v>
      </c>
      <c r="W168" s="100">
        <f t="shared" si="122"/>
        <v>0</v>
      </c>
      <c r="X168" s="100">
        <f t="shared" si="122"/>
        <v>0</v>
      </c>
      <c r="Y168" s="100">
        <f t="shared" si="122"/>
        <v>0</v>
      </c>
      <c r="Z168" s="100">
        <f t="shared" si="122"/>
        <v>0</v>
      </c>
      <c r="AA168" s="100">
        <f t="shared" si="122"/>
        <v>0</v>
      </c>
      <c r="AB168" s="100">
        <f t="shared" si="122"/>
        <v>0</v>
      </c>
      <c r="AC168" s="100">
        <f t="shared" si="122"/>
        <v>0</v>
      </c>
      <c r="AD168" s="100"/>
      <c r="AE168" s="100"/>
    </row>
    <row r="169">
      <c r="A169" s="39">
        <f t="shared" si="85"/>
        <v>38</v>
      </c>
      <c r="B169" s="36" t="s">
        <v>136</v>
      </c>
      <c r="C169" s="100">
        <f t="shared" ref="C169:C184" si="124">sum(D169:AC169)</f>
        <v>3</v>
      </c>
      <c r="D169" s="35"/>
      <c r="E169" s="100">
        <f t="shared" ref="E169:AC169" si="123">iferror(IF(VLOOKUP($B169,indirect(text(D$1,"mm/dd/yy")&amp;"!B:L"),6,false)&gt;8,1,0),0)</f>
        <v>0</v>
      </c>
      <c r="F169" s="100">
        <f t="shared" si="123"/>
        <v>0</v>
      </c>
      <c r="G169" s="100">
        <f t="shared" si="123"/>
        <v>1</v>
      </c>
      <c r="H169" s="100">
        <f t="shared" si="123"/>
        <v>0</v>
      </c>
      <c r="I169" s="100">
        <f t="shared" si="123"/>
        <v>1</v>
      </c>
      <c r="J169" s="100">
        <f t="shared" si="123"/>
        <v>0</v>
      </c>
      <c r="K169" s="100">
        <f t="shared" si="123"/>
        <v>0</v>
      </c>
      <c r="L169" s="100">
        <f t="shared" si="123"/>
        <v>0</v>
      </c>
      <c r="M169" s="100">
        <f t="shared" si="123"/>
        <v>0</v>
      </c>
      <c r="N169" s="100">
        <f t="shared" si="123"/>
        <v>0</v>
      </c>
      <c r="O169" s="100">
        <f t="shared" si="123"/>
        <v>1</v>
      </c>
      <c r="P169" s="100">
        <f t="shared" si="123"/>
        <v>0</v>
      </c>
      <c r="Q169" s="100">
        <f t="shared" si="123"/>
        <v>0</v>
      </c>
      <c r="R169" s="100">
        <f t="shared" si="123"/>
        <v>0</v>
      </c>
      <c r="S169" s="100">
        <f t="shared" si="123"/>
        <v>0</v>
      </c>
      <c r="T169" s="100">
        <f t="shared" si="123"/>
        <v>0</v>
      </c>
      <c r="U169" s="100">
        <f t="shared" si="123"/>
        <v>0</v>
      </c>
      <c r="V169" s="100">
        <f t="shared" si="123"/>
        <v>0</v>
      </c>
      <c r="W169" s="100">
        <f t="shared" si="123"/>
        <v>0</v>
      </c>
      <c r="X169" s="100">
        <f t="shared" si="123"/>
        <v>0</v>
      </c>
      <c r="Y169" s="100">
        <f t="shared" si="123"/>
        <v>0</v>
      </c>
      <c r="Z169" s="100">
        <f t="shared" si="123"/>
        <v>0</v>
      </c>
      <c r="AA169" s="100">
        <f t="shared" si="123"/>
        <v>0</v>
      </c>
      <c r="AB169" s="100">
        <f t="shared" si="123"/>
        <v>0</v>
      </c>
      <c r="AC169" s="100">
        <f t="shared" si="123"/>
        <v>0</v>
      </c>
      <c r="AD169" s="100"/>
      <c r="AE169" s="100"/>
    </row>
    <row r="170">
      <c r="A170" s="39">
        <f t="shared" si="85"/>
        <v>39</v>
      </c>
      <c r="B170" s="36" t="s">
        <v>137</v>
      </c>
      <c r="C170" s="100">
        <f t="shared" si="124"/>
        <v>2</v>
      </c>
      <c r="D170" s="35"/>
      <c r="E170" s="100">
        <f t="shared" ref="E170:AC170" si="125">iferror(IF(VLOOKUP($B170,indirect(text(D$1,"mm/dd/yy")&amp;"!B:L"),6,false)&gt;8,1,0),0)</f>
        <v>0</v>
      </c>
      <c r="F170" s="100">
        <f t="shared" si="125"/>
        <v>0</v>
      </c>
      <c r="G170" s="100">
        <f t="shared" si="125"/>
        <v>0</v>
      </c>
      <c r="H170" s="100">
        <f t="shared" si="125"/>
        <v>0</v>
      </c>
      <c r="I170" s="100">
        <f t="shared" si="125"/>
        <v>0</v>
      </c>
      <c r="J170" s="100">
        <f t="shared" si="125"/>
        <v>0</v>
      </c>
      <c r="K170" s="100">
        <f t="shared" si="125"/>
        <v>0</v>
      </c>
      <c r="L170" s="100">
        <f t="shared" si="125"/>
        <v>0</v>
      </c>
      <c r="M170" s="100">
        <f t="shared" si="125"/>
        <v>0</v>
      </c>
      <c r="N170" s="100">
        <f t="shared" si="125"/>
        <v>0</v>
      </c>
      <c r="O170" s="100">
        <f t="shared" si="125"/>
        <v>0</v>
      </c>
      <c r="P170" s="100">
        <f t="shared" si="125"/>
        <v>0</v>
      </c>
      <c r="Q170" s="100">
        <f t="shared" si="125"/>
        <v>1</v>
      </c>
      <c r="R170" s="100">
        <f t="shared" si="125"/>
        <v>1</v>
      </c>
      <c r="S170" s="100">
        <f t="shared" si="125"/>
        <v>0</v>
      </c>
      <c r="T170" s="100">
        <f t="shared" si="125"/>
        <v>0</v>
      </c>
      <c r="U170" s="100">
        <f t="shared" si="125"/>
        <v>0</v>
      </c>
      <c r="V170" s="100">
        <f t="shared" si="125"/>
        <v>0</v>
      </c>
      <c r="W170" s="100">
        <f t="shared" si="125"/>
        <v>0</v>
      </c>
      <c r="X170" s="100">
        <f t="shared" si="125"/>
        <v>0</v>
      </c>
      <c r="Y170" s="100">
        <f t="shared" si="125"/>
        <v>0</v>
      </c>
      <c r="Z170" s="100">
        <f t="shared" si="125"/>
        <v>0</v>
      </c>
      <c r="AA170" s="100">
        <f t="shared" si="125"/>
        <v>0</v>
      </c>
      <c r="AB170" s="100">
        <f t="shared" si="125"/>
        <v>0</v>
      </c>
      <c r="AC170" s="100">
        <f t="shared" si="125"/>
        <v>0</v>
      </c>
      <c r="AD170" s="100"/>
      <c r="AE170" s="100"/>
    </row>
    <row r="171">
      <c r="A171" s="39">
        <f t="shared" si="85"/>
        <v>40</v>
      </c>
      <c r="B171" s="36" t="s">
        <v>120</v>
      </c>
      <c r="C171" s="100">
        <f t="shared" si="124"/>
        <v>3</v>
      </c>
      <c r="D171" s="35"/>
      <c r="E171" s="100">
        <f t="shared" ref="E171:AC171" si="126">iferror(IF(VLOOKUP($B171,indirect(text(D$1,"mm/dd/yy")&amp;"!B:L"),6,false)&gt;8,1,0),0)</f>
        <v>0</v>
      </c>
      <c r="F171" s="100">
        <f t="shared" si="126"/>
        <v>1</v>
      </c>
      <c r="G171" s="100">
        <f t="shared" si="126"/>
        <v>1</v>
      </c>
      <c r="H171" s="100">
        <f t="shared" si="126"/>
        <v>0</v>
      </c>
      <c r="I171" s="100">
        <f t="shared" si="126"/>
        <v>0</v>
      </c>
      <c r="J171" s="100">
        <f t="shared" si="126"/>
        <v>0</v>
      </c>
      <c r="K171" s="100">
        <f t="shared" si="126"/>
        <v>0</v>
      </c>
      <c r="L171" s="100">
        <f t="shared" si="126"/>
        <v>0</v>
      </c>
      <c r="M171" s="100">
        <f t="shared" si="126"/>
        <v>0</v>
      </c>
      <c r="N171" s="100">
        <f t="shared" si="126"/>
        <v>0</v>
      </c>
      <c r="O171" s="100">
        <f t="shared" si="126"/>
        <v>0</v>
      </c>
      <c r="P171" s="100">
        <f t="shared" si="126"/>
        <v>1</v>
      </c>
      <c r="Q171" s="100">
        <f t="shared" si="126"/>
        <v>0</v>
      </c>
      <c r="R171" s="100">
        <f t="shared" si="126"/>
        <v>0</v>
      </c>
      <c r="S171" s="100">
        <f t="shared" si="126"/>
        <v>0</v>
      </c>
      <c r="T171" s="100">
        <f t="shared" si="126"/>
        <v>0</v>
      </c>
      <c r="U171" s="100">
        <f t="shared" si="126"/>
        <v>0</v>
      </c>
      <c r="V171" s="100">
        <f t="shared" si="126"/>
        <v>0</v>
      </c>
      <c r="W171" s="100">
        <f t="shared" si="126"/>
        <v>0</v>
      </c>
      <c r="X171" s="100">
        <f t="shared" si="126"/>
        <v>0</v>
      </c>
      <c r="Y171" s="100">
        <f t="shared" si="126"/>
        <v>0</v>
      </c>
      <c r="Z171" s="100">
        <f t="shared" si="126"/>
        <v>0</v>
      </c>
      <c r="AA171" s="100">
        <f t="shared" si="126"/>
        <v>0</v>
      </c>
      <c r="AB171" s="100">
        <f t="shared" si="126"/>
        <v>0</v>
      </c>
      <c r="AC171" s="100">
        <f t="shared" si="126"/>
        <v>0</v>
      </c>
      <c r="AD171" s="100"/>
      <c r="AE171" s="100"/>
    </row>
    <row r="172">
      <c r="A172" s="39">
        <f t="shared" si="85"/>
        <v>41</v>
      </c>
      <c r="B172" s="36" t="s">
        <v>95</v>
      </c>
      <c r="C172" s="100">
        <f t="shared" si="124"/>
        <v>2</v>
      </c>
      <c r="D172" s="35"/>
      <c r="E172" s="100">
        <f t="shared" ref="E172:AC172" si="127">iferror(IF(VLOOKUP($B172,indirect(text(D$1,"mm/dd/yy")&amp;"!B:L"),6,false)&gt;8,1,0),0)</f>
        <v>0</v>
      </c>
      <c r="F172" s="100">
        <f t="shared" si="127"/>
        <v>0</v>
      </c>
      <c r="G172" s="100">
        <f t="shared" si="127"/>
        <v>0</v>
      </c>
      <c r="H172" s="100">
        <f t="shared" si="127"/>
        <v>0</v>
      </c>
      <c r="I172" s="100">
        <f t="shared" si="127"/>
        <v>0</v>
      </c>
      <c r="J172" s="100">
        <f t="shared" si="127"/>
        <v>0</v>
      </c>
      <c r="K172" s="100">
        <f t="shared" si="127"/>
        <v>0</v>
      </c>
      <c r="L172" s="100">
        <f t="shared" si="127"/>
        <v>0</v>
      </c>
      <c r="M172" s="100">
        <f t="shared" si="127"/>
        <v>0</v>
      </c>
      <c r="N172" s="100">
        <f t="shared" si="127"/>
        <v>1</v>
      </c>
      <c r="O172" s="100">
        <f t="shared" si="127"/>
        <v>0</v>
      </c>
      <c r="P172" s="100">
        <f t="shared" si="127"/>
        <v>0</v>
      </c>
      <c r="Q172" s="100">
        <f t="shared" si="127"/>
        <v>1</v>
      </c>
      <c r="R172" s="100">
        <f t="shared" si="127"/>
        <v>0</v>
      </c>
      <c r="S172" s="100">
        <f t="shared" si="127"/>
        <v>0</v>
      </c>
      <c r="T172" s="100">
        <f t="shared" si="127"/>
        <v>0</v>
      </c>
      <c r="U172" s="100">
        <f t="shared" si="127"/>
        <v>0</v>
      </c>
      <c r="V172" s="100">
        <f t="shared" si="127"/>
        <v>0</v>
      </c>
      <c r="W172" s="100">
        <f t="shared" si="127"/>
        <v>0</v>
      </c>
      <c r="X172" s="100">
        <f t="shared" si="127"/>
        <v>0</v>
      </c>
      <c r="Y172" s="100">
        <f t="shared" si="127"/>
        <v>0</v>
      </c>
      <c r="Z172" s="100">
        <f t="shared" si="127"/>
        <v>0</v>
      </c>
      <c r="AA172" s="100">
        <f t="shared" si="127"/>
        <v>0</v>
      </c>
      <c r="AB172" s="100">
        <f t="shared" si="127"/>
        <v>0</v>
      </c>
      <c r="AC172" s="100">
        <f t="shared" si="127"/>
        <v>0</v>
      </c>
      <c r="AD172" s="100"/>
      <c r="AE172" s="100"/>
    </row>
    <row r="173">
      <c r="A173" s="39">
        <f t="shared" si="85"/>
        <v>42</v>
      </c>
      <c r="B173" s="36" t="s">
        <v>138</v>
      </c>
      <c r="C173" s="100">
        <f t="shared" si="124"/>
        <v>3</v>
      </c>
      <c r="D173" s="35"/>
      <c r="E173" s="100">
        <f t="shared" ref="E173:AC173" si="128">iferror(IF(VLOOKUP($B173,indirect(text(D$1,"mm/dd/yy")&amp;"!B:L"),6,false)&gt;8,1,0),0)</f>
        <v>0</v>
      </c>
      <c r="F173" s="100">
        <f t="shared" si="128"/>
        <v>1</v>
      </c>
      <c r="G173" s="100">
        <f t="shared" si="128"/>
        <v>0</v>
      </c>
      <c r="H173" s="100">
        <f t="shared" si="128"/>
        <v>0</v>
      </c>
      <c r="I173" s="100">
        <f t="shared" si="128"/>
        <v>0</v>
      </c>
      <c r="J173" s="100">
        <f t="shared" si="128"/>
        <v>1</v>
      </c>
      <c r="K173" s="100">
        <f t="shared" si="128"/>
        <v>0</v>
      </c>
      <c r="L173" s="100">
        <f t="shared" si="128"/>
        <v>0</v>
      </c>
      <c r="M173" s="100">
        <f t="shared" si="128"/>
        <v>0</v>
      </c>
      <c r="N173" s="100">
        <f t="shared" si="128"/>
        <v>0</v>
      </c>
      <c r="O173" s="100">
        <f t="shared" si="128"/>
        <v>0</v>
      </c>
      <c r="P173" s="100">
        <f t="shared" si="128"/>
        <v>0</v>
      </c>
      <c r="Q173" s="100">
        <f t="shared" si="128"/>
        <v>0</v>
      </c>
      <c r="R173" s="100">
        <f t="shared" si="128"/>
        <v>0</v>
      </c>
      <c r="S173" s="100">
        <f t="shared" si="128"/>
        <v>0</v>
      </c>
      <c r="T173" s="100">
        <f t="shared" si="128"/>
        <v>0</v>
      </c>
      <c r="U173" s="100">
        <f t="shared" si="128"/>
        <v>1</v>
      </c>
      <c r="V173" s="100">
        <f t="shared" si="128"/>
        <v>0</v>
      </c>
      <c r="W173" s="100">
        <f t="shared" si="128"/>
        <v>0</v>
      </c>
      <c r="X173" s="100">
        <f t="shared" si="128"/>
        <v>0</v>
      </c>
      <c r="Y173" s="100">
        <f t="shared" si="128"/>
        <v>0</v>
      </c>
      <c r="Z173" s="100">
        <f t="shared" si="128"/>
        <v>0</v>
      </c>
      <c r="AA173" s="100">
        <f t="shared" si="128"/>
        <v>0</v>
      </c>
      <c r="AB173" s="100">
        <f t="shared" si="128"/>
        <v>0</v>
      </c>
      <c r="AC173" s="100">
        <f t="shared" si="128"/>
        <v>0</v>
      </c>
      <c r="AD173" s="100"/>
      <c r="AE173" s="100"/>
    </row>
    <row r="174">
      <c r="A174" s="39">
        <f t="shared" si="85"/>
        <v>43</v>
      </c>
      <c r="B174" s="36" t="s">
        <v>91</v>
      </c>
      <c r="C174" s="100">
        <f t="shared" si="124"/>
        <v>2</v>
      </c>
      <c r="D174" s="35"/>
      <c r="E174" s="100">
        <f t="shared" ref="E174:AC174" si="129">iferror(IF(VLOOKUP($B174,indirect(text(D$1,"mm/dd/yy")&amp;"!B:L"),6,false)&gt;8,1,0),0)</f>
        <v>0</v>
      </c>
      <c r="F174" s="100">
        <f t="shared" si="129"/>
        <v>1</v>
      </c>
      <c r="G174" s="100">
        <f t="shared" si="129"/>
        <v>0</v>
      </c>
      <c r="H174" s="100">
        <f t="shared" si="129"/>
        <v>0</v>
      </c>
      <c r="I174" s="100">
        <f t="shared" si="129"/>
        <v>0</v>
      </c>
      <c r="J174" s="100">
        <f t="shared" si="129"/>
        <v>0</v>
      </c>
      <c r="K174" s="100">
        <f t="shared" si="129"/>
        <v>0</v>
      </c>
      <c r="L174" s="100">
        <f t="shared" si="129"/>
        <v>0</v>
      </c>
      <c r="M174" s="100">
        <f t="shared" si="129"/>
        <v>0</v>
      </c>
      <c r="N174" s="100">
        <f t="shared" si="129"/>
        <v>0</v>
      </c>
      <c r="O174" s="100">
        <f t="shared" si="129"/>
        <v>0</v>
      </c>
      <c r="P174" s="100">
        <f t="shared" si="129"/>
        <v>0</v>
      </c>
      <c r="Q174" s="100">
        <f t="shared" si="129"/>
        <v>1</v>
      </c>
      <c r="R174" s="100">
        <f t="shared" si="129"/>
        <v>0</v>
      </c>
      <c r="S174" s="100">
        <f t="shared" si="129"/>
        <v>0</v>
      </c>
      <c r="T174" s="100">
        <f t="shared" si="129"/>
        <v>0</v>
      </c>
      <c r="U174" s="100">
        <f t="shared" si="129"/>
        <v>0</v>
      </c>
      <c r="V174" s="100">
        <f t="shared" si="129"/>
        <v>0</v>
      </c>
      <c r="W174" s="100">
        <f t="shared" si="129"/>
        <v>0</v>
      </c>
      <c r="X174" s="100">
        <f t="shared" si="129"/>
        <v>0</v>
      </c>
      <c r="Y174" s="100">
        <f t="shared" si="129"/>
        <v>0</v>
      </c>
      <c r="Z174" s="100">
        <f t="shared" si="129"/>
        <v>0</v>
      </c>
      <c r="AA174" s="100">
        <f t="shared" si="129"/>
        <v>0</v>
      </c>
      <c r="AB174" s="100">
        <f t="shared" si="129"/>
        <v>0</v>
      </c>
      <c r="AC174" s="100">
        <f t="shared" si="129"/>
        <v>0</v>
      </c>
      <c r="AD174" s="100"/>
      <c r="AE174" s="100"/>
    </row>
    <row r="175">
      <c r="A175" s="39">
        <f t="shared" si="85"/>
        <v>44</v>
      </c>
      <c r="B175" s="36" t="s">
        <v>99</v>
      </c>
      <c r="C175" s="100">
        <f t="shared" si="124"/>
        <v>2</v>
      </c>
      <c r="D175" s="35"/>
      <c r="E175" s="100">
        <f t="shared" ref="E175:AC175" si="130">iferror(IF(VLOOKUP($B175,indirect(text(D$1,"mm/dd/yy")&amp;"!B:L"),6,false)&gt;8,1,0),0)</f>
        <v>0</v>
      </c>
      <c r="F175" s="100">
        <f t="shared" si="130"/>
        <v>0</v>
      </c>
      <c r="G175" s="100">
        <f t="shared" si="130"/>
        <v>0</v>
      </c>
      <c r="H175" s="100">
        <f t="shared" si="130"/>
        <v>0</v>
      </c>
      <c r="I175" s="100">
        <f t="shared" si="130"/>
        <v>0</v>
      </c>
      <c r="J175" s="100">
        <f t="shared" si="130"/>
        <v>0</v>
      </c>
      <c r="K175" s="100">
        <f t="shared" si="130"/>
        <v>0</v>
      </c>
      <c r="L175" s="100">
        <f t="shared" si="130"/>
        <v>0</v>
      </c>
      <c r="M175" s="100">
        <f t="shared" si="130"/>
        <v>0</v>
      </c>
      <c r="N175" s="100">
        <f t="shared" si="130"/>
        <v>0</v>
      </c>
      <c r="O175" s="100">
        <f t="shared" si="130"/>
        <v>0</v>
      </c>
      <c r="P175" s="100">
        <f t="shared" si="130"/>
        <v>0</v>
      </c>
      <c r="Q175" s="100">
        <f t="shared" si="130"/>
        <v>1</v>
      </c>
      <c r="R175" s="100">
        <f t="shared" si="130"/>
        <v>0</v>
      </c>
      <c r="S175" s="100">
        <f t="shared" si="130"/>
        <v>0</v>
      </c>
      <c r="T175" s="100">
        <f t="shared" si="130"/>
        <v>1</v>
      </c>
      <c r="U175" s="100">
        <f t="shared" si="130"/>
        <v>0</v>
      </c>
      <c r="V175" s="100">
        <f t="shared" si="130"/>
        <v>0</v>
      </c>
      <c r="W175" s="100">
        <f t="shared" si="130"/>
        <v>0</v>
      </c>
      <c r="X175" s="100">
        <f t="shared" si="130"/>
        <v>0</v>
      </c>
      <c r="Y175" s="100">
        <f t="shared" si="130"/>
        <v>0</v>
      </c>
      <c r="Z175" s="100">
        <f t="shared" si="130"/>
        <v>0</v>
      </c>
      <c r="AA175" s="100">
        <f t="shared" si="130"/>
        <v>0</v>
      </c>
      <c r="AB175" s="100">
        <f t="shared" si="130"/>
        <v>0</v>
      </c>
      <c r="AC175" s="100">
        <f t="shared" si="130"/>
        <v>0</v>
      </c>
      <c r="AD175" s="100"/>
      <c r="AE175" s="100"/>
    </row>
    <row r="176">
      <c r="A176" s="39">
        <f t="shared" si="85"/>
        <v>45</v>
      </c>
      <c r="B176" s="36" t="s">
        <v>139</v>
      </c>
      <c r="C176" s="100">
        <f t="shared" si="124"/>
        <v>1</v>
      </c>
      <c r="D176" s="35"/>
      <c r="E176" s="100">
        <f t="shared" ref="E176:AC176" si="131">iferror(IF(VLOOKUP($B176,indirect(text(D$1,"mm/dd/yy")&amp;"!B:L"),6,false)&gt;8,1,0),0)</f>
        <v>0</v>
      </c>
      <c r="F176" s="100">
        <f t="shared" si="131"/>
        <v>0</v>
      </c>
      <c r="G176" s="100">
        <f t="shared" si="131"/>
        <v>0</v>
      </c>
      <c r="H176" s="100">
        <f t="shared" si="131"/>
        <v>0</v>
      </c>
      <c r="I176" s="100">
        <f t="shared" si="131"/>
        <v>0</v>
      </c>
      <c r="J176" s="100">
        <f t="shared" si="131"/>
        <v>0</v>
      </c>
      <c r="K176" s="100">
        <f t="shared" si="131"/>
        <v>0</v>
      </c>
      <c r="L176" s="100">
        <f t="shared" si="131"/>
        <v>0</v>
      </c>
      <c r="M176" s="100">
        <f t="shared" si="131"/>
        <v>0</v>
      </c>
      <c r="N176" s="100">
        <f t="shared" si="131"/>
        <v>1</v>
      </c>
      <c r="O176" s="100">
        <f t="shared" si="131"/>
        <v>0</v>
      </c>
      <c r="P176" s="100">
        <f t="shared" si="131"/>
        <v>0</v>
      </c>
      <c r="Q176" s="100">
        <f t="shared" si="131"/>
        <v>0</v>
      </c>
      <c r="R176" s="100">
        <f t="shared" si="131"/>
        <v>0</v>
      </c>
      <c r="S176" s="100">
        <f t="shared" si="131"/>
        <v>0</v>
      </c>
      <c r="T176" s="100">
        <f t="shared" si="131"/>
        <v>0</v>
      </c>
      <c r="U176" s="100">
        <f t="shared" si="131"/>
        <v>0</v>
      </c>
      <c r="V176" s="100">
        <f t="shared" si="131"/>
        <v>0</v>
      </c>
      <c r="W176" s="100">
        <f t="shared" si="131"/>
        <v>0</v>
      </c>
      <c r="X176" s="100">
        <f t="shared" si="131"/>
        <v>0</v>
      </c>
      <c r="Y176" s="100">
        <f t="shared" si="131"/>
        <v>0</v>
      </c>
      <c r="Z176" s="100">
        <f t="shared" si="131"/>
        <v>0</v>
      </c>
      <c r="AA176" s="100">
        <f t="shared" si="131"/>
        <v>0</v>
      </c>
      <c r="AB176" s="100">
        <f t="shared" si="131"/>
        <v>0</v>
      </c>
      <c r="AC176" s="100">
        <f t="shared" si="131"/>
        <v>0</v>
      </c>
      <c r="AD176" s="100"/>
      <c r="AE176" s="100"/>
    </row>
    <row r="177">
      <c r="A177" s="39">
        <f t="shared" si="85"/>
        <v>46</v>
      </c>
      <c r="B177" s="36" t="s">
        <v>140</v>
      </c>
      <c r="C177" s="100">
        <f t="shared" si="124"/>
        <v>5</v>
      </c>
      <c r="D177" s="35"/>
      <c r="E177" s="100">
        <f t="shared" ref="E177:AC177" si="132">iferror(IF(VLOOKUP($B177,indirect(text(D$1,"mm/dd/yy")&amp;"!B:L"),6,false)&gt;8,1,0),0)</f>
        <v>0</v>
      </c>
      <c r="F177" s="100">
        <f t="shared" si="132"/>
        <v>0</v>
      </c>
      <c r="G177" s="100">
        <f t="shared" si="132"/>
        <v>0</v>
      </c>
      <c r="H177" s="100">
        <f t="shared" si="132"/>
        <v>0</v>
      </c>
      <c r="I177" s="100">
        <f t="shared" si="132"/>
        <v>0</v>
      </c>
      <c r="J177" s="100">
        <f t="shared" si="132"/>
        <v>0</v>
      </c>
      <c r="K177" s="100">
        <f t="shared" si="132"/>
        <v>1</v>
      </c>
      <c r="L177" s="100">
        <f t="shared" si="132"/>
        <v>0</v>
      </c>
      <c r="M177" s="100">
        <f t="shared" si="132"/>
        <v>0</v>
      </c>
      <c r="N177" s="100">
        <f t="shared" si="132"/>
        <v>0</v>
      </c>
      <c r="O177" s="100">
        <f t="shared" si="132"/>
        <v>1</v>
      </c>
      <c r="P177" s="100">
        <f t="shared" si="132"/>
        <v>0</v>
      </c>
      <c r="Q177" s="100">
        <f t="shared" si="132"/>
        <v>0</v>
      </c>
      <c r="R177" s="100">
        <f t="shared" si="132"/>
        <v>0</v>
      </c>
      <c r="S177" s="100">
        <f t="shared" si="132"/>
        <v>0</v>
      </c>
      <c r="T177" s="100">
        <f t="shared" si="132"/>
        <v>1</v>
      </c>
      <c r="U177" s="100">
        <f t="shared" si="132"/>
        <v>0</v>
      </c>
      <c r="V177" s="100">
        <f t="shared" si="132"/>
        <v>1</v>
      </c>
      <c r="W177" s="100">
        <f t="shared" si="132"/>
        <v>1</v>
      </c>
      <c r="X177" s="100">
        <f t="shared" si="132"/>
        <v>0</v>
      </c>
      <c r="Y177" s="100">
        <f t="shared" si="132"/>
        <v>0</v>
      </c>
      <c r="Z177" s="100">
        <f t="shared" si="132"/>
        <v>0</v>
      </c>
      <c r="AA177" s="100">
        <f t="shared" si="132"/>
        <v>0</v>
      </c>
      <c r="AB177" s="100">
        <f t="shared" si="132"/>
        <v>0</v>
      </c>
      <c r="AC177" s="100">
        <f t="shared" si="132"/>
        <v>0</v>
      </c>
      <c r="AD177" s="100"/>
      <c r="AE177" s="100"/>
    </row>
    <row r="178">
      <c r="A178" s="39">
        <f t="shared" si="85"/>
        <v>47</v>
      </c>
      <c r="B178" s="36" t="s">
        <v>113</v>
      </c>
      <c r="C178" s="100">
        <f t="shared" si="124"/>
        <v>2</v>
      </c>
      <c r="D178" s="35"/>
      <c r="E178" s="100">
        <f t="shared" ref="E178:AC178" si="133">iferror(IF(VLOOKUP($B178,indirect(text(D$1,"mm/dd/yy")&amp;"!B:L"),6,false)&gt;8,1,0),0)</f>
        <v>0</v>
      </c>
      <c r="F178" s="100">
        <f t="shared" si="133"/>
        <v>1</v>
      </c>
      <c r="G178" s="100">
        <f t="shared" si="133"/>
        <v>1</v>
      </c>
      <c r="H178" s="100">
        <f t="shared" si="133"/>
        <v>0</v>
      </c>
      <c r="I178" s="100">
        <f t="shared" si="133"/>
        <v>0</v>
      </c>
      <c r="J178" s="100">
        <f t="shared" si="133"/>
        <v>0</v>
      </c>
      <c r="K178" s="100">
        <f t="shared" si="133"/>
        <v>0</v>
      </c>
      <c r="L178" s="100">
        <f t="shared" si="133"/>
        <v>0</v>
      </c>
      <c r="M178" s="100">
        <f t="shared" si="133"/>
        <v>0</v>
      </c>
      <c r="N178" s="100">
        <f t="shared" si="133"/>
        <v>0</v>
      </c>
      <c r="O178" s="100">
        <f t="shared" si="133"/>
        <v>0</v>
      </c>
      <c r="P178" s="100">
        <f t="shared" si="133"/>
        <v>0</v>
      </c>
      <c r="Q178" s="100">
        <f t="shared" si="133"/>
        <v>0</v>
      </c>
      <c r="R178" s="100">
        <f t="shared" si="133"/>
        <v>0</v>
      </c>
      <c r="S178" s="100">
        <f t="shared" si="133"/>
        <v>0</v>
      </c>
      <c r="T178" s="100">
        <f t="shared" si="133"/>
        <v>0</v>
      </c>
      <c r="U178" s="100">
        <f t="shared" si="133"/>
        <v>0</v>
      </c>
      <c r="V178" s="100">
        <f t="shared" si="133"/>
        <v>0</v>
      </c>
      <c r="W178" s="100">
        <f t="shared" si="133"/>
        <v>0</v>
      </c>
      <c r="X178" s="100">
        <f t="shared" si="133"/>
        <v>0</v>
      </c>
      <c r="Y178" s="100">
        <f t="shared" si="133"/>
        <v>0</v>
      </c>
      <c r="Z178" s="100">
        <f t="shared" si="133"/>
        <v>0</v>
      </c>
      <c r="AA178" s="100">
        <f t="shared" si="133"/>
        <v>0</v>
      </c>
      <c r="AB178" s="100">
        <f t="shared" si="133"/>
        <v>0</v>
      </c>
      <c r="AC178" s="100">
        <f t="shared" si="133"/>
        <v>0</v>
      </c>
      <c r="AD178" s="100"/>
      <c r="AE178" s="100"/>
    </row>
    <row r="179">
      <c r="A179" s="39">
        <f t="shared" si="85"/>
        <v>48</v>
      </c>
      <c r="B179" s="36" t="s">
        <v>80</v>
      </c>
      <c r="C179" s="100">
        <f t="shared" si="124"/>
        <v>2</v>
      </c>
      <c r="D179" s="35"/>
      <c r="E179" s="100">
        <f t="shared" ref="E179:AC179" si="134">iferror(IF(VLOOKUP($B179,indirect(text(D$1,"mm/dd/yy")&amp;"!B:L"),6,false)&gt;8,1,0),0)</f>
        <v>1</v>
      </c>
      <c r="F179" s="100">
        <f t="shared" si="134"/>
        <v>0</v>
      </c>
      <c r="G179" s="100">
        <f t="shared" si="134"/>
        <v>0</v>
      </c>
      <c r="H179" s="100">
        <f t="shared" si="134"/>
        <v>0</v>
      </c>
      <c r="I179" s="100">
        <f t="shared" si="134"/>
        <v>0</v>
      </c>
      <c r="J179" s="100">
        <f t="shared" si="134"/>
        <v>0</v>
      </c>
      <c r="K179" s="100">
        <f t="shared" si="134"/>
        <v>0</v>
      </c>
      <c r="L179" s="100">
        <f t="shared" si="134"/>
        <v>0</v>
      </c>
      <c r="M179" s="100">
        <f t="shared" si="134"/>
        <v>0</v>
      </c>
      <c r="N179" s="100">
        <f t="shared" si="134"/>
        <v>0</v>
      </c>
      <c r="O179" s="100">
        <f t="shared" si="134"/>
        <v>1</v>
      </c>
      <c r="P179" s="100">
        <f t="shared" si="134"/>
        <v>0</v>
      </c>
      <c r="Q179" s="100">
        <f t="shared" si="134"/>
        <v>0</v>
      </c>
      <c r="R179" s="100">
        <f t="shared" si="134"/>
        <v>0</v>
      </c>
      <c r="S179" s="100">
        <f t="shared" si="134"/>
        <v>0</v>
      </c>
      <c r="T179" s="100">
        <f t="shared" si="134"/>
        <v>0</v>
      </c>
      <c r="U179" s="100">
        <f t="shared" si="134"/>
        <v>0</v>
      </c>
      <c r="V179" s="100">
        <f t="shared" si="134"/>
        <v>0</v>
      </c>
      <c r="W179" s="100">
        <f t="shared" si="134"/>
        <v>0</v>
      </c>
      <c r="X179" s="100">
        <f t="shared" si="134"/>
        <v>0</v>
      </c>
      <c r="Y179" s="100">
        <f t="shared" si="134"/>
        <v>0</v>
      </c>
      <c r="Z179" s="100">
        <f t="shared" si="134"/>
        <v>0</v>
      </c>
      <c r="AA179" s="100">
        <f t="shared" si="134"/>
        <v>0</v>
      </c>
      <c r="AB179" s="100">
        <f t="shared" si="134"/>
        <v>0</v>
      </c>
      <c r="AC179" s="100">
        <f t="shared" si="134"/>
        <v>0</v>
      </c>
      <c r="AD179" s="100"/>
      <c r="AE179" s="100"/>
    </row>
    <row r="180">
      <c r="A180" s="39">
        <f t="shared" si="85"/>
        <v>49</v>
      </c>
      <c r="B180" s="36" t="s">
        <v>63</v>
      </c>
      <c r="C180" s="100">
        <f t="shared" si="124"/>
        <v>1</v>
      </c>
      <c r="D180" s="35"/>
      <c r="E180" s="100">
        <f t="shared" ref="E180:AC180" si="135">iferror(IF(VLOOKUP($B180,indirect(text(D$1,"mm/dd/yy")&amp;"!B:L"),6,false)&gt;8,1,0),0)</f>
        <v>0</v>
      </c>
      <c r="F180" s="100">
        <f t="shared" si="135"/>
        <v>0</v>
      </c>
      <c r="G180" s="100">
        <f t="shared" si="135"/>
        <v>0</v>
      </c>
      <c r="H180" s="100">
        <f t="shared" si="135"/>
        <v>0</v>
      </c>
      <c r="I180" s="100">
        <f t="shared" si="135"/>
        <v>0</v>
      </c>
      <c r="J180" s="100">
        <f t="shared" si="135"/>
        <v>0</v>
      </c>
      <c r="K180" s="100">
        <f t="shared" si="135"/>
        <v>0</v>
      </c>
      <c r="L180" s="100">
        <f t="shared" si="135"/>
        <v>0</v>
      </c>
      <c r="M180" s="100">
        <f t="shared" si="135"/>
        <v>0</v>
      </c>
      <c r="N180" s="100">
        <f t="shared" si="135"/>
        <v>0</v>
      </c>
      <c r="O180" s="100">
        <f t="shared" si="135"/>
        <v>0</v>
      </c>
      <c r="P180" s="100">
        <f t="shared" si="135"/>
        <v>0</v>
      </c>
      <c r="Q180" s="100">
        <f t="shared" si="135"/>
        <v>0</v>
      </c>
      <c r="R180" s="100">
        <f t="shared" si="135"/>
        <v>0</v>
      </c>
      <c r="S180" s="100">
        <f t="shared" si="135"/>
        <v>1</v>
      </c>
      <c r="T180" s="100">
        <f t="shared" si="135"/>
        <v>0</v>
      </c>
      <c r="U180" s="100">
        <f t="shared" si="135"/>
        <v>0</v>
      </c>
      <c r="V180" s="100">
        <f t="shared" si="135"/>
        <v>0</v>
      </c>
      <c r="W180" s="100">
        <f t="shared" si="135"/>
        <v>0</v>
      </c>
      <c r="X180" s="100">
        <f t="shared" si="135"/>
        <v>0</v>
      </c>
      <c r="Y180" s="100">
        <f t="shared" si="135"/>
        <v>0</v>
      </c>
      <c r="Z180" s="100">
        <f t="shared" si="135"/>
        <v>0</v>
      </c>
      <c r="AA180" s="100">
        <f t="shared" si="135"/>
        <v>0</v>
      </c>
      <c r="AB180" s="100">
        <f t="shared" si="135"/>
        <v>0</v>
      </c>
      <c r="AC180" s="100">
        <f t="shared" si="135"/>
        <v>0</v>
      </c>
      <c r="AD180" s="100"/>
      <c r="AE180" s="100"/>
    </row>
    <row r="181">
      <c r="A181" s="39">
        <f t="shared" si="85"/>
        <v>50</v>
      </c>
      <c r="B181" s="36" t="s">
        <v>112</v>
      </c>
      <c r="C181" s="100">
        <f t="shared" si="124"/>
        <v>2</v>
      </c>
      <c r="D181" s="35"/>
      <c r="E181" s="100">
        <f t="shared" ref="E181:AC181" si="136">iferror(IF(VLOOKUP($B181,indirect(text(D$1,"mm/dd/yy")&amp;"!B:L"),6,false)&gt;8,1,0),0)</f>
        <v>0</v>
      </c>
      <c r="F181" s="100">
        <f t="shared" si="136"/>
        <v>1</v>
      </c>
      <c r="G181" s="100">
        <f t="shared" si="136"/>
        <v>0</v>
      </c>
      <c r="H181" s="100">
        <f t="shared" si="136"/>
        <v>0</v>
      </c>
      <c r="I181" s="100">
        <f t="shared" si="136"/>
        <v>0</v>
      </c>
      <c r="J181" s="100">
        <f t="shared" si="136"/>
        <v>0</v>
      </c>
      <c r="K181" s="100">
        <f t="shared" si="136"/>
        <v>0</v>
      </c>
      <c r="L181" s="100">
        <f t="shared" si="136"/>
        <v>0</v>
      </c>
      <c r="M181" s="100">
        <f t="shared" si="136"/>
        <v>0</v>
      </c>
      <c r="N181" s="100">
        <f t="shared" si="136"/>
        <v>0</v>
      </c>
      <c r="O181" s="100">
        <f t="shared" si="136"/>
        <v>0</v>
      </c>
      <c r="P181" s="100">
        <f t="shared" si="136"/>
        <v>0</v>
      </c>
      <c r="Q181" s="100">
        <f t="shared" si="136"/>
        <v>0</v>
      </c>
      <c r="R181" s="100">
        <f t="shared" si="136"/>
        <v>0</v>
      </c>
      <c r="S181" s="100">
        <f t="shared" si="136"/>
        <v>0</v>
      </c>
      <c r="T181" s="100">
        <f t="shared" si="136"/>
        <v>1</v>
      </c>
      <c r="U181" s="100">
        <f t="shared" si="136"/>
        <v>0</v>
      </c>
      <c r="V181" s="100">
        <f t="shared" si="136"/>
        <v>0</v>
      </c>
      <c r="W181" s="100">
        <f t="shared" si="136"/>
        <v>0</v>
      </c>
      <c r="X181" s="100">
        <f t="shared" si="136"/>
        <v>0</v>
      </c>
      <c r="Y181" s="100">
        <f t="shared" si="136"/>
        <v>0</v>
      </c>
      <c r="Z181" s="100">
        <f t="shared" si="136"/>
        <v>0</v>
      </c>
      <c r="AA181" s="100">
        <f t="shared" si="136"/>
        <v>0</v>
      </c>
      <c r="AB181" s="100">
        <f t="shared" si="136"/>
        <v>0</v>
      </c>
      <c r="AC181" s="100">
        <f t="shared" si="136"/>
        <v>0</v>
      </c>
      <c r="AD181" s="100"/>
      <c r="AE181" s="100"/>
    </row>
    <row r="182">
      <c r="A182" s="39">
        <f t="shared" si="85"/>
        <v>51</v>
      </c>
      <c r="B182" s="36" t="s">
        <v>141</v>
      </c>
      <c r="C182" s="100">
        <f t="shared" si="124"/>
        <v>0</v>
      </c>
      <c r="D182" s="35"/>
      <c r="E182" s="100">
        <f t="shared" ref="E182:AC182" si="137">iferror(IF(VLOOKUP($B182,indirect(text(D$1,"mm/dd/yy")&amp;"!B:L"),6,false)&gt;8,1,0),0)</f>
        <v>0</v>
      </c>
      <c r="F182" s="100">
        <f t="shared" si="137"/>
        <v>0</v>
      </c>
      <c r="G182" s="100">
        <f t="shared" si="137"/>
        <v>0</v>
      </c>
      <c r="H182" s="100">
        <f t="shared" si="137"/>
        <v>0</v>
      </c>
      <c r="I182" s="100">
        <f t="shared" si="137"/>
        <v>0</v>
      </c>
      <c r="J182" s="100">
        <f t="shared" si="137"/>
        <v>0</v>
      </c>
      <c r="K182" s="100">
        <f t="shared" si="137"/>
        <v>0</v>
      </c>
      <c r="L182" s="100">
        <f t="shared" si="137"/>
        <v>0</v>
      </c>
      <c r="M182" s="100">
        <f t="shared" si="137"/>
        <v>0</v>
      </c>
      <c r="N182" s="100">
        <f t="shared" si="137"/>
        <v>0</v>
      </c>
      <c r="O182" s="100">
        <f t="shared" si="137"/>
        <v>0</v>
      </c>
      <c r="P182" s="100">
        <f t="shared" si="137"/>
        <v>0</v>
      </c>
      <c r="Q182" s="100">
        <f t="shared" si="137"/>
        <v>0</v>
      </c>
      <c r="R182" s="100">
        <f t="shared" si="137"/>
        <v>0</v>
      </c>
      <c r="S182" s="100">
        <f t="shared" si="137"/>
        <v>0</v>
      </c>
      <c r="T182" s="100">
        <f t="shared" si="137"/>
        <v>0</v>
      </c>
      <c r="U182" s="100">
        <f t="shared" si="137"/>
        <v>0</v>
      </c>
      <c r="V182" s="100">
        <f t="shared" si="137"/>
        <v>0</v>
      </c>
      <c r="W182" s="100">
        <f t="shared" si="137"/>
        <v>0</v>
      </c>
      <c r="X182" s="100">
        <f t="shared" si="137"/>
        <v>0</v>
      </c>
      <c r="Y182" s="100">
        <f t="shared" si="137"/>
        <v>0</v>
      </c>
      <c r="Z182" s="100">
        <f t="shared" si="137"/>
        <v>0</v>
      </c>
      <c r="AA182" s="100">
        <f t="shared" si="137"/>
        <v>0</v>
      </c>
      <c r="AB182" s="100">
        <f t="shared" si="137"/>
        <v>0</v>
      </c>
      <c r="AC182" s="100">
        <f t="shared" si="137"/>
        <v>0</v>
      </c>
      <c r="AD182" s="100"/>
      <c r="AE182" s="100"/>
    </row>
    <row r="183">
      <c r="A183" s="39">
        <f t="shared" si="85"/>
        <v>52</v>
      </c>
      <c r="B183" s="36" t="s">
        <v>143</v>
      </c>
      <c r="C183" s="100">
        <f t="shared" si="124"/>
        <v>3</v>
      </c>
      <c r="D183" s="35"/>
      <c r="E183" s="100">
        <f t="shared" ref="E183:AC183" si="138">iferror(IF(VLOOKUP($B183,indirect(text(D$1,"mm/dd/yy")&amp;"!B:L"),6,false)&gt;8,1,0),0)</f>
        <v>0</v>
      </c>
      <c r="F183" s="100">
        <f t="shared" si="138"/>
        <v>1</v>
      </c>
      <c r="G183" s="100">
        <f t="shared" si="138"/>
        <v>0</v>
      </c>
      <c r="H183" s="100">
        <f t="shared" si="138"/>
        <v>0</v>
      </c>
      <c r="I183" s="100">
        <f t="shared" si="138"/>
        <v>1</v>
      </c>
      <c r="J183" s="100">
        <f t="shared" si="138"/>
        <v>0</v>
      </c>
      <c r="K183" s="100">
        <f t="shared" si="138"/>
        <v>0</v>
      </c>
      <c r="L183" s="100">
        <f t="shared" si="138"/>
        <v>0</v>
      </c>
      <c r="M183" s="100">
        <f t="shared" si="138"/>
        <v>0</v>
      </c>
      <c r="N183" s="100">
        <f t="shared" si="138"/>
        <v>0</v>
      </c>
      <c r="O183" s="100">
        <f t="shared" si="138"/>
        <v>0</v>
      </c>
      <c r="P183" s="100">
        <f t="shared" si="138"/>
        <v>1</v>
      </c>
      <c r="Q183" s="100">
        <f t="shared" si="138"/>
        <v>0</v>
      </c>
      <c r="R183" s="100">
        <f t="shared" si="138"/>
        <v>0</v>
      </c>
      <c r="S183" s="100">
        <f t="shared" si="138"/>
        <v>0</v>
      </c>
      <c r="T183" s="100">
        <f t="shared" si="138"/>
        <v>0</v>
      </c>
      <c r="U183" s="100">
        <f t="shared" si="138"/>
        <v>0</v>
      </c>
      <c r="V183" s="100">
        <f t="shared" si="138"/>
        <v>0</v>
      </c>
      <c r="W183" s="100">
        <f t="shared" si="138"/>
        <v>0</v>
      </c>
      <c r="X183" s="100">
        <f t="shared" si="138"/>
        <v>0</v>
      </c>
      <c r="Y183" s="100">
        <f t="shared" si="138"/>
        <v>0</v>
      </c>
      <c r="Z183" s="100">
        <f t="shared" si="138"/>
        <v>0</v>
      </c>
      <c r="AA183" s="100">
        <f t="shared" si="138"/>
        <v>0</v>
      </c>
      <c r="AB183" s="100">
        <f t="shared" si="138"/>
        <v>0</v>
      </c>
      <c r="AC183" s="100">
        <f t="shared" si="138"/>
        <v>0</v>
      </c>
      <c r="AD183" s="100"/>
      <c r="AE183" s="100"/>
    </row>
    <row r="184">
      <c r="A184" s="39">
        <f t="shared" si="85"/>
        <v>53</v>
      </c>
      <c r="B184" s="36" t="s">
        <v>144</v>
      </c>
      <c r="C184" s="100">
        <f t="shared" si="124"/>
        <v>7</v>
      </c>
      <c r="D184" s="35"/>
      <c r="E184" s="100">
        <f t="shared" ref="E184:AC184" si="139">iferror(IF(VLOOKUP($B184,indirect(text(D$1,"mm/dd/yy")&amp;"!B:L"),6,false)&gt;8,1,0),0)</f>
        <v>0</v>
      </c>
      <c r="F184" s="100">
        <f t="shared" si="139"/>
        <v>1</v>
      </c>
      <c r="G184" s="100">
        <f t="shared" si="139"/>
        <v>1</v>
      </c>
      <c r="H184" s="100">
        <f t="shared" si="139"/>
        <v>1</v>
      </c>
      <c r="I184" s="100">
        <f t="shared" si="139"/>
        <v>0</v>
      </c>
      <c r="J184" s="100">
        <f t="shared" si="139"/>
        <v>1</v>
      </c>
      <c r="K184" s="100">
        <f t="shared" si="139"/>
        <v>0</v>
      </c>
      <c r="L184" s="100">
        <f t="shared" si="139"/>
        <v>0</v>
      </c>
      <c r="M184" s="100">
        <f t="shared" si="139"/>
        <v>0</v>
      </c>
      <c r="N184" s="100">
        <f t="shared" si="139"/>
        <v>0</v>
      </c>
      <c r="O184" s="100">
        <f t="shared" si="139"/>
        <v>0</v>
      </c>
      <c r="P184" s="100">
        <f t="shared" si="139"/>
        <v>0</v>
      </c>
      <c r="Q184" s="100">
        <f t="shared" si="139"/>
        <v>0</v>
      </c>
      <c r="R184" s="100">
        <f t="shared" si="139"/>
        <v>0</v>
      </c>
      <c r="S184" s="100">
        <f t="shared" si="139"/>
        <v>0</v>
      </c>
      <c r="T184" s="100">
        <f t="shared" si="139"/>
        <v>0</v>
      </c>
      <c r="U184" s="100">
        <f t="shared" si="139"/>
        <v>0</v>
      </c>
      <c r="V184" s="100">
        <f t="shared" si="139"/>
        <v>1</v>
      </c>
      <c r="W184" s="100">
        <f t="shared" si="139"/>
        <v>1</v>
      </c>
      <c r="X184" s="100">
        <f t="shared" si="139"/>
        <v>1</v>
      </c>
      <c r="Y184" s="100">
        <f t="shared" si="139"/>
        <v>0</v>
      </c>
      <c r="Z184" s="100">
        <f t="shared" si="139"/>
        <v>0</v>
      </c>
      <c r="AA184" s="100">
        <f t="shared" si="139"/>
        <v>0</v>
      </c>
      <c r="AB184" s="100">
        <f t="shared" si="139"/>
        <v>0</v>
      </c>
      <c r="AC184" s="100">
        <f t="shared" si="139"/>
        <v>0</v>
      </c>
      <c r="AD184" s="100"/>
      <c r="AE184" s="100"/>
    </row>
    <row r="185">
      <c r="A185" s="39">
        <f t="shared" si="85"/>
        <v>54</v>
      </c>
      <c r="B185" s="36" t="s">
        <v>106</v>
      </c>
      <c r="C185" s="100"/>
      <c r="D185" s="35"/>
      <c r="E185" s="100">
        <f t="shared" ref="E185:AC185" si="140">iferror(IF(VLOOKUP($B185,indirect(text(D$1,"mm/dd/yy")&amp;"!B:L"),6,false)&gt;8,1,0),0)</f>
        <v>0</v>
      </c>
      <c r="F185" s="100">
        <f t="shared" si="140"/>
        <v>0</v>
      </c>
      <c r="G185" s="100">
        <f t="shared" si="140"/>
        <v>0</v>
      </c>
      <c r="H185" s="100">
        <f t="shared" si="140"/>
        <v>0</v>
      </c>
      <c r="I185" s="100">
        <f t="shared" si="140"/>
        <v>0</v>
      </c>
      <c r="J185" s="100">
        <f t="shared" si="140"/>
        <v>0</v>
      </c>
      <c r="K185" s="100">
        <f t="shared" si="140"/>
        <v>0</v>
      </c>
      <c r="L185" s="100">
        <f t="shared" si="140"/>
        <v>0</v>
      </c>
      <c r="M185" s="100">
        <f t="shared" si="140"/>
        <v>0</v>
      </c>
      <c r="N185" s="100">
        <f t="shared" si="140"/>
        <v>0</v>
      </c>
      <c r="O185" s="100">
        <f t="shared" si="140"/>
        <v>0</v>
      </c>
      <c r="P185" s="100">
        <f t="shared" si="140"/>
        <v>0</v>
      </c>
      <c r="Q185" s="100">
        <f t="shared" si="140"/>
        <v>0</v>
      </c>
      <c r="R185" s="100">
        <f t="shared" si="140"/>
        <v>0</v>
      </c>
      <c r="S185" s="100">
        <f t="shared" si="140"/>
        <v>0</v>
      </c>
      <c r="T185" s="100">
        <f t="shared" si="140"/>
        <v>0</v>
      </c>
      <c r="U185" s="100">
        <f t="shared" si="140"/>
        <v>0</v>
      </c>
      <c r="V185" s="100">
        <f t="shared" si="140"/>
        <v>0</v>
      </c>
      <c r="W185" s="100">
        <f t="shared" si="140"/>
        <v>0</v>
      </c>
      <c r="X185" s="100">
        <f t="shared" si="140"/>
        <v>0</v>
      </c>
      <c r="Y185" s="100">
        <f t="shared" si="140"/>
        <v>0</v>
      </c>
      <c r="Z185" s="100">
        <f t="shared" si="140"/>
        <v>0</v>
      </c>
      <c r="AA185" s="100">
        <f t="shared" si="140"/>
        <v>0</v>
      </c>
      <c r="AB185" s="100">
        <f t="shared" si="140"/>
        <v>0</v>
      </c>
      <c r="AC185" s="100">
        <f t="shared" si="140"/>
        <v>0</v>
      </c>
      <c r="AD185" s="100"/>
      <c r="AE185" s="100"/>
    </row>
    <row r="186">
      <c r="A186" s="39">
        <f t="shared" si="85"/>
        <v>55</v>
      </c>
      <c r="B186" s="36" t="s">
        <v>142</v>
      </c>
      <c r="C186" s="100">
        <f t="shared" ref="C186:C193" si="142">sum(D186:AC186)</f>
        <v>0</v>
      </c>
      <c r="D186" s="35"/>
      <c r="E186" s="100">
        <f t="shared" ref="E186:AC186" si="141">iferror(IF(VLOOKUP($B186,indirect(text(D$1,"mm/dd/yy")&amp;"!B:L"),6,false)&gt;8,1,0),0)</f>
        <v>0</v>
      </c>
      <c r="F186" s="100">
        <f t="shared" si="141"/>
        <v>0</v>
      </c>
      <c r="G186" s="100">
        <f t="shared" si="141"/>
        <v>0</v>
      </c>
      <c r="H186" s="100">
        <f t="shared" si="141"/>
        <v>0</v>
      </c>
      <c r="I186" s="100">
        <f t="shared" si="141"/>
        <v>0</v>
      </c>
      <c r="J186" s="100">
        <f t="shared" si="141"/>
        <v>0</v>
      </c>
      <c r="K186" s="100">
        <f t="shared" si="141"/>
        <v>0</v>
      </c>
      <c r="L186" s="100">
        <f t="shared" si="141"/>
        <v>0</v>
      </c>
      <c r="M186" s="100">
        <f t="shared" si="141"/>
        <v>0</v>
      </c>
      <c r="N186" s="100">
        <f t="shared" si="141"/>
        <v>0</v>
      </c>
      <c r="O186" s="100">
        <f t="shared" si="141"/>
        <v>0</v>
      </c>
      <c r="P186" s="100">
        <f t="shared" si="141"/>
        <v>0</v>
      </c>
      <c r="Q186" s="100">
        <f t="shared" si="141"/>
        <v>0</v>
      </c>
      <c r="R186" s="100">
        <f t="shared" si="141"/>
        <v>0</v>
      </c>
      <c r="S186" s="100">
        <f t="shared" si="141"/>
        <v>0</v>
      </c>
      <c r="T186" s="100">
        <f t="shared" si="141"/>
        <v>0</v>
      </c>
      <c r="U186" s="100">
        <f t="shared" si="141"/>
        <v>0</v>
      </c>
      <c r="V186" s="100">
        <f t="shared" si="141"/>
        <v>0</v>
      </c>
      <c r="W186" s="100">
        <f t="shared" si="141"/>
        <v>0</v>
      </c>
      <c r="X186" s="100">
        <f t="shared" si="141"/>
        <v>0</v>
      </c>
      <c r="Y186" s="100">
        <f t="shared" si="141"/>
        <v>0</v>
      </c>
      <c r="Z186" s="100">
        <f t="shared" si="141"/>
        <v>0</v>
      </c>
      <c r="AA186" s="100">
        <f t="shared" si="141"/>
        <v>0</v>
      </c>
      <c r="AB186" s="100">
        <f t="shared" si="141"/>
        <v>0</v>
      </c>
      <c r="AC186" s="100">
        <f t="shared" si="141"/>
        <v>0</v>
      </c>
      <c r="AD186" s="100"/>
      <c r="AE186" s="100"/>
    </row>
    <row r="187">
      <c r="A187" s="39">
        <f t="shared" si="85"/>
        <v>56</v>
      </c>
      <c r="B187" s="36" t="s">
        <v>127</v>
      </c>
      <c r="C187" s="100">
        <f t="shared" si="142"/>
        <v>2</v>
      </c>
      <c r="D187" s="35"/>
      <c r="E187" s="100">
        <f t="shared" ref="E187:AC187" si="143">iferror(IF(VLOOKUP($B187,indirect(text(D$1,"mm/dd/yy")&amp;"!B:L"),6,false)&gt;8,1,0),0)</f>
        <v>0</v>
      </c>
      <c r="F187" s="100">
        <f t="shared" si="143"/>
        <v>1</v>
      </c>
      <c r="G187" s="100">
        <f t="shared" si="143"/>
        <v>0</v>
      </c>
      <c r="H187" s="100">
        <f t="shared" si="143"/>
        <v>1</v>
      </c>
      <c r="I187" s="100">
        <f t="shared" si="143"/>
        <v>0</v>
      </c>
      <c r="J187" s="100">
        <f t="shared" si="143"/>
        <v>0</v>
      </c>
      <c r="K187" s="100">
        <f t="shared" si="143"/>
        <v>0</v>
      </c>
      <c r="L187" s="100">
        <f t="shared" si="143"/>
        <v>0</v>
      </c>
      <c r="M187" s="100">
        <f t="shared" si="143"/>
        <v>0</v>
      </c>
      <c r="N187" s="100">
        <f t="shared" si="143"/>
        <v>0</v>
      </c>
      <c r="O187" s="100">
        <f t="shared" si="143"/>
        <v>0</v>
      </c>
      <c r="P187" s="100">
        <f t="shared" si="143"/>
        <v>0</v>
      </c>
      <c r="Q187" s="100">
        <f t="shared" si="143"/>
        <v>0</v>
      </c>
      <c r="R187" s="100">
        <f t="shared" si="143"/>
        <v>0</v>
      </c>
      <c r="S187" s="100">
        <f t="shared" si="143"/>
        <v>0</v>
      </c>
      <c r="T187" s="100">
        <f t="shared" si="143"/>
        <v>0</v>
      </c>
      <c r="U187" s="100">
        <f t="shared" si="143"/>
        <v>0</v>
      </c>
      <c r="V187" s="100">
        <f t="shared" si="143"/>
        <v>0</v>
      </c>
      <c r="W187" s="100">
        <f t="shared" si="143"/>
        <v>0</v>
      </c>
      <c r="X187" s="100">
        <f t="shared" si="143"/>
        <v>0</v>
      </c>
      <c r="Y187" s="100">
        <f t="shared" si="143"/>
        <v>0</v>
      </c>
      <c r="Z187" s="100">
        <f t="shared" si="143"/>
        <v>0</v>
      </c>
      <c r="AA187" s="100">
        <f t="shared" si="143"/>
        <v>0</v>
      </c>
      <c r="AB187" s="100">
        <f t="shared" si="143"/>
        <v>0</v>
      </c>
      <c r="AC187" s="100">
        <f t="shared" si="143"/>
        <v>0</v>
      </c>
      <c r="AD187" s="100"/>
      <c r="AE187" s="100"/>
    </row>
    <row r="188">
      <c r="A188" s="39">
        <f t="shared" si="85"/>
        <v>57</v>
      </c>
      <c r="B188" s="36" t="s">
        <v>68</v>
      </c>
      <c r="C188" s="100">
        <f t="shared" si="142"/>
        <v>2</v>
      </c>
      <c r="D188" s="35"/>
      <c r="E188" s="100">
        <f t="shared" ref="E188:AC188" si="144">iferror(IF(VLOOKUP($B188,indirect(text(D$1,"mm/dd/yy")&amp;"!B:L"),6,false)&gt;8,1,0),0)</f>
        <v>1</v>
      </c>
      <c r="F188" s="100">
        <f t="shared" si="144"/>
        <v>0</v>
      </c>
      <c r="G188" s="100">
        <f t="shared" si="144"/>
        <v>0</v>
      </c>
      <c r="H188" s="100">
        <f t="shared" si="144"/>
        <v>0</v>
      </c>
      <c r="I188" s="100">
        <f t="shared" si="144"/>
        <v>0</v>
      </c>
      <c r="J188" s="100">
        <f t="shared" si="144"/>
        <v>0</v>
      </c>
      <c r="K188" s="100">
        <f t="shared" si="144"/>
        <v>0</v>
      </c>
      <c r="L188" s="100">
        <f t="shared" si="144"/>
        <v>1</v>
      </c>
      <c r="M188" s="100">
        <f t="shared" si="144"/>
        <v>0</v>
      </c>
      <c r="N188" s="100">
        <f t="shared" si="144"/>
        <v>0</v>
      </c>
      <c r="O188" s="100">
        <f t="shared" si="144"/>
        <v>0</v>
      </c>
      <c r="P188" s="100">
        <f t="shared" si="144"/>
        <v>0</v>
      </c>
      <c r="Q188" s="100">
        <f t="shared" si="144"/>
        <v>0</v>
      </c>
      <c r="R188" s="100">
        <f t="shared" si="144"/>
        <v>0</v>
      </c>
      <c r="S188" s="100">
        <f t="shared" si="144"/>
        <v>0</v>
      </c>
      <c r="T188" s="100">
        <f t="shared" si="144"/>
        <v>0</v>
      </c>
      <c r="U188" s="100">
        <f t="shared" si="144"/>
        <v>0</v>
      </c>
      <c r="V188" s="100">
        <f t="shared" si="144"/>
        <v>0</v>
      </c>
      <c r="W188" s="100">
        <f t="shared" si="144"/>
        <v>0</v>
      </c>
      <c r="X188" s="100">
        <f t="shared" si="144"/>
        <v>0</v>
      </c>
      <c r="Y188" s="100">
        <f t="shared" si="144"/>
        <v>0</v>
      </c>
      <c r="Z188" s="100">
        <f t="shared" si="144"/>
        <v>0</v>
      </c>
      <c r="AA188" s="100">
        <f t="shared" si="144"/>
        <v>0</v>
      </c>
      <c r="AB188" s="100">
        <f t="shared" si="144"/>
        <v>0</v>
      </c>
      <c r="AC188" s="100">
        <f t="shared" si="144"/>
        <v>0</v>
      </c>
      <c r="AD188" s="100"/>
      <c r="AE188" s="100"/>
    </row>
    <row r="189">
      <c r="A189" s="39">
        <f t="shared" si="85"/>
        <v>58</v>
      </c>
      <c r="B189" s="36" t="s">
        <v>145</v>
      </c>
      <c r="C189" s="100">
        <f t="shared" si="142"/>
        <v>4</v>
      </c>
      <c r="D189" s="35"/>
      <c r="E189" s="100">
        <f t="shared" ref="E189:AC189" si="145">iferror(IF(VLOOKUP($B189,indirect(text(D$1,"mm/dd/yy")&amp;"!B:L"),6,false)&gt;8,1,0),0)</f>
        <v>0</v>
      </c>
      <c r="F189" s="100">
        <f t="shared" si="145"/>
        <v>0</v>
      </c>
      <c r="G189" s="100">
        <f t="shared" si="145"/>
        <v>0</v>
      </c>
      <c r="H189" s="100">
        <f t="shared" si="145"/>
        <v>0</v>
      </c>
      <c r="I189" s="100">
        <f t="shared" si="145"/>
        <v>0</v>
      </c>
      <c r="J189" s="100">
        <f t="shared" si="145"/>
        <v>1</v>
      </c>
      <c r="K189" s="100">
        <f t="shared" si="145"/>
        <v>1</v>
      </c>
      <c r="L189" s="100">
        <f t="shared" si="145"/>
        <v>0</v>
      </c>
      <c r="M189" s="100">
        <f t="shared" si="145"/>
        <v>0</v>
      </c>
      <c r="N189" s="100">
        <f t="shared" si="145"/>
        <v>0</v>
      </c>
      <c r="O189" s="100">
        <f t="shared" si="145"/>
        <v>1</v>
      </c>
      <c r="P189" s="100">
        <f t="shared" si="145"/>
        <v>0</v>
      </c>
      <c r="Q189" s="100">
        <f t="shared" si="145"/>
        <v>1</v>
      </c>
      <c r="R189" s="100">
        <f t="shared" si="145"/>
        <v>0</v>
      </c>
      <c r="S189" s="100">
        <f t="shared" si="145"/>
        <v>0</v>
      </c>
      <c r="T189" s="100">
        <f t="shared" si="145"/>
        <v>0</v>
      </c>
      <c r="U189" s="100">
        <f t="shared" si="145"/>
        <v>0</v>
      </c>
      <c r="V189" s="100">
        <f t="shared" si="145"/>
        <v>0</v>
      </c>
      <c r="W189" s="100">
        <f t="shared" si="145"/>
        <v>0</v>
      </c>
      <c r="X189" s="100">
        <f t="shared" si="145"/>
        <v>0</v>
      </c>
      <c r="Y189" s="100">
        <f t="shared" si="145"/>
        <v>0</v>
      </c>
      <c r="Z189" s="100">
        <f t="shared" si="145"/>
        <v>0</v>
      </c>
      <c r="AA189" s="100">
        <f t="shared" si="145"/>
        <v>0</v>
      </c>
      <c r="AB189" s="100">
        <f t="shared" si="145"/>
        <v>0</v>
      </c>
      <c r="AC189" s="100">
        <f t="shared" si="145"/>
        <v>0</v>
      </c>
      <c r="AD189" s="100"/>
      <c r="AE189" s="100"/>
    </row>
    <row r="190">
      <c r="A190" s="39">
        <f t="shared" si="85"/>
        <v>59</v>
      </c>
      <c r="B190" s="36" t="s">
        <v>146</v>
      </c>
      <c r="C190" s="100">
        <f t="shared" si="142"/>
        <v>2</v>
      </c>
      <c r="D190" s="35"/>
      <c r="E190" s="100">
        <f t="shared" ref="E190:AC190" si="146">iferror(IF(VLOOKUP($B190,indirect(text(D$1,"mm/dd/yy")&amp;"!B:L"),6,false)&gt;8,1,0),0)</f>
        <v>0</v>
      </c>
      <c r="F190" s="100">
        <f t="shared" si="146"/>
        <v>0</v>
      </c>
      <c r="G190" s="100">
        <f t="shared" si="146"/>
        <v>0</v>
      </c>
      <c r="H190" s="100">
        <f t="shared" si="146"/>
        <v>1</v>
      </c>
      <c r="I190" s="100">
        <f t="shared" si="146"/>
        <v>0</v>
      </c>
      <c r="J190" s="100">
        <f t="shared" si="146"/>
        <v>0</v>
      </c>
      <c r="K190" s="100">
        <f t="shared" si="146"/>
        <v>0</v>
      </c>
      <c r="L190" s="100">
        <f t="shared" si="146"/>
        <v>0</v>
      </c>
      <c r="M190" s="100">
        <f t="shared" si="146"/>
        <v>0</v>
      </c>
      <c r="N190" s="100">
        <f t="shared" si="146"/>
        <v>0</v>
      </c>
      <c r="O190" s="100">
        <f t="shared" si="146"/>
        <v>1</v>
      </c>
      <c r="P190" s="100">
        <f t="shared" si="146"/>
        <v>0</v>
      </c>
      <c r="Q190" s="100">
        <f t="shared" si="146"/>
        <v>0</v>
      </c>
      <c r="R190" s="100">
        <f t="shared" si="146"/>
        <v>0</v>
      </c>
      <c r="S190" s="100">
        <f t="shared" si="146"/>
        <v>0</v>
      </c>
      <c r="T190" s="100">
        <f t="shared" si="146"/>
        <v>0</v>
      </c>
      <c r="U190" s="100">
        <f t="shared" si="146"/>
        <v>0</v>
      </c>
      <c r="V190" s="100">
        <f t="shared" si="146"/>
        <v>0</v>
      </c>
      <c r="W190" s="100">
        <f t="shared" si="146"/>
        <v>0</v>
      </c>
      <c r="X190" s="100">
        <f t="shared" si="146"/>
        <v>0</v>
      </c>
      <c r="Y190" s="100">
        <f t="shared" si="146"/>
        <v>0</v>
      </c>
      <c r="Z190" s="100">
        <f t="shared" si="146"/>
        <v>0</v>
      </c>
      <c r="AA190" s="100">
        <f t="shared" si="146"/>
        <v>0</v>
      </c>
      <c r="AB190" s="100">
        <f t="shared" si="146"/>
        <v>0</v>
      </c>
      <c r="AC190" s="100">
        <f t="shared" si="146"/>
        <v>0</v>
      </c>
      <c r="AD190" s="100"/>
      <c r="AE190" s="100"/>
    </row>
    <row r="191">
      <c r="A191" s="39">
        <f t="shared" si="85"/>
        <v>60</v>
      </c>
      <c r="B191" s="36" t="s">
        <v>148</v>
      </c>
      <c r="C191" s="100">
        <f t="shared" si="142"/>
        <v>2</v>
      </c>
      <c r="D191" s="35"/>
      <c r="E191" s="100">
        <f t="shared" ref="E191:AC191" si="147">iferror(IF(VLOOKUP($B191,indirect(text(D$1,"mm/dd/yy")&amp;"!B:L"),6,false)&gt;8,1,0),0)</f>
        <v>0</v>
      </c>
      <c r="F191" s="100">
        <f t="shared" si="147"/>
        <v>0</v>
      </c>
      <c r="G191" s="100">
        <f t="shared" si="147"/>
        <v>0</v>
      </c>
      <c r="H191" s="100">
        <f t="shared" si="147"/>
        <v>0</v>
      </c>
      <c r="I191" s="100">
        <f t="shared" si="147"/>
        <v>0</v>
      </c>
      <c r="J191" s="100">
        <f t="shared" si="147"/>
        <v>0</v>
      </c>
      <c r="K191" s="100">
        <f t="shared" si="147"/>
        <v>1</v>
      </c>
      <c r="L191" s="100">
        <f t="shared" si="147"/>
        <v>0</v>
      </c>
      <c r="M191" s="100">
        <f t="shared" si="147"/>
        <v>0</v>
      </c>
      <c r="N191" s="100">
        <f t="shared" si="147"/>
        <v>0</v>
      </c>
      <c r="O191" s="100">
        <f t="shared" si="147"/>
        <v>0</v>
      </c>
      <c r="P191" s="100">
        <f t="shared" si="147"/>
        <v>0</v>
      </c>
      <c r="Q191" s="100">
        <f t="shared" si="147"/>
        <v>0</v>
      </c>
      <c r="R191" s="100">
        <f t="shared" si="147"/>
        <v>0</v>
      </c>
      <c r="S191" s="100">
        <f t="shared" si="147"/>
        <v>0</v>
      </c>
      <c r="T191" s="100">
        <f t="shared" si="147"/>
        <v>0</v>
      </c>
      <c r="U191" s="100">
        <f t="shared" si="147"/>
        <v>0</v>
      </c>
      <c r="V191" s="100">
        <f t="shared" si="147"/>
        <v>0</v>
      </c>
      <c r="W191" s="100">
        <f t="shared" si="147"/>
        <v>0</v>
      </c>
      <c r="X191" s="100">
        <f t="shared" si="147"/>
        <v>1</v>
      </c>
      <c r="Y191" s="100">
        <f t="shared" si="147"/>
        <v>0</v>
      </c>
      <c r="Z191" s="100">
        <f t="shared" si="147"/>
        <v>0</v>
      </c>
      <c r="AA191" s="100">
        <f t="shared" si="147"/>
        <v>0</v>
      </c>
      <c r="AB191" s="100">
        <f t="shared" si="147"/>
        <v>0</v>
      </c>
      <c r="AC191" s="100">
        <f t="shared" si="147"/>
        <v>0</v>
      </c>
      <c r="AD191" s="100"/>
      <c r="AE191" s="100"/>
    </row>
    <row r="192">
      <c r="A192" s="39">
        <f t="shared" si="85"/>
        <v>61</v>
      </c>
      <c r="B192" s="36" t="s">
        <v>149</v>
      </c>
      <c r="C192" s="100">
        <f t="shared" si="142"/>
        <v>1</v>
      </c>
      <c r="D192" s="35"/>
      <c r="E192" s="100">
        <f t="shared" ref="E192:AC192" si="148">iferror(IF(VLOOKUP($B192,indirect(text(D$1,"mm/dd/yy")&amp;"!B:L"),6,false)&gt;8,1,0),0)</f>
        <v>0</v>
      </c>
      <c r="F192" s="100">
        <f t="shared" si="148"/>
        <v>0</v>
      </c>
      <c r="G192" s="100">
        <f t="shared" si="148"/>
        <v>0</v>
      </c>
      <c r="H192" s="100">
        <f t="shared" si="148"/>
        <v>0</v>
      </c>
      <c r="I192" s="100">
        <f t="shared" si="148"/>
        <v>1</v>
      </c>
      <c r="J192" s="100">
        <f t="shared" si="148"/>
        <v>0</v>
      </c>
      <c r="K192" s="100">
        <f t="shared" si="148"/>
        <v>0</v>
      </c>
      <c r="L192" s="100">
        <f t="shared" si="148"/>
        <v>0</v>
      </c>
      <c r="M192" s="100">
        <f t="shared" si="148"/>
        <v>0</v>
      </c>
      <c r="N192" s="100">
        <f t="shared" si="148"/>
        <v>0</v>
      </c>
      <c r="O192" s="100">
        <f t="shared" si="148"/>
        <v>0</v>
      </c>
      <c r="P192" s="100">
        <f t="shared" si="148"/>
        <v>0</v>
      </c>
      <c r="Q192" s="100">
        <f t="shared" si="148"/>
        <v>0</v>
      </c>
      <c r="R192" s="100">
        <f t="shared" si="148"/>
        <v>0</v>
      </c>
      <c r="S192" s="100">
        <f t="shared" si="148"/>
        <v>0</v>
      </c>
      <c r="T192" s="100">
        <f t="shared" si="148"/>
        <v>0</v>
      </c>
      <c r="U192" s="100">
        <f t="shared" si="148"/>
        <v>0</v>
      </c>
      <c r="V192" s="100">
        <f t="shared" si="148"/>
        <v>0</v>
      </c>
      <c r="W192" s="100">
        <f t="shared" si="148"/>
        <v>0</v>
      </c>
      <c r="X192" s="100">
        <f t="shared" si="148"/>
        <v>0</v>
      </c>
      <c r="Y192" s="100">
        <f t="shared" si="148"/>
        <v>0</v>
      </c>
      <c r="Z192" s="100">
        <f t="shared" si="148"/>
        <v>0</v>
      </c>
      <c r="AA192" s="100">
        <f t="shared" si="148"/>
        <v>0</v>
      </c>
      <c r="AB192" s="100">
        <f t="shared" si="148"/>
        <v>0</v>
      </c>
      <c r="AC192" s="100">
        <f t="shared" si="148"/>
        <v>0</v>
      </c>
      <c r="AD192" s="100"/>
      <c r="AE192" s="100"/>
    </row>
    <row r="193">
      <c r="A193" s="39">
        <f t="shared" si="85"/>
        <v>62</v>
      </c>
      <c r="B193" s="36" t="s">
        <v>135</v>
      </c>
      <c r="C193" s="100">
        <f t="shared" si="142"/>
        <v>2</v>
      </c>
      <c r="D193" s="35"/>
      <c r="E193" s="100">
        <f t="shared" ref="E193:AC193" si="149">iferror(IF(VLOOKUP($B193,indirect(text(D$1,"mm/dd/yy")&amp;"!B:L"),6,false)&gt;8,1,0),0)</f>
        <v>0</v>
      </c>
      <c r="F193" s="100">
        <f t="shared" si="149"/>
        <v>0</v>
      </c>
      <c r="G193" s="100">
        <f t="shared" si="149"/>
        <v>0</v>
      </c>
      <c r="H193" s="100">
        <f t="shared" si="149"/>
        <v>1</v>
      </c>
      <c r="I193" s="100">
        <f t="shared" si="149"/>
        <v>0</v>
      </c>
      <c r="J193" s="100">
        <f t="shared" si="149"/>
        <v>0</v>
      </c>
      <c r="K193" s="100">
        <f t="shared" si="149"/>
        <v>0</v>
      </c>
      <c r="L193" s="100">
        <f t="shared" si="149"/>
        <v>0</v>
      </c>
      <c r="M193" s="100">
        <f t="shared" si="149"/>
        <v>0</v>
      </c>
      <c r="N193" s="100">
        <f t="shared" si="149"/>
        <v>0</v>
      </c>
      <c r="O193" s="100">
        <f t="shared" si="149"/>
        <v>0</v>
      </c>
      <c r="P193" s="100">
        <f t="shared" si="149"/>
        <v>0</v>
      </c>
      <c r="Q193" s="100">
        <f t="shared" si="149"/>
        <v>0</v>
      </c>
      <c r="R193" s="100">
        <f t="shared" si="149"/>
        <v>1</v>
      </c>
      <c r="S193" s="100">
        <f t="shared" si="149"/>
        <v>0</v>
      </c>
      <c r="T193" s="100">
        <f t="shared" si="149"/>
        <v>0</v>
      </c>
      <c r="U193" s="100">
        <f t="shared" si="149"/>
        <v>0</v>
      </c>
      <c r="V193" s="100">
        <f t="shared" si="149"/>
        <v>0</v>
      </c>
      <c r="W193" s="100">
        <f t="shared" si="149"/>
        <v>0</v>
      </c>
      <c r="X193" s="100">
        <f t="shared" si="149"/>
        <v>0</v>
      </c>
      <c r="Y193" s="100">
        <f t="shared" si="149"/>
        <v>0</v>
      </c>
      <c r="Z193" s="100">
        <f t="shared" si="149"/>
        <v>0</v>
      </c>
      <c r="AA193" s="100">
        <f t="shared" si="149"/>
        <v>0</v>
      </c>
      <c r="AB193" s="100">
        <f t="shared" si="149"/>
        <v>0</v>
      </c>
      <c r="AC193" s="100">
        <f t="shared" si="149"/>
        <v>0</v>
      </c>
      <c r="AD193" s="100"/>
      <c r="AE193" s="100"/>
    </row>
    <row r="194">
      <c r="A194" s="39">
        <f t="shared" si="85"/>
        <v>63</v>
      </c>
      <c r="B194" s="36" t="s">
        <v>107</v>
      </c>
      <c r="C194" s="100"/>
      <c r="D194" s="35"/>
      <c r="E194" s="100">
        <f t="shared" ref="E194:AC194" si="150">iferror(IF(VLOOKUP($B194,indirect(text(D$1,"mm/dd/yy")&amp;"!B:L"),6,false)&gt;8,1,0),0)</f>
        <v>0</v>
      </c>
      <c r="F194" s="100">
        <f t="shared" si="150"/>
        <v>0</v>
      </c>
      <c r="G194" s="100">
        <f t="shared" si="150"/>
        <v>0</v>
      </c>
      <c r="H194" s="100">
        <f t="shared" si="150"/>
        <v>0</v>
      </c>
      <c r="I194" s="100">
        <f t="shared" si="150"/>
        <v>1</v>
      </c>
      <c r="J194" s="100">
        <f t="shared" si="150"/>
        <v>0</v>
      </c>
      <c r="K194" s="100">
        <f t="shared" si="150"/>
        <v>0</v>
      </c>
      <c r="L194" s="100">
        <f t="shared" si="150"/>
        <v>0</v>
      </c>
      <c r="M194" s="100">
        <f t="shared" si="150"/>
        <v>0</v>
      </c>
      <c r="N194" s="100">
        <f t="shared" si="150"/>
        <v>0</v>
      </c>
      <c r="O194" s="100">
        <f t="shared" si="150"/>
        <v>0</v>
      </c>
      <c r="P194" s="100">
        <f t="shared" si="150"/>
        <v>0</v>
      </c>
      <c r="Q194" s="100">
        <f t="shared" si="150"/>
        <v>0</v>
      </c>
      <c r="R194" s="100">
        <f t="shared" si="150"/>
        <v>0</v>
      </c>
      <c r="S194" s="100">
        <f t="shared" si="150"/>
        <v>0</v>
      </c>
      <c r="T194" s="100">
        <f t="shared" si="150"/>
        <v>0</v>
      </c>
      <c r="U194" s="100">
        <f t="shared" si="150"/>
        <v>0</v>
      </c>
      <c r="V194" s="100">
        <f t="shared" si="150"/>
        <v>0</v>
      </c>
      <c r="W194" s="100">
        <f t="shared" si="150"/>
        <v>0</v>
      </c>
      <c r="X194" s="100">
        <f t="shared" si="150"/>
        <v>0</v>
      </c>
      <c r="Y194" s="100">
        <f t="shared" si="150"/>
        <v>0</v>
      </c>
      <c r="Z194" s="100">
        <f t="shared" si="150"/>
        <v>0</v>
      </c>
      <c r="AA194" s="100">
        <f t="shared" si="150"/>
        <v>0</v>
      </c>
      <c r="AB194" s="100">
        <f t="shared" si="150"/>
        <v>0</v>
      </c>
      <c r="AC194" s="100">
        <f t="shared" si="150"/>
        <v>0</v>
      </c>
      <c r="AD194" s="100"/>
      <c r="AE194" s="100"/>
    </row>
    <row r="195">
      <c r="A195" s="39">
        <f t="shared" si="85"/>
        <v>64</v>
      </c>
      <c r="B195" s="36" t="s">
        <v>77</v>
      </c>
      <c r="C195" s="100">
        <f t="shared" ref="C195:C198" si="152">sum(D195:AC195)</f>
        <v>3</v>
      </c>
      <c r="D195" s="35"/>
      <c r="E195" s="100">
        <f t="shared" ref="E195:AC195" si="151">iferror(IF(VLOOKUP($B195,indirect(text(D$1,"mm/dd/yy")&amp;"!B:L"),6,false)&gt;8,1,0),0)</f>
        <v>0</v>
      </c>
      <c r="F195" s="100">
        <f t="shared" si="151"/>
        <v>0</v>
      </c>
      <c r="G195" s="100">
        <f t="shared" si="151"/>
        <v>0</v>
      </c>
      <c r="H195" s="100">
        <f t="shared" si="151"/>
        <v>0</v>
      </c>
      <c r="I195" s="100">
        <f t="shared" si="151"/>
        <v>0</v>
      </c>
      <c r="J195" s="100">
        <f t="shared" si="151"/>
        <v>0</v>
      </c>
      <c r="K195" s="100">
        <f t="shared" si="151"/>
        <v>0</v>
      </c>
      <c r="L195" s="100">
        <f t="shared" si="151"/>
        <v>1</v>
      </c>
      <c r="M195" s="100">
        <f t="shared" si="151"/>
        <v>0</v>
      </c>
      <c r="N195" s="100">
        <f t="shared" si="151"/>
        <v>0</v>
      </c>
      <c r="O195" s="100">
        <f t="shared" si="151"/>
        <v>0</v>
      </c>
      <c r="P195" s="100">
        <f t="shared" si="151"/>
        <v>0</v>
      </c>
      <c r="Q195" s="100">
        <f t="shared" si="151"/>
        <v>0</v>
      </c>
      <c r="R195" s="100">
        <f t="shared" si="151"/>
        <v>1</v>
      </c>
      <c r="S195" s="100">
        <f t="shared" si="151"/>
        <v>1</v>
      </c>
      <c r="T195" s="100">
        <f t="shared" si="151"/>
        <v>0</v>
      </c>
      <c r="U195" s="100">
        <f t="shared" si="151"/>
        <v>0</v>
      </c>
      <c r="V195" s="100">
        <f t="shared" si="151"/>
        <v>0</v>
      </c>
      <c r="W195" s="100">
        <f t="shared" si="151"/>
        <v>0</v>
      </c>
      <c r="X195" s="100">
        <f t="shared" si="151"/>
        <v>0</v>
      </c>
      <c r="Y195" s="100">
        <f t="shared" si="151"/>
        <v>0</v>
      </c>
      <c r="Z195" s="100">
        <f t="shared" si="151"/>
        <v>0</v>
      </c>
      <c r="AA195" s="100">
        <f t="shared" si="151"/>
        <v>0</v>
      </c>
      <c r="AB195" s="100">
        <f t="shared" si="151"/>
        <v>0</v>
      </c>
      <c r="AC195" s="100">
        <f t="shared" si="151"/>
        <v>0</v>
      </c>
      <c r="AD195" s="100"/>
      <c r="AE195" s="100"/>
    </row>
    <row r="196">
      <c r="A196" s="39">
        <f t="shared" si="85"/>
        <v>65</v>
      </c>
      <c r="B196" s="36" t="s">
        <v>150</v>
      </c>
      <c r="C196" s="100">
        <f t="shared" si="152"/>
        <v>2</v>
      </c>
      <c r="D196" s="35"/>
      <c r="E196" s="100">
        <f t="shared" ref="E196:AC196" si="153">iferror(IF(VLOOKUP($B196,indirect(text(D$1,"mm/dd/yy")&amp;"!B:L"),6,false)&gt;8,1,0),0)</f>
        <v>0</v>
      </c>
      <c r="F196" s="100">
        <f t="shared" si="153"/>
        <v>0</v>
      </c>
      <c r="G196" s="100">
        <f t="shared" si="153"/>
        <v>0</v>
      </c>
      <c r="H196" s="100">
        <f t="shared" si="153"/>
        <v>0</v>
      </c>
      <c r="I196" s="100">
        <f t="shared" si="153"/>
        <v>0</v>
      </c>
      <c r="J196" s="100">
        <f t="shared" si="153"/>
        <v>0</v>
      </c>
      <c r="K196" s="100">
        <f t="shared" si="153"/>
        <v>0</v>
      </c>
      <c r="L196" s="100">
        <f t="shared" si="153"/>
        <v>0</v>
      </c>
      <c r="M196" s="100">
        <f t="shared" si="153"/>
        <v>0</v>
      </c>
      <c r="N196" s="100">
        <f t="shared" si="153"/>
        <v>0</v>
      </c>
      <c r="O196" s="100">
        <f t="shared" si="153"/>
        <v>0</v>
      </c>
      <c r="P196" s="100">
        <f t="shared" si="153"/>
        <v>0</v>
      </c>
      <c r="Q196" s="100">
        <f t="shared" si="153"/>
        <v>0</v>
      </c>
      <c r="R196" s="100">
        <f t="shared" si="153"/>
        <v>0</v>
      </c>
      <c r="S196" s="100">
        <f t="shared" si="153"/>
        <v>0</v>
      </c>
      <c r="T196" s="100">
        <f t="shared" si="153"/>
        <v>0</v>
      </c>
      <c r="U196" s="100">
        <f t="shared" si="153"/>
        <v>0</v>
      </c>
      <c r="V196" s="100">
        <f t="shared" si="153"/>
        <v>0</v>
      </c>
      <c r="W196" s="100">
        <f t="shared" si="153"/>
        <v>1</v>
      </c>
      <c r="X196" s="100">
        <f t="shared" si="153"/>
        <v>1</v>
      </c>
      <c r="Y196" s="100">
        <f t="shared" si="153"/>
        <v>0</v>
      </c>
      <c r="Z196" s="100">
        <f t="shared" si="153"/>
        <v>0</v>
      </c>
      <c r="AA196" s="100">
        <f t="shared" si="153"/>
        <v>0</v>
      </c>
      <c r="AB196" s="100">
        <f t="shared" si="153"/>
        <v>0</v>
      </c>
      <c r="AC196" s="100">
        <f t="shared" si="153"/>
        <v>0</v>
      </c>
      <c r="AD196" s="100"/>
      <c r="AE196" s="100"/>
    </row>
    <row r="197">
      <c r="A197" s="39">
        <f t="shared" si="85"/>
        <v>66</v>
      </c>
      <c r="B197" s="36" t="s">
        <v>108</v>
      </c>
      <c r="C197" s="100">
        <f t="shared" si="152"/>
        <v>0</v>
      </c>
      <c r="D197" s="35"/>
      <c r="E197" s="100">
        <f t="shared" ref="E197:AC197" si="154">iferror(IF(VLOOKUP($B197,indirect(text(D$1,"mm/dd/yy")&amp;"!B:L"),6,false)&gt;8,1,0),0)</f>
        <v>0</v>
      </c>
      <c r="F197" s="100">
        <f t="shared" si="154"/>
        <v>0</v>
      </c>
      <c r="G197" s="100">
        <f t="shared" si="154"/>
        <v>0</v>
      </c>
      <c r="H197" s="100">
        <f t="shared" si="154"/>
        <v>0</v>
      </c>
      <c r="I197" s="100">
        <f t="shared" si="154"/>
        <v>0</v>
      </c>
      <c r="J197" s="100">
        <f t="shared" si="154"/>
        <v>0</v>
      </c>
      <c r="K197" s="100">
        <f t="shared" si="154"/>
        <v>0</v>
      </c>
      <c r="L197" s="100">
        <f t="shared" si="154"/>
        <v>0</v>
      </c>
      <c r="M197" s="100">
        <f t="shared" si="154"/>
        <v>0</v>
      </c>
      <c r="N197" s="100">
        <f t="shared" si="154"/>
        <v>0</v>
      </c>
      <c r="O197" s="100">
        <f t="shared" si="154"/>
        <v>0</v>
      </c>
      <c r="P197" s="100">
        <f t="shared" si="154"/>
        <v>0</v>
      </c>
      <c r="Q197" s="100">
        <f t="shared" si="154"/>
        <v>0</v>
      </c>
      <c r="R197" s="100">
        <f t="shared" si="154"/>
        <v>0</v>
      </c>
      <c r="S197" s="100">
        <f t="shared" si="154"/>
        <v>0</v>
      </c>
      <c r="T197" s="100">
        <f t="shared" si="154"/>
        <v>0</v>
      </c>
      <c r="U197" s="100">
        <f t="shared" si="154"/>
        <v>0</v>
      </c>
      <c r="V197" s="100">
        <f t="shared" si="154"/>
        <v>0</v>
      </c>
      <c r="W197" s="100">
        <f t="shared" si="154"/>
        <v>0</v>
      </c>
      <c r="X197" s="100">
        <f t="shared" si="154"/>
        <v>0</v>
      </c>
      <c r="Y197" s="100">
        <f t="shared" si="154"/>
        <v>0</v>
      </c>
      <c r="Z197" s="100">
        <f t="shared" si="154"/>
        <v>0</v>
      </c>
      <c r="AA197" s="100">
        <f t="shared" si="154"/>
        <v>0</v>
      </c>
      <c r="AB197" s="100">
        <f t="shared" si="154"/>
        <v>0</v>
      </c>
      <c r="AC197" s="100">
        <f t="shared" si="154"/>
        <v>0</v>
      </c>
      <c r="AD197" s="100"/>
      <c r="AE197" s="100"/>
    </row>
    <row r="198">
      <c r="A198" s="39">
        <f t="shared" si="85"/>
        <v>67</v>
      </c>
      <c r="B198" s="36" t="s">
        <v>115</v>
      </c>
      <c r="C198" s="100">
        <f t="shared" si="152"/>
        <v>2</v>
      </c>
      <c r="D198" s="35"/>
      <c r="E198" s="100">
        <f t="shared" ref="E198:AC198" si="155">iferror(IF(VLOOKUP($B198,indirect(text(D$1,"mm/dd/yy")&amp;"!B:L"),6,false)&gt;8,1,0),0)</f>
        <v>0</v>
      </c>
      <c r="F198" s="100">
        <f t="shared" si="155"/>
        <v>0</v>
      </c>
      <c r="G198" s="100">
        <f t="shared" si="155"/>
        <v>0</v>
      </c>
      <c r="H198" s="100">
        <f t="shared" si="155"/>
        <v>0</v>
      </c>
      <c r="I198" s="100">
        <f t="shared" si="155"/>
        <v>0</v>
      </c>
      <c r="J198" s="100">
        <f t="shared" si="155"/>
        <v>0</v>
      </c>
      <c r="K198" s="100">
        <f t="shared" si="155"/>
        <v>0</v>
      </c>
      <c r="L198" s="100">
        <f t="shared" si="155"/>
        <v>0</v>
      </c>
      <c r="M198" s="100">
        <f t="shared" si="155"/>
        <v>1</v>
      </c>
      <c r="N198" s="100">
        <f t="shared" si="155"/>
        <v>1</v>
      </c>
      <c r="O198" s="100">
        <f t="shared" si="155"/>
        <v>0</v>
      </c>
      <c r="P198" s="100">
        <f t="shared" si="155"/>
        <v>0</v>
      </c>
      <c r="Q198" s="100">
        <f t="shared" si="155"/>
        <v>0</v>
      </c>
      <c r="R198" s="100">
        <f t="shared" si="155"/>
        <v>0</v>
      </c>
      <c r="S198" s="100">
        <f t="shared" si="155"/>
        <v>0</v>
      </c>
      <c r="T198" s="100">
        <f t="shared" si="155"/>
        <v>0</v>
      </c>
      <c r="U198" s="100">
        <f t="shared" si="155"/>
        <v>0</v>
      </c>
      <c r="V198" s="100">
        <f t="shared" si="155"/>
        <v>0</v>
      </c>
      <c r="W198" s="100">
        <f t="shared" si="155"/>
        <v>0</v>
      </c>
      <c r="X198" s="100">
        <f t="shared" si="155"/>
        <v>0</v>
      </c>
      <c r="Y198" s="100">
        <f t="shared" si="155"/>
        <v>0</v>
      </c>
      <c r="Z198" s="100">
        <f t="shared" si="155"/>
        <v>0</v>
      </c>
      <c r="AA198" s="100">
        <f t="shared" si="155"/>
        <v>0</v>
      </c>
      <c r="AB198" s="100">
        <f t="shared" si="155"/>
        <v>0</v>
      </c>
      <c r="AC198" s="100">
        <f t="shared" si="155"/>
        <v>0</v>
      </c>
      <c r="AD198" s="100"/>
      <c r="AE198" s="100"/>
    </row>
    <row r="199">
      <c r="A199" s="39">
        <f t="shared" si="85"/>
        <v>68</v>
      </c>
      <c r="B199" s="36" t="s">
        <v>73</v>
      </c>
      <c r="C199" s="100"/>
      <c r="D199" s="35"/>
      <c r="E199" s="100">
        <f t="shared" ref="E199:AC199" si="156">iferror(IF(VLOOKUP($B199,indirect(text(D$1,"mm/dd/yy")&amp;"!B:L"),6,false)&gt;8,1,0),0)</f>
        <v>0</v>
      </c>
      <c r="F199" s="100">
        <f t="shared" si="156"/>
        <v>0</v>
      </c>
      <c r="G199" s="100">
        <f t="shared" si="156"/>
        <v>0</v>
      </c>
      <c r="H199" s="100">
        <f t="shared" si="156"/>
        <v>0</v>
      </c>
      <c r="I199" s="100">
        <f t="shared" si="156"/>
        <v>0</v>
      </c>
      <c r="J199" s="100">
        <f t="shared" si="156"/>
        <v>0</v>
      </c>
      <c r="K199" s="100">
        <f t="shared" si="156"/>
        <v>0</v>
      </c>
      <c r="L199" s="100">
        <f t="shared" si="156"/>
        <v>0</v>
      </c>
      <c r="M199" s="100">
        <f t="shared" si="156"/>
        <v>0</v>
      </c>
      <c r="N199" s="100">
        <f t="shared" si="156"/>
        <v>0</v>
      </c>
      <c r="O199" s="100">
        <f t="shared" si="156"/>
        <v>0</v>
      </c>
      <c r="P199" s="100">
        <f t="shared" si="156"/>
        <v>0</v>
      </c>
      <c r="Q199" s="100">
        <f t="shared" si="156"/>
        <v>1</v>
      </c>
      <c r="R199" s="100">
        <f t="shared" si="156"/>
        <v>0</v>
      </c>
      <c r="S199" s="100">
        <f t="shared" si="156"/>
        <v>0</v>
      </c>
      <c r="T199" s="100">
        <f t="shared" si="156"/>
        <v>1</v>
      </c>
      <c r="U199" s="100">
        <f t="shared" si="156"/>
        <v>1</v>
      </c>
      <c r="V199" s="100">
        <f t="shared" si="156"/>
        <v>0</v>
      </c>
      <c r="W199" s="100">
        <f t="shared" si="156"/>
        <v>0</v>
      </c>
      <c r="X199" s="100">
        <f t="shared" si="156"/>
        <v>0</v>
      </c>
      <c r="Y199" s="100">
        <f t="shared" si="156"/>
        <v>0</v>
      </c>
      <c r="Z199" s="100">
        <f t="shared" si="156"/>
        <v>0</v>
      </c>
      <c r="AA199" s="100">
        <f t="shared" si="156"/>
        <v>0</v>
      </c>
      <c r="AB199" s="100">
        <f t="shared" si="156"/>
        <v>0</v>
      </c>
      <c r="AC199" s="100">
        <f t="shared" si="156"/>
        <v>0</v>
      </c>
      <c r="AD199" s="100"/>
      <c r="AE199" s="100"/>
    </row>
    <row r="200">
      <c r="A200" s="39">
        <f t="shared" si="85"/>
        <v>69</v>
      </c>
      <c r="B200" s="36" t="s">
        <v>151</v>
      </c>
      <c r="C200" s="100">
        <f t="shared" ref="C200:C206" si="158">sum(D200:AC200)</f>
        <v>3</v>
      </c>
      <c r="D200" s="35"/>
      <c r="E200" s="100">
        <f t="shared" ref="E200:AC200" si="157">iferror(IF(VLOOKUP($B200,indirect(text(D$1,"mm/dd/yy")&amp;"!B:L"),6,false)&gt;8,1,0),0)</f>
        <v>0</v>
      </c>
      <c r="F200" s="100">
        <f t="shared" si="157"/>
        <v>0</v>
      </c>
      <c r="G200" s="100">
        <f t="shared" si="157"/>
        <v>0</v>
      </c>
      <c r="H200" s="100">
        <f t="shared" si="157"/>
        <v>0</v>
      </c>
      <c r="I200" s="100">
        <f t="shared" si="157"/>
        <v>0</v>
      </c>
      <c r="J200" s="100">
        <f t="shared" si="157"/>
        <v>0</v>
      </c>
      <c r="K200" s="100">
        <f t="shared" si="157"/>
        <v>1</v>
      </c>
      <c r="L200" s="100">
        <f t="shared" si="157"/>
        <v>0</v>
      </c>
      <c r="M200" s="100">
        <f t="shared" si="157"/>
        <v>0</v>
      </c>
      <c r="N200" s="100">
        <f t="shared" si="157"/>
        <v>0</v>
      </c>
      <c r="O200" s="100">
        <f t="shared" si="157"/>
        <v>0</v>
      </c>
      <c r="P200" s="100">
        <f t="shared" si="157"/>
        <v>0</v>
      </c>
      <c r="Q200" s="100">
        <f t="shared" si="157"/>
        <v>1</v>
      </c>
      <c r="R200" s="100">
        <f t="shared" si="157"/>
        <v>0</v>
      </c>
      <c r="S200" s="100">
        <f t="shared" si="157"/>
        <v>0</v>
      </c>
      <c r="T200" s="100">
        <f t="shared" si="157"/>
        <v>0</v>
      </c>
      <c r="U200" s="100">
        <f t="shared" si="157"/>
        <v>0</v>
      </c>
      <c r="V200" s="100">
        <f t="shared" si="157"/>
        <v>0</v>
      </c>
      <c r="W200" s="100">
        <f t="shared" si="157"/>
        <v>1</v>
      </c>
      <c r="X200" s="100">
        <f t="shared" si="157"/>
        <v>0</v>
      </c>
      <c r="Y200" s="100">
        <f t="shared" si="157"/>
        <v>0</v>
      </c>
      <c r="Z200" s="100">
        <f t="shared" si="157"/>
        <v>0</v>
      </c>
      <c r="AA200" s="100">
        <f t="shared" si="157"/>
        <v>0</v>
      </c>
      <c r="AB200" s="100">
        <f t="shared" si="157"/>
        <v>0</v>
      </c>
      <c r="AC200" s="100">
        <f t="shared" si="157"/>
        <v>0</v>
      </c>
      <c r="AD200" s="100"/>
      <c r="AE200" s="100"/>
    </row>
    <row r="201">
      <c r="A201" s="39">
        <f t="shared" si="85"/>
        <v>70</v>
      </c>
      <c r="B201" s="36" t="s">
        <v>153</v>
      </c>
      <c r="C201" s="100">
        <f t="shared" si="158"/>
        <v>0</v>
      </c>
      <c r="D201" s="35"/>
      <c r="E201" s="100">
        <f t="shared" ref="E201:AC201" si="159">iferror(IF(VLOOKUP($B201,indirect(text(D$1,"mm/dd/yy")&amp;"!B:L"),6,false)&gt;8,1,0),0)</f>
        <v>0</v>
      </c>
      <c r="F201" s="100">
        <f t="shared" si="159"/>
        <v>0</v>
      </c>
      <c r="G201" s="100">
        <f t="shared" si="159"/>
        <v>0</v>
      </c>
      <c r="H201" s="100">
        <f t="shared" si="159"/>
        <v>0</v>
      </c>
      <c r="I201" s="100">
        <f t="shared" si="159"/>
        <v>0</v>
      </c>
      <c r="J201" s="100">
        <f t="shared" si="159"/>
        <v>0</v>
      </c>
      <c r="K201" s="100">
        <f t="shared" si="159"/>
        <v>0</v>
      </c>
      <c r="L201" s="100">
        <f t="shared" si="159"/>
        <v>0</v>
      </c>
      <c r="M201" s="100">
        <f t="shared" si="159"/>
        <v>0</v>
      </c>
      <c r="N201" s="100">
        <f t="shared" si="159"/>
        <v>0</v>
      </c>
      <c r="O201" s="100">
        <f t="shared" si="159"/>
        <v>0</v>
      </c>
      <c r="P201" s="100">
        <f t="shared" si="159"/>
        <v>0</v>
      </c>
      <c r="Q201" s="100">
        <f t="shared" si="159"/>
        <v>0</v>
      </c>
      <c r="R201" s="100">
        <f t="shared" si="159"/>
        <v>0</v>
      </c>
      <c r="S201" s="100">
        <f t="shared" si="159"/>
        <v>0</v>
      </c>
      <c r="T201" s="100">
        <f t="shared" si="159"/>
        <v>0</v>
      </c>
      <c r="U201" s="100">
        <f t="shared" si="159"/>
        <v>0</v>
      </c>
      <c r="V201" s="100">
        <f t="shared" si="159"/>
        <v>0</v>
      </c>
      <c r="W201" s="100">
        <f t="shared" si="159"/>
        <v>0</v>
      </c>
      <c r="X201" s="100">
        <f t="shared" si="159"/>
        <v>0</v>
      </c>
      <c r="Y201" s="100">
        <f t="shared" si="159"/>
        <v>0</v>
      </c>
      <c r="Z201" s="100">
        <f t="shared" si="159"/>
        <v>0</v>
      </c>
      <c r="AA201" s="100">
        <f t="shared" si="159"/>
        <v>0</v>
      </c>
      <c r="AB201" s="100">
        <f t="shared" si="159"/>
        <v>0</v>
      </c>
      <c r="AC201" s="100">
        <f t="shared" si="159"/>
        <v>0</v>
      </c>
      <c r="AD201" s="100"/>
      <c r="AE201" s="100"/>
    </row>
    <row r="202">
      <c r="A202" s="39">
        <f t="shared" si="85"/>
        <v>71</v>
      </c>
      <c r="B202" s="36" t="s">
        <v>154</v>
      </c>
      <c r="C202" s="100">
        <f t="shared" si="158"/>
        <v>2</v>
      </c>
      <c r="D202" s="35"/>
      <c r="E202" s="100">
        <f t="shared" ref="E202:AC202" si="160">iferror(IF(VLOOKUP($B202,indirect(text(D$1,"mm/dd/yy")&amp;"!B:L"),6,false)&gt;8,1,0),0)</f>
        <v>0</v>
      </c>
      <c r="F202" s="100">
        <f t="shared" si="160"/>
        <v>0</v>
      </c>
      <c r="G202" s="100">
        <f t="shared" si="160"/>
        <v>1</v>
      </c>
      <c r="H202" s="100">
        <f t="shared" si="160"/>
        <v>0</v>
      </c>
      <c r="I202" s="100">
        <f t="shared" si="160"/>
        <v>0</v>
      </c>
      <c r="J202" s="100">
        <f t="shared" si="160"/>
        <v>0</v>
      </c>
      <c r="K202" s="100">
        <f t="shared" si="160"/>
        <v>1</v>
      </c>
      <c r="L202" s="100">
        <f t="shared" si="160"/>
        <v>0</v>
      </c>
      <c r="M202" s="100">
        <f t="shared" si="160"/>
        <v>0</v>
      </c>
      <c r="N202" s="100">
        <f t="shared" si="160"/>
        <v>0</v>
      </c>
      <c r="O202" s="100">
        <f t="shared" si="160"/>
        <v>0</v>
      </c>
      <c r="P202" s="100">
        <f t="shared" si="160"/>
        <v>0</v>
      </c>
      <c r="Q202" s="100">
        <f t="shared" si="160"/>
        <v>0</v>
      </c>
      <c r="R202" s="100">
        <f t="shared" si="160"/>
        <v>0</v>
      </c>
      <c r="S202" s="100">
        <f t="shared" si="160"/>
        <v>0</v>
      </c>
      <c r="T202" s="100">
        <f t="shared" si="160"/>
        <v>0</v>
      </c>
      <c r="U202" s="100">
        <f t="shared" si="160"/>
        <v>0</v>
      </c>
      <c r="V202" s="100">
        <f t="shared" si="160"/>
        <v>0</v>
      </c>
      <c r="W202" s="100">
        <f t="shared" si="160"/>
        <v>0</v>
      </c>
      <c r="X202" s="100">
        <f t="shared" si="160"/>
        <v>0</v>
      </c>
      <c r="Y202" s="100">
        <f t="shared" si="160"/>
        <v>0</v>
      </c>
      <c r="Z202" s="100">
        <f t="shared" si="160"/>
        <v>0</v>
      </c>
      <c r="AA202" s="100">
        <f t="shared" si="160"/>
        <v>0</v>
      </c>
      <c r="AB202" s="100">
        <f t="shared" si="160"/>
        <v>0</v>
      </c>
      <c r="AC202" s="100">
        <f t="shared" si="160"/>
        <v>0</v>
      </c>
      <c r="AD202" s="100"/>
      <c r="AE202" s="100"/>
    </row>
    <row r="203">
      <c r="A203" s="39">
        <f t="shared" si="85"/>
        <v>72</v>
      </c>
      <c r="B203" s="36" t="s">
        <v>152</v>
      </c>
      <c r="C203" s="100">
        <f t="shared" si="158"/>
        <v>6</v>
      </c>
      <c r="D203" s="35"/>
      <c r="E203" s="100">
        <f t="shared" ref="E203:AC203" si="161">iferror(IF(VLOOKUP($B203,indirect(text(D$1,"mm/dd/yy")&amp;"!B:L"),6,false)&gt;8,1,0),0)</f>
        <v>0</v>
      </c>
      <c r="F203" s="100">
        <f t="shared" si="161"/>
        <v>0</v>
      </c>
      <c r="G203" s="100">
        <f t="shared" si="161"/>
        <v>0</v>
      </c>
      <c r="H203" s="100">
        <f t="shared" si="161"/>
        <v>0</v>
      </c>
      <c r="I203" s="100">
        <f t="shared" si="161"/>
        <v>1</v>
      </c>
      <c r="J203" s="100">
        <f t="shared" si="161"/>
        <v>1</v>
      </c>
      <c r="K203" s="100">
        <f t="shared" si="161"/>
        <v>1</v>
      </c>
      <c r="L203" s="100">
        <f t="shared" si="161"/>
        <v>0</v>
      </c>
      <c r="M203" s="100">
        <f t="shared" si="161"/>
        <v>0</v>
      </c>
      <c r="N203" s="100">
        <f t="shared" si="161"/>
        <v>0</v>
      </c>
      <c r="O203" s="100">
        <f t="shared" si="161"/>
        <v>1</v>
      </c>
      <c r="P203" s="100">
        <f t="shared" si="161"/>
        <v>0</v>
      </c>
      <c r="Q203" s="100">
        <f t="shared" si="161"/>
        <v>1</v>
      </c>
      <c r="R203" s="100">
        <f t="shared" si="161"/>
        <v>0</v>
      </c>
      <c r="S203" s="100">
        <f t="shared" si="161"/>
        <v>0</v>
      </c>
      <c r="T203" s="100">
        <f t="shared" si="161"/>
        <v>0</v>
      </c>
      <c r="U203" s="100">
        <f t="shared" si="161"/>
        <v>0</v>
      </c>
      <c r="V203" s="100">
        <f t="shared" si="161"/>
        <v>0</v>
      </c>
      <c r="W203" s="100">
        <f t="shared" si="161"/>
        <v>1</v>
      </c>
      <c r="X203" s="100">
        <f t="shared" si="161"/>
        <v>0</v>
      </c>
      <c r="Y203" s="100">
        <f t="shared" si="161"/>
        <v>0</v>
      </c>
      <c r="Z203" s="100">
        <f t="shared" si="161"/>
        <v>0</v>
      </c>
      <c r="AA203" s="100">
        <f t="shared" si="161"/>
        <v>0</v>
      </c>
      <c r="AB203" s="100">
        <f t="shared" si="161"/>
        <v>0</v>
      </c>
      <c r="AC203" s="100">
        <f t="shared" si="161"/>
        <v>0</v>
      </c>
      <c r="AD203" s="100"/>
      <c r="AE203" s="100"/>
    </row>
    <row r="204">
      <c r="A204" s="39">
        <f t="shared" si="85"/>
        <v>73</v>
      </c>
      <c r="B204" s="36" t="s">
        <v>126</v>
      </c>
      <c r="C204" s="100">
        <f t="shared" si="158"/>
        <v>4</v>
      </c>
      <c r="D204" s="35"/>
      <c r="E204" s="100">
        <f t="shared" ref="E204:AC204" si="162">iferror(IF(VLOOKUP($B204,indirect(text(D$1,"mm/dd/yy")&amp;"!B:L"),6,false)&gt;8,1,0),0)</f>
        <v>0</v>
      </c>
      <c r="F204" s="100">
        <f t="shared" si="162"/>
        <v>0</v>
      </c>
      <c r="G204" s="100">
        <f t="shared" si="162"/>
        <v>0</v>
      </c>
      <c r="H204" s="100">
        <f t="shared" si="162"/>
        <v>0</v>
      </c>
      <c r="I204" s="100">
        <f t="shared" si="162"/>
        <v>1</v>
      </c>
      <c r="J204" s="100">
        <f t="shared" si="162"/>
        <v>0</v>
      </c>
      <c r="K204" s="100">
        <f t="shared" si="162"/>
        <v>0</v>
      </c>
      <c r="L204" s="100">
        <f t="shared" si="162"/>
        <v>1</v>
      </c>
      <c r="M204" s="100">
        <f t="shared" si="162"/>
        <v>1</v>
      </c>
      <c r="N204" s="100">
        <f t="shared" si="162"/>
        <v>0</v>
      </c>
      <c r="O204" s="100">
        <f t="shared" si="162"/>
        <v>0</v>
      </c>
      <c r="P204" s="100">
        <f t="shared" si="162"/>
        <v>1</v>
      </c>
      <c r="Q204" s="100">
        <f t="shared" si="162"/>
        <v>0</v>
      </c>
      <c r="R204" s="100">
        <f t="shared" si="162"/>
        <v>0</v>
      </c>
      <c r="S204" s="100">
        <f t="shared" si="162"/>
        <v>0</v>
      </c>
      <c r="T204" s="100">
        <f t="shared" si="162"/>
        <v>0</v>
      </c>
      <c r="U204" s="100">
        <f t="shared" si="162"/>
        <v>0</v>
      </c>
      <c r="V204" s="100">
        <f t="shared" si="162"/>
        <v>0</v>
      </c>
      <c r="W204" s="100">
        <f t="shared" si="162"/>
        <v>0</v>
      </c>
      <c r="X204" s="100">
        <f t="shared" si="162"/>
        <v>0</v>
      </c>
      <c r="Y204" s="100">
        <f t="shared" si="162"/>
        <v>0</v>
      </c>
      <c r="Z204" s="100">
        <f t="shared" si="162"/>
        <v>0</v>
      </c>
      <c r="AA204" s="100">
        <f t="shared" si="162"/>
        <v>0</v>
      </c>
      <c r="AB204" s="100">
        <f t="shared" si="162"/>
        <v>0</v>
      </c>
      <c r="AC204" s="100">
        <f t="shared" si="162"/>
        <v>0</v>
      </c>
      <c r="AD204" s="100"/>
      <c r="AE204" s="100"/>
    </row>
    <row r="205">
      <c r="A205" s="39">
        <f t="shared" si="85"/>
        <v>74</v>
      </c>
      <c r="B205" s="36" t="s">
        <v>147</v>
      </c>
      <c r="C205" s="100">
        <f t="shared" si="158"/>
        <v>6</v>
      </c>
      <c r="D205" s="35"/>
      <c r="E205" s="100">
        <f t="shared" ref="E205:AC205" si="163">iferror(IF(VLOOKUP($B205,indirect(text(D$1,"mm/dd/yy")&amp;"!B:L"),6,false)&gt;8,1,0),0)</f>
        <v>0</v>
      </c>
      <c r="F205" s="100">
        <f t="shared" si="163"/>
        <v>0</v>
      </c>
      <c r="G205" s="100">
        <f t="shared" si="163"/>
        <v>1</v>
      </c>
      <c r="H205" s="100">
        <f t="shared" si="163"/>
        <v>0</v>
      </c>
      <c r="I205" s="100">
        <f t="shared" si="163"/>
        <v>1</v>
      </c>
      <c r="J205" s="100">
        <f t="shared" si="163"/>
        <v>0</v>
      </c>
      <c r="K205" s="100">
        <f t="shared" si="163"/>
        <v>1</v>
      </c>
      <c r="L205" s="100">
        <f t="shared" si="163"/>
        <v>0</v>
      </c>
      <c r="M205" s="100">
        <f t="shared" si="163"/>
        <v>0</v>
      </c>
      <c r="N205" s="100">
        <f t="shared" si="163"/>
        <v>0</v>
      </c>
      <c r="O205" s="100">
        <f t="shared" si="163"/>
        <v>0</v>
      </c>
      <c r="P205" s="100">
        <f t="shared" si="163"/>
        <v>0</v>
      </c>
      <c r="Q205" s="100">
        <f t="shared" si="163"/>
        <v>0</v>
      </c>
      <c r="R205" s="100">
        <f t="shared" si="163"/>
        <v>0</v>
      </c>
      <c r="S205" s="100">
        <f t="shared" si="163"/>
        <v>0</v>
      </c>
      <c r="T205" s="100">
        <f t="shared" si="163"/>
        <v>1</v>
      </c>
      <c r="U205" s="100">
        <f t="shared" si="163"/>
        <v>0</v>
      </c>
      <c r="V205" s="100">
        <f t="shared" si="163"/>
        <v>1</v>
      </c>
      <c r="W205" s="100">
        <f t="shared" si="163"/>
        <v>1</v>
      </c>
      <c r="X205" s="100">
        <f t="shared" si="163"/>
        <v>0</v>
      </c>
      <c r="Y205" s="100">
        <f t="shared" si="163"/>
        <v>0</v>
      </c>
      <c r="Z205" s="100">
        <f t="shared" si="163"/>
        <v>0</v>
      </c>
      <c r="AA205" s="100">
        <f t="shared" si="163"/>
        <v>0</v>
      </c>
      <c r="AB205" s="100">
        <f t="shared" si="163"/>
        <v>0</v>
      </c>
      <c r="AC205" s="100">
        <f t="shared" si="163"/>
        <v>0</v>
      </c>
      <c r="AD205" s="100"/>
      <c r="AE205" s="100"/>
    </row>
    <row r="206">
      <c r="A206" s="39">
        <f t="shared" si="85"/>
        <v>75</v>
      </c>
      <c r="B206" s="36" t="s">
        <v>130</v>
      </c>
      <c r="C206" s="100">
        <f t="shared" si="158"/>
        <v>4</v>
      </c>
      <c r="D206" s="35"/>
      <c r="E206" s="100">
        <f t="shared" ref="E206:AC206" si="164">iferror(IF(VLOOKUP($B206,indirect(text(D$1,"mm/dd/yy")&amp;"!B:L"),6,false)&gt;8,1,0),0)</f>
        <v>0</v>
      </c>
      <c r="F206" s="100">
        <f t="shared" si="164"/>
        <v>0</v>
      </c>
      <c r="G206" s="100">
        <f t="shared" si="164"/>
        <v>1</v>
      </c>
      <c r="H206" s="100">
        <f t="shared" si="164"/>
        <v>0</v>
      </c>
      <c r="I206" s="100">
        <f t="shared" si="164"/>
        <v>0</v>
      </c>
      <c r="J206" s="100">
        <f t="shared" si="164"/>
        <v>0</v>
      </c>
      <c r="K206" s="100">
        <f t="shared" si="164"/>
        <v>0</v>
      </c>
      <c r="L206" s="100">
        <f t="shared" si="164"/>
        <v>0</v>
      </c>
      <c r="M206" s="100">
        <f t="shared" si="164"/>
        <v>0</v>
      </c>
      <c r="N206" s="100">
        <f t="shared" si="164"/>
        <v>0</v>
      </c>
      <c r="O206" s="100">
        <f t="shared" si="164"/>
        <v>0</v>
      </c>
      <c r="P206" s="100">
        <f t="shared" si="164"/>
        <v>1</v>
      </c>
      <c r="Q206" s="100">
        <f t="shared" si="164"/>
        <v>0</v>
      </c>
      <c r="R206" s="100">
        <f t="shared" si="164"/>
        <v>1</v>
      </c>
      <c r="S206" s="100">
        <f t="shared" si="164"/>
        <v>0</v>
      </c>
      <c r="T206" s="100">
        <f t="shared" si="164"/>
        <v>1</v>
      </c>
      <c r="U206" s="100">
        <f t="shared" si="164"/>
        <v>0</v>
      </c>
      <c r="V206" s="100">
        <f t="shared" si="164"/>
        <v>0</v>
      </c>
      <c r="W206" s="100">
        <f t="shared" si="164"/>
        <v>0</v>
      </c>
      <c r="X206" s="100">
        <f t="shared" si="164"/>
        <v>0</v>
      </c>
      <c r="Y206" s="100">
        <f t="shared" si="164"/>
        <v>0</v>
      </c>
      <c r="Z206" s="100">
        <f t="shared" si="164"/>
        <v>0</v>
      </c>
      <c r="AA206" s="100">
        <f t="shared" si="164"/>
        <v>0</v>
      </c>
      <c r="AB206" s="100">
        <f t="shared" si="164"/>
        <v>0</v>
      </c>
      <c r="AC206" s="100">
        <f t="shared" si="164"/>
        <v>0</v>
      </c>
      <c r="AD206" s="100"/>
      <c r="AE206" s="100"/>
    </row>
    <row r="208">
      <c r="E208" s="100">
        <f t="shared" ref="E208:AE208" si="165">sum(E132:E206)</f>
        <v>8</v>
      </c>
      <c r="F208" s="100">
        <f t="shared" si="165"/>
        <v>12</v>
      </c>
      <c r="G208" s="100">
        <f t="shared" si="165"/>
        <v>12</v>
      </c>
      <c r="H208" s="100">
        <f t="shared" si="165"/>
        <v>12</v>
      </c>
      <c r="I208" s="100">
        <f t="shared" si="165"/>
        <v>12</v>
      </c>
      <c r="J208" s="100">
        <f t="shared" si="165"/>
        <v>12</v>
      </c>
      <c r="K208" s="100">
        <f t="shared" si="165"/>
        <v>12</v>
      </c>
      <c r="L208" s="100">
        <f t="shared" si="165"/>
        <v>8</v>
      </c>
      <c r="M208" s="100">
        <f t="shared" si="165"/>
        <v>4</v>
      </c>
      <c r="N208" s="100">
        <f t="shared" si="165"/>
        <v>4</v>
      </c>
      <c r="O208" s="100">
        <f t="shared" si="165"/>
        <v>12</v>
      </c>
      <c r="P208" s="100">
        <f t="shared" si="165"/>
        <v>12</v>
      </c>
      <c r="Q208" s="100">
        <f t="shared" si="165"/>
        <v>12</v>
      </c>
      <c r="R208" s="100">
        <f t="shared" si="165"/>
        <v>8</v>
      </c>
      <c r="S208" s="100">
        <f t="shared" si="165"/>
        <v>8</v>
      </c>
      <c r="T208" s="100">
        <f t="shared" si="165"/>
        <v>8</v>
      </c>
      <c r="U208" s="100">
        <f t="shared" si="165"/>
        <v>4</v>
      </c>
      <c r="V208" s="100">
        <f t="shared" si="165"/>
        <v>4</v>
      </c>
      <c r="W208" s="100">
        <f t="shared" si="165"/>
        <v>8</v>
      </c>
      <c r="X208" s="100">
        <f t="shared" si="165"/>
        <v>4</v>
      </c>
      <c r="Y208" s="100">
        <f t="shared" si="165"/>
        <v>0</v>
      </c>
      <c r="Z208" s="100">
        <f t="shared" si="165"/>
        <v>0</v>
      </c>
      <c r="AA208" s="100">
        <f t="shared" si="165"/>
        <v>0</v>
      </c>
      <c r="AB208" s="100">
        <f t="shared" si="165"/>
        <v>0</v>
      </c>
      <c r="AC208" s="100">
        <f t="shared" si="165"/>
        <v>0</v>
      </c>
      <c r="AD208" s="100">
        <f t="shared" si="165"/>
        <v>0</v>
      </c>
      <c r="AE208" s="100">
        <f t="shared" si="165"/>
        <v>0</v>
      </c>
    </row>
    <row r="210">
      <c r="E210" s="100">
        <f t="shared" ref="E210:AE210" si="166">E208/4</f>
        <v>2</v>
      </c>
      <c r="F210" s="100">
        <f t="shared" si="166"/>
        <v>3</v>
      </c>
      <c r="G210" s="100">
        <f t="shared" si="166"/>
        <v>3</v>
      </c>
      <c r="H210" s="100">
        <f t="shared" si="166"/>
        <v>3</v>
      </c>
      <c r="I210" s="100">
        <f t="shared" si="166"/>
        <v>3</v>
      </c>
      <c r="J210" s="100">
        <f t="shared" si="166"/>
        <v>3</v>
      </c>
      <c r="K210" s="100">
        <f t="shared" si="166"/>
        <v>3</v>
      </c>
      <c r="L210" s="100">
        <f t="shared" si="166"/>
        <v>2</v>
      </c>
      <c r="M210" s="100">
        <f t="shared" si="166"/>
        <v>1</v>
      </c>
      <c r="N210" s="100">
        <f t="shared" si="166"/>
        <v>1</v>
      </c>
      <c r="O210" s="100">
        <f t="shared" si="166"/>
        <v>3</v>
      </c>
      <c r="P210" s="100">
        <f t="shared" si="166"/>
        <v>3</v>
      </c>
      <c r="Q210" s="100">
        <f t="shared" si="166"/>
        <v>3</v>
      </c>
      <c r="R210" s="100">
        <f t="shared" si="166"/>
        <v>2</v>
      </c>
      <c r="S210" s="100">
        <f t="shared" si="166"/>
        <v>2</v>
      </c>
      <c r="T210" s="100">
        <f t="shared" si="166"/>
        <v>2</v>
      </c>
      <c r="U210" s="100">
        <f t="shared" si="166"/>
        <v>1</v>
      </c>
      <c r="V210" s="100">
        <f t="shared" si="166"/>
        <v>1</v>
      </c>
      <c r="W210" s="100">
        <f t="shared" si="166"/>
        <v>2</v>
      </c>
      <c r="X210" s="100">
        <f t="shared" si="166"/>
        <v>1</v>
      </c>
      <c r="Y210" s="100">
        <f t="shared" si="166"/>
        <v>0</v>
      </c>
      <c r="Z210" s="100">
        <f t="shared" si="166"/>
        <v>0</v>
      </c>
      <c r="AA210" s="100">
        <f t="shared" si="166"/>
        <v>0</v>
      </c>
      <c r="AB210" s="100">
        <f t="shared" si="166"/>
        <v>0</v>
      </c>
      <c r="AC210" s="100">
        <f t="shared" si="166"/>
        <v>0</v>
      </c>
      <c r="AD210" s="100">
        <f t="shared" si="166"/>
        <v>0</v>
      </c>
      <c r="AE210" s="100">
        <f t="shared" si="166"/>
        <v>0</v>
      </c>
    </row>
    <row r="212">
      <c r="G212" s="100">
        <f t="shared" ref="G212:G214" si="167">D220*E220</f>
        <v>27</v>
      </c>
    </row>
    <row r="213">
      <c r="G213" s="100">
        <f t="shared" si="167"/>
        <v>12</v>
      </c>
    </row>
    <row r="214">
      <c r="G214" s="100">
        <f t="shared" si="167"/>
        <v>5</v>
      </c>
    </row>
    <row r="217">
      <c r="G217" s="100">
        <f>sum(G212:G214)</f>
        <v>44</v>
      </c>
    </row>
    <row r="218">
      <c r="G218" s="100">
        <f>sum(E220:E222)*3</f>
        <v>60</v>
      </c>
    </row>
    <row r="219">
      <c r="D219" s="141" t="s">
        <v>197</v>
      </c>
      <c r="E219" s="141" t="s">
        <v>198</v>
      </c>
      <c r="G219" s="142">
        <f>G217/G218</f>
        <v>0.7333333333</v>
      </c>
    </row>
    <row r="220">
      <c r="D220" s="100">
        <v>3.0</v>
      </c>
      <c r="E220" s="100">
        <f t="shared" ref="E220:E222" si="168">COUNTIF(E$210:AE$210,D220)</f>
        <v>9</v>
      </c>
    </row>
    <row r="221">
      <c r="D221" s="100">
        <v>2.0</v>
      </c>
      <c r="E221" s="100">
        <f t="shared" si="168"/>
        <v>6</v>
      </c>
    </row>
    <row r="222">
      <c r="D222" s="100">
        <v>1.0</v>
      </c>
      <c r="E222" s="100">
        <f t="shared" si="168"/>
        <v>5</v>
      </c>
    </row>
    <row r="223">
      <c r="E223" s="142">
        <f>G219</f>
        <v>0.7333333333</v>
      </c>
    </row>
  </sheetData>
  <conditionalFormatting sqref="P13">
    <cfRule type="cellIs" dxfId="0" priority="1" operator="greaterThanOrEqual">
      <formula>18</formula>
    </cfRule>
  </conditionalFormatting>
  <conditionalFormatting sqref="C2:AE76 D132:D206">
    <cfRule type="cellIs" dxfId="0" priority="2" operator="between">
      <formula>18</formula>
      <formula>20</formula>
    </cfRule>
  </conditionalFormatting>
  <conditionalFormatting sqref="C2:AE76 D132:D206">
    <cfRule type="cellIs" dxfId="5" priority="3" operator="greaterThanOrEqual">
      <formula>21</formula>
    </cfRule>
  </conditionalFormatting>
  <conditionalFormatting sqref="C2:AE76 D132:D206">
    <cfRule type="cellIs" dxfId="6" priority="4" operator="between">
      <formula>0</formula>
      <formula>8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21.38"/>
    <col customWidth="1" min="4" max="4" width="24.5"/>
  </cols>
  <sheetData>
    <row r="1">
      <c r="A1" s="84" t="str">
        <f>IFERROR(__xludf.DUMMYFUNCTION("IMPORTRANGE(""1vk67ABbS4TvdE0gnpv39mwReeTC8qhP2vyc266Yeuy8"",""Waitlist!A1:D199"")"),"#REF!")</f>
        <v>#REF!</v>
      </c>
      <c r="B1" s="4"/>
      <c r="C1" s="4"/>
      <c r="D1" s="4"/>
    </row>
    <row r="2">
      <c r="A2" s="19"/>
      <c r="B2" s="19"/>
      <c r="C2" s="19"/>
      <c r="D2" s="19"/>
    </row>
    <row r="3">
      <c r="A3" s="19"/>
      <c r="B3" s="19"/>
      <c r="C3" s="19"/>
      <c r="D3" s="19"/>
    </row>
    <row r="4">
      <c r="A4" s="19"/>
      <c r="B4" s="19"/>
      <c r="C4" s="19"/>
      <c r="D4" s="19"/>
      <c r="G4" s="21" t="s">
        <v>122</v>
      </c>
    </row>
    <row r="5">
      <c r="A5" s="19"/>
      <c r="B5" s="19"/>
      <c r="C5" s="19"/>
      <c r="D5" s="19"/>
      <c r="G5" s="87" t="s">
        <v>123</v>
      </c>
    </row>
    <row r="6">
      <c r="A6" s="19"/>
      <c r="B6" s="19"/>
      <c r="C6" s="19"/>
      <c r="D6" s="19"/>
    </row>
    <row r="7">
      <c r="A7" s="19"/>
      <c r="B7" s="19"/>
      <c r="C7" s="19"/>
      <c r="D7" s="19"/>
    </row>
    <row r="8">
      <c r="A8" s="19"/>
      <c r="B8" s="19"/>
      <c r="C8" s="19"/>
      <c r="D8" s="19"/>
    </row>
    <row r="9">
      <c r="A9" s="19"/>
      <c r="B9" s="19"/>
      <c r="C9" s="19"/>
      <c r="D9" s="19"/>
    </row>
    <row r="10">
      <c r="A10" s="19"/>
      <c r="B10" s="19"/>
      <c r="C10" s="19"/>
      <c r="D10" s="19"/>
    </row>
    <row r="11">
      <c r="A11" s="19"/>
      <c r="B11" s="19"/>
      <c r="C11" s="19"/>
      <c r="D11" s="19"/>
    </row>
    <row r="12">
      <c r="A12" s="19"/>
      <c r="B12" s="19"/>
      <c r="C12" s="19"/>
      <c r="D12" s="19"/>
    </row>
    <row r="13">
      <c r="A13" s="19"/>
      <c r="B13" s="19"/>
      <c r="C13" s="19"/>
      <c r="D13" s="19"/>
    </row>
    <row r="14">
      <c r="A14" s="19"/>
      <c r="B14" s="19"/>
      <c r="C14" s="19"/>
      <c r="D14" s="19"/>
    </row>
    <row r="15">
      <c r="A15" s="19"/>
      <c r="B15" s="19"/>
      <c r="C15" s="19"/>
      <c r="D15" s="19"/>
    </row>
    <row r="16">
      <c r="A16" s="19"/>
      <c r="B16" s="19"/>
      <c r="C16" s="19"/>
      <c r="D16" s="19"/>
    </row>
    <row r="17">
      <c r="A17" s="19"/>
      <c r="B17" s="19"/>
      <c r="C17" s="19"/>
      <c r="D17" s="19"/>
    </row>
    <row r="18">
      <c r="A18" s="19"/>
      <c r="B18" s="19"/>
      <c r="C18" s="19"/>
      <c r="D18" s="19"/>
    </row>
    <row r="19">
      <c r="A19" s="19"/>
      <c r="B19" s="19"/>
      <c r="C19" s="19"/>
      <c r="D19" s="19"/>
    </row>
    <row r="20">
      <c r="A20" s="19"/>
      <c r="B20" s="19"/>
      <c r="C20" s="19"/>
      <c r="D20" s="19"/>
    </row>
    <row r="21">
      <c r="A21" s="19"/>
      <c r="B21" s="19"/>
      <c r="C21" s="19"/>
      <c r="D21" s="19"/>
    </row>
    <row r="22">
      <c r="A22" s="19"/>
      <c r="B22" s="19"/>
      <c r="C22" s="19"/>
      <c r="D22" s="19"/>
    </row>
    <row r="23">
      <c r="A23" s="19"/>
      <c r="B23" s="19"/>
      <c r="C23" s="19"/>
      <c r="D23" s="19"/>
    </row>
    <row r="24">
      <c r="A24" s="19"/>
      <c r="B24" s="19"/>
      <c r="C24" s="19"/>
      <c r="D24" s="19"/>
    </row>
    <row r="25">
      <c r="A25" s="19"/>
      <c r="B25" s="19"/>
      <c r="C25" s="19"/>
      <c r="D25" s="19"/>
    </row>
    <row r="26">
      <c r="A26" s="19"/>
      <c r="B26" s="19"/>
      <c r="C26" s="19"/>
      <c r="D26" s="19"/>
    </row>
    <row r="27">
      <c r="A27" s="19"/>
      <c r="B27" s="19"/>
      <c r="C27" s="19"/>
      <c r="D27" s="19"/>
    </row>
    <row r="28">
      <c r="A28" s="19"/>
      <c r="B28" s="19"/>
      <c r="C28" s="19"/>
      <c r="D28" s="19"/>
    </row>
    <row r="29">
      <c r="A29" s="19"/>
      <c r="B29" s="19"/>
      <c r="C29" s="19"/>
      <c r="D29" s="19"/>
    </row>
    <row r="30">
      <c r="A30" s="19"/>
      <c r="B30" s="19"/>
      <c r="C30" s="19"/>
      <c r="D30" s="19"/>
    </row>
    <row r="31">
      <c r="A31" s="19"/>
      <c r="B31" s="19"/>
      <c r="C31" s="19"/>
      <c r="D31" s="19"/>
    </row>
    <row r="32">
      <c r="A32" s="19"/>
      <c r="B32" s="19"/>
      <c r="C32" s="19"/>
      <c r="D32" s="19"/>
    </row>
    <row r="33">
      <c r="A33" s="19"/>
      <c r="B33" s="19"/>
      <c r="C33" s="19"/>
      <c r="D33" s="19"/>
    </row>
    <row r="34">
      <c r="A34" s="19"/>
      <c r="B34" s="19"/>
      <c r="C34" s="19"/>
      <c r="D34" s="19"/>
    </row>
    <row r="35">
      <c r="A35" s="19"/>
      <c r="B35" s="19"/>
      <c r="C35" s="19"/>
      <c r="D35" s="19"/>
    </row>
    <row r="36">
      <c r="A36" s="19"/>
      <c r="B36" s="19"/>
      <c r="C36" s="19"/>
      <c r="D36" s="19"/>
    </row>
    <row r="37">
      <c r="A37" s="19"/>
      <c r="B37" s="19"/>
      <c r="C37" s="19"/>
      <c r="D37" s="19"/>
    </row>
    <row r="38">
      <c r="A38" s="19"/>
      <c r="B38" s="19"/>
      <c r="C38" s="19"/>
      <c r="D38" s="19"/>
    </row>
    <row r="39">
      <c r="A39" s="19"/>
      <c r="B39" s="19"/>
      <c r="C39" s="19"/>
      <c r="D39" s="19"/>
    </row>
    <row r="40">
      <c r="A40" s="19"/>
      <c r="B40" s="19"/>
      <c r="C40" s="19"/>
      <c r="D40" s="19"/>
    </row>
    <row r="41">
      <c r="A41" s="19"/>
      <c r="B41" s="19"/>
      <c r="C41" s="19"/>
      <c r="D41" s="19"/>
    </row>
    <row r="42">
      <c r="A42" s="19"/>
      <c r="B42" s="19"/>
      <c r="C42" s="19"/>
      <c r="D42" s="19"/>
    </row>
    <row r="43">
      <c r="A43" s="19"/>
      <c r="B43" s="19"/>
      <c r="C43" s="19"/>
      <c r="D43" s="19"/>
    </row>
    <row r="44">
      <c r="A44" s="19"/>
      <c r="B44" s="19"/>
      <c r="C44" s="19"/>
      <c r="D44" s="19"/>
    </row>
    <row r="45">
      <c r="A45" s="19"/>
      <c r="B45" s="19"/>
      <c r="C45" s="19"/>
      <c r="D45" s="19"/>
    </row>
    <row r="46">
      <c r="A46" s="19"/>
      <c r="B46" s="19"/>
      <c r="C46" s="19"/>
      <c r="D46" s="19"/>
    </row>
    <row r="47">
      <c r="A47" s="19"/>
      <c r="B47" s="19"/>
      <c r="C47" s="19"/>
      <c r="D47" s="19"/>
    </row>
    <row r="48">
      <c r="A48" s="19"/>
      <c r="B48" s="19"/>
      <c r="C48" s="19"/>
      <c r="D48" s="19"/>
    </row>
    <row r="49">
      <c r="A49" s="19"/>
      <c r="B49" s="19"/>
      <c r="C49" s="19"/>
      <c r="D49" s="19"/>
    </row>
    <row r="50">
      <c r="A50" s="19"/>
      <c r="B50" s="19"/>
      <c r="C50" s="19"/>
      <c r="D50" s="19"/>
    </row>
    <row r="51">
      <c r="A51" s="19"/>
      <c r="B51" s="19"/>
      <c r="C51" s="19"/>
      <c r="D51" s="19"/>
    </row>
  </sheetData>
  <hyperlinks>
    <hyperlink r:id="rId1" ref="G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1">
        <v>46200.0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25.0</v>
      </c>
      <c r="E2" s="5"/>
      <c r="F2" s="5"/>
      <c r="R2" s="18"/>
      <c r="AC2" s="22" t="str">
        <f>TEXT(C1-7,"mm/dd/yy")</f>
        <v>06/20/26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33</v>
      </c>
      <c r="R3" s="18" t="s">
        <v>34</v>
      </c>
      <c r="S3" s="18"/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365.0</v>
      </c>
      <c r="D5" s="37">
        <v>48.0</v>
      </c>
      <c r="E5" s="40">
        <f t="shared" ref="E5:E79" si="2">if(S5&gt;0,(C5-(V5*9)-(T5*13))/S5,0)</f>
        <v>15.36363636</v>
      </c>
      <c r="F5" s="90">
        <v>1.0</v>
      </c>
      <c r="G5" s="91">
        <v>1.0</v>
      </c>
      <c r="H5" s="92">
        <v>0.0</v>
      </c>
      <c r="I5" s="91">
        <v>6.0</v>
      </c>
      <c r="J5" s="91">
        <v>7.0</v>
      </c>
      <c r="K5" s="91">
        <v>3.0</v>
      </c>
      <c r="L5" s="93">
        <v>16.0</v>
      </c>
      <c r="M5" s="91">
        <v>2.0</v>
      </c>
      <c r="N5" s="37">
        <f t="shared" ref="N5:O5" si="1">C5+L5</f>
        <v>381</v>
      </c>
      <c r="O5" s="37">
        <f t="shared" si="1"/>
        <v>50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22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3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354.0</v>
      </c>
      <c r="D6" s="37">
        <v>40.0</v>
      </c>
      <c r="E6" s="40">
        <f t="shared" si="2"/>
        <v>15.14285714</v>
      </c>
      <c r="F6" s="90">
        <v>1.0</v>
      </c>
      <c r="G6" s="91">
        <v>1.0</v>
      </c>
      <c r="H6" s="92">
        <v>0.0</v>
      </c>
      <c r="I6" s="91">
        <v>6.0</v>
      </c>
      <c r="J6" s="91">
        <v>5.0</v>
      </c>
      <c r="K6" s="91">
        <v>6.0</v>
      </c>
      <c r="L6" s="93">
        <v>17.0</v>
      </c>
      <c r="M6" s="91">
        <v>2.0</v>
      </c>
      <c r="N6" s="37">
        <f t="shared" ref="N6:O6" si="3">C6+L6</f>
        <v>371</v>
      </c>
      <c r="O6" s="37">
        <f t="shared" si="3"/>
        <v>42</v>
      </c>
      <c r="P6" s="49" t="s">
        <v>57</v>
      </c>
      <c r="Q6" s="49" t="s">
        <v>57</v>
      </c>
      <c r="R6" s="49" t="s">
        <v>57</v>
      </c>
      <c r="S6" s="51">
        <f t="shared" si="4"/>
        <v>21</v>
      </c>
      <c r="T6" s="52">
        <f t="shared" si="5"/>
        <v>0</v>
      </c>
      <c r="U6" s="52"/>
      <c r="V6" s="51">
        <f t="shared" si="6"/>
        <v>4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340.0</v>
      </c>
      <c r="D7" s="37">
        <v>34.0</v>
      </c>
      <c r="E7" s="40">
        <f t="shared" si="2"/>
        <v>14.22727273</v>
      </c>
      <c r="F7" s="90">
        <v>1.0</v>
      </c>
      <c r="G7" s="91">
        <v>1.0</v>
      </c>
      <c r="H7" s="92">
        <v>0.0</v>
      </c>
      <c r="I7" s="91">
        <v>2.0</v>
      </c>
      <c r="J7" s="91">
        <v>7.0</v>
      </c>
      <c r="K7" s="91">
        <v>6.0</v>
      </c>
      <c r="L7" s="93">
        <v>15.0</v>
      </c>
      <c r="M7" s="91">
        <v>2.0</v>
      </c>
      <c r="N7" s="37">
        <f t="shared" ref="N7:O7" si="11">C7+L7</f>
        <v>355</v>
      </c>
      <c r="O7" s="37">
        <f t="shared" si="11"/>
        <v>36</v>
      </c>
      <c r="P7" s="49" t="s">
        <v>57</v>
      </c>
      <c r="Q7" s="49" t="s">
        <v>57</v>
      </c>
      <c r="R7" s="49" t="s">
        <v>57</v>
      </c>
      <c r="S7" s="51">
        <f t="shared" si="4"/>
        <v>22</v>
      </c>
      <c r="T7" s="52">
        <f t="shared" si="5"/>
        <v>0</v>
      </c>
      <c r="U7" s="52"/>
      <c r="V7" s="51">
        <f t="shared" si="6"/>
        <v>3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321.0</v>
      </c>
      <c r="D8" s="37">
        <v>28.0</v>
      </c>
      <c r="E8" s="40">
        <f t="shared" si="2"/>
        <v>13.2</v>
      </c>
      <c r="F8" s="90">
        <v>5.0</v>
      </c>
      <c r="G8" s="91">
        <v>0.0</v>
      </c>
      <c r="H8" s="92">
        <v>13.0</v>
      </c>
      <c r="I8" s="91">
        <v>0.0</v>
      </c>
      <c r="J8" s="91">
        <v>0.0</v>
      </c>
      <c r="K8" s="91">
        <v>0.0</v>
      </c>
      <c r="L8" s="93">
        <v>13.0</v>
      </c>
      <c r="M8" s="91">
        <v>0.0</v>
      </c>
      <c r="N8" s="37">
        <f t="shared" ref="N8:O8" si="13">C8+L8</f>
        <v>334</v>
      </c>
      <c r="O8" s="37">
        <f t="shared" si="13"/>
        <v>28</v>
      </c>
      <c r="P8" s="49" t="s">
        <v>57</v>
      </c>
      <c r="Q8" s="49" t="s">
        <v>57</v>
      </c>
      <c r="R8" s="49" t="s">
        <v>57</v>
      </c>
      <c r="S8" s="51">
        <f t="shared" si="4"/>
        <v>20</v>
      </c>
      <c r="T8" s="52">
        <f t="shared" si="5"/>
        <v>3</v>
      </c>
      <c r="U8" s="52"/>
      <c r="V8" s="51">
        <f t="shared" si="6"/>
        <v>2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80</v>
      </c>
      <c r="C9" s="37">
        <v>320.0</v>
      </c>
      <c r="D9" s="37">
        <v>30.0</v>
      </c>
      <c r="E9" s="40">
        <f t="shared" si="2"/>
        <v>14.05555556</v>
      </c>
      <c r="F9" s="90">
        <v>1.0</v>
      </c>
      <c r="G9" s="91">
        <v>1.0</v>
      </c>
      <c r="H9" s="92">
        <v>0.0</v>
      </c>
      <c r="I9" s="91">
        <v>2.0</v>
      </c>
      <c r="J9" s="91">
        <v>5.0</v>
      </c>
      <c r="K9" s="91">
        <v>3.0</v>
      </c>
      <c r="L9" s="93">
        <v>10.0</v>
      </c>
      <c r="M9" s="91">
        <v>0.0</v>
      </c>
      <c r="N9" s="37">
        <f t="shared" ref="N9:O9" si="14">C9+L9</f>
        <v>330</v>
      </c>
      <c r="O9" s="37">
        <f t="shared" si="14"/>
        <v>30</v>
      </c>
      <c r="P9" s="49" t="s">
        <v>57</v>
      </c>
      <c r="Q9" s="49" t="s">
        <v>57</v>
      </c>
      <c r="R9" s="49" t="s">
        <v>57</v>
      </c>
      <c r="S9" s="51">
        <f t="shared" si="4"/>
        <v>18</v>
      </c>
      <c r="T9" s="52">
        <f t="shared" si="5"/>
        <v>1</v>
      </c>
      <c r="U9" s="52"/>
      <c r="V9" s="51">
        <f t="shared" si="6"/>
        <v>6</v>
      </c>
      <c r="W9" s="52">
        <f t="shared" si="7"/>
        <v>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73</v>
      </c>
      <c r="C10" s="37">
        <v>318.0</v>
      </c>
      <c r="D10" s="37">
        <v>31.0</v>
      </c>
      <c r="E10" s="40">
        <f t="shared" si="2"/>
        <v>15.84615385</v>
      </c>
      <c r="F10" s="90">
        <v>1.0</v>
      </c>
      <c r="G10" s="91">
        <v>2.0</v>
      </c>
      <c r="H10" s="92">
        <v>0.0</v>
      </c>
      <c r="I10" s="91">
        <v>6.0</v>
      </c>
      <c r="J10" s="91">
        <v>6.0</v>
      </c>
      <c r="K10" s="91">
        <v>6.0</v>
      </c>
      <c r="L10" s="93">
        <v>18.0</v>
      </c>
      <c r="M10" s="91">
        <v>3.0</v>
      </c>
      <c r="N10" s="37">
        <f t="shared" ref="N10:O10" si="15">C10+L10</f>
        <v>336</v>
      </c>
      <c r="O10" s="37">
        <f t="shared" si="15"/>
        <v>34</v>
      </c>
      <c r="P10" s="49" t="s">
        <v>57</v>
      </c>
      <c r="Q10" s="49" t="s">
        <v>57</v>
      </c>
      <c r="R10" s="49" t="s">
        <v>57</v>
      </c>
      <c r="S10" s="51">
        <f t="shared" si="4"/>
        <v>13</v>
      </c>
      <c r="T10" s="52">
        <f t="shared" si="5"/>
        <v>1</v>
      </c>
      <c r="U10" s="52"/>
      <c r="V10" s="51">
        <f t="shared" si="6"/>
        <v>11</v>
      </c>
      <c r="W10" s="52">
        <f t="shared" si="7"/>
        <v>2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93</v>
      </c>
      <c r="C11" s="37">
        <v>315.0</v>
      </c>
      <c r="D11" s="37">
        <v>29.0</v>
      </c>
      <c r="E11" s="40">
        <f t="shared" si="2"/>
        <v>13.3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324</v>
      </c>
      <c r="O11" s="37">
        <f t="shared" si="16"/>
        <v>29</v>
      </c>
      <c r="P11" s="49" t="s">
        <v>57</v>
      </c>
      <c r="Q11" s="49" t="s">
        <v>57</v>
      </c>
      <c r="R11" s="49" t="s">
        <v>57</v>
      </c>
      <c r="S11" s="51">
        <f t="shared" si="4"/>
        <v>20</v>
      </c>
      <c r="T11" s="52">
        <f t="shared" si="5"/>
        <v>1</v>
      </c>
      <c r="U11" s="52"/>
      <c r="V11" s="51">
        <f t="shared" si="6"/>
        <v>4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92</v>
      </c>
      <c r="C12" s="37">
        <v>315.0</v>
      </c>
      <c r="D12" s="37">
        <v>24.0</v>
      </c>
      <c r="E12" s="40">
        <f t="shared" si="2"/>
        <v>13.73684211</v>
      </c>
      <c r="F12" s="90">
        <v>1.0</v>
      </c>
      <c r="G12" s="91">
        <v>2.0</v>
      </c>
      <c r="H12" s="92">
        <v>0.0</v>
      </c>
      <c r="I12" s="91">
        <v>6.0</v>
      </c>
      <c r="J12" s="91">
        <v>2.0</v>
      </c>
      <c r="K12" s="91">
        <v>2.0</v>
      </c>
      <c r="L12" s="93">
        <v>10.0</v>
      </c>
      <c r="M12" s="91">
        <v>1.0</v>
      </c>
      <c r="N12" s="37">
        <f t="shared" ref="N12:O12" si="17">C12+L12</f>
        <v>325</v>
      </c>
      <c r="O12" s="37">
        <f t="shared" si="17"/>
        <v>25</v>
      </c>
      <c r="P12" s="49" t="s">
        <v>57</v>
      </c>
      <c r="Q12" s="49" t="s">
        <v>57</v>
      </c>
      <c r="R12" s="49" t="s">
        <v>57</v>
      </c>
      <c r="S12" s="51">
        <f t="shared" si="4"/>
        <v>19</v>
      </c>
      <c r="T12" s="52">
        <f t="shared" si="5"/>
        <v>0</v>
      </c>
      <c r="U12" s="52"/>
      <c r="V12" s="51">
        <f t="shared" si="6"/>
        <v>6</v>
      </c>
      <c r="W12" s="52">
        <f t="shared" si="7"/>
        <v>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94</v>
      </c>
      <c r="C13" s="37">
        <v>314.0</v>
      </c>
      <c r="D13" s="37">
        <v>30.0</v>
      </c>
      <c r="E13" s="40">
        <f t="shared" si="2"/>
        <v>13.25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323</v>
      </c>
      <c r="O13" s="37">
        <f t="shared" si="18"/>
        <v>30</v>
      </c>
      <c r="P13" s="49" t="s">
        <v>57</v>
      </c>
      <c r="Q13" s="49" t="s">
        <v>57</v>
      </c>
      <c r="R13" s="49" t="s">
        <v>57</v>
      </c>
      <c r="S13" s="51">
        <f t="shared" si="4"/>
        <v>20</v>
      </c>
      <c r="T13" s="52">
        <f t="shared" si="5"/>
        <v>1</v>
      </c>
      <c r="U13" s="52"/>
      <c r="V13" s="51">
        <f t="shared" si="6"/>
        <v>4</v>
      </c>
      <c r="W13" s="52">
        <f t="shared" si="7"/>
        <v>-2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91</v>
      </c>
      <c r="C14" s="37">
        <v>314.0</v>
      </c>
      <c r="D14" s="37">
        <v>29.0</v>
      </c>
      <c r="E14" s="40">
        <f t="shared" si="2"/>
        <v>14.3125</v>
      </c>
      <c r="F14" s="90">
        <v>1.0</v>
      </c>
      <c r="G14" s="91">
        <v>2.0</v>
      </c>
      <c r="H14" s="92">
        <v>0.0</v>
      </c>
      <c r="I14" s="91">
        <v>3.0</v>
      </c>
      <c r="J14" s="91">
        <v>6.0</v>
      </c>
      <c r="K14" s="91">
        <v>2.0</v>
      </c>
      <c r="L14" s="93">
        <v>11.0</v>
      </c>
      <c r="M14" s="91">
        <v>1.0</v>
      </c>
      <c r="N14" s="37">
        <f t="shared" ref="N14:O14" si="19">C14+L14</f>
        <v>325</v>
      </c>
      <c r="O14" s="37">
        <f t="shared" si="19"/>
        <v>30</v>
      </c>
      <c r="P14" s="49" t="s">
        <v>57</v>
      </c>
      <c r="Q14" s="49" t="s">
        <v>57</v>
      </c>
      <c r="R14" s="49" t="s">
        <v>57</v>
      </c>
      <c r="S14" s="51">
        <f t="shared" si="4"/>
        <v>16</v>
      </c>
      <c r="T14" s="52">
        <f t="shared" si="5"/>
        <v>1</v>
      </c>
      <c r="U14" s="52"/>
      <c r="V14" s="51">
        <f t="shared" si="6"/>
        <v>8</v>
      </c>
      <c r="W14" s="52">
        <f t="shared" si="7"/>
        <v>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96</v>
      </c>
      <c r="C15" s="37">
        <v>310.0</v>
      </c>
      <c r="D15" s="37">
        <v>34.0</v>
      </c>
      <c r="E15" s="40">
        <f t="shared" si="2"/>
        <v>12.54166667</v>
      </c>
      <c r="F15" s="90">
        <v>1.0</v>
      </c>
      <c r="G15" s="91">
        <v>2.0</v>
      </c>
      <c r="H15" s="92">
        <v>0.0</v>
      </c>
      <c r="I15" s="91">
        <v>3.0</v>
      </c>
      <c r="J15" s="91">
        <v>2.0</v>
      </c>
      <c r="K15" s="91">
        <v>6.0</v>
      </c>
      <c r="L15" s="93">
        <v>11.0</v>
      </c>
      <c r="M15" s="91">
        <v>1.0</v>
      </c>
      <c r="N15" s="37">
        <f t="shared" ref="N15:O15" si="20">C15+L15</f>
        <v>321</v>
      </c>
      <c r="O15" s="37">
        <f t="shared" si="20"/>
        <v>35</v>
      </c>
      <c r="P15" s="49" t="s">
        <v>57</v>
      </c>
      <c r="Q15" s="49" t="s">
        <v>57</v>
      </c>
      <c r="R15" s="49" t="s">
        <v>57</v>
      </c>
      <c r="S15" s="51">
        <f t="shared" si="4"/>
        <v>24</v>
      </c>
      <c r="T15" s="52">
        <f t="shared" si="5"/>
        <v>0</v>
      </c>
      <c r="U15" s="52"/>
      <c r="V15" s="51">
        <f t="shared" si="6"/>
        <v>1</v>
      </c>
      <c r="W15" s="52">
        <f t="shared" si="7"/>
        <v>3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95</v>
      </c>
      <c r="C16" s="37">
        <v>309.0</v>
      </c>
      <c r="D16" s="37">
        <v>28.0</v>
      </c>
      <c r="E16" s="40">
        <f t="shared" si="2"/>
        <v>13.66666667</v>
      </c>
      <c r="F16" s="90">
        <v>1.0</v>
      </c>
      <c r="G16" s="91">
        <v>3.0</v>
      </c>
      <c r="H16" s="92">
        <v>0.0</v>
      </c>
      <c r="I16" s="91">
        <v>6.0</v>
      </c>
      <c r="J16" s="91">
        <v>1.0</v>
      </c>
      <c r="K16" s="91">
        <v>6.0</v>
      </c>
      <c r="L16" s="93">
        <v>13.0</v>
      </c>
      <c r="M16" s="91">
        <v>1.0</v>
      </c>
      <c r="N16" s="37">
        <f t="shared" ref="N16:O16" si="21">C16+L16</f>
        <v>322</v>
      </c>
      <c r="O16" s="37">
        <f t="shared" si="21"/>
        <v>29</v>
      </c>
      <c r="P16" s="49" t="s">
        <v>57</v>
      </c>
      <c r="Q16" s="49" t="s">
        <v>57</v>
      </c>
      <c r="R16" s="49" t="s">
        <v>57</v>
      </c>
      <c r="S16" s="51">
        <f t="shared" si="4"/>
        <v>18</v>
      </c>
      <c r="T16" s="52">
        <f t="shared" si="5"/>
        <v>0</v>
      </c>
      <c r="U16" s="52"/>
      <c r="V16" s="51">
        <f t="shared" si="6"/>
        <v>7</v>
      </c>
      <c r="W16" s="52">
        <f t="shared" si="7"/>
        <v>-2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99</v>
      </c>
      <c r="C17" s="37">
        <v>308.0</v>
      </c>
      <c r="D17" s="37">
        <v>27.0</v>
      </c>
      <c r="E17" s="40">
        <f t="shared" si="2"/>
        <v>13.16666667</v>
      </c>
      <c r="F17" s="90">
        <v>1.0</v>
      </c>
      <c r="G17" s="91">
        <v>3.0</v>
      </c>
      <c r="H17" s="92">
        <v>0.0</v>
      </c>
      <c r="I17" s="91">
        <v>0.0</v>
      </c>
      <c r="J17" s="91">
        <v>1.0</v>
      </c>
      <c r="K17" s="91">
        <v>7.0</v>
      </c>
      <c r="L17" s="93">
        <v>8.0</v>
      </c>
      <c r="M17" s="91">
        <v>1.0</v>
      </c>
      <c r="N17" s="37">
        <f t="shared" ref="N17:O17" si="22">C17+L17</f>
        <v>316</v>
      </c>
      <c r="O17" s="37">
        <f t="shared" si="22"/>
        <v>28</v>
      </c>
      <c r="P17" s="49" t="s">
        <v>57</v>
      </c>
      <c r="Q17" s="49" t="s">
        <v>57</v>
      </c>
      <c r="R17" s="49"/>
      <c r="S17" s="51">
        <f t="shared" si="4"/>
        <v>18</v>
      </c>
      <c r="T17" s="52">
        <f t="shared" si="5"/>
        <v>2</v>
      </c>
      <c r="U17" s="52"/>
      <c r="V17" s="51">
        <f t="shared" si="6"/>
        <v>5</v>
      </c>
      <c r="W17" s="52">
        <f t="shared" si="7"/>
        <v>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97</v>
      </c>
      <c r="C18" s="37">
        <v>308.0</v>
      </c>
      <c r="D18" s="37">
        <v>23.0</v>
      </c>
      <c r="E18" s="40">
        <f t="shared" si="2"/>
        <v>14</v>
      </c>
      <c r="F18" s="90">
        <v>5.0</v>
      </c>
      <c r="G18" s="91">
        <v>0.0</v>
      </c>
      <c r="H18" s="92">
        <v>13.0</v>
      </c>
      <c r="I18" s="91">
        <v>0.0</v>
      </c>
      <c r="J18" s="91">
        <v>0.0</v>
      </c>
      <c r="K18" s="91">
        <v>0.0</v>
      </c>
      <c r="L18" s="93">
        <v>13.0</v>
      </c>
      <c r="M18" s="91">
        <v>0.0</v>
      </c>
      <c r="N18" s="37">
        <f t="shared" ref="N18:O18" si="23">C18+L18</f>
        <v>321</v>
      </c>
      <c r="O18" s="37">
        <f t="shared" si="23"/>
        <v>23</v>
      </c>
      <c r="P18" s="49" t="s">
        <v>57</v>
      </c>
      <c r="Q18" s="49" t="s">
        <v>57</v>
      </c>
      <c r="R18" s="49" t="s">
        <v>57</v>
      </c>
      <c r="S18" s="51">
        <f t="shared" si="4"/>
        <v>15</v>
      </c>
      <c r="T18" s="52">
        <f t="shared" si="5"/>
        <v>2</v>
      </c>
      <c r="U18" s="52"/>
      <c r="V18" s="51">
        <f t="shared" si="6"/>
        <v>8</v>
      </c>
      <c r="W18" s="52">
        <f t="shared" si="7"/>
        <v>-2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89</v>
      </c>
      <c r="C19" s="37">
        <v>307.0</v>
      </c>
      <c r="D19" s="37">
        <v>28.0</v>
      </c>
      <c r="E19" s="40">
        <f t="shared" si="2"/>
        <v>15.30769231</v>
      </c>
      <c r="F19" s="90">
        <v>1.0</v>
      </c>
      <c r="G19" s="91">
        <v>3.0</v>
      </c>
      <c r="H19" s="92">
        <v>0.0</v>
      </c>
      <c r="I19" s="91">
        <v>6.0</v>
      </c>
      <c r="J19" s="91">
        <v>6.0</v>
      </c>
      <c r="K19" s="91">
        <v>7.0</v>
      </c>
      <c r="L19" s="93">
        <v>19.0</v>
      </c>
      <c r="M19" s="91">
        <v>3.0</v>
      </c>
      <c r="N19" s="37">
        <f t="shared" ref="N19:O19" si="24">C19+L19</f>
        <v>326</v>
      </c>
      <c r="O19" s="37">
        <f t="shared" si="24"/>
        <v>31</v>
      </c>
      <c r="P19" s="49" t="s">
        <v>57</v>
      </c>
      <c r="Q19" s="49" t="s">
        <v>57</v>
      </c>
      <c r="R19" s="49" t="s">
        <v>57</v>
      </c>
      <c r="S19" s="51">
        <f t="shared" si="4"/>
        <v>13</v>
      </c>
      <c r="T19" s="52">
        <f t="shared" si="5"/>
        <v>0</v>
      </c>
      <c r="U19" s="52"/>
      <c r="V19" s="51">
        <f t="shared" si="6"/>
        <v>12</v>
      </c>
      <c r="W19" s="52">
        <f t="shared" si="7"/>
        <v>-4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108</v>
      </c>
      <c r="C20" s="37">
        <v>303.0</v>
      </c>
      <c r="D20" s="37">
        <v>31.0</v>
      </c>
      <c r="E20" s="40">
        <f t="shared" si="2"/>
        <v>12.9</v>
      </c>
      <c r="F20" s="90">
        <v>1.0</v>
      </c>
      <c r="G20" s="91">
        <v>3.0</v>
      </c>
      <c r="H20" s="92">
        <v>0.0</v>
      </c>
      <c r="I20" s="91">
        <v>0.0</v>
      </c>
      <c r="J20" s="91">
        <v>6.0</v>
      </c>
      <c r="K20" s="91">
        <v>6.0</v>
      </c>
      <c r="L20" s="93">
        <v>12.0</v>
      </c>
      <c r="M20" s="91">
        <v>1.0</v>
      </c>
      <c r="N20" s="37">
        <f t="shared" ref="N20:O20" si="25">C20+L20</f>
        <v>315</v>
      </c>
      <c r="O20" s="37">
        <f t="shared" si="25"/>
        <v>32</v>
      </c>
      <c r="P20" s="49" t="s">
        <v>57</v>
      </c>
      <c r="Q20" s="49" t="s">
        <v>57</v>
      </c>
      <c r="R20" s="49" t="s">
        <v>57</v>
      </c>
      <c r="S20" s="51">
        <f t="shared" si="4"/>
        <v>20</v>
      </c>
      <c r="T20" s="52">
        <f t="shared" si="5"/>
        <v>0</v>
      </c>
      <c r="U20" s="52"/>
      <c r="V20" s="51">
        <f t="shared" si="6"/>
        <v>5</v>
      </c>
      <c r="W20" s="52">
        <f t="shared" si="7"/>
        <v>6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113</v>
      </c>
      <c r="C21" s="37">
        <v>303.0</v>
      </c>
      <c r="D21" s="37">
        <v>24.0</v>
      </c>
      <c r="E21" s="40">
        <f t="shared" si="2"/>
        <v>15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312</v>
      </c>
      <c r="O21" s="37">
        <f t="shared" si="26"/>
        <v>24</v>
      </c>
      <c r="P21" s="49" t="s">
        <v>57</v>
      </c>
      <c r="Q21" s="49" t="s">
        <v>57</v>
      </c>
      <c r="R21" s="49" t="s">
        <v>57</v>
      </c>
      <c r="S21" s="51">
        <f t="shared" si="4"/>
        <v>13</v>
      </c>
      <c r="T21" s="52">
        <f t="shared" si="5"/>
        <v>0</v>
      </c>
      <c r="U21" s="52"/>
      <c r="V21" s="51">
        <f t="shared" si="6"/>
        <v>12</v>
      </c>
      <c r="W21" s="52">
        <f t="shared" si="7"/>
        <v>-2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117</v>
      </c>
      <c r="C22" s="37">
        <v>301.0</v>
      </c>
      <c r="D22" s="37">
        <v>25.0</v>
      </c>
      <c r="E22" s="40">
        <f t="shared" si="2"/>
        <v>12.77777778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310</v>
      </c>
      <c r="O22" s="37">
        <f t="shared" si="27"/>
        <v>25</v>
      </c>
      <c r="P22" s="49" t="s">
        <v>57</v>
      </c>
      <c r="Q22" s="49" t="s">
        <v>57</v>
      </c>
      <c r="R22" s="49" t="s">
        <v>57</v>
      </c>
      <c r="S22" s="51">
        <f t="shared" si="4"/>
        <v>18</v>
      </c>
      <c r="T22" s="52">
        <f t="shared" si="5"/>
        <v>2</v>
      </c>
      <c r="U22" s="52"/>
      <c r="V22" s="51">
        <f t="shared" si="6"/>
        <v>5</v>
      </c>
      <c r="W22" s="52">
        <f t="shared" si="7"/>
        <v>-2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115</v>
      </c>
      <c r="C23" s="37">
        <v>300.0</v>
      </c>
      <c r="D23" s="37">
        <v>26.0</v>
      </c>
      <c r="E23" s="40">
        <f t="shared" si="2"/>
        <v>12.75</v>
      </c>
      <c r="F23" s="90">
        <v>1.0</v>
      </c>
      <c r="G23" s="91">
        <v>4.0</v>
      </c>
      <c r="H23" s="92">
        <v>0.0</v>
      </c>
      <c r="I23" s="91">
        <v>2.0</v>
      </c>
      <c r="J23" s="91">
        <v>6.0</v>
      </c>
      <c r="K23" s="91">
        <v>3.0</v>
      </c>
      <c r="L23" s="93">
        <v>11.0</v>
      </c>
      <c r="M23" s="91">
        <v>1.0</v>
      </c>
      <c r="N23" s="37">
        <f t="shared" ref="N23:O23" si="28">C23+L23</f>
        <v>311</v>
      </c>
      <c r="O23" s="37">
        <f t="shared" si="28"/>
        <v>27</v>
      </c>
      <c r="P23" s="49" t="s">
        <v>57</v>
      </c>
      <c r="Q23" s="49" t="s">
        <v>57</v>
      </c>
      <c r="R23" s="49" t="s">
        <v>57</v>
      </c>
      <c r="S23" s="51">
        <f t="shared" si="4"/>
        <v>20</v>
      </c>
      <c r="T23" s="52">
        <f t="shared" si="5"/>
        <v>0</v>
      </c>
      <c r="U23" s="52"/>
      <c r="V23" s="51">
        <f t="shared" si="6"/>
        <v>5</v>
      </c>
      <c r="W23" s="52">
        <f t="shared" si="7"/>
        <v>1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101</v>
      </c>
      <c r="C24" s="37">
        <v>299.0</v>
      </c>
      <c r="D24" s="37">
        <v>21.0</v>
      </c>
      <c r="E24" s="40">
        <f t="shared" si="2"/>
        <v>12.88235294</v>
      </c>
      <c r="F24" s="90">
        <v>1.0</v>
      </c>
      <c r="G24" s="91">
        <v>4.0</v>
      </c>
      <c r="H24" s="92">
        <v>0.0</v>
      </c>
      <c r="I24" s="91">
        <v>6.0</v>
      </c>
      <c r="J24" s="91">
        <v>0.0</v>
      </c>
      <c r="K24" s="91">
        <v>3.0</v>
      </c>
      <c r="L24" s="93">
        <v>9.0</v>
      </c>
      <c r="M24" s="91">
        <v>1.0</v>
      </c>
      <c r="N24" s="37">
        <f t="shared" ref="N24:O24" si="29">C24+L24</f>
        <v>308</v>
      </c>
      <c r="O24" s="37">
        <f t="shared" si="29"/>
        <v>22</v>
      </c>
      <c r="P24" s="49" t="s">
        <v>57</v>
      </c>
      <c r="Q24" s="49" t="s">
        <v>57</v>
      </c>
      <c r="R24" s="49" t="s">
        <v>57</v>
      </c>
      <c r="S24" s="51">
        <f t="shared" si="4"/>
        <v>17</v>
      </c>
      <c r="T24" s="52">
        <f t="shared" si="5"/>
        <v>2</v>
      </c>
      <c r="U24" s="52"/>
      <c r="V24" s="51">
        <f t="shared" si="6"/>
        <v>6</v>
      </c>
      <c r="W24" s="52">
        <f t="shared" si="7"/>
        <v>-2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120</v>
      </c>
      <c r="C25" s="37">
        <v>297.0</v>
      </c>
      <c r="D25" s="37">
        <v>23.0</v>
      </c>
      <c r="E25" s="40">
        <f t="shared" si="2"/>
        <v>15.54545455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306</v>
      </c>
      <c r="O25" s="37">
        <f t="shared" si="30"/>
        <v>23</v>
      </c>
      <c r="P25" s="49" t="s">
        <v>57</v>
      </c>
      <c r="Q25" s="49" t="s">
        <v>57</v>
      </c>
      <c r="R25" s="49" t="s">
        <v>57</v>
      </c>
      <c r="S25" s="51">
        <f t="shared" si="4"/>
        <v>11</v>
      </c>
      <c r="T25" s="52">
        <f t="shared" si="5"/>
        <v>0</v>
      </c>
      <c r="U25" s="52"/>
      <c r="V25" s="51">
        <f t="shared" si="6"/>
        <v>14</v>
      </c>
      <c r="W25" s="52">
        <f t="shared" si="7"/>
        <v>-2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130</v>
      </c>
      <c r="C26" s="37">
        <v>295.0</v>
      </c>
      <c r="D26" s="37">
        <v>28.0</v>
      </c>
      <c r="E26" s="40">
        <f t="shared" si="2"/>
        <v>11.8</v>
      </c>
      <c r="F26" s="90">
        <v>1.0</v>
      </c>
      <c r="G26" s="91">
        <v>4.0</v>
      </c>
      <c r="H26" s="92">
        <v>0.0</v>
      </c>
      <c r="I26" s="91">
        <v>2.0</v>
      </c>
      <c r="J26" s="91">
        <v>0.0</v>
      </c>
      <c r="K26" s="91">
        <v>6.0</v>
      </c>
      <c r="L26" s="93">
        <v>8.0</v>
      </c>
      <c r="M26" s="91">
        <v>1.0</v>
      </c>
      <c r="N26" s="37">
        <f t="shared" ref="N26:O26" si="31">C26+L26</f>
        <v>303</v>
      </c>
      <c r="O26" s="37">
        <f t="shared" si="31"/>
        <v>29</v>
      </c>
      <c r="P26" s="49" t="s">
        <v>57</v>
      </c>
      <c r="Q26" s="49" t="s">
        <v>57</v>
      </c>
      <c r="R26" s="49" t="s">
        <v>57</v>
      </c>
      <c r="S26" s="51">
        <f t="shared" si="4"/>
        <v>25</v>
      </c>
      <c r="T26" s="52">
        <f t="shared" si="5"/>
        <v>0</v>
      </c>
      <c r="U26" s="52"/>
      <c r="V26" s="51">
        <f t="shared" si="6"/>
        <v>0</v>
      </c>
      <c r="W26" s="52">
        <f t="shared" si="7"/>
        <v>3</v>
      </c>
      <c r="X26" s="35">
        <f t="shared" si="12"/>
        <v>22</v>
      </c>
      <c r="Y26" s="35" t="str">
        <f t="shared" si="8"/>
        <v>Y</v>
      </c>
      <c r="Z26" s="19" t="str">
        <f t="shared" si="9"/>
        <v/>
      </c>
    </row>
    <row r="27">
      <c r="A27" s="35">
        <f t="shared" si="10"/>
        <v>23</v>
      </c>
      <c r="B27" s="36" t="s">
        <v>127</v>
      </c>
      <c r="C27" s="37">
        <v>295.0</v>
      </c>
      <c r="D27" s="37">
        <v>23.0</v>
      </c>
      <c r="E27" s="40">
        <f t="shared" si="2"/>
        <v>14.83333333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304</v>
      </c>
      <c r="O27" s="37">
        <f t="shared" si="32"/>
        <v>23</v>
      </c>
      <c r="P27" s="49" t="s">
        <v>57</v>
      </c>
      <c r="Q27" s="49" t="s">
        <v>57</v>
      </c>
      <c r="R27" s="49" t="s">
        <v>57</v>
      </c>
      <c r="S27" s="51">
        <f t="shared" si="4"/>
        <v>12</v>
      </c>
      <c r="T27" s="52">
        <f t="shared" si="5"/>
        <v>0</v>
      </c>
      <c r="U27" s="52"/>
      <c r="V27" s="51">
        <f t="shared" si="6"/>
        <v>13</v>
      </c>
      <c r="W27" s="52">
        <f t="shared" si="7"/>
        <v>-2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111</v>
      </c>
      <c r="C28" s="37">
        <v>294.0</v>
      </c>
      <c r="D28" s="37">
        <v>22.0</v>
      </c>
      <c r="E28" s="40">
        <f t="shared" si="2"/>
        <v>13.64285714</v>
      </c>
      <c r="F28" s="90">
        <v>1.0</v>
      </c>
      <c r="G28" s="91">
        <v>4.0</v>
      </c>
      <c r="H28" s="92">
        <v>0.0</v>
      </c>
      <c r="I28" s="91">
        <v>6.0</v>
      </c>
      <c r="J28" s="91">
        <v>6.0</v>
      </c>
      <c r="K28" s="91">
        <v>6.0</v>
      </c>
      <c r="L28" s="93">
        <v>18.0</v>
      </c>
      <c r="M28" s="91">
        <v>3.0</v>
      </c>
      <c r="N28" s="37">
        <f t="shared" ref="N28:O28" si="33">C28+L28</f>
        <v>312</v>
      </c>
      <c r="O28" s="37">
        <f t="shared" si="33"/>
        <v>25</v>
      </c>
      <c r="P28" s="49" t="s">
        <v>57</v>
      </c>
      <c r="Q28" s="49" t="s">
        <v>57</v>
      </c>
      <c r="R28" s="49" t="s">
        <v>57</v>
      </c>
      <c r="S28" s="51">
        <f t="shared" si="4"/>
        <v>14</v>
      </c>
      <c r="T28" s="52">
        <f t="shared" si="5"/>
        <v>1</v>
      </c>
      <c r="U28" s="52"/>
      <c r="V28" s="51">
        <f t="shared" si="6"/>
        <v>10</v>
      </c>
      <c r="W28" s="52">
        <f t="shared" si="7"/>
        <v>-1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112</v>
      </c>
      <c r="C29" s="37">
        <v>294.0</v>
      </c>
      <c r="D29" s="37">
        <v>22.0</v>
      </c>
      <c r="E29" s="40">
        <f t="shared" si="2"/>
        <v>13.05882353</v>
      </c>
      <c r="F29" s="90">
        <v>1.0</v>
      </c>
      <c r="G29" s="91">
        <v>5.0</v>
      </c>
      <c r="H29" s="92">
        <v>0.0</v>
      </c>
      <c r="I29" s="91">
        <v>6.0</v>
      </c>
      <c r="J29" s="91">
        <v>6.0</v>
      </c>
      <c r="K29" s="91">
        <v>6.0</v>
      </c>
      <c r="L29" s="93">
        <v>18.0</v>
      </c>
      <c r="M29" s="91">
        <v>3.0</v>
      </c>
      <c r="N29" s="37">
        <f t="shared" ref="N29:O29" si="34">C29+L29</f>
        <v>312</v>
      </c>
      <c r="O29" s="37">
        <f t="shared" si="34"/>
        <v>25</v>
      </c>
      <c r="P29" s="49" t="s">
        <v>57</v>
      </c>
      <c r="Q29" s="49" t="s">
        <v>57</v>
      </c>
      <c r="R29" s="49" t="s">
        <v>57</v>
      </c>
      <c r="S29" s="51">
        <f t="shared" si="4"/>
        <v>17</v>
      </c>
      <c r="T29" s="52">
        <f t="shared" si="5"/>
        <v>0</v>
      </c>
      <c r="U29" s="52"/>
      <c r="V29" s="51">
        <f t="shared" si="6"/>
        <v>8</v>
      </c>
      <c r="W29" s="52">
        <f t="shared" si="7"/>
        <v>3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59</v>
      </c>
      <c r="C30" s="37">
        <v>293.0</v>
      </c>
      <c r="D30" s="37">
        <v>24.0</v>
      </c>
      <c r="E30" s="40">
        <f t="shared" si="2"/>
        <v>11.95652174</v>
      </c>
      <c r="F30" s="90">
        <v>1.0</v>
      </c>
      <c r="G30" s="91">
        <v>5.0</v>
      </c>
      <c r="H30" s="92">
        <v>0.0</v>
      </c>
      <c r="I30" s="91">
        <v>3.0</v>
      </c>
      <c r="J30" s="91">
        <v>6.0</v>
      </c>
      <c r="K30" s="91">
        <v>1.0</v>
      </c>
      <c r="L30" s="93">
        <v>10.0</v>
      </c>
      <c r="M30" s="91">
        <v>1.0</v>
      </c>
      <c r="N30" s="37">
        <f t="shared" ref="N30:O30" si="35">C30+L30</f>
        <v>303</v>
      </c>
      <c r="O30" s="37">
        <f t="shared" si="35"/>
        <v>25</v>
      </c>
      <c r="P30" s="49" t="s">
        <v>57</v>
      </c>
      <c r="Q30" s="49" t="s">
        <v>57</v>
      </c>
      <c r="R30" s="49" t="s">
        <v>57</v>
      </c>
      <c r="S30" s="51">
        <f t="shared" si="4"/>
        <v>23</v>
      </c>
      <c r="T30" s="52">
        <f t="shared" si="5"/>
        <v>0</v>
      </c>
      <c r="U30" s="52"/>
      <c r="V30" s="51">
        <f t="shared" si="6"/>
        <v>2</v>
      </c>
      <c r="W30" s="52">
        <f t="shared" si="7"/>
        <v>-2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137</v>
      </c>
      <c r="C31" s="37">
        <v>292.0</v>
      </c>
      <c r="D31" s="37">
        <v>26.0</v>
      </c>
      <c r="E31" s="40">
        <f t="shared" si="2"/>
        <v>12.72222222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301</v>
      </c>
      <c r="O31" s="37">
        <f t="shared" si="36"/>
        <v>26</v>
      </c>
      <c r="P31" s="49" t="s">
        <v>57</v>
      </c>
      <c r="Q31" s="49" t="s">
        <v>57</v>
      </c>
      <c r="R31" s="49" t="s">
        <v>57</v>
      </c>
      <c r="S31" s="51">
        <f t="shared" si="4"/>
        <v>18</v>
      </c>
      <c r="T31" s="52">
        <f t="shared" si="5"/>
        <v>0</v>
      </c>
      <c r="U31" s="52"/>
      <c r="V31" s="51">
        <f t="shared" si="6"/>
        <v>7</v>
      </c>
      <c r="W31" s="52">
        <f t="shared" si="7"/>
        <v>-1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64</v>
      </c>
      <c r="C32" s="37">
        <v>292.0</v>
      </c>
      <c r="D32" s="37">
        <v>26.0</v>
      </c>
      <c r="E32" s="40">
        <f t="shared" si="2"/>
        <v>11.91304348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301</v>
      </c>
      <c r="O32" s="37">
        <f t="shared" si="37"/>
        <v>26</v>
      </c>
      <c r="P32" s="49" t="s">
        <v>57</v>
      </c>
      <c r="Q32" s="49" t="s">
        <v>57</v>
      </c>
      <c r="R32" s="49" t="s">
        <v>57</v>
      </c>
      <c r="S32" s="51">
        <f t="shared" si="4"/>
        <v>23</v>
      </c>
      <c r="T32" s="52">
        <f t="shared" si="5"/>
        <v>0</v>
      </c>
      <c r="U32" s="52"/>
      <c r="V32" s="51">
        <f t="shared" si="6"/>
        <v>2</v>
      </c>
      <c r="W32" s="52">
        <f t="shared" si="7"/>
        <v>6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103</v>
      </c>
      <c r="C33" s="37">
        <v>292.0</v>
      </c>
      <c r="D33" s="37">
        <v>23.0</v>
      </c>
      <c r="E33" s="40">
        <f t="shared" si="2"/>
        <v>12.47058824</v>
      </c>
      <c r="F33" s="90">
        <v>2.0</v>
      </c>
      <c r="G33" s="91">
        <v>5.0</v>
      </c>
      <c r="H33" s="92">
        <v>0.0</v>
      </c>
      <c r="I33" s="91">
        <v>6.0</v>
      </c>
      <c r="J33" s="91">
        <v>2.0</v>
      </c>
      <c r="K33" s="91">
        <v>1.0</v>
      </c>
      <c r="L33" s="93">
        <v>9.0</v>
      </c>
      <c r="M33" s="91">
        <v>1.0</v>
      </c>
      <c r="N33" s="37">
        <f t="shared" ref="N33:O33" si="38">C33+L33</f>
        <v>301</v>
      </c>
      <c r="O33" s="37">
        <f t="shared" si="38"/>
        <v>24</v>
      </c>
      <c r="P33" s="49" t="s">
        <v>57</v>
      </c>
      <c r="Q33" s="49" t="s">
        <v>57</v>
      </c>
      <c r="R33" s="49" t="s">
        <v>57</v>
      </c>
      <c r="S33" s="51">
        <f t="shared" si="4"/>
        <v>17</v>
      </c>
      <c r="T33" s="52">
        <f t="shared" si="5"/>
        <v>2</v>
      </c>
      <c r="U33" s="52"/>
      <c r="V33" s="51">
        <f t="shared" si="6"/>
        <v>6</v>
      </c>
      <c r="W33" s="52">
        <f t="shared" si="7"/>
        <v>-2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107</v>
      </c>
      <c r="C34" s="37">
        <v>291.0</v>
      </c>
      <c r="D34" s="37">
        <v>24.0</v>
      </c>
      <c r="E34" s="40">
        <f t="shared" si="2"/>
        <v>12.625</v>
      </c>
      <c r="F34" s="90">
        <v>5.0</v>
      </c>
      <c r="G34" s="91">
        <v>0.0</v>
      </c>
      <c r="H34" s="92">
        <v>13.0</v>
      </c>
      <c r="I34" s="91">
        <v>0.0</v>
      </c>
      <c r="J34" s="91">
        <v>0.0</v>
      </c>
      <c r="K34" s="91">
        <v>0.0</v>
      </c>
      <c r="L34" s="93">
        <v>13.0</v>
      </c>
      <c r="M34" s="91">
        <v>0.0</v>
      </c>
      <c r="N34" s="37">
        <f t="shared" ref="N34:O34" si="39">C34+L34</f>
        <v>304</v>
      </c>
      <c r="O34" s="37">
        <f t="shared" si="39"/>
        <v>24</v>
      </c>
      <c r="P34" s="49" t="s">
        <v>57</v>
      </c>
      <c r="Q34" s="49" t="s">
        <v>57</v>
      </c>
      <c r="R34" s="49" t="s">
        <v>57</v>
      </c>
      <c r="S34" s="51">
        <f t="shared" si="4"/>
        <v>16</v>
      </c>
      <c r="T34" s="52">
        <f t="shared" si="5"/>
        <v>2</v>
      </c>
      <c r="U34" s="52"/>
      <c r="V34" s="51">
        <f t="shared" si="6"/>
        <v>7</v>
      </c>
      <c r="W34" s="52">
        <f t="shared" si="7"/>
        <v>1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135</v>
      </c>
      <c r="C35" s="37">
        <v>291.0</v>
      </c>
      <c r="D35" s="37">
        <v>19.0</v>
      </c>
      <c r="E35" s="40">
        <f t="shared" si="2"/>
        <v>13.125</v>
      </c>
      <c r="F35" s="90">
        <v>1.0</v>
      </c>
      <c r="G35" s="91">
        <v>5.0</v>
      </c>
      <c r="H35" s="92">
        <v>0.0</v>
      </c>
      <c r="I35" s="91">
        <v>3.0</v>
      </c>
      <c r="J35" s="91">
        <v>2.0</v>
      </c>
      <c r="K35" s="91">
        <v>6.0</v>
      </c>
      <c r="L35" s="93">
        <v>11.0</v>
      </c>
      <c r="M35" s="91">
        <v>1.0</v>
      </c>
      <c r="N35" s="37">
        <f t="shared" ref="N35:O35" si="40">C35+L35</f>
        <v>302</v>
      </c>
      <c r="O35" s="37">
        <f t="shared" si="40"/>
        <v>20</v>
      </c>
      <c r="P35" s="49" t="s">
        <v>57</v>
      </c>
      <c r="Q35" s="49" t="s">
        <v>57</v>
      </c>
      <c r="R35" s="49" t="s">
        <v>57</v>
      </c>
      <c r="S35" s="51">
        <f t="shared" si="4"/>
        <v>16</v>
      </c>
      <c r="T35" s="52">
        <f t="shared" si="5"/>
        <v>0</v>
      </c>
      <c r="U35" s="52"/>
      <c r="V35" s="51">
        <f t="shared" si="6"/>
        <v>9</v>
      </c>
      <c r="W35" s="52">
        <f t="shared" si="7"/>
        <v>-2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128</v>
      </c>
      <c r="C36" s="37">
        <v>288.0</v>
      </c>
      <c r="D36" s="37">
        <v>20.0</v>
      </c>
      <c r="E36" s="40">
        <f t="shared" si="2"/>
        <v>12.9375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297</v>
      </c>
      <c r="O36" s="37">
        <f t="shared" si="41"/>
        <v>20</v>
      </c>
      <c r="P36" s="49" t="s">
        <v>57</v>
      </c>
      <c r="Q36" s="49" t="s">
        <v>57</v>
      </c>
      <c r="R36" s="49" t="s">
        <v>57</v>
      </c>
      <c r="S36" s="51">
        <f t="shared" si="4"/>
        <v>16</v>
      </c>
      <c r="T36" s="52">
        <f t="shared" si="5"/>
        <v>0</v>
      </c>
      <c r="U36" s="52"/>
      <c r="V36" s="51">
        <f t="shared" si="6"/>
        <v>9</v>
      </c>
      <c r="W36" s="52">
        <f t="shared" si="7"/>
        <v>1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126</v>
      </c>
      <c r="C37" s="37">
        <v>287.0</v>
      </c>
      <c r="D37" s="37">
        <v>24.0</v>
      </c>
      <c r="E37" s="40">
        <f t="shared" si="2"/>
        <v>12.875</v>
      </c>
      <c r="F37" s="90">
        <v>1.0</v>
      </c>
      <c r="G37" s="91">
        <v>6.0</v>
      </c>
      <c r="H37" s="92">
        <v>0.0</v>
      </c>
      <c r="I37" s="91">
        <v>6.0</v>
      </c>
      <c r="J37" s="91">
        <v>6.0</v>
      </c>
      <c r="K37" s="91">
        <v>6.0</v>
      </c>
      <c r="L37" s="93">
        <v>18.0</v>
      </c>
      <c r="M37" s="91">
        <v>3.0</v>
      </c>
      <c r="N37" s="37">
        <f t="shared" ref="N37:O37" si="42">C37+L37</f>
        <v>305</v>
      </c>
      <c r="O37" s="37">
        <f t="shared" si="42"/>
        <v>27</v>
      </c>
      <c r="P37" s="49" t="s">
        <v>57</v>
      </c>
      <c r="Q37" s="49" t="s">
        <v>57</v>
      </c>
      <c r="R37" s="49" t="s">
        <v>57</v>
      </c>
      <c r="S37" s="51">
        <f t="shared" si="4"/>
        <v>16</v>
      </c>
      <c r="T37" s="52">
        <f t="shared" si="5"/>
        <v>0</v>
      </c>
      <c r="U37" s="52"/>
      <c r="V37" s="51">
        <f t="shared" si="6"/>
        <v>9</v>
      </c>
      <c r="W37" s="52">
        <f t="shared" si="7"/>
        <v>-3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139</v>
      </c>
      <c r="C38" s="37">
        <v>284.0</v>
      </c>
      <c r="D38" s="37">
        <v>22.0</v>
      </c>
      <c r="E38" s="40">
        <f t="shared" si="2"/>
        <v>12.05555556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3">C38+L38</f>
        <v>293</v>
      </c>
      <c r="O38" s="37">
        <f t="shared" si="43"/>
        <v>22</v>
      </c>
      <c r="P38" s="49" t="s">
        <v>57</v>
      </c>
      <c r="Q38" s="49" t="s">
        <v>57</v>
      </c>
      <c r="R38" s="49" t="s">
        <v>57</v>
      </c>
      <c r="S38" s="51">
        <f t="shared" si="4"/>
        <v>18</v>
      </c>
      <c r="T38" s="52">
        <f t="shared" si="5"/>
        <v>1</v>
      </c>
      <c r="U38" s="52"/>
      <c r="V38" s="51">
        <f t="shared" si="6"/>
        <v>6</v>
      </c>
      <c r="W38" s="52">
        <f t="shared" si="7"/>
        <v>-2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104</v>
      </c>
      <c r="C39" s="37">
        <v>281.0</v>
      </c>
      <c r="D39" s="37">
        <v>22.0</v>
      </c>
      <c r="E39" s="40">
        <f t="shared" si="2"/>
        <v>14.09090909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290</v>
      </c>
      <c r="O39" s="37">
        <f t="shared" si="44"/>
        <v>22</v>
      </c>
      <c r="P39" s="49" t="s">
        <v>57</v>
      </c>
      <c r="Q39" s="49" t="s">
        <v>57</v>
      </c>
      <c r="R39" s="49" t="s">
        <v>57</v>
      </c>
      <c r="S39" s="51">
        <f t="shared" si="4"/>
        <v>11</v>
      </c>
      <c r="T39" s="52">
        <f t="shared" si="5"/>
        <v>0</v>
      </c>
      <c r="U39" s="52"/>
      <c r="V39" s="51">
        <f t="shared" si="6"/>
        <v>14</v>
      </c>
      <c r="W39" s="52">
        <f t="shared" si="7"/>
        <v>0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129</v>
      </c>
      <c r="C40" s="37">
        <v>280.0</v>
      </c>
      <c r="D40" s="37">
        <v>22.0</v>
      </c>
      <c r="E40" s="40">
        <f t="shared" si="2"/>
        <v>12</v>
      </c>
      <c r="F40" s="90">
        <v>1.0</v>
      </c>
      <c r="G40" s="91">
        <v>6.0</v>
      </c>
      <c r="H40" s="92">
        <v>0.0</v>
      </c>
      <c r="I40" s="91">
        <v>6.0</v>
      </c>
      <c r="J40" s="91">
        <v>2.0</v>
      </c>
      <c r="K40" s="91">
        <v>3.0</v>
      </c>
      <c r="L40" s="93">
        <v>11.0</v>
      </c>
      <c r="M40" s="91">
        <v>1.0</v>
      </c>
      <c r="N40" s="37">
        <f t="shared" ref="N40:O40" si="45">C40+L40</f>
        <v>291</v>
      </c>
      <c r="O40" s="37">
        <f t="shared" si="45"/>
        <v>23</v>
      </c>
      <c r="P40" s="49" t="s">
        <v>57</v>
      </c>
      <c r="Q40" s="49" t="s">
        <v>57</v>
      </c>
      <c r="R40" s="49" t="s">
        <v>57</v>
      </c>
      <c r="S40" s="51">
        <f t="shared" si="4"/>
        <v>17</v>
      </c>
      <c r="T40" s="52">
        <f t="shared" si="5"/>
        <v>1</v>
      </c>
      <c r="U40" s="52"/>
      <c r="V40" s="51">
        <f t="shared" si="6"/>
        <v>7</v>
      </c>
      <c r="W40" s="52">
        <f t="shared" si="7"/>
        <v>0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142</v>
      </c>
      <c r="C41" s="37">
        <v>279.0</v>
      </c>
      <c r="D41" s="37">
        <v>20.0</v>
      </c>
      <c r="E41" s="40">
        <f t="shared" si="2"/>
        <v>13.54545455</v>
      </c>
      <c r="F41" s="90">
        <v>5.0</v>
      </c>
      <c r="G41" s="91">
        <v>0.0</v>
      </c>
      <c r="H41" s="92">
        <v>13.0</v>
      </c>
      <c r="I41" s="91">
        <v>0.0</v>
      </c>
      <c r="J41" s="91">
        <v>0.0</v>
      </c>
      <c r="K41" s="91">
        <v>0.0</v>
      </c>
      <c r="L41" s="93">
        <v>13.0</v>
      </c>
      <c r="M41" s="91">
        <v>0.0</v>
      </c>
      <c r="N41" s="37">
        <f t="shared" ref="N41:O41" si="46">C41+L41</f>
        <v>292</v>
      </c>
      <c r="O41" s="37">
        <f t="shared" si="46"/>
        <v>20</v>
      </c>
      <c r="P41" s="49" t="s">
        <v>57</v>
      </c>
      <c r="Q41" s="49" t="s">
        <v>57</v>
      </c>
      <c r="R41" s="49" t="s">
        <v>57</v>
      </c>
      <c r="S41" s="51">
        <f t="shared" si="4"/>
        <v>11</v>
      </c>
      <c r="T41" s="52">
        <f t="shared" si="5"/>
        <v>1</v>
      </c>
      <c r="U41" s="52"/>
      <c r="V41" s="51">
        <f t="shared" si="6"/>
        <v>13</v>
      </c>
      <c r="W41" s="52">
        <f t="shared" si="7"/>
        <v>0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110</v>
      </c>
      <c r="C42" s="37">
        <v>278.0</v>
      </c>
      <c r="D42" s="37">
        <v>22.0</v>
      </c>
      <c r="E42" s="40">
        <f t="shared" si="2"/>
        <v>11.72222222</v>
      </c>
      <c r="F42" s="90">
        <v>5.0</v>
      </c>
      <c r="G42" s="91">
        <v>0.0</v>
      </c>
      <c r="H42" s="92">
        <v>13.0</v>
      </c>
      <c r="I42" s="91">
        <v>0.0</v>
      </c>
      <c r="J42" s="91">
        <v>0.0</v>
      </c>
      <c r="K42" s="91">
        <v>0.0</v>
      </c>
      <c r="L42" s="93">
        <v>13.0</v>
      </c>
      <c r="M42" s="91">
        <v>0.0</v>
      </c>
      <c r="N42" s="37">
        <f t="shared" ref="N42:O42" si="47">C42+L42</f>
        <v>291</v>
      </c>
      <c r="O42" s="37">
        <f t="shared" si="47"/>
        <v>22</v>
      </c>
      <c r="P42" s="49" t="s">
        <v>57</v>
      </c>
      <c r="Q42" s="49" t="s">
        <v>57</v>
      </c>
      <c r="R42" s="49" t="s">
        <v>57</v>
      </c>
      <c r="S42" s="51">
        <f t="shared" si="4"/>
        <v>18</v>
      </c>
      <c r="T42" s="52">
        <f t="shared" si="5"/>
        <v>1</v>
      </c>
      <c r="U42" s="52"/>
      <c r="V42" s="51">
        <f t="shared" si="6"/>
        <v>6</v>
      </c>
      <c r="W42" s="52">
        <f t="shared" si="7"/>
        <v>0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138</v>
      </c>
      <c r="C43" s="37">
        <v>277.0</v>
      </c>
      <c r="D43" s="37">
        <v>20.0</v>
      </c>
      <c r="E43" s="40">
        <f t="shared" si="2"/>
        <v>12.25</v>
      </c>
      <c r="F43" s="90">
        <v>1.0</v>
      </c>
      <c r="G43" s="91">
        <v>6.0</v>
      </c>
      <c r="H43" s="92">
        <v>0.0</v>
      </c>
      <c r="I43" s="91">
        <v>2.0</v>
      </c>
      <c r="J43" s="91">
        <v>6.0</v>
      </c>
      <c r="K43" s="91">
        <v>3.0</v>
      </c>
      <c r="L43" s="93">
        <v>11.0</v>
      </c>
      <c r="M43" s="91">
        <v>1.0</v>
      </c>
      <c r="N43" s="37">
        <f t="shared" ref="N43:O43" si="48">C43+L43</f>
        <v>288</v>
      </c>
      <c r="O43" s="37">
        <f t="shared" si="48"/>
        <v>21</v>
      </c>
      <c r="P43" s="49" t="s">
        <v>57</v>
      </c>
      <c r="Q43" s="49" t="s">
        <v>57</v>
      </c>
      <c r="R43" s="49" t="s">
        <v>57</v>
      </c>
      <c r="S43" s="51">
        <f t="shared" si="4"/>
        <v>16</v>
      </c>
      <c r="T43" s="52">
        <f t="shared" si="5"/>
        <v>0</v>
      </c>
      <c r="U43" s="52"/>
      <c r="V43" s="51">
        <f t="shared" si="6"/>
        <v>9</v>
      </c>
      <c r="W43" s="52">
        <f t="shared" si="7"/>
        <v>1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54</v>
      </c>
      <c r="C44" s="37">
        <v>275.0</v>
      </c>
      <c r="D44" s="37">
        <v>19.0</v>
      </c>
      <c r="E44" s="40">
        <f t="shared" si="2"/>
        <v>15.25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284</v>
      </c>
      <c r="O44" s="37">
        <f t="shared" si="49"/>
        <v>19</v>
      </c>
      <c r="P44" s="49" t="s">
        <v>57</v>
      </c>
      <c r="Q44" s="49" t="s">
        <v>57</v>
      </c>
      <c r="R44" s="49" t="s">
        <v>57</v>
      </c>
      <c r="S44" s="51">
        <f t="shared" si="4"/>
        <v>8</v>
      </c>
      <c r="T44" s="52">
        <f t="shared" si="5"/>
        <v>0</v>
      </c>
      <c r="U44" s="52"/>
      <c r="V44" s="51">
        <f t="shared" si="6"/>
        <v>17</v>
      </c>
      <c r="W44" s="52">
        <f t="shared" si="7"/>
        <v>-1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90</v>
      </c>
      <c r="C45" s="37">
        <v>275.0</v>
      </c>
      <c r="D45" s="37">
        <v>17.0</v>
      </c>
      <c r="E45" s="40">
        <f t="shared" si="2"/>
        <v>15.25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284</v>
      </c>
      <c r="O45" s="37">
        <f t="shared" si="50"/>
        <v>17</v>
      </c>
      <c r="P45" s="49" t="s">
        <v>57</v>
      </c>
      <c r="Q45" s="49" t="s">
        <v>57</v>
      </c>
      <c r="R45" s="49" t="s">
        <v>57</v>
      </c>
      <c r="S45" s="51">
        <f t="shared" si="4"/>
        <v>8</v>
      </c>
      <c r="T45" s="52">
        <f t="shared" si="5"/>
        <v>0</v>
      </c>
      <c r="U45" s="52"/>
      <c r="V45" s="51">
        <f t="shared" si="6"/>
        <v>17</v>
      </c>
      <c r="W45" s="52">
        <f t="shared" si="7"/>
        <v>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118</v>
      </c>
      <c r="C46" s="37">
        <v>273.0</v>
      </c>
      <c r="D46" s="37">
        <v>20.0</v>
      </c>
      <c r="E46" s="40">
        <f t="shared" si="2"/>
        <v>11.18181818</v>
      </c>
      <c r="F46" s="90">
        <v>1.0</v>
      </c>
      <c r="G46" s="91">
        <v>6.0</v>
      </c>
      <c r="H46" s="92">
        <v>0.0</v>
      </c>
      <c r="I46" s="91">
        <v>2.0</v>
      </c>
      <c r="J46" s="91">
        <v>2.0</v>
      </c>
      <c r="K46" s="91">
        <v>6.0</v>
      </c>
      <c r="L46" s="93">
        <v>10.0</v>
      </c>
      <c r="M46" s="91">
        <v>1.0</v>
      </c>
      <c r="N46" s="37">
        <f t="shared" ref="N46:O46" si="51">C46+L46</f>
        <v>283</v>
      </c>
      <c r="O46" s="37">
        <f t="shared" si="51"/>
        <v>21</v>
      </c>
      <c r="P46" s="49" t="s">
        <v>57</v>
      </c>
      <c r="Q46" s="49" t="s">
        <v>57</v>
      </c>
      <c r="R46" s="49" t="s">
        <v>57</v>
      </c>
      <c r="S46" s="51">
        <f t="shared" si="4"/>
        <v>22</v>
      </c>
      <c r="T46" s="52">
        <f t="shared" si="5"/>
        <v>0</v>
      </c>
      <c r="U46" s="52"/>
      <c r="V46" s="51">
        <f t="shared" si="6"/>
        <v>3</v>
      </c>
      <c r="W46" s="52">
        <f t="shared" si="7"/>
        <v>-1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132</v>
      </c>
      <c r="C47" s="37">
        <v>273.0</v>
      </c>
      <c r="D47" s="37">
        <v>18.0</v>
      </c>
      <c r="E47" s="40">
        <f t="shared" si="2"/>
        <v>15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282</v>
      </c>
      <c r="O47" s="37">
        <f t="shared" si="52"/>
        <v>18</v>
      </c>
      <c r="P47" s="49" t="s">
        <v>57</v>
      </c>
      <c r="Q47" s="49" t="s">
        <v>57</v>
      </c>
      <c r="R47" s="49"/>
      <c r="S47" s="51">
        <f t="shared" si="4"/>
        <v>8</v>
      </c>
      <c r="T47" s="52">
        <f t="shared" si="5"/>
        <v>0</v>
      </c>
      <c r="U47" s="52"/>
      <c r="V47" s="51">
        <f t="shared" si="6"/>
        <v>17</v>
      </c>
      <c r="W47" s="52">
        <f t="shared" si="7"/>
        <v>-1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147</v>
      </c>
      <c r="C48" s="37">
        <v>272.0</v>
      </c>
      <c r="D48" s="37">
        <v>15.0</v>
      </c>
      <c r="E48" s="40">
        <f t="shared" si="2"/>
        <v>12.9</v>
      </c>
      <c r="F48" s="90">
        <v>1.0</v>
      </c>
      <c r="G48" s="91">
        <v>7.0</v>
      </c>
      <c r="H48" s="92">
        <v>0.0</v>
      </c>
      <c r="I48" s="91">
        <v>6.0</v>
      </c>
      <c r="J48" s="91">
        <v>6.0</v>
      </c>
      <c r="K48" s="91">
        <v>6.0</v>
      </c>
      <c r="L48" s="93">
        <v>18.0</v>
      </c>
      <c r="M48" s="91">
        <v>3.0</v>
      </c>
      <c r="N48" s="37">
        <f t="shared" ref="N48:O48" si="53">C48+L48</f>
        <v>290</v>
      </c>
      <c r="O48" s="37">
        <f t="shared" si="53"/>
        <v>18</v>
      </c>
      <c r="P48" s="49" t="s">
        <v>57</v>
      </c>
      <c r="Q48" s="49" t="s">
        <v>57</v>
      </c>
      <c r="R48" s="49" t="s">
        <v>57</v>
      </c>
      <c r="S48" s="51">
        <f t="shared" si="4"/>
        <v>10</v>
      </c>
      <c r="T48" s="52">
        <f t="shared" si="5"/>
        <v>2</v>
      </c>
      <c r="U48" s="52"/>
      <c r="V48" s="51">
        <f t="shared" si="6"/>
        <v>13</v>
      </c>
      <c r="W48" s="52">
        <f t="shared" si="7"/>
        <v>-1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114</v>
      </c>
      <c r="C49" s="37">
        <v>271.0</v>
      </c>
      <c r="D49" s="37">
        <v>20.0</v>
      </c>
      <c r="E49" s="40">
        <f t="shared" si="2"/>
        <v>14.11111111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280</v>
      </c>
      <c r="O49" s="37">
        <f t="shared" si="54"/>
        <v>20</v>
      </c>
      <c r="P49" s="49" t="s">
        <v>57</v>
      </c>
      <c r="Q49" s="49" t="s">
        <v>57</v>
      </c>
      <c r="R49" s="49" t="s">
        <v>57</v>
      </c>
      <c r="S49" s="51">
        <f t="shared" si="4"/>
        <v>9</v>
      </c>
      <c r="T49" s="52">
        <f t="shared" si="5"/>
        <v>0</v>
      </c>
      <c r="U49" s="52"/>
      <c r="V49" s="51">
        <f t="shared" si="6"/>
        <v>16</v>
      </c>
      <c r="W49" s="52">
        <f t="shared" si="7"/>
        <v>-1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152</v>
      </c>
      <c r="C50" s="37">
        <v>270.0</v>
      </c>
      <c r="D50" s="37">
        <v>24.0</v>
      </c>
      <c r="E50" s="40">
        <f t="shared" si="2"/>
        <v>11.64705882</v>
      </c>
      <c r="F50" s="90">
        <v>1.0</v>
      </c>
      <c r="G50" s="91">
        <v>7.0</v>
      </c>
      <c r="H50" s="92">
        <v>0.0</v>
      </c>
      <c r="I50" s="91">
        <v>3.0</v>
      </c>
      <c r="J50" s="91">
        <v>1.0</v>
      </c>
      <c r="K50" s="91">
        <v>6.0</v>
      </c>
      <c r="L50" s="93">
        <v>10.0</v>
      </c>
      <c r="M50" s="91">
        <v>1.0</v>
      </c>
      <c r="N50" s="37">
        <f t="shared" ref="N50:O50" si="55">C50+L50</f>
        <v>280</v>
      </c>
      <c r="O50" s="37">
        <f t="shared" si="55"/>
        <v>25</v>
      </c>
      <c r="P50" s="49" t="s">
        <v>57</v>
      </c>
      <c r="Q50" s="49" t="s">
        <v>57</v>
      </c>
      <c r="R50" s="49" t="s">
        <v>57</v>
      </c>
      <c r="S50" s="51">
        <f t="shared" si="4"/>
        <v>17</v>
      </c>
      <c r="T50" s="52">
        <f t="shared" si="5"/>
        <v>0</v>
      </c>
      <c r="U50" s="52"/>
      <c r="V50" s="51">
        <f t="shared" si="6"/>
        <v>8</v>
      </c>
      <c r="W50" s="52">
        <f t="shared" si="7"/>
        <v>0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134</v>
      </c>
      <c r="C51" s="37">
        <v>270.0</v>
      </c>
      <c r="D51" s="37">
        <v>20.0</v>
      </c>
      <c r="E51" s="40">
        <f t="shared" si="2"/>
        <v>11.25</v>
      </c>
      <c r="F51" s="90">
        <v>1.0</v>
      </c>
      <c r="G51" s="91">
        <v>7.0</v>
      </c>
      <c r="H51" s="92">
        <v>0.0</v>
      </c>
      <c r="I51" s="91">
        <v>3.0</v>
      </c>
      <c r="J51" s="91">
        <v>6.0</v>
      </c>
      <c r="K51" s="91">
        <v>2.0</v>
      </c>
      <c r="L51" s="93">
        <v>11.0</v>
      </c>
      <c r="M51" s="91">
        <v>1.0</v>
      </c>
      <c r="N51" s="37">
        <f t="shared" ref="N51:O51" si="56">C51+L51</f>
        <v>281</v>
      </c>
      <c r="O51" s="37">
        <f t="shared" si="56"/>
        <v>21</v>
      </c>
      <c r="P51" s="49" t="s">
        <v>57</v>
      </c>
      <c r="Q51" s="49" t="s">
        <v>57</v>
      </c>
      <c r="R51" s="49" t="s">
        <v>57</v>
      </c>
      <c r="S51" s="51">
        <f t="shared" si="4"/>
        <v>20</v>
      </c>
      <c r="T51" s="52">
        <f t="shared" si="5"/>
        <v>0</v>
      </c>
      <c r="U51" s="52"/>
      <c r="V51" s="51">
        <f t="shared" si="6"/>
        <v>5</v>
      </c>
      <c r="W51" s="52">
        <f t="shared" si="7"/>
        <v>-2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140</v>
      </c>
      <c r="C52" s="37">
        <v>268.0</v>
      </c>
      <c r="D52" s="37">
        <v>19.0</v>
      </c>
      <c r="E52" s="40">
        <f t="shared" si="2"/>
        <v>11.38888889</v>
      </c>
      <c r="F52" s="90">
        <v>1.0</v>
      </c>
      <c r="G52" s="91">
        <v>7.0</v>
      </c>
      <c r="H52" s="92">
        <v>0.0</v>
      </c>
      <c r="I52" s="91">
        <v>6.0</v>
      </c>
      <c r="J52" s="91">
        <v>1.0</v>
      </c>
      <c r="K52" s="91">
        <v>2.0</v>
      </c>
      <c r="L52" s="93">
        <v>9.0</v>
      </c>
      <c r="M52" s="91">
        <v>1.0</v>
      </c>
      <c r="N52" s="37">
        <f t="shared" ref="N52:O52" si="57">C52+L52</f>
        <v>277</v>
      </c>
      <c r="O52" s="37">
        <f t="shared" si="57"/>
        <v>20</v>
      </c>
      <c r="P52" s="49" t="s">
        <v>57</v>
      </c>
      <c r="Q52" s="49" t="s">
        <v>57</v>
      </c>
      <c r="R52" s="49" t="s">
        <v>57</v>
      </c>
      <c r="S52" s="51">
        <f t="shared" si="4"/>
        <v>18</v>
      </c>
      <c r="T52" s="52">
        <f t="shared" si="5"/>
        <v>0</v>
      </c>
      <c r="U52" s="52"/>
      <c r="V52" s="51">
        <f t="shared" si="6"/>
        <v>7</v>
      </c>
      <c r="W52" s="52">
        <f t="shared" si="7"/>
        <v>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109</v>
      </c>
      <c r="C53" s="37">
        <v>267.0</v>
      </c>
      <c r="D53" s="37">
        <v>17.0</v>
      </c>
      <c r="E53" s="40">
        <f t="shared" si="2"/>
        <v>12.81818182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276</v>
      </c>
      <c r="O53" s="37">
        <f t="shared" si="58"/>
        <v>17</v>
      </c>
      <c r="P53" s="49" t="s">
        <v>57</v>
      </c>
      <c r="Q53" s="49" t="s">
        <v>57</v>
      </c>
      <c r="R53" s="49" t="s">
        <v>57</v>
      </c>
      <c r="S53" s="51">
        <f t="shared" si="4"/>
        <v>11</v>
      </c>
      <c r="T53" s="52">
        <f t="shared" si="5"/>
        <v>0</v>
      </c>
      <c r="U53" s="52"/>
      <c r="V53" s="51">
        <f t="shared" si="6"/>
        <v>14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151</v>
      </c>
      <c r="C54" s="37">
        <v>266.0</v>
      </c>
      <c r="D54" s="37">
        <v>15.0</v>
      </c>
      <c r="E54" s="40">
        <f t="shared" si="2"/>
        <v>11.53846154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275</v>
      </c>
      <c r="O54" s="37">
        <f t="shared" si="59"/>
        <v>15</v>
      </c>
      <c r="P54" s="49" t="s">
        <v>57</v>
      </c>
      <c r="Q54" s="49" t="s">
        <v>57</v>
      </c>
      <c r="R54" s="49" t="s">
        <v>57</v>
      </c>
      <c r="S54" s="51">
        <f t="shared" si="4"/>
        <v>13</v>
      </c>
      <c r="T54" s="52">
        <f t="shared" si="5"/>
        <v>2</v>
      </c>
      <c r="U54" s="52"/>
      <c r="V54" s="51">
        <f t="shared" si="6"/>
        <v>10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143</v>
      </c>
      <c r="C55" s="37">
        <v>265.0</v>
      </c>
      <c r="D55" s="37">
        <v>18.0</v>
      </c>
      <c r="E55" s="40">
        <f t="shared" si="2"/>
        <v>12.63636364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274</v>
      </c>
      <c r="O55" s="37">
        <f t="shared" si="60"/>
        <v>18</v>
      </c>
      <c r="P55" s="49" t="s">
        <v>57</v>
      </c>
      <c r="Q55" s="49" t="s">
        <v>57</v>
      </c>
      <c r="R55" s="49" t="s">
        <v>57</v>
      </c>
      <c r="S55" s="51">
        <f t="shared" si="4"/>
        <v>11</v>
      </c>
      <c r="T55" s="52">
        <f t="shared" si="5"/>
        <v>0</v>
      </c>
      <c r="U55" s="52"/>
      <c r="V55" s="51">
        <f t="shared" si="6"/>
        <v>14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265.0</v>
      </c>
      <c r="D56" s="37">
        <v>18.0</v>
      </c>
      <c r="E56" s="40">
        <f t="shared" si="2"/>
        <v>10.6</v>
      </c>
      <c r="F56" s="90">
        <v>1.0</v>
      </c>
      <c r="G56" s="91">
        <v>8.0</v>
      </c>
      <c r="H56" s="92">
        <v>0.0</v>
      </c>
      <c r="I56" s="91">
        <v>7.0</v>
      </c>
      <c r="J56" s="91">
        <v>6.0</v>
      </c>
      <c r="K56" s="91">
        <v>6.0</v>
      </c>
      <c r="L56" s="93">
        <v>19.0</v>
      </c>
      <c r="M56" s="91">
        <v>2.0</v>
      </c>
      <c r="N56" s="37">
        <f t="shared" ref="N56:O56" si="61">C56+L56</f>
        <v>284</v>
      </c>
      <c r="O56" s="37">
        <f t="shared" si="61"/>
        <v>20</v>
      </c>
      <c r="P56" s="49" t="s">
        <v>57</v>
      </c>
      <c r="Q56" s="49" t="s">
        <v>57</v>
      </c>
      <c r="R56" s="49" t="s">
        <v>57</v>
      </c>
      <c r="S56" s="51">
        <f t="shared" si="4"/>
        <v>25</v>
      </c>
      <c r="T56" s="52">
        <f t="shared" si="5"/>
        <v>0</v>
      </c>
      <c r="U56" s="52"/>
      <c r="V56" s="51">
        <f t="shared" si="6"/>
        <v>0</v>
      </c>
      <c r="W56" s="52">
        <f t="shared" si="7"/>
        <v>0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51</v>
      </c>
      <c r="C57" s="37">
        <v>260.0</v>
      </c>
      <c r="D57" s="37">
        <v>14.0</v>
      </c>
      <c r="E57" s="40">
        <f t="shared" si="2"/>
        <v>16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269</v>
      </c>
      <c r="O57" s="37">
        <f t="shared" si="62"/>
        <v>14</v>
      </c>
      <c r="P57" s="49" t="s">
        <v>57</v>
      </c>
      <c r="Q57" s="49" t="s">
        <v>57</v>
      </c>
      <c r="R57" s="49"/>
      <c r="S57" s="51">
        <f t="shared" si="4"/>
        <v>5</v>
      </c>
      <c r="T57" s="52">
        <f t="shared" si="5"/>
        <v>0</v>
      </c>
      <c r="U57" s="52"/>
      <c r="V57" s="51">
        <f t="shared" si="6"/>
        <v>20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150</v>
      </c>
      <c r="C58" s="37">
        <v>254.0</v>
      </c>
      <c r="D58" s="37">
        <v>12.0</v>
      </c>
      <c r="E58" s="40">
        <f t="shared" si="2"/>
        <v>16.25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263</v>
      </c>
      <c r="O58" s="37">
        <f t="shared" si="63"/>
        <v>12</v>
      </c>
      <c r="P58" s="49" t="s">
        <v>57</v>
      </c>
      <c r="Q58" s="49" t="s">
        <v>57</v>
      </c>
      <c r="R58" s="49" t="s">
        <v>57</v>
      </c>
      <c r="S58" s="51">
        <f t="shared" si="4"/>
        <v>4</v>
      </c>
      <c r="T58" s="52">
        <f t="shared" si="5"/>
        <v>0</v>
      </c>
      <c r="U58" s="52"/>
      <c r="V58" s="51">
        <f t="shared" si="6"/>
        <v>21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70</v>
      </c>
      <c r="C59" s="37">
        <v>250.0</v>
      </c>
      <c r="D59" s="37">
        <v>10.0</v>
      </c>
      <c r="E59" s="40">
        <f t="shared" si="2"/>
        <v>11.83333333</v>
      </c>
      <c r="F59" s="90">
        <v>2.0</v>
      </c>
      <c r="G59" s="91">
        <v>8.0</v>
      </c>
      <c r="H59" s="92">
        <v>0.0</v>
      </c>
      <c r="I59" s="91">
        <v>7.0</v>
      </c>
      <c r="J59" s="91">
        <v>4.0</v>
      </c>
      <c r="K59" s="91">
        <v>7.0</v>
      </c>
      <c r="L59" s="93">
        <v>18.0</v>
      </c>
      <c r="M59" s="91">
        <v>2.0</v>
      </c>
      <c r="N59" s="37">
        <f t="shared" ref="N59:O59" si="64">C59+L59</f>
        <v>268</v>
      </c>
      <c r="O59" s="37">
        <f t="shared" si="64"/>
        <v>12</v>
      </c>
      <c r="P59" s="49" t="s">
        <v>57</v>
      </c>
      <c r="Q59" s="49" t="s">
        <v>57</v>
      </c>
      <c r="R59" s="49" t="s">
        <v>57</v>
      </c>
      <c r="S59" s="51">
        <f t="shared" si="4"/>
        <v>6</v>
      </c>
      <c r="T59" s="52">
        <f t="shared" si="5"/>
        <v>2</v>
      </c>
      <c r="U59" s="52"/>
      <c r="V59" s="51">
        <f t="shared" si="6"/>
        <v>17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153</v>
      </c>
      <c r="C60" s="37">
        <v>248.0</v>
      </c>
      <c r="D60" s="37">
        <v>10.0</v>
      </c>
      <c r="E60" s="40">
        <f t="shared" si="2"/>
        <v>13.6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257</v>
      </c>
      <c r="O60" s="37">
        <f t="shared" si="65"/>
        <v>10</v>
      </c>
      <c r="P60" s="49" t="s">
        <v>57</v>
      </c>
      <c r="Q60" s="49" t="s">
        <v>57</v>
      </c>
      <c r="R60" s="49" t="s">
        <v>57</v>
      </c>
      <c r="S60" s="51">
        <f t="shared" si="4"/>
        <v>5</v>
      </c>
      <c r="T60" s="52">
        <f t="shared" si="5"/>
        <v>0</v>
      </c>
      <c r="U60" s="52"/>
      <c r="V60" s="51">
        <f t="shared" si="6"/>
        <v>20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76</v>
      </c>
      <c r="C61" s="37">
        <v>245.0</v>
      </c>
      <c r="D61" s="37">
        <v>8.0</v>
      </c>
      <c r="E61" s="40">
        <f t="shared" si="2"/>
        <v>11.66666667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254</v>
      </c>
      <c r="O61" s="37">
        <f t="shared" si="66"/>
        <v>8</v>
      </c>
      <c r="P61" s="49" t="s">
        <v>57</v>
      </c>
      <c r="Q61" s="49" t="s">
        <v>57</v>
      </c>
      <c r="R61" s="49" t="s">
        <v>57</v>
      </c>
      <c r="S61" s="51">
        <f t="shared" si="4"/>
        <v>6</v>
      </c>
      <c r="T61" s="52">
        <f t="shared" si="5"/>
        <v>1</v>
      </c>
      <c r="U61" s="52"/>
      <c r="V61" s="51">
        <f t="shared" si="6"/>
        <v>18</v>
      </c>
      <c r="W61" s="52">
        <f t="shared" si="7"/>
        <v>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98</v>
      </c>
      <c r="C62" s="37">
        <v>241.0</v>
      </c>
      <c r="D62" s="37">
        <v>12.0</v>
      </c>
      <c r="E62" s="40">
        <f t="shared" si="2"/>
        <v>9.5</v>
      </c>
      <c r="F62" s="90">
        <v>5.0</v>
      </c>
      <c r="G62" s="91">
        <v>0.0</v>
      </c>
      <c r="H62" s="92">
        <v>13.0</v>
      </c>
      <c r="I62" s="91">
        <v>0.0</v>
      </c>
      <c r="J62" s="91">
        <v>0.0</v>
      </c>
      <c r="K62" s="91">
        <v>0.0</v>
      </c>
      <c r="L62" s="93">
        <v>13.0</v>
      </c>
      <c r="M62" s="91">
        <v>0.0</v>
      </c>
      <c r="N62" s="37">
        <f t="shared" ref="N62:O62" si="67">C62+L62</f>
        <v>254</v>
      </c>
      <c r="O62" s="37">
        <f t="shared" si="67"/>
        <v>12</v>
      </c>
      <c r="P62" s="49" t="s">
        <v>57</v>
      </c>
      <c r="Q62" s="49" t="s">
        <v>57</v>
      </c>
      <c r="R62" s="49" t="s">
        <v>57</v>
      </c>
      <c r="S62" s="51">
        <f t="shared" si="4"/>
        <v>16</v>
      </c>
      <c r="T62" s="52">
        <f t="shared" si="5"/>
        <v>2</v>
      </c>
      <c r="U62" s="52"/>
      <c r="V62" s="51">
        <f t="shared" si="6"/>
        <v>7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154</v>
      </c>
      <c r="C63" s="37">
        <v>241.0</v>
      </c>
      <c r="D63" s="37">
        <v>10.0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250</v>
      </c>
      <c r="O63" s="37">
        <f t="shared" si="68"/>
        <v>10</v>
      </c>
      <c r="P63" s="49" t="s">
        <v>57</v>
      </c>
      <c r="Q63" s="49" t="s">
        <v>57</v>
      </c>
      <c r="R63" s="49" t="s">
        <v>57</v>
      </c>
      <c r="S63" s="51">
        <f t="shared" si="4"/>
        <v>6</v>
      </c>
      <c r="T63" s="52">
        <f t="shared" si="5"/>
        <v>0</v>
      </c>
      <c r="U63" s="52"/>
      <c r="V63" s="51">
        <f t="shared" si="6"/>
        <v>19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131</v>
      </c>
      <c r="C64" s="37">
        <v>236.0</v>
      </c>
      <c r="D64" s="37">
        <v>6.0</v>
      </c>
      <c r="E64" s="40">
        <f t="shared" si="2"/>
        <v>11.33333333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245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21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133</v>
      </c>
      <c r="C65" s="37">
        <v>236.0</v>
      </c>
      <c r="D65" s="37">
        <v>6.0</v>
      </c>
      <c r="E65" s="40">
        <f t="shared" si="2"/>
        <v>10.22222222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245</v>
      </c>
      <c r="O65" s="37">
        <f t="shared" si="70"/>
        <v>6</v>
      </c>
      <c r="P65" s="49" t="s">
        <v>57</v>
      </c>
      <c r="Q65" s="49" t="s">
        <v>57</v>
      </c>
      <c r="R65" s="49" t="s">
        <v>57</v>
      </c>
      <c r="S65" s="51">
        <f t="shared" si="4"/>
        <v>9</v>
      </c>
      <c r="T65" s="52">
        <f t="shared" si="5"/>
        <v>0</v>
      </c>
      <c r="U65" s="52"/>
      <c r="V65" s="51">
        <f t="shared" si="6"/>
        <v>16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145</v>
      </c>
      <c r="C66" s="37">
        <v>233.0</v>
      </c>
      <c r="D66" s="37">
        <v>12.0</v>
      </c>
      <c r="E66" s="40">
        <f t="shared" si="2"/>
        <v>9.888888889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242</v>
      </c>
      <c r="O66" s="37">
        <f t="shared" si="71"/>
        <v>12</v>
      </c>
      <c r="P66" s="49" t="s">
        <v>57</v>
      </c>
      <c r="Q66" s="49" t="s">
        <v>57</v>
      </c>
      <c r="R66" s="49" t="s">
        <v>155</v>
      </c>
      <c r="S66" s="51">
        <f t="shared" si="4"/>
        <v>9</v>
      </c>
      <c r="T66" s="52">
        <f t="shared" si="5"/>
        <v>0</v>
      </c>
      <c r="U66" s="52"/>
      <c r="V66" s="51">
        <f t="shared" si="6"/>
        <v>16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144</v>
      </c>
      <c r="C67" s="37">
        <v>233.0</v>
      </c>
      <c r="D67" s="37">
        <v>11.0</v>
      </c>
      <c r="E67" s="40">
        <f t="shared" si="2"/>
        <v>9.571428571</v>
      </c>
      <c r="F67" s="90">
        <v>1.0</v>
      </c>
      <c r="G67" s="91">
        <v>8.0</v>
      </c>
      <c r="H67" s="92">
        <v>0.0</v>
      </c>
      <c r="I67" s="91">
        <v>5.0</v>
      </c>
      <c r="J67" s="91">
        <v>6.0</v>
      </c>
      <c r="K67" s="91">
        <v>7.0</v>
      </c>
      <c r="L67" s="93">
        <v>18.0</v>
      </c>
      <c r="M67" s="91">
        <v>2.0</v>
      </c>
      <c r="N67" s="37">
        <f t="shared" ref="N67:O67" si="72">C67+L67</f>
        <v>251</v>
      </c>
      <c r="O67" s="37">
        <f t="shared" si="72"/>
        <v>13</v>
      </c>
      <c r="P67" s="49" t="s">
        <v>57</v>
      </c>
      <c r="Q67" s="49" t="s">
        <v>57</v>
      </c>
      <c r="R67" s="49" t="s">
        <v>57</v>
      </c>
      <c r="S67" s="51">
        <f t="shared" si="4"/>
        <v>14</v>
      </c>
      <c r="T67" s="52">
        <f t="shared" si="5"/>
        <v>0</v>
      </c>
      <c r="U67" s="52"/>
      <c r="V67" s="51">
        <f t="shared" si="6"/>
        <v>11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100</v>
      </c>
      <c r="C68" s="37">
        <v>233.0</v>
      </c>
      <c r="D68" s="37">
        <v>6.0</v>
      </c>
      <c r="E68" s="40">
        <f t="shared" si="2"/>
        <v>11.66666667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242</v>
      </c>
      <c r="O68" s="37">
        <f t="shared" si="73"/>
        <v>6</v>
      </c>
      <c r="P68" s="49" t="s">
        <v>57</v>
      </c>
      <c r="Q68" s="49" t="s">
        <v>57</v>
      </c>
      <c r="R68" s="49" t="s">
        <v>155</v>
      </c>
      <c r="S68" s="51">
        <f t="shared" si="4"/>
        <v>3</v>
      </c>
      <c r="T68" s="52">
        <f t="shared" si="5"/>
        <v>0</v>
      </c>
      <c r="U68" s="52"/>
      <c r="V68" s="51">
        <f t="shared" si="6"/>
        <v>22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146</v>
      </c>
      <c r="C69" s="37">
        <v>233.0</v>
      </c>
      <c r="D69" s="37">
        <v>6.0</v>
      </c>
      <c r="E69" s="40">
        <f t="shared" si="2"/>
        <v>10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242</v>
      </c>
      <c r="O69" s="37">
        <f t="shared" si="74"/>
        <v>6</v>
      </c>
      <c r="P69" s="49" t="s">
        <v>57</v>
      </c>
      <c r="Q69" s="49" t="s">
        <v>57</v>
      </c>
      <c r="R69" s="49" t="s">
        <v>57</v>
      </c>
      <c r="S69" s="51">
        <f t="shared" si="4"/>
        <v>4</v>
      </c>
      <c r="T69" s="52">
        <f t="shared" si="5"/>
        <v>1</v>
      </c>
      <c r="U69" s="52"/>
      <c r="V69" s="51">
        <f t="shared" si="6"/>
        <v>20</v>
      </c>
      <c r="W69" s="52">
        <f t="shared" si="7"/>
        <v>3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148</v>
      </c>
      <c r="C70" s="37">
        <v>231.0</v>
      </c>
      <c r="D70" s="37">
        <v>4.0</v>
      </c>
      <c r="E70" s="40">
        <f t="shared" si="2"/>
        <v>8</v>
      </c>
      <c r="F70" s="90">
        <v>5.0</v>
      </c>
      <c r="G70" s="91">
        <v>0.0</v>
      </c>
      <c r="H70" s="92">
        <v>13.0</v>
      </c>
      <c r="I70" s="91">
        <v>0.0</v>
      </c>
      <c r="J70" s="91">
        <v>0.0</v>
      </c>
      <c r="K70" s="91">
        <v>0.0</v>
      </c>
      <c r="L70" s="93">
        <v>13.0</v>
      </c>
      <c r="M70" s="91">
        <v>0.0</v>
      </c>
      <c r="N70" s="37">
        <f t="shared" ref="N70:O70" si="75">C70+L70</f>
        <v>244</v>
      </c>
      <c r="O70" s="37">
        <f t="shared" si="75"/>
        <v>4</v>
      </c>
      <c r="P70" s="49" t="s">
        <v>57</v>
      </c>
      <c r="Q70" s="49" t="s">
        <v>57</v>
      </c>
      <c r="R70" s="49" t="s">
        <v>57</v>
      </c>
      <c r="S70" s="51">
        <f t="shared" si="4"/>
        <v>2</v>
      </c>
      <c r="T70" s="52">
        <f t="shared" si="5"/>
        <v>2</v>
      </c>
      <c r="U70" s="52"/>
      <c r="V70" s="51">
        <f t="shared" si="6"/>
        <v>21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149</v>
      </c>
      <c r="C71" s="37">
        <v>228.0</v>
      </c>
      <c r="D71" s="37">
        <v>8.0</v>
      </c>
      <c r="E71" s="40">
        <f t="shared" si="2"/>
        <v>9.375</v>
      </c>
      <c r="F71" s="90">
        <v>1.0</v>
      </c>
      <c r="G71" s="91">
        <v>8.0</v>
      </c>
      <c r="H71" s="92">
        <v>0.0</v>
      </c>
      <c r="I71" s="91">
        <v>5.0</v>
      </c>
      <c r="J71" s="91">
        <v>4.0</v>
      </c>
      <c r="K71" s="91">
        <v>6.0</v>
      </c>
      <c r="L71" s="93">
        <v>15.0</v>
      </c>
      <c r="M71" s="91">
        <v>0.0</v>
      </c>
      <c r="N71" s="37">
        <f t="shared" ref="N71:O71" si="76">C71+L71</f>
        <v>243</v>
      </c>
      <c r="O71" s="37">
        <f t="shared" si="76"/>
        <v>8</v>
      </c>
      <c r="P71" s="49" t="s">
        <v>57</v>
      </c>
      <c r="Q71" s="49" t="s">
        <v>57</v>
      </c>
      <c r="R71" s="49" t="s">
        <v>57</v>
      </c>
      <c r="S71" s="51">
        <f t="shared" si="4"/>
        <v>8</v>
      </c>
      <c r="T71" s="52">
        <f t="shared" si="5"/>
        <v>0</v>
      </c>
      <c r="U71" s="52"/>
      <c r="V71" s="51">
        <f t="shared" si="6"/>
        <v>17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136</v>
      </c>
      <c r="C72" s="37">
        <v>227.0</v>
      </c>
      <c r="D72" s="37">
        <v>5.0</v>
      </c>
      <c r="E72" s="40">
        <f t="shared" si="2"/>
        <v>9.333333333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236</v>
      </c>
      <c r="O72" s="37">
        <f t="shared" si="77"/>
        <v>5</v>
      </c>
      <c r="P72" s="49" t="s">
        <v>57</v>
      </c>
      <c r="Q72" s="49" t="s">
        <v>57</v>
      </c>
      <c r="R72" s="49" t="s">
        <v>57</v>
      </c>
      <c r="S72" s="51">
        <f t="shared" si="4"/>
        <v>6</v>
      </c>
      <c r="T72" s="52">
        <f t="shared" si="5"/>
        <v>0</v>
      </c>
      <c r="U72" s="52"/>
      <c r="V72" s="51">
        <f t="shared" si="6"/>
        <v>19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125</v>
      </c>
      <c r="C73" s="37">
        <v>226.0</v>
      </c>
      <c r="D73" s="37">
        <v>3.0</v>
      </c>
      <c r="E73" s="40">
        <f t="shared" si="2"/>
        <v>10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235</v>
      </c>
      <c r="O73" s="37">
        <f t="shared" si="78"/>
        <v>3</v>
      </c>
      <c r="P73" s="49" t="s">
        <v>57</v>
      </c>
      <c r="Q73" s="49" t="s">
        <v>57</v>
      </c>
      <c r="R73" s="49" t="s">
        <v>155</v>
      </c>
      <c r="S73" s="51">
        <f t="shared" si="4"/>
        <v>1</v>
      </c>
      <c r="T73" s="52">
        <f t="shared" si="5"/>
        <v>0</v>
      </c>
      <c r="U73" s="52"/>
      <c r="V73" s="51">
        <f t="shared" si="6"/>
        <v>24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78</v>
      </c>
      <c r="C74" s="37">
        <v>226.0</v>
      </c>
      <c r="D74" s="37">
        <v>2.0</v>
      </c>
      <c r="E74" s="40">
        <f t="shared" si="2"/>
        <v>6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235</v>
      </c>
      <c r="O74" s="37">
        <f t="shared" si="79"/>
        <v>2</v>
      </c>
      <c r="P74" s="49" t="s">
        <v>57</v>
      </c>
      <c r="Q74" s="49" t="s">
        <v>57</v>
      </c>
      <c r="R74" s="49" t="s">
        <v>155</v>
      </c>
      <c r="S74" s="51">
        <f t="shared" si="4"/>
        <v>1</v>
      </c>
      <c r="T74" s="52">
        <f t="shared" si="5"/>
        <v>1</v>
      </c>
      <c r="U74" s="52"/>
      <c r="V74" s="51">
        <f t="shared" si="6"/>
        <v>23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222.0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231</v>
      </c>
      <c r="O75" s="37">
        <f t="shared" si="80"/>
        <v>1</v>
      </c>
      <c r="P75" s="49" t="s">
        <v>57</v>
      </c>
      <c r="Q75" s="49" t="s">
        <v>57</v>
      </c>
      <c r="R75" s="49"/>
      <c r="S75" s="51">
        <f t="shared" si="4"/>
        <v>1</v>
      </c>
      <c r="T75" s="52">
        <f t="shared" si="5"/>
        <v>0</v>
      </c>
      <c r="U75" s="52"/>
      <c r="V75" s="51">
        <f t="shared" si="6"/>
        <v>24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141</v>
      </c>
      <c r="C76" s="37">
        <v>221.0</v>
      </c>
      <c r="D76" s="37">
        <v>1.0</v>
      </c>
      <c r="E76" s="40">
        <f t="shared" si="2"/>
        <v>5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230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24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124</v>
      </c>
      <c r="C77" s="37">
        <v>218.0</v>
      </c>
      <c r="D77" s="37">
        <v>1.0</v>
      </c>
      <c r="E77" s="40">
        <f t="shared" si="2"/>
        <v>2</v>
      </c>
      <c r="F77" s="90">
        <v>4.0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227</v>
      </c>
      <c r="O77" s="37">
        <f t="shared" si="82"/>
        <v>1</v>
      </c>
      <c r="P77" s="49" t="s">
        <v>57</v>
      </c>
      <c r="Q77" s="49" t="s">
        <v>57</v>
      </c>
      <c r="R77" s="49" t="s">
        <v>155</v>
      </c>
      <c r="S77" s="51">
        <f t="shared" si="4"/>
        <v>1</v>
      </c>
      <c r="T77" s="52">
        <f t="shared" si="5"/>
        <v>0</v>
      </c>
      <c r="U77" s="52"/>
      <c r="V77" s="51">
        <f t="shared" si="6"/>
        <v>24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216.0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225</v>
      </c>
      <c r="O78" s="37">
        <f t="shared" si="83"/>
        <v>0</v>
      </c>
      <c r="P78" s="49" t="s">
        <v>57</v>
      </c>
      <c r="Q78" s="49" t="s">
        <v>57</v>
      </c>
      <c r="R78" s="49" t="s">
        <v>155</v>
      </c>
      <c r="S78" s="51">
        <f t="shared" si="4"/>
        <v>1</v>
      </c>
      <c r="T78" s="52">
        <f t="shared" si="5"/>
        <v>0</v>
      </c>
      <c r="U78" s="52"/>
      <c r="V78" s="51">
        <f t="shared" si="6"/>
        <v>24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216.0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225</v>
      </c>
      <c r="O79" s="37">
        <f t="shared" si="84"/>
        <v>0</v>
      </c>
      <c r="P79" s="49" t="s">
        <v>57</v>
      </c>
      <c r="Q79" s="49" t="s">
        <v>57</v>
      </c>
      <c r="R79" s="49" t="s">
        <v>155</v>
      </c>
      <c r="S79" s="51">
        <f t="shared" si="4"/>
        <v>0</v>
      </c>
      <c r="T79" s="52">
        <f t="shared" si="5"/>
        <v>0</v>
      </c>
      <c r="U79" s="52"/>
      <c r="V79" s="51">
        <f t="shared" si="6"/>
        <v>25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countif(R5:R79,"X")</f>
        <v>64</v>
      </c>
      <c r="S84" s="114">
        <f>R84/R87</f>
        <v>0.8533333333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countif(R5:R79,"N")</f>
        <v>7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countif(R5:R79,"")</f>
        <v>4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75</v>
      </c>
    </row>
    <row r="88">
      <c r="A88" s="5"/>
      <c r="B88" s="119" t="str">
        <f>concatenate("Top Scores : " &amp;AC2)</f>
        <v>Top Scores : 06/20/26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desc"",0)"),"Ted Shen")</f>
        <v>Ted Shen</v>
      </c>
      <c r="C91" s="122">
        <f>IFERROR(__xludf.DUMMYFUNCTION("""COMPUTED_VALUE"""),18.0)</f>
        <v>18</v>
      </c>
      <c r="D91" s="122">
        <f>IFERROR(__xludf.DUMMYFUNCTION("""COMPUTED_VALUE"""),3.0)</f>
        <v>3</v>
      </c>
      <c r="E91" s="122">
        <f>IFERROR(__xludf.DUMMYFUNCTION("""COMPUTED_VALUE"""),4.0)</f>
        <v>4</v>
      </c>
      <c r="F91" s="5"/>
    </row>
    <row r="92">
      <c r="A92" s="5"/>
      <c r="B92" s="36" t="str">
        <f>IFERROR(__xludf.DUMMYFUNCTION("""COMPUTED_VALUE"""),"Allen Zhang")</f>
        <v>Allen Zhang</v>
      </c>
      <c r="C92" s="122">
        <f>IFERROR(__xludf.DUMMYFUNCTION("""COMPUTED_VALUE"""),18.0)</f>
        <v>18</v>
      </c>
      <c r="D92" s="122">
        <f>IFERROR(__xludf.DUMMYFUNCTION("""COMPUTED_VALUE"""),3.0)</f>
        <v>3</v>
      </c>
      <c r="E92" s="122">
        <f>IFERROR(__xludf.DUMMYFUNCTION("""COMPUTED_VALUE"""),5.0)</f>
        <v>5</v>
      </c>
      <c r="F92" s="5"/>
    </row>
    <row r="93">
      <c r="A93" s="5"/>
      <c r="B93" s="36" t="str">
        <f>IFERROR(__xludf.DUMMYFUNCTION("""COMPUTED_VALUE"""),"Basudev Thoppai Vidyasankar")</f>
        <v>Basudev Thoppai Vidyasankar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IFERROR(__xludf.DUMMYFUNCTION("""COMPUTED_VALUE"""),6.0)</f>
        <v>6</v>
      </c>
      <c r="F93" s="5"/>
    </row>
    <row r="94">
      <c r="A94" s="5"/>
      <c r="B94" s="36" t="str">
        <f>IFERROR(__xludf.DUMMYFUNCTION("""COMPUTED_VALUE"""),"Matthew Huang")</f>
        <v>Matthew Huang</v>
      </c>
      <c r="C94" s="122">
        <f>IFERROR(__xludf.DUMMYFUNCTION("""COMPUTED_VALUE"""),18.0)</f>
        <v>18</v>
      </c>
      <c r="D94" s="122">
        <f>IFERROR(__xludf.DUMMYFUNCTION("""COMPUTED_VALUE"""),2.0)</f>
        <v>2</v>
      </c>
      <c r="E94" s="122">
        <f>IFERROR(__xludf.DUMMYFUNCTION("""COMPUTED_VALUE"""),2.0)</f>
        <v>2</v>
      </c>
      <c r="F94" s="5"/>
    </row>
    <row r="95">
      <c r="A95" s="5"/>
      <c r="B95" s="36"/>
      <c r="C95" s="122"/>
      <c r="D95" s="122"/>
      <c r="E95" s="122"/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185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10"")"),"Basudev Thoppai Vidyasankar")</f>
        <v>Basudev Thoppai Vidyasankar</v>
      </c>
      <c r="C110" s="122">
        <f>IFERROR(__xludf.DUMMYFUNCTION("""COMPUTED_VALUE"""),8.0)</f>
        <v>8</v>
      </c>
      <c r="D110" s="122">
        <f t="shared" ref="D110:D119" si="85">VLOOKUP(B110,indirect($AC$2&amp;"!B$5:X$79"),23, false)</f>
        <v>49</v>
      </c>
      <c r="E110" s="122">
        <f t="shared" ref="E110:E119" si="86">VLOOKUP(B110,B$5:X$79,23, false)</f>
        <v>41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6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IFERROR(__xludf.DUMMYFUNCTION("""COMPUTED_VALUE"""),"Ted Shen")</f>
        <v>Ted Shen</v>
      </c>
      <c r="C111" s="122">
        <f>IFERROR(__xludf.DUMMYFUNCTION("""COMPUTED_VALUE"""),6.0)</f>
        <v>6</v>
      </c>
      <c r="D111" s="122">
        <f t="shared" si="85"/>
        <v>22</v>
      </c>
      <c r="E111" s="122">
        <f t="shared" si="86"/>
        <v>16</v>
      </c>
      <c r="F111" s="122">
        <f t="shared" si="87"/>
        <v>18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IFERROR(__xludf.DUMMYFUNCTION("""COMPUTED_VALUE"""),"Allen Zhang")</f>
        <v>Allen Zhang</v>
      </c>
      <c r="C112" s="122">
        <f>IFERROR(__xludf.DUMMYFUNCTION("""COMPUTED_VALUE"""),6.0)</f>
        <v>6</v>
      </c>
      <c r="D112" s="122">
        <f t="shared" si="85"/>
        <v>34</v>
      </c>
      <c r="E112" s="122">
        <f t="shared" si="86"/>
        <v>28</v>
      </c>
      <c r="F112" s="122">
        <f t="shared" si="87"/>
        <v>18</v>
      </c>
      <c r="G112" s="122">
        <f t="shared" si="88"/>
        <v>5</v>
      </c>
      <c r="L112" s="122" t="str">
        <f t="shared" si="89"/>
        <v>ok</v>
      </c>
    </row>
    <row r="113">
      <c r="A113" s="5"/>
      <c r="B113" s="36" t="str">
        <f>IFERROR(__xludf.DUMMYFUNCTION("""COMPUTED_VALUE"""),"Mauricio Palacios")</f>
        <v>Mauricio Palacios</v>
      </c>
      <c r="C113" s="122">
        <f>IFERROR(__xludf.DUMMYFUNCTION("""COMPUTED_VALUE"""),4.0)</f>
        <v>4</v>
      </c>
      <c r="D113" s="122">
        <f t="shared" si="85"/>
        <v>17</v>
      </c>
      <c r="E113" s="122">
        <f t="shared" si="86"/>
        <v>13</v>
      </c>
      <c r="F113" s="122">
        <f t="shared" si="87"/>
        <v>16</v>
      </c>
      <c r="G113" s="122">
        <f t="shared" si="88"/>
        <v>3</v>
      </c>
      <c r="L113" s="122" t="str">
        <f t="shared" si="89"/>
        <v>ok</v>
      </c>
    </row>
    <row r="114">
      <c r="A114" s="5"/>
      <c r="B114" s="36" t="str">
        <f>IFERROR(__xludf.DUMMYFUNCTION("""COMPUTED_VALUE"""),"Matthew Huang")</f>
        <v>Matthew Huang</v>
      </c>
      <c r="C114" s="122">
        <f>IFERROR(__xludf.DUMMYFUNCTION("""COMPUTED_VALUE"""),3.0)</f>
        <v>3</v>
      </c>
      <c r="D114" s="122">
        <f t="shared" si="85"/>
        <v>13</v>
      </c>
      <c r="E114" s="122">
        <f t="shared" si="86"/>
        <v>10</v>
      </c>
      <c r="F114" s="122">
        <f t="shared" si="87"/>
        <v>18</v>
      </c>
      <c r="G114" s="122">
        <f t="shared" si="88"/>
        <v>2</v>
      </c>
      <c r="L114" s="122" t="str">
        <f t="shared" si="89"/>
        <v>ok</v>
      </c>
    </row>
    <row r="115">
      <c r="A115" s="5"/>
      <c r="B115" s="36" t="str">
        <f>IFERROR(__xludf.DUMMYFUNCTION("""COMPUTED_VALUE"""),"Frank Moon")</f>
        <v>Frank Moon</v>
      </c>
      <c r="C115" s="122">
        <f>IFERROR(__xludf.DUMMYFUNCTION("""COMPUTED_VALUE"""),3.0)</f>
        <v>3</v>
      </c>
      <c r="D115" s="122">
        <f t="shared" si="85"/>
        <v>14</v>
      </c>
      <c r="E115" s="122">
        <f t="shared" si="86"/>
        <v>11</v>
      </c>
      <c r="F115" s="122">
        <f t="shared" si="87"/>
        <v>15</v>
      </c>
      <c r="G115" s="122">
        <f t="shared" si="88"/>
        <v>3</v>
      </c>
      <c r="L115" s="122" t="str">
        <f t="shared" si="89"/>
        <v>ok</v>
      </c>
    </row>
    <row r="116">
      <c r="A116" s="5"/>
      <c r="B116" s="36" t="str">
        <f>IFERROR(__xludf.DUMMYFUNCTION("""COMPUTED_VALUE"""),"Wayne Liu")</f>
        <v>Wayne Liu</v>
      </c>
      <c r="C116" s="122">
        <f>IFERROR(__xludf.DUMMYFUNCTION("""COMPUTED_VALUE"""),3.0)</f>
        <v>3</v>
      </c>
      <c r="D116" s="122">
        <f t="shared" si="85"/>
        <v>25</v>
      </c>
      <c r="E116" s="122">
        <f t="shared" si="86"/>
        <v>22</v>
      </c>
      <c r="F116" s="122">
        <f t="shared" si="87"/>
        <v>12</v>
      </c>
      <c r="G116" s="122">
        <f t="shared" si="88"/>
        <v>4</v>
      </c>
      <c r="L116" s="122" t="str">
        <f t="shared" si="89"/>
        <v>ok</v>
      </c>
    </row>
    <row r="117">
      <c r="A117" s="5"/>
      <c r="B117" s="36" t="str">
        <f>IFERROR(__xludf.DUMMYFUNCTION("""COMPUTED_VALUE"""),"Rajasekar Ramasamy")</f>
        <v>Rajasekar Ramasamy</v>
      </c>
      <c r="C117" s="122">
        <f>IFERROR(__xludf.DUMMYFUNCTION("""COMPUTED_VALUE"""),3.0)</f>
        <v>3</v>
      </c>
      <c r="D117" s="122">
        <f t="shared" si="85"/>
        <v>28</v>
      </c>
      <c r="E117" s="122">
        <f t="shared" si="86"/>
        <v>25</v>
      </c>
      <c r="F117" s="122">
        <f t="shared" si="87"/>
        <v>11</v>
      </c>
      <c r="G117" s="122">
        <f t="shared" si="88"/>
        <v>4</v>
      </c>
      <c r="L117" s="122" t="str">
        <f t="shared" si="89"/>
        <v>ok</v>
      </c>
    </row>
    <row r="118">
      <c r="A118" s="5"/>
      <c r="B118" s="36" t="str">
        <f>IFERROR(__xludf.DUMMYFUNCTION("""COMPUTED_VALUE"""),"Nicole Ni")</f>
        <v>Nicole Ni</v>
      </c>
      <c r="C118" s="122">
        <f>IFERROR(__xludf.DUMMYFUNCTION("""COMPUTED_VALUE"""),3.0)</f>
        <v>3</v>
      </c>
      <c r="D118" s="122">
        <f t="shared" si="85"/>
        <v>51</v>
      </c>
      <c r="E118" s="122">
        <f t="shared" si="86"/>
        <v>48</v>
      </c>
      <c r="F118" s="122">
        <f t="shared" si="87"/>
        <v>13</v>
      </c>
      <c r="G118" s="122">
        <f t="shared" si="88"/>
        <v>7</v>
      </c>
      <c r="L118" s="122" t="str">
        <f t="shared" si="89"/>
        <v>ok</v>
      </c>
    </row>
    <row r="119">
      <c r="A119" s="5"/>
      <c r="B119" s="36" t="str">
        <f>IFERROR(__xludf.DUMMYFUNCTION("""COMPUTED_VALUE"""),"Sanjaye Elayattu")</f>
        <v>Sanjaye Elayattu</v>
      </c>
      <c r="C119" s="122">
        <f>IFERROR(__xludf.DUMMYFUNCTION("""COMPUTED_VALUE"""),3.0)</f>
        <v>3</v>
      </c>
      <c r="D119" s="122">
        <f t="shared" si="85"/>
        <v>68</v>
      </c>
      <c r="E119" s="122">
        <f t="shared" si="86"/>
        <v>65</v>
      </c>
      <c r="F119" s="122">
        <f t="shared" si="87"/>
        <v>15</v>
      </c>
      <c r="G119" s="122">
        <f t="shared" si="88"/>
        <v>7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25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365</v>
      </c>
      <c r="D128" s="122">
        <f t="shared" si="90"/>
        <v>48</v>
      </c>
      <c r="E128" s="122">
        <f t="shared" si="90"/>
        <v>15.36363636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354</v>
      </c>
      <c r="D129" s="122">
        <f t="shared" si="91"/>
        <v>40</v>
      </c>
      <c r="E129" s="122">
        <f t="shared" si="91"/>
        <v>15.14285714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340</v>
      </c>
      <c r="D130" s="122">
        <f t="shared" si="92"/>
        <v>34</v>
      </c>
      <c r="E130" s="122">
        <f t="shared" si="92"/>
        <v>14.22727273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321</v>
      </c>
      <c r="D131" s="122">
        <f t="shared" si="93"/>
        <v>28</v>
      </c>
      <c r="E131" s="122">
        <f t="shared" si="93"/>
        <v>13.2</v>
      </c>
      <c r="F131" s="5"/>
    </row>
    <row r="132">
      <c r="A132" s="122">
        <f t="shared" ref="A132:E132" si="94">A9</f>
        <v>5</v>
      </c>
      <c r="B132" s="36" t="str">
        <f t="shared" si="94"/>
        <v>Pavan Akkimsetty</v>
      </c>
      <c r="C132" s="122">
        <f t="shared" si="94"/>
        <v>320</v>
      </c>
      <c r="D132" s="122">
        <f t="shared" si="94"/>
        <v>30</v>
      </c>
      <c r="E132" s="122">
        <f t="shared" si="94"/>
        <v>14.05555556</v>
      </c>
      <c r="F132" s="5"/>
    </row>
    <row r="133">
      <c r="A133" s="122">
        <f t="shared" ref="A133:E133" si="95">A10</f>
        <v>6</v>
      </c>
      <c r="B133" s="36" t="str">
        <f t="shared" si="95"/>
        <v>Tom Le</v>
      </c>
      <c r="C133" s="122">
        <f t="shared" si="95"/>
        <v>318</v>
      </c>
      <c r="D133" s="122">
        <f t="shared" si="95"/>
        <v>31</v>
      </c>
      <c r="E133" s="122">
        <f t="shared" si="95"/>
        <v>15.84615385</v>
      </c>
      <c r="F133" s="5"/>
    </row>
    <row r="134">
      <c r="A134" s="122">
        <f t="shared" ref="A134:E134" si="96">A11</f>
        <v>7</v>
      </c>
      <c r="B134" s="36" t="str">
        <f t="shared" si="96"/>
        <v>Erik Hoeckmann</v>
      </c>
      <c r="C134" s="122">
        <f t="shared" si="96"/>
        <v>315</v>
      </c>
      <c r="D134" s="122">
        <f t="shared" si="96"/>
        <v>29</v>
      </c>
      <c r="E134" s="122">
        <f t="shared" si="96"/>
        <v>13.3</v>
      </c>
      <c r="F134" s="5"/>
    </row>
    <row r="135">
      <c r="A135" s="122">
        <f t="shared" ref="A135:E135" si="97">A12</f>
        <v>8</v>
      </c>
      <c r="B135" s="36" t="str">
        <f t="shared" si="97"/>
        <v>Ethan Gu</v>
      </c>
      <c r="C135" s="122">
        <f t="shared" si="97"/>
        <v>315</v>
      </c>
      <c r="D135" s="122">
        <f t="shared" si="97"/>
        <v>24</v>
      </c>
      <c r="E135" s="122">
        <f t="shared" si="97"/>
        <v>13.73684211</v>
      </c>
      <c r="F135" s="5"/>
    </row>
    <row r="136">
      <c r="A136" s="122">
        <f t="shared" ref="A136:E136" si="98">A13</f>
        <v>9</v>
      </c>
      <c r="B136" s="36" t="str">
        <f t="shared" si="98"/>
        <v>David Shin</v>
      </c>
      <c r="C136" s="122">
        <f t="shared" si="98"/>
        <v>314</v>
      </c>
      <c r="D136" s="122">
        <f t="shared" si="98"/>
        <v>30</v>
      </c>
      <c r="E136" s="122">
        <f t="shared" si="98"/>
        <v>13.25</v>
      </c>
      <c r="F136" s="5"/>
    </row>
    <row r="137">
      <c r="A137" s="122">
        <f t="shared" ref="A137:E137" si="99">A14</f>
        <v>10</v>
      </c>
      <c r="B137" s="36" t="str">
        <f t="shared" si="99"/>
        <v>Matthew Huang</v>
      </c>
      <c r="C137" s="122">
        <f t="shared" si="99"/>
        <v>314</v>
      </c>
      <c r="D137" s="122">
        <f t="shared" si="99"/>
        <v>29</v>
      </c>
      <c r="E137" s="122">
        <f t="shared" si="99"/>
        <v>14.3125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C141" s="5"/>
      <c r="D141" s="5"/>
      <c r="E141" s="5"/>
      <c r="F141" s="5"/>
    </row>
    <row r="142">
      <c r="A142" s="130" t="s">
        <v>192</v>
      </c>
      <c r="B142" s="26"/>
      <c r="C142" s="5"/>
      <c r="D142" s="5"/>
      <c r="E142" s="5"/>
      <c r="F142" s="5"/>
    </row>
    <row r="143">
      <c r="A143" s="5"/>
      <c r="C143" s="5"/>
      <c r="D143" s="5"/>
      <c r="E143" s="5"/>
      <c r="F143" s="5"/>
    </row>
    <row r="144">
      <c r="A144" s="120" t="s">
        <v>2</v>
      </c>
      <c r="B144" s="120" t="s">
        <v>1</v>
      </c>
      <c r="C144" s="5"/>
      <c r="D144" s="5"/>
      <c r="E144" s="5"/>
      <c r="F144" s="5"/>
    </row>
    <row r="145">
      <c r="A145" s="122">
        <f>if(B145&lt;&gt;"",1,0)</f>
        <v>1</v>
      </c>
      <c r="B145" s="36" t="str">
        <f>IFERROR(__xludf.DUMMYFUNCTION("query(B5:Y79,""select B where Y = 'Y' order by B ASC"")"),"Eric Tan")</f>
        <v>Eric Tan</v>
      </c>
      <c r="C145" s="5"/>
      <c r="D145" s="5"/>
      <c r="E145" s="5"/>
      <c r="F145" s="5"/>
    </row>
    <row r="146">
      <c r="A146" s="122">
        <f t="shared" ref="A146:A220" si="100">if(B146&lt;&gt;"",A145+1,0)</f>
        <v>2</v>
      </c>
      <c r="B146" s="36" t="str">
        <f>IFERROR(__xludf.DUMMYFUNCTION("""COMPUTED_VALUE"""),"Wayne Liu")</f>
        <v>Wayne Liu</v>
      </c>
      <c r="C146" s="5"/>
      <c r="D146" s="5"/>
      <c r="E146" s="5"/>
      <c r="F146" s="5"/>
    </row>
    <row r="147">
      <c r="A147" s="122">
        <f t="shared" si="100"/>
        <v>0</v>
      </c>
      <c r="B147" s="36"/>
      <c r="C147" s="5"/>
      <c r="D147" s="5"/>
      <c r="E147" s="5"/>
      <c r="F147" s="5"/>
      <c r="P147" s="36"/>
    </row>
    <row r="148">
      <c r="A148" s="122">
        <f t="shared" si="100"/>
        <v>0</v>
      </c>
      <c r="B148" s="36"/>
      <c r="C148" s="5"/>
      <c r="D148" s="5"/>
      <c r="E148" s="5"/>
      <c r="F148" s="5"/>
    </row>
    <row r="149">
      <c r="A149" s="122">
        <f t="shared" si="100"/>
        <v>0</v>
      </c>
      <c r="B149" s="36"/>
      <c r="C149" s="5"/>
      <c r="D149" s="5"/>
      <c r="E149" s="5"/>
      <c r="F149" s="5"/>
    </row>
    <row r="150">
      <c r="A150" s="122">
        <f t="shared" si="100"/>
        <v>0</v>
      </c>
      <c r="B150" s="36"/>
      <c r="C150" s="5"/>
      <c r="D150" s="5"/>
      <c r="E150" s="5"/>
      <c r="F150" s="5"/>
    </row>
    <row r="151">
      <c r="A151" s="122">
        <f t="shared" si="100"/>
        <v>0</v>
      </c>
      <c r="B151" s="36"/>
      <c r="C151" s="5"/>
      <c r="D151" s="5"/>
      <c r="E151" s="5"/>
      <c r="F151" s="5"/>
    </row>
    <row r="152">
      <c r="A152" s="122">
        <f t="shared" si="100"/>
        <v>0</v>
      </c>
      <c r="B152" s="36"/>
      <c r="C152" s="5"/>
      <c r="D152" s="5"/>
      <c r="E152" s="5"/>
      <c r="F152" s="5"/>
    </row>
    <row r="153">
      <c r="A153" s="122">
        <f t="shared" si="100"/>
        <v>0</v>
      </c>
      <c r="B153" s="36"/>
      <c r="C153" s="5"/>
      <c r="D153" s="5"/>
      <c r="E153" s="5"/>
      <c r="F153" s="5"/>
    </row>
    <row r="154">
      <c r="A154" s="122">
        <f t="shared" si="100"/>
        <v>0</v>
      </c>
      <c r="B154" s="36"/>
      <c r="C154" s="5"/>
      <c r="D154" s="5"/>
      <c r="E154" s="5"/>
      <c r="F154" s="5"/>
    </row>
    <row r="155">
      <c r="A155" s="122">
        <f t="shared" si="100"/>
        <v>0</v>
      </c>
      <c r="B155" s="36"/>
      <c r="C155" s="5"/>
      <c r="D155" s="5"/>
      <c r="E155" s="5"/>
      <c r="F155" s="5"/>
    </row>
    <row r="156">
      <c r="A156" s="122">
        <f t="shared" si="100"/>
        <v>0</v>
      </c>
      <c r="B156" s="36"/>
      <c r="C156" s="5"/>
      <c r="D156" s="5"/>
      <c r="E156" s="5"/>
      <c r="F156" s="5"/>
    </row>
    <row r="157">
      <c r="A157" s="122">
        <f t="shared" si="100"/>
        <v>0</v>
      </c>
      <c r="B157" s="36"/>
      <c r="C157" s="5"/>
      <c r="D157" s="5"/>
      <c r="E157" s="5"/>
      <c r="F157" s="5"/>
    </row>
    <row r="158">
      <c r="A158" s="122">
        <f t="shared" si="100"/>
        <v>0</v>
      </c>
      <c r="B158" s="36"/>
      <c r="C158" s="5"/>
      <c r="D158" s="5"/>
      <c r="E158" s="5"/>
      <c r="F158" s="5"/>
    </row>
    <row r="159">
      <c r="A159" s="122">
        <f t="shared" si="100"/>
        <v>0</v>
      </c>
      <c r="B159" s="36"/>
      <c r="C159" s="5"/>
      <c r="D159" s="5"/>
      <c r="E159" s="5"/>
      <c r="F159" s="5"/>
    </row>
    <row r="160">
      <c r="A160" s="122">
        <f t="shared" si="100"/>
        <v>0</v>
      </c>
      <c r="B160" s="36"/>
      <c r="C160" s="5"/>
      <c r="D160" s="5"/>
      <c r="E160" s="5"/>
      <c r="F160" s="5"/>
    </row>
    <row r="161">
      <c r="A161" s="122">
        <f t="shared" si="100"/>
        <v>0</v>
      </c>
      <c r="B161" s="36"/>
      <c r="C161" s="5"/>
      <c r="D161" s="5"/>
      <c r="E161" s="5"/>
      <c r="F161" s="5"/>
    </row>
    <row r="162">
      <c r="A162" s="122">
        <f t="shared" si="100"/>
        <v>0</v>
      </c>
      <c r="B162" s="36"/>
      <c r="C162" s="5"/>
      <c r="D162" s="5"/>
      <c r="E162" s="5"/>
      <c r="F162" s="5"/>
    </row>
    <row r="163">
      <c r="A163" s="122">
        <f t="shared" si="100"/>
        <v>0</v>
      </c>
      <c r="B163" s="36"/>
      <c r="C163" s="5"/>
      <c r="D163" s="5"/>
      <c r="E163" s="5"/>
      <c r="F163" s="5"/>
    </row>
    <row r="164">
      <c r="A164" s="122">
        <f t="shared" si="100"/>
        <v>0</v>
      </c>
      <c r="B164" s="36"/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5"/>
      <c r="C221" s="5"/>
      <c r="D221" s="5"/>
      <c r="E221" s="5"/>
      <c r="F221" s="5"/>
    </row>
    <row r="222">
      <c r="A222" s="5"/>
      <c r="C222" s="5"/>
      <c r="D222" s="5"/>
      <c r="E222" s="5"/>
      <c r="F222" s="5"/>
    </row>
    <row r="223">
      <c r="A223" s="5"/>
      <c r="B223" s="130" t="s">
        <v>195</v>
      </c>
      <c r="C223" s="26"/>
      <c r="D223" s="5"/>
      <c r="E223" s="5"/>
      <c r="F223" s="5"/>
    </row>
    <row r="224">
      <c r="A224" s="5"/>
      <c r="C224" s="5"/>
      <c r="D224" s="5"/>
      <c r="E224" s="5"/>
      <c r="F224" s="5"/>
    </row>
    <row r="225">
      <c r="A225" s="5"/>
      <c r="B225" s="120" t="s">
        <v>1</v>
      </c>
      <c r="C225" s="120" t="s">
        <v>196</v>
      </c>
      <c r="D225" s="5"/>
      <c r="E225" s="5"/>
      <c r="F225" s="5"/>
    </row>
    <row r="226">
      <c r="A226" s="5"/>
      <c r="B226" s="36" t="str">
        <f>Data!F117</f>
        <v>Andrew Yao</v>
      </c>
      <c r="C226" s="122">
        <f>Data!G117</f>
        <v>20</v>
      </c>
      <c r="D226" s="5"/>
      <c r="E226" s="5"/>
      <c r="F226" s="5"/>
    </row>
    <row r="227">
      <c r="A227" s="5"/>
      <c r="B227" s="36" t="str">
        <f>Data!F118</f>
        <v>Pulkit Mathur</v>
      </c>
      <c r="C227" s="122">
        <f>Data!G118</f>
        <v>3</v>
      </c>
      <c r="D227" s="5"/>
      <c r="E227" s="5"/>
      <c r="F227" s="5"/>
    </row>
    <row r="228">
      <c r="A228" s="5"/>
      <c r="B228" s="36" t="str">
        <f>Data!F119</f>
        <v>Sandeep Kamalon</v>
      </c>
      <c r="C228" s="122">
        <f>Data!G119</f>
        <v>2</v>
      </c>
      <c r="D228" s="5"/>
      <c r="E228" s="5"/>
      <c r="F228" s="5"/>
    </row>
    <row r="229">
      <c r="A229" s="5"/>
      <c r="B229" s="36" t="str">
        <f>Data!F120</f>
        <v>Sanjaye Elayattu</v>
      </c>
      <c r="C229" s="122">
        <f>Data!G120</f>
        <v>1</v>
      </c>
      <c r="D229" s="5"/>
      <c r="E229" s="5"/>
      <c r="F229" s="5"/>
    </row>
    <row r="230">
      <c r="A230" s="5"/>
      <c r="B230" s="36" t="str">
        <f>Data!F121</f>
        <v/>
      </c>
      <c r="C230" s="122" t="str">
        <f>Data!G221</f>
        <v/>
      </c>
      <c r="D230" s="5"/>
      <c r="E230" s="5"/>
      <c r="F230" s="5"/>
    </row>
    <row r="231">
      <c r="A231" s="5"/>
      <c r="B231" s="36" t="str">
        <f>Data!F122</f>
        <v/>
      </c>
      <c r="C231" s="122" t="str">
        <f>Data!G222</f>
        <v/>
      </c>
      <c r="D231" s="5"/>
      <c r="E231" s="5"/>
      <c r="F231" s="5"/>
    </row>
    <row r="232">
      <c r="A232" s="5"/>
      <c r="B232" s="36" t="str">
        <f>Data!F223</f>
        <v/>
      </c>
      <c r="C232" s="122" t="str">
        <f>Data!G223</f>
        <v/>
      </c>
      <c r="D232" s="5"/>
      <c r="E232" s="5"/>
      <c r="F232" s="5"/>
    </row>
    <row r="233">
      <c r="A233" s="5"/>
      <c r="B233" s="36" t="str">
        <f>Data!F224</f>
        <v/>
      </c>
      <c r="C233" s="122" t="str">
        <f>Data!G224</f>
        <v/>
      </c>
      <c r="D233" s="5"/>
      <c r="E233" s="5"/>
      <c r="F233" s="5"/>
    </row>
    <row r="234">
      <c r="A234" s="5"/>
      <c r="B234" s="36" t="str">
        <f>Data!F225</f>
        <v/>
      </c>
      <c r="C234" s="122" t="str">
        <f>Data!G225</f>
        <v/>
      </c>
      <c r="D234" s="5"/>
      <c r="E234" s="5"/>
      <c r="F234" s="5"/>
    </row>
    <row r="235">
      <c r="A235" s="5"/>
      <c r="B235" s="36" t="str">
        <f>Data!F226</f>
        <v/>
      </c>
      <c r="C235" s="122" t="str">
        <f>Data!G226</f>
        <v/>
      </c>
      <c r="D235" s="5"/>
      <c r="E235" s="5"/>
      <c r="F235" s="5"/>
    </row>
    <row r="236">
      <c r="A236" s="5"/>
      <c r="B236" s="36" t="str">
        <f>Data!F227</f>
        <v/>
      </c>
      <c r="C236" s="122" t="str">
        <f>Data!G227</f>
        <v/>
      </c>
      <c r="D236" s="5"/>
      <c r="E236" s="5"/>
      <c r="F236" s="5"/>
    </row>
    <row r="237">
      <c r="A237" s="5"/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B244" s="127" t="str">
        <f>concatenate("Scores for : " &amp; AC2)</f>
        <v>Scores for : 06/20/26</v>
      </c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120" t="s">
        <v>0</v>
      </c>
      <c r="B246" s="120" t="s">
        <v>1</v>
      </c>
      <c r="C246" s="120" t="s">
        <v>12</v>
      </c>
      <c r="D246" s="120" t="s">
        <v>13</v>
      </c>
      <c r="E246" s="120" t="s">
        <v>15</v>
      </c>
      <c r="F246" s="120" t="s">
        <v>17</v>
      </c>
      <c r="G246" s="120" t="s">
        <v>9</v>
      </c>
    </row>
    <row r="247">
      <c r="A247" s="122">
        <f>IFERROR(__xludf.DUMMYFUNCTION("QUERY(indirect(AC2 &amp; ""!B5:M79""),""Select G, B, I, J, K,L, M where G &gt; 0 order by G asc"",0)"),1.0)</f>
        <v>1</v>
      </c>
      <c r="B247" s="36" t="str">
        <f>IFERROR(__xludf.DUMMYFUNCTION("""COMPUTED_VALUE"""),"Pulkit Mathur")</f>
        <v>Pulkit Mathur</v>
      </c>
      <c r="C247" s="132">
        <f>IFERROR(__xludf.DUMMYFUNCTION("""COMPUTED_VALUE"""),3.0)</f>
        <v>3</v>
      </c>
      <c r="D247" s="132">
        <f>IFERROR(__xludf.DUMMYFUNCTION("""COMPUTED_VALUE"""),6.0)</f>
        <v>6</v>
      </c>
      <c r="E247" s="132">
        <f>IFERROR(__xludf.DUMMYFUNCTION("""COMPUTED_VALUE"""),6.0)</f>
        <v>6</v>
      </c>
      <c r="F247" s="132">
        <f>IFERROR(__xludf.DUMMYFUNCTION("""COMPUTED_VALUE"""),15.0)</f>
        <v>15</v>
      </c>
      <c r="G247" s="132">
        <f>IFERROR(__xludf.DUMMYFUNCTION("""COMPUTED_VALUE"""),2.0)</f>
        <v>2</v>
      </c>
    </row>
    <row r="248">
      <c r="A248" s="122">
        <f>IFERROR(__xludf.DUMMYFUNCTION("""COMPUTED_VALUE"""),1.0)</f>
        <v>1</v>
      </c>
      <c r="B248" s="36" t="str">
        <f>IFERROR(__xludf.DUMMYFUNCTION("""COMPUTED_VALUE"""),"Sandeep Kamalon")</f>
        <v>Sandeep Kamalon</v>
      </c>
      <c r="C248" s="132">
        <f>IFERROR(__xludf.DUMMYFUNCTION("""COMPUTED_VALUE"""),6.0)</f>
        <v>6</v>
      </c>
      <c r="D248" s="132">
        <f>IFERROR(__xludf.DUMMYFUNCTION("""COMPUTED_VALUE"""),3.0)</f>
        <v>3</v>
      </c>
      <c r="E248" s="132">
        <f>IFERROR(__xludf.DUMMYFUNCTION("""COMPUTED_VALUE"""),6.0)</f>
        <v>6</v>
      </c>
      <c r="F248" s="132">
        <f>IFERROR(__xludf.DUMMYFUNCTION("""COMPUTED_VALUE"""),15.0)</f>
        <v>15</v>
      </c>
      <c r="G248" s="132">
        <f>IFERROR(__xludf.DUMMYFUNCTION("""COMPUTED_VALUE"""),2.0)</f>
        <v>2</v>
      </c>
    </row>
    <row r="249">
      <c r="A249" s="122">
        <f>IFERROR(__xludf.DUMMYFUNCTION("""COMPUTED_VALUE"""),1.0)</f>
        <v>1</v>
      </c>
      <c r="B249" s="36" t="str">
        <f>IFERROR(__xludf.DUMMYFUNCTION("""COMPUTED_VALUE"""),"Erik Hoeckmann")</f>
        <v>Erik Hoeckmann</v>
      </c>
      <c r="C249" s="132">
        <f>IFERROR(__xludf.DUMMYFUNCTION("""COMPUTED_VALUE"""),3.0)</f>
        <v>3</v>
      </c>
      <c r="D249" s="132">
        <f>IFERROR(__xludf.DUMMYFUNCTION("""COMPUTED_VALUE"""),3.0)</f>
        <v>3</v>
      </c>
      <c r="E249" s="132">
        <f>IFERROR(__xludf.DUMMYFUNCTION("""COMPUTED_VALUE"""),2.0)</f>
        <v>2</v>
      </c>
      <c r="F249" s="132">
        <f>IFERROR(__xludf.DUMMYFUNCTION("""COMPUTED_VALUE"""),8.0)</f>
        <v>8</v>
      </c>
      <c r="G249" s="132">
        <f>IFERROR(__xludf.DUMMYFUNCTION("""COMPUTED_VALUE"""),0.0)</f>
        <v>0</v>
      </c>
    </row>
    <row r="250">
      <c r="A250" s="122">
        <f>IFERROR(__xludf.DUMMYFUNCTION("""COMPUTED_VALUE"""),1.0)</f>
        <v>1</v>
      </c>
      <c r="B250" s="36" t="str">
        <f>IFERROR(__xludf.DUMMYFUNCTION("""COMPUTED_VALUE"""),"Pavan Akkimsetty")</f>
        <v>Pavan Akkimsetty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IFERROR(__xludf.DUMMYFUNCTION("""COMPUTED_VALUE"""),2.0)</f>
        <v>2</v>
      </c>
      <c r="F250" s="132">
        <f>IFERROR(__xludf.DUMMYFUNCTION("""COMPUTED_VALUE"""),14.0)</f>
        <v>14</v>
      </c>
      <c r="G250" s="132">
        <f>IFERROR(__xludf.DUMMYFUNCTION("""COMPUTED_VALUE"""),2.0)</f>
        <v>2</v>
      </c>
    </row>
    <row r="251">
      <c r="A251" s="133">
        <f>IFERROR(__xludf.DUMMYFUNCTION("""COMPUTED_VALUE"""),2.0)</f>
        <v>2</v>
      </c>
      <c r="B251" s="134" t="str">
        <f>IFERROR(__xludf.DUMMYFUNCTION("""COMPUTED_VALUE"""),"Tom Le")</f>
        <v>Tom Le</v>
      </c>
      <c r="C251" s="135">
        <f>IFERROR(__xludf.DUMMYFUNCTION("""COMPUTED_VALUE"""),7.0)</f>
        <v>7</v>
      </c>
      <c r="D251" s="135">
        <f>IFERROR(__xludf.DUMMYFUNCTION("""COMPUTED_VALUE"""),3.0)</f>
        <v>3</v>
      </c>
      <c r="E251" s="135">
        <f>IFERROR(__xludf.DUMMYFUNCTION("""COMPUTED_VALUE"""),6.0)</f>
        <v>6</v>
      </c>
      <c r="F251" s="135">
        <f>IFERROR(__xludf.DUMMYFUNCTION("""COMPUTED_VALUE"""),16.0)</f>
        <v>16</v>
      </c>
      <c r="G251" s="135">
        <f>IFERROR(__xludf.DUMMYFUNCTION("""COMPUTED_VALUE"""),2.0)</f>
        <v>2</v>
      </c>
    </row>
    <row r="252">
      <c r="A252" s="133">
        <f>IFERROR(__xludf.DUMMYFUNCTION("""COMPUTED_VALUE"""),2.0)</f>
        <v>2</v>
      </c>
      <c r="B252" s="134" t="str">
        <f>IFERROR(__xludf.DUMMYFUNCTION("""COMPUTED_VALUE"""),"Ethan Gu")</f>
        <v>Ethan Gu</v>
      </c>
      <c r="C252" s="135">
        <f>IFERROR(__xludf.DUMMYFUNCTION("""COMPUTED_VALUE"""),7.0)</f>
        <v>7</v>
      </c>
      <c r="D252" s="135">
        <f>IFERROR(__xludf.DUMMYFUNCTION("""COMPUTED_VALUE"""),6.0)</f>
        <v>6</v>
      </c>
      <c r="E252" s="135">
        <f>IFERROR(__xludf.DUMMYFUNCTION("""COMPUTED_VALUE"""),1.0)</f>
        <v>1</v>
      </c>
      <c r="F252" s="135">
        <f>IFERROR(__xludf.DUMMYFUNCTION("""COMPUTED_VALUE"""),14.0)</f>
        <v>14</v>
      </c>
      <c r="G252" s="135">
        <f>IFERROR(__xludf.DUMMYFUNCTION("""COMPUTED_VALUE"""),2.0)</f>
        <v>2</v>
      </c>
    </row>
    <row r="253">
      <c r="A253" s="133">
        <f>IFERROR(__xludf.DUMMYFUNCTION("""COMPUTED_VALUE"""),2.0)</f>
        <v>2</v>
      </c>
      <c r="B253" s="134" t="str">
        <f>IFERROR(__xludf.DUMMYFUNCTION("""COMPUTED_VALUE"""),"Elayaraja Thangaraj")</f>
        <v>Elayaraja Thangaraj</v>
      </c>
      <c r="C253" s="135">
        <f>IFERROR(__xludf.DUMMYFUNCTION("""COMPUTED_VALUE"""),6.0)</f>
        <v>6</v>
      </c>
      <c r="D253" s="135">
        <f>IFERROR(__xludf.DUMMYFUNCTION("""COMPUTED_VALUE"""),3.0)</f>
        <v>3</v>
      </c>
      <c r="E253" s="135">
        <f>IFERROR(__xludf.DUMMYFUNCTION("""COMPUTED_VALUE"""),1.0)</f>
        <v>1</v>
      </c>
      <c r="F253" s="135">
        <f>IFERROR(__xludf.DUMMYFUNCTION("""COMPUTED_VALUE"""),10.0)</f>
        <v>10</v>
      </c>
      <c r="G253" s="135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IFERROR(__xludf.DUMMYFUNCTION("""COMPUTED_VALUE"""),"Matthew Huang")</f>
        <v>Matthew Huang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IFERROR(__xludf.DUMMYFUNCTION("""COMPUTED_VALUE"""),6.0)</f>
        <v>6</v>
      </c>
      <c r="F254" s="135">
        <f>IFERROR(__xludf.DUMMYFUNCTION("""COMPUTED_VALUE"""),18.0)</f>
        <v>18</v>
      </c>
      <c r="G254" s="135">
        <f>IFERROR(__xludf.DUMMYFUNCTION("""COMPUTED_VALUE"""),2.0)</f>
        <v>2</v>
      </c>
    </row>
    <row r="255">
      <c r="A255" s="122">
        <f>IFERROR(__xludf.DUMMYFUNCTION("""COMPUTED_VALUE"""),3.0)</f>
        <v>3</v>
      </c>
      <c r="B255" s="36" t="str">
        <f>IFERROR(__xludf.DUMMYFUNCTION("""COMPUTED_VALUE"""),"Frank Moon")</f>
        <v>Frank Moon</v>
      </c>
      <c r="C255" s="132">
        <f>IFERROR(__xludf.DUMMYFUNCTION("""COMPUTED_VALUE"""),6.0)</f>
        <v>6</v>
      </c>
      <c r="D255" s="132">
        <f>IFERROR(__xludf.DUMMYFUNCTION("""COMPUTED_VALUE"""),3.0)</f>
        <v>3</v>
      </c>
      <c r="E255" s="132">
        <f>IFERROR(__xludf.DUMMYFUNCTION("""COMPUTED_VALUE"""),6.0)</f>
        <v>6</v>
      </c>
      <c r="F255" s="132">
        <f>IFERROR(__xludf.DUMMYFUNCTION("""COMPUTED_VALUE"""),15.0)</f>
        <v>15</v>
      </c>
      <c r="G255" s="132">
        <f>IFERROR(__xludf.DUMMYFUNCTION("""COMPUTED_VALUE"""),2.0)</f>
        <v>2</v>
      </c>
    </row>
    <row r="256">
      <c r="A256" s="122">
        <f>IFERROR(__xludf.DUMMYFUNCTION("""COMPUTED_VALUE"""),3.0)</f>
        <v>3</v>
      </c>
      <c r="B256" s="36" t="str">
        <f>IFERROR(__xludf.DUMMYFUNCTION("""COMPUTED_VALUE"""),"Mauricio Palacios")</f>
        <v>Mauricio Palacios</v>
      </c>
      <c r="C256" s="132">
        <f>IFERROR(__xludf.DUMMYFUNCTION("""COMPUTED_VALUE"""),4.0)</f>
        <v>4</v>
      </c>
      <c r="D256" s="132">
        <f>IFERROR(__xludf.DUMMYFUNCTION("""COMPUTED_VALUE"""),6.0)</f>
        <v>6</v>
      </c>
      <c r="E256" s="132">
        <f>IFERROR(__xludf.DUMMYFUNCTION("""COMPUTED_VALUE"""),6.0)</f>
        <v>6</v>
      </c>
      <c r="F256" s="132">
        <f>IFERROR(__xludf.DUMMYFUNCTION("""COMPUTED_VALUE"""),16.0)</f>
        <v>16</v>
      </c>
      <c r="G256" s="132">
        <f>IFERROR(__xludf.DUMMYFUNCTION("""COMPUTED_VALUE"""),2.0)</f>
        <v>2</v>
      </c>
    </row>
    <row r="257">
      <c r="A257" s="122">
        <f>IFERROR(__xludf.DUMMYFUNCTION("""COMPUTED_VALUE"""),3.0)</f>
        <v>3</v>
      </c>
      <c r="B257" s="36" t="str">
        <f>IFERROR(__xludf.DUMMYFUNCTION("""COMPUTED_VALUE"""),"Chinna Ponnaganti")</f>
        <v>Chinna Ponnaganti</v>
      </c>
      <c r="C257" s="132">
        <f>IFERROR(__xludf.DUMMYFUNCTION("""COMPUTED_VALUE"""),4.0)</f>
        <v>4</v>
      </c>
      <c r="D257" s="132">
        <f>IFERROR(__xludf.DUMMYFUNCTION("""COMPUTED_VALUE"""),3.0)</f>
        <v>3</v>
      </c>
      <c r="E257" s="132">
        <f>IFERROR(__xludf.DUMMYFUNCTION("""COMPUTED_VALUE"""),1.0)</f>
        <v>1</v>
      </c>
      <c r="F257" s="132">
        <f>IFERROR(__xludf.DUMMYFUNCTION("""COMPUTED_VALUE"""),8.0)</f>
        <v>8</v>
      </c>
      <c r="G257" s="132">
        <f>IFERROR(__xludf.DUMMYFUNCTION("""COMPUTED_VALUE"""),0.0)</f>
        <v>0</v>
      </c>
    </row>
    <row r="258">
      <c r="A258" s="122">
        <f>IFERROR(__xludf.DUMMYFUNCTION("""COMPUTED_VALUE"""),3.0)</f>
        <v>3</v>
      </c>
      <c r="B258" s="36" t="str">
        <f>IFERROR(__xludf.DUMMYFUNCTION("""COMPUTED_VALUE"""),"Tina Hanson")</f>
        <v>Tina Hanson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IFERROR(__xludf.DUMMYFUNCTION("""COMPUTED_VALUE"""),1.0)</f>
        <v>1</v>
      </c>
      <c r="F258" s="132">
        <f>IFERROR(__xludf.DUMMYFUNCTION("""COMPUTED_VALUE"""),13.0)</f>
        <v>13</v>
      </c>
      <c r="G258" s="132">
        <f>IFERROR(__xludf.DUMMYFUNCTION("""COMPUTED_VALUE"""),2.0)</f>
        <v>2</v>
      </c>
    </row>
    <row r="259">
      <c r="A259" s="133">
        <f>IFERROR(__xludf.DUMMYFUNCTION("""COMPUTED_VALUE"""),4.0)</f>
        <v>4</v>
      </c>
      <c r="B259" s="134" t="str">
        <f>IFERROR(__xludf.DUMMYFUNCTION("""COMPUTED_VALUE"""),"Ted Shen")</f>
        <v>Ted Shen</v>
      </c>
      <c r="C259" s="135">
        <f>IFERROR(__xludf.DUMMYFUNCTION("""COMPUTED_VALUE"""),6.0)</f>
        <v>6</v>
      </c>
      <c r="D259" s="135">
        <f>IFERROR(__xludf.DUMMYFUNCTION("""COMPUTED_VALUE"""),6.0)</f>
        <v>6</v>
      </c>
      <c r="E259" s="135">
        <f>IFERROR(__xludf.DUMMYFUNCTION("""COMPUTED_VALUE"""),6.0)</f>
        <v>6</v>
      </c>
      <c r="F259" s="135">
        <f>IFERROR(__xludf.DUMMYFUNCTION("""COMPUTED_VALUE"""),18.0)</f>
        <v>18</v>
      </c>
      <c r="G259" s="135">
        <f>IFERROR(__xludf.DUMMYFUNCTION("""COMPUTED_VALUE"""),3.0)</f>
        <v>3</v>
      </c>
    </row>
    <row r="260">
      <c r="A260" s="133">
        <f>IFERROR(__xludf.DUMMYFUNCTION("""COMPUTED_VALUE"""),4.0)</f>
        <v>4</v>
      </c>
      <c r="B260" s="134" t="str">
        <f>IFERROR(__xludf.DUMMYFUNCTION("""COMPUTED_VALUE"""),"Wayne Liu")</f>
        <v>Wayne Liu</v>
      </c>
      <c r="C260" s="135">
        <f>IFERROR(__xludf.DUMMYFUNCTION("""COMPUTED_VALUE"""),2.0)</f>
        <v>2</v>
      </c>
      <c r="D260" s="135">
        <f>IFERROR(__xludf.DUMMYFUNCTION("""COMPUTED_VALUE"""),4.0)</f>
        <v>4</v>
      </c>
      <c r="E260" s="135">
        <f>IFERROR(__xludf.DUMMYFUNCTION("""COMPUTED_VALUE"""),6.0)</f>
        <v>6</v>
      </c>
      <c r="F260" s="135">
        <f>IFERROR(__xludf.DUMMYFUNCTION("""COMPUTED_VALUE"""),12.0)</f>
        <v>12</v>
      </c>
      <c r="G260" s="135">
        <f>IFERROR(__xludf.DUMMYFUNCTION("""COMPUTED_VALUE"""),1.0)</f>
        <v>1</v>
      </c>
    </row>
    <row r="261">
      <c r="A261" s="133">
        <f>IFERROR(__xludf.DUMMYFUNCTION("""COMPUTED_VALUE"""),4.0)</f>
        <v>4</v>
      </c>
      <c r="B261" s="134" t="str">
        <f>IFERROR(__xludf.DUMMYFUNCTION("""COMPUTED_VALUE"""),"Rajasekar Ramasamy")</f>
        <v>Rajasekar Ramasamy</v>
      </c>
      <c r="C261" s="135">
        <f>IFERROR(__xludf.DUMMYFUNCTION("""COMPUTED_VALUE"""),6.0)</f>
        <v>6</v>
      </c>
      <c r="D261" s="135">
        <f>IFERROR(__xludf.DUMMYFUNCTION("""COMPUTED_VALUE"""),4.0)</f>
        <v>4</v>
      </c>
      <c r="E261" s="135">
        <f>IFERROR(__xludf.DUMMYFUNCTION("""COMPUTED_VALUE"""),1.0)</f>
        <v>1</v>
      </c>
      <c r="F261" s="135">
        <f>IFERROR(__xludf.DUMMYFUNCTION("""COMPUTED_VALUE"""),11.0)</f>
        <v>11</v>
      </c>
      <c r="G261" s="135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IFERROR(__xludf.DUMMYFUNCTION("""COMPUTED_VALUE"""),"Naveen Raj")</f>
        <v>Naveen Raj</v>
      </c>
      <c r="C262" s="135">
        <f>IFERROR(__xludf.DUMMYFUNCTION("""COMPUTED_VALUE"""),2.0)</f>
        <v>2</v>
      </c>
      <c r="D262" s="135">
        <f>IFERROR(__xludf.DUMMYFUNCTION("""COMPUTED_VALUE"""),6.0)</f>
        <v>6</v>
      </c>
      <c r="E262" s="135">
        <f>IFERROR(__xludf.DUMMYFUNCTION("""COMPUTED_VALUE"""),1.0)</f>
        <v>1</v>
      </c>
      <c r="F262" s="135">
        <f>IFERROR(__xludf.DUMMYFUNCTION("""COMPUTED_VALUE"""),9.0)</f>
        <v>9</v>
      </c>
      <c r="G262" s="135">
        <f>IFERROR(__xludf.DUMMYFUNCTION("""COMPUTED_VALUE"""),1.0)</f>
        <v>1</v>
      </c>
    </row>
    <row r="263">
      <c r="A263" s="122">
        <f>IFERROR(__xludf.DUMMYFUNCTION("""COMPUTED_VALUE"""),5.0)</f>
        <v>5</v>
      </c>
      <c r="B263" s="36" t="str">
        <f>IFERROR(__xludf.DUMMYFUNCTION("""COMPUTED_VALUE"""),"Jim Miao")</f>
        <v>Jim Miao</v>
      </c>
      <c r="C263" s="132">
        <f>IFERROR(__xludf.DUMMYFUNCTION("""COMPUTED_VALUE"""),6.0)</f>
        <v>6</v>
      </c>
      <c r="D263" s="132">
        <f>IFERROR(__xludf.DUMMYFUNCTION("""COMPUTED_VALUE"""),4.0)</f>
        <v>4</v>
      </c>
      <c r="E263" s="132">
        <f>IFERROR(__xludf.DUMMYFUNCTION("""COMPUTED_VALUE"""),3.0)</f>
        <v>3</v>
      </c>
      <c r="F263" s="132">
        <f>IFERROR(__xludf.DUMMYFUNCTION("""COMPUTED_VALUE"""),13.0)</f>
        <v>13</v>
      </c>
      <c r="G263" s="132">
        <f>IFERROR(__xludf.DUMMYFUNCTION("""COMPUTED_VALUE"""),1.0)</f>
        <v>1</v>
      </c>
    </row>
    <row r="264">
      <c r="A264" s="122">
        <f>IFERROR(__xludf.DUMMYFUNCTION("""COMPUTED_VALUE"""),5.0)</f>
        <v>5</v>
      </c>
      <c r="B264" s="36" t="str">
        <f>IFERROR(__xludf.DUMMYFUNCTION("""COMPUTED_VALUE"""),"Allen Zhang")</f>
        <v>Allen Zhang</v>
      </c>
      <c r="C264" s="132">
        <f>IFERROR(__xludf.DUMMYFUNCTION("""COMPUTED_VALUE"""),6.0)</f>
        <v>6</v>
      </c>
      <c r="D264" s="132">
        <f>IFERROR(__xludf.DUMMYFUNCTION("""COMPUTED_VALUE"""),6.0)</f>
        <v>6</v>
      </c>
      <c r="E264" s="132">
        <f>IFERROR(__xludf.DUMMYFUNCTION("""COMPUTED_VALUE"""),6.0)</f>
        <v>6</v>
      </c>
      <c r="F264" s="132">
        <f>IFERROR(__xludf.DUMMYFUNCTION("""COMPUTED_VALUE"""),18.0)</f>
        <v>18</v>
      </c>
      <c r="G264" s="132">
        <f>IFERROR(__xludf.DUMMYFUNCTION("""COMPUTED_VALUE"""),3.0)</f>
        <v>3</v>
      </c>
    </row>
    <row r="265">
      <c r="A265" s="122">
        <f>IFERROR(__xludf.DUMMYFUNCTION("""COMPUTED_VALUE"""),5.0)</f>
        <v>5</v>
      </c>
      <c r="B265" s="36" t="str">
        <f>IFERROR(__xludf.DUMMYFUNCTION("""COMPUTED_VALUE"""),"Coco Yan")</f>
        <v>Coco Yan</v>
      </c>
      <c r="C265" s="132">
        <f>IFERROR(__xludf.DUMMYFUNCTION("""COMPUTED_VALUE"""),2.0)</f>
        <v>2</v>
      </c>
      <c r="D265" s="132">
        <f>IFERROR(__xludf.DUMMYFUNCTION("""COMPUTED_VALUE"""),4.0)</f>
        <v>4</v>
      </c>
      <c r="E265" s="132">
        <f>IFERROR(__xludf.DUMMYFUNCTION("""COMPUTED_VALUE"""),6.0)</f>
        <v>6</v>
      </c>
      <c r="F265" s="132">
        <f>IFERROR(__xludf.DUMMYFUNCTION("""COMPUTED_VALUE"""),12.0)</f>
        <v>12</v>
      </c>
      <c r="G265" s="132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IFERROR(__xludf.DUMMYFUNCTION("""COMPUTED_VALUE"""),"Manuel Rivera")</f>
        <v>Manuel Rivera</v>
      </c>
      <c r="C266" s="132">
        <f>IFERROR(__xludf.DUMMYFUNCTION("""COMPUTED_VALUE"""),2.0)</f>
        <v>2</v>
      </c>
      <c r="D266" s="132">
        <f>IFERROR(__xludf.DUMMYFUNCTION("""COMPUTED_VALUE"""),6.0)</f>
        <v>6</v>
      </c>
      <c r="E266" s="132">
        <f>IFERROR(__xludf.DUMMYFUNCTION("""COMPUTED_VALUE"""),3.0)</f>
        <v>3</v>
      </c>
      <c r="F266" s="132">
        <f>IFERROR(__xludf.DUMMYFUNCTION("""COMPUTED_VALUE"""),11.0)</f>
        <v>11</v>
      </c>
      <c r="G266" s="132">
        <f>IFERROR(__xludf.DUMMYFUNCTION("""COMPUTED_VALUE"""),1.0)</f>
        <v>1</v>
      </c>
    </row>
    <row r="267">
      <c r="A267" s="133">
        <f>IFERROR(__xludf.DUMMYFUNCTION("""COMPUTED_VALUE"""),6.0)</f>
        <v>6</v>
      </c>
      <c r="B267" s="134" t="str">
        <f>IFERROR(__xludf.DUMMYFUNCTION("""COMPUTED_VALUE"""),"Hongyuan Wen")</f>
        <v>Hongyuan Wen</v>
      </c>
      <c r="C267" s="135">
        <f>IFERROR(__xludf.DUMMYFUNCTION("""COMPUTED_VALUE"""),6.0)</f>
        <v>6</v>
      </c>
      <c r="D267" s="135">
        <f>IFERROR(__xludf.DUMMYFUNCTION("""COMPUTED_VALUE"""),0.0)</f>
        <v>0</v>
      </c>
      <c r="E267" s="135">
        <f>IFERROR(__xludf.DUMMYFUNCTION("""COMPUTED_VALUE"""),1.0)</f>
        <v>1</v>
      </c>
      <c r="F267" s="135">
        <f>IFERROR(__xludf.DUMMYFUNCTION("""COMPUTED_VALUE"""),7.0)</f>
        <v>7</v>
      </c>
      <c r="G267" s="135">
        <f>IFERROR(__xludf.DUMMYFUNCTION("""COMPUTED_VALUE"""),1.0)</f>
        <v>1</v>
      </c>
    </row>
    <row r="268">
      <c r="A268" s="133">
        <f>IFERROR(__xludf.DUMMYFUNCTION("""COMPUTED_VALUE"""),6.0)</f>
        <v>6</v>
      </c>
      <c r="B268" s="134" t="str">
        <f>IFERROR(__xludf.DUMMYFUNCTION("""COMPUTED_VALUE"""),"Kumar Palakeel")</f>
        <v>Kumar Palakeel</v>
      </c>
      <c r="C268" s="135">
        <f>IFERROR(__xludf.DUMMYFUNCTION("""COMPUTED_VALUE"""),3.0)</f>
        <v>3</v>
      </c>
      <c r="D268" s="135">
        <f>IFERROR(__xludf.DUMMYFUNCTION("""COMPUTED_VALUE"""),0.0)</f>
        <v>0</v>
      </c>
      <c r="E268" s="135">
        <f>IFERROR(__xludf.DUMMYFUNCTION("""COMPUTED_VALUE"""),6.0)</f>
        <v>6</v>
      </c>
      <c r="F268" s="135">
        <f>IFERROR(__xludf.DUMMYFUNCTION("""COMPUTED_VALUE"""),9.0)</f>
        <v>9</v>
      </c>
      <c r="G268" s="135">
        <f>IFERROR(__xludf.DUMMYFUNCTION("""COMPUTED_VALUE"""),1.0)</f>
        <v>1</v>
      </c>
    </row>
    <row r="269">
      <c r="A269" s="133">
        <f>IFERROR(__xludf.DUMMYFUNCTION("""COMPUTED_VALUE"""),6.0)</f>
        <v>6</v>
      </c>
      <c r="B269" s="134" t="str">
        <f>IFERROR(__xludf.DUMMYFUNCTION("""COMPUTED_VALUE"""),"Vinaya Kajla")</f>
        <v>Vinaya Kajla</v>
      </c>
      <c r="C269" s="135">
        <f>IFERROR(__xludf.DUMMYFUNCTION("""COMPUTED_VALUE"""),3.0)</f>
        <v>3</v>
      </c>
      <c r="D269" s="135">
        <f>IFERROR(__xludf.DUMMYFUNCTION("""COMPUTED_VALUE"""),6.0)</f>
        <v>6</v>
      </c>
      <c r="E269" s="135">
        <f>IFERROR(__xludf.DUMMYFUNCTION("""COMPUTED_VALUE"""),1.0)</f>
        <v>1</v>
      </c>
      <c r="F269" s="135">
        <f>IFERROR(__xludf.DUMMYFUNCTION("""COMPUTED_VALUE"""),10.0)</f>
        <v>10</v>
      </c>
      <c r="G269" s="135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IFERROR(__xludf.DUMMYFUNCTION("""COMPUTED_VALUE"""),"Basudev Thoppai Vidyasankar")</f>
        <v>Basudev Thoppai Vidyasankar</v>
      </c>
      <c r="C270" s="135">
        <f>IFERROR(__xludf.DUMMYFUNCTION("""COMPUTED_VALUE"""),6.0)</f>
        <v>6</v>
      </c>
      <c r="D270" s="135">
        <f>IFERROR(__xludf.DUMMYFUNCTION("""COMPUTED_VALUE"""),6.0)</f>
        <v>6</v>
      </c>
      <c r="E270" s="135">
        <f>IFERROR(__xludf.DUMMYFUNCTION("""COMPUTED_VALUE"""),6.0)</f>
        <v>6</v>
      </c>
      <c r="F270" s="135">
        <f>IFERROR(__xludf.DUMMYFUNCTION("""COMPUTED_VALUE"""),18.0)</f>
        <v>18</v>
      </c>
      <c r="G270" s="135">
        <f>IFERROR(__xludf.DUMMYFUNCTION("""COMPUTED_VALUE"""),3.0)</f>
        <v>3</v>
      </c>
    </row>
    <row r="271">
      <c r="A271" s="122">
        <f>IFERROR(__xludf.DUMMYFUNCTION("""COMPUTED_VALUE"""),7.0)</f>
        <v>7</v>
      </c>
      <c r="B271" s="36" t="str">
        <f>IFERROR(__xludf.DUMMYFUNCTION("""COMPUTED_VALUE"""),"Nicole Ni")</f>
        <v>Nicole Ni</v>
      </c>
      <c r="C271" s="132">
        <f>IFERROR(__xludf.DUMMYFUNCTION("""COMPUTED_VALUE"""),6.0)</f>
        <v>6</v>
      </c>
      <c r="D271" s="132">
        <f>IFERROR(__xludf.DUMMYFUNCTION("""COMPUTED_VALUE"""),1.0)</f>
        <v>1</v>
      </c>
      <c r="E271" s="132">
        <f>IFERROR(__xludf.DUMMYFUNCTION("""COMPUTED_VALUE"""),6.0)</f>
        <v>6</v>
      </c>
      <c r="F271" s="132">
        <f>IFERROR(__xludf.DUMMYFUNCTION("""COMPUTED_VALUE"""),13.0)</f>
        <v>13</v>
      </c>
      <c r="G271" s="132">
        <f>IFERROR(__xludf.DUMMYFUNCTION("""COMPUTED_VALUE"""),2.0)</f>
        <v>2</v>
      </c>
    </row>
    <row r="272">
      <c r="A272" s="122">
        <f>IFERROR(__xludf.DUMMYFUNCTION("""COMPUTED_VALUE"""),7.0)</f>
        <v>7</v>
      </c>
      <c r="B272" s="36" t="str">
        <f>IFERROR(__xludf.DUMMYFUNCTION("""COMPUTED_VALUE"""),"Eric Tan")</f>
        <v>Eric Tan</v>
      </c>
      <c r="C272" s="132">
        <f>IFERROR(__xludf.DUMMYFUNCTION("""COMPUTED_VALUE"""),6.0)</f>
        <v>6</v>
      </c>
      <c r="D272" s="132">
        <f>IFERROR(__xludf.DUMMYFUNCTION("""COMPUTED_VALUE"""),6.0)</f>
        <v>6</v>
      </c>
      <c r="E272" s="132">
        <f>IFERROR(__xludf.DUMMYFUNCTION("""COMPUTED_VALUE"""),0.0)</f>
        <v>0</v>
      </c>
      <c r="F272" s="132">
        <f>IFERROR(__xludf.DUMMYFUNCTION("""COMPUTED_VALUE"""),12.0)</f>
        <v>12</v>
      </c>
      <c r="G272" s="132">
        <f>IFERROR(__xludf.DUMMYFUNCTION("""COMPUTED_VALUE"""),2.0)</f>
        <v>2</v>
      </c>
    </row>
    <row r="273">
      <c r="A273" s="122">
        <f>IFERROR(__xludf.DUMMYFUNCTION("""COMPUTED_VALUE"""),7.0)</f>
        <v>7</v>
      </c>
      <c r="B273" s="36" t="str">
        <f>IFERROR(__xludf.DUMMYFUNCTION("""COMPUTED_VALUE"""),"Camille Jung")</f>
        <v>Camille Jung</v>
      </c>
      <c r="C273" s="132">
        <f>IFERROR(__xludf.DUMMYFUNCTION("""COMPUTED_VALUE"""),3.0)</f>
        <v>3</v>
      </c>
      <c r="D273" s="132">
        <f>IFERROR(__xludf.DUMMYFUNCTION("""COMPUTED_VALUE"""),1.0)</f>
        <v>1</v>
      </c>
      <c r="E273" s="132">
        <f>IFERROR(__xludf.DUMMYFUNCTION("""COMPUTED_VALUE"""),0.0)</f>
        <v>0</v>
      </c>
      <c r="F273" s="132">
        <f>IFERROR(__xludf.DUMMYFUNCTION("""COMPUTED_VALUE"""),4.0)</f>
        <v>4</v>
      </c>
      <c r="G273" s="132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IFERROR(__xludf.DUMMYFUNCTION("""COMPUTED_VALUE"""),"Sanjaye Elayattu")</f>
        <v>Sanjaye Elayattu</v>
      </c>
      <c r="C274" s="132">
        <f>IFERROR(__xludf.DUMMYFUNCTION("""COMPUTED_VALUE"""),3.0)</f>
        <v>3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IFERROR(__xludf.DUMMYFUNCTION("""COMPUTED_VALUE"""),15.0)</f>
        <v>15</v>
      </c>
      <c r="G274" s="132">
        <f>IFERROR(__xludf.DUMMYFUNCTION("""COMPUTED_VALUE"""),2.0)</f>
        <v>2</v>
      </c>
    </row>
    <row r="275">
      <c r="A275" s="133"/>
      <c r="B275" s="134"/>
      <c r="C275" s="135"/>
      <c r="D275" s="135"/>
      <c r="E275" s="135"/>
      <c r="F275" s="135"/>
      <c r="G275" s="135"/>
    </row>
    <row r="276">
      <c r="A276" s="133"/>
      <c r="B276" s="134"/>
      <c r="C276" s="135"/>
      <c r="D276" s="135"/>
      <c r="E276" s="135"/>
      <c r="F276" s="135"/>
      <c r="G276" s="135"/>
    </row>
    <row r="277">
      <c r="A277" s="133"/>
      <c r="B277" s="134"/>
      <c r="C277" s="135"/>
      <c r="D277" s="135"/>
      <c r="E277" s="135"/>
      <c r="F277" s="135"/>
      <c r="G277" s="135"/>
    </row>
    <row r="278">
      <c r="A278" s="133"/>
      <c r="B278" s="134"/>
      <c r="C278" s="135"/>
      <c r="D278" s="135"/>
      <c r="E278" s="135"/>
      <c r="F278" s="135"/>
      <c r="G278" s="135"/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5"/>
      <c r="C291" s="5"/>
      <c r="D291" s="5"/>
      <c r="E291" s="5"/>
      <c r="F291" s="5"/>
    </row>
    <row r="292">
      <c r="A292" s="5"/>
      <c r="C292" s="5"/>
      <c r="D292" s="5"/>
      <c r="E292" s="5"/>
      <c r="F292" s="5"/>
    </row>
    <row r="293">
      <c r="A293" s="5"/>
      <c r="C293" s="5"/>
      <c r="D293" s="5"/>
      <c r="E293" s="5"/>
      <c r="F293" s="5"/>
    </row>
    <row r="294">
      <c r="A294" s="43"/>
      <c r="B294" s="134" t="s">
        <v>171</v>
      </c>
      <c r="C294" s="5"/>
      <c r="D294" s="115" t="s">
        <v>177</v>
      </c>
      <c r="E294" s="25"/>
      <c r="F294" s="26"/>
      <c r="H294" s="115" t="s">
        <v>176</v>
      </c>
      <c r="I294" s="25"/>
      <c r="J294" s="26"/>
    </row>
    <row r="295">
      <c r="A295" s="136">
        <v>1.0</v>
      </c>
      <c r="B295" s="137" t="str">
        <f>IFERROR(__xludf.DUMMYFUNCTION("QUERY(B5:R79,""Select B where R = 'X' order by B asc"",0)"),"Alejandro Mejia")</f>
        <v>Alejandro Mejia</v>
      </c>
      <c r="C295" s="138">
        <f t="shared" ref="C295:C369" si="101">A295</f>
        <v>1</v>
      </c>
      <c r="D295" s="139" t="str">
        <f>IFERROR(__xludf.DUMMYFUNCTION("QUERY(B5:R79,""Select B where R = '' order by B asc"",0)"),"Adrian Tay")</f>
        <v>Adrian Tay</v>
      </c>
      <c r="E295" s="25"/>
      <c r="F295" s="26"/>
      <c r="G295" s="138">
        <f t="shared" ref="G295:G369" si="102">C295</f>
        <v>1</v>
      </c>
      <c r="H295" s="139" t="str">
        <f>IFERROR(__xludf.DUMMYFUNCTION("QUERY(B5:R79,""Select B where R = 'N' order by B asc"",0)"),"Balaji Alahari")</f>
        <v>Balaji Alahari</v>
      </c>
      <c r="I295" s="25"/>
      <c r="J295" s="26"/>
    </row>
    <row r="296">
      <c r="A296" s="136">
        <f t="shared" ref="A296:A369" si="103">A295+1</f>
        <v>2</v>
      </c>
      <c r="B296" s="137" t="str">
        <f>IFERROR(__xludf.DUMMYFUNCTION("""COMPUTED_VALUE"""),"Alex Hou")</f>
        <v>Alex Hou</v>
      </c>
      <c r="C296" s="138">
        <f t="shared" si="101"/>
        <v>2</v>
      </c>
      <c r="D296" s="139" t="str">
        <f>IFERROR(__xludf.DUMMYFUNCTION("""COMPUTED_VALUE"""),"Jordan Tatang")</f>
        <v>Jordan Tatang</v>
      </c>
      <c r="E296" s="25"/>
      <c r="F296" s="26"/>
      <c r="G296" s="138">
        <f t="shared" si="102"/>
        <v>2</v>
      </c>
      <c r="H296" s="139" t="str">
        <f>IFERROR(__xludf.DUMMYFUNCTION("""COMPUTED_VALUE"""),"Barathi Sundaram")</f>
        <v>Barathi Sundaram</v>
      </c>
      <c r="I296" s="25"/>
      <c r="J296" s="26"/>
    </row>
    <row r="297">
      <c r="A297" s="136">
        <f t="shared" si="103"/>
        <v>3</v>
      </c>
      <c r="B297" s="137" t="str">
        <f>IFERROR(__xludf.DUMMYFUNCTION("""COMPUTED_VALUE"""),"Allen Zhang")</f>
        <v>Allen Zhang</v>
      </c>
      <c r="C297" s="138">
        <f t="shared" si="101"/>
        <v>3</v>
      </c>
      <c r="D297" s="139" t="str">
        <f>IFERROR(__xludf.DUMMYFUNCTION("""COMPUTED_VALUE"""),"Mauricio Palacios")</f>
        <v>Mauricio Palacios</v>
      </c>
      <c r="E297" s="25"/>
      <c r="F297" s="26"/>
      <c r="G297" s="138">
        <f t="shared" si="102"/>
        <v>3</v>
      </c>
      <c r="H297" s="139" t="str">
        <f>IFERROR(__xludf.DUMMYFUNCTION("""COMPUTED_VALUE"""),"Charles Choi")</f>
        <v>Charles Choi</v>
      </c>
      <c r="I297" s="25"/>
      <c r="J297" s="26"/>
    </row>
    <row r="298">
      <c r="A298" s="136">
        <f t="shared" si="103"/>
        <v>4</v>
      </c>
      <c r="B298" s="137" t="str">
        <f>IFERROR(__xludf.DUMMYFUNCTION("""COMPUTED_VALUE"""),"Andrew Wen")</f>
        <v>Andrew Wen</v>
      </c>
      <c r="C298" s="138">
        <f t="shared" si="101"/>
        <v>4</v>
      </c>
      <c r="D298" s="139" t="str">
        <f>IFERROR(__xludf.DUMMYFUNCTION("""COMPUTED_VALUE"""),"Robert Chang")</f>
        <v>Robert Chang</v>
      </c>
      <c r="E298" s="25"/>
      <c r="F298" s="26"/>
      <c r="G298" s="138">
        <f t="shared" si="102"/>
        <v>4</v>
      </c>
      <c r="H298" s="139" t="str">
        <f>IFERROR(__xludf.DUMMYFUNCTION("""COMPUTED_VALUE"""),"Hubert J Sung")</f>
        <v>Hubert J Sung</v>
      </c>
      <c r="I298" s="25"/>
      <c r="J298" s="26"/>
    </row>
    <row r="299">
      <c r="A299" s="136">
        <f t="shared" si="103"/>
        <v>5</v>
      </c>
      <c r="B299" s="137" t="str">
        <f>IFERROR(__xludf.DUMMYFUNCTION("""COMPUTED_VALUE"""),"Andrew Yao")</f>
        <v>Andrew Yao</v>
      </c>
      <c r="C299" s="138">
        <f t="shared" si="101"/>
        <v>5</v>
      </c>
      <c r="D299" s="139"/>
      <c r="E299" s="25"/>
      <c r="F299" s="26"/>
      <c r="G299" s="138">
        <f t="shared" si="102"/>
        <v>5</v>
      </c>
      <c r="H299" s="139" t="str">
        <f>IFERROR(__xludf.DUMMYFUNCTION("""COMPUTED_VALUE"""),"James Phan")</f>
        <v>James Phan</v>
      </c>
      <c r="I299" s="25"/>
      <c r="J299" s="26"/>
    </row>
    <row r="300">
      <c r="A300" s="136">
        <f t="shared" si="103"/>
        <v>6</v>
      </c>
      <c r="B300" s="137" t="str">
        <f>IFERROR(__xludf.DUMMYFUNCTION("""COMPUTED_VALUE"""),"Art Hui")</f>
        <v>Art Hui</v>
      </c>
      <c r="C300" s="138">
        <f t="shared" si="101"/>
        <v>6</v>
      </c>
      <c r="D300" s="139"/>
      <c r="E300" s="25"/>
      <c r="F300" s="26"/>
      <c r="G300" s="138">
        <f t="shared" si="102"/>
        <v>6</v>
      </c>
      <c r="H300" s="139" t="str">
        <f>IFERROR(__xludf.DUMMYFUNCTION("""COMPUTED_VALUE"""),"Leigh-Anh Nguyen")</f>
        <v>Leigh-Anh Nguyen</v>
      </c>
      <c r="I300" s="25"/>
      <c r="J300" s="26"/>
    </row>
    <row r="301">
      <c r="A301" s="136">
        <f t="shared" si="103"/>
        <v>7</v>
      </c>
      <c r="B301" s="137" t="str">
        <f>IFERROR(__xludf.DUMMYFUNCTION("""COMPUTED_VALUE"""),"Basudev Thoppai Vidyasankar")</f>
        <v>Basudev Thoppai Vidyasankar</v>
      </c>
      <c r="C301" s="138">
        <f t="shared" si="101"/>
        <v>7</v>
      </c>
      <c r="D301" s="139"/>
      <c r="E301" s="25"/>
      <c r="F301" s="26"/>
      <c r="G301" s="138">
        <f t="shared" si="102"/>
        <v>7</v>
      </c>
      <c r="H301" s="139" t="str">
        <f>IFERROR(__xludf.DUMMYFUNCTION("""COMPUTED_VALUE"""),"Sandy Weyant")</f>
        <v>Sandy Weyant</v>
      </c>
      <c r="I301" s="25"/>
      <c r="J301" s="26"/>
    </row>
    <row r="302">
      <c r="A302" s="136">
        <f t="shared" si="103"/>
        <v>8</v>
      </c>
      <c r="B302" s="137" t="str">
        <f>IFERROR(__xludf.DUMMYFUNCTION("""COMPUTED_VALUE"""),"Camille Jung")</f>
        <v>Camille Jung</v>
      </c>
      <c r="C302" s="138">
        <f t="shared" si="101"/>
        <v>8</v>
      </c>
      <c r="D302" s="139"/>
      <c r="E302" s="25"/>
      <c r="F302" s="26"/>
      <c r="G302" s="138">
        <f t="shared" si="102"/>
        <v>8</v>
      </c>
      <c r="H302" s="139"/>
      <c r="I302" s="25"/>
      <c r="J302" s="26"/>
    </row>
    <row r="303">
      <c r="A303" s="136">
        <f t="shared" si="103"/>
        <v>9</v>
      </c>
      <c r="B303" s="137" t="str">
        <f>IFERROR(__xludf.DUMMYFUNCTION("""COMPUTED_VALUE"""),"Chinna Ponnaganti")</f>
        <v>Chinna Ponnaganti</v>
      </c>
      <c r="C303" s="138">
        <f t="shared" si="101"/>
        <v>9</v>
      </c>
      <c r="D303" s="139"/>
      <c r="E303" s="25"/>
      <c r="F303" s="26"/>
      <c r="G303" s="138">
        <f t="shared" si="102"/>
        <v>9</v>
      </c>
      <c r="H303" s="139"/>
      <c r="I303" s="25"/>
      <c r="J303" s="26"/>
    </row>
    <row r="304">
      <c r="A304" s="136">
        <f t="shared" si="103"/>
        <v>10</v>
      </c>
      <c r="B304" s="137" t="str">
        <f>IFERROR(__xludf.DUMMYFUNCTION("""COMPUTED_VALUE"""),"Cid Macaraeg")</f>
        <v>Cid Macaraeg</v>
      </c>
      <c r="C304" s="138">
        <f t="shared" si="101"/>
        <v>10</v>
      </c>
      <c r="D304" s="139"/>
      <c r="E304" s="25"/>
      <c r="F304" s="26"/>
      <c r="G304" s="138">
        <f t="shared" si="102"/>
        <v>10</v>
      </c>
      <c r="H304" s="139"/>
      <c r="I304" s="25"/>
      <c r="J304" s="26"/>
    </row>
    <row r="305">
      <c r="A305" s="136">
        <f t="shared" si="103"/>
        <v>11</v>
      </c>
      <c r="B305" s="137" t="str">
        <f>IFERROR(__xludf.DUMMYFUNCTION("""COMPUTED_VALUE"""),"Coco Yan")</f>
        <v>Coco Yan</v>
      </c>
      <c r="C305" s="138">
        <f t="shared" si="101"/>
        <v>11</v>
      </c>
      <c r="D305" s="139"/>
      <c r="E305" s="25"/>
      <c r="F305" s="26"/>
      <c r="G305" s="138">
        <f t="shared" si="102"/>
        <v>11</v>
      </c>
      <c r="H305" s="139"/>
      <c r="I305" s="25"/>
      <c r="J305" s="26"/>
    </row>
    <row r="306">
      <c r="A306" s="136">
        <f t="shared" si="103"/>
        <v>12</v>
      </c>
      <c r="B306" s="137" t="str">
        <f>IFERROR(__xludf.DUMMYFUNCTION("""COMPUTED_VALUE"""),"Darren Wong")</f>
        <v>Darren Wong</v>
      </c>
      <c r="C306" s="138">
        <f t="shared" si="101"/>
        <v>12</v>
      </c>
      <c r="D306" s="139"/>
      <c r="E306" s="25"/>
      <c r="F306" s="26"/>
      <c r="G306" s="138">
        <f t="shared" si="102"/>
        <v>12</v>
      </c>
      <c r="H306" s="139"/>
      <c r="I306" s="25"/>
      <c r="J306" s="26"/>
    </row>
    <row r="307">
      <c r="A307" s="136">
        <f t="shared" si="103"/>
        <v>13</v>
      </c>
      <c r="B307" s="137" t="str">
        <f>IFERROR(__xludf.DUMMYFUNCTION("""COMPUTED_VALUE"""),"David Shin")</f>
        <v>David Shin</v>
      </c>
      <c r="C307" s="138">
        <f t="shared" si="101"/>
        <v>13</v>
      </c>
      <c r="D307" s="139"/>
      <c r="E307" s="25"/>
      <c r="F307" s="26"/>
      <c r="G307" s="138">
        <f t="shared" si="102"/>
        <v>13</v>
      </c>
      <c r="H307" s="139"/>
      <c r="I307" s="25"/>
      <c r="J307" s="26"/>
    </row>
    <row r="308">
      <c r="A308" s="136">
        <f t="shared" si="103"/>
        <v>14</v>
      </c>
      <c r="B308" s="137" t="str">
        <f>IFERROR(__xludf.DUMMYFUNCTION("""COMPUTED_VALUE"""),"Elayaraja Thangaraj")</f>
        <v>Elayaraja Thangaraj</v>
      </c>
      <c r="C308" s="138">
        <f t="shared" si="101"/>
        <v>14</v>
      </c>
      <c r="D308" s="139"/>
      <c r="E308" s="25"/>
      <c r="F308" s="26"/>
      <c r="G308" s="138">
        <f t="shared" si="102"/>
        <v>14</v>
      </c>
      <c r="H308" s="139"/>
      <c r="I308" s="25"/>
      <c r="J308" s="26"/>
    </row>
    <row r="309">
      <c r="A309" s="136">
        <f t="shared" si="103"/>
        <v>15</v>
      </c>
      <c r="B309" s="137" t="str">
        <f>IFERROR(__xludf.DUMMYFUNCTION("""COMPUTED_VALUE"""),"Eric Pan")</f>
        <v>Eric Pan</v>
      </c>
      <c r="C309" s="138">
        <f t="shared" si="101"/>
        <v>15</v>
      </c>
      <c r="D309" s="139"/>
      <c r="E309" s="25"/>
      <c r="F309" s="26"/>
      <c r="G309" s="138">
        <f t="shared" si="102"/>
        <v>15</v>
      </c>
      <c r="H309" s="139"/>
      <c r="I309" s="25"/>
      <c r="J309" s="26"/>
    </row>
    <row r="310">
      <c r="A310" s="136">
        <f t="shared" si="103"/>
        <v>16</v>
      </c>
      <c r="B310" s="137" t="str">
        <f>IFERROR(__xludf.DUMMYFUNCTION("""COMPUTED_VALUE"""),"Eric Tan")</f>
        <v>Eric Tan</v>
      </c>
      <c r="C310" s="138">
        <f t="shared" si="101"/>
        <v>16</v>
      </c>
      <c r="D310" s="139"/>
      <c r="E310" s="25"/>
      <c r="F310" s="26"/>
      <c r="G310" s="138">
        <f t="shared" si="102"/>
        <v>16</v>
      </c>
      <c r="H310" s="139"/>
      <c r="I310" s="25"/>
      <c r="J310" s="26"/>
    </row>
    <row r="311">
      <c r="A311" s="136">
        <f t="shared" si="103"/>
        <v>17</v>
      </c>
      <c r="B311" s="137" t="str">
        <f>IFERROR(__xludf.DUMMYFUNCTION("""COMPUTED_VALUE"""),"Erik Hoeckmann")</f>
        <v>Erik Hoeckmann</v>
      </c>
      <c r="C311" s="138">
        <f t="shared" si="101"/>
        <v>17</v>
      </c>
      <c r="D311" s="139"/>
      <c r="E311" s="25"/>
      <c r="F311" s="26"/>
      <c r="G311" s="138">
        <f t="shared" si="102"/>
        <v>17</v>
      </c>
      <c r="H311" s="139"/>
      <c r="I311" s="25"/>
      <c r="J311" s="26"/>
    </row>
    <row r="312">
      <c r="A312" s="136">
        <f t="shared" si="103"/>
        <v>18</v>
      </c>
      <c r="B312" s="137" t="str">
        <f>IFERROR(__xludf.DUMMYFUNCTION("""COMPUTED_VALUE"""),"Ethan Gu")</f>
        <v>Ethan Gu</v>
      </c>
      <c r="C312" s="138">
        <f t="shared" si="101"/>
        <v>18</v>
      </c>
      <c r="D312" s="139"/>
      <c r="E312" s="25"/>
      <c r="F312" s="26"/>
      <c r="G312" s="138">
        <f t="shared" si="102"/>
        <v>18</v>
      </c>
      <c r="H312" s="139"/>
      <c r="I312" s="25"/>
      <c r="J312" s="26"/>
    </row>
    <row r="313">
      <c r="A313" s="136">
        <f t="shared" si="103"/>
        <v>19</v>
      </c>
      <c r="B313" s="137" t="str">
        <f>IFERROR(__xludf.DUMMYFUNCTION("""COMPUTED_VALUE"""),"Frank Moon")</f>
        <v>Frank Moon</v>
      </c>
      <c r="C313" s="138">
        <f t="shared" si="101"/>
        <v>19</v>
      </c>
      <c r="D313" s="139"/>
      <c r="E313" s="25"/>
      <c r="F313" s="26"/>
      <c r="G313" s="138">
        <f t="shared" si="102"/>
        <v>19</v>
      </c>
      <c r="H313" s="139"/>
      <c r="I313" s="25"/>
      <c r="J313" s="26"/>
    </row>
    <row r="314">
      <c r="A314" s="136">
        <f t="shared" si="103"/>
        <v>20</v>
      </c>
      <c r="B314" s="137" t="str">
        <f>IFERROR(__xludf.DUMMYFUNCTION("""COMPUTED_VALUE"""),"Herman Au")</f>
        <v>Herman Au</v>
      </c>
      <c r="C314" s="138">
        <f t="shared" si="101"/>
        <v>20</v>
      </c>
      <c r="D314" s="139"/>
      <c r="E314" s="25"/>
      <c r="F314" s="26"/>
      <c r="G314" s="138">
        <f t="shared" si="102"/>
        <v>20</v>
      </c>
      <c r="H314" s="139"/>
      <c r="I314" s="25"/>
      <c r="J314" s="26"/>
    </row>
    <row r="315">
      <c r="A315" s="136">
        <f t="shared" si="103"/>
        <v>21</v>
      </c>
      <c r="B315" s="137" t="str">
        <f>IFERROR(__xludf.DUMMYFUNCTION("""COMPUTED_VALUE"""),"Hongyuan Wen")</f>
        <v>Hongyuan Wen</v>
      </c>
      <c r="C315" s="138">
        <f t="shared" si="101"/>
        <v>21</v>
      </c>
      <c r="D315" s="139"/>
      <c r="E315" s="25"/>
      <c r="F315" s="26"/>
      <c r="G315" s="138">
        <f t="shared" si="102"/>
        <v>21</v>
      </c>
      <c r="H315" s="139"/>
      <c r="I315" s="25"/>
      <c r="J315" s="26"/>
    </row>
    <row r="316">
      <c r="A316" s="136">
        <f t="shared" si="103"/>
        <v>22</v>
      </c>
      <c r="B316" s="137" t="str">
        <f>IFERROR(__xludf.DUMMYFUNCTION("""COMPUTED_VALUE"""),"Jaya Sogata")</f>
        <v>Jaya Sogata</v>
      </c>
      <c r="C316" s="138">
        <f t="shared" si="101"/>
        <v>22</v>
      </c>
      <c r="D316" s="139"/>
      <c r="E316" s="25"/>
      <c r="F316" s="26"/>
      <c r="G316" s="138">
        <f t="shared" si="102"/>
        <v>22</v>
      </c>
      <c r="H316" s="139"/>
      <c r="I316" s="25"/>
      <c r="J316" s="26"/>
    </row>
    <row r="317">
      <c r="A317" s="136">
        <f t="shared" si="103"/>
        <v>23</v>
      </c>
      <c r="B317" s="137" t="str">
        <f>IFERROR(__xludf.DUMMYFUNCTION("""COMPUTED_VALUE"""),"Jim Miao")</f>
        <v>Jim Miao</v>
      </c>
      <c r="C317" s="138">
        <f t="shared" si="101"/>
        <v>23</v>
      </c>
      <c r="D317" s="139"/>
      <c r="E317" s="25"/>
      <c r="F317" s="26"/>
      <c r="G317" s="138">
        <f t="shared" si="102"/>
        <v>23</v>
      </c>
      <c r="H317" s="139"/>
      <c r="I317" s="25"/>
      <c r="J317" s="26"/>
    </row>
    <row r="318">
      <c r="A318" s="136">
        <f t="shared" si="103"/>
        <v>24</v>
      </c>
      <c r="B318" s="137" t="str">
        <f>IFERROR(__xludf.DUMMYFUNCTION("""COMPUTED_VALUE"""),"Jimmy Awolesi")</f>
        <v>Jimmy Awolesi</v>
      </c>
      <c r="C318" s="138">
        <f t="shared" si="101"/>
        <v>24</v>
      </c>
      <c r="D318" s="139"/>
      <c r="E318" s="25"/>
      <c r="F318" s="26"/>
      <c r="G318" s="138">
        <f t="shared" si="102"/>
        <v>24</v>
      </c>
      <c r="H318" s="139"/>
      <c r="I318" s="25"/>
      <c r="J318" s="26"/>
    </row>
    <row r="319">
      <c r="A319" s="136">
        <f t="shared" si="103"/>
        <v>25</v>
      </c>
      <c r="B319" s="137" t="str">
        <f>IFERROR(__xludf.DUMMYFUNCTION("""COMPUTED_VALUE"""),"Joe Luzzi")</f>
        <v>Joe Luzzi</v>
      </c>
      <c r="C319" s="138">
        <f t="shared" si="101"/>
        <v>25</v>
      </c>
      <c r="D319" s="139"/>
      <c r="E319" s="25"/>
      <c r="F319" s="26"/>
      <c r="G319" s="138">
        <f t="shared" si="102"/>
        <v>25</v>
      </c>
      <c r="H319" s="139"/>
      <c r="I319" s="25"/>
      <c r="J319" s="26"/>
    </row>
    <row r="320">
      <c r="A320" s="136">
        <f t="shared" si="103"/>
        <v>26</v>
      </c>
      <c r="B320" s="137" t="str">
        <f>IFERROR(__xludf.DUMMYFUNCTION("""COMPUTED_VALUE"""),"Jonathan Phan")</f>
        <v>Jonathan Phan</v>
      </c>
      <c r="C320" s="138">
        <f t="shared" si="101"/>
        <v>26</v>
      </c>
      <c r="D320" s="139"/>
      <c r="E320" s="25"/>
      <c r="F320" s="26"/>
      <c r="G320" s="138">
        <f t="shared" si="102"/>
        <v>26</v>
      </c>
      <c r="H320" s="139"/>
      <c r="I320" s="25"/>
      <c r="J320" s="26"/>
    </row>
    <row r="321">
      <c r="A321" s="136">
        <f t="shared" si="103"/>
        <v>27</v>
      </c>
      <c r="B321" s="137" t="str">
        <f>IFERROR(__xludf.DUMMYFUNCTION("""COMPUTED_VALUE"""),"Joyce Zhu")</f>
        <v>Joyce Zhu</v>
      </c>
      <c r="C321" s="138">
        <f t="shared" si="101"/>
        <v>27</v>
      </c>
      <c r="D321" s="139"/>
      <c r="E321" s="25"/>
      <c r="F321" s="26"/>
      <c r="G321" s="138">
        <f t="shared" si="102"/>
        <v>27</v>
      </c>
      <c r="H321" s="139"/>
      <c r="I321" s="25"/>
      <c r="J321" s="26"/>
    </row>
    <row r="322">
      <c r="A322" s="136">
        <f t="shared" si="103"/>
        <v>28</v>
      </c>
      <c r="B322" s="137" t="str">
        <f>IFERROR(__xludf.DUMMYFUNCTION("""COMPUTED_VALUE"""),"Kumar Palakeel")</f>
        <v>Kumar Palakeel</v>
      </c>
      <c r="C322" s="138">
        <f t="shared" si="101"/>
        <v>28</v>
      </c>
      <c r="D322" s="139"/>
      <c r="E322" s="25"/>
      <c r="F322" s="26"/>
      <c r="G322" s="138">
        <f t="shared" si="102"/>
        <v>28</v>
      </c>
      <c r="H322" s="139"/>
      <c r="I322" s="25"/>
      <c r="J322" s="26"/>
    </row>
    <row r="323">
      <c r="A323" s="136">
        <f t="shared" si="103"/>
        <v>29</v>
      </c>
      <c r="B323" s="137" t="str">
        <f>IFERROR(__xludf.DUMMYFUNCTION("""COMPUTED_VALUE"""),"Lam Bui")</f>
        <v>Lam Bui</v>
      </c>
      <c r="C323" s="138">
        <f t="shared" si="101"/>
        <v>29</v>
      </c>
      <c r="D323" s="139"/>
      <c r="E323" s="25"/>
      <c r="F323" s="26"/>
      <c r="G323" s="138">
        <f t="shared" si="102"/>
        <v>29</v>
      </c>
      <c r="H323" s="139"/>
      <c r="I323" s="25"/>
      <c r="J323" s="26"/>
    </row>
    <row r="324">
      <c r="A324" s="136">
        <f t="shared" si="103"/>
        <v>30</v>
      </c>
      <c r="B324" s="137" t="str">
        <f>IFERROR(__xludf.DUMMYFUNCTION("""COMPUTED_VALUE"""),"Lenin Belangonda ")</f>
        <v>Lenin Belangonda </v>
      </c>
      <c r="C324" s="138">
        <f t="shared" si="101"/>
        <v>30</v>
      </c>
      <c r="D324" s="139"/>
      <c r="E324" s="25"/>
      <c r="F324" s="26"/>
      <c r="G324" s="138">
        <f t="shared" si="102"/>
        <v>30</v>
      </c>
      <c r="H324" s="139"/>
      <c r="I324" s="25"/>
      <c r="J324" s="26"/>
    </row>
    <row r="325">
      <c r="A325" s="136">
        <f t="shared" si="103"/>
        <v>31</v>
      </c>
      <c r="B325" s="137" t="str">
        <f>IFERROR(__xludf.DUMMYFUNCTION("""COMPUTED_VALUE"""),"Lloyd Sagar")</f>
        <v>Lloyd Sagar</v>
      </c>
      <c r="C325" s="138">
        <f t="shared" si="101"/>
        <v>31</v>
      </c>
      <c r="D325" s="139"/>
      <c r="E325" s="25"/>
      <c r="F325" s="26"/>
      <c r="G325" s="138">
        <f t="shared" si="102"/>
        <v>31</v>
      </c>
      <c r="H325" s="139"/>
      <c r="I325" s="25"/>
      <c r="J325" s="26"/>
    </row>
    <row r="326">
      <c r="A326" s="136">
        <f t="shared" si="103"/>
        <v>32</v>
      </c>
      <c r="B326" s="137" t="str">
        <f>IFERROR(__xludf.DUMMYFUNCTION("""COMPUTED_VALUE"""),"Luis Hsu")</f>
        <v>Luis Hsu</v>
      </c>
      <c r="C326" s="138">
        <f t="shared" si="101"/>
        <v>32</v>
      </c>
      <c r="D326" s="139"/>
      <c r="E326" s="25"/>
      <c r="F326" s="26"/>
      <c r="G326" s="138">
        <f t="shared" si="102"/>
        <v>32</v>
      </c>
      <c r="H326" s="139"/>
      <c r="I326" s="25"/>
      <c r="J326" s="26"/>
    </row>
    <row r="327">
      <c r="A327" s="136">
        <f t="shared" si="103"/>
        <v>33</v>
      </c>
      <c r="B327" s="137" t="str">
        <f>IFERROR(__xludf.DUMMYFUNCTION("""COMPUTED_VALUE"""),"Manish Anand")</f>
        <v>Manish Anand</v>
      </c>
      <c r="C327" s="138">
        <f t="shared" si="101"/>
        <v>33</v>
      </c>
      <c r="D327" s="139"/>
      <c r="E327" s="25"/>
      <c r="F327" s="26"/>
      <c r="G327" s="138">
        <f t="shared" si="102"/>
        <v>33</v>
      </c>
      <c r="H327" s="139"/>
      <c r="I327" s="25"/>
      <c r="J327" s="26"/>
    </row>
    <row r="328">
      <c r="A328" s="136">
        <f t="shared" si="103"/>
        <v>34</v>
      </c>
      <c r="B328" s="137" t="str">
        <f>IFERROR(__xludf.DUMMYFUNCTION("""COMPUTED_VALUE"""),"Manuel Rivera")</f>
        <v>Manuel Rivera</v>
      </c>
      <c r="C328" s="138">
        <f t="shared" si="101"/>
        <v>34</v>
      </c>
      <c r="D328" s="139"/>
      <c r="E328" s="25"/>
      <c r="F328" s="26"/>
      <c r="G328" s="138">
        <f t="shared" si="102"/>
        <v>34</v>
      </c>
      <c r="H328" s="139"/>
      <c r="I328" s="25"/>
      <c r="J328" s="26"/>
    </row>
    <row r="329">
      <c r="A329" s="136">
        <f t="shared" si="103"/>
        <v>35</v>
      </c>
      <c r="B329" s="137" t="str">
        <f>IFERROR(__xludf.DUMMYFUNCTION("""COMPUTED_VALUE"""),"Matthew Huang")</f>
        <v>Matthew Huang</v>
      </c>
      <c r="C329" s="138">
        <f t="shared" si="101"/>
        <v>35</v>
      </c>
      <c r="D329" s="139"/>
      <c r="E329" s="25"/>
      <c r="F329" s="26"/>
      <c r="G329" s="138">
        <f t="shared" si="102"/>
        <v>35</v>
      </c>
      <c r="H329" s="139"/>
      <c r="I329" s="25"/>
      <c r="J329" s="26"/>
    </row>
    <row r="330">
      <c r="A330" s="136">
        <f t="shared" si="103"/>
        <v>36</v>
      </c>
      <c r="B330" s="137" t="str">
        <f>IFERROR(__xludf.DUMMYFUNCTION("""COMPUTED_VALUE"""),"Naveen Raj")</f>
        <v>Naveen Raj</v>
      </c>
      <c r="C330" s="138">
        <f t="shared" si="101"/>
        <v>36</v>
      </c>
      <c r="D330" s="139"/>
      <c r="E330" s="25"/>
      <c r="F330" s="26"/>
      <c r="G330" s="138">
        <f t="shared" si="102"/>
        <v>36</v>
      </c>
      <c r="H330" s="139"/>
      <c r="I330" s="25"/>
      <c r="J330" s="26"/>
    </row>
    <row r="331">
      <c r="A331" s="136">
        <f t="shared" si="103"/>
        <v>37</v>
      </c>
      <c r="B331" s="137" t="str">
        <f>IFERROR(__xludf.DUMMYFUNCTION("""COMPUTED_VALUE"""),"Nicole Ni")</f>
        <v>Nicole Ni</v>
      </c>
      <c r="C331" s="138">
        <f t="shared" si="101"/>
        <v>37</v>
      </c>
      <c r="D331" s="139"/>
      <c r="E331" s="25"/>
      <c r="F331" s="26"/>
      <c r="G331" s="138">
        <f t="shared" si="102"/>
        <v>37</v>
      </c>
      <c r="H331" s="139"/>
      <c r="I331" s="25"/>
      <c r="J331" s="26"/>
    </row>
    <row r="332">
      <c r="A332" s="136">
        <f t="shared" si="103"/>
        <v>38</v>
      </c>
      <c r="B332" s="137" t="str">
        <f>IFERROR(__xludf.DUMMYFUNCTION("""COMPUTED_VALUE"""),"Oscar Bonilla")</f>
        <v>Oscar Bonilla</v>
      </c>
      <c r="C332" s="138">
        <f t="shared" si="101"/>
        <v>38</v>
      </c>
      <c r="D332" s="139"/>
      <c r="E332" s="25"/>
      <c r="F332" s="26"/>
      <c r="G332" s="138">
        <f t="shared" si="102"/>
        <v>38</v>
      </c>
      <c r="H332" s="139"/>
      <c r="I332" s="25"/>
      <c r="J332" s="26"/>
    </row>
    <row r="333">
      <c r="A333" s="136">
        <f t="shared" si="103"/>
        <v>39</v>
      </c>
      <c r="B333" s="137" t="str">
        <f>IFERROR(__xludf.DUMMYFUNCTION("""COMPUTED_VALUE"""),"Pavan Akkimsetty")</f>
        <v>Pavan Akkimsetty</v>
      </c>
      <c r="C333" s="138">
        <f t="shared" si="101"/>
        <v>39</v>
      </c>
      <c r="D333" s="139"/>
      <c r="E333" s="25"/>
      <c r="F333" s="26"/>
      <c r="G333" s="138">
        <f t="shared" si="102"/>
        <v>39</v>
      </c>
      <c r="H333" s="139"/>
      <c r="I333" s="25"/>
      <c r="J333" s="26"/>
    </row>
    <row r="334">
      <c r="A334" s="136">
        <f t="shared" si="103"/>
        <v>40</v>
      </c>
      <c r="B334" s="137" t="str">
        <f>IFERROR(__xludf.DUMMYFUNCTION("""COMPUTED_VALUE"""),"Pulkit Mathur")</f>
        <v>Pulkit Mathur</v>
      </c>
      <c r="C334" s="138">
        <f t="shared" si="101"/>
        <v>40</v>
      </c>
      <c r="D334" s="139"/>
      <c r="E334" s="25"/>
      <c r="F334" s="26"/>
      <c r="G334" s="138">
        <f t="shared" si="102"/>
        <v>40</v>
      </c>
      <c r="H334" s="139"/>
      <c r="I334" s="25"/>
      <c r="J334" s="26"/>
    </row>
    <row r="335">
      <c r="A335" s="136">
        <f t="shared" si="103"/>
        <v>41</v>
      </c>
      <c r="B335" s="137" t="str">
        <f>IFERROR(__xludf.DUMMYFUNCTION("""COMPUTED_VALUE"""),"Rajasekar Ramasamy")</f>
        <v>Rajasekar Ramasamy</v>
      </c>
      <c r="C335" s="138">
        <f t="shared" si="101"/>
        <v>41</v>
      </c>
      <c r="D335" s="139"/>
      <c r="E335" s="25"/>
      <c r="F335" s="26"/>
      <c r="G335" s="138">
        <f t="shared" si="102"/>
        <v>41</v>
      </c>
      <c r="H335" s="139"/>
      <c r="I335" s="25"/>
      <c r="J335" s="26"/>
    </row>
    <row r="336">
      <c r="A336" s="136">
        <f t="shared" si="103"/>
        <v>42</v>
      </c>
      <c r="B336" s="137" t="str">
        <f>IFERROR(__xludf.DUMMYFUNCTION("""COMPUTED_VALUE"""),"Rajesh Dorairaj")</f>
        <v>Rajesh Dorairaj</v>
      </c>
      <c r="C336" s="138">
        <f t="shared" si="101"/>
        <v>42</v>
      </c>
      <c r="D336" s="139"/>
      <c r="E336" s="25"/>
      <c r="F336" s="26"/>
      <c r="G336" s="138">
        <f t="shared" si="102"/>
        <v>42</v>
      </c>
      <c r="H336" s="139"/>
      <c r="I336" s="25"/>
      <c r="J336" s="26"/>
    </row>
    <row r="337">
      <c r="A337" s="136">
        <f t="shared" si="103"/>
        <v>43</v>
      </c>
      <c r="B337" s="137" t="str">
        <f>IFERROR(__xludf.DUMMYFUNCTION("""COMPUTED_VALUE"""),"Ramesh Bandaru")</f>
        <v>Ramesh Bandaru</v>
      </c>
      <c r="C337" s="138">
        <f t="shared" si="101"/>
        <v>43</v>
      </c>
      <c r="D337" s="139"/>
      <c r="E337" s="25"/>
      <c r="F337" s="26"/>
      <c r="G337" s="138">
        <f t="shared" si="102"/>
        <v>43</v>
      </c>
      <c r="H337" s="139"/>
      <c r="I337" s="25"/>
      <c r="J337" s="26"/>
    </row>
    <row r="338">
      <c r="A338" s="136">
        <f t="shared" si="103"/>
        <v>44</v>
      </c>
      <c r="B338" s="137" t="str">
        <f>IFERROR(__xludf.DUMMYFUNCTION("""COMPUTED_VALUE"""),"Ranjith Doraiswamy")</f>
        <v>Ranjith Doraiswamy</v>
      </c>
      <c r="C338" s="138">
        <f t="shared" si="101"/>
        <v>44</v>
      </c>
      <c r="D338" s="139"/>
      <c r="E338" s="25"/>
      <c r="F338" s="26"/>
      <c r="G338" s="138">
        <f t="shared" si="102"/>
        <v>44</v>
      </c>
      <c r="H338" s="139"/>
      <c r="I338" s="25"/>
      <c r="J338" s="26"/>
    </row>
    <row r="339">
      <c r="A339" s="136">
        <f t="shared" si="103"/>
        <v>45</v>
      </c>
      <c r="B339" s="137" t="str">
        <f>IFERROR(__xludf.DUMMYFUNCTION("""COMPUTED_VALUE"""),"Ruben Ron")</f>
        <v>Ruben Ron</v>
      </c>
      <c r="C339" s="138">
        <f t="shared" si="101"/>
        <v>45</v>
      </c>
      <c r="D339" s="139"/>
      <c r="E339" s="25"/>
      <c r="F339" s="26"/>
      <c r="G339" s="138">
        <f t="shared" si="102"/>
        <v>45</v>
      </c>
      <c r="H339" s="139"/>
      <c r="I339" s="25"/>
      <c r="J339" s="26"/>
    </row>
    <row r="340">
      <c r="A340" s="136">
        <f t="shared" si="103"/>
        <v>46</v>
      </c>
      <c r="B340" s="137" t="str">
        <f>IFERROR(__xludf.DUMMYFUNCTION("""COMPUTED_VALUE"""),"Rudy Tatang")</f>
        <v>Rudy Tatang</v>
      </c>
      <c r="C340" s="138">
        <f t="shared" si="101"/>
        <v>46</v>
      </c>
      <c r="D340" s="139"/>
      <c r="E340" s="25"/>
      <c r="F340" s="26"/>
      <c r="G340" s="138">
        <f t="shared" si="102"/>
        <v>46</v>
      </c>
      <c r="H340" s="139"/>
      <c r="I340" s="25"/>
      <c r="J340" s="26"/>
    </row>
    <row r="341">
      <c r="A341" s="136">
        <f t="shared" si="103"/>
        <v>47</v>
      </c>
      <c r="B341" s="137" t="str">
        <f>IFERROR(__xludf.DUMMYFUNCTION("""COMPUTED_VALUE"""),"Sandeep Kamalon")</f>
        <v>Sandeep Kamalon</v>
      </c>
      <c r="C341" s="138">
        <f t="shared" si="101"/>
        <v>47</v>
      </c>
      <c r="D341" s="139"/>
      <c r="E341" s="25"/>
      <c r="F341" s="26"/>
      <c r="G341" s="138">
        <f t="shared" si="102"/>
        <v>47</v>
      </c>
      <c r="H341" s="139"/>
      <c r="I341" s="25"/>
      <c r="J341" s="26"/>
    </row>
    <row r="342">
      <c r="A342" s="136">
        <f t="shared" si="103"/>
        <v>48</v>
      </c>
      <c r="B342" s="137" t="str">
        <f>IFERROR(__xludf.DUMMYFUNCTION("""COMPUTED_VALUE"""),"Sanjaye Elayattu")</f>
        <v>Sanjaye Elayattu</v>
      </c>
      <c r="C342" s="138">
        <f t="shared" si="101"/>
        <v>48</v>
      </c>
      <c r="D342" s="139"/>
      <c r="E342" s="25"/>
      <c r="F342" s="26"/>
      <c r="G342" s="138">
        <f t="shared" si="102"/>
        <v>48</v>
      </c>
      <c r="H342" s="139"/>
      <c r="I342" s="25"/>
      <c r="J342" s="26"/>
    </row>
    <row r="343">
      <c r="A343" s="136">
        <f t="shared" si="103"/>
        <v>49</v>
      </c>
      <c r="B343" s="137" t="str">
        <f>IFERROR(__xludf.DUMMYFUNCTION("""COMPUTED_VALUE"""),"Santosh Sundaresan")</f>
        <v>Santosh Sundaresan</v>
      </c>
      <c r="C343" s="138">
        <f t="shared" si="101"/>
        <v>49</v>
      </c>
      <c r="D343" s="139"/>
      <c r="E343" s="25"/>
      <c r="F343" s="26"/>
      <c r="G343" s="138">
        <f t="shared" si="102"/>
        <v>49</v>
      </c>
      <c r="H343" s="139"/>
      <c r="I343" s="25"/>
      <c r="J343" s="26"/>
    </row>
    <row r="344">
      <c r="A344" s="136">
        <f t="shared" si="103"/>
        <v>50</v>
      </c>
      <c r="B344" s="137" t="str">
        <f>IFERROR(__xludf.DUMMYFUNCTION("""COMPUTED_VALUE"""),"Saravanan Veerapandian")</f>
        <v>Saravanan Veerapandian</v>
      </c>
      <c r="C344" s="138">
        <f t="shared" si="101"/>
        <v>50</v>
      </c>
      <c r="D344" s="139"/>
      <c r="E344" s="25"/>
      <c r="F344" s="26"/>
      <c r="G344" s="138">
        <f t="shared" si="102"/>
        <v>50</v>
      </c>
      <c r="H344" s="139"/>
      <c r="I344" s="25"/>
      <c r="J344" s="26"/>
    </row>
    <row r="345">
      <c r="A345" s="136">
        <f t="shared" si="103"/>
        <v>51</v>
      </c>
      <c r="B345" s="137" t="str">
        <f>IFERROR(__xludf.DUMMYFUNCTION("""COMPUTED_VALUE"""),"Scott Li")</f>
        <v>Scott Li</v>
      </c>
      <c r="C345" s="138">
        <f t="shared" si="101"/>
        <v>51</v>
      </c>
      <c r="D345" s="139"/>
      <c r="E345" s="25"/>
      <c r="F345" s="26"/>
      <c r="G345" s="138">
        <f t="shared" si="102"/>
        <v>51</v>
      </c>
      <c r="H345" s="139"/>
      <c r="I345" s="25"/>
      <c r="J345" s="26"/>
    </row>
    <row r="346">
      <c r="A346" s="136">
        <f t="shared" si="103"/>
        <v>52</v>
      </c>
      <c r="B346" s="137" t="str">
        <f>IFERROR(__xludf.DUMMYFUNCTION("""COMPUTED_VALUE"""),"Sean Chang")</f>
        <v>Sean Chang</v>
      </c>
      <c r="C346" s="138">
        <f t="shared" si="101"/>
        <v>52</v>
      </c>
      <c r="D346" s="139"/>
      <c r="E346" s="25"/>
      <c r="F346" s="26"/>
      <c r="G346" s="138">
        <f t="shared" si="102"/>
        <v>52</v>
      </c>
      <c r="H346" s="139"/>
      <c r="I346" s="25"/>
      <c r="J346" s="26"/>
    </row>
    <row r="347">
      <c r="A347" s="136">
        <f t="shared" si="103"/>
        <v>53</v>
      </c>
      <c r="B347" s="137" t="str">
        <f>IFERROR(__xludf.DUMMYFUNCTION("""COMPUTED_VALUE"""),"Suleman Alidina")</f>
        <v>Suleman Alidina</v>
      </c>
      <c r="C347" s="138">
        <f t="shared" si="101"/>
        <v>53</v>
      </c>
      <c r="D347" s="139"/>
      <c r="E347" s="25"/>
      <c r="F347" s="26"/>
      <c r="G347" s="138">
        <f t="shared" si="102"/>
        <v>53</v>
      </c>
      <c r="H347" s="139"/>
      <c r="I347" s="25"/>
      <c r="J347" s="26"/>
    </row>
    <row r="348">
      <c r="A348" s="136">
        <f t="shared" si="103"/>
        <v>54</v>
      </c>
      <c r="B348" s="137" t="str">
        <f>IFERROR(__xludf.DUMMYFUNCTION("""COMPUTED_VALUE"""),"Susanta Mishra")</f>
        <v>Susanta Mishra</v>
      </c>
      <c r="C348" s="138">
        <f t="shared" si="101"/>
        <v>54</v>
      </c>
      <c r="D348" s="139"/>
      <c r="E348" s="25"/>
      <c r="F348" s="26"/>
      <c r="G348" s="138">
        <f t="shared" si="102"/>
        <v>54</v>
      </c>
      <c r="H348" s="139"/>
      <c r="I348" s="25"/>
      <c r="J348" s="26"/>
    </row>
    <row r="349">
      <c r="A349" s="136">
        <f t="shared" si="103"/>
        <v>55</v>
      </c>
      <c r="B349" s="137" t="str">
        <f>IFERROR(__xludf.DUMMYFUNCTION("""COMPUTED_VALUE"""),"Ted Shen")</f>
        <v>Ted Shen</v>
      </c>
      <c r="C349" s="138">
        <f t="shared" si="101"/>
        <v>55</v>
      </c>
      <c r="D349" s="139"/>
      <c r="E349" s="25"/>
      <c r="F349" s="26"/>
      <c r="G349" s="138">
        <f t="shared" si="102"/>
        <v>55</v>
      </c>
      <c r="H349" s="139"/>
      <c r="I349" s="25"/>
      <c r="J349" s="26"/>
    </row>
    <row r="350">
      <c r="A350" s="136">
        <f t="shared" si="103"/>
        <v>56</v>
      </c>
      <c r="B350" s="137" t="str">
        <f>IFERROR(__xludf.DUMMYFUNCTION("""COMPUTED_VALUE"""),"Tina Hanson")</f>
        <v>Tina Hanson</v>
      </c>
      <c r="C350" s="138">
        <f t="shared" si="101"/>
        <v>56</v>
      </c>
      <c r="D350" s="139"/>
      <c r="E350" s="25"/>
      <c r="F350" s="26"/>
      <c r="G350" s="138">
        <f t="shared" si="102"/>
        <v>56</v>
      </c>
      <c r="H350" s="139"/>
      <c r="I350" s="25"/>
      <c r="J350" s="26"/>
    </row>
    <row r="351">
      <c r="A351" s="136">
        <f t="shared" si="103"/>
        <v>57</v>
      </c>
      <c r="B351" s="137" t="str">
        <f>IFERROR(__xludf.DUMMYFUNCTION("""COMPUTED_VALUE"""),"Tom Le")</f>
        <v>Tom Le</v>
      </c>
      <c r="C351" s="138">
        <f t="shared" si="101"/>
        <v>57</v>
      </c>
      <c r="D351" s="139"/>
      <c r="E351" s="25"/>
      <c r="F351" s="26"/>
      <c r="G351" s="138">
        <f t="shared" si="102"/>
        <v>57</v>
      </c>
      <c r="H351" s="139"/>
      <c r="I351" s="25"/>
      <c r="J351" s="26"/>
    </row>
    <row r="352">
      <c r="A352" s="136">
        <f t="shared" si="103"/>
        <v>58</v>
      </c>
      <c r="B352" s="137" t="str">
        <f>IFERROR(__xludf.DUMMYFUNCTION("""COMPUTED_VALUE"""),"Trish Newlin")</f>
        <v>Trish Newlin</v>
      </c>
      <c r="C352" s="138">
        <f t="shared" si="101"/>
        <v>58</v>
      </c>
      <c r="D352" s="139"/>
      <c r="E352" s="25"/>
      <c r="F352" s="26"/>
      <c r="G352" s="138">
        <f t="shared" si="102"/>
        <v>58</v>
      </c>
      <c r="H352" s="139"/>
      <c r="I352" s="25"/>
      <c r="J352" s="26"/>
    </row>
    <row r="353">
      <c r="A353" s="136">
        <f t="shared" si="103"/>
        <v>59</v>
      </c>
      <c r="B353" s="137" t="str">
        <f>IFERROR(__xludf.DUMMYFUNCTION("""COMPUTED_VALUE"""),"Troy Wong")</f>
        <v>Troy Wong</v>
      </c>
      <c r="C353" s="138">
        <f t="shared" si="101"/>
        <v>59</v>
      </c>
      <c r="D353" s="139"/>
      <c r="E353" s="25"/>
      <c r="F353" s="26"/>
      <c r="G353" s="138">
        <f t="shared" si="102"/>
        <v>59</v>
      </c>
      <c r="H353" s="139"/>
      <c r="I353" s="25"/>
      <c r="J353" s="26"/>
    </row>
    <row r="354">
      <c r="A354" s="136">
        <f t="shared" si="103"/>
        <v>60</v>
      </c>
      <c r="B354" s="137" t="str">
        <f>IFERROR(__xludf.DUMMYFUNCTION("""COMPUTED_VALUE"""),"Vicki Martinet")</f>
        <v>Vicki Martinet</v>
      </c>
      <c r="C354" s="138">
        <f t="shared" si="101"/>
        <v>60</v>
      </c>
      <c r="D354" s="139"/>
      <c r="E354" s="25"/>
      <c r="F354" s="26"/>
      <c r="G354" s="138">
        <f t="shared" si="102"/>
        <v>60</v>
      </c>
      <c r="H354" s="139"/>
      <c r="I354" s="25"/>
      <c r="J354" s="26"/>
    </row>
    <row r="355">
      <c r="A355" s="136">
        <f t="shared" si="103"/>
        <v>61</v>
      </c>
      <c r="B355" s="137" t="str">
        <f>IFERROR(__xludf.DUMMYFUNCTION("""COMPUTED_VALUE"""),"Vinaya Kajla")</f>
        <v>Vinaya Kajla</v>
      </c>
      <c r="C355" s="138">
        <f t="shared" si="101"/>
        <v>61</v>
      </c>
      <c r="D355" s="139"/>
      <c r="E355" s="25"/>
      <c r="F355" s="26"/>
      <c r="G355" s="138">
        <f t="shared" si="102"/>
        <v>61</v>
      </c>
      <c r="H355" s="139"/>
      <c r="I355" s="25"/>
      <c r="J355" s="26"/>
    </row>
    <row r="356">
      <c r="A356" s="136">
        <f t="shared" si="103"/>
        <v>62</v>
      </c>
      <c r="B356" s="137" t="str">
        <f>IFERROR(__xludf.DUMMYFUNCTION("""COMPUTED_VALUE"""),"Vinotkumar Nagappan")</f>
        <v>Vinotkumar Nagappan</v>
      </c>
      <c r="C356" s="138">
        <f t="shared" si="101"/>
        <v>62</v>
      </c>
      <c r="D356" s="139"/>
      <c r="E356" s="25"/>
      <c r="F356" s="26"/>
      <c r="G356" s="138">
        <f t="shared" si="102"/>
        <v>62</v>
      </c>
      <c r="H356" s="139"/>
      <c r="I356" s="25"/>
      <c r="J356" s="26"/>
    </row>
    <row r="357">
      <c r="A357" s="136">
        <f t="shared" si="103"/>
        <v>63</v>
      </c>
      <c r="B357" s="137" t="str">
        <f>IFERROR(__xludf.DUMMYFUNCTION("""COMPUTED_VALUE"""),"Vishnu Amarnath")</f>
        <v>Vishnu Amarnath</v>
      </c>
      <c r="C357" s="138">
        <f t="shared" si="101"/>
        <v>63</v>
      </c>
      <c r="D357" s="139"/>
      <c r="E357" s="25"/>
      <c r="F357" s="26"/>
      <c r="G357" s="138">
        <f t="shared" si="102"/>
        <v>63</v>
      </c>
      <c r="H357" s="139"/>
      <c r="I357" s="25"/>
      <c r="J357" s="26"/>
    </row>
    <row r="358">
      <c r="A358" s="136">
        <f t="shared" si="103"/>
        <v>64</v>
      </c>
      <c r="B358" s="137" t="str">
        <f>IFERROR(__xludf.DUMMYFUNCTION("""COMPUTED_VALUE"""),"Wayne Liu")</f>
        <v>Wayne Liu</v>
      </c>
      <c r="C358" s="138">
        <f t="shared" si="101"/>
        <v>64</v>
      </c>
      <c r="D358" s="139"/>
      <c r="E358" s="25"/>
      <c r="F358" s="26"/>
      <c r="G358" s="138">
        <f t="shared" si="102"/>
        <v>64</v>
      </c>
      <c r="H358" s="139"/>
      <c r="I358" s="25"/>
      <c r="J358" s="26"/>
    </row>
    <row r="359">
      <c r="A359" s="136">
        <f t="shared" si="103"/>
        <v>65</v>
      </c>
      <c r="B359" s="137"/>
      <c r="C359" s="138">
        <f t="shared" si="101"/>
        <v>65</v>
      </c>
      <c r="D359" s="139"/>
      <c r="E359" s="25"/>
      <c r="F359" s="26"/>
      <c r="G359" s="138">
        <f t="shared" si="102"/>
        <v>65</v>
      </c>
      <c r="H359" s="139"/>
      <c r="I359" s="25"/>
      <c r="J359" s="26"/>
    </row>
    <row r="360">
      <c r="A360" s="136">
        <f t="shared" si="103"/>
        <v>66</v>
      </c>
      <c r="B360" s="137"/>
      <c r="C360" s="138">
        <f t="shared" si="101"/>
        <v>66</v>
      </c>
      <c r="D360" s="139"/>
      <c r="E360" s="25"/>
      <c r="F360" s="26"/>
      <c r="G360" s="138">
        <f t="shared" si="102"/>
        <v>66</v>
      </c>
      <c r="H360" s="139"/>
      <c r="I360" s="25"/>
      <c r="J360" s="26"/>
    </row>
    <row r="361">
      <c r="A361" s="136">
        <f t="shared" si="103"/>
        <v>67</v>
      </c>
      <c r="B361" s="137"/>
      <c r="C361" s="138">
        <f t="shared" si="101"/>
        <v>67</v>
      </c>
      <c r="D361" s="139"/>
      <c r="E361" s="25"/>
      <c r="F361" s="26"/>
      <c r="G361" s="138">
        <f t="shared" si="102"/>
        <v>67</v>
      </c>
      <c r="H361" s="139"/>
      <c r="I361" s="25"/>
      <c r="J361" s="26"/>
    </row>
    <row r="362">
      <c r="A362" s="136">
        <f t="shared" si="103"/>
        <v>68</v>
      </c>
      <c r="B362" s="137"/>
      <c r="C362" s="138">
        <f t="shared" si="101"/>
        <v>68</v>
      </c>
      <c r="D362" s="139"/>
      <c r="E362" s="25"/>
      <c r="F362" s="26"/>
      <c r="G362" s="138">
        <f t="shared" si="102"/>
        <v>68</v>
      </c>
      <c r="H362" s="139"/>
      <c r="I362" s="25"/>
      <c r="J362" s="26"/>
    </row>
    <row r="363">
      <c r="A363" s="136">
        <f t="shared" si="103"/>
        <v>69</v>
      </c>
      <c r="B363" s="137"/>
      <c r="C363" s="138">
        <f t="shared" si="101"/>
        <v>69</v>
      </c>
      <c r="D363" s="139"/>
      <c r="E363" s="25"/>
      <c r="F363" s="26"/>
      <c r="G363" s="138">
        <f t="shared" si="102"/>
        <v>69</v>
      </c>
      <c r="H363" s="139"/>
      <c r="I363" s="25"/>
      <c r="J363" s="26"/>
    </row>
    <row r="364">
      <c r="A364" s="136">
        <f t="shared" si="103"/>
        <v>70</v>
      </c>
      <c r="B364" s="137"/>
      <c r="C364" s="138">
        <f t="shared" si="101"/>
        <v>70</v>
      </c>
      <c r="D364" s="139"/>
      <c r="E364" s="25"/>
      <c r="F364" s="26"/>
      <c r="G364" s="138">
        <f t="shared" si="102"/>
        <v>70</v>
      </c>
      <c r="H364" s="139"/>
      <c r="I364" s="25"/>
      <c r="J364" s="26"/>
    </row>
    <row r="365">
      <c r="A365" s="136">
        <f t="shared" si="103"/>
        <v>71</v>
      </c>
      <c r="B365" s="137"/>
      <c r="C365" s="138">
        <f t="shared" si="101"/>
        <v>71</v>
      </c>
      <c r="D365" s="139"/>
      <c r="E365" s="25"/>
      <c r="F365" s="26"/>
      <c r="G365" s="138">
        <f t="shared" si="102"/>
        <v>71</v>
      </c>
      <c r="H365" s="139"/>
      <c r="I365" s="25"/>
      <c r="J365" s="26"/>
    </row>
    <row r="366">
      <c r="A366" s="136">
        <f t="shared" si="103"/>
        <v>72</v>
      </c>
      <c r="B366" s="137"/>
      <c r="C366" s="138">
        <f t="shared" si="101"/>
        <v>72</v>
      </c>
      <c r="D366" s="139"/>
      <c r="E366" s="25"/>
      <c r="F366" s="26"/>
      <c r="G366" s="138">
        <f t="shared" si="102"/>
        <v>72</v>
      </c>
      <c r="H366" s="139"/>
      <c r="I366" s="25"/>
      <c r="J366" s="26"/>
    </row>
    <row r="367">
      <c r="A367" s="136">
        <f t="shared" si="103"/>
        <v>73</v>
      </c>
      <c r="B367" s="137"/>
      <c r="C367" s="138">
        <f t="shared" si="101"/>
        <v>73</v>
      </c>
      <c r="D367" s="139"/>
      <c r="E367" s="25"/>
      <c r="F367" s="26"/>
      <c r="G367" s="138">
        <f t="shared" si="102"/>
        <v>73</v>
      </c>
      <c r="H367" s="139"/>
      <c r="I367" s="25"/>
      <c r="J367" s="26"/>
    </row>
    <row r="368">
      <c r="A368" s="136">
        <f t="shared" si="103"/>
        <v>74</v>
      </c>
      <c r="B368" s="137"/>
      <c r="C368" s="138">
        <f t="shared" si="101"/>
        <v>74</v>
      </c>
      <c r="D368" s="139"/>
      <c r="E368" s="25"/>
      <c r="F368" s="26"/>
      <c r="G368" s="138">
        <f t="shared" si="102"/>
        <v>74</v>
      </c>
      <c r="H368" s="139"/>
      <c r="I368" s="25"/>
      <c r="J368" s="26"/>
    </row>
    <row r="369">
      <c r="A369" s="136">
        <f t="shared" si="103"/>
        <v>75</v>
      </c>
      <c r="B369" s="137"/>
      <c r="C369" s="138">
        <f t="shared" si="101"/>
        <v>75</v>
      </c>
      <c r="D369" s="139"/>
      <c r="E369" s="25"/>
      <c r="F369" s="26"/>
      <c r="G369" s="138">
        <f t="shared" si="102"/>
        <v>75</v>
      </c>
      <c r="H369" s="139"/>
      <c r="I369" s="25"/>
      <c r="J369" s="26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</sheetData>
  <mergeCells count="170"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A142:B142"/>
    <mergeCell ref="B223:C223"/>
    <mergeCell ref="D294:F294"/>
    <mergeCell ref="H294:J294"/>
    <mergeCell ref="H295:J295"/>
    <mergeCell ref="H298:J298"/>
    <mergeCell ref="H299:J299"/>
    <mergeCell ref="D295:F295"/>
    <mergeCell ref="D296:F296"/>
    <mergeCell ref="H296:J296"/>
    <mergeCell ref="D297:F297"/>
    <mergeCell ref="H297:J297"/>
    <mergeCell ref="D298:F298"/>
    <mergeCell ref="D299:F299"/>
    <mergeCell ref="D300:F300"/>
    <mergeCell ref="H300:J300"/>
    <mergeCell ref="D301:F301"/>
    <mergeCell ref="H301:J301"/>
    <mergeCell ref="D302:F302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D352:F352"/>
    <mergeCell ref="D353:F353"/>
    <mergeCell ref="D354:F354"/>
    <mergeCell ref="D355:F355"/>
    <mergeCell ref="D356:F356"/>
    <mergeCell ref="D357:F357"/>
    <mergeCell ref="D358:F358"/>
    <mergeCell ref="D366:F366"/>
    <mergeCell ref="D367:F367"/>
    <mergeCell ref="D368:F368"/>
    <mergeCell ref="D369:F369"/>
    <mergeCell ref="D359:F359"/>
    <mergeCell ref="D360:F360"/>
    <mergeCell ref="D361:F361"/>
    <mergeCell ref="D362:F362"/>
    <mergeCell ref="D363:F363"/>
    <mergeCell ref="D364:F364"/>
    <mergeCell ref="D365:F365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H367:J367"/>
    <mergeCell ref="H368:J368"/>
    <mergeCell ref="H369:J369"/>
    <mergeCell ref="H360:J360"/>
    <mergeCell ref="H361:J361"/>
    <mergeCell ref="H362:J362"/>
    <mergeCell ref="H363:J363"/>
    <mergeCell ref="H364:J364"/>
    <mergeCell ref="H365:J365"/>
    <mergeCell ref="H366:J366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46193.0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24.0</v>
      </c>
      <c r="E2" s="5"/>
      <c r="F2" s="5"/>
      <c r="R2" s="18"/>
      <c r="AC2" s="22" t="str">
        <f>text(C1-7,"mm/dd/yy")</f>
        <v>06/13/26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33</v>
      </c>
      <c r="R3" s="18" t="s">
        <v>34</v>
      </c>
      <c r="S3" s="18"/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356.0</v>
      </c>
      <c r="D5" s="37">
        <v>48.0</v>
      </c>
      <c r="E5" s="40">
        <f t="shared" ref="E5:E79" si="2">if(S5&gt;0,(C5-(V5*9)-(T5*13))/S5,0)</f>
        <v>15.66666667</v>
      </c>
      <c r="F5" s="90">
        <v>3.0</v>
      </c>
      <c r="G5" s="91">
        <v>0.0</v>
      </c>
      <c r="H5" s="92">
        <v>9.0</v>
      </c>
      <c r="I5" s="91">
        <v>0.0</v>
      </c>
      <c r="J5" s="91">
        <v>0.0</v>
      </c>
      <c r="K5" s="91">
        <v>0.0</v>
      </c>
      <c r="L5" s="93">
        <v>9.0</v>
      </c>
      <c r="M5" s="91">
        <v>0.0</v>
      </c>
      <c r="N5" s="37">
        <f t="shared" ref="N5:O5" si="1">C5+L5</f>
        <v>365</v>
      </c>
      <c r="O5" s="37">
        <f t="shared" si="1"/>
        <v>48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21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3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339.0</v>
      </c>
      <c r="D6" s="37">
        <v>38.0</v>
      </c>
      <c r="E6" s="40">
        <f t="shared" si="2"/>
        <v>15.15</v>
      </c>
      <c r="F6" s="90">
        <v>1.0</v>
      </c>
      <c r="G6" s="91">
        <v>1.0</v>
      </c>
      <c r="H6" s="92">
        <v>0.0</v>
      </c>
      <c r="I6" s="91">
        <v>3.0</v>
      </c>
      <c r="J6" s="91">
        <v>6.0</v>
      </c>
      <c r="K6" s="91">
        <v>6.0</v>
      </c>
      <c r="L6" s="93">
        <v>15.0</v>
      </c>
      <c r="M6" s="91">
        <v>2.0</v>
      </c>
      <c r="N6" s="37">
        <f t="shared" ref="N6:O6" si="3">C6+L6</f>
        <v>354</v>
      </c>
      <c r="O6" s="37">
        <f t="shared" si="3"/>
        <v>40</v>
      </c>
      <c r="P6" s="49" t="s">
        <v>57</v>
      </c>
      <c r="Q6" s="49" t="s">
        <v>57</v>
      </c>
      <c r="R6" s="49"/>
      <c r="S6" s="51">
        <f t="shared" si="4"/>
        <v>20</v>
      </c>
      <c r="T6" s="52">
        <f t="shared" si="5"/>
        <v>0</v>
      </c>
      <c r="U6" s="52"/>
      <c r="V6" s="51">
        <f t="shared" si="6"/>
        <v>4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325.0</v>
      </c>
      <c r="D7" s="37">
        <v>32.0</v>
      </c>
      <c r="E7" s="40">
        <f t="shared" si="2"/>
        <v>14.19047619</v>
      </c>
      <c r="F7" s="90">
        <v>1.0</v>
      </c>
      <c r="G7" s="91">
        <v>1.0</v>
      </c>
      <c r="H7" s="92">
        <v>0.0</v>
      </c>
      <c r="I7" s="91">
        <v>6.0</v>
      </c>
      <c r="J7" s="91">
        <v>3.0</v>
      </c>
      <c r="K7" s="91">
        <v>6.0</v>
      </c>
      <c r="L7" s="93">
        <v>15.0</v>
      </c>
      <c r="M7" s="91">
        <v>2.0</v>
      </c>
      <c r="N7" s="37">
        <f t="shared" ref="N7:O7" si="11">C7+L7</f>
        <v>340</v>
      </c>
      <c r="O7" s="37">
        <f t="shared" si="11"/>
        <v>34</v>
      </c>
      <c r="P7" s="49" t="s">
        <v>57</v>
      </c>
      <c r="Q7" s="49" t="s">
        <v>57</v>
      </c>
      <c r="R7" s="49" t="s">
        <v>57</v>
      </c>
      <c r="S7" s="51">
        <f t="shared" si="4"/>
        <v>21</v>
      </c>
      <c r="T7" s="52">
        <f t="shared" si="5"/>
        <v>0</v>
      </c>
      <c r="U7" s="52"/>
      <c r="V7" s="51">
        <f t="shared" si="6"/>
        <v>3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312.0</v>
      </c>
      <c r="D8" s="37">
        <v>28.0</v>
      </c>
      <c r="E8" s="40">
        <f t="shared" si="2"/>
        <v>13.4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321</v>
      </c>
      <c r="O8" s="37">
        <f t="shared" si="13"/>
        <v>28</v>
      </c>
      <c r="P8" s="49" t="s">
        <v>57</v>
      </c>
      <c r="Q8" s="49" t="s">
        <v>57</v>
      </c>
      <c r="R8" s="49" t="s">
        <v>57</v>
      </c>
      <c r="S8" s="51">
        <f t="shared" si="4"/>
        <v>20</v>
      </c>
      <c r="T8" s="52">
        <f t="shared" si="5"/>
        <v>2</v>
      </c>
      <c r="U8" s="52"/>
      <c r="V8" s="51">
        <f t="shared" si="6"/>
        <v>2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93</v>
      </c>
      <c r="C9" s="37">
        <v>307.0</v>
      </c>
      <c r="D9" s="37">
        <v>29.0</v>
      </c>
      <c r="E9" s="40">
        <f t="shared" si="2"/>
        <v>13.35</v>
      </c>
      <c r="F9" s="90">
        <v>1.0</v>
      </c>
      <c r="G9" s="91">
        <v>1.0</v>
      </c>
      <c r="H9" s="92">
        <v>0.0</v>
      </c>
      <c r="I9" s="91">
        <v>3.0</v>
      </c>
      <c r="J9" s="91">
        <v>3.0</v>
      </c>
      <c r="K9" s="91">
        <v>2.0</v>
      </c>
      <c r="L9" s="93">
        <v>8.0</v>
      </c>
      <c r="M9" s="91">
        <v>0.0</v>
      </c>
      <c r="N9" s="37">
        <f t="shared" ref="N9:O9" si="14">C9+L9</f>
        <v>315</v>
      </c>
      <c r="O9" s="37">
        <f t="shared" si="14"/>
        <v>29</v>
      </c>
      <c r="P9" s="49" t="s">
        <v>57</v>
      </c>
      <c r="Q9" s="49" t="s">
        <v>57</v>
      </c>
      <c r="R9" s="49"/>
      <c r="S9" s="51">
        <f t="shared" si="4"/>
        <v>20</v>
      </c>
      <c r="T9" s="52">
        <f t="shared" si="5"/>
        <v>1</v>
      </c>
      <c r="U9" s="52"/>
      <c r="V9" s="51">
        <f t="shared" si="6"/>
        <v>3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80</v>
      </c>
      <c r="C10" s="37">
        <v>306.0</v>
      </c>
      <c r="D10" s="37">
        <v>28.0</v>
      </c>
      <c r="E10" s="40">
        <f t="shared" si="2"/>
        <v>14.05882353</v>
      </c>
      <c r="F10" s="90">
        <v>1.0</v>
      </c>
      <c r="G10" s="91">
        <v>1.0</v>
      </c>
      <c r="H10" s="92">
        <v>0.0</v>
      </c>
      <c r="I10" s="91">
        <v>6.0</v>
      </c>
      <c r="J10" s="91">
        <v>6.0</v>
      </c>
      <c r="K10" s="91">
        <v>2.0</v>
      </c>
      <c r="L10" s="93">
        <v>14.0</v>
      </c>
      <c r="M10" s="91">
        <v>2.0</v>
      </c>
      <c r="N10" s="37">
        <f t="shared" ref="N10:O10" si="15">C10+L10</f>
        <v>320</v>
      </c>
      <c r="O10" s="37">
        <f t="shared" si="15"/>
        <v>30</v>
      </c>
      <c r="P10" s="49" t="s">
        <v>57</v>
      </c>
      <c r="Q10" s="49" t="s">
        <v>57</v>
      </c>
      <c r="R10" s="49" t="s">
        <v>57</v>
      </c>
      <c r="S10" s="51">
        <f t="shared" si="4"/>
        <v>17</v>
      </c>
      <c r="T10" s="52">
        <f t="shared" si="5"/>
        <v>1</v>
      </c>
      <c r="U10" s="52"/>
      <c r="V10" s="51">
        <f t="shared" si="6"/>
        <v>6</v>
      </c>
      <c r="W10" s="52">
        <f t="shared" si="7"/>
        <v>3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94</v>
      </c>
      <c r="C11" s="37">
        <v>305.0</v>
      </c>
      <c r="D11" s="37">
        <v>30.0</v>
      </c>
      <c r="E11" s="40">
        <f t="shared" si="2"/>
        <v>13.25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314</v>
      </c>
      <c r="O11" s="37">
        <f t="shared" si="16"/>
        <v>30</v>
      </c>
      <c r="P11" s="49" t="s">
        <v>57</v>
      </c>
      <c r="Q11" s="49" t="s">
        <v>57</v>
      </c>
      <c r="R11" s="49" t="s">
        <v>57</v>
      </c>
      <c r="S11" s="51">
        <f t="shared" si="4"/>
        <v>20</v>
      </c>
      <c r="T11" s="52">
        <f t="shared" si="5"/>
        <v>1</v>
      </c>
      <c r="U11" s="52"/>
      <c r="V11" s="51">
        <f t="shared" si="6"/>
        <v>3</v>
      </c>
      <c r="W11" s="52">
        <f t="shared" si="7"/>
        <v>-1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73</v>
      </c>
      <c r="C12" s="37">
        <v>302.0</v>
      </c>
      <c r="D12" s="37">
        <v>29.0</v>
      </c>
      <c r="E12" s="40">
        <f t="shared" si="2"/>
        <v>15.83333333</v>
      </c>
      <c r="F12" s="90">
        <v>2.0</v>
      </c>
      <c r="G12" s="91">
        <v>2.0</v>
      </c>
      <c r="H12" s="92">
        <v>0.0</v>
      </c>
      <c r="I12" s="91">
        <v>7.0</v>
      </c>
      <c r="J12" s="91">
        <v>3.0</v>
      </c>
      <c r="K12" s="91">
        <v>6.0</v>
      </c>
      <c r="L12" s="93">
        <v>16.0</v>
      </c>
      <c r="M12" s="91">
        <v>2.0</v>
      </c>
      <c r="N12" s="37">
        <f t="shared" ref="N12:O12" si="17">C12+L12</f>
        <v>318</v>
      </c>
      <c r="O12" s="37">
        <f t="shared" si="17"/>
        <v>31</v>
      </c>
      <c r="P12" s="49" t="s">
        <v>57</v>
      </c>
      <c r="Q12" s="49" t="s">
        <v>57</v>
      </c>
      <c r="R12" s="49"/>
      <c r="S12" s="51">
        <f t="shared" si="4"/>
        <v>12</v>
      </c>
      <c r="T12" s="52">
        <f t="shared" si="5"/>
        <v>1</v>
      </c>
      <c r="U12" s="52"/>
      <c r="V12" s="51">
        <f t="shared" si="6"/>
        <v>11</v>
      </c>
      <c r="W12" s="52">
        <f t="shared" si="7"/>
        <v>6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92</v>
      </c>
      <c r="C13" s="37">
        <v>301.0</v>
      </c>
      <c r="D13" s="37">
        <v>22.0</v>
      </c>
      <c r="E13" s="40">
        <f t="shared" si="2"/>
        <v>13.72222222</v>
      </c>
      <c r="F13" s="90">
        <v>1.0</v>
      </c>
      <c r="G13" s="91">
        <v>2.0</v>
      </c>
      <c r="H13" s="92">
        <v>0.0</v>
      </c>
      <c r="I13" s="91">
        <v>7.0</v>
      </c>
      <c r="J13" s="91">
        <v>6.0</v>
      </c>
      <c r="K13" s="91">
        <v>1.0</v>
      </c>
      <c r="L13" s="93">
        <v>14.0</v>
      </c>
      <c r="M13" s="91">
        <v>2.0</v>
      </c>
      <c r="N13" s="37">
        <f t="shared" ref="N13:O13" si="18">C13+L13</f>
        <v>315</v>
      </c>
      <c r="O13" s="37">
        <f t="shared" si="18"/>
        <v>24</v>
      </c>
      <c r="P13" s="49" t="s">
        <v>57</v>
      </c>
      <c r="Q13" s="49" t="s">
        <v>57</v>
      </c>
      <c r="R13" s="49" t="s">
        <v>57</v>
      </c>
      <c r="S13" s="51">
        <f t="shared" si="4"/>
        <v>18</v>
      </c>
      <c r="T13" s="52">
        <f t="shared" si="5"/>
        <v>0</v>
      </c>
      <c r="U13" s="52"/>
      <c r="V13" s="51">
        <f t="shared" si="6"/>
        <v>6</v>
      </c>
      <c r="W13" s="52">
        <f t="shared" si="7"/>
        <v>1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95</v>
      </c>
      <c r="C14" s="37">
        <v>300.0</v>
      </c>
      <c r="D14" s="37">
        <v>28.0</v>
      </c>
      <c r="E14" s="40">
        <f t="shared" si="2"/>
        <v>13.94117647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309</v>
      </c>
      <c r="O14" s="37">
        <f t="shared" si="19"/>
        <v>28</v>
      </c>
      <c r="P14" s="49" t="s">
        <v>57</v>
      </c>
      <c r="Q14" s="49" t="s">
        <v>57</v>
      </c>
      <c r="R14" s="49" t="s">
        <v>57</v>
      </c>
      <c r="S14" s="51">
        <f t="shared" si="4"/>
        <v>17</v>
      </c>
      <c r="T14" s="52">
        <f t="shared" si="5"/>
        <v>0</v>
      </c>
      <c r="U14" s="52"/>
      <c r="V14" s="51">
        <f t="shared" si="6"/>
        <v>7</v>
      </c>
      <c r="W14" s="52">
        <f t="shared" si="7"/>
        <v>-3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89</v>
      </c>
      <c r="C15" s="37">
        <v>298.0</v>
      </c>
      <c r="D15" s="37">
        <v>28.0</v>
      </c>
      <c r="E15" s="40">
        <f t="shared" si="2"/>
        <v>15.83333333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307</v>
      </c>
      <c r="O15" s="37">
        <f t="shared" si="20"/>
        <v>28</v>
      </c>
      <c r="P15" s="49" t="s">
        <v>57</v>
      </c>
      <c r="Q15" s="49" t="s">
        <v>57</v>
      </c>
      <c r="R15" s="49" t="s">
        <v>57</v>
      </c>
      <c r="S15" s="51">
        <f t="shared" si="4"/>
        <v>12</v>
      </c>
      <c r="T15" s="52">
        <f t="shared" si="5"/>
        <v>0</v>
      </c>
      <c r="U15" s="52"/>
      <c r="V15" s="51">
        <f t="shared" si="6"/>
        <v>12</v>
      </c>
      <c r="W15" s="52">
        <f t="shared" si="7"/>
        <v>-3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97</v>
      </c>
      <c r="C16" s="37">
        <v>298.0</v>
      </c>
      <c r="D16" s="37">
        <v>23.0</v>
      </c>
      <c r="E16" s="40">
        <f t="shared" si="2"/>
        <v>14.2</v>
      </c>
      <c r="F16" s="90">
        <v>2.0</v>
      </c>
      <c r="G16" s="91">
        <v>2.0</v>
      </c>
      <c r="H16" s="92">
        <v>0.0</v>
      </c>
      <c r="I16" s="91">
        <v>6.0</v>
      </c>
      <c r="J16" s="91">
        <v>3.0</v>
      </c>
      <c r="K16" s="91">
        <v>1.0</v>
      </c>
      <c r="L16" s="93">
        <v>10.0</v>
      </c>
      <c r="M16" s="91">
        <v>0.0</v>
      </c>
      <c r="N16" s="37">
        <f t="shared" ref="N16:O16" si="21">C16+L16</f>
        <v>308</v>
      </c>
      <c r="O16" s="37">
        <f t="shared" si="21"/>
        <v>23</v>
      </c>
      <c r="P16" s="49" t="s">
        <v>57</v>
      </c>
      <c r="Q16" s="49" t="s">
        <v>57</v>
      </c>
      <c r="R16" s="49" t="s">
        <v>57</v>
      </c>
      <c r="S16" s="51">
        <f t="shared" si="4"/>
        <v>15</v>
      </c>
      <c r="T16" s="52">
        <f t="shared" si="5"/>
        <v>1</v>
      </c>
      <c r="U16" s="52"/>
      <c r="V16" s="51">
        <f t="shared" si="6"/>
        <v>8</v>
      </c>
      <c r="W16" s="52">
        <f t="shared" si="7"/>
        <v>-1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91</v>
      </c>
      <c r="C17" s="37">
        <v>296.0</v>
      </c>
      <c r="D17" s="37">
        <v>27.0</v>
      </c>
      <c r="E17" s="40">
        <f t="shared" si="2"/>
        <v>14.06666667</v>
      </c>
      <c r="F17" s="90">
        <v>2.0</v>
      </c>
      <c r="G17" s="91">
        <v>2.0</v>
      </c>
      <c r="H17" s="92">
        <v>0.0</v>
      </c>
      <c r="I17" s="91">
        <v>6.0</v>
      </c>
      <c r="J17" s="91">
        <v>6.0</v>
      </c>
      <c r="K17" s="91">
        <v>6.0</v>
      </c>
      <c r="L17" s="93">
        <v>18.0</v>
      </c>
      <c r="M17" s="91">
        <v>2.0</v>
      </c>
      <c r="N17" s="37">
        <f t="shared" ref="N17:O17" si="22">C17+L17</f>
        <v>314</v>
      </c>
      <c r="O17" s="37">
        <f t="shared" si="22"/>
        <v>29</v>
      </c>
      <c r="P17" s="49" t="s">
        <v>57</v>
      </c>
      <c r="Q17" s="49" t="s">
        <v>57</v>
      </c>
      <c r="R17" s="49" t="s">
        <v>57</v>
      </c>
      <c r="S17" s="51">
        <f t="shared" si="4"/>
        <v>15</v>
      </c>
      <c r="T17" s="52">
        <f t="shared" si="5"/>
        <v>1</v>
      </c>
      <c r="U17" s="52"/>
      <c r="V17" s="51">
        <f t="shared" si="6"/>
        <v>8</v>
      </c>
      <c r="W17" s="52">
        <f t="shared" si="7"/>
        <v>-1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96</v>
      </c>
      <c r="C18" s="37">
        <v>295.0</v>
      </c>
      <c r="D18" s="37">
        <v>32.0</v>
      </c>
      <c r="E18" s="40">
        <f t="shared" si="2"/>
        <v>12.43478261</v>
      </c>
      <c r="F18" s="90">
        <v>1.0</v>
      </c>
      <c r="G18" s="91">
        <v>3.0</v>
      </c>
      <c r="H18" s="92">
        <v>0.0</v>
      </c>
      <c r="I18" s="91">
        <v>6.0</v>
      </c>
      <c r="J18" s="91">
        <v>3.0</v>
      </c>
      <c r="K18" s="91">
        <v>6.0</v>
      </c>
      <c r="L18" s="93">
        <v>15.0</v>
      </c>
      <c r="M18" s="91">
        <v>2.0</v>
      </c>
      <c r="N18" s="37">
        <f t="shared" ref="N18:O18" si="23">C18+L18</f>
        <v>310</v>
      </c>
      <c r="O18" s="37">
        <f t="shared" si="23"/>
        <v>34</v>
      </c>
      <c r="P18" s="49" t="s">
        <v>57</v>
      </c>
      <c r="Q18" s="49" t="s">
        <v>57</v>
      </c>
      <c r="R18" s="49" t="s">
        <v>57</v>
      </c>
      <c r="S18" s="51">
        <f t="shared" si="4"/>
        <v>23</v>
      </c>
      <c r="T18" s="52">
        <f t="shared" si="5"/>
        <v>0</v>
      </c>
      <c r="U18" s="52"/>
      <c r="V18" s="51">
        <f t="shared" si="6"/>
        <v>1</v>
      </c>
      <c r="W18" s="52">
        <f t="shared" si="7"/>
        <v>-1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113</v>
      </c>
      <c r="C19" s="37">
        <v>294.0</v>
      </c>
      <c r="D19" s="37">
        <v>24.0</v>
      </c>
      <c r="E19" s="40">
        <f t="shared" si="2"/>
        <v>15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303</v>
      </c>
      <c r="O19" s="37">
        <f t="shared" si="24"/>
        <v>24</v>
      </c>
      <c r="P19" s="49" t="s">
        <v>57</v>
      </c>
      <c r="Q19" s="49" t="s">
        <v>57</v>
      </c>
      <c r="R19" s="49" t="s">
        <v>57</v>
      </c>
      <c r="S19" s="51">
        <f t="shared" si="4"/>
        <v>13</v>
      </c>
      <c r="T19" s="52">
        <f t="shared" si="5"/>
        <v>0</v>
      </c>
      <c r="U19" s="52"/>
      <c r="V19" s="51">
        <f t="shared" si="6"/>
        <v>11</v>
      </c>
      <c r="W19" s="52">
        <f t="shared" si="7"/>
        <v>2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117</v>
      </c>
      <c r="C20" s="37">
        <v>292.0</v>
      </c>
      <c r="D20" s="37">
        <v>25.0</v>
      </c>
      <c r="E20" s="40">
        <f t="shared" si="2"/>
        <v>12.77777778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301</v>
      </c>
      <c r="O20" s="37">
        <f t="shared" si="25"/>
        <v>25</v>
      </c>
      <c r="P20" s="49" t="s">
        <v>57</v>
      </c>
      <c r="Q20" s="49" t="s">
        <v>57</v>
      </c>
      <c r="R20" s="49"/>
      <c r="S20" s="51">
        <f t="shared" si="4"/>
        <v>18</v>
      </c>
      <c r="T20" s="52">
        <f t="shared" si="5"/>
        <v>2</v>
      </c>
      <c r="U20" s="52"/>
      <c r="V20" s="51">
        <f t="shared" si="6"/>
        <v>4</v>
      </c>
      <c r="W20" s="52">
        <f t="shared" si="7"/>
        <v>-1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99</v>
      </c>
      <c r="C21" s="37">
        <v>292.0</v>
      </c>
      <c r="D21" s="37">
        <v>25.0</v>
      </c>
      <c r="E21" s="40">
        <f t="shared" si="2"/>
        <v>13</v>
      </c>
      <c r="F21" s="90">
        <v>1.0</v>
      </c>
      <c r="G21" s="91">
        <v>3.0</v>
      </c>
      <c r="H21" s="92">
        <v>0.0</v>
      </c>
      <c r="I21" s="91">
        <v>4.0</v>
      </c>
      <c r="J21" s="91">
        <v>6.0</v>
      </c>
      <c r="K21" s="91">
        <v>6.0</v>
      </c>
      <c r="L21" s="93">
        <v>16.0</v>
      </c>
      <c r="M21" s="91">
        <v>2.0</v>
      </c>
      <c r="N21" s="37">
        <f t="shared" ref="N21:O21" si="26">C21+L21</f>
        <v>308</v>
      </c>
      <c r="O21" s="37">
        <f t="shared" si="26"/>
        <v>27</v>
      </c>
      <c r="P21" s="49" t="s">
        <v>57</v>
      </c>
      <c r="Q21" s="49" t="s">
        <v>57</v>
      </c>
      <c r="R21" s="49"/>
      <c r="S21" s="51">
        <f t="shared" si="4"/>
        <v>17</v>
      </c>
      <c r="T21" s="52">
        <f t="shared" si="5"/>
        <v>2</v>
      </c>
      <c r="U21" s="52"/>
      <c r="V21" s="51">
        <f t="shared" si="6"/>
        <v>5</v>
      </c>
      <c r="W21" s="52">
        <f t="shared" si="7"/>
        <v>-1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101</v>
      </c>
      <c r="C22" s="37">
        <v>291.0</v>
      </c>
      <c r="D22" s="37">
        <v>21.0</v>
      </c>
      <c r="E22" s="40">
        <f t="shared" si="2"/>
        <v>13.1875</v>
      </c>
      <c r="F22" s="90">
        <v>1.0</v>
      </c>
      <c r="G22" s="91">
        <v>3.0</v>
      </c>
      <c r="H22" s="92">
        <v>0.0</v>
      </c>
      <c r="I22" s="91">
        <v>4.0</v>
      </c>
      <c r="J22" s="91">
        <v>3.0</v>
      </c>
      <c r="K22" s="91">
        <v>1.0</v>
      </c>
      <c r="L22" s="93">
        <v>8.0</v>
      </c>
      <c r="M22" s="91">
        <v>0.0</v>
      </c>
      <c r="N22" s="37">
        <f t="shared" ref="N22:O22" si="27">C22+L22</f>
        <v>299</v>
      </c>
      <c r="O22" s="37">
        <f t="shared" si="27"/>
        <v>21</v>
      </c>
      <c r="P22" s="49" t="s">
        <v>57</v>
      </c>
      <c r="Q22" s="49" t="s">
        <v>57</v>
      </c>
      <c r="R22" s="49" t="s">
        <v>57</v>
      </c>
      <c r="S22" s="51">
        <f t="shared" si="4"/>
        <v>16</v>
      </c>
      <c r="T22" s="52">
        <f t="shared" si="5"/>
        <v>2</v>
      </c>
      <c r="U22" s="52"/>
      <c r="V22" s="51">
        <f t="shared" si="6"/>
        <v>6</v>
      </c>
      <c r="W22" s="52">
        <f t="shared" si="7"/>
        <v>0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120</v>
      </c>
      <c r="C23" s="37">
        <v>288.0</v>
      </c>
      <c r="D23" s="37">
        <v>23.0</v>
      </c>
      <c r="E23" s="40">
        <f t="shared" si="2"/>
        <v>15.54545455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297</v>
      </c>
      <c r="O23" s="37">
        <f t="shared" si="28"/>
        <v>23</v>
      </c>
      <c r="P23" s="49" t="s">
        <v>57</v>
      </c>
      <c r="Q23" s="49" t="s">
        <v>57</v>
      </c>
      <c r="R23" s="49" t="s">
        <v>57</v>
      </c>
      <c r="S23" s="51">
        <f t="shared" si="4"/>
        <v>11</v>
      </c>
      <c r="T23" s="52">
        <f t="shared" si="5"/>
        <v>0</v>
      </c>
      <c r="U23" s="52"/>
      <c r="V23" s="51">
        <f t="shared" si="6"/>
        <v>13</v>
      </c>
      <c r="W23" s="52">
        <f t="shared" si="7"/>
        <v>4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115</v>
      </c>
      <c r="C24" s="37">
        <v>287.0</v>
      </c>
      <c r="D24" s="37">
        <v>24.0</v>
      </c>
      <c r="E24" s="40">
        <f t="shared" si="2"/>
        <v>12.73684211</v>
      </c>
      <c r="F24" s="90">
        <v>1.0</v>
      </c>
      <c r="G24" s="91">
        <v>3.0</v>
      </c>
      <c r="H24" s="92">
        <v>0.0</v>
      </c>
      <c r="I24" s="91">
        <v>6.0</v>
      </c>
      <c r="J24" s="91">
        <v>6.0</v>
      </c>
      <c r="K24" s="91">
        <v>1.0</v>
      </c>
      <c r="L24" s="93">
        <v>13.0</v>
      </c>
      <c r="M24" s="91">
        <v>2.0</v>
      </c>
      <c r="N24" s="37">
        <f t="shared" ref="N24:O24" si="29">C24+L24</f>
        <v>300</v>
      </c>
      <c r="O24" s="37">
        <f t="shared" si="29"/>
        <v>26</v>
      </c>
      <c r="P24" s="49" t="s">
        <v>57</v>
      </c>
      <c r="Q24" s="49" t="s">
        <v>57</v>
      </c>
      <c r="R24" s="49" t="s">
        <v>57</v>
      </c>
      <c r="S24" s="51">
        <f t="shared" si="4"/>
        <v>19</v>
      </c>
      <c r="T24" s="52">
        <f t="shared" si="5"/>
        <v>0</v>
      </c>
      <c r="U24" s="52"/>
      <c r="V24" s="51">
        <f t="shared" si="6"/>
        <v>5</v>
      </c>
      <c r="W24" s="52">
        <f t="shared" si="7"/>
        <v>5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127</v>
      </c>
      <c r="C25" s="37">
        <v>286.0</v>
      </c>
      <c r="D25" s="37">
        <v>23.0</v>
      </c>
      <c r="E25" s="40">
        <f t="shared" si="2"/>
        <v>14.83333333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295</v>
      </c>
      <c r="O25" s="37">
        <f t="shared" si="30"/>
        <v>23</v>
      </c>
      <c r="P25" s="49" t="s">
        <v>57</v>
      </c>
      <c r="Q25" s="49" t="s">
        <v>57</v>
      </c>
      <c r="R25" s="49" t="s">
        <v>57</v>
      </c>
      <c r="S25" s="51">
        <f t="shared" si="4"/>
        <v>12</v>
      </c>
      <c r="T25" s="52">
        <f t="shared" si="5"/>
        <v>0</v>
      </c>
      <c r="U25" s="52"/>
      <c r="V25" s="51">
        <f t="shared" si="6"/>
        <v>12</v>
      </c>
      <c r="W25" s="52">
        <f t="shared" si="7"/>
        <v>-2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108</v>
      </c>
      <c r="C26" s="37">
        <v>285.0</v>
      </c>
      <c r="D26" s="37">
        <v>28.0</v>
      </c>
      <c r="E26" s="40">
        <f t="shared" si="2"/>
        <v>12.63157895</v>
      </c>
      <c r="F26" s="90">
        <v>1.0</v>
      </c>
      <c r="G26" s="91">
        <v>4.0</v>
      </c>
      <c r="H26" s="92">
        <v>0.0</v>
      </c>
      <c r="I26" s="91">
        <v>6.0</v>
      </c>
      <c r="J26" s="91">
        <v>6.0</v>
      </c>
      <c r="K26" s="91">
        <v>6.0</v>
      </c>
      <c r="L26" s="93">
        <v>18.0</v>
      </c>
      <c r="M26" s="91">
        <v>3.0</v>
      </c>
      <c r="N26" s="37">
        <f t="shared" ref="N26:O26" si="31">C26+L26</f>
        <v>303</v>
      </c>
      <c r="O26" s="37">
        <f t="shared" si="31"/>
        <v>31</v>
      </c>
      <c r="P26" s="49" t="s">
        <v>57</v>
      </c>
      <c r="Q26" s="49" t="s">
        <v>57</v>
      </c>
      <c r="R26" s="49" t="s">
        <v>57</v>
      </c>
      <c r="S26" s="51">
        <f t="shared" si="4"/>
        <v>19</v>
      </c>
      <c r="T26" s="52">
        <f t="shared" si="5"/>
        <v>0</v>
      </c>
      <c r="U26" s="52"/>
      <c r="V26" s="51">
        <f t="shared" si="6"/>
        <v>5</v>
      </c>
      <c r="W26" s="52">
        <f t="shared" si="7"/>
        <v>0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111</v>
      </c>
      <c r="C27" s="37">
        <v>285.0</v>
      </c>
      <c r="D27" s="37">
        <v>22.0</v>
      </c>
      <c r="E27" s="40">
        <f t="shared" si="2"/>
        <v>14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294</v>
      </c>
      <c r="O27" s="37">
        <f t="shared" si="32"/>
        <v>22</v>
      </c>
      <c r="P27" s="49" t="s">
        <v>57</v>
      </c>
      <c r="Q27" s="49" t="s">
        <v>57</v>
      </c>
      <c r="R27" s="49"/>
      <c r="S27" s="51">
        <f t="shared" si="4"/>
        <v>13</v>
      </c>
      <c r="T27" s="52">
        <f t="shared" si="5"/>
        <v>1</v>
      </c>
      <c r="U27" s="52"/>
      <c r="V27" s="51">
        <f t="shared" si="6"/>
        <v>10</v>
      </c>
      <c r="W27" s="52">
        <f t="shared" si="7"/>
        <v>-2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59</v>
      </c>
      <c r="C28" s="37">
        <v>284.0</v>
      </c>
      <c r="D28" s="37">
        <v>24.0</v>
      </c>
      <c r="E28" s="40">
        <f t="shared" si="2"/>
        <v>12.09090909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293</v>
      </c>
      <c r="O28" s="37">
        <f t="shared" si="33"/>
        <v>24</v>
      </c>
      <c r="P28" s="49" t="s">
        <v>57</v>
      </c>
      <c r="Q28" s="49" t="s">
        <v>57</v>
      </c>
      <c r="R28" s="49" t="s">
        <v>57</v>
      </c>
      <c r="S28" s="51">
        <f t="shared" si="4"/>
        <v>22</v>
      </c>
      <c r="T28" s="52">
        <f t="shared" si="5"/>
        <v>0</v>
      </c>
      <c r="U28" s="52"/>
      <c r="V28" s="51">
        <f t="shared" si="6"/>
        <v>2</v>
      </c>
      <c r="W28" s="52">
        <f t="shared" si="7"/>
        <v>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130</v>
      </c>
      <c r="C29" s="37">
        <v>283.0</v>
      </c>
      <c r="D29" s="37">
        <v>27.0</v>
      </c>
      <c r="E29" s="40">
        <f t="shared" si="2"/>
        <v>11.79166667</v>
      </c>
      <c r="F29" s="90">
        <v>1.0</v>
      </c>
      <c r="G29" s="91">
        <v>4.0</v>
      </c>
      <c r="H29" s="92">
        <v>0.0</v>
      </c>
      <c r="I29" s="91">
        <v>2.0</v>
      </c>
      <c r="J29" s="91">
        <v>4.0</v>
      </c>
      <c r="K29" s="91">
        <v>6.0</v>
      </c>
      <c r="L29" s="93">
        <v>12.0</v>
      </c>
      <c r="M29" s="91">
        <v>1.0</v>
      </c>
      <c r="N29" s="37">
        <f t="shared" ref="N29:O29" si="34">C29+L29</f>
        <v>295</v>
      </c>
      <c r="O29" s="37">
        <f t="shared" si="34"/>
        <v>28</v>
      </c>
      <c r="P29" s="49" t="s">
        <v>57</v>
      </c>
      <c r="Q29" s="49" t="s">
        <v>57</v>
      </c>
      <c r="R29" s="49" t="s">
        <v>57</v>
      </c>
      <c r="S29" s="51">
        <f t="shared" si="4"/>
        <v>24</v>
      </c>
      <c r="T29" s="52">
        <f t="shared" si="5"/>
        <v>0</v>
      </c>
      <c r="U29" s="52"/>
      <c r="V29" s="51">
        <f t="shared" si="6"/>
        <v>0</v>
      </c>
      <c r="W29" s="52">
        <f t="shared" si="7"/>
        <v>2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137</v>
      </c>
      <c r="C30" s="37">
        <v>283.0</v>
      </c>
      <c r="D30" s="37">
        <v>26.0</v>
      </c>
      <c r="E30" s="40">
        <f t="shared" si="2"/>
        <v>12.72222222</v>
      </c>
      <c r="F30" s="90">
        <v>3.0</v>
      </c>
      <c r="G30" s="91">
        <v>0.0</v>
      </c>
      <c r="H30" s="92">
        <v>9.0</v>
      </c>
      <c r="I30" s="91">
        <v>0.0</v>
      </c>
      <c r="J30" s="91">
        <v>0.0</v>
      </c>
      <c r="K30" s="91">
        <v>0.0</v>
      </c>
      <c r="L30" s="93">
        <v>9.0</v>
      </c>
      <c r="M30" s="91">
        <v>0.0</v>
      </c>
      <c r="N30" s="37">
        <f t="shared" ref="N30:O30" si="35">C30+L30</f>
        <v>292</v>
      </c>
      <c r="O30" s="37">
        <f t="shared" si="35"/>
        <v>26</v>
      </c>
      <c r="P30" s="49" t="s">
        <v>57</v>
      </c>
      <c r="Q30" s="49" t="s">
        <v>57</v>
      </c>
      <c r="R30" s="49" t="s">
        <v>57</v>
      </c>
      <c r="S30" s="51">
        <f t="shared" si="4"/>
        <v>18</v>
      </c>
      <c r="T30" s="52">
        <f t="shared" si="5"/>
        <v>0</v>
      </c>
      <c r="U30" s="52"/>
      <c r="V30" s="51">
        <f t="shared" si="6"/>
        <v>6</v>
      </c>
      <c r="W30" s="52">
        <f t="shared" si="7"/>
        <v>-6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103</v>
      </c>
      <c r="C31" s="37">
        <v>283.0</v>
      </c>
      <c r="D31" s="37">
        <v>23.0</v>
      </c>
      <c r="E31" s="40">
        <f t="shared" si="2"/>
        <v>12.6875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292</v>
      </c>
      <c r="O31" s="37">
        <f t="shared" si="36"/>
        <v>23</v>
      </c>
      <c r="P31" s="49" t="s">
        <v>57</v>
      </c>
      <c r="Q31" s="49" t="s">
        <v>57</v>
      </c>
      <c r="R31" s="49" t="s">
        <v>57</v>
      </c>
      <c r="S31" s="51">
        <f t="shared" si="4"/>
        <v>16</v>
      </c>
      <c r="T31" s="52">
        <f t="shared" si="5"/>
        <v>2</v>
      </c>
      <c r="U31" s="52"/>
      <c r="V31" s="51">
        <f t="shared" si="6"/>
        <v>6</v>
      </c>
      <c r="W31" s="52">
        <f t="shared" si="7"/>
        <v>-1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112</v>
      </c>
      <c r="C32" s="37">
        <v>283.0</v>
      </c>
      <c r="D32" s="37">
        <v>21.0</v>
      </c>
      <c r="E32" s="40">
        <f t="shared" si="2"/>
        <v>13.1875</v>
      </c>
      <c r="F32" s="90">
        <v>1.0</v>
      </c>
      <c r="G32" s="91">
        <v>4.0</v>
      </c>
      <c r="H32" s="92">
        <v>0.0</v>
      </c>
      <c r="I32" s="91">
        <v>6.0</v>
      </c>
      <c r="J32" s="91">
        <v>4.0</v>
      </c>
      <c r="K32" s="91">
        <v>1.0</v>
      </c>
      <c r="L32" s="93">
        <v>11.0</v>
      </c>
      <c r="M32" s="91">
        <v>1.0</v>
      </c>
      <c r="N32" s="37">
        <f t="shared" ref="N32:O32" si="37">C32+L32</f>
        <v>294</v>
      </c>
      <c r="O32" s="37">
        <f t="shared" si="37"/>
        <v>22</v>
      </c>
      <c r="P32" s="49" t="s">
        <v>57</v>
      </c>
      <c r="Q32" s="49" t="s">
        <v>57</v>
      </c>
      <c r="R32" s="49" t="s">
        <v>57</v>
      </c>
      <c r="S32" s="51">
        <f t="shared" si="4"/>
        <v>16</v>
      </c>
      <c r="T32" s="52">
        <f t="shared" si="5"/>
        <v>0</v>
      </c>
      <c r="U32" s="52"/>
      <c r="V32" s="51">
        <f t="shared" si="6"/>
        <v>8</v>
      </c>
      <c r="W32" s="52">
        <f t="shared" si="7"/>
        <v>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135</v>
      </c>
      <c r="C33" s="37">
        <v>282.0</v>
      </c>
      <c r="D33" s="37">
        <v>19.0</v>
      </c>
      <c r="E33" s="40">
        <f t="shared" si="2"/>
        <v>13.4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291</v>
      </c>
      <c r="O33" s="37">
        <f t="shared" si="38"/>
        <v>19</v>
      </c>
      <c r="P33" s="49" t="s">
        <v>57</v>
      </c>
      <c r="Q33" s="49" t="s">
        <v>57</v>
      </c>
      <c r="R33" s="49" t="s">
        <v>57</v>
      </c>
      <c r="S33" s="51">
        <f t="shared" si="4"/>
        <v>15</v>
      </c>
      <c r="T33" s="52">
        <f t="shared" si="5"/>
        <v>0</v>
      </c>
      <c r="U33" s="52"/>
      <c r="V33" s="51">
        <f t="shared" si="6"/>
        <v>9</v>
      </c>
      <c r="W33" s="52">
        <f t="shared" si="7"/>
        <v>-5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126</v>
      </c>
      <c r="C34" s="37">
        <v>278.0</v>
      </c>
      <c r="D34" s="37">
        <v>24.0</v>
      </c>
      <c r="E34" s="40">
        <f t="shared" si="2"/>
        <v>13.13333333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287</v>
      </c>
      <c r="O34" s="37">
        <f t="shared" si="39"/>
        <v>24</v>
      </c>
      <c r="P34" s="49" t="s">
        <v>57</v>
      </c>
      <c r="Q34" s="49" t="s">
        <v>57</v>
      </c>
      <c r="R34" s="49" t="s">
        <v>57</v>
      </c>
      <c r="S34" s="51">
        <f t="shared" si="4"/>
        <v>15</v>
      </c>
      <c r="T34" s="52">
        <f t="shared" si="5"/>
        <v>0</v>
      </c>
      <c r="U34" s="52"/>
      <c r="V34" s="51">
        <f t="shared" si="6"/>
        <v>9</v>
      </c>
      <c r="W34" s="52">
        <f t="shared" si="7"/>
        <v>0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107</v>
      </c>
      <c r="C35" s="37">
        <v>278.0</v>
      </c>
      <c r="D35" s="37">
        <v>24.0</v>
      </c>
      <c r="E35" s="40">
        <f t="shared" si="2"/>
        <v>12.625</v>
      </c>
      <c r="F35" s="90">
        <v>5.0</v>
      </c>
      <c r="G35" s="91">
        <v>0.0</v>
      </c>
      <c r="H35" s="92">
        <v>13.0</v>
      </c>
      <c r="I35" s="91">
        <v>0.0</v>
      </c>
      <c r="J35" s="91">
        <v>0.0</v>
      </c>
      <c r="K35" s="91">
        <v>0.0</v>
      </c>
      <c r="L35" s="93">
        <v>13.0</v>
      </c>
      <c r="M35" s="91">
        <v>0.0</v>
      </c>
      <c r="N35" s="37">
        <f t="shared" ref="N35:O35" si="40">C35+L35</f>
        <v>291</v>
      </c>
      <c r="O35" s="37">
        <f t="shared" si="40"/>
        <v>24</v>
      </c>
      <c r="P35" s="49" t="s">
        <v>57</v>
      </c>
      <c r="Q35" s="49" t="s">
        <v>57</v>
      </c>
      <c r="R35" s="49" t="s">
        <v>57</v>
      </c>
      <c r="S35" s="51">
        <f t="shared" si="4"/>
        <v>16</v>
      </c>
      <c r="T35" s="52">
        <f t="shared" si="5"/>
        <v>1</v>
      </c>
      <c r="U35" s="52"/>
      <c r="V35" s="51">
        <f t="shared" si="6"/>
        <v>7</v>
      </c>
      <c r="W35" s="52">
        <f t="shared" si="7"/>
        <v>-3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139</v>
      </c>
      <c r="C36" s="37">
        <v>275.0</v>
      </c>
      <c r="D36" s="37">
        <v>21.0</v>
      </c>
      <c r="E36" s="40">
        <f t="shared" si="2"/>
        <v>12.05555556</v>
      </c>
      <c r="F36" s="90">
        <v>1.0</v>
      </c>
      <c r="G36" s="91">
        <v>4.0</v>
      </c>
      <c r="H36" s="92">
        <v>0.0</v>
      </c>
      <c r="I36" s="91">
        <v>2.0</v>
      </c>
      <c r="J36" s="91">
        <v>6.0</v>
      </c>
      <c r="K36" s="91">
        <v>1.0</v>
      </c>
      <c r="L36" s="93">
        <v>9.0</v>
      </c>
      <c r="M36" s="91">
        <v>1.0</v>
      </c>
      <c r="N36" s="37">
        <f t="shared" ref="N36:O36" si="41">C36+L36</f>
        <v>284</v>
      </c>
      <c r="O36" s="37">
        <f t="shared" si="41"/>
        <v>22</v>
      </c>
      <c r="P36" s="49" t="s">
        <v>57</v>
      </c>
      <c r="Q36" s="49" t="s">
        <v>57</v>
      </c>
      <c r="R36" s="49" t="s">
        <v>57</v>
      </c>
      <c r="S36" s="51">
        <f t="shared" si="4"/>
        <v>18</v>
      </c>
      <c r="T36" s="52">
        <f t="shared" si="5"/>
        <v>1</v>
      </c>
      <c r="U36" s="52"/>
      <c r="V36" s="51">
        <f t="shared" si="6"/>
        <v>5</v>
      </c>
      <c r="W36" s="52">
        <f t="shared" si="7"/>
        <v>0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128</v>
      </c>
      <c r="C37" s="37">
        <v>275.0</v>
      </c>
      <c r="D37" s="37">
        <v>19.0</v>
      </c>
      <c r="E37" s="40">
        <f t="shared" si="2"/>
        <v>12.6875</v>
      </c>
      <c r="F37" s="90">
        <v>1.0</v>
      </c>
      <c r="G37" s="91">
        <v>5.0</v>
      </c>
      <c r="H37" s="92">
        <v>0.0</v>
      </c>
      <c r="I37" s="91">
        <v>6.0</v>
      </c>
      <c r="J37" s="91">
        <v>4.0</v>
      </c>
      <c r="K37" s="91">
        <v>3.0</v>
      </c>
      <c r="L37" s="93">
        <v>13.0</v>
      </c>
      <c r="M37" s="91">
        <v>1.0</v>
      </c>
      <c r="N37" s="37">
        <f t="shared" ref="N37:O37" si="42">C37+L37</f>
        <v>288</v>
      </c>
      <c r="O37" s="37">
        <f t="shared" si="42"/>
        <v>20</v>
      </c>
      <c r="P37" s="49" t="s">
        <v>57</v>
      </c>
      <c r="Q37" s="49" t="s">
        <v>57</v>
      </c>
      <c r="R37" s="49" t="s">
        <v>57</v>
      </c>
      <c r="S37" s="51">
        <f t="shared" si="4"/>
        <v>16</v>
      </c>
      <c r="T37" s="52">
        <f t="shared" si="5"/>
        <v>0</v>
      </c>
      <c r="U37" s="52"/>
      <c r="V37" s="51">
        <f t="shared" si="6"/>
        <v>8</v>
      </c>
      <c r="W37" s="52">
        <f t="shared" si="7"/>
        <v>2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64</v>
      </c>
      <c r="C38" s="37">
        <v>274.0</v>
      </c>
      <c r="D38" s="37">
        <v>23.0</v>
      </c>
      <c r="E38" s="40">
        <f t="shared" si="2"/>
        <v>11.52173913</v>
      </c>
      <c r="F38" s="90">
        <v>1.0</v>
      </c>
      <c r="G38" s="91">
        <v>5.0</v>
      </c>
      <c r="H38" s="92">
        <v>0.0</v>
      </c>
      <c r="I38" s="91">
        <v>6.0</v>
      </c>
      <c r="J38" s="91">
        <v>6.0</v>
      </c>
      <c r="K38" s="91">
        <v>6.0</v>
      </c>
      <c r="L38" s="93">
        <v>18.0</v>
      </c>
      <c r="M38" s="91">
        <v>3.0</v>
      </c>
      <c r="N38" s="37">
        <f t="shared" ref="N38:O38" si="43">C38+L38</f>
        <v>292</v>
      </c>
      <c r="O38" s="37">
        <f t="shared" si="43"/>
        <v>26</v>
      </c>
      <c r="P38" s="49" t="s">
        <v>57</v>
      </c>
      <c r="Q38" s="49" t="s">
        <v>57</v>
      </c>
      <c r="R38" s="49" t="s">
        <v>57</v>
      </c>
      <c r="S38" s="51">
        <f t="shared" si="4"/>
        <v>23</v>
      </c>
      <c r="T38" s="52">
        <f t="shared" si="5"/>
        <v>0</v>
      </c>
      <c r="U38" s="52"/>
      <c r="V38" s="51">
        <f t="shared" si="6"/>
        <v>1</v>
      </c>
      <c r="W38" s="52">
        <f t="shared" si="7"/>
        <v>0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104</v>
      </c>
      <c r="C39" s="37">
        <v>272.0</v>
      </c>
      <c r="D39" s="37">
        <v>22.0</v>
      </c>
      <c r="E39" s="40">
        <f t="shared" si="2"/>
        <v>14.09090909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281</v>
      </c>
      <c r="O39" s="37">
        <f t="shared" si="44"/>
        <v>22</v>
      </c>
      <c r="P39" s="49" t="s">
        <v>57</v>
      </c>
      <c r="Q39" s="49" t="s">
        <v>57</v>
      </c>
      <c r="R39" s="49" t="s">
        <v>57</v>
      </c>
      <c r="S39" s="51">
        <f t="shared" si="4"/>
        <v>11</v>
      </c>
      <c r="T39" s="52">
        <f t="shared" si="5"/>
        <v>0</v>
      </c>
      <c r="U39" s="52"/>
      <c r="V39" s="51">
        <f t="shared" si="6"/>
        <v>13</v>
      </c>
      <c r="W39" s="52">
        <f t="shared" si="7"/>
        <v>7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129</v>
      </c>
      <c r="C40" s="37">
        <v>271.0</v>
      </c>
      <c r="D40" s="37">
        <v>22.0</v>
      </c>
      <c r="E40" s="40">
        <f t="shared" si="2"/>
        <v>12.1875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280</v>
      </c>
      <c r="O40" s="37">
        <f t="shared" si="45"/>
        <v>22</v>
      </c>
      <c r="P40" s="49" t="s">
        <v>57</v>
      </c>
      <c r="Q40" s="49" t="s">
        <v>57</v>
      </c>
      <c r="R40" s="49" t="s">
        <v>57</v>
      </c>
      <c r="S40" s="51">
        <f t="shared" si="4"/>
        <v>16</v>
      </c>
      <c r="T40" s="52">
        <f t="shared" si="5"/>
        <v>1</v>
      </c>
      <c r="U40" s="52"/>
      <c r="V40" s="51">
        <f t="shared" si="6"/>
        <v>7</v>
      </c>
      <c r="W40" s="52">
        <f t="shared" si="7"/>
        <v>0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142</v>
      </c>
      <c r="C41" s="37">
        <v>270.0</v>
      </c>
      <c r="D41" s="37">
        <v>20.0</v>
      </c>
      <c r="E41" s="40">
        <f t="shared" si="2"/>
        <v>13.90909091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279</v>
      </c>
      <c r="O41" s="37">
        <f t="shared" si="46"/>
        <v>20</v>
      </c>
      <c r="P41" s="49" t="s">
        <v>57</v>
      </c>
      <c r="Q41" s="49" t="s">
        <v>57</v>
      </c>
      <c r="R41" s="49"/>
      <c r="S41" s="51">
        <f t="shared" si="4"/>
        <v>11</v>
      </c>
      <c r="T41" s="52">
        <f t="shared" si="5"/>
        <v>0</v>
      </c>
      <c r="U41" s="52"/>
      <c r="V41" s="51">
        <f t="shared" si="6"/>
        <v>13</v>
      </c>
      <c r="W41" s="52">
        <f t="shared" si="7"/>
        <v>-4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110</v>
      </c>
      <c r="C42" s="37">
        <v>266.0</v>
      </c>
      <c r="D42" s="37">
        <v>21.0</v>
      </c>
      <c r="E42" s="40">
        <f t="shared" si="2"/>
        <v>11.77777778</v>
      </c>
      <c r="F42" s="90">
        <v>1.0</v>
      </c>
      <c r="G42" s="91">
        <v>5.0</v>
      </c>
      <c r="H42" s="92">
        <v>0.0</v>
      </c>
      <c r="I42" s="91">
        <v>2.0</v>
      </c>
      <c r="J42" s="91">
        <v>4.0</v>
      </c>
      <c r="K42" s="91">
        <v>6.0</v>
      </c>
      <c r="L42" s="93">
        <v>12.0</v>
      </c>
      <c r="M42" s="91">
        <v>1.0</v>
      </c>
      <c r="N42" s="37">
        <f t="shared" ref="N42:O42" si="47">C42+L42</f>
        <v>278</v>
      </c>
      <c r="O42" s="37">
        <f t="shared" si="47"/>
        <v>22</v>
      </c>
      <c r="P42" s="49" t="s">
        <v>57</v>
      </c>
      <c r="Q42" s="49" t="s">
        <v>57</v>
      </c>
      <c r="R42" s="49" t="s">
        <v>57</v>
      </c>
      <c r="S42" s="51">
        <f t="shared" si="4"/>
        <v>18</v>
      </c>
      <c r="T42" s="52">
        <f t="shared" si="5"/>
        <v>0</v>
      </c>
      <c r="U42" s="52"/>
      <c r="V42" s="51">
        <f t="shared" si="6"/>
        <v>6</v>
      </c>
      <c r="W42" s="52">
        <f t="shared" si="7"/>
        <v>8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54</v>
      </c>
      <c r="C43" s="37">
        <v>266.0</v>
      </c>
      <c r="D43" s="37">
        <v>19.0</v>
      </c>
      <c r="E43" s="40">
        <f t="shared" si="2"/>
        <v>15.25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275</v>
      </c>
      <c r="O43" s="37">
        <f t="shared" si="48"/>
        <v>19</v>
      </c>
      <c r="P43" s="49" t="s">
        <v>57</v>
      </c>
      <c r="Q43" s="49" t="s">
        <v>57</v>
      </c>
      <c r="R43" s="49" t="s">
        <v>57</v>
      </c>
      <c r="S43" s="51">
        <f t="shared" si="4"/>
        <v>8</v>
      </c>
      <c r="T43" s="52">
        <f t="shared" si="5"/>
        <v>0</v>
      </c>
      <c r="U43" s="52"/>
      <c r="V43" s="51">
        <f t="shared" si="6"/>
        <v>16</v>
      </c>
      <c r="W43" s="52">
        <f t="shared" si="7"/>
        <v>-2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138</v>
      </c>
      <c r="C44" s="37">
        <v>266.0</v>
      </c>
      <c r="D44" s="37">
        <v>19.0</v>
      </c>
      <c r="E44" s="40">
        <f t="shared" si="2"/>
        <v>12.33333333</v>
      </c>
      <c r="F44" s="90">
        <v>1.0</v>
      </c>
      <c r="G44" s="91">
        <v>5.0</v>
      </c>
      <c r="H44" s="92">
        <v>0.0</v>
      </c>
      <c r="I44" s="91">
        <v>2.0</v>
      </c>
      <c r="J44" s="91">
        <v>6.0</v>
      </c>
      <c r="K44" s="91">
        <v>3.0</v>
      </c>
      <c r="L44" s="93">
        <v>11.0</v>
      </c>
      <c r="M44" s="91">
        <v>1.0</v>
      </c>
      <c r="N44" s="37">
        <f t="shared" ref="N44:O44" si="49">C44+L44</f>
        <v>277</v>
      </c>
      <c r="O44" s="37">
        <f t="shared" si="49"/>
        <v>20</v>
      </c>
      <c r="P44" s="49" t="s">
        <v>57</v>
      </c>
      <c r="Q44" s="49" t="s">
        <v>57</v>
      </c>
      <c r="R44" s="49"/>
      <c r="S44" s="51">
        <f t="shared" si="4"/>
        <v>15</v>
      </c>
      <c r="T44" s="52">
        <f t="shared" si="5"/>
        <v>0</v>
      </c>
      <c r="U44" s="52"/>
      <c r="V44" s="51">
        <f t="shared" si="6"/>
        <v>9</v>
      </c>
      <c r="W44" s="52">
        <f t="shared" si="7"/>
        <v>-2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118</v>
      </c>
      <c r="C45" s="37">
        <v>266.0</v>
      </c>
      <c r="D45" s="37">
        <v>19.0</v>
      </c>
      <c r="E45" s="40">
        <f t="shared" si="2"/>
        <v>11.38095238</v>
      </c>
      <c r="F45" s="90">
        <v>1.0</v>
      </c>
      <c r="G45" s="91">
        <v>6.0</v>
      </c>
      <c r="H45" s="92">
        <v>0.0</v>
      </c>
      <c r="I45" s="91">
        <v>6.0</v>
      </c>
      <c r="J45" s="91">
        <v>0.0</v>
      </c>
      <c r="K45" s="91">
        <v>1.0</v>
      </c>
      <c r="L45" s="93">
        <v>7.0</v>
      </c>
      <c r="M45" s="91">
        <v>1.0</v>
      </c>
      <c r="N45" s="37">
        <f t="shared" ref="N45:O45" si="50">C45+L45</f>
        <v>273</v>
      </c>
      <c r="O45" s="37">
        <f t="shared" si="50"/>
        <v>20</v>
      </c>
      <c r="P45" s="49" t="s">
        <v>57</v>
      </c>
      <c r="Q45" s="49" t="s">
        <v>57</v>
      </c>
      <c r="R45" s="49" t="s">
        <v>57</v>
      </c>
      <c r="S45" s="51">
        <f t="shared" si="4"/>
        <v>21</v>
      </c>
      <c r="T45" s="52">
        <f t="shared" si="5"/>
        <v>0</v>
      </c>
      <c r="U45" s="52"/>
      <c r="V45" s="51">
        <f t="shared" si="6"/>
        <v>3</v>
      </c>
      <c r="W45" s="52">
        <f t="shared" si="7"/>
        <v>2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132</v>
      </c>
      <c r="C46" s="37">
        <v>264.0</v>
      </c>
      <c r="D46" s="37">
        <v>18.0</v>
      </c>
      <c r="E46" s="40">
        <f t="shared" si="2"/>
        <v>15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273</v>
      </c>
      <c r="O46" s="37">
        <f t="shared" si="51"/>
        <v>18</v>
      </c>
      <c r="P46" s="49" t="s">
        <v>57</v>
      </c>
      <c r="Q46" s="49" t="s">
        <v>57</v>
      </c>
      <c r="R46" s="49"/>
      <c r="S46" s="51">
        <f t="shared" si="4"/>
        <v>8</v>
      </c>
      <c r="T46" s="52">
        <f t="shared" si="5"/>
        <v>0</v>
      </c>
      <c r="U46" s="52"/>
      <c r="V46" s="51">
        <f t="shared" si="6"/>
        <v>16</v>
      </c>
      <c r="W46" s="52">
        <f t="shared" si="7"/>
        <v>-3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147</v>
      </c>
      <c r="C47" s="37">
        <v>263.0</v>
      </c>
      <c r="D47" s="37">
        <v>15.0</v>
      </c>
      <c r="E47" s="40">
        <f t="shared" si="2"/>
        <v>13.33333333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272</v>
      </c>
      <c r="O47" s="37">
        <f t="shared" si="52"/>
        <v>15</v>
      </c>
      <c r="P47" s="49" t="s">
        <v>57</v>
      </c>
      <c r="Q47" s="49" t="s">
        <v>57</v>
      </c>
      <c r="R47" s="49" t="s">
        <v>57</v>
      </c>
      <c r="S47" s="51">
        <f t="shared" si="4"/>
        <v>9</v>
      </c>
      <c r="T47" s="52">
        <f t="shared" si="5"/>
        <v>2</v>
      </c>
      <c r="U47" s="52"/>
      <c r="V47" s="51">
        <f t="shared" si="6"/>
        <v>13</v>
      </c>
      <c r="W47" s="52">
        <f t="shared" si="7"/>
        <v>-3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114</v>
      </c>
      <c r="C48" s="37">
        <v>262.0</v>
      </c>
      <c r="D48" s="37">
        <v>20.0</v>
      </c>
      <c r="E48" s="40">
        <f t="shared" si="2"/>
        <v>14.11111111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271</v>
      </c>
      <c r="O48" s="37">
        <f t="shared" si="53"/>
        <v>20</v>
      </c>
      <c r="P48" s="49" t="s">
        <v>57</v>
      </c>
      <c r="Q48" s="49" t="s">
        <v>57</v>
      </c>
      <c r="R48" s="49" t="s">
        <v>57</v>
      </c>
      <c r="S48" s="51">
        <f t="shared" si="4"/>
        <v>9</v>
      </c>
      <c r="T48" s="52">
        <f t="shared" si="5"/>
        <v>0</v>
      </c>
      <c r="U48" s="52"/>
      <c r="V48" s="51">
        <f t="shared" si="6"/>
        <v>15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134</v>
      </c>
      <c r="C49" s="37">
        <v>261.0</v>
      </c>
      <c r="D49" s="37">
        <v>19.0</v>
      </c>
      <c r="E49" s="40">
        <f t="shared" si="2"/>
        <v>11.36842105</v>
      </c>
      <c r="F49" s="90">
        <v>1.0</v>
      </c>
      <c r="G49" s="91">
        <v>6.0</v>
      </c>
      <c r="H49" s="92">
        <v>0.0</v>
      </c>
      <c r="I49" s="91">
        <v>3.0</v>
      </c>
      <c r="J49" s="91">
        <v>0.0</v>
      </c>
      <c r="K49" s="91">
        <v>6.0</v>
      </c>
      <c r="L49" s="93">
        <v>9.0</v>
      </c>
      <c r="M49" s="91">
        <v>1.0</v>
      </c>
      <c r="N49" s="37">
        <f t="shared" ref="N49:O49" si="54">C49+L49</f>
        <v>270</v>
      </c>
      <c r="O49" s="37">
        <f t="shared" si="54"/>
        <v>20</v>
      </c>
      <c r="P49" s="49" t="s">
        <v>57</v>
      </c>
      <c r="Q49" s="49" t="s">
        <v>57</v>
      </c>
      <c r="R49" s="49" t="s">
        <v>57</v>
      </c>
      <c r="S49" s="51">
        <f t="shared" si="4"/>
        <v>19</v>
      </c>
      <c r="T49" s="52">
        <f t="shared" si="5"/>
        <v>0</v>
      </c>
      <c r="U49" s="52"/>
      <c r="V49" s="51">
        <f t="shared" si="6"/>
        <v>5</v>
      </c>
      <c r="W49" s="52">
        <f t="shared" si="7"/>
        <v>-1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152</v>
      </c>
      <c r="C50" s="37">
        <v>260.0</v>
      </c>
      <c r="D50" s="37">
        <v>23.0</v>
      </c>
      <c r="E50" s="40">
        <f t="shared" si="2"/>
        <v>11.75</v>
      </c>
      <c r="F50" s="90">
        <v>1.0</v>
      </c>
      <c r="G50" s="91">
        <v>6.0</v>
      </c>
      <c r="H50" s="92">
        <v>0.0</v>
      </c>
      <c r="I50" s="91">
        <v>3.0</v>
      </c>
      <c r="J50" s="91">
        <v>6.0</v>
      </c>
      <c r="K50" s="91">
        <v>1.0</v>
      </c>
      <c r="L50" s="93">
        <v>10.0</v>
      </c>
      <c r="M50" s="91">
        <v>1.0</v>
      </c>
      <c r="N50" s="37">
        <f t="shared" ref="N50:O50" si="55">C50+L50</f>
        <v>270</v>
      </c>
      <c r="O50" s="37">
        <f t="shared" si="55"/>
        <v>24</v>
      </c>
      <c r="P50" s="49" t="s">
        <v>57</v>
      </c>
      <c r="Q50" s="49" t="s">
        <v>57</v>
      </c>
      <c r="R50" s="49" t="s">
        <v>57</v>
      </c>
      <c r="S50" s="51">
        <f t="shared" si="4"/>
        <v>16</v>
      </c>
      <c r="T50" s="52">
        <f t="shared" si="5"/>
        <v>0</v>
      </c>
      <c r="U50" s="52"/>
      <c r="V50" s="51">
        <f t="shared" si="6"/>
        <v>8</v>
      </c>
      <c r="W50" s="52">
        <f t="shared" si="7"/>
        <v>-1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109</v>
      </c>
      <c r="C51" s="37">
        <v>258.0</v>
      </c>
      <c r="D51" s="37">
        <v>17.0</v>
      </c>
      <c r="E51" s="40">
        <f t="shared" si="2"/>
        <v>12.81818182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267</v>
      </c>
      <c r="O51" s="37">
        <f t="shared" si="56"/>
        <v>17</v>
      </c>
      <c r="P51" s="49" t="s">
        <v>57</v>
      </c>
      <c r="Q51" s="49" t="s">
        <v>57</v>
      </c>
      <c r="R51" s="49"/>
      <c r="S51" s="51">
        <f t="shared" si="4"/>
        <v>11</v>
      </c>
      <c r="T51" s="52">
        <f t="shared" si="5"/>
        <v>0</v>
      </c>
      <c r="U51" s="52"/>
      <c r="V51" s="51">
        <f t="shared" si="6"/>
        <v>13</v>
      </c>
      <c r="W51" s="52">
        <f t="shared" si="7"/>
        <v>0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151</v>
      </c>
      <c r="C52" s="37">
        <v>257.0</v>
      </c>
      <c r="D52" s="37">
        <v>15.0</v>
      </c>
      <c r="E52" s="40">
        <f t="shared" si="2"/>
        <v>11.53846154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266</v>
      </c>
      <c r="O52" s="37">
        <f t="shared" si="57"/>
        <v>15</v>
      </c>
      <c r="P52" s="49" t="s">
        <v>57</v>
      </c>
      <c r="Q52" s="49" t="s">
        <v>57</v>
      </c>
      <c r="R52" s="49" t="s">
        <v>57</v>
      </c>
      <c r="S52" s="51">
        <f t="shared" si="4"/>
        <v>13</v>
      </c>
      <c r="T52" s="52">
        <f t="shared" si="5"/>
        <v>2</v>
      </c>
      <c r="U52" s="52"/>
      <c r="V52" s="51">
        <f t="shared" si="6"/>
        <v>9</v>
      </c>
      <c r="W52" s="52">
        <f t="shared" si="7"/>
        <v>2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90</v>
      </c>
      <c r="C53" s="37">
        <v>257.0</v>
      </c>
      <c r="D53" s="37">
        <v>14.0</v>
      </c>
      <c r="E53" s="40">
        <f t="shared" si="2"/>
        <v>14.125</v>
      </c>
      <c r="F53" s="90">
        <v>1.0</v>
      </c>
      <c r="G53" s="91">
        <v>6.0</v>
      </c>
      <c r="H53" s="92">
        <v>0.0</v>
      </c>
      <c r="I53" s="91">
        <v>6.0</v>
      </c>
      <c r="J53" s="91">
        <v>6.0</v>
      </c>
      <c r="K53" s="91">
        <v>6.0</v>
      </c>
      <c r="L53" s="93">
        <v>18.0</v>
      </c>
      <c r="M53" s="91">
        <v>3.0</v>
      </c>
      <c r="N53" s="37">
        <f t="shared" ref="N53:O53" si="58">C53+L53</f>
        <v>275</v>
      </c>
      <c r="O53" s="37">
        <f t="shared" si="58"/>
        <v>17</v>
      </c>
      <c r="P53" s="49" t="s">
        <v>57</v>
      </c>
      <c r="Q53" s="49" t="s">
        <v>57</v>
      </c>
      <c r="R53" s="49" t="s">
        <v>57</v>
      </c>
      <c r="S53" s="51">
        <f t="shared" si="4"/>
        <v>8</v>
      </c>
      <c r="T53" s="52">
        <f t="shared" si="5"/>
        <v>0</v>
      </c>
      <c r="U53" s="52"/>
      <c r="V53" s="51">
        <f t="shared" si="6"/>
        <v>16</v>
      </c>
      <c r="W53" s="52">
        <f t="shared" si="7"/>
        <v>-1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143</v>
      </c>
      <c r="C54" s="37">
        <v>256.0</v>
      </c>
      <c r="D54" s="37">
        <v>18.0</v>
      </c>
      <c r="E54" s="40">
        <f t="shared" si="2"/>
        <v>12.63636364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265</v>
      </c>
      <c r="O54" s="37">
        <f t="shared" si="59"/>
        <v>18</v>
      </c>
      <c r="P54" s="49" t="s">
        <v>57</v>
      </c>
      <c r="Q54" s="49" t="s">
        <v>57</v>
      </c>
      <c r="R54" s="49" t="s">
        <v>57</v>
      </c>
      <c r="S54" s="51">
        <f t="shared" si="4"/>
        <v>11</v>
      </c>
      <c r="T54" s="52">
        <f t="shared" si="5"/>
        <v>0</v>
      </c>
      <c r="U54" s="52"/>
      <c r="V54" s="51">
        <f t="shared" si="6"/>
        <v>13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140</v>
      </c>
      <c r="C55" s="37">
        <v>255.0</v>
      </c>
      <c r="D55" s="37">
        <v>17.0</v>
      </c>
      <c r="E55" s="40">
        <f t="shared" si="2"/>
        <v>11.29411765</v>
      </c>
      <c r="F55" s="90">
        <v>1.0</v>
      </c>
      <c r="G55" s="91">
        <v>7.0</v>
      </c>
      <c r="H55" s="92">
        <v>0.0</v>
      </c>
      <c r="I55" s="91">
        <v>6.0</v>
      </c>
      <c r="J55" s="91">
        <v>1.0</v>
      </c>
      <c r="K55" s="91">
        <v>6.0</v>
      </c>
      <c r="L55" s="93">
        <v>13.0</v>
      </c>
      <c r="M55" s="91">
        <v>2.0</v>
      </c>
      <c r="N55" s="37">
        <f t="shared" ref="N55:O55" si="60">C55+L55</f>
        <v>268</v>
      </c>
      <c r="O55" s="37">
        <f t="shared" si="60"/>
        <v>19</v>
      </c>
      <c r="P55" s="49" t="s">
        <v>57</v>
      </c>
      <c r="Q55" s="49" t="s">
        <v>57</v>
      </c>
      <c r="R55" s="49" t="s">
        <v>57</v>
      </c>
      <c r="S55" s="51">
        <f t="shared" si="4"/>
        <v>17</v>
      </c>
      <c r="T55" s="52">
        <f t="shared" si="5"/>
        <v>0</v>
      </c>
      <c r="U55" s="52"/>
      <c r="V55" s="51">
        <f t="shared" si="6"/>
        <v>7</v>
      </c>
      <c r="W55" s="52">
        <f t="shared" si="7"/>
        <v>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253.0</v>
      </c>
      <c r="D56" s="37">
        <v>16.0</v>
      </c>
      <c r="E56" s="40">
        <f t="shared" si="2"/>
        <v>10.54166667</v>
      </c>
      <c r="F56" s="90">
        <v>1.0</v>
      </c>
      <c r="G56" s="91">
        <v>7.0</v>
      </c>
      <c r="H56" s="92">
        <v>0.0</v>
      </c>
      <c r="I56" s="91">
        <v>6.0</v>
      </c>
      <c r="J56" s="91">
        <v>6.0</v>
      </c>
      <c r="K56" s="91">
        <v>0.0</v>
      </c>
      <c r="L56" s="93">
        <v>12.0</v>
      </c>
      <c r="M56" s="91">
        <v>2.0</v>
      </c>
      <c r="N56" s="37">
        <f t="shared" ref="N56:O56" si="61">C56+L56</f>
        <v>265</v>
      </c>
      <c r="O56" s="37">
        <f t="shared" si="61"/>
        <v>18</v>
      </c>
      <c r="P56" s="49" t="s">
        <v>57</v>
      </c>
      <c r="Q56" s="49" t="s">
        <v>57</v>
      </c>
      <c r="R56" s="49" t="s">
        <v>57</v>
      </c>
      <c r="S56" s="51">
        <f t="shared" si="4"/>
        <v>24</v>
      </c>
      <c r="T56" s="52">
        <f t="shared" si="5"/>
        <v>0</v>
      </c>
      <c r="U56" s="52"/>
      <c r="V56" s="51">
        <f t="shared" si="6"/>
        <v>0</v>
      </c>
      <c r="W56" s="52">
        <f t="shared" si="7"/>
        <v>0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51</v>
      </c>
      <c r="C57" s="37">
        <v>251.0</v>
      </c>
      <c r="D57" s="37">
        <v>14.0</v>
      </c>
      <c r="E57" s="40">
        <f t="shared" si="2"/>
        <v>16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260</v>
      </c>
      <c r="O57" s="37">
        <f t="shared" si="62"/>
        <v>14</v>
      </c>
      <c r="P57" s="49" t="s">
        <v>57</v>
      </c>
      <c r="Q57" s="49" t="s">
        <v>57</v>
      </c>
      <c r="R57" s="49"/>
      <c r="S57" s="51">
        <f t="shared" si="4"/>
        <v>5</v>
      </c>
      <c r="T57" s="52">
        <f t="shared" si="5"/>
        <v>0</v>
      </c>
      <c r="U57" s="52"/>
      <c r="V57" s="51">
        <f t="shared" si="6"/>
        <v>19</v>
      </c>
      <c r="W57" s="52">
        <f t="shared" si="7"/>
        <v>-2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150</v>
      </c>
      <c r="C58" s="37">
        <v>245.0</v>
      </c>
      <c r="D58" s="37">
        <v>12.0</v>
      </c>
      <c r="E58" s="40">
        <f t="shared" si="2"/>
        <v>16.25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254</v>
      </c>
      <c r="O58" s="37">
        <f t="shared" si="63"/>
        <v>12</v>
      </c>
      <c r="P58" s="49" t="s">
        <v>57</v>
      </c>
      <c r="Q58" s="49" t="s">
        <v>57</v>
      </c>
      <c r="R58" s="49" t="s">
        <v>57</v>
      </c>
      <c r="S58" s="51">
        <f t="shared" si="4"/>
        <v>4</v>
      </c>
      <c r="T58" s="52">
        <f t="shared" si="5"/>
        <v>0</v>
      </c>
      <c r="U58" s="52"/>
      <c r="V58" s="51">
        <f t="shared" si="6"/>
        <v>20</v>
      </c>
      <c r="W58" s="52">
        <f t="shared" si="7"/>
        <v>3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70</v>
      </c>
      <c r="C59" s="37">
        <v>241.0</v>
      </c>
      <c r="D59" s="37">
        <v>10.0</v>
      </c>
      <c r="E59" s="40">
        <f t="shared" si="2"/>
        <v>12.4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250</v>
      </c>
      <c r="O59" s="37">
        <f t="shared" si="64"/>
        <v>10</v>
      </c>
      <c r="P59" s="49" t="s">
        <v>57</v>
      </c>
      <c r="Q59" s="49" t="s">
        <v>57</v>
      </c>
      <c r="R59" s="49" t="s">
        <v>57</v>
      </c>
      <c r="S59" s="51">
        <f t="shared" si="4"/>
        <v>5</v>
      </c>
      <c r="T59" s="52">
        <f t="shared" si="5"/>
        <v>2</v>
      </c>
      <c r="U59" s="52"/>
      <c r="V59" s="51">
        <f t="shared" si="6"/>
        <v>17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153</v>
      </c>
      <c r="C60" s="37">
        <v>239.0</v>
      </c>
      <c r="D60" s="37">
        <v>10.0</v>
      </c>
      <c r="E60" s="40">
        <f t="shared" si="2"/>
        <v>13.6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248</v>
      </c>
      <c r="O60" s="37">
        <f t="shared" si="65"/>
        <v>10</v>
      </c>
      <c r="P60" s="49" t="s">
        <v>57</v>
      </c>
      <c r="Q60" s="49" t="s">
        <v>57</v>
      </c>
      <c r="R60" s="49" t="s">
        <v>57</v>
      </c>
      <c r="S60" s="51">
        <f t="shared" si="4"/>
        <v>5</v>
      </c>
      <c r="T60" s="52">
        <f t="shared" si="5"/>
        <v>0</v>
      </c>
      <c r="U60" s="52"/>
      <c r="V60" s="51">
        <f t="shared" si="6"/>
        <v>19</v>
      </c>
      <c r="W60" s="52">
        <f t="shared" si="7"/>
        <v>-2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98</v>
      </c>
      <c r="C61" s="37">
        <v>237.0</v>
      </c>
      <c r="D61" s="37">
        <v>12.0</v>
      </c>
      <c r="E61" s="40">
        <f t="shared" si="2"/>
        <v>10.0625</v>
      </c>
      <c r="F61" s="90">
        <v>2.0</v>
      </c>
      <c r="G61" s="91">
        <v>7.0</v>
      </c>
      <c r="H61" s="92">
        <v>0.0</v>
      </c>
      <c r="I61" s="91">
        <v>3.0</v>
      </c>
      <c r="J61" s="91">
        <v>1.0</v>
      </c>
      <c r="K61" s="91">
        <v>0.0</v>
      </c>
      <c r="L61" s="93">
        <v>4.0</v>
      </c>
      <c r="M61" s="91">
        <v>0.0</v>
      </c>
      <c r="N61" s="37">
        <f t="shared" ref="N61:O61" si="66">C61+L61</f>
        <v>241</v>
      </c>
      <c r="O61" s="37">
        <f t="shared" si="66"/>
        <v>12</v>
      </c>
      <c r="P61" s="49" t="s">
        <v>57</v>
      </c>
      <c r="Q61" s="49" t="s">
        <v>57</v>
      </c>
      <c r="R61" s="49" t="s">
        <v>57</v>
      </c>
      <c r="S61" s="51">
        <f t="shared" si="4"/>
        <v>16</v>
      </c>
      <c r="T61" s="52">
        <f t="shared" si="5"/>
        <v>1</v>
      </c>
      <c r="U61" s="52"/>
      <c r="V61" s="51">
        <f t="shared" si="6"/>
        <v>7</v>
      </c>
      <c r="W61" s="52">
        <f t="shared" si="7"/>
        <v>2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76</v>
      </c>
      <c r="C62" s="37">
        <v>236.0</v>
      </c>
      <c r="D62" s="37">
        <v>8.0</v>
      </c>
      <c r="E62" s="40">
        <f t="shared" si="2"/>
        <v>11.66666667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245</v>
      </c>
      <c r="O62" s="37">
        <f t="shared" si="67"/>
        <v>8</v>
      </c>
      <c r="P62" s="49" t="s">
        <v>57</v>
      </c>
      <c r="Q62" s="49" t="s">
        <v>57</v>
      </c>
      <c r="R62" s="49"/>
      <c r="S62" s="51">
        <f t="shared" si="4"/>
        <v>6</v>
      </c>
      <c r="T62" s="52">
        <f t="shared" si="5"/>
        <v>1</v>
      </c>
      <c r="U62" s="52"/>
      <c r="V62" s="51">
        <f t="shared" si="6"/>
        <v>17</v>
      </c>
      <c r="W62" s="52">
        <f t="shared" si="7"/>
        <v>-2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154</v>
      </c>
      <c r="C63" s="37">
        <v>232.0</v>
      </c>
      <c r="D63" s="37">
        <v>10.0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241</v>
      </c>
      <c r="O63" s="37">
        <f t="shared" si="68"/>
        <v>10</v>
      </c>
      <c r="P63" s="49" t="s">
        <v>57</v>
      </c>
      <c r="Q63" s="49" t="s">
        <v>57</v>
      </c>
      <c r="R63" s="49" t="s">
        <v>57</v>
      </c>
      <c r="S63" s="51">
        <f t="shared" si="4"/>
        <v>6</v>
      </c>
      <c r="T63" s="52">
        <f t="shared" si="5"/>
        <v>0</v>
      </c>
      <c r="U63" s="52"/>
      <c r="V63" s="51">
        <f t="shared" si="6"/>
        <v>18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131</v>
      </c>
      <c r="C64" s="37">
        <v>227.0</v>
      </c>
      <c r="D64" s="37">
        <v>6.0</v>
      </c>
      <c r="E64" s="40">
        <f t="shared" si="2"/>
        <v>11.33333333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236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20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133</v>
      </c>
      <c r="C65" s="37">
        <v>227.0</v>
      </c>
      <c r="D65" s="37">
        <v>6.0</v>
      </c>
      <c r="E65" s="40">
        <f t="shared" si="2"/>
        <v>10.22222222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236</v>
      </c>
      <c r="O65" s="37">
        <f t="shared" si="70"/>
        <v>6</v>
      </c>
      <c r="P65" s="49" t="s">
        <v>57</v>
      </c>
      <c r="Q65" s="49" t="s">
        <v>57</v>
      </c>
      <c r="R65" s="49" t="s">
        <v>57</v>
      </c>
      <c r="S65" s="51">
        <f t="shared" si="4"/>
        <v>9</v>
      </c>
      <c r="T65" s="52">
        <f t="shared" si="5"/>
        <v>0</v>
      </c>
      <c r="U65" s="52"/>
      <c r="V65" s="51">
        <f t="shared" si="6"/>
        <v>15</v>
      </c>
      <c r="W65" s="52">
        <f t="shared" si="7"/>
        <v>4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145</v>
      </c>
      <c r="C66" s="37">
        <v>224.0</v>
      </c>
      <c r="D66" s="37">
        <v>12.0</v>
      </c>
      <c r="E66" s="40">
        <f t="shared" si="2"/>
        <v>9.888888889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233</v>
      </c>
      <c r="O66" s="37">
        <f t="shared" si="71"/>
        <v>12</v>
      </c>
      <c r="P66" s="49" t="s">
        <v>57</v>
      </c>
      <c r="Q66" s="49" t="s">
        <v>57</v>
      </c>
      <c r="R66" s="49"/>
      <c r="S66" s="51">
        <f t="shared" si="4"/>
        <v>9</v>
      </c>
      <c r="T66" s="52">
        <f t="shared" si="5"/>
        <v>0</v>
      </c>
      <c r="U66" s="52"/>
      <c r="V66" s="51">
        <f t="shared" si="6"/>
        <v>15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144</v>
      </c>
      <c r="C67" s="37">
        <v>224.0</v>
      </c>
      <c r="D67" s="37">
        <v>11.0</v>
      </c>
      <c r="E67" s="40">
        <f t="shared" si="2"/>
        <v>9.615384615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233</v>
      </c>
      <c r="O67" s="37">
        <f t="shared" si="72"/>
        <v>11</v>
      </c>
      <c r="P67" s="49" t="s">
        <v>57</v>
      </c>
      <c r="Q67" s="49" t="s">
        <v>57</v>
      </c>
      <c r="R67" s="49" t="s">
        <v>57</v>
      </c>
      <c r="S67" s="51">
        <f t="shared" si="4"/>
        <v>13</v>
      </c>
      <c r="T67" s="52">
        <f t="shared" si="5"/>
        <v>0</v>
      </c>
      <c r="U67" s="52"/>
      <c r="V67" s="51">
        <f t="shared" si="6"/>
        <v>11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100</v>
      </c>
      <c r="C68" s="37">
        <v>224.0</v>
      </c>
      <c r="D68" s="37">
        <v>6.0</v>
      </c>
      <c r="E68" s="40">
        <f t="shared" si="2"/>
        <v>11.66666667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233</v>
      </c>
      <c r="O68" s="37">
        <f t="shared" si="73"/>
        <v>6</v>
      </c>
      <c r="P68" s="49" t="s">
        <v>57</v>
      </c>
      <c r="Q68" s="49" t="s">
        <v>57</v>
      </c>
      <c r="R68" s="49"/>
      <c r="S68" s="51">
        <f t="shared" si="4"/>
        <v>3</v>
      </c>
      <c r="T68" s="52">
        <f t="shared" si="5"/>
        <v>0</v>
      </c>
      <c r="U68" s="52"/>
      <c r="V68" s="51">
        <f t="shared" si="6"/>
        <v>21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148</v>
      </c>
      <c r="C69" s="37">
        <v>222.0</v>
      </c>
      <c r="D69" s="37">
        <v>4.0</v>
      </c>
      <c r="E69" s="40">
        <f t="shared" si="2"/>
        <v>10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231</v>
      </c>
      <c r="O69" s="37">
        <f t="shared" si="74"/>
        <v>4</v>
      </c>
      <c r="P69" s="49" t="s">
        <v>57</v>
      </c>
      <c r="Q69" s="49" t="s">
        <v>57</v>
      </c>
      <c r="R69" s="49" t="s">
        <v>57</v>
      </c>
      <c r="S69" s="51">
        <f t="shared" si="4"/>
        <v>2</v>
      </c>
      <c r="T69" s="52">
        <f t="shared" si="5"/>
        <v>1</v>
      </c>
      <c r="U69" s="52"/>
      <c r="V69" s="51">
        <f t="shared" si="6"/>
        <v>21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149</v>
      </c>
      <c r="C70" s="37">
        <v>219.0</v>
      </c>
      <c r="D70" s="37">
        <v>8.0</v>
      </c>
      <c r="E70" s="40">
        <f t="shared" si="2"/>
        <v>9.428571429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228</v>
      </c>
      <c r="O70" s="37">
        <f t="shared" si="75"/>
        <v>8</v>
      </c>
      <c r="P70" s="49" t="s">
        <v>57</v>
      </c>
      <c r="Q70" s="49" t="s">
        <v>57</v>
      </c>
      <c r="R70" s="49" t="s">
        <v>57</v>
      </c>
      <c r="S70" s="51">
        <f t="shared" si="4"/>
        <v>7</v>
      </c>
      <c r="T70" s="52">
        <f t="shared" si="5"/>
        <v>0</v>
      </c>
      <c r="U70" s="52"/>
      <c r="V70" s="51">
        <f t="shared" si="6"/>
        <v>17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136</v>
      </c>
      <c r="C71" s="37">
        <v>218.0</v>
      </c>
      <c r="D71" s="37">
        <v>5.0</v>
      </c>
      <c r="E71" s="40">
        <f t="shared" si="2"/>
        <v>9.333333333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227</v>
      </c>
      <c r="O71" s="37">
        <f t="shared" si="76"/>
        <v>5</v>
      </c>
      <c r="P71" s="49" t="s">
        <v>57</v>
      </c>
      <c r="Q71" s="49" t="s">
        <v>57</v>
      </c>
      <c r="R71" s="49"/>
      <c r="S71" s="51">
        <f t="shared" si="4"/>
        <v>6</v>
      </c>
      <c r="T71" s="52">
        <f t="shared" si="5"/>
        <v>0</v>
      </c>
      <c r="U71" s="52"/>
      <c r="V71" s="51">
        <f t="shared" si="6"/>
        <v>18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146</v>
      </c>
      <c r="C72" s="37">
        <v>218.0</v>
      </c>
      <c r="D72" s="37">
        <v>4.0</v>
      </c>
      <c r="E72" s="40">
        <f t="shared" si="2"/>
        <v>8.5</v>
      </c>
      <c r="F72" s="90">
        <v>2.0</v>
      </c>
      <c r="G72" s="91">
        <v>7.0</v>
      </c>
      <c r="H72" s="92">
        <v>0.0</v>
      </c>
      <c r="I72" s="91">
        <v>3.0</v>
      </c>
      <c r="J72" s="91">
        <v>6.0</v>
      </c>
      <c r="K72" s="91">
        <v>6.0</v>
      </c>
      <c r="L72" s="93">
        <v>15.0</v>
      </c>
      <c r="M72" s="91">
        <v>2.0</v>
      </c>
      <c r="N72" s="37">
        <f t="shared" ref="N72:O72" si="77">C72+L72</f>
        <v>233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4</v>
      </c>
      <c r="T72" s="52">
        <f t="shared" si="5"/>
        <v>1</v>
      </c>
      <c r="U72" s="52"/>
      <c r="V72" s="51">
        <f t="shared" si="6"/>
        <v>19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125</v>
      </c>
      <c r="C73" s="37">
        <v>217.0</v>
      </c>
      <c r="D73" s="37">
        <v>3.0</v>
      </c>
      <c r="E73" s="40">
        <f t="shared" si="2"/>
        <v>10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226</v>
      </c>
      <c r="O73" s="37">
        <f t="shared" si="78"/>
        <v>3</v>
      </c>
      <c r="P73" s="49" t="s">
        <v>57</v>
      </c>
      <c r="Q73" s="49" t="s">
        <v>57</v>
      </c>
      <c r="R73" s="49"/>
      <c r="S73" s="51">
        <f t="shared" si="4"/>
        <v>1</v>
      </c>
      <c r="T73" s="52">
        <f t="shared" si="5"/>
        <v>0</v>
      </c>
      <c r="U73" s="52"/>
      <c r="V73" s="51">
        <f t="shared" si="6"/>
        <v>23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78</v>
      </c>
      <c r="C74" s="37">
        <v>217.0</v>
      </c>
      <c r="D74" s="37">
        <v>2.0</v>
      </c>
      <c r="E74" s="40">
        <f t="shared" si="2"/>
        <v>6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226</v>
      </c>
      <c r="O74" s="37">
        <f t="shared" si="79"/>
        <v>2</v>
      </c>
      <c r="P74" s="49" t="s">
        <v>57</v>
      </c>
      <c r="Q74" s="49" t="s">
        <v>57</v>
      </c>
      <c r="R74" s="49" t="s">
        <v>155</v>
      </c>
      <c r="S74" s="51">
        <f t="shared" si="4"/>
        <v>1</v>
      </c>
      <c r="T74" s="52">
        <f t="shared" si="5"/>
        <v>1</v>
      </c>
      <c r="U74" s="52"/>
      <c r="V74" s="51">
        <f t="shared" si="6"/>
        <v>22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213.0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222</v>
      </c>
      <c r="O75" s="37">
        <f t="shared" si="80"/>
        <v>1</v>
      </c>
      <c r="P75" s="49" t="s">
        <v>57</v>
      </c>
      <c r="Q75" s="49" t="s">
        <v>57</v>
      </c>
      <c r="R75" s="49"/>
      <c r="S75" s="51">
        <f t="shared" si="4"/>
        <v>1</v>
      </c>
      <c r="T75" s="52">
        <f t="shared" si="5"/>
        <v>0</v>
      </c>
      <c r="U75" s="52"/>
      <c r="V75" s="51">
        <f t="shared" si="6"/>
        <v>23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141</v>
      </c>
      <c r="C76" s="37">
        <v>212.0</v>
      </c>
      <c r="D76" s="37">
        <v>1.0</v>
      </c>
      <c r="E76" s="40">
        <f t="shared" si="2"/>
        <v>5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221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23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124</v>
      </c>
      <c r="C77" s="37">
        <v>209.0</v>
      </c>
      <c r="D77" s="37">
        <v>1.0</v>
      </c>
      <c r="E77" s="40">
        <f t="shared" si="2"/>
        <v>2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218</v>
      </c>
      <c r="O77" s="37">
        <f t="shared" si="82"/>
        <v>1</v>
      </c>
      <c r="P77" s="49" t="s">
        <v>57</v>
      </c>
      <c r="Q77" s="49" t="s">
        <v>57</v>
      </c>
      <c r="R77" s="49"/>
      <c r="S77" s="51">
        <f t="shared" si="4"/>
        <v>1</v>
      </c>
      <c r="T77" s="52">
        <f t="shared" si="5"/>
        <v>0</v>
      </c>
      <c r="U77" s="52"/>
      <c r="V77" s="51">
        <f t="shared" si="6"/>
        <v>23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207.0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216</v>
      </c>
      <c r="O78" s="37">
        <f t="shared" si="83"/>
        <v>0</v>
      </c>
      <c r="P78" s="49" t="s">
        <v>57</v>
      </c>
      <c r="Q78" s="49" t="s">
        <v>57</v>
      </c>
      <c r="R78" s="49"/>
      <c r="S78" s="51">
        <f t="shared" si="4"/>
        <v>1</v>
      </c>
      <c r="T78" s="52">
        <f t="shared" si="5"/>
        <v>0</v>
      </c>
      <c r="U78" s="52"/>
      <c r="V78" s="51">
        <f t="shared" si="6"/>
        <v>23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207.0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216</v>
      </c>
      <c r="O79" s="37">
        <f t="shared" si="84"/>
        <v>0</v>
      </c>
      <c r="P79" s="49" t="s">
        <v>57</v>
      </c>
      <c r="Q79" s="49" t="s">
        <v>57</v>
      </c>
      <c r="R79" s="49" t="s">
        <v>155</v>
      </c>
      <c r="S79" s="51">
        <f t="shared" si="4"/>
        <v>0</v>
      </c>
      <c r="T79" s="52">
        <f t="shared" si="5"/>
        <v>0</v>
      </c>
      <c r="U79" s="52"/>
      <c r="V79" s="51">
        <f t="shared" si="6"/>
        <v>24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countif(R5:R79,"X")</f>
        <v>54</v>
      </c>
      <c r="S84" s="114">
        <f>R84/R87</f>
        <v>0.72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countif(R5:R79,"N")</f>
        <v>2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countif(R5:R79,"")</f>
        <v>19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75</v>
      </c>
    </row>
    <row r="88">
      <c r="A88" s="5"/>
      <c r="B88" s="119" t="str">
        <f>concatenate("Top Scores : " &amp;AC2)</f>
        <v>Top Scores : 06/13/26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desc"",0)"),"Rajasekar Ramasamy")</f>
        <v>Rajasekar Ramasamy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IFERROR(__xludf.DUMMYFUNCTION("""COMPUTED_VALUE"""),6.0)</f>
        <v>6</v>
      </c>
      <c r="F91" s="5"/>
    </row>
    <row r="92">
      <c r="A92" s="5"/>
      <c r="B92" s="36" t="str">
        <f>IFERROR(__xludf.DUMMYFUNCTION("""COMPUTED_VALUE"""),"Susanta Mishra")</f>
        <v>Susanta Mishra</v>
      </c>
      <c r="C92" s="122">
        <f>IFERROR(__xludf.DUMMYFUNCTION("""COMPUTED_VALUE"""),20.0)</f>
        <v>20</v>
      </c>
      <c r="D92" s="122">
        <f>IFERROR(__xludf.DUMMYFUNCTION("""COMPUTED_VALUE"""),3.0)</f>
        <v>3</v>
      </c>
      <c r="E92" s="122">
        <f>IFERROR(__xludf.DUMMYFUNCTION("""COMPUTED_VALUE"""),8.0)</f>
        <v>8</v>
      </c>
      <c r="F92" s="5"/>
    </row>
    <row r="93">
      <c r="A93" s="5"/>
      <c r="B93" s="36" t="str">
        <f>IFERROR(__xludf.DUMMYFUNCTION("""COMPUTED_VALUE"""),"Tom Le")</f>
        <v>Tom Le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IFERROR(__xludf.DUMMYFUNCTION("""COMPUTED_VALUE"""),3.0)</f>
        <v>3</v>
      </c>
      <c r="F93" s="5"/>
    </row>
    <row r="94">
      <c r="A94" s="5"/>
      <c r="B94" s="36" t="str">
        <f>IFERROR(__xludf.DUMMYFUNCTION("""COMPUTED_VALUE"""),"Lam Bui")</f>
        <v>Lam Bui</v>
      </c>
      <c r="C94" s="122">
        <f>IFERROR(__xludf.DUMMYFUNCTION("""COMPUTED_VALUE"""),19.0)</f>
        <v>19</v>
      </c>
      <c r="D94" s="122">
        <f>IFERROR(__xludf.DUMMYFUNCTION("""COMPUTED_VALUE"""),3.0)</f>
        <v>3</v>
      </c>
      <c r="E94" s="122">
        <f>IFERROR(__xludf.DUMMYFUNCTION("""COMPUTED_VALUE"""),7.0)</f>
        <v>7</v>
      </c>
      <c r="F94" s="5"/>
    </row>
    <row r="95">
      <c r="A95" s="5"/>
      <c r="B95" s="36" t="str">
        <f>IFERROR(__xludf.DUMMYFUNCTION("""COMPUTED_VALUE"""),"Pavan Akkimsetty")</f>
        <v>Pavan Akkimsetty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IFERROR(__xludf.DUMMYFUNCTION("""COMPUTED_VALUE"""),2.0)</f>
        <v>2</v>
      </c>
      <c r="F95" s="5"/>
    </row>
    <row r="96">
      <c r="A96" s="5"/>
      <c r="B96" s="36" t="str">
        <f>IFERROR(__xludf.DUMMYFUNCTION("""COMPUTED_VALUE"""),"Alex Hou")</f>
        <v>Alex Hou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IFERROR(__xludf.DUMMYFUNCTION("""COMPUTED_VALUE"""),5.0)</f>
        <v>5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10"")"),"Coco Yan")</f>
        <v>Coco Yan</v>
      </c>
      <c r="C110" s="122">
        <f>IFERROR(__xludf.DUMMYFUNCTION("""COMPUTED_VALUE"""),8.0)</f>
        <v>8</v>
      </c>
      <c r="D110" s="122">
        <f t="shared" ref="D110:D119" si="85">VLOOKUP(B110,indirect($AC$2&amp;"!B$5:X$79"),23, false)</f>
        <v>46</v>
      </c>
      <c r="E110" s="122">
        <f t="shared" ref="E110:E119" si="86">VLOOKUP(B110,B$5:X$79,23, false)</f>
        <v>38</v>
      </c>
      <c r="F110" s="122">
        <f t="shared" ref="F110:F119" si="87">VLOOKUP(B110,indirect($AC$2&amp;"!B$5:U$79"),11, false)</f>
        <v>16</v>
      </c>
      <c r="G110" s="122">
        <f t="shared" ref="G110:G119" si="88">VLOOKUP(B110,indirect($AC$2&amp;"!B$5:U$79"),6, false)</f>
        <v>7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IFERROR(__xludf.DUMMYFUNCTION("""COMPUTED_VALUE"""),"Lam Bui")</f>
        <v>Lam Bui</v>
      </c>
      <c r="C111" s="122">
        <f>IFERROR(__xludf.DUMMYFUNCTION("""COMPUTED_VALUE"""),7.0)</f>
        <v>7</v>
      </c>
      <c r="D111" s="122">
        <f t="shared" si="85"/>
        <v>42</v>
      </c>
      <c r="E111" s="122">
        <f t="shared" si="86"/>
        <v>35</v>
      </c>
      <c r="F111" s="122">
        <f t="shared" si="87"/>
        <v>19</v>
      </c>
      <c r="G111" s="122">
        <f t="shared" si="88"/>
        <v>7</v>
      </c>
      <c r="L111" s="122" t="str">
        <f t="shared" si="89"/>
        <v>ok</v>
      </c>
    </row>
    <row r="112">
      <c r="A112" s="5"/>
      <c r="B112" s="36" t="str">
        <f>IFERROR(__xludf.DUMMYFUNCTION("""COMPUTED_VALUE"""),"Tom Le")</f>
        <v>Tom Le</v>
      </c>
      <c r="C112" s="122">
        <f>IFERROR(__xludf.DUMMYFUNCTION("""COMPUTED_VALUE"""),6.0)</f>
        <v>6</v>
      </c>
      <c r="D112" s="122">
        <f t="shared" si="85"/>
        <v>14</v>
      </c>
      <c r="E112" s="122">
        <f t="shared" si="86"/>
        <v>8</v>
      </c>
      <c r="F112" s="122">
        <f t="shared" si="87"/>
        <v>19</v>
      </c>
      <c r="G112" s="122">
        <f t="shared" si="88"/>
        <v>3</v>
      </c>
      <c r="L112" s="122" t="str">
        <f t="shared" si="89"/>
        <v>ok</v>
      </c>
    </row>
    <row r="113">
      <c r="A113" s="5"/>
      <c r="B113" s="36" t="str">
        <f>IFERROR(__xludf.DUMMYFUNCTION("""COMPUTED_VALUE"""),"Tina Hanson")</f>
        <v>Tina Hanson</v>
      </c>
      <c r="C113" s="122">
        <f>IFERROR(__xludf.DUMMYFUNCTION("""COMPUTED_VALUE"""),5.0)</f>
        <v>5</v>
      </c>
      <c r="D113" s="122">
        <f t="shared" si="85"/>
        <v>25</v>
      </c>
      <c r="E113" s="122">
        <f t="shared" si="86"/>
        <v>20</v>
      </c>
      <c r="F113" s="122">
        <f t="shared" si="87"/>
        <v>15</v>
      </c>
      <c r="G113" s="122">
        <f t="shared" si="88"/>
        <v>5</v>
      </c>
      <c r="L113" s="122" t="str">
        <f t="shared" si="89"/>
        <v>ok</v>
      </c>
    </row>
    <row r="114">
      <c r="A114" s="5"/>
      <c r="B114" s="36" t="str">
        <f>IFERROR(__xludf.DUMMYFUNCTION("""COMPUTED_VALUE"""),"Alex Hou")</f>
        <v>Alex Hou</v>
      </c>
      <c r="C114" s="122">
        <f>IFERROR(__xludf.DUMMYFUNCTION("""COMPUTED_VALUE"""),5.0)</f>
        <v>5</v>
      </c>
      <c r="D114" s="122">
        <f t="shared" si="85"/>
        <v>29</v>
      </c>
      <c r="E114" s="122">
        <f t="shared" si="86"/>
        <v>24</v>
      </c>
      <c r="F114" s="122">
        <f t="shared" si="87"/>
        <v>18</v>
      </c>
      <c r="G114" s="122">
        <f t="shared" si="88"/>
        <v>5</v>
      </c>
      <c r="L114" s="122" t="str">
        <f t="shared" si="89"/>
        <v>ok</v>
      </c>
    </row>
    <row r="115">
      <c r="A115" s="5"/>
      <c r="B115" s="36" t="str">
        <f>IFERROR(__xludf.DUMMYFUNCTION("""COMPUTED_VALUE"""),"Luis Hsu")</f>
        <v>Luis Hsu</v>
      </c>
      <c r="C115" s="122">
        <f>IFERROR(__xludf.DUMMYFUNCTION("""COMPUTED_VALUE"""),4.0)</f>
        <v>4</v>
      </c>
      <c r="D115" s="122">
        <f t="shared" si="85"/>
        <v>23</v>
      </c>
      <c r="E115" s="122">
        <f t="shared" si="86"/>
        <v>19</v>
      </c>
      <c r="F115" s="122">
        <f t="shared" si="87"/>
        <v>15</v>
      </c>
      <c r="G115" s="122">
        <f t="shared" si="88"/>
        <v>4</v>
      </c>
      <c r="L115" s="122" t="str">
        <f t="shared" si="89"/>
        <v>ok</v>
      </c>
    </row>
    <row r="116">
      <c r="A116" s="5"/>
      <c r="B116" s="36" t="str">
        <f>IFERROR(__xludf.DUMMYFUNCTION("""COMPUTED_VALUE"""),"Joyce Zhu")</f>
        <v>Joyce Zhu</v>
      </c>
      <c r="C116" s="122">
        <f>IFERROR(__xludf.DUMMYFUNCTION("""COMPUTED_VALUE"""),4.0)</f>
        <v>4</v>
      </c>
      <c r="D116" s="122">
        <f t="shared" si="85"/>
        <v>65</v>
      </c>
      <c r="E116" s="122">
        <f t="shared" si="86"/>
        <v>61</v>
      </c>
      <c r="F116" s="122">
        <f t="shared" si="87"/>
        <v>16</v>
      </c>
      <c r="G116" s="122">
        <f t="shared" si="88"/>
        <v>8</v>
      </c>
      <c r="L116" s="122" t="str">
        <f t="shared" si="89"/>
        <v>ok</v>
      </c>
    </row>
    <row r="117">
      <c r="A117" s="5"/>
      <c r="B117" s="36" t="str">
        <f>IFERROR(__xludf.DUMMYFUNCTION("""COMPUTED_VALUE"""),"Pavan Akkimsetty")</f>
        <v>Pavan Akkimsetty</v>
      </c>
      <c r="C117" s="122">
        <f>IFERROR(__xludf.DUMMYFUNCTION("""COMPUTED_VALUE"""),3.0)</f>
        <v>3</v>
      </c>
      <c r="D117" s="122">
        <f t="shared" si="85"/>
        <v>9</v>
      </c>
      <c r="E117" s="122">
        <f t="shared" si="86"/>
        <v>6</v>
      </c>
      <c r="F117" s="122">
        <f t="shared" si="87"/>
        <v>18</v>
      </c>
      <c r="G117" s="122">
        <f t="shared" si="88"/>
        <v>2</v>
      </c>
      <c r="L117" s="122" t="str">
        <f t="shared" si="89"/>
        <v>ok</v>
      </c>
    </row>
    <row r="118">
      <c r="A118" s="5"/>
      <c r="B118" s="36" t="str">
        <f>IFERROR(__xludf.DUMMYFUNCTION("""COMPUTED_VALUE"""),"Rajasekar Ramasamy")</f>
        <v>Rajasekar Ramasamy</v>
      </c>
      <c r="C118" s="122">
        <f>IFERROR(__xludf.DUMMYFUNCTION("""COMPUTED_VALUE"""),3.0)</f>
        <v>3</v>
      </c>
      <c r="D118" s="122">
        <f t="shared" si="85"/>
        <v>31</v>
      </c>
      <c r="E118" s="122">
        <f t="shared" si="86"/>
        <v>28</v>
      </c>
      <c r="F118" s="122">
        <f t="shared" si="87"/>
        <v>20</v>
      </c>
      <c r="G118" s="122">
        <f t="shared" si="88"/>
        <v>6</v>
      </c>
      <c r="L118" s="122" t="str">
        <f t="shared" si="89"/>
        <v>ok</v>
      </c>
    </row>
    <row r="119">
      <c r="A119" s="5"/>
      <c r="B119" s="36" t="str">
        <f>IFERROR(__xludf.DUMMYFUNCTION("""COMPUTED_VALUE"""),"Susanta Mishra")</f>
        <v>Susanta Mishra</v>
      </c>
      <c r="C119" s="122">
        <f>IFERROR(__xludf.DUMMYFUNCTION("""COMPUTED_VALUE"""),3.0)</f>
        <v>3</v>
      </c>
      <c r="D119" s="122">
        <f t="shared" si="85"/>
        <v>57</v>
      </c>
      <c r="E119" s="122">
        <f t="shared" si="86"/>
        <v>54</v>
      </c>
      <c r="F119" s="122">
        <f t="shared" si="87"/>
        <v>20</v>
      </c>
      <c r="G119" s="122">
        <f t="shared" si="88"/>
        <v>8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24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356</v>
      </c>
      <c r="D128" s="122">
        <f t="shared" si="90"/>
        <v>48</v>
      </c>
      <c r="E128" s="122">
        <f t="shared" si="90"/>
        <v>15.66666667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339</v>
      </c>
      <c r="D129" s="122">
        <f t="shared" si="91"/>
        <v>38</v>
      </c>
      <c r="E129" s="122">
        <f t="shared" si="91"/>
        <v>15.15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325</v>
      </c>
      <c r="D130" s="122">
        <f t="shared" si="92"/>
        <v>32</v>
      </c>
      <c r="E130" s="122">
        <f t="shared" si="92"/>
        <v>14.19047619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312</v>
      </c>
      <c r="D131" s="122">
        <f t="shared" si="93"/>
        <v>28</v>
      </c>
      <c r="E131" s="122">
        <f t="shared" si="93"/>
        <v>13.4</v>
      </c>
      <c r="F131" s="5"/>
    </row>
    <row r="132">
      <c r="A132" s="122">
        <f t="shared" ref="A132:E132" si="94">A9</f>
        <v>5</v>
      </c>
      <c r="B132" s="36" t="str">
        <f t="shared" si="94"/>
        <v>Erik Hoeckmann</v>
      </c>
      <c r="C132" s="122">
        <f t="shared" si="94"/>
        <v>307</v>
      </c>
      <c r="D132" s="122">
        <f t="shared" si="94"/>
        <v>29</v>
      </c>
      <c r="E132" s="122">
        <f t="shared" si="94"/>
        <v>13.35</v>
      </c>
      <c r="F132" s="5"/>
    </row>
    <row r="133">
      <c r="A133" s="122">
        <f t="shared" ref="A133:E133" si="95">A10</f>
        <v>6</v>
      </c>
      <c r="B133" s="36" t="str">
        <f t="shared" si="95"/>
        <v>Pavan Akkimsetty</v>
      </c>
      <c r="C133" s="122">
        <f t="shared" si="95"/>
        <v>306</v>
      </c>
      <c r="D133" s="122">
        <f t="shared" si="95"/>
        <v>28</v>
      </c>
      <c r="E133" s="122">
        <f t="shared" si="95"/>
        <v>14.05882353</v>
      </c>
      <c r="F133" s="5"/>
    </row>
    <row r="134">
      <c r="A134" s="122">
        <f t="shared" ref="A134:E134" si="96">A11</f>
        <v>7</v>
      </c>
      <c r="B134" s="36" t="str">
        <f t="shared" si="96"/>
        <v>David Shin</v>
      </c>
      <c r="C134" s="122">
        <f t="shared" si="96"/>
        <v>305</v>
      </c>
      <c r="D134" s="122">
        <f t="shared" si="96"/>
        <v>30</v>
      </c>
      <c r="E134" s="122">
        <f t="shared" si="96"/>
        <v>13.25</v>
      </c>
      <c r="F134" s="5"/>
    </row>
    <row r="135">
      <c r="A135" s="122">
        <f t="shared" ref="A135:E135" si="97">A12</f>
        <v>8</v>
      </c>
      <c r="B135" s="36" t="str">
        <f t="shared" si="97"/>
        <v>Tom Le</v>
      </c>
      <c r="C135" s="122">
        <f t="shared" si="97"/>
        <v>302</v>
      </c>
      <c r="D135" s="122">
        <f t="shared" si="97"/>
        <v>29</v>
      </c>
      <c r="E135" s="122">
        <f t="shared" si="97"/>
        <v>15.83333333</v>
      </c>
      <c r="F135" s="5"/>
    </row>
    <row r="136">
      <c r="A136" s="122">
        <f t="shared" ref="A136:E136" si="98">A13</f>
        <v>9</v>
      </c>
      <c r="B136" s="36" t="str">
        <f t="shared" si="98"/>
        <v>Ethan Gu</v>
      </c>
      <c r="C136" s="122">
        <f t="shared" si="98"/>
        <v>301</v>
      </c>
      <c r="D136" s="122">
        <f t="shared" si="98"/>
        <v>22</v>
      </c>
      <c r="E136" s="122">
        <f t="shared" si="98"/>
        <v>13.72222222</v>
      </c>
      <c r="F136" s="5"/>
    </row>
    <row r="137">
      <c r="A137" s="122">
        <f t="shared" ref="A137:E137" si="99">A14</f>
        <v>10</v>
      </c>
      <c r="B137" s="36" t="str">
        <f t="shared" si="99"/>
        <v>Manish Anand</v>
      </c>
      <c r="C137" s="122">
        <f t="shared" si="99"/>
        <v>300</v>
      </c>
      <c r="D137" s="122">
        <f t="shared" si="99"/>
        <v>28</v>
      </c>
      <c r="E137" s="122">
        <f t="shared" si="99"/>
        <v>13.94117647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C141" s="5"/>
      <c r="D141" s="5"/>
      <c r="E141" s="5"/>
      <c r="F141" s="5"/>
    </row>
    <row r="142">
      <c r="A142" s="130" t="s">
        <v>192</v>
      </c>
      <c r="B142" s="26"/>
      <c r="C142" s="5"/>
      <c r="D142" s="5"/>
      <c r="E142" s="5"/>
      <c r="F142" s="5"/>
    </row>
    <row r="143">
      <c r="A143" s="5"/>
      <c r="C143" s="5"/>
      <c r="D143" s="5"/>
      <c r="E143" s="5"/>
      <c r="F143" s="5"/>
    </row>
    <row r="144">
      <c r="A144" s="120" t="s">
        <v>2</v>
      </c>
      <c r="B144" s="120" t="s">
        <v>1</v>
      </c>
      <c r="C144" s="5"/>
      <c r="D144" s="5"/>
      <c r="E144" s="5"/>
      <c r="F144" s="5"/>
    </row>
    <row r="145">
      <c r="A145" s="122">
        <f>if(B145&lt;&gt;"",1,0)</f>
        <v>1</v>
      </c>
      <c r="B145" s="36" t="str">
        <f>IFERROR(__xludf.DUMMYFUNCTION("query(B5:Y79,""select B where Y = 'Y' order by B ASC"")"),"Eric Tan")</f>
        <v>Eric Tan</v>
      </c>
      <c r="C145" s="5"/>
      <c r="D145" s="5"/>
      <c r="E145" s="5"/>
      <c r="F145" s="5"/>
    </row>
    <row r="146">
      <c r="A146" s="122">
        <f t="shared" ref="A146:A220" si="100">if(B146&lt;&gt;"",A145+1,0)</f>
        <v>2</v>
      </c>
      <c r="B146" s="36" t="str">
        <f>IFERROR(__xludf.DUMMYFUNCTION("""COMPUTED_VALUE"""),"Wayne Liu")</f>
        <v>Wayne Liu</v>
      </c>
      <c r="C146" s="5"/>
      <c r="D146" s="5"/>
      <c r="E146" s="5"/>
      <c r="F146" s="5"/>
    </row>
    <row r="147">
      <c r="A147" s="122">
        <f t="shared" si="100"/>
        <v>0</v>
      </c>
      <c r="B147" s="36"/>
      <c r="C147" s="5"/>
      <c r="D147" s="5"/>
      <c r="E147" s="5"/>
      <c r="F147" s="5"/>
      <c r="P147" s="36"/>
    </row>
    <row r="148">
      <c r="A148" s="122">
        <f t="shared" si="100"/>
        <v>0</v>
      </c>
      <c r="B148" s="36"/>
      <c r="C148" s="5"/>
      <c r="D148" s="5"/>
      <c r="E148" s="5"/>
      <c r="F148" s="5"/>
    </row>
    <row r="149">
      <c r="A149" s="122">
        <f t="shared" si="100"/>
        <v>0</v>
      </c>
      <c r="B149" s="36"/>
      <c r="C149" s="5"/>
      <c r="D149" s="5"/>
      <c r="E149" s="5"/>
      <c r="F149" s="5"/>
    </row>
    <row r="150">
      <c r="A150" s="122">
        <f t="shared" si="100"/>
        <v>0</v>
      </c>
      <c r="B150" s="36"/>
      <c r="C150" s="5"/>
      <c r="D150" s="5"/>
      <c r="E150" s="5"/>
      <c r="F150" s="5"/>
    </row>
    <row r="151">
      <c r="A151" s="122">
        <f t="shared" si="100"/>
        <v>0</v>
      </c>
      <c r="B151" s="36"/>
      <c r="C151" s="5"/>
      <c r="D151" s="5"/>
      <c r="E151" s="5"/>
      <c r="F151" s="5"/>
    </row>
    <row r="152">
      <c r="A152" s="122">
        <f t="shared" si="100"/>
        <v>0</v>
      </c>
      <c r="B152" s="36"/>
      <c r="C152" s="5"/>
      <c r="D152" s="5"/>
      <c r="E152" s="5"/>
      <c r="F152" s="5"/>
    </row>
    <row r="153">
      <c r="A153" s="122">
        <f t="shared" si="100"/>
        <v>0</v>
      </c>
      <c r="B153" s="36"/>
      <c r="C153" s="5"/>
      <c r="D153" s="5"/>
      <c r="E153" s="5"/>
      <c r="F153" s="5"/>
    </row>
    <row r="154">
      <c r="A154" s="122">
        <f t="shared" si="100"/>
        <v>0</v>
      </c>
      <c r="B154" s="36"/>
      <c r="C154" s="5"/>
      <c r="D154" s="5"/>
      <c r="E154" s="5"/>
      <c r="F154" s="5"/>
    </row>
    <row r="155">
      <c r="A155" s="122">
        <f t="shared" si="100"/>
        <v>0</v>
      </c>
      <c r="B155" s="36"/>
      <c r="C155" s="5"/>
      <c r="D155" s="5"/>
      <c r="E155" s="5"/>
      <c r="F155" s="5"/>
    </row>
    <row r="156">
      <c r="A156" s="122">
        <f t="shared" si="100"/>
        <v>0</v>
      </c>
      <c r="B156" s="36"/>
      <c r="C156" s="5"/>
      <c r="D156" s="5"/>
      <c r="E156" s="5"/>
      <c r="F156" s="5"/>
    </row>
    <row r="157">
      <c r="A157" s="122">
        <f t="shared" si="100"/>
        <v>0</v>
      </c>
      <c r="B157" s="36"/>
      <c r="C157" s="5"/>
      <c r="D157" s="5"/>
      <c r="E157" s="5"/>
      <c r="F157" s="5"/>
    </row>
    <row r="158">
      <c r="A158" s="122">
        <f t="shared" si="100"/>
        <v>0</v>
      </c>
      <c r="B158" s="36"/>
      <c r="C158" s="5"/>
      <c r="D158" s="5"/>
      <c r="E158" s="5"/>
      <c r="F158" s="5"/>
    </row>
    <row r="159">
      <c r="A159" s="122">
        <f t="shared" si="100"/>
        <v>0</v>
      </c>
      <c r="B159" s="36"/>
      <c r="C159" s="5"/>
      <c r="D159" s="5"/>
      <c r="E159" s="5"/>
      <c r="F159" s="5"/>
    </row>
    <row r="160">
      <c r="A160" s="122">
        <f t="shared" si="100"/>
        <v>0</v>
      </c>
      <c r="B160" s="36"/>
      <c r="C160" s="5"/>
      <c r="D160" s="5"/>
      <c r="E160" s="5"/>
      <c r="F160" s="5"/>
    </row>
    <row r="161">
      <c r="A161" s="122">
        <f t="shared" si="100"/>
        <v>0</v>
      </c>
      <c r="B161" s="36"/>
      <c r="C161" s="5"/>
      <c r="D161" s="5"/>
      <c r="E161" s="5"/>
      <c r="F161" s="5"/>
    </row>
    <row r="162">
      <c r="A162" s="122">
        <f t="shared" si="100"/>
        <v>0</v>
      </c>
      <c r="B162" s="36"/>
      <c r="C162" s="5"/>
      <c r="D162" s="5"/>
      <c r="E162" s="5"/>
      <c r="F162" s="5"/>
    </row>
    <row r="163">
      <c r="A163" s="122">
        <f t="shared" si="100"/>
        <v>0</v>
      </c>
      <c r="B163" s="36"/>
      <c r="C163" s="5"/>
      <c r="D163" s="5"/>
      <c r="E163" s="5"/>
      <c r="F163" s="5"/>
    </row>
    <row r="164">
      <c r="A164" s="122">
        <f t="shared" si="100"/>
        <v>0</v>
      </c>
      <c r="B164" s="36"/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5"/>
      <c r="C221" s="5"/>
      <c r="D221" s="5"/>
      <c r="E221" s="5"/>
      <c r="F221" s="5"/>
    </row>
    <row r="222">
      <c r="A222" s="5"/>
      <c r="C222" s="5"/>
      <c r="D222" s="5"/>
      <c r="E222" s="5"/>
      <c r="F222" s="5"/>
    </row>
    <row r="223">
      <c r="A223" s="5"/>
      <c r="B223" s="130" t="s">
        <v>195</v>
      </c>
      <c r="C223" s="26"/>
      <c r="D223" s="5"/>
      <c r="E223" s="5"/>
      <c r="F223" s="5"/>
    </row>
    <row r="224">
      <c r="A224" s="5"/>
      <c r="C224" s="5"/>
      <c r="D224" s="5"/>
      <c r="E224" s="5"/>
      <c r="F224" s="5"/>
    </row>
    <row r="225">
      <c r="A225" s="5"/>
      <c r="B225" s="120" t="s">
        <v>1</v>
      </c>
      <c r="C225" s="120" t="s">
        <v>196</v>
      </c>
      <c r="D225" s="5"/>
      <c r="E225" s="5"/>
      <c r="F225" s="5"/>
    </row>
    <row r="226">
      <c r="A226" s="5"/>
      <c r="B226" s="36" t="str">
        <f>Data!F117</f>
        <v>Andrew Yao</v>
      </c>
      <c r="C226" s="122">
        <f>Data!G117</f>
        <v>20</v>
      </c>
      <c r="D226" s="5"/>
      <c r="E226" s="5"/>
      <c r="F226" s="5"/>
    </row>
    <row r="227">
      <c r="A227" s="5"/>
      <c r="B227" s="36" t="str">
        <f>Data!F118</f>
        <v>Pulkit Mathur</v>
      </c>
      <c r="C227" s="122">
        <f>Data!G118</f>
        <v>3</v>
      </c>
      <c r="D227" s="5"/>
      <c r="E227" s="5"/>
      <c r="F227" s="5"/>
    </row>
    <row r="228">
      <c r="A228" s="5"/>
      <c r="B228" s="36" t="str">
        <f>Data!F119</f>
        <v>Sandeep Kamalon</v>
      </c>
      <c r="C228" s="122">
        <f>Data!G119</f>
        <v>2</v>
      </c>
      <c r="D228" s="5"/>
      <c r="E228" s="5"/>
      <c r="F228" s="5"/>
    </row>
    <row r="229">
      <c r="A229" s="5"/>
      <c r="B229" s="36" t="str">
        <f>Data!F120</f>
        <v>Sanjaye Elayattu</v>
      </c>
      <c r="C229" s="122">
        <f>Data!G120</f>
        <v>1</v>
      </c>
      <c r="D229" s="5"/>
      <c r="E229" s="5"/>
      <c r="F229" s="5"/>
    </row>
    <row r="230">
      <c r="A230" s="5"/>
      <c r="B230" s="36" t="str">
        <f>Data!F121</f>
        <v/>
      </c>
      <c r="C230" s="122" t="str">
        <f>Data!G221</f>
        <v/>
      </c>
      <c r="D230" s="5"/>
      <c r="E230" s="5"/>
      <c r="F230" s="5"/>
    </row>
    <row r="231">
      <c r="A231" s="5"/>
      <c r="B231" s="36" t="str">
        <f>Data!F122</f>
        <v/>
      </c>
      <c r="C231" s="122" t="str">
        <f>Data!G222</f>
        <v/>
      </c>
      <c r="D231" s="5"/>
      <c r="E231" s="5"/>
      <c r="F231" s="5"/>
    </row>
    <row r="232">
      <c r="A232" s="5"/>
      <c r="B232" s="36" t="str">
        <f>Data!F223</f>
        <v/>
      </c>
      <c r="C232" s="122" t="str">
        <f>Data!G223</f>
        <v/>
      </c>
      <c r="D232" s="5"/>
      <c r="E232" s="5"/>
      <c r="F232" s="5"/>
    </row>
    <row r="233">
      <c r="A233" s="5"/>
      <c r="B233" s="36" t="str">
        <f>Data!F224</f>
        <v/>
      </c>
      <c r="C233" s="122" t="str">
        <f>Data!G224</f>
        <v/>
      </c>
      <c r="D233" s="5"/>
      <c r="E233" s="5"/>
      <c r="F233" s="5"/>
    </row>
    <row r="234">
      <c r="A234" s="5"/>
      <c r="B234" s="36" t="str">
        <f>Data!F225</f>
        <v/>
      </c>
      <c r="C234" s="122" t="str">
        <f>Data!G225</f>
        <v/>
      </c>
      <c r="D234" s="5"/>
      <c r="E234" s="5"/>
      <c r="F234" s="5"/>
    </row>
    <row r="235">
      <c r="A235" s="5"/>
      <c r="B235" s="36" t="str">
        <f>Data!F226</f>
        <v/>
      </c>
      <c r="C235" s="122" t="str">
        <f>Data!G226</f>
        <v/>
      </c>
      <c r="D235" s="5"/>
      <c r="E235" s="5"/>
      <c r="F235" s="5"/>
    </row>
    <row r="236">
      <c r="A236" s="5"/>
      <c r="B236" s="36" t="str">
        <f>Data!F227</f>
        <v/>
      </c>
      <c r="C236" s="122" t="str">
        <f>Data!G227</f>
        <v/>
      </c>
      <c r="D236" s="5"/>
      <c r="E236" s="5"/>
      <c r="F236" s="5"/>
    </row>
    <row r="237">
      <c r="A237" s="5"/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B244" s="127" t="str">
        <f>concatenate("Scores for : " &amp; AC2)</f>
        <v>Scores for : 06/13/26</v>
      </c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120" t="s">
        <v>0</v>
      </c>
      <c r="B246" s="120" t="s">
        <v>1</v>
      </c>
      <c r="C246" s="120" t="s">
        <v>12</v>
      </c>
      <c r="D246" s="120" t="s">
        <v>13</v>
      </c>
      <c r="E246" s="120" t="s">
        <v>15</v>
      </c>
      <c r="F246" s="120" t="s">
        <v>17</v>
      </c>
      <c r="G246" s="120" t="s">
        <v>9</v>
      </c>
    </row>
    <row r="247">
      <c r="A247" s="122">
        <f>IFERROR(__xludf.DUMMYFUNCTION("QUERY(indirect(AC2 &amp; ""!B5:M79""),""Select G, B, I, J, K,L, M where G &gt; 0 order by G asc"",0)"),1.0)</f>
        <v>1</v>
      </c>
      <c r="B247" s="36" t="str">
        <f>IFERROR(__xludf.DUMMYFUNCTION("""COMPUTED_VALUE"""),"Andrew Yao")</f>
        <v>Andrew Yao</v>
      </c>
      <c r="C247" s="132">
        <f>IFERROR(__xludf.DUMMYFUNCTION("""COMPUTED_VALUE"""),6.0)</f>
        <v>6</v>
      </c>
      <c r="D247" s="132">
        <f>IFERROR(__xludf.DUMMYFUNCTION("""COMPUTED_VALUE"""),6.0)</f>
        <v>6</v>
      </c>
      <c r="E247" s="132">
        <f>IFERROR(__xludf.DUMMYFUNCTION("""COMPUTED_VALUE"""),1.0)</f>
        <v>1</v>
      </c>
      <c r="F247" s="132">
        <f>IFERROR(__xludf.DUMMYFUNCTION("""COMPUTED_VALUE"""),13.0)</f>
        <v>13</v>
      </c>
      <c r="G247" s="132">
        <f>IFERROR(__xludf.DUMMYFUNCTION("""COMPUTED_VALUE"""),2.0)</f>
        <v>2</v>
      </c>
    </row>
    <row r="248">
      <c r="A248" s="122">
        <f>IFERROR(__xludf.DUMMYFUNCTION("""COMPUTED_VALUE"""),1.0)</f>
        <v>1</v>
      </c>
      <c r="B248" s="36" t="str">
        <f>IFERROR(__xludf.DUMMYFUNCTION("""COMPUTED_VALUE"""),"Pulkit Mathur")</f>
        <v>Pulkit Mathur</v>
      </c>
      <c r="C248" s="132">
        <f>IFERROR(__xludf.DUMMYFUNCTION("""COMPUTED_VALUE"""),6.0)</f>
        <v>6</v>
      </c>
      <c r="D248" s="132">
        <f>IFERROR(__xludf.DUMMYFUNCTION("""COMPUTED_VALUE"""),3.0)</f>
        <v>3</v>
      </c>
      <c r="E248" s="132">
        <f>IFERROR(__xludf.DUMMYFUNCTION("""COMPUTED_VALUE"""),6.0)</f>
        <v>6</v>
      </c>
      <c r="F248" s="132">
        <f>IFERROR(__xludf.DUMMYFUNCTION("""COMPUTED_VALUE"""),15.0)</f>
        <v>15</v>
      </c>
      <c r="G248" s="132">
        <f>IFERROR(__xludf.DUMMYFUNCTION("""COMPUTED_VALUE"""),2.0)</f>
        <v>2</v>
      </c>
    </row>
    <row r="249">
      <c r="A249" s="122">
        <f>IFERROR(__xludf.DUMMYFUNCTION("""COMPUTED_VALUE"""),1.0)</f>
        <v>1</v>
      </c>
      <c r="B249" s="36" t="str">
        <f>IFERROR(__xludf.DUMMYFUNCTION("""COMPUTED_VALUE"""),"Sandeep Kamalon")</f>
        <v>Sandeep Kamalon</v>
      </c>
      <c r="C249" s="132">
        <f>IFERROR(__xludf.DUMMYFUNCTION("""COMPUTED_VALUE"""),3.0)</f>
        <v>3</v>
      </c>
      <c r="D249" s="132">
        <f>IFERROR(__xludf.DUMMYFUNCTION("""COMPUTED_VALUE"""),6.0)</f>
        <v>6</v>
      </c>
      <c r="E249" s="132">
        <f>IFERROR(__xludf.DUMMYFUNCTION("""COMPUTED_VALUE"""),6.0)</f>
        <v>6</v>
      </c>
      <c r="F249" s="132">
        <f>IFERROR(__xludf.DUMMYFUNCTION("""COMPUTED_VALUE"""),15.0)</f>
        <v>15</v>
      </c>
      <c r="G249" s="132">
        <f>IFERROR(__xludf.DUMMYFUNCTION("""COMPUTED_VALUE"""),2.0)</f>
        <v>2</v>
      </c>
    </row>
    <row r="250">
      <c r="A250" s="122">
        <f>IFERROR(__xludf.DUMMYFUNCTION("""COMPUTED_VALUE"""),1.0)</f>
        <v>1</v>
      </c>
      <c r="B250" s="36" t="str">
        <f>IFERROR(__xludf.DUMMYFUNCTION("""COMPUTED_VALUE"""),"Suleman Alidina")</f>
        <v>Suleman Alidina</v>
      </c>
      <c r="C250" s="132">
        <f>IFERROR(__xludf.DUMMYFUNCTION("""COMPUTED_VALUE"""),3.0)</f>
        <v>3</v>
      </c>
      <c r="D250" s="132">
        <f>IFERROR(__xludf.DUMMYFUNCTION("""COMPUTED_VALUE"""),3.0)</f>
        <v>3</v>
      </c>
      <c r="E250" s="132">
        <f>IFERROR(__xludf.DUMMYFUNCTION("""COMPUTED_VALUE"""),1.0)</f>
        <v>1</v>
      </c>
      <c r="F250" s="132">
        <f>IFERROR(__xludf.DUMMYFUNCTION("""COMPUTED_VALUE"""),7.0)</f>
        <v>7</v>
      </c>
      <c r="G250" s="132">
        <f>IFERROR(__xludf.DUMMYFUNCTION("""COMPUTED_VALUE"""),0.0)</f>
        <v>0</v>
      </c>
    </row>
    <row r="251">
      <c r="A251" s="133">
        <f>IFERROR(__xludf.DUMMYFUNCTION("""COMPUTED_VALUE"""),2.0)</f>
        <v>2</v>
      </c>
      <c r="B251" s="134" t="str">
        <f>IFERROR(__xludf.DUMMYFUNCTION("""COMPUTED_VALUE"""),"Erik Hoeckmann")</f>
        <v>Erik Hoeckmann</v>
      </c>
      <c r="C251" s="135">
        <f>IFERROR(__xludf.DUMMYFUNCTION("""COMPUTED_VALUE"""),4.0)</f>
        <v>4</v>
      </c>
      <c r="D251" s="135">
        <f>IFERROR(__xludf.DUMMYFUNCTION("""COMPUTED_VALUE"""),6.0)</f>
        <v>6</v>
      </c>
      <c r="E251" s="135">
        <f>IFERROR(__xludf.DUMMYFUNCTION("""COMPUTED_VALUE"""),1.0)</f>
        <v>1</v>
      </c>
      <c r="F251" s="135">
        <f>IFERROR(__xludf.DUMMYFUNCTION("""COMPUTED_VALUE"""),11.0)</f>
        <v>11</v>
      </c>
      <c r="G251" s="135">
        <f>IFERROR(__xludf.DUMMYFUNCTION("""COMPUTED_VALUE"""),1.0)</f>
        <v>1</v>
      </c>
    </row>
    <row r="252">
      <c r="A252" s="133">
        <f>IFERROR(__xludf.DUMMYFUNCTION("""COMPUTED_VALUE"""),2.0)</f>
        <v>2</v>
      </c>
      <c r="B252" s="134" t="str">
        <f>IFERROR(__xludf.DUMMYFUNCTION("""COMPUTED_VALUE"""),"David Shin")</f>
        <v>David Shin</v>
      </c>
      <c r="C252" s="135">
        <f>IFERROR(__xludf.DUMMYFUNCTION("""COMPUTED_VALUE"""),6.0)</f>
        <v>6</v>
      </c>
      <c r="D252" s="135">
        <f>IFERROR(__xludf.DUMMYFUNCTION("""COMPUTED_VALUE"""),3.0)</f>
        <v>3</v>
      </c>
      <c r="E252" s="135">
        <f>IFERROR(__xludf.DUMMYFUNCTION("""COMPUTED_VALUE"""),1.0)</f>
        <v>1</v>
      </c>
      <c r="F252" s="135">
        <f>IFERROR(__xludf.DUMMYFUNCTION("""COMPUTED_VALUE"""),10.0)</f>
        <v>10</v>
      </c>
      <c r="G252" s="135">
        <f>IFERROR(__xludf.DUMMYFUNCTION("""COMPUTED_VALUE"""),1.0)</f>
        <v>1</v>
      </c>
    </row>
    <row r="253">
      <c r="A253" s="133">
        <f>IFERROR(__xludf.DUMMYFUNCTION("""COMPUTED_VALUE"""),2.0)</f>
        <v>2</v>
      </c>
      <c r="B253" s="134" t="str">
        <f>IFERROR(__xludf.DUMMYFUNCTION("""COMPUTED_VALUE"""),"Pavan Akkimsetty")</f>
        <v>Pavan Akkimsetty</v>
      </c>
      <c r="C253" s="135">
        <f>IFERROR(__xludf.DUMMYFUNCTION("""COMPUTED_VALUE"""),6.0)</f>
        <v>6</v>
      </c>
      <c r="D253" s="135">
        <f>IFERROR(__xludf.DUMMYFUNCTION("""COMPUTED_VALUE"""),6.0)</f>
        <v>6</v>
      </c>
      <c r="E253" s="135">
        <f>IFERROR(__xludf.DUMMYFUNCTION("""COMPUTED_VALUE"""),6.0)</f>
        <v>6</v>
      </c>
      <c r="F253" s="135">
        <f>IFERROR(__xludf.DUMMYFUNCTION("""COMPUTED_VALUE"""),18.0)</f>
        <v>18</v>
      </c>
      <c r="G253" s="135">
        <f>IFERROR(__xludf.DUMMYFUNCTION("""COMPUTED_VALUE"""),3.0)</f>
        <v>3</v>
      </c>
    </row>
    <row r="254">
      <c r="A254" s="133">
        <f>IFERROR(__xludf.DUMMYFUNCTION("""COMPUTED_VALUE"""),2.0)</f>
        <v>2</v>
      </c>
      <c r="B254" s="134" t="str">
        <f>IFERROR(__xludf.DUMMYFUNCTION("""COMPUTED_VALUE"""),"Ethan Gu")</f>
        <v>Ethan Gu</v>
      </c>
      <c r="C254" s="135">
        <f>IFERROR(__xludf.DUMMYFUNCTION("""COMPUTED_VALUE"""),4.0)</f>
        <v>4</v>
      </c>
      <c r="D254" s="135">
        <f>IFERROR(__xludf.DUMMYFUNCTION("""COMPUTED_VALUE"""),3.0)</f>
        <v>3</v>
      </c>
      <c r="E254" s="135">
        <f>IFERROR(__xludf.DUMMYFUNCTION("""COMPUTED_VALUE"""),6.0)</f>
        <v>6</v>
      </c>
      <c r="F254" s="135">
        <f>IFERROR(__xludf.DUMMYFUNCTION("""COMPUTED_VALUE"""),13.0)</f>
        <v>13</v>
      </c>
      <c r="G254" s="135">
        <f>IFERROR(__xludf.DUMMYFUNCTION("""COMPUTED_VALUE"""),1.0)</f>
        <v>1</v>
      </c>
    </row>
    <row r="255">
      <c r="A255" s="122">
        <f>IFERROR(__xludf.DUMMYFUNCTION("""COMPUTED_VALUE"""),3.0)</f>
        <v>3</v>
      </c>
      <c r="B255" s="36" t="str">
        <f>IFERROR(__xludf.DUMMYFUNCTION("""COMPUTED_VALUE"""),"Matthew Huang")</f>
        <v>Matthew Huang</v>
      </c>
      <c r="C255" s="132">
        <f>IFERROR(__xludf.DUMMYFUNCTION("""COMPUTED_VALUE"""),1.0)</f>
        <v>1</v>
      </c>
      <c r="D255" s="132">
        <f>IFERROR(__xludf.DUMMYFUNCTION("""COMPUTED_VALUE"""),6.0)</f>
        <v>6</v>
      </c>
      <c r="E255" s="132">
        <f>IFERROR(__xludf.DUMMYFUNCTION("""COMPUTED_VALUE"""),5.0)</f>
        <v>5</v>
      </c>
      <c r="F255" s="132">
        <f>IFERROR(__xludf.DUMMYFUNCTION("""COMPUTED_VALUE"""),12.0)</f>
        <v>12</v>
      </c>
      <c r="G255" s="132">
        <f>IFERROR(__xludf.DUMMYFUNCTION("""COMPUTED_VALUE"""),1.0)</f>
        <v>1</v>
      </c>
    </row>
    <row r="256">
      <c r="A256" s="122">
        <f>IFERROR(__xludf.DUMMYFUNCTION("""COMPUTED_VALUE"""),3.0)</f>
        <v>3</v>
      </c>
      <c r="B256" s="36" t="str">
        <f>IFERROR(__xludf.DUMMYFUNCTION("""COMPUTED_VALUE"""),"Frank Moon")</f>
        <v>Frank Moon</v>
      </c>
      <c r="C256" s="132">
        <f>IFERROR(__xludf.DUMMYFUNCTION("""COMPUTED_VALUE"""),6.0)</f>
        <v>6</v>
      </c>
      <c r="D256" s="132">
        <f>IFERROR(__xludf.DUMMYFUNCTION("""COMPUTED_VALUE"""),1.0)</f>
        <v>1</v>
      </c>
      <c r="E256" s="132">
        <f>IFERROR(__xludf.DUMMYFUNCTION("""COMPUTED_VALUE"""),5.0)</f>
        <v>5</v>
      </c>
      <c r="F256" s="132">
        <f>IFERROR(__xludf.DUMMYFUNCTION("""COMPUTED_VALUE"""),12.0)</f>
        <v>12</v>
      </c>
      <c r="G256" s="132">
        <f>IFERROR(__xludf.DUMMYFUNCTION("""COMPUTED_VALUE"""),1.0)</f>
        <v>1</v>
      </c>
    </row>
    <row r="257">
      <c r="A257" s="122">
        <f>IFERROR(__xludf.DUMMYFUNCTION("""COMPUTED_VALUE"""),3.0)</f>
        <v>3</v>
      </c>
      <c r="B257" s="36" t="str">
        <f>IFERROR(__xludf.DUMMYFUNCTION("""COMPUTED_VALUE"""),"Tom Le")</f>
        <v>Tom Le</v>
      </c>
      <c r="C257" s="132">
        <f>IFERROR(__xludf.DUMMYFUNCTION("""COMPUTED_VALUE"""),6.0)</f>
        <v>6</v>
      </c>
      <c r="D257" s="132">
        <f>IFERROR(__xludf.DUMMYFUNCTION("""COMPUTED_VALUE"""),6.0)</f>
        <v>6</v>
      </c>
      <c r="E257" s="132">
        <f>IFERROR(__xludf.DUMMYFUNCTION("""COMPUTED_VALUE"""),7.0)</f>
        <v>7</v>
      </c>
      <c r="F257" s="132">
        <f>IFERROR(__xludf.DUMMYFUNCTION("""COMPUTED_VALUE"""),19.0)</f>
        <v>19</v>
      </c>
      <c r="G257" s="132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IFERROR(__xludf.DUMMYFUNCTION("""COMPUTED_VALUE"""),"Herman Au")</f>
        <v>Herman Au</v>
      </c>
      <c r="C258" s="132">
        <f>IFERROR(__xludf.DUMMYFUNCTION("""COMPUTED_VALUE"""),1.0)</f>
        <v>1</v>
      </c>
      <c r="D258" s="132">
        <f>IFERROR(__xludf.DUMMYFUNCTION("""COMPUTED_VALUE"""),1.0)</f>
        <v>1</v>
      </c>
      <c r="E258" s="132">
        <f>IFERROR(__xludf.DUMMYFUNCTION("""COMPUTED_VALUE"""),7.0)</f>
        <v>7</v>
      </c>
      <c r="F258" s="132">
        <f>IFERROR(__xludf.DUMMYFUNCTION("""COMPUTED_VALUE"""),9.0)</f>
        <v>9</v>
      </c>
      <c r="G258" s="132">
        <f>IFERROR(__xludf.DUMMYFUNCTION("""COMPUTED_VALUE"""),1.0)</f>
        <v>1</v>
      </c>
    </row>
    <row r="259">
      <c r="A259" s="133">
        <f>IFERROR(__xludf.DUMMYFUNCTION("""COMPUTED_VALUE"""),4.0)</f>
        <v>4</v>
      </c>
      <c r="B259" s="134" t="str">
        <f>IFERROR(__xludf.DUMMYFUNCTION("""COMPUTED_VALUE"""),"Oscar Bonilla")</f>
        <v>Oscar Bonilla</v>
      </c>
      <c r="C259" s="135">
        <f>IFERROR(__xludf.DUMMYFUNCTION("""COMPUTED_VALUE"""),6.0)</f>
        <v>6</v>
      </c>
      <c r="D259" s="135">
        <f>IFERROR(__xludf.DUMMYFUNCTION("""COMPUTED_VALUE"""),6.0)</f>
        <v>6</v>
      </c>
      <c r="E259" s="135">
        <f>IFERROR(__xludf.DUMMYFUNCTION("""COMPUTED_VALUE"""),4.0)</f>
        <v>4</v>
      </c>
      <c r="F259" s="135">
        <f>IFERROR(__xludf.DUMMYFUNCTION("""COMPUTED_VALUE"""),16.0)</f>
        <v>16</v>
      </c>
      <c r="G259" s="135">
        <f>IFERROR(__xludf.DUMMYFUNCTION("""COMPUTED_VALUE"""),2.0)</f>
        <v>2</v>
      </c>
    </row>
    <row r="260">
      <c r="A260" s="133">
        <f>IFERROR(__xludf.DUMMYFUNCTION("""COMPUTED_VALUE"""),4.0)</f>
        <v>4</v>
      </c>
      <c r="B260" s="134" t="str">
        <f>IFERROR(__xludf.DUMMYFUNCTION("""COMPUTED_VALUE"""),"Lloyd Sagar")</f>
        <v>Lloyd Sagar</v>
      </c>
      <c r="C260" s="135">
        <f>IFERROR(__xludf.DUMMYFUNCTION("""COMPUTED_VALUE"""),0.0)</f>
        <v>0</v>
      </c>
      <c r="D260" s="135">
        <f>IFERROR(__xludf.DUMMYFUNCTION("""COMPUTED_VALUE"""),3.0)</f>
        <v>3</v>
      </c>
      <c r="E260" s="135">
        <f>IFERROR(__xludf.DUMMYFUNCTION("""COMPUTED_VALUE"""),4.0)</f>
        <v>4</v>
      </c>
      <c r="F260" s="135">
        <f>IFERROR(__xludf.DUMMYFUNCTION("""COMPUTED_VALUE"""),7.0)</f>
        <v>7</v>
      </c>
      <c r="G260" s="135">
        <f>IFERROR(__xludf.DUMMYFUNCTION("""COMPUTED_VALUE"""),0.0)</f>
        <v>0</v>
      </c>
    </row>
    <row r="261">
      <c r="A261" s="133">
        <f>IFERROR(__xludf.DUMMYFUNCTION("""COMPUTED_VALUE"""),4.0)</f>
        <v>4</v>
      </c>
      <c r="B261" s="134" t="str">
        <f>IFERROR(__xludf.DUMMYFUNCTION("""COMPUTED_VALUE"""),"Ted Shen")</f>
        <v>Ted Shen</v>
      </c>
      <c r="C261" s="135">
        <f>IFERROR(__xludf.DUMMYFUNCTION("""COMPUTED_VALUE"""),0.0)</f>
        <v>0</v>
      </c>
      <c r="D261" s="135">
        <f>IFERROR(__xludf.DUMMYFUNCTION("""COMPUTED_VALUE"""),6.0)</f>
        <v>6</v>
      </c>
      <c r="E261" s="135">
        <f>IFERROR(__xludf.DUMMYFUNCTION("""COMPUTED_VALUE"""),6.0)</f>
        <v>6</v>
      </c>
      <c r="F261" s="135">
        <f>IFERROR(__xludf.DUMMYFUNCTION("""COMPUTED_VALUE"""),12.0)</f>
        <v>12</v>
      </c>
      <c r="G261" s="135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IFERROR(__xludf.DUMMYFUNCTION("""COMPUTED_VALUE"""),"Luis Hsu")</f>
        <v>Luis Hsu</v>
      </c>
      <c r="C262" s="135">
        <f>IFERROR(__xludf.DUMMYFUNCTION("""COMPUTED_VALUE"""),6.0)</f>
        <v>6</v>
      </c>
      <c r="D262" s="135">
        <f>IFERROR(__xludf.DUMMYFUNCTION("""COMPUTED_VALUE"""),3.0)</f>
        <v>3</v>
      </c>
      <c r="E262" s="135">
        <f>IFERROR(__xludf.DUMMYFUNCTION("""COMPUTED_VALUE"""),6.0)</f>
        <v>6</v>
      </c>
      <c r="F262" s="135">
        <f>IFERROR(__xludf.DUMMYFUNCTION("""COMPUTED_VALUE"""),15.0)</f>
        <v>15</v>
      </c>
      <c r="G262" s="135">
        <f>IFERROR(__xludf.DUMMYFUNCTION("""COMPUTED_VALUE"""),2.0)</f>
        <v>2</v>
      </c>
    </row>
    <row r="263">
      <c r="A263" s="122">
        <f>IFERROR(__xludf.DUMMYFUNCTION("""COMPUTED_VALUE"""),5.0)</f>
        <v>5</v>
      </c>
      <c r="B263" s="36" t="str">
        <f>IFERROR(__xludf.DUMMYFUNCTION("""COMPUTED_VALUE"""),"Tina Hanson")</f>
        <v>Tina Hanson</v>
      </c>
      <c r="C263" s="132">
        <f>IFERROR(__xludf.DUMMYFUNCTION("""COMPUTED_VALUE"""),7.0)</f>
        <v>7</v>
      </c>
      <c r="D263" s="132">
        <f>IFERROR(__xludf.DUMMYFUNCTION("""COMPUTED_VALUE"""),6.0)</f>
        <v>6</v>
      </c>
      <c r="E263" s="132">
        <f>IFERROR(__xludf.DUMMYFUNCTION("""COMPUTED_VALUE"""),2.0)</f>
        <v>2</v>
      </c>
      <c r="F263" s="132">
        <f>IFERROR(__xludf.DUMMYFUNCTION("""COMPUTED_VALUE"""),15.0)</f>
        <v>15</v>
      </c>
      <c r="G263" s="132">
        <f>IFERROR(__xludf.DUMMYFUNCTION("""COMPUTED_VALUE"""),2.0)</f>
        <v>2</v>
      </c>
    </row>
    <row r="264">
      <c r="A264" s="122">
        <f>IFERROR(__xludf.DUMMYFUNCTION("""COMPUTED_VALUE"""),5.0)</f>
        <v>5</v>
      </c>
      <c r="B264" s="36" t="str">
        <f>IFERROR(__xludf.DUMMYFUNCTION("""COMPUTED_VALUE"""),"Wayne Liu")</f>
        <v>Wayne Liu</v>
      </c>
      <c r="C264" s="132">
        <f>IFERROR(__xludf.DUMMYFUNCTION("""COMPUTED_VALUE"""),7.0)</f>
        <v>7</v>
      </c>
      <c r="D264" s="132">
        <f>IFERROR(__xludf.DUMMYFUNCTION("""COMPUTED_VALUE"""),3.0)</f>
        <v>3</v>
      </c>
      <c r="E264" s="132">
        <f>IFERROR(__xludf.DUMMYFUNCTION("""COMPUTED_VALUE"""),6.0)</f>
        <v>6</v>
      </c>
      <c r="F264" s="132">
        <f>IFERROR(__xludf.DUMMYFUNCTION("""COMPUTED_VALUE"""),16.0)</f>
        <v>16</v>
      </c>
      <c r="G264" s="132">
        <f>IFERROR(__xludf.DUMMYFUNCTION("""COMPUTED_VALUE"""),2.0)</f>
        <v>2</v>
      </c>
    </row>
    <row r="265">
      <c r="A265" s="122">
        <f>IFERROR(__xludf.DUMMYFUNCTION("""COMPUTED_VALUE"""),5.0)</f>
        <v>5</v>
      </c>
      <c r="B265" s="36" t="str">
        <f>IFERROR(__xludf.DUMMYFUNCTION("""COMPUTED_VALUE"""),"Sean Chang")</f>
        <v>Sean Chang</v>
      </c>
      <c r="C265" s="132">
        <f>IFERROR(__xludf.DUMMYFUNCTION("""COMPUTED_VALUE"""),6.0)</f>
        <v>6</v>
      </c>
      <c r="D265" s="132">
        <f>IFERROR(__xludf.DUMMYFUNCTION("""COMPUTED_VALUE"""),3.0)</f>
        <v>3</v>
      </c>
      <c r="E265" s="132">
        <f>IFERROR(__xludf.DUMMYFUNCTION("""COMPUTED_VALUE"""),2.0)</f>
        <v>2</v>
      </c>
      <c r="F265" s="132">
        <f>IFERROR(__xludf.DUMMYFUNCTION("""COMPUTED_VALUE"""),11.0)</f>
        <v>11</v>
      </c>
      <c r="G265" s="132">
        <f>IFERROR(__xludf.DUMMYFUNCTION("""COMPUTED_VALUE"""),0.0)</f>
        <v>0</v>
      </c>
    </row>
    <row r="266">
      <c r="A266" s="122">
        <f>IFERROR(__xludf.DUMMYFUNCTION("""COMPUTED_VALUE"""),5.0)</f>
        <v>5</v>
      </c>
      <c r="B266" s="36" t="str">
        <f>IFERROR(__xludf.DUMMYFUNCTION("""COMPUTED_VALUE"""),"Alex Hou")</f>
        <v>Alex Hou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IFERROR(__xludf.DUMMYFUNCTION("""COMPUTED_VALUE"""),18.0)</f>
        <v>18</v>
      </c>
      <c r="G266" s="132">
        <f>IFERROR(__xludf.DUMMYFUNCTION("""COMPUTED_VALUE"""),2.0)</f>
        <v>2</v>
      </c>
    </row>
    <row r="267">
      <c r="A267" s="133">
        <f>IFERROR(__xludf.DUMMYFUNCTION("""COMPUTED_VALUE"""),6.0)</f>
        <v>6</v>
      </c>
      <c r="B267" s="134" t="str">
        <f>IFERROR(__xludf.DUMMYFUNCTION("""COMPUTED_VALUE"""),"Vinotkumar Nagappan")</f>
        <v>Vinotkumar Nagappan</v>
      </c>
      <c r="C267" s="135">
        <f>IFERROR(__xludf.DUMMYFUNCTION("""COMPUTED_VALUE"""),5.0)</f>
        <v>5</v>
      </c>
      <c r="D267" s="135">
        <f>IFERROR(__xludf.DUMMYFUNCTION("""COMPUTED_VALUE"""),2.0)</f>
        <v>2</v>
      </c>
      <c r="E267" s="135">
        <f>IFERROR(__xludf.DUMMYFUNCTION("""COMPUTED_VALUE"""),7.0)</f>
        <v>7</v>
      </c>
      <c r="F267" s="135">
        <f>IFERROR(__xludf.DUMMYFUNCTION("""COMPUTED_VALUE"""),14.0)</f>
        <v>14</v>
      </c>
      <c r="G267" s="135">
        <f>IFERROR(__xludf.DUMMYFUNCTION("""COMPUTED_VALUE"""),1.0)</f>
        <v>1</v>
      </c>
    </row>
    <row r="268">
      <c r="A268" s="133">
        <f>IFERROR(__xludf.DUMMYFUNCTION("""COMPUTED_VALUE"""),6.0)</f>
        <v>6</v>
      </c>
      <c r="B268" s="134" t="str">
        <f>IFERROR(__xludf.DUMMYFUNCTION("""COMPUTED_VALUE"""),"Rajasekar Ramasamy")</f>
        <v>Rajasekar Ramasamy</v>
      </c>
      <c r="C268" s="135">
        <f>IFERROR(__xludf.DUMMYFUNCTION("""COMPUTED_VALUE"""),7.0)</f>
        <v>7</v>
      </c>
      <c r="D268" s="135">
        <f>IFERROR(__xludf.DUMMYFUNCTION("""COMPUTED_VALUE"""),6.0)</f>
        <v>6</v>
      </c>
      <c r="E268" s="135">
        <f>IFERROR(__xludf.DUMMYFUNCTION("""COMPUTED_VALUE"""),7.0)</f>
        <v>7</v>
      </c>
      <c r="F268" s="135">
        <f>IFERROR(__xludf.DUMMYFUNCTION("""COMPUTED_VALUE"""),20.0)</f>
        <v>20</v>
      </c>
      <c r="G268" s="135">
        <f>IFERROR(__xludf.DUMMYFUNCTION("""COMPUTED_VALUE"""),3.0)</f>
        <v>3</v>
      </c>
    </row>
    <row r="269">
      <c r="A269" s="133">
        <f>IFERROR(__xludf.DUMMYFUNCTION("""COMPUTED_VALUE"""),6.0)</f>
        <v>6</v>
      </c>
      <c r="B269" s="134" t="str">
        <f>IFERROR(__xludf.DUMMYFUNCTION("""COMPUTED_VALUE"""),"Allen Zhang")</f>
        <v>Allen Zhang</v>
      </c>
      <c r="C269" s="135">
        <f>IFERROR(__xludf.DUMMYFUNCTION("""COMPUTED_VALUE"""),7.0)</f>
        <v>7</v>
      </c>
      <c r="D269" s="135">
        <f>IFERROR(__xludf.DUMMYFUNCTION("""COMPUTED_VALUE"""),2.0)</f>
        <v>2</v>
      </c>
      <c r="E269" s="135">
        <f>IFERROR(__xludf.DUMMYFUNCTION("""COMPUTED_VALUE"""),5.0)</f>
        <v>5</v>
      </c>
      <c r="F269" s="135">
        <f>IFERROR(__xludf.DUMMYFUNCTION("""COMPUTED_VALUE"""),14.0)</f>
        <v>14</v>
      </c>
      <c r="G269" s="135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IFERROR(__xludf.DUMMYFUNCTION("""COMPUTED_VALUE"""),"Jim Miao")</f>
        <v>Jim Miao</v>
      </c>
      <c r="C270" s="135">
        <f>IFERROR(__xludf.DUMMYFUNCTION("""COMPUTED_VALUE"""),5.0)</f>
        <v>5</v>
      </c>
      <c r="D270" s="135">
        <f>IFERROR(__xludf.DUMMYFUNCTION("""COMPUTED_VALUE"""),6.0)</f>
        <v>6</v>
      </c>
      <c r="E270" s="135">
        <f>IFERROR(__xludf.DUMMYFUNCTION("""COMPUTED_VALUE"""),5.0)</f>
        <v>5</v>
      </c>
      <c r="F270" s="135">
        <f>IFERROR(__xludf.DUMMYFUNCTION("""COMPUTED_VALUE"""),16.0)</f>
        <v>16</v>
      </c>
      <c r="G270" s="135">
        <f>IFERROR(__xludf.DUMMYFUNCTION("""COMPUTED_VALUE"""),1.0)</f>
        <v>1</v>
      </c>
    </row>
    <row r="271">
      <c r="A271" s="122">
        <f>IFERROR(__xludf.DUMMYFUNCTION("""COMPUTED_VALUE"""),7.0)</f>
        <v>7</v>
      </c>
      <c r="B271" s="36" t="str">
        <f>IFERROR(__xludf.DUMMYFUNCTION("""COMPUTED_VALUE"""),"Lam Bui")</f>
        <v>Lam Bui</v>
      </c>
      <c r="C271" s="132">
        <f>IFERROR(__xludf.DUMMYFUNCTION("""COMPUTED_VALUE"""),6.0)</f>
        <v>6</v>
      </c>
      <c r="D271" s="132">
        <f>IFERROR(__xludf.DUMMYFUNCTION("""COMPUTED_VALUE"""),6.0)</f>
        <v>6</v>
      </c>
      <c r="E271" s="132">
        <f>IFERROR(__xludf.DUMMYFUNCTION("""COMPUTED_VALUE"""),7.0)</f>
        <v>7</v>
      </c>
      <c r="F271" s="132">
        <f>IFERROR(__xludf.DUMMYFUNCTION("""COMPUTED_VALUE"""),19.0)</f>
        <v>19</v>
      </c>
      <c r="G271" s="132">
        <f>IFERROR(__xludf.DUMMYFUNCTION("""COMPUTED_VALUE"""),3.0)</f>
        <v>3</v>
      </c>
    </row>
    <row r="272">
      <c r="A272" s="122">
        <f>IFERROR(__xludf.DUMMYFUNCTION("""COMPUTED_VALUE"""),7.0)</f>
        <v>7</v>
      </c>
      <c r="B272" s="36" t="str">
        <f>IFERROR(__xludf.DUMMYFUNCTION("""COMPUTED_VALUE"""),"Hongyuan Wen")</f>
        <v>Hongyuan Wen</v>
      </c>
      <c r="C272" s="132">
        <f>IFERROR(__xludf.DUMMYFUNCTION("""COMPUTED_VALUE"""),1.0)</f>
        <v>1</v>
      </c>
      <c r="D272" s="132">
        <f>IFERROR(__xludf.DUMMYFUNCTION("""COMPUTED_VALUE"""),6.0)</f>
        <v>6</v>
      </c>
      <c r="E272" s="132">
        <f>IFERROR(__xludf.DUMMYFUNCTION("""COMPUTED_VALUE"""),6.0)</f>
        <v>6</v>
      </c>
      <c r="F272" s="132">
        <f>IFERROR(__xludf.DUMMYFUNCTION("""COMPUTED_VALUE"""),13.0)</f>
        <v>13</v>
      </c>
      <c r="G272" s="132">
        <f>IFERROR(__xludf.DUMMYFUNCTION("""COMPUTED_VALUE"""),1.0)</f>
        <v>1</v>
      </c>
    </row>
    <row r="273">
      <c r="A273" s="122">
        <f>IFERROR(__xludf.DUMMYFUNCTION("""COMPUTED_VALUE"""),7.0)</f>
        <v>7</v>
      </c>
      <c r="B273" s="36" t="str">
        <f>IFERROR(__xludf.DUMMYFUNCTION("""COMPUTED_VALUE"""),"Coco Yan")</f>
        <v>Coco Yan</v>
      </c>
      <c r="C273" s="132">
        <f>IFERROR(__xludf.DUMMYFUNCTION("""COMPUTED_VALUE"""),6.0)</f>
        <v>6</v>
      </c>
      <c r="D273" s="132">
        <f>IFERROR(__xludf.DUMMYFUNCTION("""COMPUTED_VALUE"""),4.0)</f>
        <v>4</v>
      </c>
      <c r="E273" s="132">
        <f>IFERROR(__xludf.DUMMYFUNCTION("""COMPUTED_VALUE"""),6.0)</f>
        <v>6</v>
      </c>
      <c r="F273" s="132">
        <f>IFERROR(__xludf.DUMMYFUNCTION("""COMPUTED_VALUE"""),16.0)</f>
        <v>16</v>
      </c>
      <c r="G273" s="132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IFERROR(__xludf.DUMMYFUNCTION("""COMPUTED_VALUE"""),"Eric Tan")</f>
        <v>Eric Tan</v>
      </c>
      <c r="C274" s="132">
        <f>IFERROR(__xludf.DUMMYFUNCTION("""COMPUTED_VALUE"""),1.0)</f>
        <v>1</v>
      </c>
      <c r="D274" s="132">
        <f>IFERROR(__xludf.DUMMYFUNCTION("""COMPUTED_VALUE"""),4.0)</f>
        <v>4</v>
      </c>
      <c r="E274" s="132">
        <f>IFERROR(__xludf.DUMMYFUNCTION("""COMPUTED_VALUE"""),7.0)</f>
        <v>7</v>
      </c>
      <c r="F274" s="132">
        <f>IFERROR(__xludf.DUMMYFUNCTION("""COMPUTED_VALUE"""),12.0)</f>
        <v>12</v>
      </c>
      <c r="G274" s="132">
        <f>IFERROR(__xludf.DUMMYFUNCTION("""COMPUTED_VALUE"""),1.0)</f>
        <v>1</v>
      </c>
    </row>
    <row r="275">
      <c r="A275" s="133">
        <f>IFERROR(__xludf.DUMMYFUNCTION("""COMPUTED_VALUE"""),8.0)</f>
        <v>8</v>
      </c>
      <c r="B275" s="134" t="str">
        <f>IFERROR(__xludf.DUMMYFUNCTION("""COMPUTED_VALUE"""),"Nicole Ni")</f>
        <v>Nicole Ni</v>
      </c>
      <c r="C275" s="135">
        <f>IFERROR(__xludf.DUMMYFUNCTION("""COMPUTED_VALUE"""),4.0)</f>
        <v>4</v>
      </c>
      <c r="D275" s="135">
        <f>IFERROR(__xludf.DUMMYFUNCTION("""COMPUTED_VALUE"""),7.0)</f>
        <v>7</v>
      </c>
      <c r="E275" s="135">
        <f>IFERROR(__xludf.DUMMYFUNCTION("""COMPUTED_VALUE"""),6.0)</f>
        <v>6</v>
      </c>
      <c r="F275" s="135">
        <f>IFERROR(__xludf.DUMMYFUNCTION("""COMPUTED_VALUE"""),17.0)</f>
        <v>17</v>
      </c>
      <c r="G275" s="135">
        <f>IFERROR(__xludf.DUMMYFUNCTION("""COMPUTED_VALUE"""),1.0)</f>
        <v>1</v>
      </c>
    </row>
    <row r="276">
      <c r="A276" s="133">
        <f>IFERROR(__xludf.DUMMYFUNCTION("""COMPUTED_VALUE"""),8.0)</f>
        <v>8</v>
      </c>
      <c r="B276" s="134" t="str">
        <f>IFERROR(__xludf.DUMMYFUNCTION("""COMPUTED_VALUE"""),"Susanta Mishra")</f>
        <v>Susanta Mishra</v>
      </c>
      <c r="C276" s="135">
        <f>IFERROR(__xludf.DUMMYFUNCTION("""COMPUTED_VALUE"""),6.0)</f>
        <v>6</v>
      </c>
      <c r="D276" s="135">
        <f>IFERROR(__xludf.DUMMYFUNCTION("""COMPUTED_VALUE"""),7.0)</f>
        <v>7</v>
      </c>
      <c r="E276" s="135">
        <f>IFERROR(__xludf.DUMMYFUNCTION("""COMPUTED_VALUE"""),7.0)</f>
        <v>7</v>
      </c>
      <c r="F276" s="135">
        <f>IFERROR(__xludf.DUMMYFUNCTION("""COMPUTED_VALUE"""),20.0)</f>
        <v>20</v>
      </c>
      <c r="G276" s="135">
        <f>IFERROR(__xludf.DUMMYFUNCTION("""COMPUTED_VALUE"""),3.0)</f>
        <v>3</v>
      </c>
    </row>
    <row r="277">
      <c r="A277" s="133">
        <f>IFERROR(__xludf.DUMMYFUNCTION("""COMPUTED_VALUE"""),8.0)</f>
        <v>8</v>
      </c>
      <c r="B277" s="134" t="str">
        <f>IFERROR(__xludf.DUMMYFUNCTION("""COMPUTED_VALUE"""),"Camille Jung")</f>
        <v>Camille Jung</v>
      </c>
      <c r="C277" s="135">
        <f>IFERROR(__xludf.DUMMYFUNCTION("""COMPUTED_VALUE"""),6.0)</f>
        <v>6</v>
      </c>
      <c r="D277" s="135">
        <f>IFERROR(__xludf.DUMMYFUNCTION("""COMPUTED_VALUE"""),5.0)</f>
        <v>5</v>
      </c>
      <c r="E277" s="135">
        <f>IFERROR(__xludf.DUMMYFUNCTION("""COMPUTED_VALUE"""),6.0)</f>
        <v>6</v>
      </c>
      <c r="F277" s="135">
        <f>IFERROR(__xludf.DUMMYFUNCTION("""COMPUTED_VALUE"""),17.0)</f>
        <v>17</v>
      </c>
      <c r="G277" s="135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IFERROR(__xludf.DUMMYFUNCTION("""COMPUTED_VALUE"""),"Joyce Zhu")</f>
        <v>Joyce Zhu</v>
      </c>
      <c r="C278" s="135">
        <f>IFERROR(__xludf.DUMMYFUNCTION("""COMPUTED_VALUE"""),4.0)</f>
        <v>4</v>
      </c>
      <c r="D278" s="135">
        <f>IFERROR(__xludf.DUMMYFUNCTION("""COMPUTED_VALUE"""),5.0)</f>
        <v>5</v>
      </c>
      <c r="E278" s="135">
        <f>IFERROR(__xludf.DUMMYFUNCTION("""COMPUTED_VALUE"""),7.0)</f>
        <v>7</v>
      </c>
      <c r="F278" s="135">
        <f>IFERROR(__xludf.DUMMYFUNCTION("""COMPUTED_VALUE"""),16.0)</f>
        <v>16</v>
      </c>
      <c r="G278" s="135">
        <f>IFERROR(__xludf.DUMMYFUNCTION("""COMPUTED_VALUE"""),1.0)</f>
        <v>1</v>
      </c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5"/>
      <c r="C291" s="5"/>
      <c r="D291" s="5"/>
      <c r="E291" s="5"/>
      <c r="F291" s="5"/>
    </row>
    <row r="292">
      <c r="A292" s="5"/>
      <c r="C292" s="5"/>
      <c r="D292" s="5"/>
      <c r="E292" s="5"/>
      <c r="F292" s="5"/>
    </row>
    <row r="293">
      <c r="A293" s="5"/>
      <c r="C293" s="5"/>
      <c r="D293" s="5"/>
      <c r="E293" s="5"/>
      <c r="F293" s="5"/>
    </row>
    <row r="294">
      <c r="A294" s="43"/>
      <c r="B294" s="134" t="s">
        <v>171</v>
      </c>
      <c r="C294" s="5"/>
      <c r="D294" s="115" t="s">
        <v>177</v>
      </c>
      <c r="E294" s="25"/>
      <c r="F294" s="26"/>
      <c r="H294" s="115" t="s">
        <v>176</v>
      </c>
      <c r="I294" s="25"/>
      <c r="J294" s="26"/>
    </row>
    <row r="295">
      <c r="A295" s="136">
        <v>1.0</v>
      </c>
      <c r="B295" s="137" t="str">
        <f>IFERROR(__xludf.DUMMYFUNCTION("QUERY(B5:R79,""Select B where R = 'X' order by B asc"",0)"),"Alejandro Mejia")</f>
        <v>Alejandro Mejia</v>
      </c>
      <c r="C295" s="138">
        <f t="shared" ref="C295:C359" si="101">A295</f>
        <v>1</v>
      </c>
      <c r="D295" s="139" t="str">
        <f>IFERROR(__xludf.DUMMYFUNCTION("QUERY(B5:R79,""Select B where R = '' order by B asc"",0)"),"Adrian Tay")</f>
        <v>Adrian Tay</v>
      </c>
      <c r="E295" s="25"/>
      <c r="F295" s="26"/>
      <c r="G295" s="138">
        <f t="shared" ref="G295:G359" si="102">C295</f>
        <v>1</v>
      </c>
      <c r="H295" s="139" t="str">
        <f>IFERROR(__xludf.DUMMYFUNCTION("QUERY(B5:R79,""Select B where R = 'N' order by B asc"",0)"),"Balaji Alahari")</f>
        <v>Balaji Alahari</v>
      </c>
      <c r="I295" s="25"/>
      <c r="J295" s="26"/>
    </row>
    <row r="296">
      <c r="A296" s="136">
        <f t="shared" ref="A296:A359" si="103">A295+1</f>
        <v>2</v>
      </c>
      <c r="B296" s="137" t="str">
        <f>IFERROR(__xludf.DUMMYFUNCTION("""COMPUTED_VALUE"""),"Alex Hou")</f>
        <v>Alex Hou</v>
      </c>
      <c r="C296" s="138">
        <f t="shared" si="101"/>
        <v>2</v>
      </c>
      <c r="D296" s="139" t="str">
        <f>IFERROR(__xludf.DUMMYFUNCTION("""COMPUTED_VALUE"""),"Art Hui")</f>
        <v>Art Hui</v>
      </c>
      <c r="E296" s="25"/>
      <c r="F296" s="26"/>
      <c r="G296" s="138">
        <f t="shared" si="102"/>
        <v>2</v>
      </c>
      <c r="H296" s="139" t="str">
        <f>IFERROR(__xludf.DUMMYFUNCTION("""COMPUTED_VALUE"""),"Leigh-Anh Nguyen")</f>
        <v>Leigh-Anh Nguyen</v>
      </c>
      <c r="I296" s="25"/>
      <c r="J296" s="26"/>
    </row>
    <row r="297">
      <c r="A297" s="136">
        <f t="shared" si="103"/>
        <v>3</v>
      </c>
      <c r="B297" s="137" t="str">
        <f>IFERROR(__xludf.DUMMYFUNCTION("""COMPUTED_VALUE"""),"Allen Zhang")</f>
        <v>Allen Zhang</v>
      </c>
      <c r="C297" s="138">
        <f t="shared" si="101"/>
        <v>3</v>
      </c>
      <c r="D297" s="139" t="str">
        <f>IFERROR(__xludf.DUMMYFUNCTION("""COMPUTED_VALUE"""),"Barathi Sundaram")</f>
        <v>Barathi Sundaram</v>
      </c>
      <c r="E297" s="25"/>
      <c r="F297" s="26"/>
      <c r="G297" s="138">
        <f t="shared" si="102"/>
        <v>3</v>
      </c>
      <c r="H297" s="139"/>
      <c r="I297" s="25"/>
      <c r="J297" s="26"/>
    </row>
    <row r="298">
      <c r="A298" s="136">
        <f t="shared" si="103"/>
        <v>4</v>
      </c>
      <c r="B298" s="137" t="str">
        <f>IFERROR(__xludf.DUMMYFUNCTION("""COMPUTED_VALUE"""),"Andrew Wen")</f>
        <v>Andrew Wen</v>
      </c>
      <c r="C298" s="138">
        <f t="shared" si="101"/>
        <v>4</v>
      </c>
      <c r="D298" s="139" t="str">
        <f>IFERROR(__xludf.DUMMYFUNCTION("""COMPUTED_VALUE"""),"Charles Choi")</f>
        <v>Charles Choi</v>
      </c>
      <c r="E298" s="25"/>
      <c r="F298" s="26"/>
      <c r="G298" s="138">
        <f t="shared" si="102"/>
        <v>4</v>
      </c>
      <c r="H298" s="139"/>
      <c r="I298" s="25"/>
      <c r="J298" s="26"/>
    </row>
    <row r="299">
      <c r="A299" s="136">
        <f t="shared" si="103"/>
        <v>5</v>
      </c>
      <c r="B299" s="137" t="str">
        <f>IFERROR(__xludf.DUMMYFUNCTION("""COMPUTED_VALUE"""),"Andrew Yao")</f>
        <v>Andrew Yao</v>
      </c>
      <c r="C299" s="138">
        <f t="shared" si="101"/>
        <v>5</v>
      </c>
      <c r="D299" s="139" t="str">
        <f>IFERROR(__xludf.DUMMYFUNCTION("""COMPUTED_VALUE"""),"Cid Macaraeg")</f>
        <v>Cid Macaraeg</v>
      </c>
      <c r="E299" s="25"/>
      <c r="F299" s="26"/>
      <c r="G299" s="138">
        <f t="shared" si="102"/>
        <v>5</v>
      </c>
      <c r="H299" s="139"/>
      <c r="I299" s="25"/>
      <c r="J299" s="26"/>
    </row>
    <row r="300">
      <c r="A300" s="136">
        <f t="shared" si="103"/>
        <v>6</v>
      </c>
      <c r="B300" s="137" t="str">
        <f>IFERROR(__xludf.DUMMYFUNCTION("""COMPUTED_VALUE"""),"Basudev Thoppai Vidyasankar")</f>
        <v>Basudev Thoppai Vidyasankar</v>
      </c>
      <c r="C300" s="138">
        <f t="shared" si="101"/>
        <v>6</v>
      </c>
      <c r="D300" s="139" t="str">
        <f>IFERROR(__xludf.DUMMYFUNCTION("""COMPUTED_VALUE"""),"Erik Hoeckmann")</f>
        <v>Erik Hoeckmann</v>
      </c>
      <c r="E300" s="25"/>
      <c r="F300" s="26"/>
      <c r="G300" s="138">
        <f t="shared" si="102"/>
        <v>6</v>
      </c>
      <c r="H300" s="139"/>
      <c r="I300" s="25"/>
      <c r="J300" s="26"/>
    </row>
    <row r="301">
      <c r="A301" s="136">
        <f t="shared" si="103"/>
        <v>7</v>
      </c>
      <c r="B301" s="137" t="str">
        <f>IFERROR(__xludf.DUMMYFUNCTION("""COMPUTED_VALUE"""),"Camille Jung")</f>
        <v>Camille Jung</v>
      </c>
      <c r="C301" s="138">
        <f t="shared" si="101"/>
        <v>7</v>
      </c>
      <c r="D301" s="139" t="str">
        <f>IFERROR(__xludf.DUMMYFUNCTION("""COMPUTED_VALUE"""),"Herman Au")</f>
        <v>Herman Au</v>
      </c>
      <c r="E301" s="25"/>
      <c r="F301" s="26"/>
      <c r="G301" s="138">
        <f t="shared" si="102"/>
        <v>7</v>
      </c>
      <c r="H301" s="139"/>
      <c r="I301" s="25"/>
      <c r="J301" s="26"/>
    </row>
    <row r="302">
      <c r="A302" s="136">
        <f t="shared" si="103"/>
        <v>8</v>
      </c>
      <c r="B302" s="137" t="str">
        <f>IFERROR(__xludf.DUMMYFUNCTION("""COMPUTED_VALUE"""),"Chinna Ponnaganti")</f>
        <v>Chinna Ponnaganti</v>
      </c>
      <c r="C302" s="138">
        <f t="shared" si="101"/>
        <v>8</v>
      </c>
      <c r="D302" s="139" t="str">
        <f>IFERROR(__xludf.DUMMYFUNCTION("""COMPUTED_VALUE"""),"Hubert J Sung")</f>
        <v>Hubert J Sung</v>
      </c>
      <c r="E302" s="25"/>
      <c r="F302" s="26"/>
      <c r="G302" s="138">
        <f t="shared" si="102"/>
        <v>8</v>
      </c>
      <c r="H302" s="139"/>
      <c r="I302" s="25"/>
      <c r="J302" s="26"/>
    </row>
    <row r="303">
      <c r="A303" s="136">
        <f t="shared" si="103"/>
        <v>9</v>
      </c>
      <c r="B303" s="137" t="str">
        <f>IFERROR(__xludf.DUMMYFUNCTION("""COMPUTED_VALUE"""),"Coco Yan")</f>
        <v>Coco Yan</v>
      </c>
      <c r="C303" s="138">
        <f t="shared" si="101"/>
        <v>9</v>
      </c>
      <c r="D303" s="139" t="str">
        <f>IFERROR(__xludf.DUMMYFUNCTION("""COMPUTED_VALUE"""),"James Phan")</f>
        <v>James Phan</v>
      </c>
      <c r="E303" s="25"/>
      <c r="F303" s="26"/>
      <c r="G303" s="138">
        <f t="shared" si="102"/>
        <v>9</v>
      </c>
      <c r="H303" s="139"/>
      <c r="I303" s="25"/>
      <c r="J303" s="26"/>
    </row>
    <row r="304">
      <c r="A304" s="136">
        <f t="shared" si="103"/>
        <v>10</v>
      </c>
      <c r="B304" s="137" t="str">
        <f>IFERROR(__xludf.DUMMYFUNCTION("""COMPUTED_VALUE"""),"Darren Wong")</f>
        <v>Darren Wong</v>
      </c>
      <c r="C304" s="138">
        <f t="shared" si="101"/>
        <v>10</v>
      </c>
      <c r="D304" s="139" t="str">
        <f>IFERROR(__xludf.DUMMYFUNCTION("""COMPUTED_VALUE"""),"Jaya Sogata")</f>
        <v>Jaya Sogata</v>
      </c>
      <c r="E304" s="25"/>
      <c r="F304" s="26"/>
      <c r="G304" s="138">
        <f t="shared" si="102"/>
        <v>10</v>
      </c>
      <c r="H304" s="139"/>
      <c r="I304" s="25"/>
      <c r="J304" s="26"/>
    </row>
    <row r="305">
      <c r="A305" s="136">
        <f t="shared" si="103"/>
        <v>11</v>
      </c>
      <c r="B305" s="137" t="str">
        <f>IFERROR(__xludf.DUMMYFUNCTION("""COMPUTED_VALUE"""),"David Shin")</f>
        <v>David Shin</v>
      </c>
      <c r="C305" s="138">
        <f t="shared" si="101"/>
        <v>11</v>
      </c>
      <c r="D305" s="139" t="str">
        <f>IFERROR(__xludf.DUMMYFUNCTION("""COMPUTED_VALUE"""),"Jordan Tatang")</f>
        <v>Jordan Tatang</v>
      </c>
      <c r="E305" s="25"/>
      <c r="F305" s="26"/>
      <c r="G305" s="138">
        <f t="shared" si="102"/>
        <v>11</v>
      </c>
      <c r="H305" s="139"/>
      <c r="I305" s="25"/>
      <c r="J305" s="26"/>
    </row>
    <row r="306">
      <c r="A306" s="136">
        <f t="shared" si="103"/>
        <v>12</v>
      </c>
      <c r="B306" s="137" t="str">
        <f>IFERROR(__xludf.DUMMYFUNCTION("""COMPUTED_VALUE"""),"Elayaraja Thangaraj")</f>
        <v>Elayaraja Thangaraj</v>
      </c>
      <c r="C306" s="138">
        <f t="shared" si="101"/>
        <v>12</v>
      </c>
      <c r="D306" s="139" t="str">
        <f>IFERROR(__xludf.DUMMYFUNCTION("""COMPUTED_VALUE"""),"Lenin Belangonda ")</f>
        <v>Lenin Belangonda </v>
      </c>
      <c r="E306" s="25"/>
      <c r="F306" s="26"/>
      <c r="G306" s="138">
        <f t="shared" si="102"/>
        <v>12</v>
      </c>
      <c r="H306" s="139"/>
      <c r="I306" s="25"/>
      <c r="J306" s="26"/>
    </row>
    <row r="307">
      <c r="A307" s="136">
        <f t="shared" si="103"/>
        <v>13</v>
      </c>
      <c r="B307" s="137" t="str">
        <f>IFERROR(__xludf.DUMMYFUNCTION("""COMPUTED_VALUE"""),"Eric Pan")</f>
        <v>Eric Pan</v>
      </c>
      <c r="C307" s="138">
        <f t="shared" si="101"/>
        <v>13</v>
      </c>
      <c r="D307" s="139" t="str">
        <f>IFERROR(__xludf.DUMMYFUNCTION("""COMPUTED_VALUE"""),"Manuel Rivera")</f>
        <v>Manuel Rivera</v>
      </c>
      <c r="E307" s="25"/>
      <c r="F307" s="26"/>
      <c r="G307" s="138">
        <f t="shared" si="102"/>
        <v>13</v>
      </c>
      <c r="H307" s="139"/>
      <c r="I307" s="25"/>
      <c r="J307" s="26"/>
    </row>
    <row r="308">
      <c r="A308" s="136">
        <f t="shared" si="103"/>
        <v>14</v>
      </c>
      <c r="B308" s="137" t="str">
        <f>IFERROR(__xludf.DUMMYFUNCTION("""COMPUTED_VALUE"""),"Eric Tan")</f>
        <v>Eric Tan</v>
      </c>
      <c r="C308" s="138">
        <f t="shared" si="101"/>
        <v>14</v>
      </c>
      <c r="D308" s="139" t="str">
        <f>IFERROR(__xludf.DUMMYFUNCTION("""COMPUTED_VALUE"""),"Mauricio Palacios")</f>
        <v>Mauricio Palacios</v>
      </c>
      <c r="E308" s="25"/>
      <c r="F308" s="26"/>
      <c r="G308" s="138">
        <f t="shared" si="102"/>
        <v>14</v>
      </c>
      <c r="H308" s="139"/>
      <c r="I308" s="25"/>
      <c r="J308" s="26"/>
    </row>
    <row r="309">
      <c r="A309" s="136">
        <f t="shared" si="103"/>
        <v>15</v>
      </c>
      <c r="B309" s="137" t="str">
        <f>IFERROR(__xludf.DUMMYFUNCTION("""COMPUTED_VALUE"""),"Ethan Gu")</f>
        <v>Ethan Gu</v>
      </c>
      <c r="C309" s="138">
        <f t="shared" si="101"/>
        <v>15</v>
      </c>
      <c r="D309" s="139" t="str">
        <f>IFERROR(__xludf.DUMMYFUNCTION("""COMPUTED_VALUE"""),"Pulkit Mathur")</f>
        <v>Pulkit Mathur</v>
      </c>
      <c r="E309" s="25"/>
      <c r="F309" s="26"/>
      <c r="G309" s="138">
        <f t="shared" si="102"/>
        <v>15</v>
      </c>
      <c r="H309" s="139"/>
      <c r="I309" s="25"/>
      <c r="J309" s="26"/>
    </row>
    <row r="310">
      <c r="A310" s="136">
        <f t="shared" si="103"/>
        <v>16</v>
      </c>
      <c r="B310" s="137" t="str">
        <f>IFERROR(__xludf.DUMMYFUNCTION("""COMPUTED_VALUE"""),"Frank Moon")</f>
        <v>Frank Moon</v>
      </c>
      <c r="C310" s="138">
        <f t="shared" si="101"/>
        <v>16</v>
      </c>
      <c r="D310" s="139" t="str">
        <f>IFERROR(__xludf.DUMMYFUNCTION("""COMPUTED_VALUE"""),"Robert Chang")</f>
        <v>Robert Chang</v>
      </c>
      <c r="E310" s="25"/>
      <c r="F310" s="26"/>
      <c r="G310" s="138">
        <f t="shared" si="102"/>
        <v>16</v>
      </c>
      <c r="H310" s="139"/>
      <c r="I310" s="25"/>
      <c r="J310" s="26"/>
    </row>
    <row r="311">
      <c r="A311" s="136">
        <f t="shared" si="103"/>
        <v>17</v>
      </c>
      <c r="B311" s="137" t="str">
        <f>IFERROR(__xludf.DUMMYFUNCTION("""COMPUTED_VALUE"""),"Hongyuan Wen")</f>
        <v>Hongyuan Wen</v>
      </c>
      <c r="C311" s="138">
        <f t="shared" si="101"/>
        <v>17</v>
      </c>
      <c r="D311" s="139" t="str">
        <f>IFERROR(__xludf.DUMMYFUNCTION("""COMPUTED_VALUE"""),"Ruben Ron")</f>
        <v>Ruben Ron</v>
      </c>
      <c r="E311" s="25"/>
      <c r="F311" s="26"/>
      <c r="G311" s="138">
        <f t="shared" si="102"/>
        <v>17</v>
      </c>
      <c r="H311" s="139"/>
      <c r="I311" s="25"/>
      <c r="J311" s="26"/>
    </row>
    <row r="312">
      <c r="A312" s="136">
        <f t="shared" si="103"/>
        <v>18</v>
      </c>
      <c r="B312" s="137" t="str">
        <f>IFERROR(__xludf.DUMMYFUNCTION("""COMPUTED_VALUE"""),"Jim Miao")</f>
        <v>Jim Miao</v>
      </c>
      <c r="C312" s="138">
        <f t="shared" si="101"/>
        <v>18</v>
      </c>
      <c r="D312" s="139" t="str">
        <f>IFERROR(__xludf.DUMMYFUNCTION("""COMPUTED_VALUE"""),"Sandy Weyant")</f>
        <v>Sandy Weyant</v>
      </c>
      <c r="E312" s="25"/>
      <c r="F312" s="26"/>
      <c r="G312" s="138">
        <f t="shared" si="102"/>
        <v>18</v>
      </c>
      <c r="H312" s="139"/>
      <c r="I312" s="25"/>
      <c r="J312" s="26"/>
    </row>
    <row r="313">
      <c r="A313" s="136">
        <f t="shared" si="103"/>
        <v>19</v>
      </c>
      <c r="B313" s="137" t="str">
        <f>IFERROR(__xludf.DUMMYFUNCTION("""COMPUTED_VALUE"""),"Jimmy Awolesi")</f>
        <v>Jimmy Awolesi</v>
      </c>
      <c r="C313" s="138">
        <f t="shared" si="101"/>
        <v>19</v>
      </c>
      <c r="D313" s="139" t="str">
        <f>IFERROR(__xludf.DUMMYFUNCTION("""COMPUTED_VALUE"""),"Tom Le")</f>
        <v>Tom Le</v>
      </c>
      <c r="E313" s="25"/>
      <c r="F313" s="26"/>
      <c r="G313" s="138">
        <f t="shared" si="102"/>
        <v>19</v>
      </c>
      <c r="H313" s="139"/>
      <c r="I313" s="25"/>
      <c r="J313" s="26"/>
    </row>
    <row r="314">
      <c r="A314" s="136">
        <f t="shared" si="103"/>
        <v>20</v>
      </c>
      <c r="B314" s="137" t="str">
        <f>IFERROR(__xludf.DUMMYFUNCTION("""COMPUTED_VALUE"""),"Joe Luzzi")</f>
        <v>Joe Luzzi</v>
      </c>
      <c r="C314" s="138">
        <f t="shared" si="101"/>
        <v>20</v>
      </c>
      <c r="D314" s="139"/>
      <c r="E314" s="25"/>
      <c r="F314" s="26"/>
      <c r="G314" s="138">
        <f t="shared" si="102"/>
        <v>20</v>
      </c>
      <c r="H314" s="139"/>
      <c r="I314" s="25"/>
      <c r="J314" s="26"/>
    </row>
    <row r="315">
      <c r="A315" s="136">
        <f t="shared" si="103"/>
        <v>21</v>
      </c>
      <c r="B315" s="137" t="str">
        <f>IFERROR(__xludf.DUMMYFUNCTION("""COMPUTED_VALUE"""),"Jonathan Phan")</f>
        <v>Jonathan Phan</v>
      </c>
      <c r="C315" s="138">
        <f t="shared" si="101"/>
        <v>21</v>
      </c>
      <c r="D315" s="139"/>
      <c r="E315" s="25"/>
      <c r="F315" s="26"/>
      <c r="G315" s="138">
        <f t="shared" si="102"/>
        <v>21</v>
      </c>
      <c r="H315" s="139"/>
      <c r="I315" s="25"/>
      <c r="J315" s="26"/>
    </row>
    <row r="316">
      <c r="A316" s="136">
        <f t="shared" si="103"/>
        <v>22</v>
      </c>
      <c r="B316" s="137" t="str">
        <f>IFERROR(__xludf.DUMMYFUNCTION("""COMPUTED_VALUE"""),"Joyce Zhu")</f>
        <v>Joyce Zhu</v>
      </c>
      <c r="C316" s="138">
        <f t="shared" si="101"/>
        <v>22</v>
      </c>
      <c r="D316" s="139"/>
      <c r="E316" s="25"/>
      <c r="F316" s="26"/>
      <c r="G316" s="138">
        <f t="shared" si="102"/>
        <v>22</v>
      </c>
      <c r="H316" s="139"/>
      <c r="I316" s="25"/>
      <c r="J316" s="26"/>
    </row>
    <row r="317">
      <c r="A317" s="136">
        <f t="shared" si="103"/>
        <v>23</v>
      </c>
      <c r="B317" s="137" t="str">
        <f>IFERROR(__xludf.DUMMYFUNCTION("""COMPUTED_VALUE"""),"Kumar Palakeel")</f>
        <v>Kumar Palakeel</v>
      </c>
      <c r="C317" s="138">
        <f t="shared" si="101"/>
        <v>23</v>
      </c>
      <c r="D317" s="139"/>
      <c r="E317" s="25"/>
      <c r="F317" s="26"/>
      <c r="G317" s="138">
        <f t="shared" si="102"/>
        <v>23</v>
      </c>
      <c r="H317" s="139"/>
      <c r="I317" s="25"/>
      <c r="J317" s="26"/>
    </row>
    <row r="318">
      <c r="A318" s="136">
        <f t="shared" si="103"/>
        <v>24</v>
      </c>
      <c r="B318" s="137" t="str">
        <f>IFERROR(__xludf.DUMMYFUNCTION("""COMPUTED_VALUE"""),"Lam Bui")</f>
        <v>Lam Bui</v>
      </c>
      <c r="C318" s="138">
        <f t="shared" si="101"/>
        <v>24</v>
      </c>
      <c r="D318" s="139"/>
      <c r="E318" s="25"/>
      <c r="F318" s="26"/>
      <c r="G318" s="138">
        <f t="shared" si="102"/>
        <v>24</v>
      </c>
      <c r="H318" s="139"/>
      <c r="I318" s="25"/>
      <c r="J318" s="26"/>
    </row>
    <row r="319">
      <c r="A319" s="136">
        <f t="shared" si="103"/>
        <v>25</v>
      </c>
      <c r="B319" s="137" t="str">
        <f>IFERROR(__xludf.DUMMYFUNCTION("""COMPUTED_VALUE"""),"Lloyd Sagar")</f>
        <v>Lloyd Sagar</v>
      </c>
      <c r="C319" s="138">
        <f t="shared" si="101"/>
        <v>25</v>
      </c>
      <c r="D319" s="139"/>
      <c r="E319" s="25"/>
      <c r="F319" s="26"/>
      <c r="G319" s="138">
        <f t="shared" si="102"/>
        <v>25</v>
      </c>
      <c r="H319" s="139"/>
      <c r="I319" s="25"/>
      <c r="J319" s="26"/>
    </row>
    <row r="320">
      <c r="A320" s="136">
        <f t="shared" si="103"/>
        <v>26</v>
      </c>
      <c r="B320" s="137" t="str">
        <f>IFERROR(__xludf.DUMMYFUNCTION("""COMPUTED_VALUE"""),"Luis Hsu")</f>
        <v>Luis Hsu</v>
      </c>
      <c r="C320" s="138">
        <f t="shared" si="101"/>
        <v>26</v>
      </c>
      <c r="D320" s="139"/>
      <c r="E320" s="25"/>
      <c r="F320" s="26"/>
      <c r="G320" s="138">
        <f t="shared" si="102"/>
        <v>26</v>
      </c>
      <c r="H320" s="139"/>
      <c r="I320" s="25"/>
      <c r="J320" s="26"/>
    </row>
    <row r="321">
      <c r="A321" s="136">
        <f t="shared" si="103"/>
        <v>27</v>
      </c>
      <c r="B321" s="137" t="str">
        <f>IFERROR(__xludf.DUMMYFUNCTION("""COMPUTED_VALUE"""),"Manish Anand")</f>
        <v>Manish Anand</v>
      </c>
      <c r="C321" s="138">
        <f t="shared" si="101"/>
        <v>27</v>
      </c>
      <c r="D321" s="139"/>
      <c r="E321" s="25"/>
      <c r="F321" s="26"/>
      <c r="G321" s="138">
        <f t="shared" si="102"/>
        <v>27</v>
      </c>
      <c r="H321" s="139"/>
      <c r="I321" s="25"/>
      <c r="J321" s="26"/>
    </row>
    <row r="322">
      <c r="A322" s="136">
        <f t="shared" si="103"/>
        <v>28</v>
      </c>
      <c r="B322" s="137" t="str">
        <f>IFERROR(__xludf.DUMMYFUNCTION("""COMPUTED_VALUE"""),"Matthew Huang")</f>
        <v>Matthew Huang</v>
      </c>
      <c r="C322" s="138">
        <f t="shared" si="101"/>
        <v>28</v>
      </c>
      <c r="D322" s="139"/>
      <c r="E322" s="25"/>
      <c r="F322" s="26"/>
      <c r="G322" s="138">
        <f t="shared" si="102"/>
        <v>28</v>
      </c>
      <c r="H322" s="139"/>
      <c r="I322" s="25"/>
      <c r="J322" s="26"/>
    </row>
    <row r="323">
      <c r="A323" s="136">
        <f t="shared" si="103"/>
        <v>29</v>
      </c>
      <c r="B323" s="137" t="str">
        <f>IFERROR(__xludf.DUMMYFUNCTION("""COMPUTED_VALUE"""),"Naveen Raj")</f>
        <v>Naveen Raj</v>
      </c>
      <c r="C323" s="138">
        <f t="shared" si="101"/>
        <v>29</v>
      </c>
      <c r="D323" s="139"/>
      <c r="E323" s="25"/>
      <c r="F323" s="26"/>
      <c r="G323" s="138">
        <f t="shared" si="102"/>
        <v>29</v>
      </c>
      <c r="H323" s="139"/>
      <c r="I323" s="25"/>
      <c r="J323" s="26"/>
    </row>
    <row r="324">
      <c r="A324" s="136">
        <f t="shared" si="103"/>
        <v>30</v>
      </c>
      <c r="B324" s="137" t="str">
        <f>IFERROR(__xludf.DUMMYFUNCTION("""COMPUTED_VALUE"""),"Nicole Ni")</f>
        <v>Nicole Ni</v>
      </c>
      <c r="C324" s="138">
        <f t="shared" si="101"/>
        <v>30</v>
      </c>
      <c r="D324" s="139"/>
      <c r="E324" s="25"/>
      <c r="F324" s="26"/>
      <c r="G324" s="138">
        <f t="shared" si="102"/>
        <v>30</v>
      </c>
      <c r="H324" s="139"/>
      <c r="I324" s="25"/>
      <c r="J324" s="26"/>
    </row>
    <row r="325">
      <c r="A325" s="136">
        <f t="shared" si="103"/>
        <v>31</v>
      </c>
      <c r="B325" s="137" t="str">
        <f>IFERROR(__xludf.DUMMYFUNCTION("""COMPUTED_VALUE"""),"Oscar Bonilla")</f>
        <v>Oscar Bonilla</v>
      </c>
      <c r="C325" s="138">
        <f t="shared" si="101"/>
        <v>31</v>
      </c>
      <c r="D325" s="139"/>
      <c r="E325" s="25"/>
      <c r="F325" s="26"/>
      <c r="G325" s="138">
        <f t="shared" si="102"/>
        <v>31</v>
      </c>
      <c r="H325" s="139"/>
      <c r="I325" s="25"/>
      <c r="J325" s="26"/>
    </row>
    <row r="326">
      <c r="A326" s="136">
        <f t="shared" si="103"/>
        <v>32</v>
      </c>
      <c r="B326" s="137" t="str">
        <f>IFERROR(__xludf.DUMMYFUNCTION("""COMPUTED_VALUE"""),"Pavan Akkimsetty")</f>
        <v>Pavan Akkimsetty</v>
      </c>
      <c r="C326" s="138">
        <f t="shared" si="101"/>
        <v>32</v>
      </c>
      <c r="D326" s="139"/>
      <c r="E326" s="25"/>
      <c r="F326" s="26"/>
      <c r="G326" s="138">
        <f t="shared" si="102"/>
        <v>32</v>
      </c>
      <c r="H326" s="139"/>
      <c r="I326" s="25"/>
      <c r="J326" s="26"/>
    </row>
    <row r="327">
      <c r="A327" s="136">
        <f t="shared" si="103"/>
        <v>33</v>
      </c>
      <c r="B327" s="137" t="str">
        <f>IFERROR(__xludf.DUMMYFUNCTION("""COMPUTED_VALUE"""),"Rajasekar Ramasamy")</f>
        <v>Rajasekar Ramasamy</v>
      </c>
      <c r="C327" s="138">
        <f t="shared" si="101"/>
        <v>33</v>
      </c>
      <c r="D327" s="139"/>
      <c r="E327" s="25"/>
      <c r="F327" s="26"/>
      <c r="G327" s="138">
        <f t="shared" si="102"/>
        <v>33</v>
      </c>
      <c r="H327" s="139"/>
      <c r="I327" s="25"/>
      <c r="J327" s="26"/>
    </row>
    <row r="328">
      <c r="A328" s="136">
        <f t="shared" si="103"/>
        <v>34</v>
      </c>
      <c r="B328" s="137" t="str">
        <f>IFERROR(__xludf.DUMMYFUNCTION("""COMPUTED_VALUE"""),"Rajesh Dorairaj")</f>
        <v>Rajesh Dorairaj</v>
      </c>
      <c r="C328" s="138">
        <f t="shared" si="101"/>
        <v>34</v>
      </c>
      <c r="D328" s="139"/>
      <c r="E328" s="25"/>
      <c r="F328" s="26"/>
      <c r="G328" s="138">
        <f t="shared" si="102"/>
        <v>34</v>
      </c>
      <c r="H328" s="139"/>
      <c r="I328" s="25"/>
      <c r="J328" s="26"/>
    </row>
    <row r="329">
      <c r="A329" s="136">
        <f t="shared" si="103"/>
        <v>35</v>
      </c>
      <c r="B329" s="137" t="str">
        <f>IFERROR(__xludf.DUMMYFUNCTION("""COMPUTED_VALUE"""),"Ramesh Bandaru")</f>
        <v>Ramesh Bandaru</v>
      </c>
      <c r="C329" s="138">
        <f t="shared" si="101"/>
        <v>35</v>
      </c>
      <c r="D329" s="139"/>
      <c r="E329" s="25"/>
      <c r="F329" s="26"/>
      <c r="G329" s="138">
        <f t="shared" si="102"/>
        <v>35</v>
      </c>
      <c r="H329" s="139"/>
      <c r="I329" s="25"/>
      <c r="J329" s="26"/>
    </row>
    <row r="330">
      <c r="A330" s="136">
        <f t="shared" si="103"/>
        <v>36</v>
      </c>
      <c r="B330" s="137" t="str">
        <f>IFERROR(__xludf.DUMMYFUNCTION("""COMPUTED_VALUE"""),"Ranjith Doraiswamy")</f>
        <v>Ranjith Doraiswamy</v>
      </c>
      <c r="C330" s="138">
        <f t="shared" si="101"/>
        <v>36</v>
      </c>
      <c r="D330" s="139"/>
      <c r="E330" s="25"/>
      <c r="F330" s="26"/>
      <c r="G330" s="138">
        <f t="shared" si="102"/>
        <v>36</v>
      </c>
      <c r="H330" s="139"/>
      <c r="I330" s="25"/>
      <c r="J330" s="26"/>
    </row>
    <row r="331">
      <c r="A331" s="136">
        <f t="shared" si="103"/>
        <v>37</v>
      </c>
      <c r="B331" s="137" t="str">
        <f>IFERROR(__xludf.DUMMYFUNCTION("""COMPUTED_VALUE"""),"Rudy Tatang")</f>
        <v>Rudy Tatang</v>
      </c>
      <c r="C331" s="138">
        <f t="shared" si="101"/>
        <v>37</v>
      </c>
      <c r="D331" s="139"/>
      <c r="E331" s="25"/>
      <c r="F331" s="26"/>
      <c r="G331" s="138">
        <f t="shared" si="102"/>
        <v>37</v>
      </c>
      <c r="H331" s="139"/>
      <c r="I331" s="25"/>
      <c r="J331" s="26"/>
    </row>
    <row r="332">
      <c r="A332" s="136">
        <f t="shared" si="103"/>
        <v>38</v>
      </c>
      <c r="B332" s="137" t="str">
        <f>IFERROR(__xludf.DUMMYFUNCTION("""COMPUTED_VALUE"""),"Sandeep Kamalon")</f>
        <v>Sandeep Kamalon</v>
      </c>
      <c r="C332" s="138">
        <f t="shared" si="101"/>
        <v>38</v>
      </c>
      <c r="D332" s="139"/>
      <c r="E332" s="25"/>
      <c r="F332" s="26"/>
      <c r="G332" s="138">
        <f t="shared" si="102"/>
        <v>38</v>
      </c>
      <c r="H332" s="139"/>
      <c r="I332" s="25"/>
      <c r="J332" s="26"/>
    </row>
    <row r="333">
      <c r="A333" s="136">
        <f t="shared" si="103"/>
        <v>39</v>
      </c>
      <c r="B333" s="137" t="str">
        <f>IFERROR(__xludf.DUMMYFUNCTION("""COMPUTED_VALUE"""),"Sanjaye Elayattu")</f>
        <v>Sanjaye Elayattu</v>
      </c>
      <c r="C333" s="138">
        <f t="shared" si="101"/>
        <v>39</v>
      </c>
      <c r="D333" s="139"/>
      <c r="E333" s="25"/>
      <c r="F333" s="26"/>
      <c r="G333" s="138">
        <f t="shared" si="102"/>
        <v>39</v>
      </c>
      <c r="H333" s="139"/>
      <c r="I333" s="25"/>
      <c r="J333" s="26"/>
    </row>
    <row r="334">
      <c r="A334" s="136">
        <f t="shared" si="103"/>
        <v>40</v>
      </c>
      <c r="B334" s="137" t="str">
        <f>IFERROR(__xludf.DUMMYFUNCTION("""COMPUTED_VALUE"""),"Santosh Sundaresan")</f>
        <v>Santosh Sundaresan</v>
      </c>
      <c r="C334" s="138">
        <f t="shared" si="101"/>
        <v>40</v>
      </c>
      <c r="D334" s="139"/>
      <c r="E334" s="25"/>
      <c r="F334" s="26"/>
      <c r="G334" s="138">
        <f t="shared" si="102"/>
        <v>40</v>
      </c>
      <c r="H334" s="139"/>
      <c r="I334" s="25"/>
      <c r="J334" s="26"/>
    </row>
    <row r="335">
      <c r="A335" s="136">
        <f t="shared" si="103"/>
        <v>41</v>
      </c>
      <c r="B335" s="137" t="str">
        <f>IFERROR(__xludf.DUMMYFUNCTION("""COMPUTED_VALUE"""),"Saravanan Veerapandian")</f>
        <v>Saravanan Veerapandian</v>
      </c>
      <c r="C335" s="138">
        <f t="shared" si="101"/>
        <v>41</v>
      </c>
      <c r="D335" s="139"/>
      <c r="E335" s="25"/>
      <c r="F335" s="26"/>
      <c r="G335" s="138">
        <f t="shared" si="102"/>
        <v>41</v>
      </c>
      <c r="H335" s="139"/>
      <c r="I335" s="25"/>
      <c r="J335" s="26"/>
    </row>
    <row r="336">
      <c r="A336" s="136">
        <f t="shared" si="103"/>
        <v>42</v>
      </c>
      <c r="B336" s="137" t="str">
        <f>IFERROR(__xludf.DUMMYFUNCTION("""COMPUTED_VALUE"""),"Scott Li")</f>
        <v>Scott Li</v>
      </c>
      <c r="C336" s="138">
        <f t="shared" si="101"/>
        <v>42</v>
      </c>
      <c r="D336" s="139"/>
      <c r="E336" s="25"/>
      <c r="F336" s="26"/>
      <c r="G336" s="138">
        <f t="shared" si="102"/>
        <v>42</v>
      </c>
      <c r="H336" s="139"/>
      <c r="I336" s="25"/>
      <c r="J336" s="26"/>
    </row>
    <row r="337">
      <c r="A337" s="136">
        <f t="shared" si="103"/>
        <v>43</v>
      </c>
      <c r="B337" s="137" t="str">
        <f>IFERROR(__xludf.DUMMYFUNCTION("""COMPUTED_VALUE"""),"Sean Chang")</f>
        <v>Sean Chang</v>
      </c>
      <c r="C337" s="138">
        <f t="shared" si="101"/>
        <v>43</v>
      </c>
      <c r="D337" s="139"/>
      <c r="E337" s="25"/>
      <c r="F337" s="26"/>
      <c r="G337" s="138">
        <f t="shared" si="102"/>
        <v>43</v>
      </c>
      <c r="H337" s="139"/>
      <c r="I337" s="25"/>
      <c r="J337" s="26"/>
    </row>
    <row r="338">
      <c r="A338" s="136">
        <f t="shared" si="103"/>
        <v>44</v>
      </c>
      <c r="B338" s="137" t="str">
        <f>IFERROR(__xludf.DUMMYFUNCTION("""COMPUTED_VALUE"""),"Suleman Alidina")</f>
        <v>Suleman Alidina</v>
      </c>
      <c r="C338" s="138">
        <f t="shared" si="101"/>
        <v>44</v>
      </c>
      <c r="D338" s="139"/>
      <c r="E338" s="25"/>
      <c r="F338" s="26"/>
      <c r="G338" s="138">
        <f t="shared" si="102"/>
        <v>44</v>
      </c>
      <c r="H338" s="139"/>
      <c r="I338" s="25"/>
      <c r="J338" s="26"/>
    </row>
    <row r="339">
      <c r="A339" s="136">
        <f t="shared" si="103"/>
        <v>45</v>
      </c>
      <c r="B339" s="137" t="str">
        <f>IFERROR(__xludf.DUMMYFUNCTION("""COMPUTED_VALUE"""),"Susanta Mishra")</f>
        <v>Susanta Mishra</v>
      </c>
      <c r="C339" s="138">
        <f t="shared" si="101"/>
        <v>45</v>
      </c>
      <c r="D339" s="139"/>
      <c r="E339" s="25"/>
      <c r="F339" s="26"/>
      <c r="G339" s="138">
        <f t="shared" si="102"/>
        <v>45</v>
      </c>
      <c r="H339" s="139"/>
      <c r="I339" s="25"/>
      <c r="J339" s="26"/>
    </row>
    <row r="340">
      <c r="A340" s="136">
        <f t="shared" si="103"/>
        <v>46</v>
      </c>
      <c r="B340" s="137" t="str">
        <f>IFERROR(__xludf.DUMMYFUNCTION("""COMPUTED_VALUE"""),"Ted Shen")</f>
        <v>Ted Shen</v>
      </c>
      <c r="C340" s="138">
        <f t="shared" si="101"/>
        <v>46</v>
      </c>
      <c r="D340" s="139"/>
      <c r="E340" s="25"/>
      <c r="F340" s="26"/>
      <c r="G340" s="138">
        <f t="shared" si="102"/>
        <v>46</v>
      </c>
      <c r="H340" s="139"/>
      <c r="I340" s="25"/>
      <c r="J340" s="26"/>
    </row>
    <row r="341">
      <c r="A341" s="136">
        <f t="shared" si="103"/>
        <v>47</v>
      </c>
      <c r="B341" s="137" t="str">
        <f>IFERROR(__xludf.DUMMYFUNCTION("""COMPUTED_VALUE"""),"Tina Hanson")</f>
        <v>Tina Hanson</v>
      </c>
      <c r="C341" s="138">
        <f t="shared" si="101"/>
        <v>47</v>
      </c>
      <c r="D341" s="139"/>
      <c r="E341" s="25"/>
      <c r="F341" s="26"/>
      <c r="G341" s="138">
        <f t="shared" si="102"/>
        <v>47</v>
      </c>
      <c r="H341" s="139"/>
      <c r="I341" s="25"/>
      <c r="J341" s="26"/>
    </row>
    <row r="342">
      <c r="A342" s="136">
        <f t="shared" si="103"/>
        <v>48</v>
      </c>
      <c r="B342" s="137" t="str">
        <f>IFERROR(__xludf.DUMMYFUNCTION("""COMPUTED_VALUE"""),"Trish Newlin")</f>
        <v>Trish Newlin</v>
      </c>
      <c r="C342" s="138">
        <f t="shared" si="101"/>
        <v>48</v>
      </c>
      <c r="D342" s="139"/>
      <c r="E342" s="25"/>
      <c r="F342" s="26"/>
      <c r="G342" s="138">
        <f t="shared" si="102"/>
        <v>48</v>
      </c>
      <c r="H342" s="139"/>
      <c r="I342" s="25"/>
      <c r="J342" s="26"/>
    </row>
    <row r="343">
      <c r="A343" s="136">
        <f t="shared" si="103"/>
        <v>49</v>
      </c>
      <c r="B343" s="137" t="str">
        <f>IFERROR(__xludf.DUMMYFUNCTION("""COMPUTED_VALUE"""),"Troy Wong")</f>
        <v>Troy Wong</v>
      </c>
      <c r="C343" s="138">
        <f t="shared" si="101"/>
        <v>49</v>
      </c>
      <c r="D343" s="139"/>
      <c r="E343" s="25"/>
      <c r="F343" s="26"/>
      <c r="G343" s="138">
        <f t="shared" si="102"/>
        <v>49</v>
      </c>
      <c r="H343" s="139"/>
      <c r="I343" s="25"/>
      <c r="J343" s="26"/>
    </row>
    <row r="344">
      <c r="A344" s="136">
        <f t="shared" si="103"/>
        <v>50</v>
      </c>
      <c r="B344" s="137" t="str">
        <f>IFERROR(__xludf.DUMMYFUNCTION("""COMPUTED_VALUE"""),"Vicki Martinet")</f>
        <v>Vicki Martinet</v>
      </c>
      <c r="C344" s="138">
        <f t="shared" si="101"/>
        <v>50</v>
      </c>
      <c r="D344" s="139"/>
      <c r="E344" s="25"/>
      <c r="F344" s="26"/>
      <c r="G344" s="138">
        <f t="shared" si="102"/>
        <v>50</v>
      </c>
      <c r="H344" s="139"/>
      <c r="I344" s="25"/>
      <c r="J344" s="26"/>
    </row>
    <row r="345">
      <c r="A345" s="136">
        <f t="shared" si="103"/>
        <v>51</v>
      </c>
      <c r="B345" s="137" t="str">
        <f>IFERROR(__xludf.DUMMYFUNCTION("""COMPUTED_VALUE"""),"Vinaya Kajla")</f>
        <v>Vinaya Kajla</v>
      </c>
      <c r="C345" s="138">
        <f t="shared" si="101"/>
        <v>51</v>
      </c>
      <c r="D345" s="139"/>
      <c r="E345" s="25"/>
      <c r="F345" s="26"/>
      <c r="G345" s="138">
        <f t="shared" si="102"/>
        <v>51</v>
      </c>
      <c r="H345" s="139"/>
      <c r="I345" s="25"/>
      <c r="J345" s="26"/>
    </row>
    <row r="346">
      <c r="A346" s="136">
        <f t="shared" si="103"/>
        <v>52</v>
      </c>
      <c r="B346" s="137" t="str">
        <f>IFERROR(__xludf.DUMMYFUNCTION("""COMPUTED_VALUE"""),"Vinotkumar Nagappan")</f>
        <v>Vinotkumar Nagappan</v>
      </c>
      <c r="C346" s="138">
        <f t="shared" si="101"/>
        <v>52</v>
      </c>
      <c r="D346" s="139"/>
      <c r="E346" s="25"/>
      <c r="F346" s="26"/>
      <c r="G346" s="138">
        <f t="shared" si="102"/>
        <v>52</v>
      </c>
      <c r="H346" s="139"/>
      <c r="I346" s="25"/>
      <c r="J346" s="26"/>
    </row>
    <row r="347">
      <c r="A347" s="136">
        <f t="shared" si="103"/>
        <v>53</v>
      </c>
      <c r="B347" s="137" t="str">
        <f>IFERROR(__xludf.DUMMYFUNCTION("""COMPUTED_VALUE"""),"Vishnu Amarnath")</f>
        <v>Vishnu Amarnath</v>
      </c>
      <c r="C347" s="138">
        <f t="shared" si="101"/>
        <v>53</v>
      </c>
      <c r="D347" s="139"/>
      <c r="E347" s="25"/>
      <c r="F347" s="26"/>
      <c r="G347" s="138">
        <f t="shared" si="102"/>
        <v>53</v>
      </c>
      <c r="H347" s="139"/>
      <c r="I347" s="25"/>
      <c r="J347" s="26"/>
    </row>
    <row r="348">
      <c r="A348" s="136">
        <f t="shared" si="103"/>
        <v>54</v>
      </c>
      <c r="B348" s="137" t="str">
        <f>IFERROR(__xludf.DUMMYFUNCTION("""COMPUTED_VALUE"""),"Wayne Liu")</f>
        <v>Wayne Liu</v>
      </c>
      <c r="C348" s="138">
        <f t="shared" si="101"/>
        <v>54</v>
      </c>
      <c r="D348" s="139"/>
      <c r="E348" s="25"/>
      <c r="F348" s="26"/>
      <c r="G348" s="138">
        <f t="shared" si="102"/>
        <v>54</v>
      </c>
      <c r="H348" s="139"/>
      <c r="I348" s="25"/>
      <c r="J348" s="26"/>
    </row>
    <row r="349">
      <c r="A349" s="136">
        <f t="shared" si="103"/>
        <v>55</v>
      </c>
      <c r="B349" s="137"/>
      <c r="C349" s="138">
        <f t="shared" si="101"/>
        <v>55</v>
      </c>
      <c r="D349" s="139"/>
      <c r="E349" s="25"/>
      <c r="F349" s="26"/>
      <c r="G349" s="138">
        <f t="shared" si="102"/>
        <v>55</v>
      </c>
      <c r="H349" s="139"/>
      <c r="I349" s="25"/>
      <c r="J349" s="26"/>
    </row>
    <row r="350">
      <c r="A350" s="136">
        <f t="shared" si="103"/>
        <v>56</v>
      </c>
      <c r="B350" s="137"/>
      <c r="C350" s="138">
        <f t="shared" si="101"/>
        <v>56</v>
      </c>
      <c r="D350" s="139"/>
      <c r="E350" s="25"/>
      <c r="F350" s="26"/>
      <c r="G350" s="138">
        <f t="shared" si="102"/>
        <v>56</v>
      </c>
      <c r="H350" s="139"/>
      <c r="I350" s="25"/>
      <c r="J350" s="26"/>
    </row>
    <row r="351">
      <c r="A351" s="136">
        <f t="shared" si="103"/>
        <v>57</v>
      </c>
      <c r="B351" s="137"/>
      <c r="C351" s="138">
        <f t="shared" si="101"/>
        <v>57</v>
      </c>
      <c r="D351" s="139"/>
      <c r="E351" s="25"/>
      <c r="F351" s="26"/>
      <c r="G351" s="138">
        <f t="shared" si="102"/>
        <v>57</v>
      </c>
      <c r="H351" s="139"/>
      <c r="I351" s="25"/>
      <c r="J351" s="26"/>
    </row>
    <row r="352">
      <c r="A352" s="136">
        <f t="shared" si="103"/>
        <v>58</v>
      </c>
      <c r="B352" s="137"/>
      <c r="C352" s="138">
        <f t="shared" si="101"/>
        <v>58</v>
      </c>
      <c r="D352" s="139"/>
      <c r="E352" s="25"/>
      <c r="F352" s="26"/>
      <c r="G352" s="138">
        <f t="shared" si="102"/>
        <v>58</v>
      </c>
      <c r="H352" s="139"/>
      <c r="I352" s="25"/>
      <c r="J352" s="26"/>
    </row>
    <row r="353">
      <c r="A353" s="136">
        <f t="shared" si="103"/>
        <v>59</v>
      </c>
      <c r="B353" s="137"/>
      <c r="C353" s="138">
        <f t="shared" si="101"/>
        <v>59</v>
      </c>
      <c r="D353" s="139"/>
      <c r="E353" s="25"/>
      <c r="F353" s="26"/>
      <c r="G353" s="138">
        <f t="shared" si="102"/>
        <v>59</v>
      </c>
      <c r="H353" s="139"/>
      <c r="I353" s="25"/>
      <c r="J353" s="26"/>
    </row>
    <row r="354">
      <c r="A354" s="136">
        <f t="shared" si="103"/>
        <v>60</v>
      </c>
      <c r="B354" s="137"/>
      <c r="C354" s="138">
        <f t="shared" si="101"/>
        <v>60</v>
      </c>
      <c r="D354" s="139"/>
      <c r="E354" s="25"/>
      <c r="F354" s="26"/>
      <c r="G354" s="138">
        <f t="shared" si="102"/>
        <v>60</v>
      </c>
      <c r="H354" s="139"/>
      <c r="I354" s="25"/>
      <c r="J354" s="26"/>
    </row>
    <row r="355">
      <c r="A355" s="136">
        <f t="shared" si="103"/>
        <v>61</v>
      </c>
      <c r="B355" s="137"/>
      <c r="C355" s="138">
        <f t="shared" si="101"/>
        <v>61</v>
      </c>
      <c r="D355" s="139"/>
      <c r="E355" s="25"/>
      <c r="F355" s="26"/>
      <c r="G355" s="138">
        <f t="shared" si="102"/>
        <v>61</v>
      </c>
      <c r="H355" s="139"/>
      <c r="I355" s="25"/>
      <c r="J355" s="26"/>
    </row>
    <row r="356">
      <c r="A356" s="136">
        <f t="shared" si="103"/>
        <v>62</v>
      </c>
      <c r="B356" s="137"/>
      <c r="C356" s="138">
        <f t="shared" si="101"/>
        <v>62</v>
      </c>
      <c r="D356" s="139"/>
      <c r="E356" s="25"/>
      <c r="F356" s="26"/>
      <c r="G356" s="138">
        <f t="shared" si="102"/>
        <v>62</v>
      </c>
      <c r="H356" s="139"/>
      <c r="I356" s="25"/>
      <c r="J356" s="26"/>
    </row>
    <row r="357">
      <c r="A357" s="136">
        <f t="shared" si="103"/>
        <v>63</v>
      </c>
      <c r="B357" s="137"/>
      <c r="C357" s="138">
        <f t="shared" si="101"/>
        <v>63</v>
      </c>
      <c r="D357" s="139"/>
      <c r="E357" s="25"/>
      <c r="F357" s="26"/>
      <c r="G357" s="138">
        <f t="shared" si="102"/>
        <v>63</v>
      </c>
      <c r="H357" s="139"/>
      <c r="I357" s="25"/>
      <c r="J357" s="26"/>
    </row>
    <row r="358">
      <c r="A358" s="136">
        <f t="shared" si="103"/>
        <v>64</v>
      </c>
      <c r="B358" s="137"/>
      <c r="C358" s="138">
        <f t="shared" si="101"/>
        <v>64</v>
      </c>
      <c r="D358" s="139"/>
      <c r="E358" s="25"/>
      <c r="F358" s="26"/>
      <c r="G358" s="138">
        <f t="shared" si="102"/>
        <v>64</v>
      </c>
      <c r="H358" s="139"/>
      <c r="I358" s="25"/>
      <c r="J358" s="26"/>
    </row>
    <row r="359">
      <c r="A359" s="136">
        <f t="shared" si="103"/>
        <v>65</v>
      </c>
      <c r="B359" s="137"/>
      <c r="C359" s="138">
        <f t="shared" si="101"/>
        <v>65</v>
      </c>
      <c r="D359" s="139"/>
      <c r="E359" s="25"/>
      <c r="F359" s="26"/>
      <c r="G359" s="138">
        <f t="shared" si="102"/>
        <v>65</v>
      </c>
      <c r="H359" s="139"/>
      <c r="I359" s="25"/>
      <c r="J359" s="26"/>
    </row>
    <row r="360">
      <c r="A360" s="5"/>
      <c r="C360" s="5"/>
      <c r="D360" s="5"/>
      <c r="E360" s="5"/>
      <c r="F360" s="5"/>
    </row>
    <row r="361">
      <c r="A361" s="5"/>
      <c r="C361" s="5"/>
      <c r="D361" s="5"/>
      <c r="E361" s="5"/>
      <c r="F361" s="5"/>
    </row>
    <row r="362">
      <c r="A362" s="5"/>
      <c r="C362" s="5"/>
      <c r="D362" s="5"/>
      <c r="E362" s="5"/>
      <c r="F362" s="5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</sheetData>
  <mergeCells count="150"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45:F345"/>
    <mergeCell ref="D346:F346"/>
    <mergeCell ref="D347:F347"/>
    <mergeCell ref="D348:F348"/>
    <mergeCell ref="D349:F349"/>
    <mergeCell ref="D350:F350"/>
    <mergeCell ref="D351:F351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53:J353"/>
    <mergeCell ref="H354:J354"/>
    <mergeCell ref="H355:J355"/>
    <mergeCell ref="H356:J356"/>
    <mergeCell ref="H357:J357"/>
    <mergeCell ref="H358:J358"/>
    <mergeCell ref="H359:J359"/>
    <mergeCell ref="H346:J346"/>
    <mergeCell ref="H347:J347"/>
    <mergeCell ref="H348:J348"/>
    <mergeCell ref="H349:J349"/>
    <mergeCell ref="H350:J350"/>
    <mergeCell ref="H351:J351"/>
    <mergeCell ref="H352:J352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A142:B142"/>
    <mergeCell ref="B223:C223"/>
    <mergeCell ref="D294:F294"/>
    <mergeCell ref="H294:J294"/>
    <mergeCell ref="H295:J295"/>
    <mergeCell ref="H298:J298"/>
    <mergeCell ref="H299:J299"/>
    <mergeCell ref="D295:F295"/>
    <mergeCell ref="D296:F296"/>
    <mergeCell ref="H296:J296"/>
    <mergeCell ref="D297:F297"/>
    <mergeCell ref="H297:J297"/>
    <mergeCell ref="D298:F298"/>
    <mergeCell ref="D299:F299"/>
    <mergeCell ref="D300:F300"/>
    <mergeCell ref="H300:J300"/>
    <mergeCell ref="D301:F301"/>
    <mergeCell ref="H301:J301"/>
    <mergeCell ref="D302:F302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46186.0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23.0</v>
      </c>
      <c r="E2" s="5"/>
      <c r="F2" s="5"/>
      <c r="R2" s="18"/>
      <c r="AC2" s="22" t="str">
        <f>text(C1-7,"mm/dd/yy")</f>
        <v>06/06/26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33</v>
      </c>
      <c r="R3" s="18" t="s">
        <v>34</v>
      </c>
      <c r="S3" s="18"/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343.0</v>
      </c>
      <c r="D5" s="37">
        <v>46.0</v>
      </c>
      <c r="E5" s="40">
        <f t="shared" ref="E5:E79" si="2">if(S5&gt;0,(C5-(V5*9)-(T5*13))/S5,0)</f>
        <v>15.47619048</v>
      </c>
      <c r="F5" s="90">
        <v>1.0</v>
      </c>
      <c r="G5" s="91">
        <v>1.0</v>
      </c>
      <c r="H5" s="92">
        <v>0.0</v>
      </c>
      <c r="I5" s="91">
        <v>6.0</v>
      </c>
      <c r="J5" s="91">
        <v>6.0</v>
      </c>
      <c r="K5" s="91">
        <v>1.0</v>
      </c>
      <c r="L5" s="93">
        <v>13.0</v>
      </c>
      <c r="M5" s="91">
        <v>2.0</v>
      </c>
      <c r="N5" s="37">
        <f t="shared" ref="N5:O5" si="1">C5+L5</f>
        <v>356</v>
      </c>
      <c r="O5" s="37">
        <f t="shared" si="1"/>
        <v>48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21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324.0</v>
      </c>
      <c r="D6" s="37">
        <v>36.0</v>
      </c>
      <c r="E6" s="40">
        <f t="shared" si="2"/>
        <v>15.15789474</v>
      </c>
      <c r="F6" s="90">
        <v>1.0</v>
      </c>
      <c r="G6" s="91">
        <v>1.0</v>
      </c>
      <c r="H6" s="92">
        <v>0.0</v>
      </c>
      <c r="I6" s="91">
        <v>6.0</v>
      </c>
      <c r="J6" s="91">
        <v>3.0</v>
      </c>
      <c r="K6" s="91">
        <v>6.0</v>
      </c>
      <c r="L6" s="93">
        <v>15.0</v>
      </c>
      <c r="M6" s="91">
        <v>2.0</v>
      </c>
      <c r="N6" s="37">
        <f t="shared" ref="N6:O6" si="3">C6+L6</f>
        <v>339</v>
      </c>
      <c r="O6" s="37">
        <f t="shared" si="3"/>
        <v>38</v>
      </c>
      <c r="P6" s="49" t="s">
        <v>57</v>
      </c>
      <c r="Q6" s="49" t="s">
        <v>57</v>
      </c>
      <c r="R6" s="49"/>
      <c r="S6" s="51">
        <f t="shared" si="4"/>
        <v>19</v>
      </c>
      <c r="T6" s="52">
        <f t="shared" si="5"/>
        <v>0</v>
      </c>
      <c r="U6" s="52"/>
      <c r="V6" s="51">
        <f t="shared" si="6"/>
        <v>4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310.0</v>
      </c>
      <c r="D7" s="37">
        <v>30.0</v>
      </c>
      <c r="E7" s="40">
        <f t="shared" si="2"/>
        <v>14.15</v>
      </c>
      <c r="F7" s="90">
        <v>1.0</v>
      </c>
      <c r="G7" s="91">
        <v>1.0</v>
      </c>
      <c r="H7" s="92">
        <v>0.0</v>
      </c>
      <c r="I7" s="91">
        <v>3.0</v>
      </c>
      <c r="J7" s="91">
        <v>6.0</v>
      </c>
      <c r="K7" s="91">
        <v>6.0</v>
      </c>
      <c r="L7" s="93">
        <v>15.0</v>
      </c>
      <c r="M7" s="91">
        <v>2.0</v>
      </c>
      <c r="N7" s="37">
        <f t="shared" ref="N7:O7" si="11">C7+L7</f>
        <v>325</v>
      </c>
      <c r="O7" s="37">
        <f t="shared" si="11"/>
        <v>32</v>
      </c>
      <c r="P7" s="49" t="s">
        <v>57</v>
      </c>
      <c r="Q7" s="49" t="s">
        <v>57</v>
      </c>
      <c r="R7" s="49" t="s">
        <v>57</v>
      </c>
      <c r="S7" s="51">
        <f t="shared" si="4"/>
        <v>20</v>
      </c>
      <c r="T7" s="52">
        <f t="shared" si="5"/>
        <v>0</v>
      </c>
      <c r="U7" s="52"/>
      <c r="V7" s="51">
        <f t="shared" si="6"/>
        <v>3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305.0</v>
      </c>
      <c r="D8" s="37">
        <v>28.0</v>
      </c>
      <c r="E8" s="40">
        <f t="shared" si="2"/>
        <v>13.5</v>
      </c>
      <c r="F8" s="90">
        <v>2.0</v>
      </c>
      <c r="G8" s="91">
        <v>1.0</v>
      </c>
      <c r="H8" s="92">
        <v>0.0</v>
      </c>
      <c r="I8" s="91">
        <v>3.0</v>
      </c>
      <c r="J8" s="91">
        <v>3.0</v>
      </c>
      <c r="K8" s="91">
        <v>1.0</v>
      </c>
      <c r="L8" s="93">
        <v>7.0</v>
      </c>
      <c r="M8" s="91">
        <v>0.0</v>
      </c>
      <c r="N8" s="37">
        <f t="shared" ref="N8:O8" si="13">C8+L8</f>
        <v>312</v>
      </c>
      <c r="O8" s="37">
        <f t="shared" si="13"/>
        <v>28</v>
      </c>
      <c r="P8" s="49" t="s">
        <v>57</v>
      </c>
      <c r="Q8" s="49" t="s">
        <v>57</v>
      </c>
      <c r="R8" s="49"/>
      <c r="S8" s="51">
        <f t="shared" si="4"/>
        <v>20</v>
      </c>
      <c r="T8" s="52">
        <f t="shared" si="5"/>
        <v>2</v>
      </c>
      <c r="U8" s="52"/>
      <c r="V8" s="51">
        <f t="shared" si="6"/>
        <v>1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93</v>
      </c>
      <c r="C9" s="37">
        <v>296.0</v>
      </c>
      <c r="D9" s="37">
        <v>28.0</v>
      </c>
      <c r="E9" s="40">
        <f t="shared" si="2"/>
        <v>13.47368421</v>
      </c>
      <c r="F9" s="90">
        <v>1.0</v>
      </c>
      <c r="G9" s="91">
        <v>2.0</v>
      </c>
      <c r="H9" s="92">
        <v>0.0</v>
      </c>
      <c r="I9" s="91">
        <v>4.0</v>
      </c>
      <c r="J9" s="91">
        <v>6.0</v>
      </c>
      <c r="K9" s="91">
        <v>1.0</v>
      </c>
      <c r="L9" s="93">
        <v>11.0</v>
      </c>
      <c r="M9" s="91">
        <v>1.0</v>
      </c>
      <c r="N9" s="37">
        <f t="shared" ref="N9:O9" si="14">C9+L9</f>
        <v>307</v>
      </c>
      <c r="O9" s="37">
        <f t="shared" si="14"/>
        <v>29</v>
      </c>
      <c r="P9" s="49" t="s">
        <v>57</v>
      </c>
      <c r="Q9" s="49" t="s">
        <v>57</v>
      </c>
      <c r="R9" s="49"/>
      <c r="S9" s="51">
        <f t="shared" si="4"/>
        <v>19</v>
      </c>
      <c r="T9" s="52">
        <f t="shared" si="5"/>
        <v>1</v>
      </c>
      <c r="U9" s="52"/>
      <c r="V9" s="51">
        <f t="shared" si="6"/>
        <v>3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94</v>
      </c>
      <c r="C10" s="37">
        <v>295.0</v>
      </c>
      <c r="D10" s="37">
        <v>29.0</v>
      </c>
      <c r="E10" s="40">
        <f t="shared" si="2"/>
        <v>13.2</v>
      </c>
      <c r="F10" s="90">
        <v>1.0</v>
      </c>
      <c r="G10" s="91">
        <v>2.0</v>
      </c>
      <c r="H10" s="92">
        <v>0.0</v>
      </c>
      <c r="I10" s="91">
        <v>6.0</v>
      </c>
      <c r="J10" s="91">
        <v>3.0</v>
      </c>
      <c r="K10" s="91">
        <v>1.0</v>
      </c>
      <c r="L10" s="93">
        <v>10.0</v>
      </c>
      <c r="M10" s="91">
        <v>1.0</v>
      </c>
      <c r="N10" s="37">
        <f t="shared" ref="N10:O10" si="15">C10+L10</f>
        <v>305</v>
      </c>
      <c r="O10" s="37">
        <f t="shared" si="15"/>
        <v>30</v>
      </c>
      <c r="P10" s="49" t="s">
        <v>57</v>
      </c>
      <c r="Q10" s="49" t="s">
        <v>57</v>
      </c>
      <c r="R10" s="49" t="s">
        <v>57</v>
      </c>
      <c r="S10" s="51">
        <f t="shared" si="4"/>
        <v>20</v>
      </c>
      <c r="T10" s="52">
        <f t="shared" si="5"/>
        <v>1</v>
      </c>
      <c r="U10" s="52"/>
      <c r="V10" s="51">
        <f t="shared" si="6"/>
        <v>2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95</v>
      </c>
      <c r="C11" s="37">
        <v>291.0</v>
      </c>
      <c r="D11" s="37">
        <v>28.0</v>
      </c>
      <c r="E11" s="40">
        <f t="shared" si="2"/>
        <v>13.94117647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300</v>
      </c>
      <c r="O11" s="37">
        <f t="shared" si="16"/>
        <v>28</v>
      </c>
      <c r="P11" s="49" t="s">
        <v>57</v>
      </c>
      <c r="Q11" s="49" t="s">
        <v>57</v>
      </c>
      <c r="R11" s="49" t="s">
        <v>57</v>
      </c>
      <c r="S11" s="51">
        <f t="shared" si="4"/>
        <v>17</v>
      </c>
      <c r="T11" s="52">
        <f t="shared" si="5"/>
        <v>0</v>
      </c>
      <c r="U11" s="52"/>
      <c r="V11" s="51">
        <f t="shared" si="6"/>
        <v>6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89</v>
      </c>
      <c r="C12" s="37">
        <v>289.0</v>
      </c>
      <c r="D12" s="37">
        <v>28.0</v>
      </c>
      <c r="E12" s="40">
        <f t="shared" si="2"/>
        <v>15.83333333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298</v>
      </c>
      <c r="O12" s="37">
        <f t="shared" si="17"/>
        <v>28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0</v>
      </c>
      <c r="U12" s="52"/>
      <c r="V12" s="51">
        <f t="shared" si="6"/>
        <v>11</v>
      </c>
      <c r="W12" s="52">
        <f t="shared" si="7"/>
        <v>0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80</v>
      </c>
      <c r="C13" s="37">
        <v>288.0</v>
      </c>
      <c r="D13" s="37">
        <v>25.0</v>
      </c>
      <c r="E13" s="40">
        <f t="shared" si="2"/>
        <v>13.8125</v>
      </c>
      <c r="F13" s="90">
        <v>1.0</v>
      </c>
      <c r="G13" s="91">
        <v>2.0</v>
      </c>
      <c r="H13" s="92">
        <v>0.0</v>
      </c>
      <c r="I13" s="91">
        <v>6.0</v>
      </c>
      <c r="J13" s="91">
        <v>6.0</v>
      </c>
      <c r="K13" s="91">
        <v>6.0</v>
      </c>
      <c r="L13" s="93">
        <v>18.0</v>
      </c>
      <c r="M13" s="91">
        <v>3.0</v>
      </c>
      <c r="N13" s="37">
        <f t="shared" ref="N13:O13" si="18">C13+L13</f>
        <v>306</v>
      </c>
      <c r="O13" s="37">
        <f t="shared" si="18"/>
        <v>28</v>
      </c>
      <c r="P13" s="49" t="s">
        <v>57</v>
      </c>
      <c r="Q13" s="49" t="s">
        <v>57</v>
      </c>
      <c r="R13" s="49" t="s">
        <v>57</v>
      </c>
      <c r="S13" s="51">
        <f t="shared" si="4"/>
        <v>16</v>
      </c>
      <c r="T13" s="52">
        <f t="shared" si="5"/>
        <v>1</v>
      </c>
      <c r="U13" s="52"/>
      <c r="V13" s="51">
        <f t="shared" si="6"/>
        <v>6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92</v>
      </c>
      <c r="C14" s="37">
        <v>288.0</v>
      </c>
      <c r="D14" s="37">
        <v>21.0</v>
      </c>
      <c r="E14" s="40">
        <f t="shared" si="2"/>
        <v>13.76470588</v>
      </c>
      <c r="F14" s="90">
        <v>1.0</v>
      </c>
      <c r="G14" s="91">
        <v>2.0</v>
      </c>
      <c r="H14" s="92">
        <v>0.0</v>
      </c>
      <c r="I14" s="91">
        <v>4.0</v>
      </c>
      <c r="J14" s="91">
        <v>3.0</v>
      </c>
      <c r="K14" s="91">
        <v>6.0</v>
      </c>
      <c r="L14" s="93">
        <v>13.0</v>
      </c>
      <c r="M14" s="91">
        <v>1.0</v>
      </c>
      <c r="N14" s="37">
        <f t="shared" ref="N14:O14" si="19">C14+L14</f>
        <v>301</v>
      </c>
      <c r="O14" s="37">
        <f t="shared" si="19"/>
        <v>22</v>
      </c>
      <c r="P14" s="49" t="s">
        <v>57</v>
      </c>
      <c r="Q14" s="49" t="s">
        <v>57</v>
      </c>
      <c r="R14" s="49" t="s">
        <v>57</v>
      </c>
      <c r="S14" s="51">
        <f t="shared" si="4"/>
        <v>17</v>
      </c>
      <c r="T14" s="52">
        <f t="shared" si="5"/>
        <v>0</v>
      </c>
      <c r="U14" s="52"/>
      <c r="V14" s="51">
        <f t="shared" si="6"/>
        <v>6</v>
      </c>
      <c r="W14" s="52">
        <f t="shared" si="7"/>
        <v>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97</v>
      </c>
      <c r="C15" s="37">
        <v>285.0</v>
      </c>
      <c r="D15" s="37">
        <v>23.0</v>
      </c>
      <c r="E15" s="40">
        <f t="shared" si="2"/>
        <v>14.28571429</v>
      </c>
      <c r="F15" s="90">
        <v>5.0</v>
      </c>
      <c r="G15" s="91">
        <v>0.0</v>
      </c>
      <c r="H15" s="92">
        <v>13.0</v>
      </c>
      <c r="I15" s="91">
        <v>0.0</v>
      </c>
      <c r="J15" s="91">
        <v>0.0</v>
      </c>
      <c r="K15" s="91">
        <v>0.0</v>
      </c>
      <c r="L15" s="93">
        <v>13.0</v>
      </c>
      <c r="M15" s="91">
        <v>0.0</v>
      </c>
      <c r="N15" s="37">
        <f t="shared" ref="N15:O15" si="20">C15+L15</f>
        <v>298</v>
      </c>
      <c r="O15" s="37">
        <f t="shared" si="20"/>
        <v>23</v>
      </c>
      <c r="P15" s="49" t="s">
        <v>57</v>
      </c>
      <c r="Q15" s="49" t="s">
        <v>57</v>
      </c>
      <c r="R15" s="49" t="s">
        <v>57</v>
      </c>
      <c r="S15" s="51">
        <f t="shared" si="4"/>
        <v>14</v>
      </c>
      <c r="T15" s="52">
        <f t="shared" si="5"/>
        <v>1</v>
      </c>
      <c r="U15" s="52"/>
      <c r="V15" s="51">
        <f t="shared" si="6"/>
        <v>8</v>
      </c>
      <c r="W15" s="52">
        <f t="shared" si="7"/>
        <v>4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91</v>
      </c>
      <c r="C16" s="37">
        <v>284.0</v>
      </c>
      <c r="D16" s="37">
        <v>26.0</v>
      </c>
      <c r="E16" s="40">
        <f t="shared" si="2"/>
        <v>14.21428571</v>
      </c>
      <c r="F16" s="90">
        <v>1.0</v>
      </c>
      <c r="G16" s="91">
        <v>3.0</v>
      </c>
      <c r="H16" s="92">
        <v>0.0</v>
      </c>
      <c r="I16" s="91">
        <v>1.0</v>
      </c>
      <c r="J16" s="91">
        <v>6.0</v>
      </c>
      <c r="K16" s="91">
        <v>5.0</v>
      </c>
      <c r="L16" s="93">
        <v>12.0</v>
      </c>
      <c r="M16" s="91">
        <v>1.0</v>
      </c>
      <c r="N16" s="37">
        <f t="shared" ref="N16:O16" si="21">C16+L16</f>
        <v>296</v>
      </c>
      <c r="O16" s="37">
        <f t="shared" si="21"/>
        <v>27</v>
      </c>
      <c r="P16" s="49" t="s">
        <v>57</v>
      </c>
      <c r="Q16" s="49" t="s">
        <v>57</v>
      </c>
      <c r="R16" s="49" t="s">
        <v>57</v>
      </c>
      <c r="S16" s="51">
        <f t="shared" si="4"/>
        <v>14</v>
      </c>
      <c r="T16" s="52">
        <f t="shared" si="5"/>
        <v>1</v>
      </c>
      <c r="U16" s="52"/>
      <c r="V16" s="51">
        <f t="shared" si="6"/>
        <v>8</v>
      </c>
      <c r="W16" s="52">
        <f t="shared" si="7"/>
        <v>-2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96</v>
      </c>
      <c r="C17" s="37">
        <v>283.0</v>
      </c>
      <c r="D17" s="37">
        <v>31.0</v>
      </c>
      <c r="E17" s="40">
        <f t="shared" si="2"/>
        <v>12.45454545</v>
      </c>
      <c r="F17" s="90">
        <v>1.0</v>
      </c>
      <c r="G17" s="91">
        <v>3.0</v>
      </c>
      <c r="H17" s="92">
        <v>0.0</v>
      </c>
      <c r="I17" s="91">
        <v>6.0</v>
      </c>
      <c r="J17" s="91">
        <v>1.0</v>
      </c>
      <c r="K17" s="91">
        <v>5.0</v>
      </c>
      <c r="L17" s="93">
        <v>12.0</v>
      </c>
      <c r="M17" s="91">
        <v>1.0</v>
      </c>
      <c r="N17" s="37">
        <f t="shared" ref="N17:O17" si="22">C17+L17</f>
        <v>295</v>
      </c>
      <c r="O17" s="37">
        <f t="shared" si="22"/>
        <v>32</v>
      </c>
      <c r="P17" s="49" t="s">
        <v>57</v>
      </c>
      <c r="Q17" s="49" t="s">
        <v>57</v>
      </c>
      <c r="R17" s="49" t="s">
        <v>57</v>
      </c>
      <c r="S17" s="51">
        <f t="shared" si="4"/>
        <v>22</v>
      </c>
      <c r="T17" s="52">
        <f t="shared" si="5"/>
        <v>0</v>
      </c>
      <c r="U17" s="52"/>
      <c r="V17" s="51">
        <f t="shared" si="6"/>
        <v>1</v>
      </c>
      <c r="W17" s="52">
        <f t="shared" si="7"/>
        <v>3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73</v>
      </c>
      <c r="C18" s="37">
        <v>283.0</v>
      </c>
      <c r="D18" s="37">
        <v>26.0</v>
      </c>
      <c r="E18" s="40">
        <f t="shared" si="2"/>
        <v>15.54545455</v>
      </c>
      <c r="F18" s="90">
        <v>1.0</v>
      </c>
      <c r="G18" s="91">
        <v>3.0</v>
      </c>
      <c r="H18" s="92">
        <v>0.0</v>
      </c>
      <c r="I18" s="91">
        <v>6.0</v>
      </c>
      <c r="J18" s="91">
        <v>6.0</v>
      </c>
      <c r="K18" s="91">
        <v>7.0</v>
      </c>
      <c r="L18" s="93">
        <v>19.0</v>
      </c>
      <c r="M18" s="91">
        <v>3.0</v>
      </c>
      <c r="N18" s="37">
        <f t="shared" ref="N18:O18" si="23">C18+L18</f>
        <v>302</v>
      </c>
      <c r="O18" s="37">
        <f t="shared" si="23"/>
        <v>29</v>
      </c>
      <c r="P18" s="49" t="s">
        <v>57</v>
      </c>
      <c r="Q18" s="49" t="s">
        <v>57</v>
      </c>
      <c r="R18" s="49"/>
      <c r="S18" s="51">
        <f t="shared" si="4"/>
        <v>11</v>
      </c>
      <c r="T18" s="52">
        <f t="shared" si="5"/>
        <v>1</v>
      </c>
      <c r="U18" s="52"/>
      <c r="V18" s="51">
        <f t="shared" si="6"/>
        <v>11</v>
      </c>
      <c r="W18" s="52">
        <f t="shared" si="7"/>
        <v>-3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117</v>
      </c>
      <c r="C19" s="37">
        <v>283.0</v>
      </c>
      <c r="D19" s="37">
        <v>24.0</v>
      </c>
      <c r="E19" s="40">
        <f t="shared" si="2"/>
        <v>12.77777778</v>
      </c>
      <c r="F19" s="90">
        <v>2.0</v>
      </c>
      <c r="G19" s="91">
        <v>3.0</v>
      </c>
      <c r="H19" s="92">
        <v>0.0</v>
      </c>
      <c r="I19" s="91">
        <v>1.0</v>
      </c>
      <c r="J19" s="91">
        <v>1.0</v>
      </c>
      <c r="K19" s="91">
        <v>7.0</v>
      </c>
      <c r="L19" s="93">
        <v>9.0</v>
      </c>
      <c r="M19" s="91">
        <v>1.0</v>
      </c>
      <c r="N19" s="37">
        <f t="shared" ref="N19:O19" si="24">C19+L19</f>
        <v>292</v>
      </c>
      <c r="O19" s="37">
        <f t="shared" si="24"/>
        <v>25</v>
      </c>
      <c r="P19" s="49" t="s">
        <v>57</v>
      </c>
      <c r="Q19" s="49" t="s">
        <v>57</v>
      </c>
      <c r="R19" s="49"/>
      <c r="S19" s="51">
        <f t="shared" si="4"/>
        <v>18</v>
      </c>
      <c r="T19" s="52">
        <f t="shared" si="5"/>
        <v>2</v>
      </c>
      <c r="U19" s="52"/>
      <c r="V19" s="51">
        <f t="shared" si="6"/>
        <v>3</v>
      </c>
      <c r="W19" s="52">
        <f t="shared" si="7"/>
        <v>-3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99</v>
      </c>
      <c r="C20" s="37">
        <v>279.0</v>
      </c>
      <c r="D20" s="37">
        <v>25.0</v>
      </c>
      <c r="E20" s="40">
        <f t="shared" si="2"/>
        <v>13</v>
      </c>
      <c r="F20" s="90">
        <v>5.0</v>
      </c>
      <c r="G20" s="91">
        <v>0.0</v>
      </c>
      <c r="H20" s="92">
        <v>13.0</v>
      </c>
      <c r="I20" s="91">
        <v>0.0</v>
      </c>
      <c r="J20" s="91">
        <v>0.0</v>
      </c>
      <c r="K20" s="91">
        <v>0.0</v>
      </c>
      <c r="L20" s="93">
        <v>13.0</v>
      </c>
      <c r="M20" s="91">
        <v>0.0</v>
      </c>
      <c r="N20" s="37">
        <f t="shared" ref="N20:O20" si="25">C20+L20</f>
        <v>292</v>
      </c>
      <c r="O20" s="37">
        <f t="shared" si="25"/>
        <v>25</v>
      </c>
      <c r="P20" s="49" t="s">
        <v>57</v>
      </c>
      <c r="Q20" s="49" t="s">
        <v>57</v>
      </c>
      <c r="R20" s="49"/>
      <c r="S20" s="51">
        <f t="shared" si="4"/>
        <v>16</v>
      </c>
      <c r="T20" s="52">
        <f t="shared" si="5"/>
        <v>2</v>
      </c>
      <c r="U20" s="52"/>
      <c r="V20" s="51">
        <f t="shared" si="6"/>
        <v>5</v>
      </c>
      <c r="W20" s="52">
        <f t="shared" si="7"/>
        <v>4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113</v>
      </c>
      <c r="C21" s="37">
        <v>278.0</v>
      </c>
      <c r="D21" s="37">
        <v>22.0</v>
      </c>
      <c r="E21" s="40">
        <f t="shared" si="2"/>
        <v>14.46153846</v>
      </c>
      <c r="F21" s="90">
        <v>1.0</v>
      </c>
      <c r="G21" s="91">
        <v>4.0</v>
      </c>
      <c r="H21" s="92">
        <v>0.0</v>
      </c>
      <c r="I21" s="91">
        <v>6.0</v>
      </c>
      <c r="J21" s="91">
        <v>6.0</v>
      </c>
      <c r="K21" s="91">
        <v>4.0</v>
      </c>
      <c r="L21" s="93">
        <v>16.0</v>
      </c>
      <c r="M21" s="91">
        <v>2.0</v>
      </c>
      <c r="N21" s="37">
        <f t="shared" ref="N21:O21" si="26">C21+L21</f>
        <v>294</v>
      </c>
      <c r="O21" s="37">
        <f t="shared" si="26"/>
        <v>24</v>
      </c>
      <c r="P21" s="49" t="s">
        <v>57</v>
      </c>
      <c r="Q21" s="49" t="s">
        <v>57</v>
      </c>
      <c r="R21" s="49" t="s">
        <v>57</v>
      </c>
      <c r="S21" s="51">
        <f t="shared" si="4"/>
        <v>13</v>
      </c>
      <c r="T21" s="52">
        <f t="shared" si="5"/>
        <v>0</v>
      </c>
      <c r="U21" s="52"/>
      <c r="V21" s="51">
        <f t="shared" si="6"/>
        <v>10</v>
      </c>
      <c r="W21" s="52">
        <f t="shared" si="7"/>
        <v>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101</v>
      </c>
      <c r="C22" s="37">
        <v>278.0</v>
      </c>
      <c r="D22" s="37">
        <v>21.0</v>
      </c>
      <c r="E22" s="40">
        <f t="shared" si="2"/>
        <v>13.2</v>
      </c>
      <c r="F22" s="90">
        <v>5.0</v>
      </c>
      <c r="G22" s="91">
        <v>0.0</v>
      </c>
      <c r="H22" s="92">
        <v>13.0</v>
      </c>
      <c r="I22" s="91">
        <v>0.0</v>
      </c>
      <c r="J22" s="91">
        <v>0.0</v>
      </c>
      <c r="K22" s="91">
        <v>0.0</v>
      </c>
      <c r="L22" s="93">
        <v>13.0</v>
      </c>
      <c r="M22" s="91">
        <v>0.0</v>
      </c>
      <c r="N22" s="37">
        <f t="shared" ref="N22:O22" si="27">C22+L22</f>
        <v>291</v>
      </c>
      <c r="O22" s="37">
        <f t="shared" si="27"/>
        <v>21</v>
      </c>
      <c r="P22" s="49" t="s">
        <v>57</v>
      </c>
      <c r="Q22" s="49" t="s">
        <v>57</v>
      </c>
      <c r="R22" s="49" t="s">
        <v>57</v>
      </c>
      <c r="S22" s="51">
        <f t="shared" si="4"/>
        <v>15</v>
      </c>
      <c r="T22" s="52">
        <f t="shared" si="5"/>
        <v>2</v>
      </c>
      <c r="U22" s="52"/>
      <c r="V22" s="51">
        <f t="shared" si="6"/>
        <v>6</v>
      </c>
      <c r="W22" s="52">
        <f t="shared" si="7"/>
        <v>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127</v>
      </c>
      <c r="C23" s="37">
        <v>277.0</v>
      </c>
      <c r="D23" s="37">
        <v>23.0</v>
      </c>
      <c r="E23" s="40">
        <f t="shared" si="2"/>
        <v>14.83333333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286</v>
      </c>
      <c r="O23" s="37">
        <f t="shared" si="28"/>
        <v>23</v>
      </c>
      <c r="P23" s="49" t="s">
        <v>57</v>
      </c>
      <c r="Q23" s="49" t="s">
        <v>57</v>
      </c>
      <c r="R23" s="49" t="s">
        <v>57</v>
      </c>
      <c r="S23" s="51">
        <f t="shared" si="4"/>
        <v>12</v>
      </c>
      <c r="T23" s="52">
        <f t="shared" si="5"/>
        <v>0</v>
      </c>
      <c r="U23" s="52"/>
      <c r="V23" s="51">
        <f t="shared" si="6"/>
        <v>11</v>
      </c>
      <c r="W23" s="52">
        <f t="shared" si="7"/>
        <v>-5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137</v>
      </c>
      <c r="C24" s="37">
        <v>276.0</v>
      </c>
      <c r="D24" s="37">
        <v>26.0</v>
      </c>
      <c r="E24" s="40">
        <f t="shared" si="2"/>
        <v>12.83333333</v>
      </c>
      <c r="F24" s="90">
        <v>1.0</v>
      </c>
      <c r="G24" s="91">
        <v>4.0</v>
      </c>
      <c r="H24" s="92">
        <v>0.0</v>
      </c>
      <c r="I24" s="91">
        <v>0.0</v>
      </c>
      <c r="J24" s="91">
        <v>3.0</v>
      </c>
      <c r="K24" s="91">
        <v>4.0</v>
      </c>
      <c r="L24" s="93">
        <v>7.0</v>
      </c>
      <c r="M24" s="91">
        <v>0.0</v>
      </c>
      <c r="N24" s="37">
        <f t="shared" ref="N24:O24" si="29">C24+L24</f>
        <v>283</v>
      </c>
      <c r="O24" s="37">
        <f t="shared" si="29"/>
        <v>26</v>
      </c>
      <c r="P24" s="49" t="s">
        <v>57</v>
      </c>
      <c r="Q24" s="49" t="s">
        <v>57</v>
      </c>
      <c r="R24" s="49" t="s">
        <v>57</v>
      </c>
      <c r="S24" s="51">
        <f t="shared" si="4"/>
        <v>18</v>
      </c>
      <c r="T24" s="52">
        <f t="shared" si="5"/>
        <v>0</v>
      </c>
      <c r="U24" s="52"/>
      <c r="V24" s="51">
        <f t="shared" si="6"/>
        <v>5</v>
      </c>
      <c r="W24" s="52">
        <f t="shared" si="7"/>
        <v>3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111</v>
      </c>
      <c r="C25" s="37">
        <v>276.0</v>
      </c>
      <c r="D25" s="37">
        <v>22.0</v>
      </c>
      <c r="E25" s="40">
        <f t="shared" si="2"/>
        <v>14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285</v>
      </c>
      <c r="O25" s="37">
        <f t="shared" si="30"/>
        <v>22</v>
      </c>
      <c r="P25" s="49" t="s">
        <v>57</v>
      </c>
      <c r="Q25" s="49" t="s">
        <v>57</v>
      </c>
      <c r="R25" s="49"/>
      <c r="S25" s="51">
        <f t="shared" si="4"/>
        <v>13</v>
      </c>
      <c r="T25" s="52">
        <f t="shared" si="5"/>
        <v>1</v>
      </c>
      <c r="U25" s="52"/>
      <c r="V25" s="51">
        <f t="shared" si="6"/>
        <v>9</v>
      </c>
      <c r="W25" s="52">
        <f t="shared" si="7"/>
        <v>4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108</v>
      </c>
      <c r="C26" s="37">
        <v>273.0</v>
      </c>
      <c r="D26" s="37">
        <v>26.0</v>
      </c>
      <c r="E26" s="40">
        <f t="shared" si="2"/>
        <v>12.66666667</v>
      </c>
      <c r="F26" s="90">
        <v>1.0</v>
      </c>
      <c r="G26" s="91">
        <v>4.0</v>
      </c>
      <c r="H26" s="92">
        <v>0.0</v>
      </c>
      <c r="I26" s="91">
        <v>0.0</v>
      </c>
      <c r="J26" s="91">
        <v>6.0</v>
      </c>
      <c r="K26" s="91">
        <v>6.0</v>
      </c>
      <c r="L26" s="93">
        <v>12.0</v>
      </c>
      <c r="M26" s="91">
        <v>2.0</v>
      </c>
      <c r="N26" s="37">
        <f t="shared" ref="N26:O26" si="31">C26+L26</f>
        <v>285</v>
      </c>
      <c r="O26" s="37">
        <f t="shared" si="31"/>
        <v>28</v>
      </c>
      <c r="P26" s="49" t="s">
        <v>57</v>
      </c>
      <c r="Q26" s="49" t="s">
        <v>57</v>
      </c>
      <c r="R26" s="49" t="s">
        <v>57</v>
      </c>
      <c r="S26" s="51">
        <f t="shared" si="4"/>
        <v>18</v>
      </c>
      <c r="T26" s="52">
        <f t="shared" si="5"/>
        <v>0</v>
      </c>
      <c r="U26" s="52"/>
      <c r="V26" s="51">
        <f t="shared" si="6"/>
        <v>5</v>
      </c>
      <c r="W26" s="52">
        <f t="shared" si="7"/>
        <v>5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120</v>
      </c>
      <c r="C27" s="37">
        <v>273.0</v>
      </c>
      <c r="D27" s="37">
        <v>21.0</v>
      </c>
      <c r="E27" s="40">
        <f t="shared" si="2"/>
        <v>15</v>
      </c>
      <c r="F27" s="90">
        <v>1.0</v>
      </c>
      <c r="G27" s="91">
        <v>4.0</v>
      </c>
      <c r="H27" s="92">
        <v>0.0</v>
      </c>
      <c r="I27" s="91">
        <v>6.0</v>
      </c>
      <c r="J27" s="91">
        <v>3.0</v>
      </c>
      <c r="K27" s="91">
        <v>6.0</v>
      </c>
      <c r="L27" s="93">
        <v>15.0</v>
      </c>
      <c r="M27" s="91">
        <v>2.0</v>
      </c>
      <c r="N27" s="37">
        <f t="shared" ref="N27:O27" si="32">C27+L27</f>
        <v>288</v>
      </c>
      <c r="O27" s="37">
        <f t="shared" si="32"/>
        <v>23</v>
      </c>
      <c r="P27" s="49" t="s">
        <v>57</v>
      </c>
      <c r="Q27" s="49" t="s">
        <v>57</v>
      </c>
      <c r="R27" s="49" t="s">
        <v>57</v>
      </c>
      <c r="S27" s="51">
        <f t="shared" si="4"/>
        <v>11</v>
      </c>
      <c r="T27" s="52">
        <f t="shared" si="5"/>
        <v>0</v>
      </c>
      <c r="U27" s="52"/>
      <c r="V27" s="51">
        <f t="shared" si="6"/>
        <v>12</v>
      </c>
      <c r="W27" s="52">
        <f t="shared" si="7"/>
        <v>-6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135</v>
      </c>
      <c r="C28" s="37">
        <v>273.0</v>
      </c>
      <c r="D28" s="37">
        <v>19.0</v>
      </c>
      <c r="E28" s="40">
        <f t="shared" si="2"/>
        <v>13.4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282</v>
      </c>
      <c r="O28" s="37">
        <f t="shared" si="33"/>
        <v>19</v>
      </c>
      <c r="P28" s="49" t="s">
        <v>57</v>
      </c>
      <c r="Q28" s="49" t="s">
        <v>57</v>
      </c>
      <c r="R28" s="49"/>
      <c r="S28" s="51">
        <f t="shared" si="4"/>
        <v>15</v>
      </c>
      <c r="T28" s="52">
        <f t="shared" si="5"/>
        <v>0</v>
      </c>
      <c r="U28" s="52"/>
      <c r="V28" s="51">
        <f t="shared" si="6"/>
        <v>8</v>
      </c>
      <c r="W28" s="52">
        <f t="shared" si="7"/>
        <v>-6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115</v>
      </c>
      <c r="C29" s="37">
        <v>272.0</v>
      </c>
      <c r="D29" s="37">
        <v>22.0</v>
      </c>
      <c r="E29" s="40">
        <f t="shared" si="2"/>
        <v>12.61111111</v>
      </c>
      <c r="F29" s="90">
        <v>1.0</v>
      </c>
      <c r="G29" s="91">
        <v>5.0</v>
      </c>
      <c r="H29" s="92">
        <v>0.0</v>
      </c>
      <c r="I29" s="91">
        <v>7.0</v>
      </c>
      <c r="J29" s="91">
        <v>6.0</v>
      </c>
      <c r="K29" s="91">
        <v>2.0</v>
      </c>
      <c r="L29" s="93">
        <v>15.0</v>
      </c>
      <c r="M29" s="91">
        <v>2.0</v>
      </c>
      <c r="N29" s="37">
        <f t="shared" ref="N29:O29" si="34">C29+L29</f>
        <v>287</v>
      </c>
      <c r="O29" s="37">
        <f t="shared" si="34"/>
        <v>24</v>
      </c>
      <c r="P29" s="49" t="s">
        <v>57</v>
      </c>
      <c r="Q29" s="49" t="s">
        <v>57</v>
      </c>
      <c r="R29" s="49" t="s">
        <v>57</v>
      </c>
      <c r="S29" s="51">
        <f t="shared" si="4"/>
        <v>18</v>
      </c>
      <c r="T29" s="52">
        <f t="shared" si="5"/>
        <v>0</v>
      </c>
      <c r="U29" s="52"/>
      <c r="V29" s="51">
        <f t="shared" si="6"/>
        <v>5</v>
      </c>
      <c r="W29" s="52">
        <f t="shared" si="7"/>
        <v>-1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103</v>
      </c>
      <c r="C30" s="37">
        <v>270.0</v>
      </c>
      <c r="D30" s="37">
        <v>23.0</v>
      </c>
      <c r="E30" s="40">
        <f t="shared" si="2"/>
        <v>12.4375</v>
      </c>
      <c r="F30" s="90">
        <v>5.0</v>
      </c>
      <c r="G30" s="91">
        <v>0.0</v>
      </c>
      <c r="H30" s="92">
        <v>13.0</v>
      </c>
      <c r="I30" s="91">
        <v>0.0</v>
      </c>
      <c r="J30" s="91">
        <v>0.0</v>
      </c>
      <c r="K30" s="91">
        <v>0.0</v>
      </c>
      <c r="L30" s="93">
        <v>13.0</v>
      </c>
      <c r="M30" s="91">
        <v>0.0</v>
      </c>
      <c r="N30" s="37">
        <f t="shared" ref="N30:O30" si="35">C30+L30</f>
        <v>283</v>
      </c>
      <c r="O30" s="37">
        <f t="shared" si="35"/>
        <v>23</v>
      </c>
      <c r="P30" s="49" t="s">
        <v>57</v>
      </c>
      <c r="Q30" s="49" t="s">
        <v>57</v>
      </c>
      <c r="R30" s="49" t="s">
        <v>57</v>
      </c>
      <c r="S30" s="51">
        <f t="shared" si="4"/>
        <v>16</v>
      </c>
      <c r="T30" s="52">
        <f t="shared" si="5"/>
        <v>2</v>
      </c>
      <c r="U30" s="52"/>
      <c r="V30" s="51">
        <f t="shared" si="6"/>
        <v>5</v>
      </c>
      <c r="W30" s="52">
        <f t="shared" si="7"/>
        <v>-5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130</v>
      </c>
      <c r="C31" s="37">
        <v>267.0</v>
      </c>
      <c r="D31" s="37">
        <v>25.0</v>
      </c>
      <c r="E31" s="40">
        <f t="shared" si="2"/>
        <v>11.60869565</v>
      </c>
      <c r="F31" s="90">
        <v>1.0</v>
      </c>
      <c r="G31" s="91">
        <v>5.0</v>
      </c>
      <c r="H31" s="92">
        <v>0.0</v>
      </c>
      <c r="I31" s="91">
        <v>7.0</v>
      </c>
      <c r="J31" s="91">
        <v>3.0</v>
      </c>
      <c r="K31" s="91">
        <v>6.0</v>
      </c>
      <c r="L31" s="93">
        <v>16.0</v>
      </c>
      <c r="M31" s="91">
        <v>2.0</v>
      </c>
      <c r="N31" s="37">
        <f t="shared" ref="N31:O31" si="36">C31+L31</f>
        <v>283</v>
      </c>
      <c r="O31" s="37">
        <f t="shared" si="36"/>
        <v>27</v>
      </c>
      <c r="P31" s="49" t="s">
        <v>57</v>
      </c>
      <c r="Q31" s="49" t="s">
        <v>57</v>
      </c>
      <c r="R31" s="49" t="s">
        <v>57</v>
      </c>
      <c r="S31" s="51">
        <f t="shared" si="4"/>
        <v>23</v>
      </c>
      <c r="T31" s="52">
        <f t="shared" si="5"/>
        <v>0</v>
      </c>
      <c r="U31" s="52"/>
      <c r="V31" s="51">
        <f t="shared" si="6"/>
        <v>0</v>
      </c>
      <c r="W31" s="52">
        <f t="shared" si="7"/>
        <v>-1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107</v>
      </c>
      <c r="C32" s="37">
        <v>267.0</v>
      </c>
      <c r="D32" s="37">
        <v>24.0</v>
      </c>
      <c r="E32" s="40">
        <f t="shared" si="2"/>
        <v>12.75</v>
      </c>
      <c r="F32" s="90">
        <v>1.0</v>
      </c>
      <c r="G32" s="91">
        <v>5.0</v>
      </c>
      <c r="H32" s="92">
        <v>0.0</v>
      </c>
      <c r="I32" s="91">
        <v>6.0</v>
      </c>
      <c r="J32" s="91">
        <v>3.0</v>
      </c>
      <c r="K32" s="91">
        <v>2.0</v>
      </c>
      <c r="L32" s="93">
        <v>11.0</v>
      </c>
      <c r="M32" s="91">
        <v>0.0</v>
      </c>
      <c r="N32" s="37">
        <f t="shared" ref="N32:O32" si="37">C32+L32</f>
        <v>278</v>
      </c>
      <c r="O32" s="37">
        <f t="shared" si="37"/>
        <v>24</v>
      </c>
      <c r="P32" s="49" t="s">
        <v>57</v>
      </c>
      <c r="Q32" s="49" t="s">
        <v>57</v>
      </c>
      <c r="R32" s="49" t="s">
        <v>57</v>
      </c>
      <c r="S32" s="51">
        <f t="shared" si="4"/>
        <v>16</v>
      </c>
      <c r="T32" s="52">
        <f t="shared" si="5"/>
        <v>0</v>
      </c>
      <c r="U32" s="52"/>
      <c r="V32" s="51">
        <f t="shared" si="6"/>
        <v>7</v>
      </c>
      <c r="W32" s="52">
        <f t="shared" si="7"/>
        <v>2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59</v>
      </c>
      <c r="C33" s="37">
        <v>266.0</v>
      </c>
      <c r="D33" s="37">
        <v>22.0</v>
      </c>
      <c r="E33" s="40">
        <f t="shared" si="2"/>
        <v>11.68181818</v>
      </c>
      <c r="F33" s="90">
        <v>1.0</v>
      </c>
      <c r="G33" s="91">
        <v>5.0</v>
      </c>
      <c r="H33" s="92">
        <v>0.0</v>
      </c>
      <c r="I33" s="91">
        <v>6.0</v>
      </c>
      <c r="J33" s="91">
        <v>6.0</v>
      </c>
      <c r="K33" s="91">
        <v>6.0</v>
      </c>
      <c r="L33" s="93">
        <v>18.0</v>
      </c>
      <c r="M33" s="91">
        <v>2.0</v>
      </c>
      <c r="N33" s="37">
        <f t="shared" ref="N33:O33" si="38">C33+L33</f>
        <v>284</v>
      </c>
      <c r="O33" s="37">
        <f t="shared" si="38"/>
        <v>24</v>
      </c>
      <c r="P33" s="49" t="s">
        <v>57</v>
      </c>
      <c r="Q33" s="49" t="s">
        <v>57</v>
      </c>
      <c r="R33" s="49" t="s">
        <v>57</v>
      </c>
      <c r="S33" s="51">
        <f t="shared" si="4"/>
        <v>22</v>
      </c>
      <c r="T33" s="52">
        <f t="shared" si="5"/>
        <v>0</v>
      </c>
      <c r="U33" s="52"/>
      <c r="V33" s="51">
        <f t="shared" si="6"/>
        <v>1</v>
      </c>
      <c r="W33" s="52">
        <f t="shared" si="7"/>
        <v>2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126</v>
      </c>
      <c r="C34" s="37">
        <v>264.0</v>
      </c>
      <c r="D34" s="37">
        <v>23.0</v>
      </c>
      <c r="E34" s="40">
        <f t="shared" si="2"/>
        <v>12.8</v>
      </c>
      <c r="F34" s="90">
        <v>1.0</v>
      </c>
      <c r="G34" s="91">
        <v>6.0</v>
      </c>
      <c r="H34" s="92">
        <v>0.0</v>
      </c>
      <c r="I34" s="91">
        <v>5.0</v>
      </c>
      <c r="J34" s="91">
        <v>2.0</v>
      </c>
      <c r="K34" s="91">
        <v>7.0</v>
      </c>
      <c r="L34" s="93">
        <v>14.0</v>
      </c>
      <c r="M34" s="91">
        <v>1.0</v>
      </c>
      <c r="N34" s="37">
        <f t="shared" ref="N34:O34" si="39">C34+L34</f>
        <v>278</v>
      </c>
      <c r="O34" s="37">
        <f t="shared" si="39"/>
        <v>24</v>
      </c>
      <c r="P34" s="49" t="s">
        <v>57</v>
      </c>
      <c r="Q34" s="49" t="s">
        <v>57</v>
      </c>
      <c r="R34" s="49" t="s">
        <v>57</v>
      </c>
      <c r="S34" s="51">
        <f t="shared" si="4"/>
        <v>15</v>
      </c>
      <c r="T34" s="52">
        <f t="shared" si="5"/>
        <v>0</v>
      </c>
      <c r="U34" s="52"/>
      <c r="V34" s="51">
        <f t="shared" si="6"/>
        <v>8</v>
      </c>
      <c r="W34" s="52">
        <f t="shared" si="7"/>
        <v>-2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112</v>
      </c>
      <c r="C35" s="37">
        <v>263.0</v>
      </c>
      <c r="D35" s="37">
        <v>18.0</v>
      </c>
      <c r="E35" s="40">
        <f t="shared" si="2"/>
        <v>12.73333333</v>
      </c>
      <c r="F35" s="90">
        <v>1.0</v>
      </c>
      <c r="G35" s="91">
        <v>6.0</v>
      </c>
      <c r="H35" s="92">
        <v>0.0</v>
      </c>
      <c r="I35" s="91">
        <v>7.0</v>
      </c>
      <c r="J35" s="91">
        <v>6.0</v>
      </c>
      <c r="K35" s="91">
        <v>7.0</v>
      </c>
      <c r="L35" s="93">
        <v>20.0</v>
      </c>
      <c r="M35" s="91">
        <v>3.0</v>
      </c>
      <c r="N35" s="37">
        <f t="shared" ref="N35:O35" si="40">C35+L35</f>
        <v>283</v>
      </c>
      <c r="O35" s="37">
        <f t="shared" si="40"/>
        <v>21</v>
      </c>
      <c r="P35" s="49" t="s">
        <v>57</v>
      </c>
      <c r="Q35" s="49" t="s">
        <v>57</v>
      </c>
      <c r="R35" s="49"/>
      <c r="S35" s="51">
        <f t="shared" si="4"/>
        <v>15</v>
      </c>
      <c r="T35" s="52">
        <f t="shared" si="5"/>
        <v>0</v>
      </c>
      <c r="U35" s="52"/>
      <c r="V35" s="51">
        <f t="shared" si="6"/>
        <v>8</v>
      </c>
      <c r="W35" s="52">
        <f t="shared" si="7"/>
        <v>-2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139</v>
      </c>
      <c r="C36" s="37">
        <v>262.0</v>
      </c>
      <c r="D36" s="37">
        <v>21.0</v>
      </c>
      <c r="E36" s="40">
        <f t="shared" si="2"/>
        <v>12</v>
      </c>
      <c r="F36" s="90">
        <v>5.0</v>
      </c>
      <c r="G36" s="91">
        <v>0.0</v>
      </c>
      <c r="H36" s="92">
        <v>13.0</v>
      </c>
      <c r="I36" s="91">
        <v>0.0</v>
      </c>
      <c r="J36" s="91">
        <v>0.0</v>
      </c>
      <c r="K36" s="91">
        <v>0.0</v>
      </c>
      <c r="L36" s="93">
        <v>13.0</v>
      </c>
      <c r="M36" s="91">
        <v>0.0</v>
      </c>
      <c r="N36" s="37">
        <f t="shared" ref="N36:O36" si="41">C36+L36</f>
        <v>275</v>
      </c>
      <c r="O36" s="37">
        <f t="shared" si="41"/>
        <v>21</v>
      </c>
      <c r="P36" s="49" t="s">
        <v>57</v>
      </c>
      <c r="Q36" s="49" t="s">
        <v>57</v>
      </c>
      <c r="R36" s="49" t="s">
        <v>57</v>
      </c>
      <c r="S36" s="51">
        <f t="shared" si="4"/>
        <v>17</v>
      </c>
      <c r="T36" s="52">
        <f t="shared" si="5"/>
        <v>1</v>
      </c>
      <c r="U36" s="52"/>
      <c r="V36" s="51">
        <f t="shared" si="6"/>
        <v>5</v>
      </c>
      <c r="W36" s="52">
        <f t="shared" si="7"/>
        <v>3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142</v>
      </c>
      <c r="C37" s="37">
        <v>261.0</v>
      </c>
      <c r="D37" s="37">
        <v>20.0</v>
      </c>
      <c r="E37" s="40">
        <f t="shared" si="2"/>
        <v>13.90909091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270</v>
      </c>
      <c r="O37" s="37">
        <f t="shared" si="42"/>
        <v>20</v>
      </c>
      <c r="P37" s="49" t="s">
        <v>57</v>
      </c>
      <c r="Q37" s="49" t="s">
        <v>57</v>
      </c>
      <c r="R37" s="49"/>
      <c r="S37" s="51">
        <f t="shared" si="4"/>
        <v>11</v>
      </c>
      <c r="T37" s="52">
        <f t="shared" si="5"/>
        <v>0</v>
      </c>
      <c r="U37" s="52"/>
      <c r="V37" s="51">
        <f t="shared" si="6"/>
        <v>12</v>
      </c>
      <c r="W37" s="52">
        <f t="shared" si="7"/>
        <v>-1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64</v>
      </c>
      <c r="C38" s="37">
        <v>260.0</v>
      </c>
      <c r="D38" s="37">
        <v>22.0</v>
      </c>
      <c r="E38" s="40">
        <f t="shared" si="2"/>
        <v>11.40909091</v>
      </c>
      <c r="F38" s="90">
        <v>1.0</v>
      </c>
      <c r="G38" s="91">
        <v>6.0</v>
      </c>
      <c r="H38" s="92">
        <v>0.0</v>
      </c>
      <c r="I38" s="91">
        <v>7.0</v>
      </c>
      <c r="J38" s="91">
        <v>2.0</v>
      </c>
      <c r="K38" s="91">
        <v>5.0</v>
      </c>
      <c r="L38" s="93">
        <v>14.0</v>
      </c>
      <c r="M38" s="91">
        <v>1.0</v>
      </c>
      <c r="N38" s="37">
        <f t="shared" ref="N38:O38" si="43">C38+L38</f>
        <v>274</v>
      </c>
      <c r="O38" s="37">
        <f t="shared" si="43"/>
        <v>23</v>
      </c>
      <c r="P38" s="49" t="s">
        <v>57</v>
      </c>
      <c r="Q38" s="49" t="s">
        <v>57</v>
      </c>
      <c r="R38" s="49" t="s">
        <v>57</v>
      </c>
      <c r="S38" s="51">
        <f t="shared" si="4"/>
        <v>22</v>
      </c>
      <c r="T38" s="52">
        <f t="shared" si="5"/>
        <v>0</v>
      </c>
      <c r="U38" s="52"/>
      <c r="V38" s="51">
        <f t="shared" si="6"/>
        <v>1</v>
      </c>
      <c r="W38" s="52">
        <f t="shared" si="7"/>
        <v>8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128</v>
      </c>
      <c r="C39" s="37">
        <v>259.0</v>
      </c>
      <c r="D39" s="37">
        <v>18.0</v>
      </c>
      <c r="E39" s="40">
        <f t="shared" si="2"/>
        <v>12.46666667</v>
      </c>
      <c r="F39" s="90">
        <v>1.0</v>
      </c>
      <c r="G39" s="91">
        <v>6.0</v>
      </c>
      <c r="H39" s="92">
        <v>0.0</v>
      </c>
      <c r="I39" s="91">
        <v>5.0</v>
      </c>
      <c r="J39" s="91">
        <v>6.0</v>
      </c>
      <c r="K39" s="91">
        <v>5.0</v>
      </c>
      <c r="L39" s="93">
        <v>16.0</v>
      </c>
      <c r="M39" s="91">
        <v>1.0</v>
      </c>
      <c r="N39" s="37">
        <f t="shared" ref="N39:O39" si="44">C39+L39</f>
        <v>275</v>
      </c>
      <c r="O39" s="37">
        <f t="shared" si="44"/>
        <v>19</v>
      </c>
      <c r="P39" s="49" t="s">
        <v>57</v>
      </c>
      <c r="Q39" s="49" t="s">
        <v>57</v>
      </c>
      <c r="R39" s="49" t="s">
        <v>57</v>
      </c>
      <c r="S39" s="51">
        <f t="shared" si="4"/>
        <v>15</v>
      </c>
      <c r="T39" s="52">
        <f t="shared" si="5"/>
        <v>0</v>
      </c>
      <c r="U39" s="52"/>
      <c r="V39" s="51">
        <f t="shared" si="6"/>
        <v>8</v>
      </c>
      <c r="W39" s="52">
        <f t="shared" si="7"/>
        <v>-2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129</v>
      </c>
      <c r="C40" s="37">
        <v>258.0</v>
      </c>
      <c r="D40" s="37">
        <v>22.0</v>
      </c>
      <c r="E40" s="40">
        <f t="shared" si="2"/>
        <v>11.9375</v>
      </c>
      <c r="F40" s="90">
        <v>5.0</v>
      </c>
      <c r="G40" s="91">
        <v>0.0</v>
      </c>
      <c r="H40" s="92">
        <v>13.0</v>
      </c>
      <c r="I40" s="91">
        <v>0.0</v>
      </c>
      <c r="J40" s="91">
        <v>0.0</v>
      </c>
      <c r="K40" s="91">
        <v>0.0</v>
      </c>
      <c r="L40" s="93">
        <v>13.0</v>
      </c>
      <c r="M40" s="91">
        <v>0.0</v>
      </c>
      <c r="N40" s="37">
        <f t="shared" ref="N40:O40" si="45">C40+L40</f>
        <v>271</v>
      </c>
      <c r="O40" s="37">
        <f t="shared" si="45"/>
        <v>22</v>
      </c>
      <c r="P40" s="49" t="s">
        <v>57</v>
      </c>
      <c r="Q40" s="49" t="s">
        <v>57</v>
      </c>
      <c r="R40" s="49" t="s">
        <v>57</v>
      </c>
      <c r="S40" s="51">
        <f t="shared" si="4"/>
        <v>16</v>
      </c>
      <c r="T40" s="52">
        <f t="shared" si="5"/>
        <v>1</v>
      </c>
      <c r="U40" s="52"/>
      <c r="V40" s="51">
        <f t="shared" si="6"/>
        <v>6</v>
      </c>
      <c r="W40" s="52">
        <f t="shared" si="7"/>
        <v>-2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54</v>
      </c>
      <c r="C41" s="37">
        <v>257.0</v>
      </c>
      <c r="D41" s="37">
        <v>19.0</v>
      </c>
      <c r="E41" s="40">
        <f t="shared" si="2"/>
        <v>15.25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266</v>
      </c>
      <c r="O41" s="37">
        <f t="shared" si="46"/>
        <v>19</v>
      </c>
      <c r="P41" s="49" t="s">
        <v>57</v>
      </c>
      <c r="Q41" s="49" t="s">
        <v>57</v>
      </c>
      <c r="R41" s="49" t="s">
        <v>57</v>
      </c>
      <c r="S41" s="51">
        <f t="shared" si="4"/>
        <v>8</v>
      </c>
      <c r="T41" s="52">
        <f t="shared" si="5"/>
        <v>0</v>
      </c>
      <c r="U41" s="52"/>
      <c r="V41" s="51">
        <f t="shared" si="6"/>
        <v>15</v>
      </c>
      <c r="W41" s="52">
        <f t="shared" si="7"/>
        <v>-1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138</v>
      </c>
      <c r="C42" s="37">
        <v>257.0</v>
      </c>
      <c r="D42" s="37">
        <v>19.0</v>
      </c>
      <c r="E42" s="40">
        <f t="shared" si="2"/>
        <v>12.57142857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266</v>
      </c>
      <c r="O42" s="37">
        <f t="shared" si="47"/>
        <v>19</v>
      </c>
      <c r="P42" s="49" t="s">
        <v>57</v>
      </c>
      <c r="Q42" s="49" t="s">
        <v>57</v>
      </c>
      <c r="R42" s="49"/>
      <c r="S42" s="51">
        <f t="shared" si="4"/>
        <v>14</v>
      </c>
      <c r="T42" s="52">
        <f t="shared" si="5"/>
        <v>0</v>
      </c>
      <c r="U42" s="52"/>
      <c r="V42" s="51">
        <f t="shared" si="6"/>
        <v>9</v>
      </c>
      <c r="W42" s="52">
        <f t="shared" si="7"/>
        <v>0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132</v>
      </c>
      <c r="C43" s="37">
        <v>255.0</v>
      </c>
      <c r="D43" s="37">
        <v>18.0</v>
      </c>
      <c r="E43" s="40">
        <f t="shared" si="2"/>
        <v>15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264</v>
      </c>
      <c r="O43" s="37">
        <f t="shared" si="48"/>
        <v>18</v>
      </c>
      <c r="P43" s="49" t="s">
        <v>57</v>
      </c>
      <c r="Q43" s="49" t="s">
        <v>57</v>
      </c>
      <c r="R43" s="49"/>
      <c r="S43" s="51">
        <f t="shared" si="4"/>
        <v>8</v>
      </c>
      <c r="T43" s="52">
        <f t="shared" si="5"/>
        <v>0</v>
      </c>
      <c r="U43" s="52"/>
      <c r="V43" s="51">
        <f t="shared" si="6"/>
        <v>15</v>
      </c>
      <c r="W43" s="52">
        <f t="shared" si="7"/>
        <v>-2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147</v>
      </c>
      <c r="C44" s="37">
        <v>254.0</v>
      </c>
      <c r="D44" s="37">
        <v>15.0</v>
      </c>
      <c r="E44" s="40">
        <f t="shared" si="2"/>
        <v>13.33333333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263</v>
      </c>
      <c r="O44" s="37">
        <f t="shared" si="49"/>
        <v>15</v>
      </c>
      <c r="P44" s="49" t="s">
        <v>57</v>
      </c>
      <c r="Q44" s="49" t="s">
        <v>57</v>
      </c>
      <c r="R44" s="49" t="s">
        <v>57</v>
      </c>
      <c r="S44" s="51">
        <f t="shared" si="4"/>
        <v>9</v>
      </c>
      <c r="T44" s="52">
        <f t="shared" si="5"/>
        <v>2</v>
      </c>
      <c r="U44" s="52"/>
      <c r="V44" s="51">
        <f t="shared" si="6"/>
        <v>12</v>
      </c>
      <c r="W44" s="52">
        <f t="shared" si="7"/>
        <v>4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114</v>
      </c>
      <c r="C45" s="37">
        <v>253.0</v>
      </c>
      <c r="D45" s="37">
        <v>20.0</v>
      </c>
      <c r="E45" s="40">
        <f t="shared" si="2"/>
        <v>14.11111111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262</v>
      </c>
      <c r="O45" s="37">
        <f t="shared" si="50"/>
        <v>20</v>
      </c>
      <c r="P45" s="49" t="s">
        <v>57</v>
      </c>
      <c r="Q45" s="49" t="s">
        <v>57</v>
      </c>
      <c r="R45" s="49" t="s">
        <v>57</v>
      </c>
      <c r="S45" s="51">
        <f t="shared" si="4"/>
        <v>9</v>
      </c>
      <c r="T45" s="52">
        <f t="shared" si="5"/>
        <v>0</v>
      </c>
      <c r="U45" s="52"/>
      <c r="V45" s="51">
        <f t="shared" si="6"/>
        <v>14</v>
      </c>
      <c r="W45" s="52">
        <f t="shared" si="7"/>
        <v>-2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104</v>
      </c>
      <c r="C46" s="37">
        <v>253.0</v>
      </c>
      <c r="D46" s="37">
        <v>19.0</v>
      </c>
      <c r="E46" s="40">
        <f t="shared" si="2"/>
        <v>13.18181818</v>
      </c>
      <c r="F46" s="90">
        <v>1.0</v>
      </c>
      <c r="G46" s="91">
        <v>7.0</v>
      </c>
      <c r="H46" s="92">
        <v>0.0</v>
      </c>
      <c r="I46" s="91">
        <v>6.0</v>
      </c>
      <c r="J46" s="91">
        <v>6.0</v>
      </c>
      <c r="K46" s="91">
        <v>7.0</v>
      </c>
      <c r="L46" s="93">
        <v>19.0</v>
      </c>
      <c r="M46" s="91">
        <v>3.0</v>
      </c>
      <c r="N46" s="37">
        <f t="shared" ref="N46:O46" si="51">C46+L46</f>
        <v>272</v>
      </c>
      <c r="O46" s="37">
        <f t="shared" si="51"/>
        <v>22</v>
      </c>
      <c r="P46" s="49" t="s">
        <v>57</v>
      </c>
      <c r="Q46" s="49" t="s">
        <v>57</v>
      </c>
      <c r="R46" s="49" t="s">
        <v>57</v>
      </c>
      <c r="S46" s="51">
        <f t="shared" si="4"/>
        <v>11</v>
      </c>
      <c r="T46" s="52">
        <f t="shared" si="5"/>
        <v>0</v>
      </c>
      <c r="U46" s="52"/>
      <c r="V46" s="51">
        <f t="shared" si="6"/>
        <v>12</v>
      </c>
      <c r="W46" s="52">
        <f t="shared" si="7"/>
        <v>-2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118</v>
      </c>
      <c r="C47" s="37">
        <v>253.0</v>
      </c>
      <c r="D47" s="37">
        <v>18.0</v>
      </c>
      <c r="E47" s="40">
        <f t="shared" si="2"/>
        <v>11.3</v>
      </c>
      <c r="F47" s="90">
        <v>1.0</v>
      </c>
      <c r="G47" s="91">
        <v>7.0</v>
      </c>
      <c r="H47" s="92">
        <v>0.0</v>
      </c>
      <c r="I47" s="91">
        <v>1.0</v>
      </c>
      <c r="J47" s="91">
        <v>6.0</v>
      </c>
      <c r="K47" s="91">
        <v>6.0</v>
      </c>
      <c r="L47" s="93">
        <v>13.0</v>
      </c>
      <c r="M47" s="91">
        <v>1.0</v>
      </c>
      <c r="N47" s="37">
        <f t="shared" ref="N47:O47" si="52">C47+L47</f>
        <v>266</v>
      </c>
      <c r="O47" s="37">
        <f t="shared" si="52"/>
        <v>19</v>
      </c>
      <c r="P47" s="49" t="s">
        <v>57</v>
      </c>
      <c r="Q47" s="49" t="s">
        <v>57</v>
      </c>
      <c r="R47" s="49" t="s">
        <v>57</v>
      </c>
      <c r="S47" s="51">
        <f t="shared" si="4"/>
        <v>20</v>
      </c>
      <c r="T47" s="52">
        <f t="shared" si="5"/>
        <v>0</v>
      </c>
      <c r="U47" s="52"/>
      <c r="V47" s="51">
        <f t="shared" si="6"/>
        <v>3</v>
      </c>
      <c r="W47" s="52">
        <f t="shared" si="7"/>
        <v>0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134</v>
      </c>
      <c r="C48" s="37">
        <v>252.0</v>
      </c>
      <c r="D48" s="37">
        <v>19.0</v>
      </c>
      <c r="E48" s="40">
        <f t="shared" si="2"/>
        <v>11.5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261</v>
      </c>
      <c r="O48" s="37">
        <f t="shared" si="53"/>
        <v>19</v>
      </c>
      <c r="P48" s="49" t="s">
        <v>57</v>
      </c>
      <c r="Q48" s="49" t="s">
        <v>57</v>
      </c>
      <c r="R48" s="49" t="s">
        <v>57</v>
      </c>
      <c r="S48" s="51">
        <f t="shared" si="4"/>
        <v>18</v>
      </c>
      <c r="T48" s="52">
        <f t="shared" si="5"/>
        <v>0</v>
      </c>
      <c r="U48" s="52"/>
      <c r="V48" s="51">
        <f t="shared" si="6"/>
        <v>5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152</v>
      </c>
      <c r="C49" s="37">
        <v>251.0</v>
      </c>
      <c r="D49" s="37">
        <v>23.0</v>
      </c>
      <c r="E49" s="40">
        <f t="shared" si="2"/>
        <v>11.93333333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260</v>
      </c>
      <c r="O49" s="37">
        <f t="shared" si="54"/>
        <v>23</v>
      </c>
      <c r="P49" s="49" t="s">
        <v>57</v>
      </c>
      <c r="Q49" s="49" t="s">
        <v>57</v>
      </c>
      <c r="R49" s="49" t="s">
        <v>57</v>
      </c>
      <c r="S49" s="51">
        <f t="shared" si="4"/>
        <v>15</v>
      </c>
      <c r="T49" s="52">
        <f t="shared" si="5"/>
        <v>0</v>
      </c>
      <c r="U49" s="52"/>
      <c r="V49" s="51">
        <f t="shared" si="6"/>
        <v>8</v>
      </c>
      <c r="W49" s="52">
        <f t="shared" si="7"/>
        <v>2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110</v>
      </c>
      <c r="C50" s="37">
        <v>250.0</v>
      </c>
      <c r="D50" s="37">
        <v>20.0</v>
      </c>
      <c r="E50" s="40">
        <f t="shared" si="2"/>
        <v>11.52941176</v>
      </c>
      <c r="F50" s="90">
        <v>1.0</v>
      </c>
      <c r="G50" s="91">
        <v>7.0</v>
      </c>
      <c r="H50" s="92">
        <v>0.0</v>
      </c>
      <c r="I50" s="91">
        <v>6.0</v>
      </c>
      <c r="J50" s="91">
        <v>4.0</v>
      </c>
      <c r="K50" s="91">
        <v>6.0</v>
      </c>
      <c r="L50" s="93">
        <v>16.0</v>
      </c>
      <c r="M50" s="91">
        <v>1.0</v>
      </c>
      <c r="N50" s="37">
        <f t="shared" ref="N50:O50" si="55">C50+L50</f>
        <v>266</v>
      </c>
      <c r="O50" s="37">
        <f t="shared" si="55"/>
        <v>21</v>
      </c>
      <c r="P50" s="49" t="s">
        <v>57</v>
      </c>
      <c r="Q50" s="49" t="s">
        <v>57</v>
      </c>
      <c r="R50" s="49" t="s">
        <v>57</v>
      </c>
      <c r="S50" s="51">
        <f t="shared" si="4"/>
        <v>17</v>
      </c>
      <c r="T50" s="52">
        <f t="shared" si="5"/>
        <v>0</v>
      </c>
      <c r="U50" s="52"/>
      <c r="V50" s="51">
        <f t="shared" si="6"/>
        <v>6</v>
      </c>
      <c r="W50" s="52">
        <f t="shared" si="7"/>
        <v>3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109</v>
      </c>
      <c r="C51" s="37">
        <v>249.0</v>
      </c>
      <c r="D51" s="37">
        <v>17.0</v>
      </c>
      <c r="E51" s="40">
        <f t="shared" si="2"/>
        <v>12.81818182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258</v>
      </c>
      <c r="O51" s="37">
        <f t="shared" si="56"/>
        <v>17</v>
      </c>
      <c r="P51" s="49" t="s">
        <v>57</v>
      </c>
      <c r="Q51" s="49" t="s">
        <v>57</v>
      </c>
      <c r="R51" s="49"/>
      <c r="S51" s="51">
        <f t="shared" si="4"/>
        <v>11</v>
      </c>
      <c r="T51" s="52">
        <f t="shared" si="5"/>
        <v>0</v>
      </c>
      <c r="U51" s="52"/>
      <c r="V51" s="51">
        <f t="shared" si="6"/>
        <v>12</v>
      </c>
      <c r="W51" s="52">
        <f t="shared" si="7"/>
        <v>-2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90</v>
      </c>
      <c r="C52" s="37">
        <v>248.0</v>
      </c>
      <c r="D52" s="37">
        <v>14.0</v>
      </c>
      <c r="E52" s="40">
        <f t="shared" si="2"/>
        <v>14.85714286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257</v>
      </c>
      <c r="O52" s="37">
        <f t="shared" si="57"/>
        <v>14</v>
      </c>
      <c r="P52" s="49" t="s">
        <v>57</v>
      </c>
      <c r="Q52" s="49" t="s">
        <v>57</v>
      </c>
      <c r="R52" s="49" t="s">
        <v>57</v>
      </c>
      <c r="S52" s="51">
        <f t="shared" si="4"/>
        <v>7</v>
      </c>
      <c r="T52" s="52">
        <f t="shared" si="5"/>
        <v>0</v>
      </c>
      <c r="U52" s="52"/>
      <c r="V52" s="51">
        <f t="shared" si="6"/>
        <v>16</v>
      </c>
      <c r="W52" s="52">
        <f t="shared" si="7"/>
        <v>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143</v>
      </c>
      <c r="C53" s="37">
        <v>247.0</v>
      </c>
      <c r="D53" s="37">
        <v>18.0</v>
      </c>
      <c r="E53" s="40">
        <f t="shared" si="2"/>
        <v>12.63636364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256</v>
      </c>
      <c r="O53" s="37">
        <f t="shared" si="58"/>
        <v>18</v>
      </c>
      <c r="P53" s="49" t="s">
        <v>57</v>
      </c>
      <c r="Q53" s="49" t="s">
        <v>57</v>
      </c>
      <c r="R53" s="49" t="s">
        <v>57</v>
      </c>
      <c r="S53" s="51">
        <f t="shared" si="4"/>
        <v>11</v>
      </c>
      <c r="T53" s="52">
        <f t="shared" si="5"/>
        <v>0</v>
      </c>
      <c r="U53" s="52"/>
      <c r="V53" s="51">
        <f t="shared" si="6"/>
        <v>12</v>
      </c>
      <c r="W53" s="52">
        <f t="shared" si="7"/>
        <v>-3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151</v>
      </c>
      <c r="C54" s="37">
        <v>244.0</v>
      </c>
      <c r="D54" s="37">
        <v>15.0</v>
      </c>
      <c r="E54" s="40">
        <f t="shared" si="2"/>
        <v>11.23076923</v>
      </c>
      <c r="F54" s="90">
        <v>5.0</v>
      </c>
      <c r="G54" s="91">
        <v>0.0</v>
      </c>
      <c r="H54" s="92">
        <v>13.0</v>
      </c>
      <c r="I54" s="91">
        <v>0.0</v>
      </c>
      <c r="J54" s="91">
        <v>0.0</v>
      </c>
      <c r="K54" s="91">
        <v>0.0</v>
      </c>
      <c r="L54" s="93">
        <v>13.0</v>
      </c>
      <c r="M54" s="91">
        <v>0.0</v>
      </c>
      <c r="N54" s="37">
        <f t="shared" ref="N54:O54" si="59">C54+L54</f>
        <v>257</v>
      </c>
      <c r="O54" s="37">
        <f t="shared" si="59"/>
        <v>15</v>
      </c>
      <c r="P54" s="49" t="s">
        <v>57</v>
      </c>
      <c r="Q54" s="49" t="s">
        <v>57</v>
      </c>
      <c r="R54" s="49" t="s">
        <v>57</v>
      </c>
      <c r="S54" s="51">
        <f t="shared" si="4"/>
        <v>13</v>
      </c>
      <c r="T54" s="52">
        <f t="shared" si="5"/>
        <v>2</v>
      </c>
      <c r="U54" s="52"/>
      <c r="V54" s="51">
        <f t="shared" si="6"/>
        <v>8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51</v>
      </c>
      <c r="C55" s="37">
        <v>242.0</v>
      </c>
      <c r="D55" s="37">
        <v>14.0</v>
      </c>
      <c r="E55" s="40">
        <f t="shared" si="2"/>
        <v>16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251</v>
      </c>
      <c r="O55" s="37">
        <f t="shared" si="60"/>
        <v>14</v>
      </c>
      <c r="P55" s="49" t="s">
        <v>57</v>
      </c>
      <c r="Q55" s="49" t="s">
        <v>57</v>
      </c>
      <c r="R55" s="49"/>
      <c r="S55" s="51">
        <f t="shared" si="4"/>
        <v>5</v>
      </c>
      <c r="T55" s="52">
        <f t="shared" si="5"/>
        <v>0</v>
      </c>
      <c r="U55" s="52"/>
      <c r="V55" s="51">
        <f t="shared" si="6"/>
        <v>18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241.0</v>
      </c>
      <c r="D56" s="37">
        <v>15.0</v>
      </c>
      <c r="E56" s="40">
        <f t="shared" si="2"/>
        <v>10.47826087</v>
      </c>
      <c r="F56" s="90">
        <v>1.0</v>
      </c>
      <c r="G56" s="91">
        <v>7.0</v>
      </c>
      <c r="H56" s="92">
        <v>0.0</v>
      </c>
      <c r="I56" s="91">
        <v>1.0</v>
      </c>
      <c r="J56" s="91">
        <v>4.0</v>
      </c>
      <c r="K56" s="91">
        <v>7.0</v>
      </c>
      <c r="L56" s="93">
        <v>12.0</v>
      </c>
      <c r="M56" s="91">
        <v>1.0</v>
      </c>
      <c r="N56" s="37">
        <f t="shared" ref="N56:O56" si="61">C56+L56</f>
        <v>253</v>
      </c>
      <c r="O56" s="37">
        <f t="shared" si="61"/>
        <v>16</v>
      </c>
      <c r="P56" s="49" t="s">
        <v>57</v>
      </c>
      <c r="Q56" s="49" t="s">
        <v>57</v>
      </c>
      <c r="R56" s="49" t="s">
        <v>57</v>
      </c>
      <c r="S56" s="51">
        <f t="shared" si="4"/>
        <v>23</v>
      </c>
      <c r="T56" s="52">
        <f t="shared" si="5"/>
        <v>0</v>
      </c>
      <c r="U56" s="52"/>
      <c r="V56" s="51">
        <f t="shared" si="6"/>
        <v>0</v>
      </c>
      <c r="W56" s="52">
        <f t="shared" si="7"/>
        <v>0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140</v>
      </c>
      <c r="C57" s="37">
        <v>238.0</v>
      </c>
      <c r="D57" s="37">
        <v>16.0</v>
      </c>
      <c r="E57" s="40">
        <f t="shared" si="2"/>
        <v>10.9375</v>
      </c>
      <c r="F57" s="90">
        <v>1.0</v>
      </c>
      <c r="G57" s="91">
        <v>8.0</v>
      </c>
      <c r="H57" s="92">
        <v>0.0</v>
      </c>
      <c r="I57" s="91">
        <v>4.0</v>
      </c>
      <c r="J57" s="91">
        <v>7.0</v>
      </c>
      <c r="K57" s="91">
        <v>6.0</v>
      </c>
      <c r="L57" s="93">
        <v>17.0</v>
      </c>
      <c r="M57" s="91">
        <v>1.0</v>
      </c>
      <c r="N57" s="37">
        <f t="shared" ref="N57:O57" si="62">C57+L57</f>
        <v>255</v>
      </c>
      <c r="O57" s="37">
        <f t="shared" si="62"/>
        <v>17</v>
      </c>
      <c r="P57" s="49" t="s">
        <v>57</v>
      </c>
      <c r="Q57" s="49" t="s">
        <v>57</v>
      </c>
      <c r="R57" s="49" t="s">
        <v>57</v>
      </c>
      <c r="S57" s="51">
        <f t="shared" si="4"/>
        <v>16</v>
      </c>
      <c r="T57" s="52">
        <f t="shared" si="5"/>
        <v>0</v>
      </c>
      <c r="U57" s="52"/>
      <c r="V57" s="51">
        <f t="shared" si="6"/>
        <v>7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153</v>
      </c>
      <c r="C58" s="37">
        <v>230.0</v>
      </c>
      <c r="D58" s="37">
        <v>10.0</v>
      </c>
      <c r="E58" s="40">
        <f t="shared" si="2"/>
        <v>13.6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239</v>
      </c>
      <c r="O58" s="37">
        <f t="shared" si="63"/>
        <v>10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18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70</v>
      </c>
      <c r="C59" s="37">
        <v>228.0</v>
      </c>
      <c r="D59" s="37">
        <v>10.0</v>
      </c>
      <c r="E59" s="40">
        <f t="shared" si="2"/>
        <v>11.6</v>
      </c>
      <c r="F59" s="90">
        <v>5.0</v>
      </c>
      <c r="G59" s="91">
        <v>0.0</v>
      </c>
      <c r="H59" s="92">
        <v>13.0</v>
      </c>
      <c r="I59" s="91">
        <v>0.0</v>
      </c>
      <c r="J59" s="91">
        <v>0.0</v>
      </c>
      <c r="K59" s="91">
        <v>0.0</v>
      </c>
      <c r="L59" s="93">
        <v>13.0</v>
      </c>
      <c r="M59" s="91">
        <v>0.0</v>
      </c>
      <c r="N59" s="37">
        <f t="shared" ref="N59:O59" si="64">C59+L59</f>
        <v>241</v>
      </c>
      <c r="O59" s="37">
        <f t="shared" si="64"/>
        <v>10</v>
      </c>
      <c r="P59" s="49" t="s">
        <v>57</v>
      </c>
      <c r="Q59" s="49" t="s">
        <v>57</v>
      </c>
      <c r="R59" s="49" t="s">
        <v>57</v>
      </c>
      <c r="S59" s="51">
        <f t="shared" si="4"/>
        <v>5</v>
      </c>
      <c r="T59" s="52">
        <f t="shared" si="5"/>
        <v>2</v>
      </c>
      <c r="U59" s="52"/>
      <c r="V59" s="51">
        <f t="shared" si="6"/>
        <v>16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76</v>
      </c>
      <c r="C60" s="37">
        <v>227.0</v>
      </c>
      <c r="D60" s="37">
        <v>8.0</v>
      </c>
      <c r="E60" s="40">
        <f t="shared" si="2"/>
        <v>11.66666667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236</v>
      </c>
      <c r="O60" s="37">
        <f t="shared" si="65"/>
        <v>8</v>
      </c>
      <c r="P60" s="49" t="s">
        <v>57</v>
      </c>
      <c r="Q60" s="49" t="s">
        <v>57</v>
      </c>
      <c r="R60" s="49"/>
      <c r="S60" s="51">
        <f t="shared" si="4"/>
        <v>6</v>
      </c>
      <c r="T60" s="52">
        <f t="shared" si="5"/>
        <v>1</v>
      </c>
      <c r="U60" s="52"/>
      <c r="V60" s="51">
        <f t="shared" si="6"/>
        <v>16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150</v>
      </c>
      <c r="C61" s="37">
        <v>225.0</v>
      </c>
      <c r="D61" s="37">
        <v>9.0</v>
      </c>
      <c r="E61" s="40">
        <f t="shared" si="2"/>
        <v>13.5</v>
      </c>
      <c r="F61" s="90">
        <v>1.0</v>
      </c>
      <c r="G61" s="91">
        <v>8.0</v>
      </c>
      <c r="H61" s="92">
        <v>0.0</v>
      </c>
      <c r="I61" s="91">
        <v>6.0</v>
      </c>
      <c r="J61" s="91">
        <v>7.0</v>
      </c>
      <c r="K61" s="91">
        <v>7.0</v>
      </c>
      <c r="L61" s="93">
        <v>20.0</v>
      </c>
      <c r="M61" s="91">
        <v>3.0</v>
      </c>
      <c r="N61" s="37">
        <f t="shared" ref="N61:O61" si="66">C61+L61</f>
        <v>245</v>
      </c>
      <c r="O61" s="37">
        <f t="shared" si="66"/>
        <v>12</v>
      </c>
      <c r="P61" s="49" t="s">
        <v>57</v>
      </c>
      <c r="Q61" s="49" t="s">
        <v>57</v>
      </c>
      <c r="R61" s="49" t="s">
        <v>57</v>
      </c>
      <c r="S61" s="51">
        <f t="shared" si="4"/>
        <v>4</v>
      </c>
      <c r="T61" s="52">
        <f t="shared" si="5"/>
        <v>0</v>
      </c>
      <c r="U61" s="52"/>
      <c r="V61" s="51">
        <f t="shared" si="6"/>
        <v>19</v>
      </c>
      <c r="W61" s="52">
        <f t="shared" si="7"/>
        <v>2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154</v>
      </c>
      <c r="C62" s="37">
        <v>223.0</v>
      </c>
      <c r="D62" s="37">
        <v>10.0</v>
      </c>
      <c r="E62" s="40">
        <f t="shared" si="2"/>
        <v>11.66666667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232</v>
      </c>
      <c r="O62" s="37">
        <f t="shared" si="67"/>
        <v>10</v>
      </c>
      <c r="P62" s="49" t="s">
        <v>57</v>
      </c>
      <c r="Q62" s="49" t="s">
        <v>57</v>
      </c>
      <c r="R62" s="49" t="s">
        <v>57</v>
      </c>
      <c r="S62" s="51">
        <f t="shared" si="4"/>
        <v>6</v>
      </c>
      <c r="T62" s="52">
        <f t="shared" si="5"/>
        <v>0</v>
      </c>
      <c r="U62" s="52"/>
      <c r="V62" s="51">
        <f t="shared" si="6"/>
        <v>17</v>
      </c>
      <c r="W62" s="52">
        <f t="shared" si="7"/>
        <v>4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98</v>
      </c>
      <c r="C63" s="37">
        <v>220.0</v>
      </c>
      <c r="D63" s="37">
        <v>11.0</v>
      </c>
      <c r="E63" s="40">
        <f t="shared" si="2"/>
        <v>9.6</v>
      </c>
      <c r="F63" s="90">
        <v>2.0</v>
      </c>
      <c r="G63" s="91">
        <v>8.0</v>
      </c>
      <c r="H63" s="92">
        <v>0.0</v>
      </c>
      <c r="I63" s="91">
        <v>6.0</v>
      </c>
      <c r="J63" s="91">
        <v>5.0</v>
      </c>
      <c r="K63" s="91">
        <v>6.0</v>
      </c>
      <c r="L63" s="93">
        <v>17.0</v>
      </c>
      <c r="M63" s="91">
        <v>1.0</v>
      </c>
      <c r="N63" s="37">
        <f t="shared" ref="N63:O63" si="68">C63+L63</f>
        <v>237</v>
      </c>
      <c r="O63" s="37">
        <f t="shared" si="68"/>
        <v>12</v>
      </c>
      <c r="P63" s="49" t="s">
        <v>57</v>
      </c>
      <c r="Q63" s="49" t="s">
        <v>57</v>
      </c>
      <c r="R63" s="49" t="s">
        <v>57</v>
      </c>
      <c r="S63" s="51">
        <f t="shared" si="4"/>
        <v>15</v>
      </c>
      <c r="T63" s="52">
        <f t="shared" si="5"/>
        <v>1</v>
      </c>
      <c r="U63" s="52"/>
      <c r="V63" s="51">
        <f t="shared" si="6"/>
        <v>7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131</v>
      </c>
      <c r="C64" s="37">
        <v>218.0</v>
      </c>
      <c r="D64" s="37">
        <v>6.0</v>
      </c>
      <c r="E64" s="40">
        <f t="shared" si="2"/>
        <v>11.33333333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227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19</v>
      </c>
      <c r="W64" s="52">
        <f t="shared" si="7"/>
        <v>-2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145</v>
      </c>
      <c r="C65" s="37">
        <v>215.0</v>
      </c>
      <c r="D65" s="37">
        <v>12.0</v>
      </c>
      <c r="E65" s="40">
        <f t="shared" si="2"/>
        <v>9.888888889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224</v>
      </c>
      <c r="O65" s="37">
        <f t="shared" si="70"/>
        <v>12</v>
      </c>
      <c r="P65" s="49" t="s">
        <v>57</v>
      </c>
      <c r="Q65" s="49" t="s">
        <v>57</v>
      </c>
      <c r="R65" s="49"/>
      <c r="S65" s="51">
        <f t="shared" si="4"/>
        <v>9</v>
      </c>
      <c r="T65" s="52">
        <f t="shared" si="5"/>
        <v>0</v>
      </c>
      <c r="U65" s="52"/>
      <c r="V65" s="51">
        <f t="shared" si="6"/>
        <v>14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144</v>
      </c>
      <c r="C66" s="37">
        <v>215.0</v>
      </c>
      <c r="D66" s="37">
        <v>11.0</v>
      </c>
      <c r="E66" s="40">
        <f t="shared" si="2"/>
        <v>9.615384615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224</v>
      </c>
      <c r="O66" s="37">
        <f t="shared" si="71"/>
        <v>11</v>
      </c>
      <c r="P66" s="49" t="s">
        <v>57</v>
      </c>
      <c r="Q66" s="49" t="s">
        <v>57</v>
      </c>
      <c r="R66" s="49" t="s">
        <v>57</v>
      </c>
      <c r="S66" s="51">
        <f t="shared" si="4"/>
        <v>13</v>
      </c>
      <c r="T66" s="52">
        <f t="shared" si="5"/>
        <v>0</v>
      </c>
      <c r="U66" s="52"/>
      <c r="V66" s="51">
        <f t="shared" si="6"/>
        <v>10</v>
      </c>
      <c r="W66" s="52">
        <f t="shared" si="7"/>
        <v>2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100</v>
      </c>
      <c r="C67" s="37">
        <v>215.0</v>
      </c>
      <c r="D67" s="37">
        <v>6.0</v>
      </c>
      <c r="E67" s="40">
        <f t="shared" si="2"/>
        <v>11.66666667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224</v>
      </c>
      <c r="O67" s="37">
        <f t="shared" si="72"/>
        <v>6</v>
      </c>
      <c r="P67" s="49" t="s">
        <v>57</v>
      </c>
      <c r="Q67" s="49" t="s">
        <v>57</v>
      </c>
      <c r="R67" s="49"/>
      <c r="S67" s="51">
        <f t="shared" si="4"/>
        <v>3</v>
      </c>
      <c r="T67" s="52">
        <f t="shared" si="5"/>
        <v>0</v>
      </c>
      <c r="U67" s="52"/>
      <c r="V67" s="51">
        <f t="shared" si="6"/>
        <v>20</v>
      </c>
      <c r="W67" s="52">
        <f t="shared" si="7"/>
        <v>-2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148</v>
      </c>
      <c r="C68" s="37">
        <v>213.0</v>
      </c>
      <c r="D68" s="37">
        <v>4.0</v>
      </c>
      <c r="E68" s="40">
        <f t="shared" si="2"/>
        <v>10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222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2</v>
      </c>
      <c r="T68" s="52">
        <f t="shared" si="5"/>
        <v>1</v>
      </c>
      <c r="U68" s="52"/>
      <c r="V68" s="51">
        <f t="shared" si="6"/>
        <v>20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133</v>
      </c>
      <c r="C69" s="37">
        <v>211.0</v>
      </c>
      <c r="D69" s="37">
        <v>5.0</v>
      </c>
      <c r="E69" s="40">
        <f t="shared" si="2"/>
        <v>9.444444444</v>
      </c>
      <c r="F69" s="90">
        <v>1.0</v>
      </c>
      <c r="G69" s="91">
        <v>8.0</v>
      </c>
      <c r="H69" s="92">
        <v>0.0</v>
      </c>
      <c r="I69" s="91">
        <v>4.0</v>
      </c>
      <c r="J69" s="91">
        <v>5.0</v>
      </c>
      <c r="K69" s="91">
        <v>7.0</v>
      </c>
      <c r="L69" s="93">
        <v>16.0</v>
      </c>
      <c r="M69" s="91">
        <v>1.0</v>
      </c>
      <c r="N69" s="37">
        <f t="shared" ref="N69:O69" si="74">C69+L69</f>
        <v>227</v>
      </c>
      <c r="O69" s="37">
        <f t="shared" si="74"/>
        <v>6</v>
      </c>
      <c r="P69" s="49" t="s">
        <v>57</v>
      </c>
      <c r="Q69" s="49" t="s">
        <v>57</v>
      </c>
      <c r="R69" s="49" t="s">
        <v>57</v>
      </c>
      <c r="S69" s="51">
        <f t="shared" si="4"/>
        <v>9</v>
      </c>
      <c r="T69" s="52">
        <f t="shared" si="5"/>
        <v>0</v>
      </c>
      <c r="U69" s="52"/>
      <c r="V69" s="51">
        <f t="shared" si="6"/>
        <v>14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149</v>
      </c>
      <c r="C70" s="37">
        <v>210.0</v>
      </c>
      <c r="D70" s="37">
        <v>8.0</v>
      </c>
      <c r="E70" s="40">
        <f t="shared" si="2"/>
        <v>9.428571429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219</v>
      </c>
      <c r="O70" s="37">
        <f t="shared" si="75"/>
        <v>8</v>
      </c>
      <c r="P70" s="49" t="s">
        <v>57</v>
      </c>
      <c r="Q70" s="49" t="s">
        <v>57</v>
      </c>
      <c r="R70" s="49" t="s">
        <v>57</v>
      </c>
      <c r="S70" s="51">
        <f t="shared" si="4"/>
        <v>7</v>
      </c>
      <c r="T70" s="52">
        <f t="shared" si="5"/>
        <v>0</v>
      </c>
      <c r="U70" s="52"/>
      <c r="V70" s="51">
        <f t="shared" si="6"/>
        <v>16</v>
      </c>
      <c r="W70" s="52">
        <f t="shared" si="7"/>
        <v>4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136</v>
      </c>
      <c r="C71" s="37">
        <v>209.0</v>
      </c>
      <c r="D71" s="37">
        <v>5.0</v>
      </c>
      <c r="E71" s="40">
        <f t="shared" si="2"/>
        <v>9.333333333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218</v>
      </c>
      <c r="O71" s="37">
        <f t="shared" si="76"/>
        <v>5</v>
      </c>
      <c r="P71" s="49" t="s">
        <v>57</v>
      </c>
      <c r="Q71" s="49" t="s">
        <v>57</v>
      </c>
      <c r="R71" s="49"/>
      <c r="S71" s="51">
        <f t="shared" si="4"/>
        <v>6</v>
      </c>
      <c r="T71" s="52">
        <f t="shared" si="5"/>
        <v>0</v>
      </c>
      <c r="U71" s="52"/>
      <c r="V71" s="51">
        <f t="shared" si="6"/>
        <v>17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146</v>
      </c>
      <c r="C72" s="37">
        <v>209.0</v>
      </c>
      <c r="D72" s="37">
        <v>4.0</v>
      </c>
      <c r="E72" s="40">
        <f t="shared" si="2"/>
        <v>8.333333333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218</v>
      </c>
      <c r="O72" s="37">
        <f t="shared" si="77"/>
        <v>4</v>
      </c>
      <c r="P72" s="49" t="s">
        <v>57</v>
      </c>
      <c r="Q72" s="49" t="s">
        <v>57</v>
      </c>
      <c r="R72" s="49" t="s">
        <v>57</v>
      </c>
      <c r="S72" s="51">
        <f t="shared" si="4"/>
        <v>3</v>
      </c>
      <c r="T72" s="52">
        <f t="shared" si="5"/>
        <v>1</v>
      </c>
      <c r="U72" s="52"/>
      <c r="V72" s="51">
        <f t="shared" si="6"/>
        <v>19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125</v>
      </c>
      <c r="C73" s="37">
        <v>208.0</v>
      </c>
      <c r="D73" s="37">
        <v>3.0</v>
      </c>
      <c r="E73" s="40">
        <f t="shared" si="2"/>
        <v>10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217</v>
      </c>
      <c r="O73" s="37">
        <f t="shared" si="78"/>
        <v>3</v>
      </c>
      <c r="P73" s="49" t="s">
        <v>57</v>
      </c>
      <c r="Q73" s="49" t="s">
        <v>57</v>
      </c>
      <c r="R73" s="49"/>
      <c r="S73" s="51">
        <f t="shared" si="4"/>
        <v>1</v>
      </c>
      <c r="T73" s="52">
        <f t="shared" si="5"/>
        <v>0</v>
      </c>
      <c r="U73" s="52"/>
      <c r="V73" s="51">
        <f t="shared" si="6"/>
        <v>22</v>
      </c>
      <c r="W73" s="52">
        <f t="shared" si="7"/>
        <v>-1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78</v>
      </c>
      <c r="C74" s="37">
        <v>208.0</v>
      </c>
      <c r="D74" s="37">
        <v>2.0</v>
      </c>
      <c r="E74" s="40">
        <f t="shared" si="2"/>
        <v>6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217</v>
      </c>
      <c r="O74" s="37">
        <f t="shared" si="79"/>
        <v>2</v>
      </c>
      <c r="P74" s="49" t="s">
        <v>57</v>
      </c>
      <c r="Q74" s="49" t="s">
        <v>57</v>
      </c>
      <c r="R74" s="49" t="s">
        <v>155</v>
      </c>
      <c r="S74" s="51">
        <f t="shared" si="4"/>
        <v>1</v>
      </c>
      <c r="T74" s="52">
        <f t="shared" si="5"/>
        <v>1</v>
      </c>
      <c r="U74" s="52"/>
      <c r="V74" s="51">
        <f t="shared" si="6"/>
        <v>21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204.0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213</v>
      </c>
      <c r="O75" s="37">
        <f t="shared" si="80"/>
        <v>1</v>
      </c>
      <c r="P75" s="49" t="s">
        <v>57</v>
      </c>
      <c r="Q75" s="49" t="s">
        <v>57</v>
      </c>
      <c r="R75" s="49"/>
      <c r="S75" s="51">
        <f t="shared" si="4"/>
        <v>1</v>
      </c>
      <c r="T75" s="52">
        <f t="shared" si="5"/>
        <v>0</v>
      </c>
      <c r="U75" s="52"/>
      <c r="V75" s="51">
        <f t="shared" si="6"/>
        <v>22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141</v>
      </c>
      <c r="C76" s="37">
        <v>203.0</v>
      </c>
      <c r="D76" s="37">
        <v>1.0</v>
      </c>
      <c r="E76" s="40">
        <f t="shared" si="2"/>
        <v>5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212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22</v>
      </c>
      <c r="W76" s="52">
        <f t="shared" si="7"/>
        <v>2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124</v>
      </c>
      <c r="C77" s="37">
        <v>200.0</v>
      </c>
      <c r="D77" s="37">
        <v>1.0</v>
      </c>
      <c r="E77" s="40">
        <f t="shared" si="2"/>
        <v>2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209</v>
      </c>
      <c r="O77" s="37">
        <f t="shared" si="82"/>
        <v>1</v>
      </c>
      <c r="P77" s="49" t="s">
        <v>57</v>
      </c>
      <c r="Q77" s="49" t="s">
        <v>57</v>
      </c>
      <c r="R77" s="49"/>
      <c r="S77" s="51">
        <f t="shared" si="4"/>
        <v>1</v>
      </c>
      <c r="T77" s="52">
        <f t="shared" si="5"/>
        <v>0</v>
      </c>
      <c r="U77" s="52"/>
      <c r="V77" s="51">
        <f t="shared" si="6"/>
        <v>22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198.0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207</v>
      </c>
      <c r="O78" s="37">
        <f t="shared" si="83"/>
        <v>0</v>
      </c>
      <c r="P78" s="49" t="s">
        <v>57</v>
      </c>
      <c r="Q78" s="49" t="s">
        <v>57</v>
      </c>
      <c r="R78" s="49"/>
      <c r="S78" s="51">
        <f t="shared" si="4"/>
        <v>1</v>
      </c>
      <c r="T78" s="52">
        <f t="shared" si="5"/>
        <v>0</v>
      </c>
      <c r="U78" s="52"/>
      <c r="V78" s="51">
        <f t="shared" si="6"/>
        <v>22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198.0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207</v>
      </c>
      <c r="O79" s="37">
        <f t="shared" si="84"/>
        <v>0</v>
      </c>
      <c r="P79" s="49" t="s">
        <v>57</v>
      </c>
      <c r="Q79" s="49" t="s">
        <v>57</v>
      </c>
      <c r="R79" s="49" t="s">
        <v>155</v>
      </c>
      <c r="S79" s="51">
        <f t="shared" si="4"/>
        <v>0</v>
      </c>
      <c r="T79" s="52">
        <f t="shared" si="5"/>
        <v>0</v>
      </c>
      <c r="U79" s="52"/>
      <c r="V79" s="51">
        <f t="shared" si="6"/>
        <v>23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countif(R5:R79,"X")</f>
        <v>51</v>
      </c>
      <c r="S84" s="114">
        <f>R84/R87</f>
        <v>0.68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countif(R5:R79,"N")</f>
        <v>2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countif(R5:R79,"")</f>
        <v>22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75</v>
      </c>
    </row>
    <row r="88">
      <c r="A88" s="5"/>
      <c r="B88" s="119" t="str">
        <f>concatenate("Top Scores : " &amp;AC2)</f>
        <v>Top Scores : 06/06/26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Yao")</f>
        <v>Andrew Yao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IFERROR(__xludf.DUMMYFUNCTION("""COMPUTED_VALUE"""),1.0)</f>
        <v>1</v>
      </c>
      <c r="F91" s="5"/>
    </row>
    <row r="92">
      <c r="A92" s="5"/>
      <c r="B92" s="36" t="str">
        <f>IFERROR(__xludf.DUMMYFUNCTION("""COMPUTED_VALUE"""),"Vicki Martinet")</f>
        <v>Vicki Martinet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IFERROR(__xludf.DUMMYFUNCTION("""COMPUTED_VALUE"""),8.0)</f>
        <v>8</v>
      </c>
      <c r="F92" s="5"/>
    </row>
    <row r="93">
      <c r="A93" s="5"/>
      <c r="B93" s="36" t="str">
        <f>IFERROR(__xludf.DUMMYFUNCTION("""COMPUTED_VALUE"""),"Ethan Gu")</f>
        <v>Ethan Gu</v>
      </c>
      <c r="C93" s="122">
        <f>IFERROR(__xludf.DUMMYFUNCTION("""COMPUTED_VALUE"""),19.0)</f>
        <v>19</v>
      </c>
      <c r="D93" s="122">
        <f>IFERROR(__xludf.DUMMYFUNCTION("""COMPUTED_VALUE"""),2.0)</f>
        <v>2</v>
      </c>
      <c r="E93" s="122">
        <f>IFERROR(__xludf.DUMMYFUNCTION("""COMPUTED_VALUE"""),2.0)</f>
        <v>2</v>
      </c>
      <c r="F93" s="5"/>
    </row>
    <row r="94">
      <c r="A94" s="5"/>
      <c r="B94" s="36" t="str">
        <f>IFERROR(__xludf.DUMMYFUNCTION("""COMPUTED_VALUE"""),"Elayaraja Thangaraj")</f>
        <v>Elayaraja Thangaraj</v>
      </c>
      <c r="C94" s="122">
        <f>IFERROR(__xludf.DUMMYFUNCTION("""COMPUTED_VALUE"""),19.0)</f>
        <v>19</v>
      </c>
      <c r="D94" s="122">
        <f>IFERROR(__xludf.DUMMYFUNCTION("""COMPUTED_VALUE"""),2.0)</f>
        <v>2</v>
      </c>
      <c r="E94" s="122">
        <f>IFERROR(__xludf.DUMMYFUNCTION("""COMPUTED_VALUE"""),2.0)</f>
        <v>2</v>
      </c>
      <c r="F94" s="5"/>
    </row>
    <row r="95">
      <c r="A95" s="5"/>
      <c r="B95" s="36" t="str">
        <f>IFERROR(__xludf.DUMMYFUNCTION("""COMPUTED_VALUE"""),"Allen Zhang")</f>
        <v>Allen Zhang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IFERROR(__xludf.DUMMYFUNCTION("""COMPUTED_VALUE"""),5.0)</f>
        <v>5</v>
      </c>
      <c r="F95" s="5"/>
    </row>
    <row r="96">
      <c r="A96" s="5"/>
      <c r="B96" s="36" t="str">
        <f>IFERROR(__xludf.DUMMYFUNCTION("""COMPUTED_VALUE"""),"Susanta Mishra")</f>
        <v>Susanta Mishra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IFERROR(__xludf.DUMMYFUNCTION("""COMPUTED_VALUE"""),7.0)</f>
        <v>7</v>
      </c>
      <c r="F96" s="5"/>
    </row>
    <row r="97">
      <c r="A97" s="5"/>
      <c r="B97" s="36" t="str">
        <f>IFERROR(__xludf.DUMMYFUNCTION("""COMPUTED_VALUE"""),"Frank Moon")</f>
        <v>Frank Moon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IFERROR(__xludf.DUMMYFUNCTION("""COMPUTED_VALUE"""),2.0)</f>
        <v>2</v>
      </c>
      <c r="F97" s="5"/>
    </row>
    <row r="98">
      <c r="A98" s="5"/>
      <c r="B98" s="36" t="str">
        <f>IFERROR(__xludf.DUMMYFUNCTION("""COMPUTED_VALUE"""),"Mauricio Palacios")</f>
        <v>Mauricio Palacios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IFERROR(__xludf.DUMMYFUNCTION("""COMPUTED_VALUE"""),3.0)</f>
        <v>3</v>
      </c>
      <c r="F98" s="5"/>
    </row>
    <row r="99">
      <c r="A99" s="5"/>
      <c r="B99" s="36" t="str">
        <f>IFERROR(__xludf.DUMMYFUNCTION("""COMPUTED_VALUE"""),"Chinna Ponnaganti")</f>
        <v>Chinna Ponnaganti</v>
      </c>
      <c r="C99" s="122">
        <f>IFERROR(__xludf.DUMMYFUNCTION("""COMPUTED_VALUE"""),18.0)</f>
        <v>18</v>
      </c>
      <c r="D99" s="122">
        <f>IFERROR(__xludf.DUMMYFUNCTION("""COMPUTED_VALUE"""),2.0)</f>
        <v>2</v>
      </c>
      <c r="E99" s="122">
        <f>IFERROR(__xludf.DUMMYFUNCTION("""COMPUTED_VALUE"""),3.0)</f>
        <v>3</v>
      </c>
      <c r="F99" s="5"/>
    </row>
    <row r="100">
      <c r="A100" s="5"/>
      <c r="B100" s="36" t="str">
        <f>IFERROR(__xludf.DUMMYFUNCTION("""COMPUTED_VALUE"""),"Lloyd Sagar")</f>
        <v>Lloyd Sagar</v>
      </c>
      <c r="C100" s="122">
        <f>IFERROR(__xludf.DUMMYFUNCTION("""COMPUTED_VALUE"""),18.0)</f>
        <v>18</v>
      </c>
      <c r="D100" s="122">
        <f>IFERROR(__xludf.DUMMYFUNCTION("""COMPUTED_VALUE"""),2.0)</f>
        <v>2</v>
      </c>
      <c r="E100" s="122">
        <f>IFERROR(__xludf.DUMMYFUNCTION("""COMPUTED_VALUE"""),3.0)</f>
        <v>3</v>
      </c>
      <c r="F100" s="5"/>
    </row>
    <row r="101">
      <c r="A101" s="5"/>
      <c r="B101" s="36" t="str">
        <f>IFERROR(__xludf.DUMMYFUNCTION("""COMPUTED_VALUE"""),"Jaya Sogata")</f>
        <v>Jaya Sogata</v>
      </c>
      <c r="C101" s="122">
        <f>IFERROR(__xludf.DUMMYFUNCTION("""COMPUTED_VALUE"""),18.0)</f>
        <v>18</v>
      </c>
      <c r="D101" s="122">
        <f>IFERROR(__xludf.DUMMYFUNCTION("""COMPUTED_VALUE"""),2.0)</f>
        <v>2</v>
      </c>
      <c r="E101" s="122">
        <f>IFERROR(__xludf.DUMMYFUNCTION("""COMPUTED_VALUE"""),4.0)</f>
        <v>4</v>
      </c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10"")"),"Allen Zhang")</f>
        <v>Allen Zhang</v>
      </c>
      <c r="C110" s="122">
        <f>IFERROR(__xludf.DUMMYFUNCTION("""COMPUTED_VALUE"""),8.0)</f>
        <v>8</v>
      </c>
      <c r="D110" s="122">
        <f t="shared" ref="D110:D119" si="85">VLOOKUP(B110,indirect($AC$2&amp;"!B$5:X$79"),23, false)</f>
        <v>42</v>
      </c>
      <c r="E110" s="122">
        <f t="shared" ref="E110:E119" si="86">VLOOKUP(B110,B$5:X$79,23, false)</f>
        <v>34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5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IFERROR(__xludf.DUMMYFUNCTION("""COMPUTED_VALUE"""),"Ted Shen")</f>
        <v>Ted Shen</v>
      </c>
      <c r="C111" s="122">
        <f>IFERROR(__xludf.DUMMYFUNCTION("""COMPUTED_VALUE"""),5.0)</f>
        <v>5</v>
      </c>
      <c r="D111" s="122">
        <f t="shared" si="85"/>
        <v>27</v>
      </c>
      <c r="E111" s="122">
        <f t="shared" si="86"/>
        <v>22</v>
      </c>
      <c r="F111" s="122">
        <f t="shared" si="87"/>
        <v>16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IFERROR(__xludf.DUMMYFUNCTION("""COMPUTED_VALUE"""),"Elayaraja Thangaraj")</f>
        <v>Elayaraja Thangaraj</v>
      </c>
      <c r="C112" s="122">
        <f>IFERROR(__xludf.DUMMYFUNCTION("""COMPUTED_VALUE"""),4.0)</f>
        <v>4</v>
      </c>
      <c r="D112" s="122">
        <f t="shared" si="85"/>
        <v>15</v>
      </c>
      <c r="E112" s="122">
        <f t="shared" si="86"/>
        <v>11</v>
      </c>
      <c r="F112" s="122">
        <f t="shared" si="87"/>
        <v>19</v>
      </c>
      <c r="G112" s="122">
        <f t="shared" si="88"/>
        <v>2</v>
      </c>
      <c r="L112" s="122" t="str">
        <f t="shared" si="89"/>
        <v>ok</v>
      </c>
    </row>
    <row r="113">
      <c r="A113" s="5"/>
      <c r="B113" s="36" t="str">
        <f>IFERROR(__xludf.DUMMYFUNCTION("""COMPUTED_VALUE"""),"Mauricio Palacios")</f>
        <v>Mauricio Palacios</v>
      </c>
      <c r="C113" s="122">
        <f>IFERROR(__xludf.DUMMYFUNCTION("""COMPUTED_VALUE"""),4.0)</f>
        <v>4</v>
      </c>
      <c r="D113" s="122">
        <f t="shared" si="85"/>
        <v>20</v>
      </c>
      <c r="E113" s="122">
        <f t="shared" si="86"/>
        <v>16</v>
      </c>
      <c r="F113" s="122">
        <f t="shared" si="87"/>
        <v>18</v>
      </c>
      <c r="G113" s="122">
        <f t="shared" si="88"/>
        <v>3</v>
      </c>
      <c r="L113" s="122" t="str">
        <f t="shared" si="89"/>
        <v>ok</v>
      </c>
    </row>
    <row r="114">
      <c r="A114" s="5"/>
      <c r="B114" s="36" t="str">
        <f>IFERROR(__xludf.DUMMYFUNCTION("""COMPUTED_VALUE"""),"Chinna Ponnaganti")</f>
        <v>Chinna Ponnaganti</v>
      </c>
      <c r="C114" s="122">
        <f>IFERROR(__xludf.DUMMYFUNCTION("""COMPUTED_VALUE"""),4.0)</f>
        <v>4</v>
      </c>
      <c r="D114" s="122">
        <f t="shared" si="85"/>
        <v>22</v>
      </c>
      <c r="E114" s="122">
        <f t="shared" si="86"/>
        <v>18</v>
      </c>
      <c r="F114" s="122">
        <f t="shared" si="87"/>
        <v>18</v>
      </c>
      <c r="G114" s="122">
        <f t="shared" si="88"/>
        <v>3</v>
      </c>
      <c r="L114" s="122" t="str">
        <f t="shared" si="89"/>
        <v>ok</v>
      </c>
    </row>
    <row r="115">
      <c r="A115" s="5"/>
      <c r="B115" s="36" t="str">
        <f>IFERROR(__xludf.DUMMYFUNCTION("""COMPUTED_VALUE"""),"Jaya Sogata")</f>
        <v>Jaya Sogata</v>
      </c>
      <c r="C115" s="122">
        <f>IFERROR(__xludf.DUMMYFUNCTION("""COMPUTED_VALUE"""),4.0)</f>
        <v>4</v>
      </c>
      <c r="D115" s="122">
        <f t="shared" si="85"/>
        <v>25</v>
      </c>
      <c r="E115" s="122">
        <f t="shared" si="86"/>
        <v>21</v>
      </c>
      <c r="F115" s="122">
        <f t="shared" si="87"/>
        <v>18</v>
      </c>
      <c r="G115" s="122">
        <f t="shared" si="88"/>
        <v>4</v>
      </c>
      <c r="L115" s="122" t="str">
        <f t="shared" si="89"/>
        <v>ok</v>
      </c>
    </row>
    <row r="116">
      <c r="A116" s="5"/>
      <c r="B116" s="36" t="str">
        <f>IFERROR(__xludf.DUMMYFUNCTION("""COMPUTED_VALUE"""),"Vishnu Amarnath")</f>
        <v>Vishnu Amarnath</v>
      </c>
      <c r="C116" s="122">
        <f>IFERROR(__xludf.DUMMYFUNCTION("""COMPUTED_VALUE"""),4.0)</f>
        <v>4</v>
      </c>
      <c r="D116" s="122">
        <f t="shared" si="85"/>
        <v>44</v>
      </c>
      <c r="E116" s="122">
        <f t="shared" si="86"/>
        <v>40</v>
      </c>
      <c r="F116" s="122">
        <f t="shared" si="87"/>
        <v>13</v>
      </c>
      <c r="G116" s="122">
        <f t="shared" si="88"/>
        <v>0</v>
      </c>
      <c r="L116" s="122" t="str">
        <f t="shared" si="89"/>
        <v>ok</v>
      </c>
    </row>
    <row r="117">
      <c r="A117" s="5"/>
      <c r="B117" s="36" t="str">
        <f>IFERROR(__xludf.DUMMYFUNCTION("""COMPUTED_VALUE"""),"Vicki Martinet")</f>
        <v>Vicki Martinet</v>
      </c>
      <c r="C117" s="122">
        <f>IFERROR(__xludf.DUMMYFUNCTION("""COMPUTED_VALUE"""),4.0)</f>
        <v>4</v>
      </c>
      <c r="D117" s="122">
        <f t="shared" si="85"/>
        <v>62</v>
      </c>
      <c r="E117" s="122">
        <f t="shared" si="86"/>
        <v>58</v>
      </c>
      <c r="F117" s="122">
        <f t="shared" si="87"/>
        <v>19</v>
      </c>
      <c r="G117" s="122">
        <f t="shared" si="88"/>
        <v>8</v>
      </c>
      <c r="L117" s="122" t="str">
        <f t="shared" si="89"/>
        <v>ok</v>
      </c>
    </row>
    <row r="118">
      <c r="A118" s="5"/>
      <c r="B118" s="36" t="str">
        <f>IFERROR(__xludf.DUMMYFUNCTION("""COMPUTED_VALUE"""),"Saravanan Veerapandian")</f>
        <v>Saravanan Veerapandian</v>
      </c>
      <c r="C118" s="122">
        <f>IFERROR(__xludf.DUMMYFUNCTION("""COMPUTED_VALUE"""),4.0)</f>
        <v>4</v>
      </c>
      <c r="D118" s="122">
        <f t="shared" si="85"/>
        <v>70</v>
      </c>
      <c r="E118" s="122">
        <f t="shared" si="86"/>
        <v>66</v>
      </c>
      <c r="F118" s="122">
        <f t="shared" si="87"/>
        <v>13</v>
      </c>
      <c r="G118" s="122">
        <f t="shared" si="88"/>
        <v>8</v>
      </c>
      <c r="L118" s="122" t="str">
        <f t="shared" si="89"/>
        <v>ok</v>
      </c>
    </row>
    <row r="119">
      <c r="A119" s="5"/>
      <c r="B119" s="36" t="str">
        <f>IFERROR(__xludf.DUMMYFUNCTION("""COMPUTED_VALUE"""),"Ethan Gu")</f>
        <v>Ethan Gu</v>
      </c>
      <c r="C119" s="122">
        <f>IFERROR(__xludf.DUMMYFUNCTION("""COMPUTED_VALUE"""),3.0)</f>
        <v>3</v>
      </c>
      <c r="D119" s="122">
        <f t="shared" si="85"/>
        <v>13</v>
      </c>
      <c r="E119" s="122">
        <f t="shared" si="86"/>
        <v>10</v>
      </c>
      <c r="F119" s="122">
        <f t="shared" si="87"/>
        <v>19</v>
      </c>
      <c r="G119" s="122">
        <f t="shared" si="88"/>
        <v>2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23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343</v>
      </c>
      <c r="D128" s="122">
        <f t="shared" si="90"/>
        <v>46</v>
      </c>
      <c r="E128" s="122">
        <f t="shared" si="90"/>
        <v>15.47619048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324</v>
      </c>
      <c r="D129" s="122">
        <f t="shared" si="91"/>
        <v>36</v>
      </c>
      <c r="E129" s="122">
        <f t="shared" si="91"/>
        <v>15.15789474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310</v>
      </c>
      <c r="D130" s="122">
        <f t="shared" si="92"/>
        <v>30</v>
      </c>
      <c r="E130" s="122">
        <f t="shared" si="92"/>
        <v>14.15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305</v>
      </c>
      <c r="D131" s="122">
        <f t="shared" si="93"/>
        <v>28</v>
      </c>
      <c r="E131" s="122">
        <f t="shared" si="93"/>
        <v>13.5</v>
      </c>
      <c r="F131" s="5"/>
    </row>
    <row r="132">
      <c r="A132" s="122">
        <f t="shared" ref="A132:E132" si="94">A9</f>
        <v>5</v>
      </c>
      <c r="B132" s="36" t="str">
        <f t="shared" si="94"/>
        <v>Erik Hoeckmann</v>
      </c>
      <c r="C132" s="122">
        <f t="shared" si="94"/>
        <v>296</v>
      </c>
      <c r="D132" s="122">
        <f t="shared" si="94"/>
        <v>28</v>
      </c>
      <c r="E132" s="122">
        <f t="shared" si="94"/>
        <v>13.47368421</v>
      </c>
      <c r="F132" s="5"/>
    </row>
    <row r="133">
      <c r="A133" s="122">
        <f t="shared" ref="A133:E133" si="95">A10</f>
        <v>6</v>
      </c>
      <c r="B133" s="36" t="str">
        <f t="shared" si="95"/>
        <v>David Shin</v>
      </c>
      <c r="C133" s="122">
        <f t="shared" si="95"/>
        <v>295</v>
      </c>
      <c r="D133" s="122">
        <f t="shared" si="95"/>
        <v>29</v>
      </c>
      <c r="E133" s="122">
        <f t="shared" si="95"/>
        <v>13.2</v>
      </c>
      <c r="F133" s="5"/>
    </row>
    <row r="134">
      <c r="A134" s="122">
        <f t="shared" ref="A134:E134" si="96">A11</f>
        <v>7</v>
      </c>
      <c r="B134" s="36" t="str">
        <f t="shared" si="96"/>
        <v>Manish Anand</v>
      </c>
      <c r="C134" s="122">
        <f t="shared" si="96"/>
        <v>291</v>
      </c>
      <c r="D134" s="122">
        <f t="shared" si="96"/>
        <v>28</v>
      </c>
      <c r="E134" s="122">
        <f t="shared" si="96"/>
        <v>13.94117647</v>
      </c>
      <c r="F134" s="5"/>
    </row>
    <row r="135">
      <c r="A135" s="122">
        <f t="shared" ref="A135:E135" si="97">A12</f>
        <v>8</v>
      </c>
      <c r="B135" s="36" t="str">
        <f t="shared" si="97"/>
        <v>Darren Wong</v>
      </c>
      <c r="C135" s="122">
        <f t="shared" si="97"/>
        <v>289</v>
      </c>
      <c r="D135" s="122">
        <f t="shared" si="97"/>
        <v>28</v>
      </c>
      <c r="E135" s="122">
        <f t="shared" si="97"/>
        <v>15.83333333</v>
      </c>
      <c r="F135" s="5"/>
    </row>
    <row r="136">
      <c r="A136" s="122">
        <f t="shared" ref="A136:E136" si="98">A13</f>
        <v>9</v>
      </c>
      <c r="B136" s="36" t="str">
        <f t="shared" si="98"/>
        <v>Pavan Akkimsetty</v>
      </c>
      <c r="C136" s="122">
        <f t="shared" si="98"/>
        <v>288</v>
      </c>
      <c r="D136" s="122">
        <f t="shared" si="98"/>
        <v>25</v>
      </c>
      <c r="E136" s="122">
        <f t="shared" si="98"/>
        <v>13.8125</v>
      </c>
      <c r="F136" s="5"/>
    </row>
    <row r="137">
      <c r="A137" s="122">
        <f t="shared" ref="A137:E137" si="99">A14</f>
        <v>10</v>
      </c>
      <c r="B137" s="36" t="str">
        <f t="shared" si="99"/>
        <v>Ethan Gu</v>
      </c>
      <c r="C137" s="122">
        <f t="shared" si="99"/>
        <v>288</v>
      </c>
      <c r="D137" s="122">
        <f t="shared" si="99"/>
        <v>21</v>
      </c>
      <c r="E137" s="122">
        <f t="shared" si="99"/>
        <v>13.76470588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C141" s="5"/>
      <c r="D141" s="5"/>
      <c r="E141" s="5"/>
      <c r="F141" s="5"/>
    </row>
    <row r="142">
      <c r="A142" s="130" t="s">
        <v>192</v>
      </c>
      <c r="B142" s="26"/>
      <c r="C142" s="5"/>
      <c r="D142" s="5"/>
      <c r="E142" s="5"/>
      <c r="F142" s="5"/>
    </row>
    <row r="143">
      <c r="A143" s="5"/>
      <c r="C143" s="5"/>
      <c r="D143" s="5"/>
      <c r="E143" s="5"/>
      <c r="F143" s="5"/>
    </row>
    <row r="144">
      <c r="A144" s="120" t="s">
        <v>2</v>
      </c>
      <c r="B144" s="120" t="s">
        <v>1</v>
      </c>
      <c r="C144" s="5"/>
      <c r="D144" s="5"/>
      <c r="E144" s="5"/>
      <c r="F144" s="5"/>
    </row>
    <row r="145">
      <c r="A145" s="122">
        <f>if(B145&lt;&gt;"",1,0)</f>
        <v>1</v>
      </c>
      <c r="B145" s="36" t="str">
        <f>IFERROR(__xludf.DUMMYFUNCTION("query(B5:Y79,""select B where Y = 'Y' order by B ASC"")"),"Eric Tan")</f>
        <v>Eric Tan</v>
      </c>
      <c r="C145" s="5"/>
      <c r="D145" s="5"/>
      <c r="E145" s="5"/>
      <c r="F145" s="5"/>
    </row>
    <row r="146">
      <c r="A146" s="122">
        <f t="shared" ref="A146:A220" si="100">if(B146&lt;&gt;"",A145+1,0)</f>
        <v>2</v>
      </c>
      <c r="B146" s="36" t="str">
        <f>IFERROR(__xludf.DUMMYFUNCTION("""COMPUTED_VALUE"""),"Wayne Liu")</f>
        <v>Wayne Liu</v>
      </c>
      <c r="C146" s="5"/>
      <c r="D146" s="5"/>
      <c r="E146" s="5"/>
      <c r="F146" s="5"/>
    </row>
    <row r="147">
      <c r="A147" s="122">
        <f t="shared" si="100"/>
        <v>0</v>
      </c>
      <c r="B147" s="36"/>
      <c r="C147" s="5"/>
      <c r="D147" s="5"/>
      <c r="E147" s="5"/>
      <c r="F147" s="5"/>
      <c r="P147" s="36"/>
    </row>
    <row r="148">
      <c r="A148" s="122">
        <f t="shared" si="100"/>
        <v>0</v>
      </c>
      <c r="B148" s="36"/>
      <c r="C148" s="5"/>
      <c r="D148" s="5"/>
      <c r="E148" s="5"/>
      <c r="F148" s="5"/>
    </row>
    <row r="149">
      <c r="A149" s="122">
        <f t="shared" si="100"/>
        <v>0</v>
      </c>
      <c r="B149" s="36"/>
      <c r="C149" s="5"/>
      <c r="D149" s="5"/>
      <c r="E149" s="5"/>
      <c r="F149" s="5"/>
    </row>
    <row r="150">
      <c r="A150" s="122">
        <f t="shared" si="100"/>
        <v>0</v>
      </c>
      <c r="B150" s="36"/>
      <c r="C150" s="5"/>
      <c r="D150" s="5"/>
      <c r="E150" s="5"/>
      <c r="F150" s="5"/>
    </row>
    <row r="151">
      <c r="A151" s="122">
        <f t="shared" si="100"/>
        <v>0</v>
      </c>
      <c r="B151" s="36"/>
      <c r="C151" s="5"/>
      <c r="D151" s="5"/>
      <c r="E151" s="5"/>
      <c r="F151" s="5"/>
    </row>
    <row r="152">
      <c r="A152" s="122">
        <f t="shared" si="100"/>
        <v>0</v>
      </c>
      <c r="B152" s="36"/>
      <c r="C152" s="5"/>
      <c r="D152" s="5"/>
      <c r="E152" s="5"/>
      <c r="F152" s="5"/>
    </row>
    <row r="153">
      <c r="A153" s="122">
        <f t="shared" si="100"/>
        <v>0</v>
      </c>
      <c r="B153" s="36"/>
      <c r="C153" s="5"/>
      <c r="D153" s="5"/>
      <c r="E153" s="5"/>
      <c r="F153" s="5"/>
    </row>
    <row r="154">
      <c r="A154" s="122">
        <f t="shared" si="100"/>
        <v>0</v>
      </c>
      <c r="B154" s="36"/>
      <c r="C154" s="5"/>
      <c r="D154" s="5"/>
      <c r="E154" s="5"/>
      <c r="F154" s="5"/>
    </row>
    <row r="155">
      <c r="A155" s="122">
        <f t="shared" si="100"/>
        <v>0</v>
      </c>
      <c r="B155" s="36"/>
      <c r="C155" s="5"/>
      <c r="D155" s="5"/>
      <c r="E155" s="5"/>
      <c r="F155" s="5"/>
    </row>
    <row r="156">
      <c r="A156" s="122">
        <f t="shared" si="100"/>
        <v>0</v>
      </c>
      <c r="B156" s="36"/>
      <c r="C156" s="5"/>
      <c r="D156" s="5"/>
      <c r="E156" s="5"/>
      <c r="F156" s="5"/>
    </row>
    <row r="157">
      <c r="A157" s="122">
        <f t="shared" si="100"/>
        <v>0</v>
      </c>
      <c r="B157" s="36"/>
      <c r="C157" s="5"/>
      <c r="D157" s="5"/>
      <c r="E157" s="5"/>
      <c r="F157" s="5"/>
    </row>
    <row r="158">
      <c r="A158" s="122">
        <f t="shared" si="100"/>
        <v>0</v>
      </c>
      <c r="B158" s="36"/>
      <c r="C158" s="5"/>
      <c r="D158" s="5"/>
      <c r="E158" s="5"/>
      <c r="F158" s="5"/>
    </row>
    <row r="159">
      <c r="A159" s="122">
        <f t="shared" si="100"/>
        <v>0</v>
      </c>
      <c r="B159" s="36"/>
      <c r="C159" s="5"/>
      <c r="D159" s="5"/>
      <c r="E159" s="5"/>
      <c r="F159" s="5"/>
    </row>
    <row r="160">
      <c r="A160" s="122">
        <f t="shared" si="100"/>
        <v>0</v>
      </c>
      <c r="B160" s="36"/>
      <c r="C160" s="5"/>
      <c r="D160" s="5"/>
      <c r="E160" s="5"/>
      <c r="F160" s="5"/>
    </row>
    <row r="161">
      <c r="A161" s="122">
        <f t="shared" si="100"/>
        <v>0</v>
      </c>
      <c r="B161" s="36"/>
      <c r="C161" s="5"/>
      <c r="D161" s="5"/>
      <c r="E161" s="5"/>
      <c r="F161" s="5"/>
    </row>
    <row r="162">
      <c r="A162" s="122">
        <f t="shared" si="100"/>
        <v>0</v>
      </c>
      <c r="B162" s="36"/>
      <c r="C162" s="5"/>
      <c r="D162" s="5"/>
      <c r="E162" s="5"/>
      <c r="F162" s="5"/>
    </row>
    <row r="163">
      <c r="A163" s="122">
        <f t="shared" si="100"/>
        <v>0</v>
      </c>
      <c r="B163" s="36"/>
      <c r="C163" s="5"/>
      <c r="D163" s="5"/>
      <c r="E163" s="5"/>
      <c r="F163" s="5"/>
    </row>
    <row r="164">
      <c r="A164" s="122">
        <f t="shared" si="100"/>
        <v>0</v>
      </c>
      <c r="B164" s="36"/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5"/>
      <c r="C221" s="5"/>
      <c r="D221" s="5"/>
      <c r="E221" s="5"/>
      <c r="F221" s="5"/>
    </row>
    <row r="222">
      <c r="A222" s="5"/>
      <c r="C222" s="5"/>
      <c r="D222" s="5"/>
      <c r="E222" s="5"/>
      <c r="F222" s="5"/>
    </row>
    <row r="223">
      <c r="A223" s="5"/>
      <c r="B223" s="130" t="s">
        <v>195</v>
      </c>
      <c r="C223" s="26"/>
      <c r="D223" s="5"/>
      <c r="E223" s="5"/>
      <c r="F223" s="5"/>
    </row>
    <row r="224">
      <c r="A224" s="5"/>
      <c r="C224" s="5"/>
      <c r="D224" s="5"/>
      <c r="E224" s="5"/>
      <c r="F224" s="5"/>
    </row>
    <row r="225">
      <c r="A225" s="5"/>
      <c r="B225" s="120" t="s">
        <v>1</v>
      </c>
      <c r="C225" s="120" t="s">
        <v>196</v>
      </c>
      <c r="D225" s="5"/>
      <c r="E225" s="5"/>
      <c r="F225" s="5"/>
    </row>
    <row r="226">
      <c r="A226" s="5"/>
      <c r="B226" s="36" t="str">
        <f>Data!F117</f>
        <v>Andrew Yao</v>
      </c>
      <c r="C226" s="122">
        <f>Data!G117</f>
        <v>20</v>
      </c>
      <c r="D226" s="5"/>
      <c r="E226" s="5"/>
      <c r="F226" s="5"/>
    </row>
    <row r="227">
      <c r="A227" s="5"/>
      <c r="B227" s="36" t="str">
        <f>Data!F118</f>
        <v>Pulkit Mathur</v>
      </c>
      <c r="C227" s="122">
        <f>Data!G118</f>
        <v>3</v>
      </c>
      <c r="D227" s="5"/>
      <c r="E227" s="5"/>
      <c r="F227" s="5"/>
    </row>
    <row r="228">
      <c r="A228" s="5"/>
      <c r="B228" s="36" t="str">
        <f>Data!F119</f>
        <v>Sandeep Kamalon</v>
      </c>
      <c r="C228" s="122">
        <f>Data!G119</f>
        <v>2</v>
      </c>
      <c r="D228" s="5"/>
      <c r="E228" s="5"/>
      <c r="F228" s="5"/>
    </row>
    <row r="229">
      <c r="A229" s="5"/>
      <c r="B229" s="36" t="str">
        <f>Data!F120</f>
        <v>Sanjaye Elayattu</v>
      </c>
      <c r="C229" s="122">
        <f>Data!G120</f>
        <v>1</v>
      </c>
      <c r="D229" s="5"/>
      <c r="E229" s="5"/>
      <c r="F229" s="5"/>
    </row>
    <row r="230">
      <c r="A230" s="5"/>
      <c r="B230" s="36" t="str">
        <f>Data!F121</f>
        <v/>
      </c>
      <c r="C230" s="122" t="str">
        <f>Data!G221</f>
        <v/>
      </c>
      <c r="D230" s="5"/>
      <c r="E230" s="5"/>
      <c r="F230" s="5"/>
    </row>
    <row r="231">
      <c r="A231" s="5"/>
      <c r="B231" s="36" t="str">
        <f>Data!F122</f>
        <v/>
      </c>
      <c r="C231" s="122" t="str">
        <f>Data!G222</f>
        <v/>
      </c>
      <c r="D231" s="5"/>
      <c r="E231" s="5"/>
      <c r="F231" s="5"/>
    </row>
    <row r="232">
      <c r="A232" s="5"/>
      <c r="B232" s="36" t="str">
        <f>Data!F223</f>
        <v/>
      </c>
      <c r="C232" s="122" t="str">
        <f>Data!G223</f>
        <v/>
      </c>
      <c r="D232" s="5"/>
      <c r="E232" s="5"/>
      <c r="F232" s="5"/>
    </row>
    <row r="233">
      <c r="A233" s="5"/>
      <c r="B233" s="36" t="str">
        <f>Data!F224</f>
        <v/>
      </c>
      <c r="C233" s="122" t="str">
        <f>Data!G224</f>
        <v/>
      </c>
      <c r="D233" s="5"/>
      <c r="E233" s="5"/>
      <c r="F233" s="5"/>
    </row>
    <row r="234">
      <c r="A234" s="5"/>
      <c r="B234" s="36" t="str">
        <f>Data!F225</f>
        <v/>
      </c>
      <c r="C234" s="122" t="str">
        <f>Data!G225</f>
        <v/>
      </c>
      <c r="D234" s="5"/>
      <c r="E234" s="5"/>
      <c r="F234" s="5"/>
    </row>
    <row r="235">
      <c r="A235" s="5"/>
      <c r="B235" s="36" t="str">
        <f>Data!F226</f>
        <v/>
      </c>
      <c r="C235" s="122" t="str">
        <f>Data!G226</f>
        <v/>
      </c>
      <c r="D235" s="5"/>
      <c r="E235" s="5"/>
      <c r="F235" s="5"/>
    </row>
    <row r="236">
      <c r="A236" s="5"/>
      <c r="B236" s="36" t="str">
        <f>Data!F227</f>
        <v/>
      </c>
      <c r="C236" s="122" t="str">
        <f>Data!G227</f>
        <v/>
      </c>
      <c r="D236" s="5"/>
      <c r="E236" s="5"/>
      <c r="F236" s="5"/>
    </row>
    <row r="237">
      <c r="A237" s="5"/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B244" s="127" t="str">
        <f>concatenate("Scores for : " &amp; AC2)</f>
        <v>Scores for : 06/06/26</v>
      </c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120" t="s">
        <v>0</v>
      </c>
      <c r="B246" s="120" t="s">
        <v>1</v>
      </c>
      <c r="C246" s="120" t="s">
        <v>12</v>
      </c>
      <c r="D246" s="120" t="s">
        <v>13</v>
      </c>
      <c r="E246" s="120" t="s">
        <v>15</v>
      </c>
      <c r="F246" s="120" t="s">
        <v>17</v>
      </c>
      <c r="G246" s="120" t="s">
        <v>9</v>
      </c>
    </row>
    <row r="247">
      <c r="A247" s="122">
        <f>IFERROR(__xludf.DUMMYFUNCTION("QUERY(indirect(AC2 &amp; ""!B5:M79""),""Select G, B, I, J, K,L, M where G &gt; 0 order by G asc"",0)"),1.0)</f>
        <v>1</v>
      </c>
      <c r="B247" s="36" t="str">
        <f>IFERROR(__xludf.DUMMYFUNCTION("""COMPUTED_VALUE"""),"Andrew Yao")</f>
        <v>Andrew Yao</v>
      </c>
      <c r="C247" s="132">
        <f>IFERROR(__xludf.DUMMYFUNCTION("""COMPUTED_VALUE"""),7.0)</f>
        <v>7</v>
      </c>
      <c r="D247" s="132">
        <f>IFERROR(__xludf.DUMMYFUNCTION("""COMPUTED_VALUE"""),6.0)</f>
        <v>6</v>
      </c>
      <c r="E247" s="132">
        <f>IFERROR(__xludf.DUMMYFUNCTION("""COMPUTED_VALUE"""),6.0)</f>
        <v>6</v>
      </c>
      <c r="F247" s="132">
        <f>IFERROR(__xludf.DUMMYFUNCTION("""COMPUTED_VALUE"""),19.0)</f>
        <v>19</v>
      </c>
      <c r="G247" s="132">
        <f>IFERROR(__xludf.DUMMYFUNCTION("""COMPUTED_VALUE"""),3.0)</f>
        <v>3</v>
      </c>
    </row>
    <row r="248">
      <c r="A248" s="122">
        <f>IFERROR(__xludf.DUMMYFUNCTION("""COMPUTED_VALUE"""),1.0)</f>
        <v>1</v>
      </c>
      <c r="B248" s="36" t="str">
        <f>IFERROR(__xludf.DUMMYFUNCTION("""COMPUTED_VALUE"""),"Pulkit Mathur")</f>
        <v>Pulkit Mathur</v>
      </c>
      <c r="C248" s="132">
        <f>IFERROR(__xludf.DUMMYFUNCTION("""COMPUTED_VALUE"""),6.0)</f>
        <v>6</v>
      </c>
      <c r="D248" s="132">
        <f>IFERROR(__xludf.DUMMYFUNCTION("""COMPUTED_VALUE"""),2.0)</f>
        <v>2</v>
      </c>
      <c r="E248" s="132">
        <f>IFERROR(__xludf.DUMMYFUNCTION("""COMPUTED_VALUE"""),6.0)</f>
        <v>6</v>
      </c>
      <c r="F248" s="132">
        <f>IFERROR(__xludf.DUMMYFUNCTION("""COMPUTED_VALUE"""),14.0)</f>
        <v>14</v>
      </c>
      <c r="G248" s="132">
        <f>IFERROR(__xludf.DUMMYFUNCTION("""COMPUTED_VALUE"""),1.0)</f>
        <v>1</v>
      </c>
    </row>
    <row r="249">
      <c r="A249" s="122">
        <f>IFERROR(__xludf.DUMMYFUNCTION("""COMPUTED_VALUE"""),1.0)</f>
        <v>1</v>
      </c>
      <c r="B249" s="36" t="str">
        <f>IFERROR(__xludf.DUMMYFUNCTION("""COMPUTED_VALUE"""),"Sandeep Kamalon")</f>
        <v>Sandeep Kamalon</v>
      </c>
      <c r="C249" s="132">
        <f>IFERROR(__xludf.DUMMYFUNCTION("""COMPUTED_VALUE"""),6.0)</f>
        <v>6</v>
      </c>
      <c r="D249" s="132">
        <f>IFERROR(__xludf.DUMMYFUNCTION("""COMPUTED_VALUE"""),6.0)</f>
        <v>6</v>
      </c>
      <c r="E249" s="132">
        <f>IFERROR(__xludf.DUMMYFUNCTION("""COMPUTED_VALUE"""),2.0)</f>
        <v>2</v>
      </c>
      <c r="F249" s="132">
        <f>IFERROR(__xludf.DUMMYFUNCTION("""COMPUTED_VALUE"""),14.0)</f>
        <v>14</v>
      </c>
      <c r="G249" s="132">
        <f>IFERROR(__xludf.DUMMYFUNCTION("""COMPUTED_VALUE"""),1.0)</f>
        <v>1</v>
      </c>
    </row>
    <row r="250">
      <c r="A250" s="122">
        <f>IFERROR(__xludf.DUMMYFUNCTION("""COMPUTED_VALUE"""),1.0)</f>
        <v>1</v>
      </c>
      <c r="B250" s="36" t="str">
        <f>IFERROR(__xludf.DUMMYFUNCTION("""COMPUTED_VALUE"""),"Erik Hoeckmann")</f>
        <v>Erik Hoeckmann</v>
      </c>
      <c r="C250" s="132">
        <f>IFERROR(__xludf.DUMMYFUNCTION("""COMPUTED_VALUE"""),7.0)</f>
        <v>7</v>
      </c>
      <c r="D250" s="132">
        <f>IFERROR(__xludf.DUMMYFUNCTION("""COMPUTED_VALUE"""),2.0)</f>
        <v>2</v>
      </c>
      <c r="E250" s="132">
        <f>IFERROR(__xludf.DUMMYFUNCTION("""COMPUTED_VALUE"""),2.0)</f>
        <v>2</v>
      </c>
      <c r="F250" s="132">
        <f>IFERROR(__xludf.DUMMYFUNCTION("""COMPUTED_VALUE"""),11.0)</f>
        <v>11</v>
      </c>
      <c r="G250" s="132">
        <f>IFERROR(__xludf.DUMMYFUNCTION("""COMPUTED_VALUE"""),1.0)</f>
        <v>1</v>
      </c>
    </row>
    <row r="251">
      <c r="A251" s="133">
        <f>IFERROR(__xludf.DUMMYFUNCTION("""COMPUTED_VALUE"""),2.0)</f>
        <v>2</v>
      </c>
      <c r="B251" s="134" t="str">
        <f>IFERROR(__xludf.DUMMYFUNCTION("""COMPUTED_VALUE"""),"Ethan Gu")</f>
        <v>Ethan Gu</v>
      </c>
      <c r="C251" s="135">
        <f>IFERROR(__xludf.DUMMYFUNCTION("""COMPUTED_VALUE"""),6.0)</f>
        <v>6</v>
      </c>
      <c r="D251" s="135">
        <f>IFERROR(__xludf.DUMMYFUNCTION("""COMPUTED_VALUE"""),7.0)</f>
        <v>7</v>
      </c>
      <c r="E251" s="135">
        <f>IFERROR(__xludf.DUMMYFUNCTION("""COMPUTED_VALUE"""),6.0)</f>
        <v>6</v>
      </c>
      <c r="F251" s="135">
        <f>IFERROR(__xludf.DUMMYFUNCTION("""COMPUTED_VALUE"""),19.0)</f>
        <v>19</v>
      </c>
      <c r="G251" s="135">
        <f>IFERROR(__xludf.DUMMYFUNCTION("""COMPUTED_VALUE"""),2.0)</f>
        <v>2</v>
      </c>
    </row>
    <row r="252">
      <c r="A252" s="133">
        <f>IFERROR(__xludf.DUMMYFUNCTION("""COMPUTED_VALUE"""),2.0)</f>
        <v>2</v>
      </c>
      <c r="B252" s="134" t="str">
        <f>IFERROR(__xludf.DUMMYFUNCTION("""COMPUTED_VALUE"""),"Elayaraja Thangaraj")</f>
        <v>Elayaraja Thangaraj</v>
      </c>
      <c r="C252" s="135">
        <f>IFERROR(__xludf.DUMMYFUNCTION("""COMPUTED_VALUE"""),7.0)</f>
        <v>7</v>
      </c>
      <c r="D252" s="135">
        <f>IFERROR(__xludf.DUMMYFUNCTION("""COMPUTED_VALUE"""),6.0)</f>
        <v>6</v>
      </c>
      <c r="E252" s="135">
        <f>IFERROR(__xludf.DUMMYFUNCTION("""COMPUTED_VALUE"""),6.0)</f>
        <v>6</v>
      </c>
      <c r="F252" s="135">
        <f>IFERROR(__xludf.DUMMYFUNCTION("""COMPUTED_VALUE"""),19.0)</f>
        <v>19</v>
      </c>
      <c r="G252" s="135">
        <f>IFERROR(__xludf.DUMMYFUNCTION("""COMPUTED_VALUE"""),2.0)</f>
        <v>2</v>
      </c>
    </row>
    <row r="253">
      <c r="A253" s="133">
        <f>IFERROR(__xludf.DUMMYFUNCTION("""COMPUTED_VALUE"""),2.0)</f>
        <v>2</v>
      </c>
      <c r="B253" s="134" t="str">
        <f>IFERROR(__xludf.DUMMYFUNCTION("""COMPUTED_VALUE"""),"Frank Moon")</f>
        <v>Frank Moon</v>
      </c>
      <c r="C253" s="135">
        <f>IFERROR(__xludf.DUMMYFUNCTION("""COMPUTED_VALUE"""),7.0)</f>
        <v>7</v>
      </c>
      <c r="D253" s="135">
        <f>IFERROR(__xludf.DUMMYFUNCTION("""COMPUTED_VALUE"""),7.0)</f>
        <v>7</v>
      </c>
      <c r="E253" s="135">
        <f>IFERROR(__xludf.DUMMYFUNCTION("""COMPUTED_VALUE"""),4.0)</f>
        <v>4</v>
      </c>
      <c r="F253" s="135">
        <f>IFERROR(__xludf.DUMMYFUNCTION("""COMPUTED_VALUE"""),18.0)</f>
        <v>18</v>
      </c>
      <c r="G253" s="135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IFERROR(__xludf.DUMMYFUNCTION("""COMPUTED_VALUE"""),"Oscar Bonilla")</f>
        <v>Oscar Bonilla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IFERROR(__xludf.DUMMYFUNCTION("""COMPUTED_VALUE"""),4.0)</f>
        <v>4</v>
      </c>
      <c r="F254" s="135">
        <f>IFERROR(__xludf.DUMMYFUNCTION("""COMPUTED_VALUE"""),16.0)</f>
        <v>16</v>
      </c>
      <c r="G254" s="135">
        <f>IFERROR(__xludf.DUMMYFUNCTION("""COMPUTED_VALUE"""),0.0)</f>
        <v>0</v>
      </c>
    </row>
    <row r="255">
      <c r="A255" s="122">
        <f>IFERROR(__xludf.DUMMYFUNCTION("""COMPUTED_VALUE"""),3.0)</f>
        <v>3</v>
      </c>
      <c r="B255" s="36" t="str">
        <f>IFERROR(__xludf.DUMMYFUNCTION("""COMPUTED_VALUE"""),"Mauricio Palacios")</f>
        <v>Mauricio Palacios</v>
      </c>
      <c r="C255" s="132">
        <f>IFERROR(__xludf.DUMMYFUNCTION("""COMPUTED_VALUE"""),7.0)</f>
        <v>7</v>
      </c>
      <c r="D255" s="132">
        <f>IFERROR(__xludf.DUMMYFUNCTION("""COMPUTED_VALUE"""),7.0)</f>
        <v>7</v>
      </c>
      <c r="E255" s="132">
        <f>IFERROR(__xludf.DUMMYFUNCTION("""COMPUTED_VALUE"""),4.0)</f>
        <v>4</v>
      </c>
      <c r="F255" s="132">
        <f>IFERROR(__xludf.DUMMYFUNCTION("""COMPUTED_VALUE"""),18.0)</f>
        <v>18</v>
      </c>
      <c r="G255" s="132">
        <f>IFERROR(__xludf.DUMMYFUNCTION("""COMPUTED_VALUE"""),2.0)</f>
        <v>2</v>
      </c>
    </row>
    <row r="256">
      <c r="A256" s="122">
        <f>IFERROR(__xludf.DUMMYFUNCTION("""COMPUTED_VALUE"""),3.0)</f>
        <v>3</v>
      </c>
      <c r="B256" s="36" t="str">
        <f>IFERROR(__xludf.DUMMYFUNCTION("""COMPUTED_VALUE"""),"Chinna Ponnaganti")</f>
        <v>Chinna Ponnaganti</v>
      </c>
      <c r="C256" s="132">
        <f>IFERROR(__xludf.DUMMYFUNCTION("""COMPUTED_VALUE"""),5.0)</f>
        <v>5</v>
      </c>
      <c r="D256" s="132">
        <f>IFERROR(__xludf.DUMMYFUNCTION("""COMPUTED_VALUE"""),7.0)</f>
        <v>7</v>
      </c>
      <c r="E256" s="132">
        <f>IFERROR(__xludf.DUMMYFUNCTION("""COMPUTED_VALUE"""),6.0)</f>
        <v>6</v>
      </c>
      <c r="F256" s="132">
        <f>IFERROR(__xludf.DUMMYFUNCTION("""COMPUTED_VALUE"""),18.0)</f>
        <v>18</v>
      </c>
      <c r="G256" s="132">
        <f>IFERROR(__xludf.DUMMYFUNCTION("""COMPUTED_VALUE"""),2.0)</f>
        <v>2</v>
      </c>
    </row>
    <row r="257">
      <c r="A257" s="122">
        <f>IFERROR(__xludf.DUMMYFUNCTION("""COMPUTED_VALUE"""),3.0)</f>
        <v>3</v>
      </c>
      <c r="B257" s="36" t="str">
        <f>IFERROR(__xludf.DUMMYFUNCTION("""COMPUTED_VALUE"""),"Lloyd Sagar")</f>
        <v>Lloyd Sagar</v>
      </c>
      <c r="C257" s="132">
        <f>IFERROR(__xludf.DUMMYFUNCTION("""COMPUTED_VALUE"""),7.0)</f>
        <v>7</v>
      </c>
      <c r="D257" s="132">
        <f>IFERROR(__xludf.DUMMYFUNCTION("""COMPUTED_VALUE"""),5.0)</f>
        <v>5</v>
      </c>
      <c r="E257" s="132">
        <f>IFERROR(__xludf.DUMMYFUNCTION("""COMPUTED_VALUE"""),6.0)</f>
        <v>6</v>
      </c>
      <c r="F257" s="132">
        <f>IFERROR(__xludf.DUMMYFUNCTION("""COMPUTED_VALUE"""),18.0)</f>
        <v>18</v>
      </c>
      <c r="G257" s="132">
        <f>IFERROR(__xludf.DUMMYFUNCTION("""COMPUTED_VALUE"""),2.0)</f>
        <v>2</v>
      </c>
    </row>
    <row r="258">
      <c r="A258" s="122">
        <f>IFERROR(__xludf.DUMMYFUNCTION("""COMPUTED_VALUE"""),3.0)</f>
        <v>3</v>
      </c>
      <c r="B258" s="36" t="str">
        <f>IFERROR(__xludf.DUMMYFUNCTION("""COMPUTED_VALUE"""),"Tina Hanson")</f>
        <v>Tina Hanson</v>
      </c>
      <c r="C258" s="132">
        <f>IFERROR(__xludf.DUMMYFUNCTION("""COMPUTED_VALUE"""),5.0)</f>
        <v>5</v>
      </c>
      <c r="D258" s="132">
        <f>IFERROR(__xludf.DUMMYFUNCTION("""COMPUTED_VALUE"""),5.0)</f>
        <v>5</v>
      </c>
      <c r="E258" s="132">
        <f>IFERROR(__xludf.DUMMYFUNCTION("""COMPUTED_VALUE"""),4.0)</f>
        <v>4</v>
      </c>
      <c r="F258" s="132">
        <f>IFERROR(__xludf.DUMMYFUNCTION("""COMPUTED_VALUE"""),14.0)</f>
        <v>14</v>
      </c>
      <c r="G258" s="132">
        <f>IFERROR(__xludf.DUMMYFUNCTION("""COMPUTED_VALUE"""),0.0)</f>
        <v>0</v>
      </c>
    </row>
    <row r="259">
      <c r="A259" s="133">
        <f>IFERROR(__xludf.DUMMYFUNCTION("""COMPUTED_VALUE"""),4.0)</f>
        <v>4</v>
      </c>
      <c r="B259" s="134" t="str">
        <f>IFERROR(__xludf.DUMMYFUNCTION("""COMPUTED_VALUE"""),"Jaya Sogata")</f>
        <v>Jaya Sogata</v>
      </c>
      <c r="C259" s="135">
        <f>IFERROR(__xludf.DUMMYFUNCTION("""COMPUTED_VALUE"""),6.0)</f>
        <v>6</v>
      </c>
      <c r="D259" s="135">
        <f>IFERROR(__xludf.DUMMYFUNCTION("""COMPUTED_VALUE"""),6.0)</f>
        <v>6</v>
      </c>
      <c r="E259" s="135">
        <f>IFERROR(__xludf.DUMMYFUNCTION("""COMPUTED_VALUE"""),6.0)</f>
        <v>6</v>
      </c>
      <c r="F259" s="135">
        <f>IFERROR(__xludf.DUMMYFUNCTION("""COMPUTED_VALUE"""),18.0)</f>
        <v>18</v>
      </c>
      <c r="G259" s="135">
        <f>IFERROR(__xludf.DUMMYFUNCTION("""COMPUTED_VALUE"""),2.0)</f>
        <v>2</v>
      </c>
    </row>
    <row r="260">
      <c r="A260" s="133">
        <f>IFERROR(__xludf.DUMMYFUNCTION("""COMPUTED_VALUE"""),4.0)</f>
        <v>4</v>
      </c>
      <c r="B260" s="134" t="str">
        <f>IFERROR(__xludf.DUMMYFUNCTION("""COMPUTED_VALUE"""),"Wayne Liu")</f>
        <v>Wayne Liu</v>
      </c>
      <c r="C260" s="135">
        <f>IFERROR(__xludf.DUMMYFUNCTION("""COMPUTED_VALUE"""),3.0)</f>
        <v>3</v>
      </c>
      <c r="D260" s="135">
        <f>IFERROR(__xludf.DUMMYFUNCTION("""COMPUTED_VALUE"""),1.0)</f>
        <v>1</v>
      </c>
      <c r="E260" s="135">
        <f>IFERROR(__xludf.DUMMYFUNCTION("""COMPUTED_VALUE"""),6.0)</f>
        <v>6</v>
      </c>
      <c r="F260" s="135">
        <f>IFERROR(__xludf.DUMMYFUNCTION("""COMPUTED_VALUE"""),10.0)</f>
        <v>10</v>
      </c>
      <c r="G260" s="135">
        <f>IFERROR(__xludf.DUMMYFUNCTION("""COMPUTED_VALUE"""),0.0)</f>
        <v>0</v>
      </c>
    </row>
    <row r="261">
      <c r="A261" s="133">
        <f>IFERROR(__xludf.DUMMYFUNCTION("""COMPUTED_VALUE"""),4.0)</f>
        <v>4</v>
      </c>
      <c r="B261" s="134" t="str">
        <f>IFERROR(__xludf.DUMMYFUNCTION("""COMPUTED_VALUE"""),"Ted Shen")</f>
        <v>Ted Shen</v>
      </c>
      <c r="C261" s="135">
        <f>IFERROR(__xludf.DUMMYFUNCTION("""COMPUTED_VALUE"""),3.0)</f>
        <v>3</v>
      </c>
      <c r="D261" s="135">
        <f>IFERROR(__xludf.DUMMYFUNCTION("""COMPUTED_VALUE"""),6.0)</f>
        <v>6</v>
      </c>
      <c r="E261" s="135">
        <f>IFERROR(__xludf.DUMMYFUNCTION("""COMPUTED_VALUE"""),7.0)</f>
        <v>7</v>
      </c>
      <c r="F261" s="135">
        <f>IFERROR(__xludf.DUMMYFUNCTION("""COMPUTED_VALUE"""),16.0)</f>
        <v>16</v>
      </c>
      <c r="G261" s="135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IFERROR(__xludf.DUMMYFUNCTION("""COMPUTED_VALUE"""),"Sean Chang")</f>
        <v>Sean Chang</v>
      </c>
      <c r="C262" s="135">
        <f>IFERROR(__xludf.DUMMYFUNCTION("""COMPUTED_VALUE"""),6.0)</f>
        <v>6</v>
      </c>
      <c r="D262" s="135">
        <f>IFERROR(__xludf.DUMMYFUNCTION("""COMPUTED_VALUE"""),1.0)</f>
        <v>1</v>
      </c>
      <c r="E262" s="135">
        <f>IFERROR(__xludf.DUMMYFUNCTION("""COMPUTED_VALUE"""),7.0)</f>
        <v>7</v>
      </c>
      <c r="F262" s="135">
        <f>IFERROR(__xludf.DUMMYFUNCTION("""COMPUTED_VALUE"""),14.0)</f>
        <v>14</v>
      </c>
      <c r="G262" s="135">
        <f>IFERROR(__xludf.DUMMYFUNCTION("""COMPUTED_VALUE"""),2.0)</f>
        <v>2</v>
      </c>
    </row>
    <row r="263">
      <c r="A263" s="122">
        <f>IFERROR(__xludf.DUMMYFUNCTION("""COMPUTED_VALUE"""),5.0)</f>
        <v>5</v>
      </c>
      <c r="B263" s="36" t="str">
        <f>IFERROR(__xludf.DUMMYFUNCTION("""COMPUTED_VALUE"""),"Alex Hou")</f>
        <v>Alex Hou</v>
      </c>
      <c r="C263" s="132">
        <f>IFERROR(__xludf.DUMMYFUNCTION("""COMPUTED_VALUE"""),4.0)</f>
        <v>4</v>
      </c>
      <c r="D263" s="132">
        <f>IFERROR(__xludf.DUMMYFUNCTION("""COMPUTED_VALUE"""),3.0)</f>
        <v>3</v>
      </c>
      <c r="E263" s="132">
        <f>IFERROR(__xludf.DUMMYFUNCTION("""COMPUTED_VALUE"""),6.0)</f>
        <v>6</v>
      </c>
      <c r="F263" s="132">
        <f>IFERROR(__xludf.DUMMYFUNCTION("""COMPUTED_VALUE"""),13.0)</f>
        <v>13</v>
      </c>
      <c r="G263" s="132">
        <f>IFERROR(__xludf.DUMMYFUNCTION("""COMPUTED_VALUE"""),1.0)</f>
        <v>1</v>
      </c>
    </row>
    <row r="264">
      <c r="A264" s="122">
        <f>IFERROR(__xludf.DUMMYFUNCTION("""COMPUTED_VALUE"""),5.0)</f>
        <v>5</v>
      </c>
      <c r="B264" s="36" t="str">
        <f>IFERROR(__xludf.DUMMYFUNCTION("""COMPUTED_VALUE"""),"Naveen Raj")</f>
        <v>Naveen Raj</v>
      </c>
      <c r="C264" s="132">
        <f>IFERROR(__xludf.DUMMYFUNCTION("""COMPUTED_VALUE"""),4.0)</f>
        <v>4</v>
      </c>
      <c r="D264" s="132">
        <f>IFERROR(__xludf.DUMMYFUNCTION("""COMPUTED_VALUE"""),6.0)</f>
        <v>6</v>
      </c>
      <c r="E264" s="132">
        <f>IFERROR(__xludf.DUMMYFUNCTION("""COMPUTED_VALUE"""),3.0)</f>
        <v>3</v>
      </c>
      <c r="F264" s="132">
        <f>IFERROR(__xludf.DUMMYFUNCTION("""COMPUTED_VALUE"""),13.0)</f>
        <v>13</v>
      </c>
      <c r="G264" s="132">
        <f>IFERROR(__xludf.DUMMYFUNCTION("""COMPUTED_VALUE"""),1.0)</f>
        <v>1</v>
      </c>
    </row>
    <row r="265">
      <c r="A265" s="122">
        <f>IFERROR(__xludf.DUMMYFUNCTION("""COMPUTED_VALUE"""),5.0)</f>
        <v>5</v>
      </c>
      <c r="B265" s="36" t="str">
        <f>IFERROR(__xludf.DUMMYFUNCTION("""COMPUTED_VALUE"""),"Manuel Rivera")</f>
        <v>Manuel Rivera</v>
      </c>
      <c r="C265" s="132">
        <f>IFERROR(__xludf.DUMMYFUNCTION("""COMPUTED_VALUE"""),6.0)</f>
        <v>6</v>
      </c>
      <c r="D265" s="132">
        <f>IFERROR(__xludf.DUMMYFUNCTION("""COMPUTED_VALUE"""),3.0)</f>
        <v>3</v>
      </c>
      <c r="E265" s="132">
        <f>IFERROR(__xludf.DUMMYFUNCTION("""COMPUTED_VALUE"""),3.0)</f>
        <v>3</v>
      </c>
      <c r="F265" s="132">
        <f>IFERROR(__xludf.DUMMYFUNCTION("""COMPUTED_VALUE"""),12.0)</f>
        <v>12</v>
      </c>
      <c r="G265" s="132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IFERROR(__xludf.DUMMYFUNCTION("""COMPUTED_VALUE"""),"Allen Zhang")</f>
        <v>Allen Zhang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IFERROR(__xludf.DUMMYFUNCTION("""COMPUTED_VALUE"""),18.0)</f>
        <v>18</v>
      </c>
      <c r="G266" s="132">
        <f>IFERROR(__xludf.DUMMYFUNCTION("""COMPUTED_VALUE"""),3.0)</f>
        <v>3</v>
      </c>
    </row>
    <row r="267">
      <c r="A267" s="133">
        <f>IFERROR(__xludf.DUMMYFUNCTION("""COMPUTED_VALUE"""),6.0)</f>
        <v>6</v>
      </c>
      <c r="B267" s="134" t="str">
        <f>IFERROR(__xludf.DUMMYFUNCTION("""COMPUTED_VALUE"""),"Hongyuan Wen")</f>
        <v>Hongyuan Wen</v>
      </c>
      <c r="C267" s="135">
        <f>IFERROR(__xludf.DUMMYFUNCTION("""COMPUTED_VALUE"""),3.0)</f>
        <v>3</v>
      </c>
      <c r="D267" s="135">
        <f>IFERROR(__xludf.DUMMYFUNCTION("""COMPUTED_VALUE"""),4.0)</f>
        <v>4</v>
      </c>
      <c r="E267" s="135">
        <f>IFERROR(__xludf.DUMMYFUNCTION("""COMPUTED_VALUE"""),4.0)</f>
        <v>4</v>
      </c>
      <c r="F267" s="135">
        <f>IFERROR(__xludf.DUMMYFUNCTION("""COMPUTED_VALUE"""),11.0)</f>
        <v>11</v>
      </c>
      <c r="G267" s="135">
        <f>IFERROR(__xludf.DUMMYFUNCTION("""COMPUTED_VALUE"""),0.0)</f>
        <v>0</v>
      </c>
    </row>
    <row r="268">
      <c r="A268" s="133">
        <f>IFERROR(__xludf.DUMMYFUNCTION("""COMPUTED_VALUE"""),6.0)</f>
        <v>6</v>
      </c>
      <c r="B268" s="134" t="str">
        <f>IFERROR(__xludf.DUMMYFUNCTION("""COMPUTED_VALUE"""),"Vinaya Kajla")</f>
        <v>Vinaya Kajla</v>
      </c>
      <c r="C268" s="135">
        <f>IFERROR(__xludf.DUMMYFUNCTION("""COMPUTED_VALUE"""),3.0)</f>
        <v>3</v>
      </c>
      <c r="D268" s="135">
        <f>IFERROR(__xludf.DUMMYFUNCTION("""COMPUTED_VALUE"""),6.0)</f>
        <v>6</v>
      </c>
      <c r="E268" s="135">
        <f>IFERROR(__xludf.DUMMYFUNCTION("""COMPUTED_VALUE"""),6.0)</f>
        <v>6</v>
      </c>
      <c r="F268" s="135">
        <f>IFERROR(__xludf.DUMMYFUNCTION("""COMPUTED_VALUE"""),15.0)</f>
        <v>15</v>
      </c>
      <c r="G268" s="135">
        <f>IFERROR(__xludf.DUMMYFUNCTION("""COMPUTED_VALUE"""),2.0)</f>
        <v>2</v>
      </c>
    </row>
    <row r="269">
      <c r="A269" s="133">
        <f>IFERROR(__xludf.DUMMYFUNCTION("""COMPUTED_VALUE"""),6.0)</f>
        <v>6</v>
      </c>
      <c r="B269" s="134" t="str">
        <f>IFERROR(__xludf.DUMMYFUNCTION("""COMPUTED_VALUE"""),"Coco Yan")</f>
        <v>Coco Yan</v>
      </c>
      <c r="C269" s="135">
        <f>IFERROR(__xludf.DUMMYFUNCTION("""COMPUTED_VALUE"""),6.0)</f>
        <v>6</v>
      </c>
      <c r="D269" s="135">
        <f>IFERROR(__xludf.DUMMYFUNCTION("""COMPUTED_VALUE"""),4.0)</f>
        <v>4</v>
      </c>
      <c r="E269" s="135">
        <f>IFERROR(__xludf.DUMMYFUNCTION("""COMPUTED_VALUE"""),6.0)</f>
        <v>6</v>
      </c>
      <c r="F269" s="135">
        <f>IFERROR(__xludf.DUMMYFUNCTION("""COMPUTED_VALUE"""),16.0)</f>
        <v>16</v>
      </c>
      <c r="G269" s="135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IFERROR(__xludf.DUMMYFUNCTION("""COMPUTED_VALUE"""),"Basudev Thoppai Vidyasankar")</f>
        <v>Basudev Thoppai Vidyasankar</v>
      </c>
      <c r="C270" s="135">
        <f>IFERROR(__xludf.DUMMYFUNCTION("""COMPUTED_VALUE"""),6.0)</f>
        <v>6</v>
      </c>
      <c r="D270" s="135">
        <f>IFERROR(__xludf.DUMMYFUNCTION("""COMPUTED_VALUE"""),6.0)</f>
        <v>6</v>
      </c>
      <c r="E270" s="135">
        <f>IFERROR(__xludf.DUMMYFUNCTION("""COMPUTED_VALUE"""),4.0)</f>
        <v>4</v>
      </c>
      <c r="F270" s="135">
        <f>IFERROR(__xludf.DUMMYFUNCTION("""COMPUTED_VALUE"""),16.0)</f>
        <v>16</v>
      </c>
      <c r="G270" s="135">
        <f>IFERROR(__xludf.DUMMYFUNCTION("""COMPUTED_VALUE"""),2.0)</f>
        <v>2</v>
      </c>
    </row>
    <row r="271">
      <c r="A271" s="122">
        <f>IFERROR(__xludf.DUMMYFUNCTION("""COMPUTED_VALUE"""),7.0)</f>
        <v>7</v>
      </c>
      <c r="B271" s="36" t="str">
        <f>IFERROR(__xludf.DUMMYFUNCTION("""COMPUTED_VALUE"""),"Eric Tan")</f>
        <v>Eric Tan</v>
      </c>
      <c r="C271" s="132">
        <f>IFERROR(__xludf.DUMMYFUNCTION("""COMPUTED_VALUE"""),6.0)</f>
        <v>6</v>
      </c>
      <c r="D271" s="132">
        <f>IFERROR(__xludf.DUMMYFUNCTION("""COMPUTED_VALUE"""),3.0)</f>
        <v>3</v>
      </c>
      <c r="E271" s="132">
        <f>IFERROR(__xludf.DUMMYFUNCTION("""COMPUTED_VALUE"""),1.0)</f>
        <v>1</v>
      </c>
      <c r="F271" s="132">
        <f>IFERROR(__xludf.DUMMYFUNCTION("""COMPUTED_VALUE"""),10.0)</f>
        <v>10</v>
      </c>
      <c r="G271" s="132">
        <f>IFERROR(__xludf.DUMMYFUNCTION("""COMPUTED_VALUE"""),1.0)</f>
        <v>1</v>
      </c>
    </row>
    <row r="272">
      <c r="A272" s="122">
        <f>IFERROR(__xludf.DUMMYFUNCTION("""COMPUTED_VALUE"""),7.0)</f>
        <v>7</v>
      </c>
      <c r="B272" s="36" t="str">
        <f>IFERROR(__xludf.DUMMYFUNCTION("""COMPUTED_VALUE"""),"Nicole Ni")</f>
        <v>Nicole Ni</v>
      </c>
      <c r="C272" s="132">
        <f>IFERROR(__xludf.DUMMYFUNCTION("""COMPUTED_VALUE"""),2.0)</f>
        <v>2</v>
      </c>
      <c r="D272" s="132">
        <f>IFERROR(__xludf.DUMMYFUNCTION("""COMPUTED_VALUE"""),3.0)</f>
        <v>3</v>
      </c>
      <c r="E272" s="132">
        <f>IFERROR(__xludf.DUMMYFUNCTION("""COMPUTED_VALUE"""),6.0)</f>
        <v>6</v>
      </c>
      <c r="F272" s="132">
        <f>IFERROR(__xludf.DUMMYFUNCTION("""COMPUTED_VALUE"""),11.0)</f>
        <v>11</v>
      </c>
      <c r="G272" s="132">
        <f>IFERROR(__xludf.DUMMYFUNCTION("""COMPUTED_VALUE"""),1.0)</f>
        <v>1</v>
      </c>
    </row>
    <row r="273">
      <c r="A273" s="122">
        <f>IFERROR(__xludf.DUMMYFUNCTION("""COMPUTED_VALUE"""),7.0)</f>
        <v>7</v>
      </c>
      <c r="B273" s="36" t="str">
        <f>IFERROR(__xludf.DUMMYFUNCTION("""COMPUTED_VALUE"""),"Camille Jung")</f>
        <v>Camille Jung</v>
      </c>
      <c r="C273" s="132">
        <f>IFERROR(__xludf.DUMMYFUNCTION("""COMPUTED_VALUE"""),2.0)</f>
        <v>2</v>
      </c>
      <c r="D273" s="132">
        <f>IFERROR(__xludf.DUMMYFUNCTION("""COMPUTED_VALUE"""),6.0)</f>
        <v>6</v>
      </c>
      <c r="E273" s="132">
        <f>IFERROR(__xludf.DUMMYFUNCTION("""COMPUTED_VALUE"""),1.0)</f>
        <v>1</v>
      </c>
      <c r="F273" s="132">
        <f>IFERROR(__xludf.DUMMYFUNCTION("""COMPUTED_VALUE"""),9.0)</f>
        <v>9</v>
      </c>
      <c r="G273" s="132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IFERROR(__xludf.DUMMYFUNCTION("""COMPUTED_VALUE"""),"Susanta Mishra")</f>
        <v>Susanta Mishra</v>
      </c>
      <c r="C274" s="132">
        <f>IFERROR(__xludf.DUMMYFUNCTION("""COMPUTED_VALUE"""),6.0)</f>
        <v>6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IFERROR(__xludf.DUMMYFUNCTION("""COMPUTED_VALUE"""),18.0)</f>
        <v>18</v>
      </c>
      <c r="G274" s="132">
        <f>IFERROR(__xludf.DUMMYFUNCTION("""COMPUTED_VALUE"""),3.0)</f>
        <v>3</v>
      </c>
    </row>
    <row r="275">
      <c r="A275" s="133">
        <f>IFERROR(__xludf.DUMMYFUNCTION("""COMPUTED_VALUE"""),8.0)</f>
        <v>8</v>
      </c>
      <c r="B275" s="134" t="str">
        <f>IFERROR(__xludf.DUMMYFUNCTION("""COMPUTED_VALUE"""),"Vicki Martinet")</f>
        <v>Vicki Martinet</v>
      </c>
      <c r="C275" s="135">
        <f>IFERROR(__xludf.DUMMYFUNCTION("""COMPUTED_VALUE"""),6.0)</f>
        <v>6</v>
      </c>
      <c r="D275" s="135">
        <f>IFERROR(__xludf.DUMMYFUNCTION("""COMPUTED_VALUE"""),6.0)</f>
        <v>6</v>
      </c>
      <c r="E275" s="135">
        <f>IFERROR(__xludf.DUMMYFUNCTION("""COMPUTED_VALUE"""),7.0)</f>
        <v>7</v>
      </c>
      <c r="F275" s="135">
        <f>IFERROR(__xludf.DUMMYFUNCTION("""COMPUTED_VALUE"""),19.0)</f>
        <v>19</v>
      </c>
      <c r="G275" s="135">
        <f>IFERROR(__xludf.DUMMYFUNCTION("""COMPUTED_VALUE"""),3.0)</f>
        <v>3</v>
      </c>
    </row>
    <row r="276">
      <c r="A276" s="133">
        <f>IFERROR(__xludf.DUMMYFUNCTION("""COMPUTED_VALUE"""),8.0)</f>
        <v>8</v>
      </c>
      <c r="B276" s="134" t="str">
        <f>IFERROR(__xludf.DUMMYFUNCTION("""COMPUTED_VALUE"""),"Ranjith Doraiswamy")</f>
        <v>Ranjith Doraiswamy</v>
      </c>
      <c r="C276" s="135">
        <f>IFERROR(__xludf.DUMMYFUNCTION("""COMPUTED_VALUE"""),2.0)</f>
        <v>2</v>
      </c>
      <c r="D276" s="135">
        <f>IFERROR(__xludf.DUMMYFUNCTION("""COMPUTED_VALUE"""),3.0)</f>
        <v>3</v>
      </c>
      <c r="E276" s="135">
        <f>IFERROR(__xludf.DUMMYFUNCTION("""COMPUTED_VALUE"""),7.0)</f>
        <v>7</v>
      </c>
      <c r="F276" s="135">
        <f>IFERROR(__xludf.DUMMYFUNCTION("""COMPUTED_VALUE"""),12.0)</f>
        <v>12</v>
      </c>
      <c r="G276" s="135">
        <f>IFERROR(__xludf.DUMMYFUNCTION("""COMPUTED_VALUE"""),1.0)</f>
        <v>1</v>
      </c>
    </row>
    <row r="277">
      <c r="A277" s="133">
        <f>IFERROR(__xludf.DUMMYFUNCTION("""COMPUTED_VALUE"""),8.0)</f>
        <v>8</v>
      </c>
      <c r="B277" s="134" t="str">
        <f>IFERROR(__xludf.DUMMYFUNCTION("""COMPUTED_VALUE"""),"Saravanan Veerapandian")</f>
        <v>Saravanan Veerapandian</v>
      </c>
      <c r="C277" s="135">
        <f>IFERROR(__xludf.DUMMYFUNCTION("""COMPUTED_VALUE"""),2.0)</f>
        <v>2</v>
      </c>
      <c r="D277" s="135">
        <f>IFERROR(__xludf.DUMMYFUNCTION("""COMPUTED_VALUE"""),6.0)</f>
        <v>6</v>
      </c>
      <c r="E277" s="135">
        <f>IFERROR(__xludf.DUMMYFUNCTION("""COMPUTED_VALUE"""),5.0)</f>
        <v>5</v>
      </c>
      <c r="F277" s="135">
        <f>IFERROR(__xludf.DUMMYFUNCTION("""COMPUTED_VALUE"""),13.0)</f>
        <v>13</v>
      </c>
      <c r="G277" s="135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IFERROR(__xludf.DUMMYFUNCTION("""COMPUTED_VALUE"""),"Rajesh Dorairaj")</f>
        <v>Rajesh Dorairaj</v>
      </c>
      <c r="C278" s="135">
        <f>IFERROR(__xludf.DUMMYFUNCTION("""COMPUTED_VALUE"""),6.0)</f>
        <v>6</v>
      </c>
      <c r="D278" s="135">
        <f>IFERROR(__xludf.DUMMYFUNCTION("""COMPUTED_VALUE"""),3.0)</f>
        <v>3</v>
      </c>
      <c r="E278" s="135">
        <f>IFERROR(__xludf.DUMMYFUNCTION("""COMPUTED_VALUE"""),5.0)</f>
        <v>5</v>
      </c>
      <c r="F278" s="135">
        <f>IFERROR(__xludf.DUMMYFUNCTION("""COMPUTED_VALUE"""),14.0)</f>
        <v>14</v>
      </c>
      <c r="G278" s="135">
        <f>IFERROR(__xludf.DUMMYFUNCTION("""COMPUTED_VALUE"""),1.0)</f>
        <v>1</v>
      </c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5"/>
      <c r="C291" s="5"/>
      <c r="D291" s="5"/>
      <c r="E291" s="5"/>
      <c r="F291" s="5"/>
    </row>
    <row r="292">
      <c r="A292" s="5"/>
      <c r="C292" s="5"/>
      <c r="D292" s="5"/>
      <c r="E292" s="5"/>
      <c r="F292" s="5"/>
    </row>
    <row r="293">
      <c r="A293" s="5"/>
      <c r="C293" s="5"/>
      <c r="D293" s="5"/>
      <c r="E293" s="5"/>
      <c r="F293" s="5"/>
    </row>
    <row r="294">
      <c r="A294" s="43"/>
      <c r="B294" s="134" t="s">
        <v>171</v>
      </c>
      <c r="C294" s="5"/>
      <c r="D294" s="115" t="s">
        <v>177</v>
      </c>
      <c r="E294" s="25"/>
      <c r="F294" s="26"/>
      <c r="H294" s="115" t="s">
        <v>176</v>
      </c>
      <c r="I294" s="25"/>
      <c r="J294" s="26"/>
    </row>
    <row r="295">
      <c r="A295" s="136">
        <v>1.0</v>
      </c>
      <c r="B295" s="137" t="str">
        <f>IFERROR(__xludf.DUMMYFUNCTION("QUERY(B5:R79,""Select B where R = 'X' order by B asc"",0)"),"Alejandro Mejia")</f>
        <v>Alejandro Mejia</v>
      </c>
      <c r="C295" s="138">
        <f t="shared" ref="C295:C359" si="101">A295</f>
        <v>1</v>
      </c>
      <c r="D295" s="139" t="str">
        <f>IFERROR(__xludf.DUMMYFUNCTION("QUERY(B5:R79,""Select B where R = '' order by B asc"",0)"),"Adrian Tay")</f>
        <v>Adrian Tay</v>
      </c>
      <c r="E295" s="25"/>
      <c r="F295" s="26"/>
      <c r="G295" s="138">
        <f t="shared" ref="G295:G359" si="102">C295</f>
        <v>1</v>
      </c>
      <c r="H295" s="139" t="str">
        <f>IFERROR(__xludf.DUMMYFUNCTION("QUERY(B5:R79,""Select B where R = 'N' order by B asc"",0)"),"Balaji Alahari")</f>
        <v>Balaji Alahari</v>
      </c>
      <c r="I295" s="25"/>
      <c r="J295" s="26"/>
    </row>
    <row r="296">
      <c r="A296" s="136">
        <f t="shared" ref="A296:A359" si="103">A295+1</f>
        <v>2</v>
      </c>
      <c r="B296" s="137" t="str">
        <f>IFERROR(__xludf.DUMMYFUNCTION("""COMPUTED_VALUE"""),"Alex Hou")</f>
        <v>Alex Hou</v>
      </c>
      <c r="C296" s="138">
        <f t="shared" si="101"/>
        <v>2</v>
      </c>
      <c r="D296" s="139" t="str">
        <f>IFERROR(__xludf.DUMMYFUNCTION("""COMPUTED_VALUE"""),"Art Hui")</f>
        <v>Art Hui</v>
      </c>
      <c r="E296" s="25"/>
      <c r="F296" s="26"/>
      <c r="G296" s="138">
        <f t="shared" si="102"/>
        <v>2</v>
      </c>
      <c r="H296" s="139" t="str">
        <f>IFERROR(__xludf.DUMMYFUNCTION("""COMPUTED_VALUE"""),"Leigh-Anh Nguyen")</f>
        <v>Leigh-Anh Nguyen</v>
      </c>
      <c r="I296" s="25"/>
      <c r="J296" s="26"/>
    </row>
    <row r="297">
      <c r="A297" s="136">
        <f t="shared" si="103"/>
        <v>3</v>
      </c>
      <c r="B297" s="137" t="str">
        <f>IFERROR(__xludf.DUMMYFUNCTION("""COMPUTED_VALUE"""),"Allen Zhang")</f>
        <v>Allen Zhang</v>
      </c>
      <c r="C297" s="138">
        <f t="shared" si="101"/>
        <v>3</v>
      </c>
      <c r="D297" s="139" t="str">
        <f>IFERROR(__xludf.DUMMYFUNCTION("""COMPUTED_VALUE"""),"Barathi Sundaram")</f>
        <v>Barathi Sundaram</v>
      </c>
      <c r="E297" s="25"/>
      <c r="F297" s="26"/>
      <c r="G297" s="138">
        <f t="shared" si="102"/>
        <v>3</v>
      </c>
      <c r="H297" s="139"/>
      <c r="I297" s="25"/>
      <c r="J297" s="26"/>
    </row>
    <row r="298">
      <c r="A298" s="136">
        <f t="shared" si="103"/>
        <v>4</v>
      </c>
      <c r="B298" s="137" t="str">
        <f>IFERROR(__xludf.DUMMYFUNCTION("""COMPUTED_VALUE"""),"Andrew Wen")</f>
        <v>Andrew Wen</v>
      </c>
      <c r="C298" s="138">
        <f t="shared" si="101"/>
        <v>4</v>
      </c>
      <c r="D298" s="139" t="str">
        <f>IFERROR(__xludf.DUMMYFUNCTION("""COMPUTED_VALUE"""),"Charles Choi")</f>
        <v>Charles Choi</v>
      </c>
      <c r="E298" s="25"/>
      <c r="F298" s="26"/>
      <c r="G298" s="138">
        <f t="shared" si="102"/>
        <v>4</v>
      </c>
      <c r="H298" s="139"/>
      <c r="I298" s="25"/>
      <c r="J298" s="26"/>
    </row>
    <row r="299">
      <c r="A299" s="136">
        <f t="shared" si="103"/>
        <v>5</v>
      </c>
      <c r="B299" s="137" t="str">
        <f>IFERROR(__xludf.DUMMYFUNCTION("""COMPUTED_VALUE"""),"Andrew Yao")</f>
        <v>Andrew Yao</v>
      </c>
      <c r="C299" s="138">
        <f t="shared" si="101"/>
        <v>5</v>
      </c>
      <c r="D299" s="139" t="str">
        <f>IFERROR(__xludf.DUMMYFUNCTION("""COMPUTED_VALUE"""),"Cid Macaraeg")</f>
        <v>Cid Macaraeg</v>
      </c>
      <c r="E299" s="25"/>
      <c r="F299" s="26"/>
      <c r="G299" s="138">
        <f t="shared" si="102"/>
        <v>5</v>
      </c>
      <c r="H299" s="139"/>
      <c r="I299" s="25"/>
      <c r="J299" s="26"/>
    </row>
    <row r="300">
      <c r="A300" s="136">
        <f t="shared" si="103"/>
        <v>6</v>
      </c>
      <c r="B300" s="137" t="str">
        <f>IFERROR(__xludf.DUMMYFUNCTION("""COMPUTED_VALUE"""),"Basudev Thoppai Vidyasankar")</f>
        <v>Basudev Thoppai Vidyasankar</v>
      </c>
      <c r="C300" s="138">
        <f t="shared" si="101"/>
        <v>6</v>
      </c>
      <c r="D300" s="139" t="str">
        <f>IFERROR(__xludf.DUMMYFUNCTION("""COMPUTED_VALUE"""),"Erik Hoeckmann")</f>
        <v>Erik Hoeckmann</v>
      </c>
      <c r="E300" s="25"/>
      <c r="F300" s="26"/>
      <c r="G300" s="138">
        <f t="shared" si="102"/>
        <v>6</v>
      </c>
      <c r="H300" s="139"/>
      <c r="I300" s="25"/>
      <c r="J300" s="26"/>
    </row>
    <row r="301">
      <c r="A301" s="136">
        <f t="shared" si="103"/>
        <v>7</v>
      </c>
      <c r="B301" s="137" t="str">
        <f>IFERROR(__xludf.DUMMYFUNCTION("""COMPUTED_VALUE"""),"Camille Jung")</f>
        <v>Camille Jung</v>
      </c>
      <c r="C301" s="138">
        <f t="shared" si="101"/>
        <v>7</v>
      </c>
      <c r="D301" s="139" t="str">
        <f>IFERROR(__xludf.DUMMYFUNCTION("""COMPUTED_VALUE"""),"Herman Au")</f>
        <v>Herman Au</v>
      </c>
      <c r="E301" s="25"/>
      <c r="F301" s="26"/>
      <c r="G301" s="138">
        <f t="shared" si="102"/>
        <v>7</v>
      </c>
      <c r="H301" s="139"/>
      <c r="I301" s="25"/>
      <c r="J301" s="26"/>
    </row>
    <row r="302">
      <c r="A302" s="136">
        <f t="shared" si="103"/>
        <v>8</v>
      </c>
      <c r="B302" s="137" t="str">
        <f>IFERROR(__xludf.DUMMYFUNCTION("""COMPUTED_VALUE"""),"Chinna Ponnaganti")</f>
        <v>Chinna Ponnaganti</v>
      </c>
      <c r="C302" s="138">
        <f t="shared" si="101"/>
        <v>8</v>
      </c>
      <c r="D302" s="139" t="str">
        <f>IFERROR(__xludf.DUMMYFUNCTION("""COMPUTED_VALUE"""),"Hubert J Sung")</f>
        <v>Hubert J Sung</v>
      </c>
      <c r="E302" s="25"/>
      <c r="F302" s="26"/>
      <c r="G302" s="138">
        <f t="shared" si="102"/>
        <v>8</v>
      </c>
      <c r="H302" s="139"/>
      <c r="I302" s="25"/>
      <c r="J302" s="26"/>
    </row>
    <row r="303">
      <c r="A303" s="136">
        <f t="shared" si="103"/>
        <v>9</v>
      </c>
      <c r="B303" s="137" t="str">
        <f>IFERROR(__xludf.DUMMYFUNCTION("""COMPUTED_VALUE"""),"Coco Yan")</f>
        <v>Coco Yan</v>
      </c>
      <c r="C303" s="138">
        <f t="shared" si="101"/>
        <v>9</v>
      </c>
      <c r="D303" s="139" t="str">
        <f>IFERROR(__xludf.DUMMYFUNCTION("""COMPUTED_VALUE"""),"James Phan")</f>
        <v>James Phan</v>
      </c>
      <c r="E303" s="25"/>
      <c r="F303" s="26"/>
      <c r="G303" s="138">
        <f t="shared" si="102"/>
        <v>9</v>
      </c>
      <c r="H303" s="139"/>
      <c r="I303" s="25"/>
      <c r="J303" s="26"/>
    </row>
    <row r="304">
      <c r="A304" s="136">
        <f t="shared" si="103"/>
        <v>10</v>
      </c>
      <c r="B304" s="137" t="str">
        <f>IFERROR(__xludf.DUMMYFUNCTION("""COMPUTED_VALUE"""),"Darren Wong")</f>
        <v>Darren Wong</v>
      </c>
      <c r="C304" s="138">
        <f t="shared" si="101"/>
        <v>10</v>
      </c>
      <c r="D304" s="139" t="str">
        <f>IFERROR(__xludf.DUMMYFUNCTION("""COMPUTED_VALUE"""),"Jaya Sogata")</f>
        <v>Jaya Sogata</v>
      </c>
      <c r="E304" s="25"/>
      <c r="F304" s="26"/>
      <c r="G304" s="138">
        <f t="shared" si="102"/>
        <v>10</v>
      </c>
      <c r="H304" s="139"/>
      <c r="I304" s="25"/>
      <c r="J304" s="26"/>
    </row>
    <row r="305">
      <c r="A305" s="136">
        <f t="shared" si="103"/>
        <v>11</v>
      </c>
      <c r="B305" s="137" t="str">
        <f>IFERROR(__xludf.DUMMYFUNCTION("""COMPUTED_VALUE"""),"David Shin")</f>
        <v>David Shin</v>
      </c>
      <c r="C305" s="138">
        <f t="shared" si="101"/>
        <v>11</v>
      </c>
      <c r="D305" s="139" t="str">
        <f>IFERROR(__xludf.DUMMYFUNCTION("""COMPUTED_VALUE"""),"Jordan Tatang")</f>
        <v>Jordan Tatang</v>
      </c>
      <c r="E305" s="25"/>
      <c r="F305" s="26"/>
      <c r="G305" s="138">
        <f t="shared" si="102"/>
        <v>11</v>
      </c>
      <c r="H305" s="139"/>
      <c r="I305" s="25"/>
      <c r="J305" s="26"/>
    </row>
    <row r="306">
      <c r="A306" s="136">
        <f t="shared" si="103"/>
        <v>12</v>
      </c>
      <c r="B306" s="137" t="str">
        <f>IFERROR(__xludf.DUMMYFUNCTION("""COMPUTED_VALUE"""),"Elayaraja Thangaraj")</f>
        <v>Elayaraja Thangaraj</v>
      </c>
      <c r="C306" s="138">
        <f t="shared" si="101"/>
        <v>12</v>
      </c>
      <c r="D306" s="139" t="str">
        <f>IFERROR(__xludf.DUMMYFUNCTION("""COMPUTED_VALUE"""),"Lenin Belangonda ")</f>
        <v>Lenin Belangonda </v>
      </c>
      <c r="E306" s="25"/>
      <c r="F306" s="26"/>
      <c r="G306" s="138">
        <f t="shared" si="102"/>
        <v>12</v>
      </c>
      <c r="H306" s="139"/>
      <c r="I306" s="25"/>
      <c r="J306" s="26"/>
    </row>
    <row r="307">
      <c r="A307" s="136">
        <f t="shared" si="103"/>
        <v>13</v>
      </c>
      <c r="B307" s="137" t="str">
        <f>IFERROR(__xludf.DUMMYFUNCTION("""COMPUTED_VALUE"""),"Eric Pan")</f>
        <v>Eric Pan</v>
      </c>
      <c r="C307" s="138">
        <f t="shared" si="101"/>
        <v>13</v>
      </c>
      <c r="D307" s="139" t="str">
        <f>IFERROR(__xludf.DUMMYFUNCTION("""COMPUTED_VALUE"""),"Manuel Rivera")</f>
        <v>Manuel Rivera</v>
      </c>
      <c r="E307" s="25"/>
      <c r="F307" s="26"/>
      <c r="G307" s="138">
        <f t="shared" si="102"/>
        <v>13</v>
      </c>
      <c r="H307" s="139"/>
      <c r="I307" s="25"/>
      <c r="J307" s="26"/>
    </row>
    <row r="308">
      <c r="A308" s="136">
        <f t="shared" si="103"/>
        <v>14</v>
      </c>
      <c r="B308" s="137" t="str">
        <f>IFERROR(__xludf.DUMMYFUNCTION("""COMPUTED_VALUE"""),"Eric Tan")</f>
        <v>Eric Tan</v>
      </c>
      <c r="C308" s="138">
        <f t="shared" si="101"/>
        <v>14</v>
      </c>
      <c r="D308" s="139" t="str">
        <f>IFERROR(__xludf.DUMMYFUNCTION("""COMPUTED_VALUE"""),"Mauricio Palacios")</f>
        <v>Mauricio Palacios</v>
      </c>
      <c r="E308" s="25"/>
      <c r="F308" s="26"/>
      <c r="G308" s="138">
        <f t="shared" si="102"/>
        <v>14</v>
      </c>
      <c r="H308" s="139"/>
      <c r="I308" s="25"/>
      <c r="J308" s="26"/>
    </row>
    <row r="309">
      <c r="A309" s="136">
        <f t="shared" si="103"/>
        <v>15</v>
      </c>
      <c r="B309" s="137" t="str">
        <f>IFERROR(__xludf.DUMMYFUNCTION("""COMPUTED_VALUE"""),"Ethan Gu")</f>
        <v>Ethan Gu</v>
      </c>
      <c r="C309" s="138">
        <f t="shared" si="101"/>
        <v>15</v>
      </c>
      <c r="D309" s="139" t="str">
        <f>IFERROR(__xludf.DUMMYFUNCTION("""COMPUTED_VALUE"""),"Pulkit Mathur")</f>
        <v>Pulkit Mathur</v>
      </c>
      <c r="E309" s="25"/>
      <c r="F309" s="26"/>
      <c r="G309" s="138">
        <f t="shared" si="102"/>
        <v>15</v>
      </c>
      <c r="H309" s="139"/>
      <c r="I309" s="25"/>
      <c r="J309" s="26"/>
    </row>
    <row r="310">
      <c r="A310" s="136">
        <f t="shared" si="103"/>
        <v>16</v>
      </c>
      <c r="B310" s="137" t="str">
        <f>IFERROR(__xludf.DUMMYFUNCTION("""COMPUTED_VALUE"""),"Frank Moon")</f>
        <v>Frank Moon</v>
      </c>
      <c r="C310" s="138">
        <f t="shared" si="101"/>
        <v>16</v>
      </c>
      <c r="D310" s="139" t="str">
        <f>IFERROR(__xludf.DUMMYFUNCTION("""COMPUTED_VALUE"""),"Rajasekar Ramasamy")</f>
        <v>Rajasekar Ramasamy</v>
      </c>
      <c r="E310" s="25"/>
      <c r="F310" s="26"/>
      <c r="G310" s="138">
        <f t="shared" si="102"/>
        <v>16</v>
      </c>
      <c r="H310" s="139"/>
      <c r="I310" s="25"/>
      <c r="J310" s="26"/>
    </row>
    <row r="311">
      <c r="A311" s="136">
        <f t="shared" si="103"/>
        <v>17</v>
      </c>
      <c r="B311" s="137" t="str">
        <f>IFERROR(__xludf.DUMMYFUNCTION("""COMPUTED_VALUE"""),"Hongyuan Wen")</f>
        <v>Hongyuan Wen</v>
      </c>
      <c r="C311" s="138">
        <f t="shared" si="101"/>
        <v>17</v>
      </c>
      <c r="D311" s="139" t="str">
        <f>IFERROR(__xludf.DUMMYFUNCTION("""COMPUTED_VALUE"""),"Robert Chang")</f>
        <v>Robert Chang</v>
      </c>
      <c r="E311" s="25"/>
      <c r="F311" s="26"/>
      <c r="G311" s="138">
        <f t="shared" si="102"/>
        <v>17</v>
      </c>
      <c r="H311" s="139"/>
      <c r="I311" s="25"/>
      <c r="J311" s="26"/>
    </row>
    <row r="312">
      <c r="A312" s="136">
        <f t="shared" si="103"/>
        <v>18</v>
      </c>
      <c r="B312" s="137" t="str">
        <f>IFERROR(__xludf.DUMMYFUNCTION("""COMPUTED_VALUE"""),"Jim Miao")</f>
        <v>Jim Miao</v>
      </c>
      <c r="C312" s="138">
        <f t="shared" si="101"/>
        <v>18</v>
      </c>
      <c r="D312" s="139" t="str">
        <f>IFERROR(__xludf.DUMMYFUNCTION("""COMPUTED_VALUE"""),"Ruben Ron")</f>
        <v>Ruben Ron</v>
      </c>
      <c r="E312" s="25"/>
      <c r="F312" s="26"/>
      <c r="G312" s="138">
        <f t="shared" si="102"/>
        <v>18</v>
      </c>
      <c r="H312" s="139"/>
      <c r="I312" s="25"/>
      <c r="J312" s="26"/>
    </row>
    <row r="313">
      <c r="A313" s="136">
        <f t="shared" si="103"/>
        <v>19</v>
      </c>
      <c r="B313" s="137" t="str">
        <f>IFERROR(__xludf.DUMMYFUNCTION("""COMPUTED_VALUE"""),"Jimmy Awolesi")</f>
        <v>Jimmy Awolesi</v>
      </c>
      <c r="C313" s="138">
        <f t="shared" si="101"/>
        <v>19</v>
      </c>
      <c r="D313" s="139" t="str">
        <f>IFERROR(__xludf.DUMMYFUNCTION("""COMPUTED_VALUE"""),"Sandy Weyant")</f>
        <v>Sandy Weyant</v>
      </c>
      <c r="E313" s="25"/>
      <c r="F313" s="26"/>
      <c r="G313" s="138">
        <f t="shared" si="102"/>
        <v>19</v>
      </c>
      <c r="H313" s="139"/>
      <c r="I313" s="25"/>
      <c r="J313" s="26"/>
    </row>
    <row r="314">
      <c r="A314" s="136">
        <f t="shared" si="103"/>
        <v>20</v>
      </c>
      <c r="B314" s="137" t="str">
        <f>IFERROR(__xludf.DUMMYFUNCTION("""COMPUTED_VALUE"""),"Joe Luzzi")</f>
        <v>Joe Luzzi</v>
      </c>
      <c r="C314" s="138">
        <f t="shared" si="101"/>
        <v>20</v>
      </c>
      <c r="D314" s="139" t="str">
        <f>IFERROR(__xludf.DUMMYFUNCTION("""COMPUTED_VALUE"""),"Scott Li")</f>
        <v>Scott Li</v>
      </c>
      <c r="E314" s="25"/>
      <c r="F314" s="26"/>
      <c r="G314" s="138">
        <f t="shared" si="102"/>
        <v>20</v>
      </c>
      <c r="H314" s="139"/>
      <c r="I314" s="25"/>
      <c r="J314" s="26"/>
    </row>
    <row r="315">
      <c r="A315" s="136">
        <f t="shared" si="103"/>
        <v>21</v>
      </c>
      <c r="B315" s="137" t="str">
        <f>IFERROR(__xludf.DUMMYFUNCTION("""COMPUTED_VALUE"""),"Jonathan Phan")</f>
        <v>Jonathan Phan</v>
      </c>
      <c r="C315" s="138">
        <f t="shared" si="101"/>
        <v>21</v>
      </c>
      <c r="D315" s="139" t="str">
        <f>IFERROR(__xludf.DUMMYFUNCTION("""COMPUTED_VALUE"""),"Suleman Alidina")</f>
        <v>Suleman Alidina</v>
      </c>
      <c r="E315" s="25"/>
      <c r="F315" s="26"/>
      <c r="G315" s="138">
        <f t="shared" si="102"/>
        <v>21</v>
      </c>
      <c r="H315" s="139"/>
      <c r="I315" s="25"/>
      <c r="J315" s="26"/>
    </row>
    <row r="316">
      <c r="A316" s="136">
        <f t="shared" si="103"/>
        <v>22</v>
      </c>
      <c r="B316" s="137" t="str">
        <f>IFERROR(__xludf.DUMMYFUNCTION("""COMPUTED_VALUE"""),"Joyce Zhu")</f>
        <v>Joyce Zhu</v>
      </c>
      <c r="C316" s="138">
        <f t="shared" si="101"/>
        <v>22</v>
      </c>
      <c r="D316" s="139" t="str">
        <f>IFERROR(__xludf.DUMMYFUNCTION("""COMPUTED_VALUE"""),"Tom Le")</f>
        <v>Tom Le</v>
      </c>
      <c r="E316" s="25"/>
      <c r="F316" s="26"/>
      <c r="G316" s="138">
        <f t="shared" si="102"/>
        <v>22</v>
      </c>
      <c r="H316" s="139"/>
      <c r="I316" s="25"/>
      <c r="J316" s="26"/>
    </row>
    <row r="317">
      <c r="A317" s="136">
        <f t="shared" si="103"/>
        <v>23</v>
      </c>
      <c r="B317" s="137" t="str">
        <f>IFERROR(__xludf.DUMMYFUNCTION("""COMPUTED_VALUE"""),"Kumar Palakeel")</f>
        <v>Kumar Palakeel</v>
      </c>
      <c r="C317" s="138">
        <f t="shared" si="101"/>
        <v>23</v>
      </c>
      <c r="D317" s="139"/>
      <c r="E317" s="25"/>
      <c r="F317" s="26"/>
      <c r="G317" s="138">
        <f t="shared" si="102"/>
        <v>23</v>
      </c>
      <c r="H317" s="139"/>
      <c r="I317" s="25"/>
      <c r="J317" s="26"/>
    </row>
    <row r="318">
      <c r="A318" s="136">
        <f t="shared" si="103"/>
        <v>24</v>
      </c>
      <c r="B318" s="137" t="str">
        <f>IFERROR(__xludf.DUMMYFUNCTION("""COMPUTED_VALUE"""),"Lam Bui")</f>
        <v>Lam Bui</v>
      </c>
      <c r="C318" s="138">
        <f t="shared" si="101"/>
        <v>24</v>
      </c>
      <c r="D318" s="139"/>
      <c r="E318" s="25"/>
      <c r="F318" s="26"/>
      <c r="G318" s="138">
        <f t="shared" si="102"/>
        <v>24</v>
      </c>
      <c r="H318" s="139"/>
      <c r="I318" s="25"/>
      <c r="J318" s="26"/>
    </row>
    <row r="319">
      <c r="A319" s="136">
        <f t="shared" si="103"/>
        <v>25</v>
      </c>
      <c r="B319" s="137" t="str">
        <f>IFERROR(__xludf.DUMMYFUNCTION("""COMPUTED_VALUE"""),"Lloyd Sagar")</f>
        <v>Lloyd Sagar</v>
      </c>
      <c r="C319" s="138">
        <f t="shared" si="101"/>
        <v>25</v>
      </c>
      <c r="D319" s="139"/>
      <c r="E319" s="25"/>
      <c r="F319" s="26"/>
      <c r="G319" s="138">
        <f t="shared" si="102"/>
        <v>25</v>
      </c>
      <c r="H319" s="139"/>
      <c r="I319" s="25"/>
      <c r="J319" s="26"/>
    </row>
    <row r="320">
      <c r="A320" s="136">
        <f t="shared" si="103"/>
        <v>26</v>
      </c>
      <c r="B320" s="137" t="str">
        <f>IFERROR(__xludf.DUMMYFUNCTION("""COMPUTED_VALUE"""),"Luis Hsu")</f>
        <v>Luis Hsu</v>
      </c>
      <c r="C320" s="138">
        <f t="shared" si="101"/>
        <v>26</v>
      </c>
      <c r="D320" s="139"/>
      <c r="E320" s="25"/>
      <c r="F320" s="26"/>
      <c r="G320" s="138">
        <f t="shared" si="102"/>
        <v>26</v>
      </c>
      <c r="H320" s="139"/>
      <c r="I320" s="25"/>
      <c r="J320" s="26"/>
    </row>
    <row r="321">
      <c r="A321" s="136">
        <f t="shared" si="103"/>
        <v>27</v>
      </c>
      <c r="B321" s="137" t="str">
        <f>IFERROR(__xludf.DUMMYFUNCTION("""COMPUTED_VALUE"""),"Manish Anand")</f>
        <v>Manish Anand</v>
      </c>
      <c r="C321" s="138">
        <f t="shared" si="101"/>
        <v>27</v>
      </c>
      <c r="D321" s="139"/>
      <c r="E321" s="25"/>
      <c r="F321" s="26"/>
      <c r="G321" s="138">
        <f t="shared" si="102"/>
        <v>27</v>
      </c>
      <c r="H321" s="139"/>
      <c r="I321" s="25"/>
      <c r="J321" s="26"/>
    </row>
    <row r="322">
      <c r="A322" s="136">
        <f t="shared" si="103"/>
        <v>28</v>
      </c>
      <c r="B322" s="137" t="str">
        <f>IFERROR(__xludf.DUMMYFUNCTION("""COMPUTED_VALUE"""),"Matthew Huang")</f>
        <v>Matthew Huang</v>
      </c>
      <c r="C322" s="138">
        <f t="shared" si="101"/>
        <v>28</v>
      </c>
      <c r="D322" s="139"/>
      <c r="E322" s="25"/>
      <c r="F322" s="26"/>
      <c r="G322" s="138">
        <f t="shared" si="102"/>
        <v>28</v>
      </c>
      <c r="H322" s="139"/>
      <c r="I322" s="25"/>
      <c r="J322" s="26"/>
    </row>
    <row r="323">
      <c r="A323" s="136">
        <f t="shared" si="103"/>
        <v>29</v>
      </c>
      <c r="B323" s="137" t="str">
        <f>IFERROR(__xludf.DUMMYFUNCTION("""COMPUTED_VALUE"""),"Naveen Raj")</f>
        <v>Naveen Raj</v>
      </c>
      <c r="C323" s="138">
        <f t="shared" si="101"/>
        <v>29</v>
      </c>
      <c r="D323" s="139"/>
      <c r="E323" s="25"/>
      <c r="F323" s="26"/>
      <c r="G323" s="138">
        <f t="shared" si="102"/>
        <v>29</v>
      </c>
      <c r="H323" s="139"/>
      <c r="I323" s="25"/>
      <c r="J323" s="26"/>
    </row>
    <row r="324">
      <c r="A324" s="136">
        <f t="shared" si="103"/>
        <v>30</v>
      </c>
      <c r="B324" s="137" t="str">
        <f>IFERROR(__xludf.DUMMYFUNCTION("""COMPUTED_VALUE"""),"Nicole Ni")</f>
        <v>Nicole Ni</v>
      </c>
      <c r="C324" s="138">
        <f t="shared" si="101"/>
        <v>30</v>
      </c>
      <c r="D324" s="139"/>
      <c r="E324" s="25"/>
      <c r="F324" s="26"/>
      <c r="G324" s="138">
        <f t="shared" si="102"/>
        <v>30</v>
      </c>
      <c r="H324" s="139"/>
      <c r="I324" s="25"/>
      <c r="J324" s="26"/>
    </row>
    <row r="325">
      <c r="A325" s="136">
        <f t="shared" si="103"/>
        <v>31</v>
      </c>
      <c r="B325" s="137" t="str">
        <f>IFERROR(__xludf.DUMMYFUNCTION("""COMPUTED_VALUE"""),"Oscar Bonilla")</f>
        <v>Oscar Bonilla</v>
      </c>
      <c r="C325" s="138">
        <f t="shared" si="101"/>
        <v>31</v>
      </c>
      <c r="D325" s="139"/>
      <c r="E325" s="25"/>
      <c r="F325" s="26"/>
      <c r="G325" s="138">
        <f t="shared" si="102"/>
        <v>31</v>
      </c>
      <c r="H325" s="139"/>
      <c r="I325" s="25"/>
      <c r="J325" s="26"/>
    </row>
    <row r="326">
      <c r="A326" s="136">
        <f t="shared" si="103"/>
        <v>32</v>
      </c>
      <c r="B326" s="137" t="str">
        <f>IFERROR(__xludf.DUMMYFUNCTION("""COMPUTED_VALUE"""),"Pavan Akkimsetty")</f>
        <v>Pavan Akkimsetty</v>
      </c>
      <c r="C326" s="138">
        <f t="shared" si="101"/>
        <v>32</v>
      </c>
      <c r="D326" s="139"/>
      <c r="E326" s="25"/>
      <c r="F326" s="26"/>
      <c r="G326" s="138">
        <f t="shared" si="102"/>
        <v>32</v>
      </c>
      <c r="H326" s="139"/>
      <c r="I326" s="25"/>
      <c r="J326" s="26"/>
    </row>
    <row r="327">
      <c r="A327" s="136">
        <f t="shared" si="103"/>
        <v>33</v>
      </c>
      <c r="B327" s="137" t="str">
        <f>IFERROR(__xludf.DUMMYFUNCTION("""COMPUTED_VALUE"""),"Rajesh Dorairaj")</f>
        <v>Rajesh Dorairaj</v>
      </c>
      <c r="C327" s="138">
        <f t="shared" si="101"/>
        <v>33</v>
      </c>
      <c r="D327" s="139"/>
      <c r="E327" s="25"/>
      <c r="F327" s="26"/>
      <c r="G327" s="138">
        <f t="shared" si="102"/>
        <v>33</v>
      </c>
      <c r="H327" s="139"/>
      <c r="I327" s="25"/>
      <c r="J327" s="26"/>
    </row>
    <row r="328">
      <c r="A328" s="136">
        <f t="shared" si="103"/>
        <v>34</v>
      </c>
      <c r="B328" s="137" t="str">
        <f>IFERROR(__xludf.DUMMYFUNCTION("""COMPUTED_VALUE"""),"Ramesh Bandaru")</f>
        <v>Ramesh Bandaru</v>
      </c>
      <c r="C328" s="138">
        <f t="shared" si="101"/>
        <v>34</v>
      </c>
      <c r="D328" s="139"/>
      <c r="E328" s="25"/>
      <c r="F328" s="26"/>
      <c r="G328" s="138">
        <f t="shared" si="102"/>
        <v>34</v>
      </c>
      <c r="H328" s="139"/>
      <c r="I328" s="25"/>
      <c r="J328" s="26"/>
    </row>
    <row r="329">
      <c r="A329" s="136">
        <f t="shared" si="103"/>
        <v>35</v>
      </c>
      <c r="B329" s="137" t="str">
        <f>IFERROR(__xludf.DUMMYFUNCTION("""COMPUTED_VALUE"""),"Ranjith Doraiswamy")</f>
        <v>Ranjith Doraiswamy</v>
      </c>
      <c r="C329" s="138">
        <f t="shared" si="101"/>
        <v>35</v>
      </c>
      <c r="D329" s="139"/>
      <c r="E329" s="25"/>
      <c r="F329" s="26"/>
      <c r="G329" s="138">
        <f t="shared" si="102"/>
        <v>35</v>
      </c>
      <c r="H329" s="139"/>
      <c r="I329" s="25"/>
      <c r="J329" s="26"/>
    </row>
    <row r="330">
      <c r="A330" s="136">
        <f t="shared" si="103"/>
        <v>36</v>
      </c>
      <c r="B330" s="137" t="str">
        <f>IFERROR(__xludf.DUMMYFUNCTION("""COMPUTED_VALUE"""),"Rudy Tatang")</f>
        <v>Rudy Tatang</v>
      </c>
      <c r="C330" s="138">
        <f t="shared" si="101"/>
        <v>36</v>
      </c>
      <c r="D330" s="139"/>
      <c r="E330" s="25"/>
      <c r="F330" s="26"/>
      <c r="G330" s="138">
        <f t="shared" si="102"/>
        <v>36</v>
      </c>
      <c r="H330" s="139"/>
      <c r="I330" s="25"/>
      <c r="J330" s="26"/>
    </row>
    <row r="331">
      <c r="A331" s="136">
        <f t="shared" si="103"/>
        <v>37</v>
      </c>
      <c r="B331" s="137" t="str">
        <f>IFERROR(__xludf.DUMMYFUNCTION("""COMPUTED_VALUE"""),"Sandeep Kamalon")</f>
        <v>Sandeep Kamalon</v>
      </c>
      <c r="C331" s="138">
        <f t="shared" si="101"/>
        <v>37</v>
      </c>
      <c r="D331" s="139"/>
      <c r="E331" s="25"/>
      <c r="F331" s="26"/>
      <c r="G331" s="138">
        <f t="shared" si="102"/>
        <v>37</v>
      </c>
      <c r="H331" s="139"/>
      <c r="I331" s="25"/>
      <c r="J331" s="26"/>
    </row>
    <row r="332">
      <c r="A332" s="136">
        <f t="shared" si="103"/>
        <v>38</v>
      </c>
      <c r="B332" s="137" t="str">
        <f>IFERROR(__xludf.DUMMYFUNCTION("""COMPUTED_VALUE"""),"Sanjaye Elayattu")</f>
        <v>Sanjaye Elayattu</v>
      </c>
      <c r="C332" s="138">
        <f t="shared" si="101"/>
        <v>38</v>
      </c>
      <c r="D332" s="139"/>
      <c r="E332" s="25"/>
      <c r="F332" s="26"/>
      <c r="G332" s="138">
        <f t="shared" si="102"/>
        <v>38</v>
      </c>
      <c r="H332" s="139"/>
      <c r="I332" s="25"/>
      <c r="J332" s="26"/>
    </row>
    <row r="333">
      <c r="A333" s="136">
        <f t="shared" si="103"/>
        <v>39</v>
      </c>
      <c r="B333" s="137" t="str">
        <f>IFERROR(__xludf.DUMMYFUNCTION("""COMPUTED_VALUE"""),"Santosh Sundaresan")</f>
        <v>Santosh Sundaresan</v>
      </c>
      <c r="C333" s="138">
        <f t="shared" si="101"/>
        <v>39</v>
      </c>
      <c r="D333" s="139"/>
      <c r="E333" s="25"/>
      <c r="F333" s="26"/>
      <c r="G333" s="138">
        <f t="shared" si="102"/>
        <v>39</v>
      </c>
      <c r="H333" s="139"/>
      <c r="I333" s="25"/>
      <c r="J333" s="26"/>
    </row>
    <row r="334">
      <c r="A334" s="136">
        <f t="shared" si="103"/>
        <v>40</v>
      </c>
      <c r="B334" s="137" t="str">
        <f>IFERROR(__xludf.DUMMYFUNCTION("""COMPUTED_VALUE"""),"Saravanan Veerapandian")</f>
        <v>Saravanan Veerapandian</v>
      </c>
      <c r="C334" s="138">
        <f t="shared" si="101"/>
        <v>40</v>
      </c>
      <c r="D334" s="139"/>
      <c r="E334" s="25"/>
      <c r="F334" s="26"/>
      <c r="G334" s="138">
        <f t="shared" si="102"/>
        <v>40</v>
      </c>
      <c r="H334" s="139"/>
      <c r="I334" s="25"/>
      <c r="J334" s="26"/>
    </row>
    <row r="335">
      <c r="A335" s="136">
        <f t="shared" si="103"/>
        <v>41</v>
      </c>
      <c r="B335" s="137" t="str">
        <f>IFERROR(__xludf.DUMMYFUNCTION("""COMPUTED_VALUE"""),"Sean Chang")</f>
        <v>Sean Chang</v>
      </c>
      <c r="C335" s="138">
        <f t="shared" si="101"/>
        <v>41</v>
      </c>
      <c r="D335" s="139"/>
      <c r="E335" s="25"/>
      <c r="F335" s="26"/>
      <c r="G335" s="138">
        <f t="shared" si="102"/>
        <v>41</v>
      </c>
      <c r="H335" s="139"/>
      <c r="I335" s="25"/>
      <c r="J335" s="26"/>
    </row>
    <row r="336">
      <c r="A336" s="136">
        <f t="shared" si="103"/>
        <v>42</v>
      </c>
      <c r="B336" s="137" t="str">
        <f>IFERROR(__xludf.DUMMYFUNCTION("""COMPUTED_VALUE"""),"Susanta Mishra")</f>
        <v>Susanta Mishra</v>
      </c>
      <c r="C336" s="138">
        <f t="shared" si="101"/>
        <v>42</v>
      </c>
      <c r="D336" s="139"/>
      <c r="E336" s="25"/>
      <c r="F336" s="26"/>
      <c r="G336" s="138">
        <f t="shared" si="102"/>
        <v>42</v>
      </c>
      <c r="H336" s="139"/>
      <c r="I336" s="25"/>
      <c r="J336" s="26"/>
    </row>
    <row r="337">
      <c r="A337" s="136">
        <f t="shared" si="103"/>
        <v>43</v>
      </c>
      <c r="B337" s="137" t="str">
        <f>IFERROR(__xludf.DUMMYFUNCTION("""COMPUTED_VALUE"""),"Ted Shen")</f>
        <v>Ted Shen</v>
      </c>
      <c r="C337" s="138">
        <f t="shared" si="101"/>
        <v>43</v>
      </c>
      <c r="D337" s="139"/>
      <c r="E337" s="25"/>
      <c r="F337" s="26"/>
      <c r="G337" s="138">
        <f t="shared" si="102"/>
        <v>43</v>
      </c>
      <c r="H337" s="139"/>
      <c r="I337" s="25"/>
      <c r="J337" s="26"/>
    </row>
    <row r="338">
      <c r="A338" s="136">
        <f t="shared" si="103"/>
        <v>44</v>
      </c>
      <c r="B338" s="137" t="str">
        <f>IFERROR(__xludf.DUMMYFUNCTION("""COMPUTED_VALUE"""),"Tina Hanson")</f>
        <v>Tina Hanson</v>
      </c>
      <c r="C338" s="138">
        <f t="shared" si="101"/>
        <v>44</v>
      </c>
      <c r="D338" s="139"/>
      <c r="E338" s="25"/>
      <c r="F338" s="26"/>
      <c r="G338" s="138">
        <f t="shared" si="102"/>
        <v>44</v>
      </c>
      <c r="H338" s="139"/>
      <c r="I338" s="25"/>
      <c r="J338" s="26"/>
    </row>
    <row r="339">
      <c r="A339" s="136">
        <f t="shared" si="103"/>
        <v>45</v>
      </c>
      <c r="B339" s="137" t="str">
        <f>IFERROR(__xludf.DUMMYFUNCTION("""COMPUTED_VALUE"""),"Trish Newlin")</f>
        <v>Trish Newlin</v>
      </c>
      <c r="C339" s="138">
        <f t="shared" si="101"/>
        <v>45</v>
      </c>
      <c r="D339" s="139"/>
      <c r="E339" s="25"/>
      <c r="F339" s="26"/>
      <c r="G339" s="138">
        <f t="shared" si="102"/>
        <v>45</v>
      </c>
      <c r="H339" s="139"/>
      <c r="I339" s="25"/>
      <c r="J339" s="26"/>
    </row>
    <row r="340">
      <c r="A340" s="136">
        <f t="shared" si="103"/>
        <v>46</v>
      </c>
      <c r="B340" s="137" t="str">
        <f>IFERROR(__xludf.DUMMYFUNCTION("""COMPUTED_VALUE"""),"Troy Wong")</f>
        <v>Troy Wong</v>
      </c>
      <c r="C340" s="138">
        <f t="shared" si="101"/>
        <v>46</v>
      </c>
      <c r="D340" s="139"/>
      <c r="E340" s="25"/>
      <c r="F340" s="26"/>
      <c r="G340" s="138">
        <f t="shared" si="102"/>
        <v>46</v>
      </c>
      <c r="H340" s="139"/>
      <c r="I340" s="25"/>
      <c r="J340" s="26"/>
    </row>
    <row r="341">
      <c r="A341" s="136">
        <f t="shared" si="103"/>
        <v>47</v>
      </c>
      <c r="B341" s="137" t="str">
        <f>IFERROR(__xludf.DUMMYFUNCTION("""COMPUTED_VALUE"""),"Vicki Martinet")</f>
        <v>Vicki Martinet</v>
      </c>
      <c r="C341" s="138">
        <f t="shared" si="101"/>
        <v>47</v>
      </c>
      <c r="D341" s="139"/>
      <c r="E341" s="25"/>
      <c r="F341" s="26"/>
      <c r="G341" s="138">
        <f t="shared" si="102"/>
        <v>47</v>
      </c>
      <c r="H341" s="139"/>
      <c r="I341" s="25"/>
      <c r="J341" s="26"/>
    </row>
    <row r="342">
      <c r="A342" s="136">
        <f t="shared" si="103"/>
        <v>48</v>
      </c>
      <c r="B342" s="137" t="str">
        <f>IFERROR(__xludf.DUMMYFUNCTION("""COMPUTED_VALUE"""),"Vinaya Kajla")</f>
        <v>Vinaya Kajla</v>
      </c>
      <c r="C342" s="138">
        <f t="shared" si="101"/>
        <v>48</v>
      </c>
      <c r="D342" s="139"/>
      <c r="E342" s="25"/>
      <c r="F342" s="26"/>
      <c r="G342" s="138">
        <f t="shared" si="102"/>
        <v>48</v>
      </c>
      <c r="H342" s="139"/>
      <c r="I342" s="25"/>
      <c r="J342" s="26"/>
    </row>
    <row r="343">
      <c r="A343" s="136">
        <f t="shared" si="103"/>
        <v>49</v>
      </c>
      <c r="B343" s="137" t="str">
        <f>IFERROR(__xludf.DUMMYFUNCTION("""COMPUTED_VALUE"""),"Vinotkumar Nagappan")</f>
        <v>Vinotkumar Nagappan</v>
      </c>
      <c r="C343" s="138">
        <f t="shared" si="101"/>
        <v>49</v>
      </c>
      <c r="D343" s="139"/>
      <c r="E343" s="25"/>
      <c r="F343" s="26"/>
      <c r="G343" s="138">
        <f t="shared" si="102"/>
        <v>49</v>
      </c>
      <c r="H343" s="139"/>
      <c r="I343" s="25"/>
      <c r="J343" s="26"/>
    </row>
    <row r="344">
      <c r="A344" s="136">
        <f t="shared" si="103"/>
        <v>50</v>
      </c>
      <c r="B344" s="137" t="str">
        <f>IFERROR(__xludf.DUMMYFUNCTION("""COMPUTED_VALUE"""),"Vishnu Amarnath")</f>
        <v>Vishnu Amarnath</v>
      </c>
      <c r="C344" s="138">
        <f t="shared" si="101"/>
        <v>50</v>
      </c>
      <c r="D344" s="139"/>
      <c r="E344" s="25"/>
      <c r="F344" s="26"/>
      <c r="G344" s="138">
        <f t="shared" si="102"/>
        <v>50</v>
      </c>
      <c r="H344" s="139"/>
      <c r="I344" s="25"/>
      <c r="J344" s="26"/>
    </row>
    <row r="345">
      <c r="A345" s="136">
        <f t="shared" si="103"/>
        <v>51</v>
      </c>
      <c r="B345" s="137" t="str">
        <f>IFERROR(__xludf.DUMMYFUNCTION("""COMPUTED_VALUE"""),"Wayne Liu")</f>
        <v>Wayne Liu</v>
      </c>
      <c r="C345" s="138">
        <f t="shared" si="101"/>
        <v>51</v>
      </c>
      <c r="D345" s="139"/>
      <c r="E345" s="25"/>
      <c r="F345" s="26"/>
      <c r="G345" s="138">
        <f t="shared" si="102"/>
        <v>51</v>
      </c>
      <c r="H345" s="139"/>
      <c r="I345" s="25"/>
      <c r="J345" s="26"/>
    </row>
    <row r="346">
      <c r="A346" s="136">
        <f t="shared" si="103"/>
        <v>52</v>
      </c>
      <c r="B346" s="137"/>
      <c r="C346" s="138">
        <f t="shared" si="101"/>
        <v>52</v>
      </c>
      <c r="D346" s="139"/>
      <c r="E346" s="25"/>
      <c r="F346" s="26"/>
      <c r="G346" s="138">
        <f t="shared" si="102"/>
        <v>52</v>
      </c>
      <c r="H346" s="139"/>
      <c r="I346" s="25"/>
      <c r="J346" s="26"/>
    </row>
    <row r="347">
      <c r="A347" s="136">
        <f t="shared" si="103"/>
        <v>53</v>
      </c>
      <c r="B347" s="137"/>
      <c r="C347" s="138">
        <f t="shared" si="101"/>
        <v>53</v>
      </c>
      <c r="D347" s="139"/>
      <c r="E347" s="25"/>
      <c r="F347" s="26"/>
      <c r="G347" s="138">
        <f t="shared" si="102"/>
        <v>53</v>
      </c>
      <c r="H347" s="139"/>
      <c r="I347" s="25"/>
      <c r="J347" s="26"/>
    </row>
    <row r="348">
      <c r="A348" s="136">
        <f t="shared" si="103"/>
        <v>54</v>
      </c>
      <c r="B348" s="137"/>
      <c r="C348" s="138">
        <f t="shared" si="101"/>
        <v>54</v>
      </c>
      <c r="D348" s="139"/>
      <c r="E348" s="25"/>
      <c r="F348" s="26"/>
      <c r="G348" s="138">
        <f t="shared" si="102"/>
        <v>54</v>
      </c>
      <c r="H348" s="139"/>
      <c r="I348" s="25"/>
      <c r="J348" s="26"/>
    </row>
    <row r="349">
      <c r="A349" s="136">
        <f t="shared" si="103"/>
        <v>55</v>
      </c>
      <c r="B349" s="137"/>
      <c r="C349" s="138">
        <f t="shared" si="101"/>
        <v>55</v>
      </c>
      <c r="D349" s="139"/>
      <c r="E349" s="25"/>
      <c r="F349" s="26"/>
      <c r="G349" s="138">
        <f t="shared" si="102"/>
        <v>55</v>
      </c>
      <c r="H349" s="139"/>
      <c r="I349" s="25"/>
      <c r="J349" s="26"/>
    </row>
    <row r="350">
      <c r="A350" s="136">
        <f t="shared" si="103"/>
        <v>56</v>
      </c>
      <c r="B350" s="137"/>
      <c r="C350" s="138">
        <f t="shared" si="101"/>
        <v>56</v>
      </c>
      <c r="D350" s="139"/>
      <c r="E350" s="25"/>
      <c r="F350" s="26"/>
      <c r="G350" s="138">
        <f t="shared" si="102"/>
        <v>56</v>
      </c>
      <c r="H350" s="139"/>
      <c r="I350" s="25"/>
      <c r="J350" s="26"/>
    </row>
    <row r="351">
      <c r="A351" s="136">
        <f t="shared" si="103"/>
        <v>57</v>
      </c>
      <c r="B351" s="137"/>
      <c r="C351" s="138">
        <f t="shared" si="101"/>
        <v>57</v>
      </c>
      <c r="D351" s="139"/>
      <c r="E351" s="25"/>
      <c r="F351" s="26"/>
      <c r="G351" s="138">
        <f t="shared" si="102"/>
        <v>57</v>
      </c>
      <c r="H351" s="139"/>
      <c r="I351" s="25"/>
      <c r="J351" s="26"/>
    </row>
    <row r="352">
      <c r="A352" s="136">
        <f t="shared" si="103"/>
        <v>58</v>
      </c>
      <c r="B352" s="137"/>
      <c r="C352" s="138">
        <f t="shared" si="101"/>
        <v>58</v>
      </c>
      <c r="D352" s="139"/>
      <c r="E352" s="25"/>
      <c r="F352" s="26"/>
      <c r="G352" s="138">
        <f t="shared" si="102"/>
        <v>58</v>
      </c>
      <c r="H352" s="139"/>
      <c r="I352" s="25"/>
      <c r="J352" s="26"/>
    </row>
    <row r="353">
      <c r="A353" s="136">
        <f t="shared" si="103"/>
        <v>59</v>
      </c>
      <c r="B353" s="137"/>
      <c r="C353" s="138">
        <f t="shared" si="101"/>
        <v>59</v>
      </c>
      <c r="D353" s="139"/>
      <c r="E353" s="25"/>
      <c r="F353" s="26"/>
      <c r="G353" s="138">
        <f t="shared" si="102"/>
        <v>59</v>
      </c>
      <c r="H353" s="139"/>
      <c r="I353" s="25"/>
      <c r="J353" s="26"/>
    </row>
    <row r="354">
      <c r="A354" s="136">
        <f t="shared" si="103"/>
        <v>60</v>
      </c>
      <c r="B354" s="137"/>
      <c r="C354" s="138">
        <f t="shared" si="101"/>
        <v>60</v>
      </c>
      <c r="D354" s="139"/>
      <c r="E354" s="25"/>
      <c r="F354" s="26"/>
      <c r="G354" s="138">
        <f t="shared" si="102"/>
        <v>60</v>
      </c>
      <c r="H354" s="139"/>
      <c r="I354" s="25"/>
      <c r="J354" s="26"/>
    </row>
    <row r="355">
      <c r="A355" s="136">
        <f t="shared" si="103"/>
        <v>61</v>
      </c>
      <c r="B355" s="137"/>
      <c r="C355" s="138">
        <f t="shared" si="101"/>
        <v>61</v>
      </c>
      <c r="D355" s="139"/>
      <c r="E355" s="25"/>
      <c r="F355" s="26"/>
      <c r="G355" s="138">
        <f t="shared" si="102"/>
        <v>61</v>
      </c>
      <c r="H355" s="139"/>
      <c r="I355" s="25"/>
      <c r="J355" s="26"/>
    </row>
    <row r="356">
      <c r="A356" s="136">
        <f t="shared" si="103"/>
        <v>62</v>
      </c>
      <c r="B356" s="137"/>
      <c r="C356" s="138">
        <f t="shared" si="101"/>
        <v>62</v>
      </c>
      <c r="D356" s="139"/>
      <c r="E356" s="25"/>
      <c r="F356" s="26"/>
      <c r="G356" s="138">
        <f t="shared" si="102"/>
        <v>62</v>
      </c>
      <c r="H356" s="139"/>
      <c r="I356" s="25"/>
      <c r="J356" s="26"/>
    </row>
    <row r="357">
      <c r="A357" s="136">
        <f t="shared" si="103"/>
        <v>63</v>
      </c>
      <c r="B357" s="137"/>
      <c r="C357" s="138">
        <f t="shared" si="101"/>
        <v>63</v>
      </c>
      <c r="D357" s="139"/>
      <c r="E357" s="25"/>
      <c r="F357" s="26"/>
      <c r="G357" s="138">
        <f t="shared" si="102"/>
        <v>63</v>
      </c>
      <c r="H357" s="139"/>
      <c r="I357" s="25"/>
      <c r="J357" s="26"/>
    </row>
    <row r="358">
      <c r="A358" s="136">
        <f t="shared" si="103"/>
        <v>64</v>
      </c>
      <c r="B358" s="137"/>
      <c r="C358" s="138">
        <f t="shared" si="101"/>
        <v>64</v>
      </c>
      <c r="D358" s="139"/>
      <c r="E358" s="25"/>
      <c r="F358" s="26"/>
      <c r="G358" s="138">
        <f t="shared" si="102"/>
        <v>64</v>
      </c>
      <c r="H358" s="139"/>
      <c r="I358" s="25"/>
      <c r="J358" s="26"/>
    </row>
    <row r="359">
      <c r="A359" s="136">
        <f t="shared" si="103"/>
        <v>65</v>
      </c>
      <c r="B359" s="137"/>
      <c r="C359" s="138">
        <f t="shared" si="101"/>
        <v>65</v>
      </c>
      <c r="D359" s="139"/>
      <c r="E359" s="25"/>
      <c r="F359" s="26"/>
      <c r="G359" s="138">
        <f t="shared" si="102"/>
        <v>65</v>
      </c>
      <c r="H359" s="139"/>
      <c r="I359" s="25"/>
      <c r="J359" s="26"/>
    </row>
    <row r="360">
      <c r="A360" s="5"/>
      <c r="C360" s="5"/>
      <c r="D360" s="5"/>
      <c r="E360" s="5"/>
      <c r="F360" s="5"/>
    </row>
    <row r="361">
      <c r="A361" s="5"/>
      <c r="C361" s="5"/>
      <c r="D361" s="5"/>
      <c r="E361" s="5"/>
      <c r="F361" s="5"/>
    </row>
    <row r="362">
      <c r="A362" s="5"/>
      <c r="C362" s="5"/>
      <c r="D362" s="5"/>
      <c r="E362" s="5"/>
      <c r="F362" s="5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</sheetData>
  <mergeCells count="150"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45:F345"/>
    <mergeCell ref="D346:F346"/>
    <mergeCell ref="D347:F347"/>
    <mergeCell ref="D348:F348"/>
    <mergeCell ref="D349:F349"/>
    <mergeCell ref="D350:F350"/>
    <mergeCell ref="D351:F351"/>
    <mergeCell ref="H311:J311"/>
    <mergeCell ref="H312:J312"/>
    <mergeCell ref="H313:J313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53:J353"/>
    <mergeCell ref="H354:J354"/>
    <mergeCell ref="H355:J355"/>
    <mergeCell ref="H356:J356"/>
    <mergeCell ref="H357:J357"/>
    <mergeCell ref="H358:J358"/>
    <mergeCell ref="H359:J359"/>
    <mergeCell ref="H346:J346"/>
    <mergeCell ref="H347:J347"/>
    <mergeCell ref="H348:J348"/>
    <mergeCell ref="H349:J349"/>
    <mergeCell ref="H350:J350"/>
    <mergeCell ref="H351:J351"/>
    <mergeCell ref="H352:J352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A142:B142"/>
    <mergeCell ref="B223:C223"/>
    <mergeCell ref="D294:F294"/>
    <mergeCell ref="H294:J294"/>
    <mergeCell ref="H295:J295"/>
    <mergeCell ref="H298:J298"/>
    <mergeCell ref="H299:J299"/>
    <mergeCell ref="D295:F295"/>
    <mergeCell ref="D296:F296"/>
    <mergeCell ref="H296:J296"/>
    <mergeCell ref="D297:F297"/>
    <mergeCell ref="H297:J297"/>
    <mergeCell ref="D298:F298"/>
    <mergeCell ref="D299:F299"/>
    <mergeCell ref="D300:F300"/>
    <mergeCell ref="H300:J300"/>
    <mergeCell ref="D301:F301"/>
    <mergeCell ref="H301:J301"/>
    <mergeCell ref="D302:F302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46179.0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22.0</v>
      </c>
      <c r="E2" s="5"/>
      <c r="F2" s="5"/>
      <c r="R2" s="18"/>
      <c r="AC2" s="22" t="str">
        <f>text(C1-7,"mm/dd/yy")</f>
        <v>05/30/26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33</v>
      </c>
      <c r="R3" s="18" t="s">
        <v>34</v>
      </c>
      <c r="S3" s="18"/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324.0</v>
      </c>
      <c r="D5" s="37">
        <v>43.0</v>
      </c>
      <c r="E5" s="40">
        <f t="shared" ref="E5:E79" si="2">if(S5&gt;0,(C5-(V5*9)-(T5*13))/S5,0)</f>
        <v>15.3</v>
      </c>
      <c r="F5" s="90">
        <v>1.0</v>
      </c>
      <c r="G5" s="91">
        <v>1.0</v>
      </c>
      <c r="H5" s="92">
        <v>0.0</v>
      </c>
      <c r="I5" s="91">
        <v>7.0</v>
      </c>
      <c r="J5" s="91">
        <v>6.0</v>
      </c>
      <c r="K5" s="91">
        <v>6.0</v>
      </c>
      <c r="L5" s="93">
        <v>19.0</v>
      </c>
      <c r="M5" s="91">
        <v>3.0</v>
      </c>
      <c r="N5" s="37">
        <f t="shared" ref="N5:O5" si="1">C5+L5</f>
        <v>343</v>
      </c>
      <c r="O5" s="37">
        <f t="shared" si="1"/>
        <v>46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20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16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310.0</v>
      </c>
      <c r="D6" s="37">
        <v>35.0</v>
      </c>
      <c r="E6" s="40">
        <f t="shared" si="2"/>
        <v>15.22222222</v>
      </c>
      <c r="F6" s="90">
        <v>1.0</v>
      </c>
      <c r="G6" s="91">
        <v>1.0</v>
      </c>
      <c r="H6" s="92">
        <v>0.0</v>
      </c>
      <c r="I6" s="91">
        <v>6.0</v>
      </c>
      <c r="J6" s="91">
        <v>2.0</v>
      </c>
      <c r="K6" s="91">
        <v>6.0</v>
      </c>
      <c r="L6" s="93">
        <v>14.0</v>
      </c>
      <c r="M6" s="91">
        <v>1.0</v>
      </c>
      <c r="N6" s="37">
        <f t="shared" ref="N6:O6" si="3">C6+L6</f>
        <v>324</v>
      </c>
      <c r="O6" s="37">
        <f t="shared" si="3"/>
        <v>36</v>
      </c>
      <c r="P6" s="49" t="s">
        <v>57</v>
      </c>
      <c r="Q6" s="49" t="s">
        <v>57</v>
      </c>
      <c r="R6" s="49"/>
      <c r="S6" s="51">
        <f t="shared" si="4"/>
        <v>18</v>
      </c>
      <c r="T6" s="52">
        <f t="shared" si="5"/>
        <v>0</v>
      </c>
      <c r="U6" s="52"/>
      <c r="V6" s="51">
        <f t="shared" si="6"/>
        <v>4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296.0</v>
      </c>
      <c r="D7" s="37">
        <v>29.0</v>
      </c>
      <c r="E7" s="40">
        <f t="shared" si="2"/>
        <v>14.15789474</v>
      </c>
      <c r="F7" s="90">
        <v>1.0</v>
      </c>
      <c r="G7" s="91">
        <v>1.0</v>
      </c>
      <c r="H7" s="92">
        <v>0.0</v>
      </c>
      <c r="I7" s="91">
        <v>6.0</v>
      </c>
      <c r="J7" s="91">
        <v>6.0</v>
      </c>
      <c r="K7" s="91">
        <v>2.0</v>
      </c>
      <c r="L7" s="93">
        <v>14.0</v>
      </c>
      <c r="M7" s="91">
        <v>1.0</v>
      </c>
      <c r="N7" s="37">
        <f t="shared" ref="N7:O7" si="11">C7+L7</f>
        <v>310</v>
      </c>
      <c r="O7" s="37">
        <f t="shared" si="11"/>
        <v>30</v>
      </c>
      <c r="P7" s="49" t="s">
        <v>57</v>
      </c>
      <c r="Q7" s="49" t="s">
        <v>57</v>
      </c>
      <c r="R7" s="49" t="s">
        <v>57</v>
      </c>
      <c r="S7" s="51">
        <f t="shared" si="4"/>
        <v>19</v>
      </c>
      <c r="T7" s="52">
        <f t="shared" si="5"/>
        <v>0</v>
      </c>
      <c r="U7" s="52"/>
      <c r="V7" s="51">
        <f t="shared" si="6"/>
        <v>3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292.0</v>
      </c>
      <c r="D8" s="37">
        <v>28.0</v>
      </c>
      <c r="E8" s="40">
        <f t="shared" si="2"/>
        <v>13.52631579</v>
      </c>
      <c r="F8" s="90">
        <v>5.0</v>
      </c>
      <c r="G8" s="91">
        <v>0.0</v>
      </c>
      <c r="H8" s="92">
        <v>13.0</v>
      </c>
      <c r="I8" s="91">
        <v>0.0</v>
      </c>
      <c r="J8" s="91">
        <v>0.0</v>
      </c>
      <c r="K8" s="91">
        <v>0.0</v>
      </c>
      <c r="L8" s="93">
        <v>13.0</v>
      </c>
      <c r="M8" s="91">
        <v>0.0</v>
      </c>
      <c r="N8" s="37">
        <f t="shared" ref="N8:O8" si="13">C8+L8</f>
        <v>305</v>
      </c>
      <c r="O8" s="37">
        <f t="shared" si="13"/>
        <v>28</v>
      </c>
      <c r="P8" s="49" t="s">
        <v>57</v>
      </c>
      <c r="Q8" s="49" t="s">
        <v>57</v>
      </c>
      <c r="R8" s="49"/>
      <c r="S8" s="51">
        <f t="shared" si="4"/>
        <v>19</v>
      </c>
      <c r="T8" s="52">
        <f t="shared" si="5"/>
        <v>2</v>
      </c>
      <c r="U8" s="52"/>
      <c r="V8" s="51">
        <f t="shared" si="6"/>
        <v>1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93</v>
      </c>
      <c r="C9" s="37">
        <v>285.0</v>
      </c>
      <c r="D9" s="37">
        <v>27.0</v>
      </c>
      <c r="E9" s="40">
        <f t="shared" si="2"/>
        <v>13.61111111</v>
      </c>
      <c r="F9" s="90">
        <v>1.0</v>
      </c>
      <c r="G9" s="91">
        <v>1.0</v>
      </c>
      <c r="H9" s="92">
        <v>0.0</v>
      </c>
      <c r="I9" s="91">
        <v>7.0</v>
      </c>
      <c r="J9" s="91">
        <v>2.0</v>
      </c>
      <c r="K9" s="91">
        <v>2.0</v>
      </c>
      <c r="L9" s="93">
        <v>11.0</v>
      </c>
      <c r="M9" s="91">
        <v>1.0</v>
      </c>
      <c r="N9" s="37">
        <f t="shared" ref="N9:O9" si="14">C9+L9</f>
        <v>296</v>
      </c>
      <c r="O9" s="37">
        <f t="shared" si="14"/>
        <v>28</v>
      </c>
      <c r="P9" s="49" t="s">
        <v>57</v>
      </c>
      <c r="Q9" s="49" t="s">
        <v>57</v>
      </c>
      <c r="R9" s="49"/>
      <c r="S9" s="51">
        <f t="shared" si="4"/>
        <v>18</v>
      </c>
      <c r="T9" s="52">
        <f t="shared" si="5"/>
        <v>1</v>
      </c>
      <c r="U9" s="52"/>
      <c r="V9" s="51">
        <f t="shared" si="6"/>
        <v>3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94</v>
      </c>
      <c r="C10" s="37">
        <v>282.0</v>
      </c>
      <c r="D10" s="37">
        <v>29.0</v>
      </c>
      <c r="E10" s="40">
        <f t="shared" si="2"/>
        <v>13.21052632</v>
      </c>
      <c r="F10" s="90">
        <v>5.0</v>
      </c>
      <c r="G10" s="91">
        <v>0.0</v>
      </c>
      <c r="H10" s="92">
        <v>13.0</v>
      </c>
      <c r="I10" s="91">
        <v>0.0</v>
      </c>
      <c r="J10" s="91">
        <v>0.0</v>
      </c>
      <c r="K10" s="91">
        <v>0.0</v>
      </c>
      <c r="L10" s="93">
        <v>13.0</v>
      </c>
      <c r="M10" s="91">
        <v>0.0</v>
      </c>
      <c r="N10" s="37">
        <f t="shared" ref="N10:O10" si="15">C10+L10</f>
        <v>295</v>
      </c>
      <c r="O10" s="37">
        <f t="shared" si="15"/>
        <v>29</v>
      </c>
      <c r="P10" s="49" t="s">
        <v>57</v>
      </c>
      <c r="Q10" s="49" t="s">
        <v>57</v>
      </c>
      <c r="R10" s="49" t="s">
        <v>57</v>
      </c>
      <c r="S10" s="51">
        <f t="shared" si="4"/>
        <v>19</v>
      </c>
      <c r="T10" s="52">
        <f t="shared" si="5"/>
        <v>1</v>
      </c>
      <c r="U10" s="52"/>
      <c r="V10" s="51">
        <f t="shared" si="6"/>
        <v>2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95</v>
      </c>
      <c r="C11" s="37">
        <v>282.0</v>
      </c>
      <c r="D11" s="37">
        <v>28.0</v>
      </c>
      <c r="E11" s="40">
        <f t="shared" si="2"/>
        <v>13.94117647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291</v>
      </c>
      <c r="O11" s="37">
        <f t="shared" si="16"/>
        <v>28</v>
      </c>
      <c r="P11" s="49" t="s">
        <v>57</v>
      </c>
      <c r="Q11" s="49" t="s">
        <v>57</v>
      </c>
      <c r="R11" s="49" t="s">
        <v>57</v>
      </c>
      <c r="S11" s="51">
        <f t="shared" si="4"/>
        <v>17</v>
      </c>
      <c r="T11" s="52">
        <f t="shared" si="5"/>
        <v>0</v>
      </c>
      <c r="U11" s="52"/>
      <c r="V11" s="51">
        <f t="shared" si="6"/>
        <v>5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89</v>
      </c>
      <c r="C12" s="37">
        <v>280.0</v>
      </c>
      <c r="D12" s="37">
        <v>28.0</v>
      </c>
      <c r="E12" s="40">
        <f t="shared" si="2"/>
        <v>15.83333333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289</v>
      </c>
      <c r="O12" s="37">
        <f t="shared" si="17"/>
        <v>28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0</v>
      </c>
      <c r="U12" s="52"/>
      <c r="V12" s="51">
        <f t="shared" si="6"/>
        <v>10</v>
      </c>
      <c r="W12" s="52">
        <f t="shared" si="7"/>
        <v>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80</v>
      </c>
      <c r="C13" s="37">
        <v>279.0</v>
      </c>
      <c r="D13" s="37">
        <v>25.0</v>
      </c>
      <c r="E13" s="40">
        <f t="shared" si="2"/>
        <v>14.13333333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288</v>
      </c>
      <c r="O13" s="37">
        <f t="shared" si="18"/>
        <v>25</v>
      </c>
      <c r="P13" s="49" t="s">
        <v>57</v>
      </c>
      <c r="Q13" s="49" t="s">
        <v>57</v>
      </c>
      <c r="R13" s="49" t="s">
        <v>57</v>
      </c>
      <c r="S13" s="51">
        <f t="shared" si="4"/>
        <v>15</v>
      </c>
      <c r="T13" s="52">
        <f t="shared" si="5"/>
        <v>1</v>
      </c>
      <c r="U13" s="52"/>
      <c r="V13" s="51">
        <f t="shared" si="6"/>
        <v>6</v>
      </c>
      <c r="W13" s="52">
        <f t="shared" si="7"/>
        <v>-1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91</v>
      </c>
      <c r="C14" s="37">
        <v>271.0</v>
      </c>
      <c r="D14" s="37">
        <v>26.0</v>
      </c>
      <c r="E14" s="40">
        <f t="shared" si="2"/>
        <v>14.30769231</v>
      </c>
      <c r="F14" s="90">
        <v>5.0</v>
      </c>
      <c r="G14" s="91">
        <v>0.0</v>
      </c>
      <c r="H14" s="92">
        <v>13.0</v>
      </c>
      <c r="I14" s="91">
        <v>0.0</v>
      </c>
      <c r="J14" s="91">
        <v>0.0</v>
      </c>
      <c r="K14" s="91">
        <v>0.0</v>
      </c>
      <c r="L14" s="93">
        <v>13.0</v>
      </c>
      <c r="M14" s="91">
        <v>0.0</v>
      </c>
      <c r="N14" s="37">
        <f t="shared" ref="N14:O14" si="19">C14+L14</f>
        <v>284</v>
      </c>
      <c r="O14" s="37">
        <f t="shared" si="19"/>
        <v>26</v>
      </c>
      <c r="P14" s="49" t="s">
        <v>57</v>
      </c>
      <c r="Q14" s="49" t="s">
        <v>57</v>
      </c>
      <c r="R14" s="49" t="s">
        <v>57</v>
      </c>
      <c r="S14" s="51">
        <f t="shared" si="4"/>
        <v>13</v>
      </c>
      <c r="T14" s="52">
        <f t="shared" si="5"/>
        <v>1</v>
      </c>
      <c r="U14" s="52"/>
      <c r="V14" s="51">
        <f t="shared" si="6"/>
        <v>8</v>
      </c>
      <c r="W14" s="52">
        <f t="shared" si="7"/>
        <v>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73</v>
      </c>
      <c r="C15" s="37">
        <v>270.0</v>
      </c>
      <c r="D15" s="37">
        <v>26.0</v>
      </c>
      <c r="E15" s="40">
        <f t="shared" si="2"/>
        <v>15.8</v>
      </c>
      <c r="F15" s="90">
        <v>5.0</v>
      </c>
      <c r="G15" s="91">
        <v>0.0</v>
      </c>
      <c r="H15" s="92">
        <v>13.0</v>
      </c>
      <c r="I15" s="91">
        <v>0.0</v>
      </c>
      <c r="J15" s="91">
        <v>0.0</v>
      </c>
      <c r="K15" s="91">
        <v>0.0</v>
      </c>
      <c r="L15" s="93">
        <v>13.0</v>
      </c>
      <c r="M15" s="91">
        <v>0.0</v>
      </c>
      <c r="N15" s="37">
        <f t="shared" ref="N15:O15" si="20">C15+L15</f>
        <v>283</v>
      </c>
      <c r="O15" s="37">
        <f t="shared" si="20"/>
        <v>26</v>
      </c>
      <c r="P15" s="49" t="s">
        <v>57</v>
      </c>
      <c r="Q15" s="49" t="s">
        <v>57</v>
      </c>
      <c r="R15" s="49"/>
      <c r="S15" s="51">
        <f t="shared" si="4"/>
        <v>10</v>
      </c>
      <c r="T15" s="52">
        <f t="shared" si="5"/>
        <v>1</v>
      </c>
      <c r="U15" s="52"/>
      <c r="V15" s="51">
        <f t="shared" si="6"/>
        <v>11</v>
      </c>
      <c r="W15" s="52">
        <f t="shared" si="7"/>
        <v>3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117</v>
      </c>
      <c r="C16" s="37">
        <v>270.0</v>
      </c>
      <c r="D16" s="37">
        <v>24.0</v>
      </c>
      <c r="E16" s="40">
        <f t="shared" si="2"/>
        <v>12.76470588</v>
      </c>
      <c r="F16" s="90">
        <v>5.0</v>
      </c>
      <c r="G16" s="91">
        <v>0.0</v>
      </c>
      <c r="H16" s="92">
        <v>13.0</v>
      </c>
      <c r="I16" s="91">
        <v>0.0</v>
      </c>
      <c r="J16" s="91">
        <v>0.0</v>
      </c>
      <c r="K16" s="91">
        <v>0.0</v>
      </c>
      <c r="L16" s="93">
        <v>13.0</v>
      </c>
      <c r="M16" s="91">
        <v>0.0</v>
      </c>
      <c r="N16" s="37">
        <f t="shared" ref="N16:O16" si="21">C16+L16</f>
        <v>283</v>
      </c>
      <c r="O16" s="37">
        <f t="shared" si="21"/>
        <v>24</v>
      </c>
      <c r="P16" s="49" t="s">
        <v>57</v>
      </c>
      <c r="Q16" s="49" t="s">
        <v>57</v>
      </c>
      <c r="R16" s="49"/>
      <c r="S16" s="51">
        <f t="shared" si="4"/>
        <v>17</v>
      </c>
      <c r="T16" s="52">
        <f t="shared" si="5"/>
        <v>2</v>
      </c>
      <c r="U16" s="52"/>
      <c r="V16" s="51">
        <f t="shared" si="6"/>
        <v>3</v>
      </c>
      <c r="W16" s="52">
        <f t="shared" si="7"/>
        <v>0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92</v>
      </c>
      <c r="C17" s="37">
        <v>269.0</v>
      </c>
      <c r="D17" s="37">
        <v>19.0</v>
      </c>
      <c r="E17" s="40">
        <f t="shared" si="2"/>
        <v>13.4375</v>
      </c>
      <c r="F17" s="90">
        <v>1.0</v>
      </c>
      <c r="G17" s="91">
        <v>2.0</v>
      </c>
      <c r="H17" s="92">
        <v>0.0</v>
      </c>
      <c r="I17" s="91">
        <v>6.0</v>
      </c>
      <c r="J17" s="91">
        <v>7.0</v>
      </c>
      <c r="K17" s="91">
        <v>6.0</v>
      </c>
      <c r="L17" s="93">
        <v>19.0</v>
      </c>
      <c r="M17" s="91">
        <v>2.0</v>
      </c>
      <c r="N17" s="37">
        <f t="shared" ref="N17:O17" si="22">C17+L17</f>
        <v>288</v>
      </c>
      <c r="O17" s="37">
        <f t="shared" si="22"/>
        <v>21</v>
      </c>
      <c r="P17" s="49" t="s">
        <v>57</v>
      </c>
      <c r="Q17" s="49" t="s">
        <v>57</v>
      </c>
      <c r="R17" s="49" t="s">
        <v>57</v>
      </c>
      <c r="S17" s="51">
        <f t="shared" si="4"/>
        <v>16</v>
      </c>
      <c r="T17" s="52">
        <f t="shared" si="5"/>
        <v>0</v>
      </c>
      <c r="U17" s="52"/>
      <c r="V17" s="51">
        <f t="shared" si="6"/>
        <v>6</v>
      </c>
      <c r="W17" s="52">
        <f t="array" ref="W17">vlookup(B17,indirect("'" &amp; AC$2 &amp; "'!B5:x79"),23,false)-W11</f>
        <v>10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127</v>
      </c>
      <c r="C18" s="37">
        <v>268.0</v>
      </c>
      <c r="D18" s="37">
        <v>23.0</v>
      </c>
      <c r="E18" s="40">
        <f t="shared" si="2"/>
        <v>14.83333333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277</v>
      </c>
      <c r="O18" s="37">
        <f t="shared" si="23"/>
        <v>23</v>
      </c>
      <c r="P18" s="49" t="s">
        <v>57</v>
      </c>
      <c r="Q18" s="49" t="s">
        <v>57</v>
      </c>
      <c r="R18" s="49"/>
      <c r="S18" s="51">
        <f t="shared" si="4"/>
        <v>12</v>
      </c>
      <c r="T18" s="52">
        <f t="shared" si="5"/>
        <v>0</v>
      </c>
      <c r="U18" s="52"/>
      <c r="V18" s="51">
        <f t="shared" si="6"/>
        <v>10</v>
      </c>
      <c r="W18" s="52">
        <f t="shared" ref="W18:W79" si="25">vlookup(B18,indirect("'" &amp; AC$2 &amp; "'!B5:x79"),23,false)-X18</f>
        <v>-3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97</v>
      </c>
      <c r="C19" s="37">
        <v>266.0</v>
      </c>
      <c r="D19" s="37">
        <v>21.0</v>
      </c>
      <c r="E19" s="40">
        <f t="shared" si="2"/>
        <v>13.85714286</v>
      </c>
      <c r="F19" s="90">
        <v>1.0</v>
      </c>
      <c r="G19" s="91">
        <v>2.0</v>
      </c>
      <c r="H19" s="92">
        <v>0.0</v>
      </c>
      <c r="I19" s="91">
        <v>7.0</v>
      </c>
      <c r="J19" s="91">
        <v>6.0</v>
      </c>
      <c r="K19" s="91">
        <v>6.0</v>
      </c>
      <c r="L19" s="93">
        <v>19.0</v>
      </c>
      <c r="M19" s="91">
        <v>2.0</v>
      </c>
      <c r="N19" s="37">
        <f t="shared" ref="N19:O19" si="24">C19+L19</f>
        <v>285</v>
      </c>
      <c r="O19" s="37">
        <f t="shared" si="24"/>
        <v>23</v>
      </c>
      <c r="P19" s="49" t="s">
        <v>57</v>
      </c>
      <c r="Q19" s="49" t="s">
        <v>57</v>
      </c>
      <c r="R19" s="49" t="s">
        <v>57</v>
      </c>
      <c r="S19" s="51">
        <f t="shared" si="4"/>
        <v>14</v>
      </c>
      <c r="T19" s="52">
        <f t="shared" si="5"/>
        <v>0</v>
      </c>
      <c r="U19" s="52"/>
      <c r="V19" s="51">
        <f t="shared" si="6"/>
        <v>8</v>
      </c>
      <c r="W19" s="52">
        <f t="shared" si="25"/>
        <v>7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96</v>
      </c>
      <c r="C20" s="37">
        <v>265.0</v>
      </c>
      <c r="D20" s="37">
        <v>29.0</v>
      </c>
      <c r="E20" s="40">
        <f t="shared" si="2"/>
        <v>12.19047619</v>
      </c>
      <c r="F20" s="90">
        <v>1.0</v>
      </c>
      <c r="G20" s="91">
        <v>2.0</v>
      </c>
      <c r="H20" s="92">
        <v>0.0</v>
      </c>
      <c r="I20" s="91">
        <v>7.0</v>
      </c>
      <c r="J20" s="91">
        <v>7.0</v>
      </c>
      <c r="K20" s="91">
        <v>4.0</v>
      </c>
      <c r="L20" s="93">
        <v>18.0</v>
      </c>
      <c r="M20" s="91">
        <v>2.0</v>
      </c>
      <c r="N20" s="37">
        <f t="shared" ref="N20:O20" si="26">C20+L20</f>
        <v>283</v>
      </c>
      <c r="O20" s="37">
        <f t="shared" si="26"/>
        <v>31</v>
      </c>
      <c r="P20" s="49" t="s">
        <v>57</v>
      </c>
      <c r="Q20" s="49" t="s">
        <v>57</v>
      </c>
      <c r="R20" s="49" t="s">
        <v>57</v>
      </c>
      <c r="S20" s="51">
        <f t="shared" si="4"/>
        <v>21</v>
      </c>
      <c r="T20" s="52">
        <f t="shared" si="5"/>
        <v>0</v>
      </c>
      <c r="U20" s="52"/>
      <c r="V20" s="51">
        <f t="shared" si="6"/>
        <v>1</v>
      </c>
      <c r="W20" s="52">
        <f t="shared" si="25"/>
        <v>1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120</v>
      </c>
      <c r="C21" s="37">
        <v>264.0</v>
      </c>
      <c r="D21" s="37">
        <v>21.0</v>
      </c>
      <c r="E21" s="40">
        <f t="shared" si="2"/>
        <v>15.6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7">C21+L21</f>
        <v>273</v>
      </c>
      <c r="O21" s="37">
        <f t="shared" si="27"/>
        <v>21</v>
      </c>
      <c r="P21" s="49" t="s">
        <v>57</v>
      </c>
      <c r="Q21" s="49" t="s">
        <v>57</v>
      </c>
      <c r="R21" s="49" t="s">
        <v>57</v>
      </c>
      <c r="S21" s="51">
        <f t="shared" si="4"/>
        <v>10</v>
      </c>
      <c r="T21" s="52">
        <f t="shared" si="5"/>
        <v>0</v>
      </c>
      <c r="U21" s="52"/>
      <c r="V21" s="51">
        <f t="shared" si="6"/>
        <v>12</v>
      </c>
      <c r="W21" s="52">
        <f t="shared" si="25"/>
        <v>-2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135</v>
      </c>
      <c r="C22" s="37">
        <v>264.0</v>
      </c>
      <c r="D22" s="37">
        <v>19.0</v>
      </c>
      <c r="E22" s="40">
        <f t="shared" si="2"/>
        <v>13.4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8">C22+L22</f>
        <v>273</v>
      </c>
      <c r="O22" s="37">
        <f t="shared" si="28"/>
        <v>19</v>
      </c>
      <c r="P22" s="49" t="s">
        <v>57</v>
      </c>
      <c r="Q22" s="49" t="s">
        <v>57</v>
      </c>
      <c r="R22" s="49"/>
      <c r="S22" s="51">
        <f t="shared" si="4"/>
        <v>15</v>
      </c>
      <c r="T22" s="52">
        <f t="shared" si="5"/>
        <v>0</v>
      </c>
      <c r="U22" s="52"/>
      <c r="V22" s="51">
        <f t="shared" si="6"/>
        <v>7</v>
      </c>
      <c r="W22" s="52">
        <f t="shared" si="25"/>
        <v>-2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113</v>
      </c>
      <c r="C23" s="37">
        <v>262.0</v>
      </c>
      <c r="D23" s="37">
        <v>22.0</v>
      </c>
      <c r="E23" s="40">
        <f t="shared" si="2"/>
        <v>14.33333333</v>
      </c>
      <c r="F23" s="90">
        <v>1.0</v>
      </c>
      <c r="G23" s="91">
        <v>2.0</v>
      </c>
      <c r="H23" s="92">
        <v>0.0</v>
      </c>
      <c r="I23" s="91">
        <v>6.0</v>
      </c>
      <c r="J23" s="91">
        <v>6.0</v>
      </c>
      <c r="K23" s="91">
        <v>4.0</v>
      </c>
      <c r="L23" s="93">
        <v>16.0</v>
      </c>
      <c r="M23" s="91">
        <v>0.0</v>
      </c>
      <c r="N23" s="37">
        <f t="shared" ref="N23:O23" si="29">C23+L23</f>
        <v>278</v>
      </c>
      <c r="O23" s="37">
        <f t="shared" si="29"/>
        <v>22</v>
      </c>
      <c r="P23" s="49" t="s">
        <v>57</v>
      </c>
      <c r="Q23" s="49" t="s">
        <v>57</v>
      </c>
      <c r="R23" s="49" t="s">
        <v>57</v>
      </c>
      <c r="S23" s="51">
        <f t="shared" si="4"/>
        <v>12</v>
      </c>
      <c r="T23" s="52">
        <f t="shared" si="5"/>
        <v>0</v>
      </c>
      <c r="U23" s="52"/>
      <c r="V23" s="51">
        <f t="shared" si="6"/>
        <v>10</v>
      </c>
      <c r="W23" s="52">
        <f t="shared" si="25"/>
        <v>5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99</v>
      </c>
      <c r="C24" s="37">
        <v>261.0</v>
      </c>
      <c r="D24" s="37">
        <v>23.0</v>
      </c>
      <c r="E24" s="40">
        <f t="shared" si="2"/>
        <v>12.6875</v>
      </c>
      <c r="F24" s="90">
        <v>1.0</v>
      </c>
      <c r="G24" s="91">
        <v>3.0</v>
      </c>
      <c r="H24" s="92">
        <v>0.0</v>
      </c>
      <c r="I24" s="91">
        <v>7.0</v>
      </c>
      <c r="J24" s="91">
        <v>7.0</v>
      </c>
      <c r="K24" s="91">
        <v>4.0</v>
      </c>
      <c r="L24" s="93">
        <v>18.0</v>
      </c>
      <c r="M24" s="91">
        <v>2.0</v>
      </c>
      <c r="N24" s="37">
        <f t="shared" ref="N24:O24" si="30">C24+L24</f>
        <v>279</v>
      </c>
      <c r="O24" s="37">
        <f t="shared" si="30"/>
        <v>25</v>
      </c>
      <c r="P24" s="49" t="s">
        <v>57</v>
      </c>
      <c r="Q24" s="49" t="s">
        <v>57</v>
      </c>
      <c r="R24" s="49"/>
      <c r="S24" s="51">
        <f t="shared" si="4"/>
        <v>16</v>
      </c>
      <c r="T24" s="52">
        <f t="shared" si="5"/>
        <v>1</v>
      </c>
      <c r="U24" s="52"/>
      <c r="V24" s="51">
        <f t="shared" si="6"/>
        <v>5</v>
      </c>
      <c r="W24" s="52">
        <f t="shared" si="25"/>
        <v>0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103</v>
      </c>
      <c r="C25" s="37">
        <v>261.0</v>
      </c>
      <c r="D25" s="37">
        <v>23.0</v>
      </c>
      <c r="E25" s="40">
        <f t="shared" si="2"/>
        <v>12.6875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1">C25+L25</f>
        <v>270</v>
      </c>
      <c r="O25" s="37">
        <f t="shared" si="31"/>
        <v>23</v>
      </c>
      <c r="P25" s="49" t="s">
        <v>57</v>
      </c>
      <c r="Q25" s="49" t="s">
        <v>57</v>
      </c>
      <c r="R25" s="49" t="s">
        <v>57</v>
      </c>
      <c r="S25" s="51">
        <f t="shared" si="4"/>
        <v>16</v>
      </c>
      <c r="T25" s="52">
        <f t="shared" si="5"/>
        <v>1</v>
      </c>
      <c r="U25" s="52"/>
      <c r="V25" s="51">
        <f t="shared" si="6"/>
        <v>5</v>
      </c>
      <c r="W25" s="52">
        <f t="shared" si="25"/>
        <v>0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101</v>
      </c>
      <c r="C26" s="37">
        <v>260.0</v>
      </c>
      <c r="D26" s="37">
        <v>19.0</v>
      </c>
      <c r="E26" s="40">
        <f t="shared" si="2"/>
        <v>12.86666667</v>
      </c>
      <c r="F26" s="90">
        <v>1.0</v>
      </c>
      <c r="G26" s="91">
        <v>3.0</v>
      </c>
      <c r="H26" s="92">
        <v>0.0</v>
      </c>
      <c r="I26" s="91">
        <v>5.0</v>
      </c>
      <c r="J26" s="91">
        <v>7.0</v>
      </c>
      <c r="K26" s="91">
        <v>6.0</v>
      </c>
      <c r="L26" s="93">
        <v>18.0</v>
      </c>
      <c r="M26" s="91">
        <v>2.0</v>
      </c>
      <c r="N26" s="37">
        <f t="shared" ref="N26:O26" si="32">C26+L26</f>
        <v>278</v>
      </c>
      <c r="O26" s="37">
        <f t="shared" si="32"/>
        <v>21</v>
      </c>
      <c r="P26" s="49" t="s">
        <v>57</v>
      </c>
      <c r="Q26" s="49" t="s">
        <v>57</v>
      </c>
      <c r="R26" s="49" t="s">
        <v>57</v>
      </c>
      <c r="S26" s="51">
        <f t="shared" si="4"/>
        <v>15</v>
      </c>
      <c r="T26" s="52">
        <f t="shared" si="5"/>
        <v>1</v>
      </c>
      <c r="U26" s="52"/>
      <c r="V26" s="51">
        <f t="shared" si="6"/>
        <v>6</v>
      </c>
      <c r="W26" s="52">
        <f t="shared" si="25"/>
        <v>9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137</v>
      </c>
      <c r="C27" s="37">
        <v>258.0</v>
      </c>
      <c r="D27" s="37">
        <v>24.0</v>
      </c>
      <c r="E27" s="40">
        <f t="shared" si="2"/>
        <v>12.52941176</v>
      </c>
      <c r="F27" s="90">
        <v>1.0</v>
      </c>
      <c r="G27" s="91">
        <v>3.0</v>
      </c>
      <c r="H27" s="92">
        <v>0.0</v>
      </c>
      <c r="I27" s="91">
        <v>7.0</v>
      </c>
      <c r="J27" s="91">
        <v>5.0</v>
      </c>
      <c r="K27" s="91">
        <v>6.0</v>
      </c>
      <c r="L27" s="93">
        <v>18.0</v>
      </c>
      <c r="M27" s="91">
        <v>2.0</v>
      </c>
      <c r="N27" s="37">
        <f t="shared" ref="N27:O27" si="33">C27+L27</f>
        <v>276</v>
      </c>
      <c r="O27" s="37">
        <f t="shared" si="33"/>
        <v>26</v>
      </c>
      <c r="P27" s="49" t="s">
        <v>57</v>
      </c>
      <c r="Q27" s="49" t="s">
        <v>57</v>
      </c>
      <c r="R27" s="49" t="s">
        <v>57</v>
      </c>
      <c r="S27" s="51">
        <f t="shared" si="4"/>
        <v>17</v>
      </c>
      <c r="T27" s="52">
        <f t="shared" si="5"/>
        <v>0</v>
      </c>
      <c r="U27" s="52"/>
      <c r="V27" s="51">
        <f t="shared" si="6"/>
        <v>5</v>
      </c>
      <c r="W27" s="52">
        <f t="shared" si="25"/>
        <v>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115</v>
      </c>
      <c r="C28" s="37">
        <v>258.0</v>
      </c>
      <c r="D28" s="37">
        <v>22.0</v>
      </c>
      <c r="E28" s="40">
        <f t="shared" si="2"/>
        <v>12.52941176</v>
      </c>
      <c r="F28" s="90">
        <v>1.0</v>
      </c>
      <c r="G28" s="91">
        <v>3.0</v>
      </c>
      <c r="H28" s="92">
        <v>0.0</v>
      </c>
      <c r="I28" s="91">
        <v>5.0</v>
      </c>
      <c r="J28" s="91">
        <v>5.0</v>
      </c>
      <c r="K28" s="91">
        <v>4.0</v>
      </c>
      <c r="L28" s="93">
        <v>14.0</v>
      </c>
      <c r="M28" s="91">
        <v>0.0</v>
      </c>
      <c r="N28" s="37">
        <f t="shared" ref="N28:O28" si="34">C28+L28</f>
        <v>272</v>
      </c>
      <c r="O28" s="37">
        <f t="shared" si="34"/>
        <v>22</v>
      </c>
      <c r="P28" s="49" t="s">
        <v>57</v>
      </c>
      <c r="Q28" s="49" t="s">
        <v>57</v>
      </c>
      <c r="R28" s="49" t="s">
        <v>57</v>
      </c>
      <c r="S28" s="51">
        <f t="shared" si="4"/>
        <v>17</v>
      </c>
      <c r="T28" s="52">
        <f t="shared" si="5"/>
        <v>0</v>
      </c>
      <c r="U28" s="52"/>
      <c r="V28" s="51">
        <f t="shared" si="6"/>
        <v>5</v>
      </c>
      <c r="W28" s="52">
        <f t="shared" si="25"/>
        <v>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111</v>
      </c>
      <c r="C29" s="37">
        <v>258.0</v>
      </c>
      <c r="D29" s="37">
        <v>20.0</v>
      </c>
      <c r="E29" s="40">
        <f t="shared" si="2"/>
        <v>13.30769231</v>
      </c>
      <c r="F29" s="90">
        <v>1.0</v>
      </c>
      <c r="G29" s="91">
        <v>4.0</v>
      </c>
      <c r="H29" s="92">
        <v>0.0</v>
      </c>
      <c r="I29" s="91">
        <v>6.0</v>
      </c>
      <c r="J29" s="91">
        <v>6.0</v>
      </c>
      <c r="K29" s="91">
        <v>6.0</v>
      </c>
      <c r="L29" s="93">
        <v>18.0</v>
      </c>
      <c r="M29" s="91">
        <v>2.0</v>
      </c>
      <c r="N29" s="37">
        <f t="shared" ref="N29:O29" si="35">C29+L29</f>
        <v>276</v>
      </c>
      <c r="O29" s="37">
        <f t="shared" si="35"/>
        <v>22</v>
      </c>
      <c r="P29" s="49" t="s">
        <v>57</v>
      </c>
      <c r="Q29" s="49" t="s">
        <v>57</v>
      </c>
      <c r="R29" s="49"/>
      <c r="S29" s="51">
        <f t="shared" si="4"/>
        <v>13</v>
      </c>
      <c r="T29" s="52">
        <f t="shared" si="5"/>
        <v>1</v>
      </c>
      <c r="U29" s="52"/>
      <c r="V29" s="51">
        <f t="shared" si="6"/>
        <v>8</v>
      </c>
      <c r="W29" s="52">
        <f t="shared" si="25"/>
        <v>-6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130</v>
      </c>
      <c r="C30" s="37">
        <v>257.0</v>
      </c>
      <c r="D30" s="37">
        <v>25.0</v>
      </c>
      <c r="E30" s="40">
        <f t="shared" si="2"/>
        <v>11.68181818</v>
      </c>
      <c r="F30" s="90">
        <v>1.0</v>
      </c>
      <c r="G30" s="91">
        <v>4.0</v>
      </c>
      <c r="H30" s="92">
        <v>0.0</v>
      </c>
      <c r="I30" s="91">
        <v>3.0</v>
      </c>
      <c r="J30" s="91">
        <v>1.0</v>
      </c>
      <c r="K30" s="91">
        <v>6.0</v>
      </c>
      <c r="L30" s="93">
        <v>10.0</v>
      </c>
      <c r="M30" s="91">
        <v>0.0</v>
      </c>
      <c r="N30" s="37">
        <f t="shared" ref="N30:O30" si="36">C30+L30</f>
        <v>267</v>
      </c>
      <c r="O30" s="37">
        <f t="shared" si="36"/>
        <v>25</v>
      </c>
      <c r="P30" s="49" t="s">
        <v>57</v>
      </c>
      <c r="Q30" s="49" t="s">
        <v>57</v>
      </c>
      <c r="R30" s="49" t="s">
        <v>57</v>
      </c>
      <c r="S30" s="51">
        <f t="shared" si="4"/>
        <v>22</v>
      </c>
      <c r="T30" s="52">
        <f t="shared" si="5"/>
        <v>0</v>
      </c>
      <c r="U30" s="52"/>
      <c r="V30" s="51">
        <f t="shared" si="6"/>
        <v>0</v>
      </c>
      <c r="W30" s="52">
        <f t="shared" si="25"/>
        <v>4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108</v>
      </c>
      <c r="C31" s="37">
        <v>257.0</v>
      </c>
      <c r="D31" s="37">
        <v>24.0</v>
      </c>
      <c r="E31" s="40">
        <f t="shared" si="2"/>
        <v>12.47058824</v>
      </c>
      <c r="F31" s="90">
        <v>1.0</v>
      </c>
      <c r="G31" s="91">
        <v>4.0</v>
      </c>
      <c r="H31" s="92">
        <v>0.0</v>
      </c>
      <c r="I31" s="91">
        <v>3.0</v>
      </c>
      <c r="J31" s="91">
        <v>6.0</v>
      </c>
      <c r="K31" s="91">
        <v>7.0</v>
      </c>
      <c r="L31" s="93">
        <v>16.0</v>
      </c>
      <c r="M31" s="91">
        <v>2.0</v>
      </c>
      <c r="N31" s="37">
        <f t="shared" ref="N31:O31" si="37">C31+L31</f>
        <v>273</v>
      </c>
      <c r="O31" s="37">
        <f t="shared" si="37"/>
        <v>26</v>
      </c>
      <c r="P31" s="49" t="s">
        <v>57</v>
      </c>
      <c r="Q31" s="49" t="s">
        <v>57</v>
      </c>
      <c r="R31" s="49" t="s">
        <v>57</v>
      </c>
      <c r="S31" s="51">
        <f t="shared" si="4"/>
        <v>17</v>
      </c>
      <c r="T31" s="52">
        <f t="shared" si="5"/>
        <v>0</v>
      </c>
      <c r="U31" s="52"/>
      <c r="V31" s="51">
        <f t="shared" si="6"/>
        <v>5</v>
      </c>
      <c r="W31" s="52">
        <f t="shared" si="25"/>
        <v>-9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126</v>
      </c>
      <c r="C32" s="37">
        <v>255.0</v>
      </c>
      <c r="D32" s="37">
        <v>23.0</v>
      </c>
      <c r="E32" s="40">
        <f t="shared" si="2"/>
        <v>13.07142857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8">C32+L32</f>
        <v>264</v>
      </c>
      <c r="O32" s="37">
        <f t="shared" si="38"/>
        <v>23</v>
      </c>
      <c r="P32" s="49" t="s">
        <v>57</v>
      </c>
      <c r="Q32" s="49" t="s">
        <v>57</v>
      </c>
      <c r="R32" s="49" t="s">
        <v>57</v>
      </c>
      <c r="S32" s="51">
        <f t="shared" si="4"/>
        <v>14</v>
      </c>
      <c r="T32" s="52">
        <f t="shared" si="5"/>
        <v>0</v>
      </c>
      <c r="U32" s="52"/>
      <c r="V32" s="51">
        <f t="shared" si="6"/>
        <v>8</v>
      </c>
      <c r="W32" s="52">
        <f t="shared" si="25"/>
        <v>-5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112</v>
      </c>
      <c r="C33" s="37">
        <v>254.0</v>
      </c>
      <c r="D33" s="37">
        <v>18.0</v>
      </c>
      <c r="E33" s="40">
        <f t="shared" si="2"/>
        <v>13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9">C33+L33</f>
        <v>263</v>
      </c>
      <c r="O33" s="37">
        <f t="shared" si="39"/>
        <v>18</v>
      </c>
      <c r="P33" s="49" t="s">
        <v>57</v>
      </c>
      <c r="Q33" s="49" t="s">
        <v>57</v>
      </c>
      <c r="R33" s="49"/>
      <c r="S33" s="51">
        <f t="shared" si="4"/>
        <v>14</v>
      </c>
      <c r="T33" s="52">
        <f t="shared" si="5"/>
        <v>0</v>
      </c>
      <c r="U33" s="52"/>
      <c r="V33" s="51">
        <f t="shared" si="6"/>
        <v>8</v>
      </c>
      <c r="W33" s="52">
        <f t="shared" si="25"/>
        <v>-2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107</v>
      </c>
      <c r="C34" s="37">
        <v>253.0</v>
      </c>
      <c r="D34" s="37">
        <v>22.0</v>
      </c>
      <c r="E34" s="40">
        <f t="shared" si="2"/>
        <v>12.66666667</v>
      </c>
      <c r="F34" s="90">
        <v>1.0</v>
      </c>
      <c r="G34" s="91">
        <v>4.0</v>
      </c>
      <c r="H34" s="92">
        <v>0.0</v>
      </c>
      <c r="I34" s="91">
        <v>6.0</v>
      </c>
      <c r="J34" s="91">
        <v>1.0</v>
      </c>
      <c r="K34" s="91">
        <v>7.0</v>
      </c>
      <c r="L34" s="93">
        <v>14.0</v>
      </c>
      <c r="M34" s="91">
        <v>2.0</v>
      </c>
      <c r="N34" s="37">
        <f t="shared" ref="N34:O34" si="40">C34+L34</f>
        <v>267</v>
      </c>
      <c r="O34" s="37">
        <f t="shared" si="40"/>
        <v>24</v>
      </c>
      <c r="P34" s="49" t="s">
        <v>57</v>
      </c>
      <c r="Q34" s="49" t="s">
        <v>57</v>
      </c>
      <c r="R34" s="49"/>
      <c r="S34" s="51">
        <f t="shared" si="4"/>
        <v>15</v>
      </c>
      <c r="T34" s="52">
        <f t="shared" si="5"/>
        <v>0</v>
      </c>
      <c r="U34" s="52"/>
      <c r="V34" s="51">
        <f t="shared" si="6"/>
        <v>7</v>
      </c>
      <c r="W34" s="52">
        <f t="shared" si="25"/>
        <v>-2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59</v>
      </c>
      <c r="C35" s="37">
        <v>253.0</v>
      </c>
      <c r="D35" s="37">
        <v>21.0</v>
      </c>
      <c r="E35" s="40">
        <f t="shared" si="2"/>
        <v>11.61904762</v>
      </c>
      <c r="F35" s="90">
        <v>1.0</v>
      </c>
      <c r="G35" s="91">
        <v>5.0</v>
      </c>
      <c r="H35" s="92">
        <v>0.0</v>
      </c>
      <c r="I35" s="91">
        <v>4.0</v>
      </c>
      <c r="J35" s="91">
        <v>3.0</v>
      </c>
      <c r="K35" s="91">
        <v>6.0</v>
      </c>
      <c r="L35" s="93">
        <v>13.0</v>
      </c>
      <c r="M35" s="91">
        <v>1.0</v>
      </c>
      <c r="N35" s="37">
        <f t="shared" ref="N35:O35" si="41">C35+L35</f>
        <v>266</v>
      </c>
      <c r="O35" s="37">
        <f t="shared" si="41"/>
        <v>22</v>
      </c>
      <c r="P35" s="49" t="s">
        <v>57</v>
      </c>
      <c r="Q35" s="49" t="s">
        <v>57</v>
      </c>
      <c r="R35" s="49" t="s">
        <v>57</v>
      </c>
      <c r="S35" s="51">
        <f t="shared" si="4"/>
        <v>21</v>
      </c>
      <c r="T35" s="52">
        <f t="shared" si="5"/>
        <v>0</v>
      </c>
      <c r="U35" s="52"/>
      <c r="V35" s="51">
        <f t="shared" si="6"/>
        <v>1</v>
      </c>
      <c r="W35" s="52">
        <f t="shared" si="25"/>
        <v>-6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142</v>
      </c>
      <c r="C36" s="37">
        <v>252.0</v>
      </c>
      <c r="D36" s="37">
        <v>20.0</v>
      </c>
      <c r="E36" s="40">
        <f t="shared" si="2"/>
        <v>13.90909091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2">C36+L36</f>
        <v>261</v>
      </c>
      <c r="O36" s="37">
        <f t="shared" si="42"/>
        <v>20</v>
      </c>
      <c r="P36" s="49" t="s">
        <v>57</v>
      </c>
      <c r="Q36" s="49" t="s">
        <v>57</v>
      </c>
      <c r="R36" s="49"/>
      <c r="S36" s="51">
        <f t="shared" si="4"/>
        <v>11</v>
      </c>
      <c r="T36" s="52">
        <f t="shared" si="5"/>
        <v>0</v>
      </c>
      <c r="U36" s="52"/>
      <c r="V36" s="51">
        <f t="shared" si="6"/>
        <v>11</v>
      </c>
      <c r="W36" s="52">
        <f t="shared" si="25"/>
        <v>7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128</v>
      </c>
      <c r="C37" s="37">
        <v>250.0</v>
      </c>
      <c r="D37" s="37">
        <v>18.0</v>
      </c>
      <c r="E37" s="40">
        <f t="shared" si="2"/>
        <v>12.71428571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3">C37+L37</f>
        <v>259</v>
      </c>
      <c r="O37" s="37">
        <f t="shared" si="43"/>
        <v>18</v>
      </c>
      <c r="P37" s="49" t="s">
        <v>57</v>
      </c>
      <c r="Q37" s="49" t="s">
        <v>57</v>
      </c>
      <c r="R37" s="49" t="s">
        <v>57</v>
      </c>
      <c r="S37" s="51">
        <f t="shared" si="4"/>
        <v>14</v>
      </c>
      <c r="T37" s="52">
        <f t="shared" si="5"/>
        <v>0</v>
      </c>
      <c r="U37" s="52"/>
      <c r="V37" s="51">
        <f t="shared" si="6"/>
        <v>8</v>
      </c>
      <c r="W37" s="52">
        <f t="shared" si="25"/>
        <v>-1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129</v>
      </c>
      <c r="C38" s="37">
        <v>249.0</v>
      </c>
      <c r="D38" s="37">
        <v>22.0</v>
      </c>
      <c r="E38" s="40">
        <f t="shared" si="2"/>
        <v>12.1875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4">C38+L38</f>
        <v>258</v>
      </c>
      <c r="O38" s="37">
        <f t="shared" si="44"/>
        <v>22</v>
      </c>
      <c r="P38" s="49" t="s">
        <v>57</v>
      </c>
      <c r="Q38" s="49" t="s">
        <v>57</v>
      </c>
      <c r="R38" s="49" t="s">
        <v>57</v>
      </c>
      <c r="S38" s="51">
        <f t="shared" si="4"/>
        <v>16</v>
      </c>
      <c r="T38" s="52">
        <f t="shared" si="5"/>
        <v>0</v>
      </c>
      <c r="U38" s="52"/>
      <c r="V38" s="51">
        <f t="shared" si="6"/>
        <v>6</v>
      </c>
      <c r="W38" s="52">
        <f t="shared" si="25"/>
        <v>7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139</v>
      </c>
      <c r="C39" s="37">
        <v>249.0</v>
      </c>
      <c r="D39" s="37">
        <v>20.0</v>
      </c>
      <c r="E39" s="40">
        <f t="shared" si="2"/>
        <v>12</v>
      </c>
      <c r="F39" s="90">
        <v>1.0</v>
      </c>
      <c r="G39" s="91">
        <v>5.0</v>
      </c>
      <c r="H39" s="92">
        <v>0.0</v>
      </c>
      <c r="I39" s="91">
        <v>4.0</v>
      </c>
      <c r="J39" s="91">
        <v>6.0</v>
      </c>
      <c r="K39" s="91">
        <v>3.0</v>
      </c>
      <c r="L39" s="93">
        <v>13.0</v>
      </c>
      <c r="M39" s="91">
        <v>1.0</v>
      </c>
      <c r="N39" s="37">
        <f t="shared" ref="N39:O39" si="45">C39+L39</f>
        <v>262</v>
      </c>
      <c r="O39" s="37">
        <f t="shared" si="45"/>
        <v>21</v>
      </c>
      <c r="P39" s="49" t="s">
        <v>57</v>
      </c>
      <c r="Q39" s="49" t="s">
        <v>57</v>
      </c>
      <c r="R39" s="49" t="s">
        <v>57</v>
      </c>
      <c r="S39" s="51">
        <f t="shared" si="4"/>
        <v>17</v>
      </c>
      <c r="T39" s="52">
        <f t="shared" si="5"/>
        <v>0</v>
      </c>
      <c r="U39" s="52"/>
      <c r="V39" s="51">
        <f t="shared" si="6"/>
        <v>5</v>
      </c>
      <c r="W39" s="52">
        <f t="shared" si="25"/>
        <v>-2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54</v>
      </c>
      <c r="C40" s="37">
        <v>248.0</v>
      </c>
      <c r="D40" s="37">
        <v>19.0</v>
      </c>
      <c r="E40" s="40">
        <f t="shared" si="2"/>
        <v>15.25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6">C40+L40</f>
        <v>257</v>
      </c>
      <c r="O40" s="37">
        <f t="shared" si="46"/>
        <v>19</v>
      </c>
      <c r="P40" s="49" t="s">
        <v>57</v>
      </c>
      <c r="Q40" s="49" t="s">
        <v>57</v>
      </c>
      <c r="R40" s="49" t="s">
        <v>57</v>
      </c>
      <c r="S40" s="51">
        <f t="shared" si="4"/>
        <v>8</v>
      </c>
      <c r="T40" s="52">
        <f t="shared" si="5"/>
        <v>0</v>
      </c>
      <c r="U40" s="52"/>
      <c r="V40" s="51">
        <f t="shared" si="6"/>
        <v>14</v>
      </c>
      <c r="W40" s="52">
        <f t="shared" si="25"/>
        <v>-2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132</v>
      </c>
      <c r="C41" s="37">
        <v>246.0</v>
      </c>
      <c r="D41" s="37">
        <v>18.0</v>
      </c>
      <c r="E41" s="40">
        <f t="shared" si="2"/>
        <v>15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7">C41+L41</f>
        <v>255</v>
      </c>
      <c r="O41" s="37">
        <f t="shared" si="47"/>
        <v>18</v>
      </c>
      <c r="P41" s="49" t="s">
        <v>57</v>
      </c>
      <c r="Q41" s="49" t="s">
        <v>57</v>
      </c>
      <c r="R41" s="49"/>
      <c r="S41" s="51">
        <f t="shared" si="4"/>
        <v>8</v>
      </c>
      <c r="T41" s="52">
        <f t="shared" si="5"/>
        <v>0</v>
      </c>
      <c r="U41" s="52"/>
      <c r="V41" s="51">
        <f t="shared" si="6"/>
        <v>14</v>
      </c>
      <c r="W41" s="52">
        <f t="shared" si="25"/>
        <v>-2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138</v>
      </c>
      <c r="C42" s="37">
        <v>245.0</v>
      </c>
      <c r="D42" s="37">
        <v>18.0</v>
      </c>
      <c r="E42" s="40">
        <f t="shared" si="2"/>
        <v>12.35714286</v>
      </c>
      <c r="F42" s="90">
        <v>1.0</v>
      </c>
      <c r="G42" s="91">
        <v>5.0</v>
      </c>
      <c r="H42" s="92">
        <v>0.0</v>
      </c>
      <c r="I42" s="91">
        <v>6.0</v>
      </c>
      <c r="J42" s="91">
        <v>3.0</v>
      </c>
      <c r="K42" s="91">
        <v>3.0</v>
      </c>
      <c r="L42" s="93">
        <v>12.0</v>
      </c>
      <c r="M42" s="91">
        <v>1.0</v>
      </c>
      <c r="N42" s="37">
        <f t="shared" ref="N42:O42" si="48">C42+L42</f>
        <v>257</v>
      </c>
      <c r="O42" s="37">
        <f t="shared" si="48"/>
        <v>19</v>
      </c>
      <c r="P42" s="49" t="s">
        <v>57</v>
      </c>
      <c r="Q42" s="49" t="s">
        <v>57</v>
      </c>
      <c r="R42" s="49"/>
      <c r="S42" s="51">
        <f t="shared" si="4"/>
        <v>14</v>
      </c>
      <c r="T42" s="52">
        <f t="shared" si="5"/>
        <v>0</v>
      </c>
      <c r="U42" s="52"/>
      <c r="V42" s="51">
        <f t="shared" si="6"/>
        <v>8</v>
      </c>
      <c r="W42" s="52">
        <f t="shared" si="25"/>
        <v>-2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114</v>
      </c>
      <c r="C43" s="37">
        <v>244.0</v>
      </c>
      <c r="D43" s="37">
        <v>20.0</v>
      </c>
      <c r="E43" s="40">
        <f t="shared" si="2"/>
        <v>14.11111111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9">C43+L43</f>
        <v>253</v>
      </c>
      <c r="O43" s="37">
        <f t="shared" si="49"/>
        <v>20</v>
      </c>
      <c r="P43" s="49" t="s">
        <v>57</v>
      </c>
      <c r="Q43" s="49" t="s">
        <v>57</v>
      </c>
      <c r="R43" s="49"/>
      <c r="S43" s="51">
        <f t="shared" si="4"/>
        <v>9</v>
      </c>
      <c r="T43" s="52">
        <f t="shared" si="5"/>
        <v>0</v>
      </c>
      <c r="U43" s="52"/>
      <c r="V43" s="51">
        <f t="shared" si="6"/>
        <v>13</v>
      </c>
      <c r="W43" s="52">
        <f t="shared" si="25"/>
        <v>-2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104</v>
      </c>
      <c r="C44" s="37">
        <v>244.0</v>
      </c>
      <c r="D44" s="37">
        <v>19.0</v>
      </c>
      <c r="E44" s="40">
        <f t="shared" si="2"/>
        <v>13.6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50">C44+L44</f>
        <v>253</v>
      </c>
      <c r="O44" s="37">
        <f t="shared" si="50"/>
        <v>19</v>
      </c>
      <c r="P44" s="49" t="s">
        <v>57</v>
      </c>
      <c r="Q44" s="49" t="s">
        <v>57</v>
      </c>
      <c r="R44" s="49" t="s">
        <v>57</v>
      </c>
      <c r="S44" s="51">
        <f t="shared" si="4"/>
        <v>10</v>
      </c>
      <c r="T44" s="52">
        <f t="shared" si="5"/>
        <v>0</v>
      </c>
      <c r="U44" s="52"/>
      <c r="V44" s="51">
        <f t="shared" si="6"/>
        <v>12</v>
      </c>
      <c r="W44" s="52">
        <f t="shared" si="25"/>
        <v>-2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134</v>
      </c>
      <c r="C45" s="37">
        <v>243.0</v>
      </c>
      <c r="D45" s="37">
        <v>19.0</v>
      </c>
      <c r="E45" s="40">
        <f t="shared" si="2"/>
        <v>11.5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1">C45+L45</f>
        <v>252</v>
      </c>
      <c r="O45" s="37">
        <f t="shared" si="51"/>
        <v>19</v>
      </c>
      <c r="P45" s="49" t="s">
        <v>57</v>
      </c>
      <c r="Q45" s="49" t="s">
        <v>57</v>
      </c>
      <c r="R45" s="49" t="s">
        <v>57</v>
      </c>
      <c r="S45" s="51">
        <f t="shared" si="4"/>
        <v>18</v>
      </c>
      <c r="T45" s="52">
        <f t="shared" si="5"/>
        <v>0</v>
      </c>
      <c r="U45" s="52"/>
      <c r="V45" s="51">
        <f t="shared" si="6"/>
        <v>4</v>
      </c>
      <c r="W45" s="52">
        <f t="shared" si="25"/>
        <v>2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64</v>
      </c>
      <c r="C46" s="37">
        <v>242.0</v>
      </c>
      <c r="D46" s="37">
        <v>19.0</v>
      </c>
      <c r="E46" s="40">
        <f t="shared" si="2"/>
        <v>11.0952381</v>
      </c>
      <c r="F46" s="90">
        <v>1.0</v>
      </c>
      <c r="G46" s="91">
        <v>5.0</v>
      </c>
      <c r="H46" s="92">
        <v>0.0</v>
      </c>
      <c r="I46" s="91">
        <v>6.0</v>
      </c>
      <c r="J46" s="91">
        <v>6.0</v>
      </c>
      <c r="K46" s="91">
        <v>6.0</v>
      </c>
      <c r="L46" s="93">
        <v>18.0</v>
      </c>
      <c r="M46" s="91">
        <v>3.0</v>
      </c>
      <c r="N46" s="37">
        <f t="shared" ref="N46:O46" si="52">C46+L46</f>
        <v>260</v>
      </c>
      <c r="O46" s="37">
        <f t="shared" si="52"/>
        <v>22</v>
      </c>
      <c r="P46" s="49" t="s">
        <v>57</v>
      </c>
      <c r="Q46" s="49" t="s">
        <v>57</v>
      </c>
      <c r="R46" s="49" t="s">
        <v>57</v>
      </c>
      <c r="S46" s="51">
        <f t="shared" si="4"/>
        <v>21</v>
      </c>
      <c r="T46" s="52">
        <f t="shared" si="5"/>
        <v>0</v>
      </c>
      <c r="U46" s="52"/>
      <c r="V46" s="51">
        <f t="shared" si="6"/>
        <v>1</v>
      </c>
      <c r="W46" s="52">
        <f t="shared" si="25"/>
        <v>3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118</v>
      </c>
      <c r="C47" s="37">
        <v>242.0</v>
      </c>
      <c r="D47" s="37">
        <v>18.0</v>
      </c>
      <c r="E47" s="40">
        <f t="shared" si="2"/>
        <v>11.31578947</v>
      </c>
      <c r="F47" s="90">
        <v>1.0</v>
      </c>
      <c r="G47" s="91">
        <v>6.0</v>
      </c>
      <c r="H47" s="92">
        <v>0.0</v>
      </c>
      <c r="I47" s="91">
        <v>3.0</v>
      </c>
      <c r="J47" s="91">
        <v>4.0</v>
      </c>
      <c r="K47" s="91">
        <v>4.0</v>
      </c>
      <c r="L47" s="93">
        <v>11.0</v>
      </c>
      <c r="M47" s="91">
        <v>0.0</v>
      </c>
      <c r="N47" s="37">
        <f t="shared" ref="N47:O47" si="53">C47+L47</f>
        <v>253</v>
      </c>
      <c r="O47" s="37">
        <f t="shared" si="53"/>
        <v>18</v>
      </c>
      <c r="P47" s="49" t="s">
        <v>57</v>
      </c>
      <c r="Q47" s="49" t="s">
        <v>57</v>
      </c>
      <c r="R47" s="49" t="s">
        <v>57</v>
      </c>
      <c r="S47" s="51">
        <f t="shared" si="4"/>
        <v>19</v>
      </c>
      <c r="T47" s="52">
        <f t="shared" si="5"/>
        <v>0</v>
      </c>
      <c r="U47" s="52"/>
      <c r="V47" s="51">
        <f t="shared" si="6"/>
        <v>3</v>
      </c>
      <c r="W47" s="52">
        <f t="shared" si="25"/>
        <v>-3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147</v>
      </c>
      <c r="C48" s="37">
        <v>241.0</v>
      </c>
      <c r="D48" s="37">
        <v>15.0</v>
      </c>
      <c r="E48" s="40">
        <f t="shared" si="2"/>
        <v>12.88888889</v>
      </c>
      <c r="F48" s="90">
        <v>5.0</v>
      </c>
      <c r="G48" s="91">
        <v>0.0</v>
      </c>
      <c r="H48" s="92">
        <v>13.0</v>
      </c>
      <c r="I48" s="91">
        <v>0.0</v>
      </c>
      <c r="J48" s="91">
        <v>0.0</v>
      </c>
      <c r="K48" s="91">
        <v>0.0</v>
      </c>
      <c r="L48" s="93">
        <v>13.0</v>
      </c>
      <c r="M48" s="91">
        <v>0.0</v>
      </c>
      <c r="N48" s="37">
        <f t="shared" ref="N48:O48" si="54">C48+L48</f>
        <v>254</v>
      </c>
      <c r="O48" s="37">
        <f t="shared" si="54"/>
        <v>15</v>
      </c>
      <c r="P48" s="49" t="s">
        <v>57</v>
      </c>
      <c r="Q48" s="49" t="s">
        <v>57</v>
      </c>
      <c r="R48" s="49" t="s">
        <v>57</v>
      </c>
      <c r="S48" s="51">
        <f t="shared" si="4"/>
        <v>9</v>
      </c>
      <c r="T48" s="52">
        <f t="shared" si="5"/>
        <v>2</v>
      </c>
      <c r="U48" s="52"/>
      <c r="V48" s="51">
        <f t="shared" si="6"/>
        <v>11</v>
      </c>
      <c r="W48" s="52">
        <f t="shared" si="25"/>
        <v>6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109</v>
      </c>
      <c r="C49" s="37">
        <v>240.0</v>
      </c>
      <c r="D49" s="37">
        <v>17.0</v>
      </c>
      <c r="E49" s="40">
        <f t="shared" si="2"/>
        <v>12.81818182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5">C49+L49</f>
        <v>249</v>
      </c>
      <c r="O49" s="37">
        <f t="shared" si="55"/>
        <v>17</v>
      </c>
      <c r="P49" s="49" t="s">
        <v>57</v>
      </c>
      <c r="Q49" s="49" t="s">
        <v>57</v>
      </c>
      <c r="R49" s="49"/>
      <c r="S49" s="51">
        <f t="shared" si="4"/>
        <v>11</v>
      </c>
      <c r="T49" s="52">
        <f t="shared" si="5"/>
        <v>0</v>
      </c>
      <c r="U49" s="52"/>
      <c r="V49" s="51">
        <f t="shared" si="6"/>
        <v>11</v>
      </c>
      <c r="W49" s="52">
        <f t="shared" si="25"/>
        <v>-3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143</v>
      </c>
      <c r="C50" s="37">
        <v>238.0</v>
      </c>
      <c r="D50" s="37">
        <v>18.0</v>
      </c>
      <c r="E50" s="40">
        <f t="shared" si="2"/>
        <v>12.63636364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6">C50+L50</f>
        <v>247</v>
      </c>
      <c r="O50" s="37">
        <f t="shared" si="56"/>
        <v>18</v>
      </c>
      <c r="P50" s="49" t="s">
        <v>57</v>
      </c>
      <c r="Q50" s="49" t="s">
        <v>57</v>
      </c>
      <c r="R50" s="49" t="s">
        <v>57</v>
      </c>
      <c r="S50" s="51">
        <f t="shared" si="4"/>
        <v>11</v>
      </c>
      <c r="T50" s="52">
        <f t="shared" si="5"/>
        <v>0</v>
      </c>
      <c r="U50" s="52"/>
      <c r="V50" s="51">
        <f t="shared" si="6"/>
        <v>11</v>
      </c>
      <c r="W50" s="52">
        <f t="shared" si="25"/>
        <v>-2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152</v>
      </c>
      <c r="C51" s="37">
        <v>236.0</v>
      </c>
      <c r="D51" s="37">
        <v>21.0</v>
      </c>
      <c r="E51" s="40">
        <f t="shared" si="2"/>
        <v>11.53333333</v>
      </c>
      <c r="F51" s="90">
        <v>1.0</v>
      </c>
      <c r="G51" s="91">
        <v>6.0</v>
      </c>
      <c r="H51" s="92">
        <v>0.0</v>
      </c>
      <c r="I51" s="91">
        <v>3.0</v>
      </c>
      <c r="J51" s="91">
        <v>6.0</v>
      </c>
      <c r="K51" s="91">
        <v>6.0</v>
      </c>
      <c r="L51" s="93">
        <v>15.0</v>
      </c>
      <c r="M51" s="91">
        <v>2.0</v>
      </c>
      <c r="N51" s="37">
        <f t="shared" ref="N51:O51" si="57">C51+L51</f>
        <v>251</v>
      </c>
      <c r="O51" s="37">
        <f t="shared" si="57"/>
        <v>23</v>
      </c>
      <c r="P51" s="49" t="s">
        <v>57</v>
      </c>
      <c r="Q51" s="49" t="s">
        <v>57</v>
      </c>
      <c r="R51" s="49" t="s">
        <v>57</v>
      </c>
      <c r="S51" s="51">
        <f t="shared" si="4"/>
        <v>15</v>
      </c>
      <c r="T51" s="52">
        <f t="shared" si="5"/>
        <v>0</v>
      </c>
      <c r="U51" s="52"/>
      <c r="V51" s="51">
        <f t="shared" si="6"/>
        <v>7</v>
      </c>
      <c r="W51" s="52">
        <f t="shared" si="25"/>
        <v>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151</v>
      </c>
      <c r="C52" s="37">
        <v>235.0</v>
      </c>
      <c r="D52" s="37">
        <v>15.0</v>
      </c>
      <c r="E52" s="40">
        <f t="shared" si="2"/>
        <v>11.53846154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8">C52+L52</f>
        <v>244</v>
      </c>
      <c r="O52" s="37">
        <f t="shared" si="58"/>
        <v>15</v>
      </c>
      <c r="P52" s="49" t="s">
        <v>57</v>
      </c>
      <c r="Q52" s="49" t="s">
        <v>57</v>
      </c>
      <c r="R52" s="49" t="s">
        <v>57</v>
      </c>
      <c r="S52" s="51">
        <f t="shared" si="4"/>
        <v>13</v>
      </c>
      <c r="T52" s="52">
        <f t="shared" si="5"/>
        <v>1</v>
      </c>
      <c r="U52" s="52"/>
      <c r="V52" s="51">
        <f t="shared" si="6"/>
        <v>8</v>
      </c>
      <c r="W52" s="52">
        <f t="shared" si="25"/>
        <v>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110</v>
      </c>
      <c r="C53" s="37">
        <v>234.0</v>
      </c>
      <c r="D53" s="37">
        <v>18.0</v>
      </c>
      <c r="E53" s="40">
        <f t="shared" si="2"/>
        <v>11.25</v>
      </c>
      <c r="F53" s="90">
        <v>1.0</v>
      </c>
      <c r="G53" s="91">
        <v>6.0</v>
      </c>
      <c r="H53" s="92">
        <v>0.0</v>
      </c>
      <c r="I53" s="91">
        <v>6.0</v>
      </c>
      <c r="J53" s="91">
        <v>4.0</v>
      </c>
      <c r="K53" s="91">
        <v>6.0</v>
      </c>
      <c r="L53" s="93">
        <v>16.0</v>
      </c>
      <c r="M53" s="91">
        <v>2.0</v>
      </c>
      <c r="N53" s="37">
        <f t="shared" ref="N53:O53" si="59">C53+L53</f>
        <v>250</v>
      </c>
      <c r="O53" s="37">
        <f t="shared" si="59"/>
        <v>20</v>
      </c>
      <c r="P53" s="49" t="s">
        <v>57</v>
      </c>
      <c r="Q53" s="49" t="s">
        <v>57</v>
      </c>
      <c r="R53" s="49" t="s">
        <v>57</v>
      </c>
      <c r="S53" s="51">
        <f t="shared" si="4"/>
        <v>16</v>
      </c>
      <c r="T53" s="52">
        <f t="shared" si="5"/>
        <v>0</v>
      </c>
      <c r="U53" s="52"/>
      <c r="V53" s="51">
        <f t="shared" si="6"/>
        <v>6</v>
      </c>
      <c r="W53" s="52">
        <f t="shared" si="25"/>
        <v>-3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51</v>
      </c>
      <c r="C54" s="37">
        <v>233.0</v>
      </c>
      <c r="D54" s="37">
        <v>14.0</v>
      </c>
      <c r="E54" s="40">
        <f t="shared" si="2"/>
        <v>16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60">C54+L54</f>
        <v>242</v>
      </c>
      <c r="O54" s="37">
        <f t="shared" si="60"/>
        <v>14</v>
      </c>
      <c r="P54" s="49" t="s">
        <v>57</v>
      </c>
      <c r="Q54" s="49" t="s">
        <v>57</v>
      </c>
      <c r="R54" s="49"/>
      <c r="S54" s="51">
        <f t="shared" si="4"/>
        <v>5</v>
      </c>
      <c r="T54" s="52">
        <f t="shared" si="5"/>
        <v>0</v>
      </c>
      <c r="U54" s="52"/>
      <c r="V54" s="51">
        <f t="shared" si="6"/>
        <v>17</v>
      </c>
      <c r="W54" s="52">
        <f t="shared" si="25"/>
        <v>-3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90</v>
      </c>
      <c r="C55" s="37">
        <v>232.0</v>
      </c>
      <c r="D55" s="37">
        <v>12.0</v>
      </c>
      <c r="E55" s="40">
        <f t="shared" si="2"/>
        <v>13.85714286</v>
      </c>
      <c r="F55" s="90">
        <v>1.0</v>
      </c>
      <c r="G55" s="91">
        <v>6.0</v>
      </c>
      <c r="H55" s="92">
        <v>0.0</v>
      </c>
      <c r="I55" s="91">
        <v>6.0</v>
      </c>
      <c r="J55" s="91">
        <v>6.0</v>
      </c>
      <c r="K55" s="91">
        <v>4.0</v>
      </c>
      <c r="L55" s="93">
        <v>16.0</v>
      </c>
      <c r="M55" s="91">
        <v>2.0</v>
      </c>
      <c r="N55" s="37">
        <f t="shared" ref="N55:O55" si="61">C55+L55</f>
        <v>248</v>
      </c>
      <c r="O55" s="37">
        <f t="shared" si="61"/>
        <v>14</v>
      </c>
      <c r="P55" s="49" t="s">
        <v>57</v>
      </c>
      <c r="Q55" s="49" t="s">
        <v>57</v>
      </c>
      <c r="R55" s="49" t="s">
        <v>57</v>
      </c>
      <c r="S55" s="51">
        <f t="shared" si="4"/>
        <v>7</v>
      </c>
      <c r="T55" s="52">
        <f t="shared" si="5"/>
        <v>0</v>
      </c>
      <c r="U55" s="52"/>
      <c r="V55" s="51">
        <f t="shared" si="6"/>
        <v>15</v>
      </c>
      <c r="W55" s="52">
        <f t="shared" si="25"/>
        <v>-2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231.0</v>
      </c>
      <c r="D56" s="37">
        <v>14.0</v>
      </c>
      <c r="E56" s="40">
        <f t="shared" si="2"/>
        <v>10.5</v>
      </c>
      <c r="F56" s="90">
        <v>1.0</v>
      </c>
      <c r="G56" s="91">
        <v>7.0</v>
      </c>
      <c r="H56" s="92">
        <v>0.0</v>
      </c>
      <c r="I56" s="91">
        <v>6.0</v>
      </c>
      <c r="J56" s="91">
        <v>3.0</v>
      </c>
      <c r="K56" s="91">
        <v>1.0</v>
      </c>
      <c r="L56" s="93">
        <v>10.0</v>
      </c>
      <c r="M56" s="91">
        <v>1.0</v>
      </c>
      <c r="N56" s="37">
        <f t="shared" ref="N56:O56" si="62">C56+L56</f>
        <v>241</v>
      </c>
      <c r="O56" s="37">
        <f t="shared" si="62"/>
        <v>15</v>
      </c>
      <c r="P56" s="49" t="s">
        <v>57</v>
      </c>
      <c r="Q56" s="49" t="s">
        <v>57</v>
      </c>
      <c r="R56" s="49" t="s">
        <v>57</v>
      </c>
      <c r="S56" s="51">
        <f t="shared" si="4"/>
        <v>22</v>
      </c>
      <c r="T56" s="52">
        <f t="shared" si="5"/>
        <v>0</v>
      </c>
      <c r="U56" s="52"/>
      <c r="V56" s="51">
        <f t="shared" si="6"/>
        <v>0</v>
      </c>
      <c r="W56" s="52">
        <f t="shared" si="25"/>
        <v>1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140</v>
      </c>
      <c r="C57" s="37">
        <v>227.0</v>
      </c>
      <c r="D57" s="37">
        <v>15.0</v>
      </c>
      <c r="E57" s="40">
        <f t="shared" si="2"/>
        <v>10.93333333</v>
      </c>
      <c r="F57" s="90">
        <v>1.0</v>
      </c>
      <c r="G57" s="91">
        <v>7.0</v>
      </c>
      <c r="H57" s="92">
        <v>0.0</v>
      </c>
      <c r="I57" s="91">
        <v>2.0</v>
      </c>
      <c r="J57" s="91">
        <v>3.0</v>
      </c>
      <c r="K57" s="91">
        <v>6.0</v>
      </c>
      <c r="L57" s="93">
        <v>11.0</v>
      </c>
      <c r="M57" s="91">
        <v>1.0</v>
      </c>
      <c r="N57" s="37">
        <f t="shared" ref="N57:O57" si="63">C57+L57</f>
        <v>238</v>
      </c>
      <c r="O57" s="37">
        <f t="shared" si="63"/>
        <v>16</v>
      </c>
      <c r="P57" s="49" t="s">
        <v>57</v>
      </c>
      <c r="Q57" s="49" t="s">
        <v>57</v>
      </c>
      <c r="R57" s="49" t="s">
        <v>57</v>
      </c>
      <c r="S57" s="51">
        <f t="shared" si="4"/>
        <v>15</v>
      </c>
      <c r="T57" s="52">
        <f t="shared" si="5"/>
        <v>0</v>
      </c>
      <c r="U57" s="52"/>
      <c r="V57" s="51">
        <f t="shared" si="6"/>
        <v>7</v>
      </c>
      <c r="W57" s="52">
        <f t="shared" si="25"/>
        <v>-1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153</v>
      </c>
      <c r="C58" s="37">
        <v>221.0</v>
      </c>
      <c r="D58" s="37">
        <v>10.0</v>
      </c>
      <c r="E58" s="40">
        <f t="shared" si="2"/>
        <v>13.6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4">C58+L58</f>
        <v>230</v>
      </c>
      <c r="O58" s="37">
        <f t="shared" si="64"/>
        <v>10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17</v>
      </c>
      <c r="W58" s="52">
        <f t="shared" si="25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70</v>
      </c>
      <c r="C59" s="37">
        <v>219.0</v>
      </c>
      <c r="D59" s="37">
        <v>10.0</v>
      </c>
      <c r="E59" s="40">
        <f t="shared" si="2"/>
        <v>12.4</v>
      </c>
      <c r="F59" s="90">
        <v>4.0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5">C59+L59</f>
        <v>228</v>
      </c>
      <c r="O59" s="37">
        <f t="shared" si="65"/>
        <v>10</v>
      </c>
      <c r="P59" s="49" t="s">
        <v>57</v>
      </c>
      <c r="Q59" s="49" t="s">
        <v>57</v>
      </c>
      <c r="R59" s="49" t="s">
        <v>57</v>
      </c>
      <c r="S59" s="51">
        <f t="shared" si="4"/>
        <v>5</v>
      </c>
      <c r="T59" s="52">
        <f t="shared" si="5"/>
        <v>1</v>
      </c>
      <c r="U59" s="52"/>
      <c r="V59" s="51">
        <f t="shared" si="6"/>
        <v>16</v>
      </c>
      <c r="W59" s="52">
        <f t="shared" si="25"/>
        <v>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76</v>
      </c>
      <c r="C60" s="37">
        <v>218.0</v>
      </c>
      <c r="D60" s="37">
        <v>8.0</v>
      </c>
      <c r="E60" s="40">
        <f t="shared" si="2"/>
        <v>11.66666667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6">C60+L60</f>
        <v>227</v>
      </c>
      <c r="O60" s="37">
        <f t="shared" si="66"/>
        <v>8</v>
      </c>
      <c r="P60" s="49" t="s">
        <v>57</v>
      </c>
      <c r="Q60" s="49" t="s">
        <v>57</v>
      </c>
      <c r="R60" s="49"/>
      <c r="S60" s="51">
        <f t="shared" si="4"/>
        <v>6</v>
      </c>
      <c r="T60" s="52">
        <f t="shared" si="5"/>
        <v>1</v>
      </c>
      <c r="U60" s="52"/>
      <c r="V60" s="51">
        <f t="shared" si="6"/>
        <v>15</v>
      </c>
      <c r="W60" s="52">
        <f t="shared" si="25"/>
        <v>-1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98</v>
      </c>
      <c r="C61" s="37">
        <v>211.0</v>
      </c>
      <c r="D61" s="37">
        <v>10.0</v>
      </c>
      <c r="E61" s="40">
        <f t="shared" si="2"/>
        <v>9.642857143</v>
      </c>
      <c r="F61" s="90">
        <v>1.0</v>
      </c>
      <c r="G61" s="91">
        <v>7.0</v>
      </c>
      <c r="H61" s="92">
        <v>0.0</v>
      </c>
      <c r="I61" s="91">
        <v>2.0</v>
      </c>
      <c r="J61" s="91">
        <v>6.0</v>
      </c>
      <c r="K61" s="91">
        <v>1.0</v>
      </c>
      <c r="L61" s="93">
        <v>9.0</v>
      </c>
      <c r="M61" s="91">
        <v>1.0</v>
      </c>
      <c r="N61" s="37">
        <f t="shared" ref="N61:O61" si="67">C61+L61</f>
        <v>220</v>
      </c>
      <c r="O61" s="37">
        <f t="shared" si="67"/>
        <v>11</v>
      </c>
      <c r="P61" s="49" t="s">
        <v>57</v>
      </c>
      <c r="Q61" s="49" t="s">
        <v>57</v>
      </c>
      <c r="R61" s="49" t="s">
        <v>57</v>
      </c>
      <c r="S61" s="51">
        <f t="shared" si="4"/>
        <v>14</v>
      </c>
      <c r="T61" s="52">
        <f t="shared" si="5"/>
        <v>1</v>
      </c>
      <c r="U61" s="52"/>
      <c r="V61" s="51">
        <f t="shared" si="6"/>
        <v>7</v>
      </c>
      <c r="W61" s="52">
        <f t="shared" si="25"/>
        <v>4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131</v>
      </c>
      <c r="C62" s="37">
        <v>209.0</v>
      </c>
      <c r="D62" s="37">
        <v>6.0</v>
      </c>
      <c r="E62" s="40">
        <f t="shared" si="2"/>
        <v>11.33333333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8">C62+L62</f>
        <v>218</v>
      </c>
      <c r="O62" s="37">
        <f t="shared" si="68"/>
        <v>6</v>
      </c>
      <c r="P62" s="49" t="s">
        <v>57</v>
      </c>
      <c r="Q62" s="49" t="s">
        <v>57</v>
      </c>
      <c r="R62" s="49" t="s">
        <v>57</v>
      </c>
      <c r="S62" s="51">
        <f t="shared" si="4"/>
        <v>3</v>
      </c>
      <c r="T62" s="52">
        <f t="shared" si="5"/>
        <v>1</v>
      </c>
      <c r="U62" s="52"/>
      <c r="V62" s="51">
        <f t="shared" si="6"/>
        <v>18</v>
      </c>
      <c r="W62" s="52">
        <f t="shared" si="25"/>
        <v>-2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150</v>
      </c>
      <c r="C63" s="37">
        <v>207.0</v>
      </c>
      <c r="D63" s="37">
        <v>6.0</v>
      </c>
      <c r="E63" s="40">
        <f t="shared" si="2"/>
        <v>12</v>
      </c>
      <c r="F63" s="90">
        <v>1.0</v>
      </c>
      <c r="G63" s="91">
        <v>7.0</v>
      </c>
      <c r="H63" s="92">
        <v>0.0</v>
      </c>
      <c r="I63" s="91">
        <v>6.0</v>
      </c>
      <c r="J63" s="91">
        <v>6.0</v>
      </c>
      <c r="K63" s="91">
        <v>6.0</v>
      </c>
      <c r="L63" s="93">
        <v>18.0</v>
      </c>
      <c r="M63" s="91">
        <v>3.0</v>
      </c>
      <c r="N63" s="37">
        <f t="shared" ref="N63:O63" si="69">C63+L63</f>
        <v>225</v>
      </c>
      <c r="O63" s="37">
        <f t="shared" si="69"/>
        <v>9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19</v>
      </c>
      <c r="W63" s="52">
        <f t="shared" si="25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145</v>
      </c>
      <c r="C64" s="37">
        <v>206.0</v>
      </c>
      <c r="D64" s="37">
        <v>12.0</v>
      </c>
      <c r="E64" s="40">
        <f t="shared" si="2"/>
        <v>9.888888889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70">C64+L64</f>
        <v>215</v>
      </c>
      <c r="O64" s="37">
        <f t="shared" si="70"/>
        <v>12</v>
      </c>
      <c r="P64" s="49" t="s">
        <v>57</v>
      </c>
      <c r="Q64" s="49" t="s">
        <v>57</v>
      </c>
      <c r="R64" s="49"/>
      <c r="S64" s="51">
        <f t="shared" si="4"/>
        <v>9</v>
      </c>
      <c r="T64" s="52">
        <f t="shared" si="5"/>
        <v>0</v>
      </c>
      <c r="U64" s="52"/>
      <c r="V64" s="51">
        <f t="shared" si="6"/>
        <v>13</v>
      </c>
      <c r="W64" s="52">
        <f t="shared" si="25"/>
        <v>-1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100</v>
      </c>
      <c r="C65" s="37">
        <v>206.0</v>
      </c>
      <c r="D65" s="37">
        <v>6.0</v>
      </c>
      <c r="E65" s="40">
        <f t="shared" si="2"/>
        <v>11.66666667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1">C65+L65</f>
        <v>215</v>
      </c>
      <c r="O65" s="37">
        <f t="shared" si="71"/>
        <v>6</v>
      </c>
      <c r="P65" s="49" t="s">
        <v>57</v>
      </c>
      <c r="Q65" s="49" t="s">
        <v>57</v>
      </c>
      <c r="R65" s="49"/>
      <c r="S65" s="51">
        <f t="shared" si="4"/>
        <v>3</v>
      </c>
      <c r="T65" s="52">
        <f t="shared" si="5"/>
        <v>0</v>
      </c>
      <c r="U65" s="52"/>
      <c r="V65" s="51">
        <f t="shared" si="6"/>
        <v>19</v>
      </c>
      <c r="W65" s="52">
        <f t="shared" si="25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154</v>
      </c>
      <c r="C66" s="37">
        <v>204.0</v>
      </c>
      <c r="D66" s="37">
        <v>7.0</v>
      </c>
      <c r="E66" s="40">
        <f t="shared" si="2"/>
        <v>10</v>
      </c>
      <c r="F66" s="90">
        <v>1.0</v>
      </c>
      <c r="G66" s="91">
        <v>8.0</v>
      </c>
      <c r="H66" s="92">
        <v>0.0</v>
      </c>
      <c r="I66" s="91">
        <v>6.0</v>
      </c>
      <c r="J66" s="91">
        <v>6.0</v>
      </c>
      <c r="K66" s="91">
        <v>7.0</v>
      </c>
      <c r="L66" s="93">
        <v>19.0</v>
      </c>
      <c r="M66" s="91">
        <v>3.0</v>
      </c>
      <c r="N66" s="37">
        <f t="shared" ref="N66:O66" si="72">C66+L66</f>
        <v>223</v>
      </c>
      <c r="O66" s="37">
        <f t="shared" si="72"/>
        <v>10</v>
      </c>
      <c r="P66" s="49" t="s">
        <v>57</v>
      </c>
      <c r="Q66" s="49" t="s">
        <v>57</v>
      </c>
      <c r="R66" s="49" t="s">
        <v>57</v>
      </c>
      <c r="S66" s="51">
        <f t="shared" si="4"/>
        <v>6</v>
      </c>
      <c r="T66" s="52">
        <f t="shared" si="5"/>
        <v>0</v>
      </c>
      <c r="U66" s="52"/>
      <c r="V66" s="51">
        <f t="shared" si="6"/>
        <v>16</v>
      </c>
      <c r="W66" s="52">
        <f t="shared" si="25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148</v>
      </c>
      <c r="C67" s="37">
        <v>204.0</v>
      </c>
      <c r="D67" s="37">
        <v>4.0</v>
      </c>
      <c r="E67" s="40">
        <f t="shared" si="2"/>
        <v>10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3">C67+L67</f>
        <v>213</v>
      </c>
      <c r="O67" s="37">
        <f t="shared" si="73"/>
        <v>4</v>
      </c>
      <c r="P67" s="49" t="s">
        <v>57</v>
      </c>
      <c r="Q67" s="49" t="s">
        <v>57</v>
      </c>
      <c r="R67" s="49" t="s">
        <v>57</v>
      </c>
      <c r="S67" s="51">
        <f t="shared" si="4"/>
        <v>2</v>
      </c>
      <c r="T67" s="52">
        <f t="shared" si="5"/>
        <v>1</v>
      </c>
      <c r="U67" s="52"/>
      <c r="V67" s="51">
        <f t="shared" si="6"/>
        <v>19</v>
      </c>
      <c r="W67" s="52">
        <f t="shared" si="25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144</v>
      </c>
      <c r="C68" s="37">
        <v>203.0</v>
      </c>
      <c r="D68" s="37">
        <v>10.0</v>
      </c>
      <c r="E68" s="40">
        <f t="shared" si="2"/>
        <v>9.384615385</v>
      </c>
      <c r="F68" s="90">
        <v>1.0</v>
      </c>
      <c r="G68" s="91">
        <v>8.0</v>
      </c>
      <c r="H68" s="92">
        <v>0.0</v>
      </c>
      <c r="I68" s="91">
        <v>2.0</v>
      </c>
      <c r="J68" s="91">
        <v>3.0</v>
      </c>
      <c r="K68" s="91">
        <v>7.0</v>
      </c>
      <c r="L68" s="93">
        <v>12.0</v>
      </c>
      <c r="M68" s="91">
        <v>1.0</v>
      </c>
      <c r="N68" s="37">
        <f t="shared" ref="N68:O68" si="74">C68+L68</f>
        <v>215</v>
      </c>
      <c r="O68" s="37">
        <f t="shared" si="74"/>
        <v>11</v>
      </c>
      <c r="P68" s="49" t="s">
        <v>57</v>
      </c>
      <c r="Q68" s="49" t="s">
        <v>57</v>
      </c>
      <c r="R68" s="49" t="s">
        <v>57</v>
      </c>
      <c r="S68" s="51">
        <f t="shared" si="4"/>
        <v>13</v>
      </c>
      <c r="T68" s="52">
        <f t="shared" si="5"/>
        <v>0</v>
      </c>
      <c r="U68" s="52"/>
      <c r="V68" s="51">
        <f t="shared" si="6"/>
        <v>9</v>
      </c>
      <c r="W68" s="52">
        <f t="shared" si="25"/>
        <v>5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133</v>
      </c>
      <c r="C69" s="37">
        <v>202.0</v>
      </c>
      <c r="D69" s="37">
        <v>5.0</v>
      </c>
      <c r="E69" s="40">
        <f t="shared" si="2"/>
        <v>9.5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5">C69+L69</f>
        <v>211</v>
      </c>
      <c r="O69" s="37">
        <f t="shared" si="75"/>
        <v>5</v>
      </c>
      <c r="P69" s="49" t="s">
        <v>57</v>
      </c>
      <c r="Q69" s="49" t="s">
        <v>57</v>
      </c>
      <c r="R69" s="49" t="s">
        <v>57</v>
      </c>
      <c r="S69" s="51">
        <f t="shared" si="4"/>
        <v>8</v>
      </c>
      <c r="T69" s="52">
        <f t="shared" si="5"/>
        <v>0</v>
      </c>
      <c r="U69" s="52"/>
      <c r="V69" s="51">
        <f t="shared" si="6"/>
        <v>14</v>
      </c>
      <c r="W69" s="52">
        <f t="shared" si="25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136</v>
      </c>
      <c r="C70" s="37">
        <v>200.0</v>
      </c>
      <c r="D70" s="37">
        <v>5.0</v>
      </c>
      <c r="E70" s="40">
        <f t="shared" si="2"/>
        <v>9.333333333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6">C70+L70</f>
        <v>209</v>
      </c>
      <c r="O70" s="37">
        <f t="shared" si="76"/>
        <v>5</v>
      </c>
      <c r="P70" s="49" t="s">
        <v>57</v>
      </c>
      <c r="Q70" s="49" t="s">
        <v>57</v>
      </c>
      <c r="R70" s="49"/>
      <c r="S70" s="51">
        <f t="shared" si="4"/>
        <v>6</v>
      </c>
      <c r="T70" s="52">
        <f t="shared" si="5"/>
        <v>0</v>
      </c>
      <c r="U70" s="52"/>
      <c r="V70" s="51">
        <f t="shared" si="6"/>
        <v>16</v>
      </c>
      <c r="W70" s="52">
        <f t="shared" si="25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146</v>
      </c>
      <c r="C71" s="37">
        <v>200.0</v>
      </c>
      <c r="D71" s="37">
        <v>4.0</v>
      </c>
      <c r="E71" s="40">
        <f t="shared" si="2"/>
        <v>8.333333333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7">C71+L71</f>
        <v>209</v>
      </c>
      <c r="O71" s="37">
        <f t="shared" si="77"/>
        <v>4</v>
      </c>
      <c r="P71" s="49" t="s">
        <v>57</v>
      </c>
      <c r="Q71" s="49" t="s">
        <v>57</v>
      </c>
      <c r="R71" s="49" t="s">
        <v>57</v>
      </c>
      <c r="S71" s="51">
        <f t="shared" si="4"/>
        <v>3</v>
      </c>
      <c r="T71" s="52">
        <f t="shared" si="5"/>
        <v>1</v>
      </c>
      <c r="U71" s="52"/>
      <c r="V71" s="51">
        <f t="shared" si="6"/>
        <v>18</v>
      </c>
      <c r="W71" s="52">
        <f t="shared" si="25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125</v>
      </c>
      <c r="C72" s="37">
        <v>199.0</v>
      </c>
      <c r="D72" s="37">
        <v>3.0</v>
      </c>
      <c r="E72" s="40">
        <f t="shared" si="2"/>
        <v>10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8">C72+L72</f>
        <v>208</v>
      </c>
      <c r="O72" s="37">
        <f t="shared" si="78"/>
        <v>3</v>
      </c>
      <c r="P72" s="49" t="s">
        <v>57</v>
      </c>
      <c r="Q72" s="49" t="s">
        <v>57</v>
      </c>
      <c r="R72" s="49"/>
      <c r="S72" s="51">
        <f t="shared" si="4"/>
        <v>1</v>
      </c>
      <c r="T72" s="52">
        <f t="shared" si="5"/>
        <v>0</v>
      </c>
      <c r="U72" s="52"/>
      <c r="V72" s="51">
        <f t="shared" si="6"/>
        <v>21</v>
      </c>
      <c r="W72" s="52">
        <f t="shared" si="25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78</v>
      </c>
      <c r="C73" s="37">
        <v>199.0</v>
      </c>
      <c r="D73" s="37">
        <v>2.0</v>
      </c>
      <c r="E73" s="40">
        <f t="shared" si="2"/>
        <v>6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9">C73+L73</f>
        <v>208</v>
      </c>
      <c r="O73" s="37">
        <f t="shared" si="79"/>
        <v>2</v>
      </c>
      <c r="P73" s="49" t="s">
        <v>57</v>
      </c>
      <c r="Q73" s="49" t="s">
        <v>57</v>
      </c>
      <c r="R73" s="49" t="s">
        <v>155</v>
      </c>
      <c r="S73" s="51">
        <f t="shared" si="4"/>
        <v>1</v>
      </c>
      <c r="T73" s="52">
        <f t="shared" si="5"/>
        <v>1</v>
      </c>
      <c r="U73" s="52"/>
      <c r="V73" s="51">
        <f t="shared" si="6"/>
        <v>20</v>
      </c>
      <c r="W73" s="52">
        <f t="shared" si="25"/>
        <v>-1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149</v>
      </c>
      <c r="C74" s="37">
        <v>197.0</v>
      </c>
      <c r="D74" s="37">
        <v>7.0</v>
      </c>
      <c r="E74" s="40">
        <f t="shared" si="2"/>
        <v>8.857142857</v>
      </c>
      <c r="F74" s="90">
        <v>1.0</v>
      </c>
      <c r="G74" s="91">
        <v>8.0</v>
      </c>
      <c r="H74" s="92">
        <v>0.0</v>
      </c>
      <c r="I74" s="91">
        <v>2.0</v>
      </c>
      <c r="J74" s="91">
        <v>6.0</v>
      </c>
      <c r="K74" s="91">
        <v>5.0</v>
      </c>
      <c r="L74" s="93">
        <v>13.0</v>
      </c>
      <c r="M74" s="91">
        <v>1.0</v>
      </c>
      <c r="N74" s="37">
        <f t="shared" ref="N74:O74" si="80">C74+L74</f>
        <v>210</v>
      </c>
      <c r="O74" s="37">
        <f t="shared" si="80"/>
        <v>8</v>
      </c>
      <c r="P74" s="49" t="s">
        <v>57</v>
      </c>
      <c r="Q74" s="49" t="s">
        <v>57</v>
      </c>
      <c r="R74" s="49" t="s">
        <v>57</v>
      </c>
      <c r="S74" s="51">
        <f t="shared" si="4"/>
        <v>7</v>
      </c>
      <c r="T74" s="52">
        <f t="shared" si="5"/>
        <v>0</v>
      </c>
      <c r="U74" s="52"/>
      <c r="V74" s="51">
        <f t="shared" si="6"/>
        <v>15</v>
      </c>
      <c r="W74" s="52">
        <f t="shared" si="25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195.0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1">C75+L75</f>
        <v>204</v>
      </c>
      <c r="O75" s="37">
        <f t="shared" si="81"/>
        <v>1</v>
      </c>
      <c r="P75" s="49" t="s">
        <v>57</v>
      </c>
      <c r="Q75" s="49" t="s">
        <v>57</v>
      </c>
      <c r="R75" s="49"/>
      <c r="S75" s="51">
        <f t="shared" si="4"/>
        <v>1</v>
      </c>
      <c r="T75" s="52">
        <f t="shared" si="5"/>
        <v>0</v>
      </c>
      <c r="U75" s="52"/>
      <c r="V75" s="51">
        <f t="shared" si="6"/>
        <v>21</v>
      </c>
      <c r="W75" s="52">
        <f t="shared" si="25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124</v>
      </c>
      <c r="C76" s="37">
        <v>191.0</v>
      </c>
      <c r="D76" s="37">
        <v>1.0</v>
      </c>
      <c r="E76" s="40">
        <f t="shared" si="2"/>
        <v>2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2">C76+L76</f>
        <v>200</v>
      </c>
      <c r="O76" s="37">
        <f t="shared" si="82"/>
        <v>1</v>
      </c>
      <c r="P76" s="49" t="s">
        <v>57</v>
      </c>
      <c r="Q76" s="49" t="s">
        <v>57</v>
      </c>
      <c r="R76" s="49"/>
      <c r="S76" s="51">
        <f t="shared" si="4"/>
        <v>1</v>
      </c>
      <c r="T76" s="52">
        <f t="shared" si="5"/>
        <v>0</v>
      </c>
      <c r="U76" s="52"/>
      <c r="V76" s="51">
        <f t="shared" si="6"/>
        <v>21</v>
      </c>
      <c r="W76" s="52">
        <f t="shared" si="25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189.0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3">C77+L77</f>
        <v>198</v>
      </c>
      <c r="O77" s="37">
        <f t="shared" si="83"/>
        <v>0</v>
      </c>
      <c r="P77" s="49" t="s">
        <v>57</v>
      </c>
      <c r="Q77" s="49" t="s">
        <v>57</v>
      </c>
      <c r="R77" s="49"/>
      <c r="S77" s="51">
        <f t="shared" si="4"/>
        <v>1</v>
      </c>
      <c r="T77" s="52">
        <f t="shared" si="5"/>
        <v>0</v>
      </c>
      <c r="U77" s="52"/>
      <c r="V77" s="51">
        <f t="shared" si="6"/>
        <v>21</v>
      </c>
      <c r="W77" s="52">
        <f t="shared" si="25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141</v>
      </c>
      <c r="C78" s="37">
        <v>189.0</v>
      </c>
      <c r="D78" s="37">
        <v>0.0</v>
      </c>
      <c r="E78" s="40">
        <f t="shared" si="2"/>
        <v>0</v>
      </c>
      <c r="F78" s="90">
        <v>1.0</v>
      </c>
      <c r="G78" s="91">
        <v>8.0</v>
      </c>
      <c r="H78" s="92">
        <v>0.0</v>
      </c>
      <c r="I78" s="91">
        <v>6.0</v>
      </c>
      <c r="J78" s="91">
        <v>3.0</v>
      </c>
      <c r="K78" s="91">
        <v>5.0</v>
      </c>
      <c r="L78" s="93">
        <v>14.0</v>
      </c>
      <c r="M78" s="91">
        <v>1.0</v>
      </c>
      <c r="N78" s="37">
        <f t="shared" ref="N78:O78" si="84">C78+L78</f>
        <v>203</v>
      </c>
      <c r="O78" s="37">
        <f t="shared" si="84"/>
        <v>1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21</v>
      </c>
      <c r="W78" s="52">
        <f t="shared" si="25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189.0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5">C79+L79</f>
        <v>198</v>
      </c>
      <c r="O79" s="37">
        <f t="shared" si="85"/>
        <v>0</v>
      </c>
      <c r="P79" s="49" t="s">
        <v>57</v>
      </c>
      <c r="Q79" s="49" t="s">
        <v>57</v>
      </c>
      <c r="R79" s="49" t="s">
        <v>155</v>
      </c>
      <c r="S79" s="51">
        <f t="shared" si="4"/>
        <v>0</v>
      </c>
      <c r="T79" s="52">
        <f t="shared" si="5"/>
        <v>0</v>
      </c>
      <c r="U79" s="52"/>
      <c r="V79" s="51">
        <f t="shared" si="6"/>
        <v>22</v>
      </c>
      <c r="W79" s="52">
        <f t="shared" si="25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countif(R5:R79,"X")</f>
        <v>48</v>
      </c>
      <c r="S84" s="114">
        <f>R84/R87</f>
        <v>0.64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countif(R5:R79,"N")</f>
        <v>2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countif(R5:R79,"")</f>
        <v>25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75</v>
      </c>
    </row>
    <row r="88">
      <c r="A88" s="5"/>
      <c r="B88" s="119" t="str">
        <f>concatenate("Top Scores : " &amp;AC2)</f>
        <v>Top Scores : 05/30/26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Wen")</f>
        <v>Andrew Wen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IFERROR(__xludf.DUMMYFUNCTION("""COMPUTED_VALUE"""),8.0)</f>
        <v>8</v>
      </c>
      <c r="F91" s="5"/>
    </row>
    <row r="92">
      <c r="A92" s="5"/>
      <c r="B92" s="36" t="str">
        <f>IFERROR(__xludf.DUMMYFUNCTION("""COMPUTED_VALUE"""),"Darren Wong")</f>
        <v>Darren Wong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IFERROR(__xludf.DUMMYFUNCTION("""COMPUTED_VALUE"""),2.0)</f>
        <v>2</v>
      </c>
      <c r="F92" s="5"/>
    </row>
    <row r="93">
      <c r="A93" s="5"/>
      <c r="B93" s="36" t="str">
        <f>IFERROR(__xludf.DUMMYFUNCTION("""COMPUTED_VALUE"""),"Elayaraja Thangaraj")</f>
        <v>Elayaraja Thangaraj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IFERROR(__xludf.DUMMYFUNCTION("""COMPUTED_VALUE"""),4.0)</f>
        <v>4</v>
      </c>
      <c r="F93" s="5"/>
    </row>
    <row r="94">
      <c r="A94" s="5"/>
      <c r="B94" s="36" t="str">
        <f>IFERROR(__xludf.DUMMYFUNCTION("""COMPUTED_VALUE"""),"Vishnu Amarnath")</f>
        <v>Vishnu Amarnath</v>
      </c>
      <c r="C94" s="122">
        <f>IFERROR(__xludf.DUMMYFUNCTION("""COMPUTED_VALUE"""),19.0)</f>
        <v>19</v>
      </c>
      <c r="D94" s="122">
        <f>IFERROR(__xludf.DUMMYFUNCTION("""COMPUTED_VALUE"""),3.0)</f>
        <v>3</v>
      </c>
      <c r="E94" s="122">
        <f>IFERROR(__xludf.DUMMYFUNCTION("""COMPUTED_VALUE"""),7.0)</f>
        <v>7</v>
      </c>
      <c r="F94" s="5"/>
    </row>
    <row r="95">
      <c r="A95" s="5"/>
      <c r="B95" s="36" t="str">
        <f>IFERROR(__xludf.DUMMYFUNCTION("""COMPUTED_VALUE"""),"Ruben Ron")</f>
        <v>Ruben Ron</v>
      </c>
      <c r="C95" s="122">
        <f>IFERROR(__xludf.DUMMYFUNCTION("""COMPUTED_VALUE"""),19.0)</f>
        <v>19</v>
      </c>
      <c r="D95" s="122">
        <f>IFERROR(__xludf.DUMMYFUNCTION("""COMPUTED_VALUE"""),2.0)</f>
        <v>2</v>
      </c>
      <c r="E95" s="122">
        <f>IFERROR(__xludf.DUMMYFUNCTION("""COMPUTED_VALUE"""),6.0)</f>
        <v>6</v>
      </c>
      <c r="F95" s="5"/>
    </row>
    <row r="96">
      <c r="A96" s="5"/>
      <c r="B96" s="36" t="str">
        <f>IFERROR(__xludf.DUMMYFUNCTION("""COMPUTED_VALUE"""),"Andrew Yao")</f>
        <v>Andrew Yao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IFERROR(__xludf.DUMMYFUNCTION("""COMPUTED_VALUE"""),1.0)</f>
        <v>1</v>
      </c>
      <c r="F96" s="5"/>
    </row>
    <row r="97">
      <c r="A97" s="5"/>
      <c r="B97" s="36" t="str">
        <f>IFERROR(__xludf.DUMMYFUNCTION("""COMPUTED_VALUE"""),"Chinna Ponnaganti")</f>
        <v>Chinna Ponnaganti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IFERROR(__xludf.DUMMYFUNCTION("""COMPUTED_VALUE"""),6.0)</f>
        <v>6</v>
      </c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10"")"),"Ethan Gu")</f>
        <v>Ethan Gu</v>
      </c>
      <c r="C110" s="122">
        <f>IFERROR(__xludf.DUMMYFUNCTION("""COMPUTED_VALUE"""),10.0)</f>
        <v>10</v>
      </c>
      <c r="D110" s="122">
        <f t="shared" ref="D110:D119" si="86">VLOOKUP(B110,indirect($AC$2&amp;"!B$5:X$79"),23, false)</f>
        <v>10</v>
      </c>
      <c r="E110" s="122">
        <f t="shared" ref="E110:E119" si="87">VLOOKUP(B110,B$5:X$79,23, false)</f>
        <v>13</v>
      </c>
      <c r="F110" s="122">
        <f t="shared" ref="F110:F119" si="88">VLOOKUP(B110,indirect($AC$2&amp;"!B$5:U$79"),11, false)</f>
        <v>9</v>
      </c>
      <c r="G110" s="122">
        <f t="shared" ref="G110:G119" si="89">VLOOKUP(B110,indirect($AC$2&amp;"!B$5:U$79"),6, false)</f>
        <v>0</v>
      </c>
      <c r="L110" s="122" t="str">
        <f t="shared" ref="L110:L119" si="90">if(D110-E110=C110,"ok","Error")</f>
        <v>Error</v>
      </c>
    </row>
    <row r="111">
      <c r="A111" s="5"/>
      <c r="B111" s="36" t="str">
        <f>IFERROR(__xludf.DUMMYFUNCTION("""COMPUTED_VALUE"""),"Chinna Ponnaganti")</f>
        <v>Chinna Ponnaganti</v>
      </c>
      <c r="C111" s="122">
        <f>IFERROR(__xludf.DUMMYFUNCTION("""COMPUTED_VALUE"""),9.0)</f>
        <v>9</v>
      </c>
      <c r="D111" s="122">
        <f t="shared" si="86"/>
        <v>31</v>
      </c>
      <c r="E111" s="122">
        <f t="shared" si="87"/>
        <v>22</v>
      </c>
      <c r="F111" s="122">
        <f t="shared" si="88"/>
        <v>18</v>
      </c>
      <c r="G111" s="122">
        <f t="shared" si="89"/>
        <v>6</v>
      </c>
      <c r="L111" s="122" t="str">
        <f t="shared" si="90"/>
        <v>ok</v>
      </c>
    </row>
    <row r="112">
      <c r="A112" s="5"/>
      <c r="B112" s="36" t="str">
        <f>IFERROR(__xludf.DUMMYFUNCTION("""COMPUTED_VALUE"""),"Elayaraja Thangaraj")</f>
        <v>Elayaraja Thangaraj</v>
      </c>
      <c r="C112" s="122">
        <f>IFERROR(__xludf.DUMMYFUNCTION("""COMPUTED_VALUE"""),7.0)</f>
        <v>7</v>
      </c>
      <c r="D112" s="122">
        <f t="shared" si="86"/>
        <v>22</v>
      </c>
      <c r="E112" s="122">
        <f t="shared" si="87"/>
        <v>15</v>
      </c>
      <c r="F112" s="122">
        <f t="shared" si="88"/>
        <v>19</v>
      </c>
      <c r="G112" s="122">
        <f t="shared" si="89"/>
        <v>4</v>
      </c>
      <c r="L112" s="122" t="str">
        <f t="shared" si="90"/>
        <v>ok</v>
      </c>
    </row>
    <row r="113">
      <c r="A113" s="5"/>
      <c r="B113" s="36" t="str">
        <f>IFERROR(__xludf.DUMMYFUNCTION("""COMPUTED_VALUE"""),"Ruben Ron")</f>
        <v>Ruben Ron</v>
      </c>
      <c r="C113" s="122">
        <f>IFERROR(__xludf.DUMMYFUNCTION("""COMPUTED_VALUE"""),7.0)</f>
        <v>7</v>
      </c>
      <c r="D113" s="122">
        <f t="shared" si="86"/>
        <v>39</v>
      </c>
      <c r="E113" s="122">
        <f t="shared" si="87"/>
        <v>32</v>
      </c>
      <c r="F113" s="122">
        <f t="shared" si="88"/>
        <v>19</v>
      </c>
      <c r="G113" s="122">
        <f t="shared" si="89"/>
        <v>6</v>
      </c>
      <c r="L113" s="122" t="str">
        <f t="shared" si="90"/>
        <v>ok</v>
      </c>
    </row>
    <row r="114">
      <c r="A114" s="5"/>
      <c r="B114" s="36" t="str">
        <f>IFERROR(__xludf.DUMMYFUNCTION("""COMPUTED_VALUE"""),"Jimmy Awolesi")</f>
        <v>Jimmy Awolesi</v>
      </c>
      <c r="C114" s="122">
        <f>IFERROR(__xludf.DUMMYFUNCTION("""COMPUTED_VALUE"""),7.0)</f>
        <v>7</v>
      </c>
      <c r="D114" s="122">
        <f t="shared" si="86"/>
        <v>41</v>
      </c>
      <c r="E114" s="122">
        <f t="shared" si="87"/>
        <v>34</v>
      </c>
      <c r="F114" s="122">
        <f t="shared" si="88"/>
        <v>17</v>
      </c>
      <c r="G114" s="122">
        <f t="shared" si="89"/>
        <v>6</v>
      </c>
      <c r="L114" s="122" t="str">
        <f t="shared" si="90"/>
        <v>ok</v>
      </c>
    </row>
    <row r="115">
      <c r="A115" s="5"/>
      <c r="B115" s="36" t="str">
        <f>IFERROR(__xludf.DUMMYFUNCTION("""COMPUTED_VALUE"""),"Vishnu Amarnath")</f>
        <v>Vishnu Amarnath</v>
      </c>
      <c r="C115" s="122">
        <f>IFERROR(__xludf.DUMMYFUNCTION("""COMPUTED_VALUE"""),6.0)</f>
        <v>6</v>
      </c>
      <c r="D115" s="122">
        <f t="shared" si="86"/>
        <v>50</v>
      </c>
      <c r="E115" s="122">
        <f t="shared" si="87"/>
        <v>44</v>
      </c>
      <c r="F115" s="122">
        <f t="shared" si="88"/>
        <v>19</v>
      </c>
      <c r="G115" s="122">
        <f t="shared" si="89"/>
        <v>7</v>
      </c>
      <c r="L115" s="122" t="str">
        <f t="shared" si="90"/>
        <v>ok</v>
      </c>
    </row>
    <row r="116">
      <c r="A116" s="5"/>
      <c r="B116" s="36" t="str">
        <f>IFERROR(__xludf.DUMMYFUNCTION("""COMPUTED_VALUE"""),"Oscar Bonilla")</f>
        <v>Oscar Bonilla</v>
      </c>
      <c r="C116" s="122">
        <f>IFERROR(__xludf.DUMMYFUNCTION("""COMPUTED_VALUE"""),5.0)</f>
        <v>5</v>
      </c>
      <c r="D116" s="122">
        <f t="shared" si="86"/>
        <v>24</v>
      </c>
      <c r="E116" s="122">
        <f t="shared" si="87"/>
        <v>19</v>
      </c>
      <c r="F116" s="122">
        <f t="shared" si="88"/>
        <v>16</v>
      </c>
      <c r="G116" s="122">
        <f t="shared" si="89"/>
        <v>4</v>
      </c>
      <c r="L116" s="122" t="str">
        <f t="shared" si="90"/>
        <v>ok</v>
      </c>
    </row>
    <row r="117">
      <c r="A117" s="5"/>
      <c r="B117" s="36" t="str">
        <f>IFERROR(__xludf.DUMMYFUNCTION("""COMPUTED_VALUE"""),"Tina Hanson")</f>
        <v>Tina Hanson</v>
      </c>
      <c r="C117" s="122">
        <f>IFERROR(__xludf.DUMMYFUNCTION("""COMPUTED_VALUE"""),5.0)</f>
        <v>5</v>
      </c>
      <c r="D117" s="122">
        <f t="shared" si="86"/>
        <v>29</v>
      </c>
      <c r="E117" s="122">
        <f t="shared" si="87"/>
        <v>24</v>
      </c>
      <c r="F117" s="122">
        <f t="shared" si="88"/>
        <v>15</v>
      </c>
      <c r="G117" s="122">
        <f t="shared" si="89"/>
        <v>5</v>
      </c>
      <c r="L117" s="122" t="str">
        <f t="shared" si="90"/>
        <v>ok</v>
      </c>
    </row>
    <row r="118">
      <c r="A118" s="5"/>
      <c r="B118" s="36" t="str">
        <f>IFERROR(__xludf.DUMMYFUNCTION("""COMPUTED_VALUE"""),"Ranjith Doraiswamy")</f>
        <v>Ranjith Doraiswamy</v>
      </c>
      <c r="C118" s="122">
        <f>IFERROR(__xludf.DUMMYFUNCTION("""COMPUTED_VALUE"""),5.0)</f>
        <v>5</v>
      </c>
      <c r="D118" s="122">
        <f t="shared" si="86"/>
        <v>69</v>
      </c>
      <c r="E118" s="122">
        <f t="shared" si="87"/>
        <v>64</v>
      </c>
      <c r="F118" s="122">
        <f t="shared" si="88"/>
        <v>15</v>
      </c>
      <c r="G118" s="122">
        <f t="shared" si="89"/>
        <v>8</v>
      </c>
      <c r="L118" s="122" t="str">
        <f t="shared" si="90"/>
        <v>ok</v>
      </c>
    </row>
    <row r="119">
      <c r="A119" s="5"/>
      <c r="B119" s="36" t="str">
        <f>IFERROR(__xludf.DUMMYFUNCTION("""COMPUTED_VALUE"""),"Wayne Liu")</f>
        <v>Wayne Liu</v>
      </c>
      <c r="C119" s="122">
        <f>IFERROR(__xludf.DUMMYFUNCTION("""COMPUTED_VALUE"""),4.0)</f>
        <v>4</v>
      </c>
      <c r="D119" s="122">
        <f t="shared" si="86"/>
        <v>30</v>
      </c>
      <c r="E119" s="122">
        <f t="shared" si="87"/>
        <v>26</v>
      </c>
      <c r="F119" s="122">
        <f t="shared" si="88"/>
        <v>15</v>
      </c>
      <c r="G119" s="122">
        <f t="shared" si="89"/>
        <v>5</v>
      </c>
      <c r="L119" s="122" t="str">
        <f t="shared" si="90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22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1">A5</f>
        <v>1</v>
      </c>
      <c r="B128" s="36" t="str">
        <f t="shared" si="91"/>
        <v>Andrew Yao</v>
      </c>
      <c r="C128" s="122">
        <f t="shared" si="91"/>
        <v>324</v>
      </c>
      <c r="D128" s="122">
        <f t="shared" si="91"/>
        <v>43</v>
      </c>
      <c r="E128" s="122">
        <f t="shared" si="91"/>
        <v>15.3</v>
      </c>
      <c r="F128" s="5"/>
    </row>
    <row r="129">
      <c r="A129" s="122">
        <f t="shared" ref="A129:E129" si="92">A6</f>
        <v>2</v>
      </c>
      <c r="B129" s="36" t="str">
        <f t="shared" si="92"/>
        <v>Pulkit Mathur</v>
      </c>
      <c r="C129" s="122">
        <f t="shared" si="92"/>
        <v>310</v>
      </c>
      <c r="D129" s="122">
        <f t="shared" si="92"/>
        <v>35</v>
      </c>
      <c r="E129" s="122">
        <f t="shared" si="92"/>
        <v>15.22222222</v>
      </c>
      <c r="F129" s="5"/>
    </row>
    <row r="130">
      <c r="A130" s="122">
        <f t="shared" ref="A130:E130" si="93">A7</f>
        <v>3</v>
      </c>
      <c r="B130" s="36" t="str">
        <f t="shared" si="93"/>
        <v>Sandeep Kamalon</v>
      </c>
      <c r="C130" s="122">
        <f t="shared" si="93"/>
        <v>296</v>
      </c>
      <c r="D130" s="122">
        <f t="shared" si="93"/>
        <v>29</v>
      </c>
      <c r="E130" s="122">
        <f t="shared" si="93"/>
        <v>14.15789474</v>
      </c>
      <c r="F130" s="5"/>
    </row>
    <row r="131">
      <c r="A131" s="122">
        <f t="shared" ref="A131:E131" si="94">A8</f>
        <v>4</v>
      </c>
      <c r="B131" s="36" t="str">
        <f t="shared" si="94"/>
        <v>Suleman Alidina</v>
      </c>
      <c r="C131" s="122">
        <f t="shared" si="94"/>
        <v>292</v>
      </c>
      <c r="D131" s="122">
        <f t="shared" si="94"/>
        <v>28</v>
      </c>
      <c r="E131" s="122">
        <f t="shared" si="94"/>
        <v>13.52631579</v>
      </c>
      <c r="F131" s="5"/>
    </row>
    <row r="132">
      <c r="A132" s="122">
        <f t="shared" ref="A132:E132" si="95">A9</f>
        <v>5</v>
      </c>
      <c r="B132" s="36" t="str">
        <f t="shared" si="95"/>
        <v>Erik Hoeckmann</v>
      </c>
      <c r="C132" s="122">
        <f t="shared" si="95"/>
        <v>285</v>
      </c>
      <c r="D132" s="122">
        <f t="shared" si="95"/>
        <v>27</v>
      </c>
      <c r="E132" s="122">
        <f t="shared" si="95"/>
        <v>13.61111111</v>
      </c>
      <c r="F132" s="5"/>
    </row>
    <row r="133">
      <c r="A133" s="122">
        <f t="shared" ref="A133:E133" si="96">A10</f>
        <v>6</v>
      </c>
      <c r="B133" s="36" t="str">
        <f t="shared" si="96"/>
        <v>David Shin</v>
      </c>
      <c r="C133" s="122">
        <f t="shared" si="96"/>
        <v>282</v>
      </c>
      <c r="D133" s="122">
        <f t="shared" si="96"/>
        <v>29</v>
      </c>
      <c r="E133" s="122">
        <f t="shared" si="96"/>
        <v>13.21052632</v>
      </c>
      <c r="F133" s="5"/>
    </row>
    <row r="134">
      <c r="A134" s="122">
        <f t="shared" ref="A134:E134" si="97">A11</f>
        <v>7</v>
      </c>
      <c r="B134" s="36" t="str">
        <f t="shared" si="97"/>
        <v>Manish Anand</v>
      </c>
      <c r="C134" s="122">
        <f t="shared" si="97"/>
        <v>282</v>
      </c>
      <c r="D134" s="122">
        <f t="shared" si="97"/>
        <v>28</v>
      </c>
      <c r="E134" s="122">
        <f t="shared" si="97"/>
        <v>13.94117647</v>
      </c>
      <c r="F134" s="5"/>
    </row>
    <row r="135">
      <c r="A135" s="122">
        <f t="shared" ref="A135:E135" si="98">A12</f>
        <v>8</v>
      </c>
      <c r="B135" s="36" t="str">
        <f t="shared" si="98"/>
        <v>Darren Wong</v>
      </c>
      <c r="C135" s="122">
        <f t="shared" si="98"/>
        <v>280</v>
      </c>
      <c r="D135" s="122">
        <f t="shared" si="98"/>
        <v>28</v>
      </c>
      <c r="E135" s="122">
        <f t="shared" si="98"/>
        <v>15.83333333</v>
      </c>
      <c r="F135" s="5"/>
    </row>
    <row r="136">
      <c r="A136" s="122">
        <f t="shared" ref="A136:E136" si="99">A13</f>
        <v>9</v>
      </c>
      <c r="B136" s="36" t="str">
        <f t="shared" si="99"/>
        <v>Pavan Akkimsetty</v>
      </c>
      <c r="C136" s="122">
        <f t="shared" si="99"/>
        <v>279</v>
      </c>
      <c r="D136" s="122">
        <f t="shared" si="99"/>
        <v>25</v>
      </c>
      <c r="E136" s="122">
        <f t="shared" si="99"/>
        <v>14.13333333</v>
      </c>
      <c r="F136" s="5"/>
    </row>
    <row r="137">
      <c r="A137" s="122">
        <f t="shared" ref="A137:E137" si="100">A14</f>
        <v>10</v>
      </c>
      <c r="B137" s="36" t="str">
        <f t="shared" si="100"/>
        <v>Matthew Huang</v>
      </c>
      <c r="C137" s="122">
        <f t="shared" si="100"/>
        <v>271</v>
      </c>
      <c r="D137" s="122">
        <f t="shared" si="100"/>
        <v>26</v>
      </c>
      <c r="E137" s="122">
        <f t="shared" si="100"/>
        <v>14.30769231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192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1">if(B164&lt;&gt;"",A163+1,0)</f>
        <v>2</v>
      </c>
      <c r="B164" s="36" t="str">
        <f>IFERROR(__xludf.DUMMYFUNCTION("""COMPUTED_VALUE"""),"Wayne Liu")</f>
        <v>Wayne Liu</v>
      </c>
      <c r="C164" s="5"/>
      <c r="D164" s="5"/>
      <c r="E164" s="5"/>
      <c r="F164" s="5"/>
    </row>
    <row r="165">
      <c r="A165" s="122">
        <f t="shared" si="101"/>
        <v>0</v>
      </c>
      <c r="B165" s="36"/>
      <c r="C165" s="5"/>
      <c r="D165" s="5"/>
      <c r="E165" s="5"/>
      <c r="F165" s="5"/>
      <c r="P165" s="36"/>
    </row>
    <row r="166">
      <c r="A166" s="122">
        <f t="shared" si="101"/>
        <v>0</v>
      </c>
      <c r="B166" s="36"/>
      <c r="C166" s="5"/>
      <c r="D166" s="5"/>
      <c r="E166" s="5"/>
      <c r="F166" s="5"/>
    </row>
    <row r="167">
      <c r="A167" s="122">
        <f t="shared" si="101"/>
        <v>0</v>
      </c>
      <c r="B167" s="36"/>
      <c r="C167" s="5"/>
      <c r="D167" s="5"/>
      <c r="E167" s="5"/>
      <c r="F167" s="5"/>
    </row>
    <row r="168">
      <c r="A168" s="122">
        <f t="shared" si="101"/>
        <v>0</v>
      </c>
      <c r="B168" s="36"/>
      <c r="C168" s="5"/>
      <c r="D168" s="5"/>
      <c r="E168" s="5"/>
      <c r="F168" s="5"/>
    </row>
    <row r="169">
      <c r="A169" s="122">
        <f t="shared" si="101"/>
        <v>0</v>
      </c>
      <c r="B169" s="36"/>
      <c r="C169" s="5"/>
      <c r="D169" s="5"/>
      <c r="E169" s="5"/>
      <c r="F169" s="5"/>
    </row>
    <row r="170">
      <c r="A170" s="122">
        <f t="shared" si="101"/>
        <v>0</v>
      </c>
      <c r="B170" s="36"/>
      <c r="C170" s="5"/>
      <c r="D170" s="5"/>
      <c r="E170" s="5"/>
      <c r="F170" s="5"/>
    </row>
    <row r="171">
      <c r="A171" s="122">
        <f t="shared" si="101"/>
        <v>0</v>
      </c>
      <c r="B171" s="36"/>
      <c r="C171" s="5"/>
      <c r="D171" s="5"/>
      <c r="E171" s="5"/>
      <c r="F171" s="5"/>
    </row>
    <row r="172">
      <c r="A172" s="122">
        <f t="shared" si="101"/>
        <v>0</v>
      </c>
      <c r="B172" s="36"/>
      <c r="C172" s="5"/>
      <c r="D172" s="5"/>
      <c r="E172" s="5"/>
      <c r="F172" s="5"/>
    </row>
    <row r="173">
      <c r="A173" s="122">
        <f t="shared" si="101"/>
        <v>0</v>
      </c>
      <c r="B173" s="36"/>
      <c r="C173" s="5"/>
      <c r="D173" s="5"/>
      <c r="E173" s="5"/>
      <c r="F173" s="5"/>
    </row>
    <row r="174">
      <c r="A174" s="122">
        <f t="shared" si="101"/>
        <v>0</v>
      </c>
      <c r="B174" s="36"/>
      <c r="C174" s="5"/>
      <c r="D174" s="5"/>
      <c r="E174" s="5"/>
      <c r="F174" s="5"/>
    </row>
    <row r="175">
      <c r="A175" s="122">
        <f t="shared" si="101"/>
        <v>0</v>
      </c>
      <c r="B175" s="36"/>
      <c r="C175" s="5"/>
      <c r="D175" s="5"/>
      <c r="E175" s="5"/>
      <c r="F175" s="5"/>
    </row>
    <row r="176">
      <c r="A176" s="122">
        <f t="shared" si="101"/>
        <v>0</v>
      </c>
      <c r="B176" s="36"/>
      <c r="C176" s="5"/>
      <c r="D176" s="5"/>
      <c r="E176" s="5"/>
      <c r="F176" s="5"/>
    </row>
    <row r="177">
      <c r="A177" s="122">
        <f t="shared" si="101"/>
        <v>0</v>
      </c>
      <c r="B177" s="36"/>
      <c r="C177" s="5"/>
      <c r="D177" s="5"/>
      <c r="E177" s="5"/>
      <c r="F177" s="5"/>
    </row>
    <row r="178">
      <c r="A178" s="122">
        <f t="shared" si="101"/>
        <v>0</v>
      </c>
      <c r="B178" s="36"/>
      <c r="C178" s="5"/>
      <c r="D178" s="5"/>
      <c r="E178" s="5"/>
      <c r="F178" s="5"/>
    </row>
    <row r="179">
      <c r="A179" s="122">
        <f t="shared" si="101"/>
        <v>0</v>
      </c>
      <c r="B179" s="36"/>
      <c r="C179" s="5"/>
      <c r="D179" s="5"/>
      <c r="E179" s="5"/>
      <c r="F179" s="5"/>
    </row>
    <row r="180">
      <c r="A180" s="122">
        <f t="shared" si="101"/>
        <v>0</v>
      </c>
      <c r="B180" s="36"/>
      <c r="C180" s="5"/>
      <c r="D180" s="5"/>
      <c r="E180" s="5"/>
      <c r="F180" s="5"/>
    </row>
    <row r="181">
      <c r="A181" s="122">
        <f t="shared" si="101"/>
        <v>0</v>
      </c>
      <c r="B181" s="36"/>
      <c r="C181" s="5"/>
      <c r="D181" s="5"/>
      <c r="E181" s="5"/>
      <c r="F181" s="5"/>
    </row>
    <row r="182">
      <c r="A182" s="122">
        <f t="shared" si="101"/>
        <v>0</v>
      </c>
      <c r="B182" s="36"/>
      <c r="C182" s="5"/>
      <c r="D182" s="5"/>
      <c r="E182" s="5"/>
      <c r="F182" s="5"/>
    </row>
    <row r="183">
      <c r="A183" s="122">
        <f t="shared" si="101"/>
        <v>0</v>
      </c>
      <c r="B183" s="36"/>
      <c r="C183" s="5"/>
      <c r="D183" s="5"/>
      <c r="E183" s="5"/>
      <c r="F183" s="5"/>
    </row>
    <row r="184">
      <c r="A184" s="122">
        <f t="shared" si="101"/>
        <v>0</v>
      </c>
      <c r="B184" s="36"/>
      <c r="C184" s="5"/>
      <c r="D184" s="5"/>
      <c r="E184" s="5"/>
      <c r="F184" s="5"/>
    </row>
    <row r="185">
      <c r="A185" s="122">
        <f t="shared" si="101"/>
        <v>0</v>
      </c>
      <c r="B185" s="36"/>
      <c r="C185" s="5"/>
      <c r="D185" s="5"/>
      <c r="E185" s="5"/>
      <c r="F185" s="5"/>
    </row>
    <row r="186">
      <c r="A186" s="122">
        <f t="shared" si="101"/>
        <v>0</v>
      </c>
      <c r="B186" s="36"/>
      <c r="C186" s="5"/>
      <c r="D186" s="5"/>
      <c r="E186" s="5"/>
      <c r="F186" s="5"/>
    </row>
    <row r="187">
      <c r="A187" s="122">
        <f t="shared" si="101"/>
        <v>0</v>
      </c>
      <c r="B187" s="36"/>
      <c r="C187" s="5"/>
      <c r="D187" s="5"/>
      <c r="E187" s="5"/>
      <c r="F187" s="5"/>
    </row>
    <row r="188">
      <c r="A188" s="122">
        <f t="shared" si="101"/>
        <v>0</v>
      </c>
      <c r="B188" s="36"/>
      <c r="C188" s="5"/>
      <c r="D188" s="5"/>
      <c r="E188" s="5"/>
      <c r="F188" s="5"/>
    </row>
    <row r="189">
      <c r="A189" s="122">
        <f t="shared" si="101"/>
        <v>0</v>
      </c>
      <c r="B189" s="36"/>
      <c r="C189" s="5"/>
      <c r="D189" s="5"/>
      <c r="E189" s="5"/>
      <c r="F189" s="5"/>
    </row>
    <row r="190">
      <c r="A190" s="122">
        <f t="shared" si="101"/>
        <v>0</v>
      </c>
      <c r="B190" s="36"/>
      <c r="C190" s="5"/>
      <c r="D190" s="5"/>
      <c r="E190" s="5"/>
      <c r="F190" s="5"/>
    </row>
    <row r="191">
      <c r="A191" s="122">
        <f t="shared" si="101"/>
        <v>0</v>
      </c>
      <c r="B191" s="36"/>
      <c r="C191" s="5"/>
      <c r="D191" s="5"/>
      <c r="E191" s="5"/>
      <c r="F191" s="5"/>
    </row>
    <row r="192">
      <c r="A192" s="122">
        <f t="shared" si="101"/>
        <v>0</v>
      </c>
      <c r="B192" s="36"/>
      <c r="C192" s="5"/>
      <c r="D192" s="5"/>
      <c r="E192" s="5"/>
      <c r="F192" s="5"/>
    </row>
    <row r="193">
      <c r="A193" s="122">
        <f t="shared" si="101"/>
        <v>0</v>
      </c>
      <c r="B193" s="36"/>
      <c r="C193" s="5"/>
      <c r="D193" s="5"/>
      <c r="E193" s="5"/>
      <c r="F193" s="5"/>
    </row>
    <row r="194">
      <c r="A194" s="122">
        <f t="shared" si="101"/>
        <v>0</v>
      </c>
      <c r="B194" s="36"/>
      <c r="C194" s="5"/>
      <c r="D194" s="5"/>
      <c r="E194" s="5"/>
      <c r="F194" s="5"/>
    </row>
    <row r="195">
      <c r="A195" s="122">
        <f t="shared" si="101"/>
        <v>0</v>
      </c>
      <c r="B195" s="36"/>
      <c r="C195" s="5"/>
      <c r="D195" s="5"/>
      <c r="E195" s="5"/>
      <c r="F195" s="5"/>
    </row>
    <row r="196">
      <c r="A196" s="122">
        <f t="shared" si="101"/>
        <v>0</v>
      </c>
      <c r="B196" s="36"/>
      <c r="C196" s="5"/>
      <c r="D196" s="5"/>
      <c r="E196" s="5"/>
      <c r="F196" s="5"/>
    </row>
    <row r="197">
      <c r="A197" s="122">
        <f t="shared" si="101"/>
        <v>0</v>
      </c>
      <c r="B197" s="36"/>
      <c r="C197" s="5"/>
      <c r="D197" s="5"/>
      <c r="E197" s="5"/>
      <c r="F197" s="5"/>
    </row>
    <row r="198">
      <c r="A198" s="122">
        <f t="shared" si="101"/>
        <v>0</v>
      </c>
      <c r="B198" s="36"/>
      <c r="C198" s="5"/>
      <c r="D198" s="5"/>
      <c r="E198" s="5"/>
      <c r="F198" s="5"/>
    </row>
    <row r="199">
      <c r="A199" s="122">
        <f t="shared" si="101"/>
        <v>0</v>
      </c>
      <c r="B199" s="36"/>
      <c r="C199" s="5"/>
      <c r="D199" s="5"/>
      <c r="E199" s="5"/>
      <c r="F199" s="5"/>
    </row>
    <row r="200">
      <c r="A200" s="122">
        <f t="shared" si="101"/>
        <v>0</v>
      </c>
      <c r="B200" s="36"/>
      <c r="C200" s="5"/>
      <c r="D200" s="5"/>
      <c r="E200" s="5"/>
      <c r="F200" s="5"/>
    </row>
    <row r="201">
      <c r="A201" s="122">
        <f t="shared" si="101"/>
        <v>0</v>
      </c>
      <c r="B201" s="36"/>
      <c r="C201" s="5"/>
      <c r="D201" s="5"/>
      <c r="E201" s="5"/>
      <c r="F201" s="5"/>
    </row>
    <row r="202">
      <c r="A202" s="122">
        <f t="shared" si="101"/>
        <v>0</v>
      </c>
      <c r="B202" s="36"/>
      <c r="C202" s="5"/>
      <c r="D202" s="5"/>
      <c r="E202" s="5"/>
      <c r="F202" s="5"/>
    </row>
    <row r="203">
      <c r="A203" s="122">
        <f t="shared" si="101"/>
        <v>0</v>
      </c>
      <c r="B203" s="36"/>
      <c r="C203" s="5"/>
      <c r="D203" s="5"/>
      <c r="E203" s="5"/>
      <c r="F203" s="5"/>
    </row>
    <row r="204">
      <c r="A204" s="122">
        <f t="shared" si="101"/>
        <v>0</v>
      </c>
      <c r="B204" s="36"/>
      <c r="C204" s="5"/>
      <c r="D204" s="5"/>
      <c r="E204" s="5"/>
      <c r="F204" s="5"/>
    </row>
    <row r="205">
      <c r="A205" s="122">
        <f t="shared" si="101"/>
        <v>0</v>
      </c>
      <c r="B205" s="36"/>
      <c r="C205" s="5"/>
      <c r="D205" s="5"/>
      <c r="E205" s="5"/>
      <c r="F205" s="5"/>
    </row>
    <row r="206">
      <c r="A206" s="122">
        <f t="shared" si="101"/>
        <v>0</v>
      </c>
      <c r="B206" s="36"/>
      <c r="C206" s="5"/>
      <c r="D206" s="5"/>
      <c r="E206" s="5"/>
      <c r="F206" s="5"/>
    </row>
    <row r="207">
      <c r="A207" s="122">
        <f t="shared" si="101"/>
        <v>0</v>
      </c>
      <c r="B207" s="36"/>
      <c r="C207" s="5"/>
      <c r="D207" s="5"/>
      <c r="E207" s="5"/>
      <c r="F207" s="5"/>
    </row>
    <row r="208">
      <c r="A208" s="122">
        <f t="shared" si="101"/>
        <v>0</v>
      </c>
      <c r="B208" s="36"/>
      <c r="C208" s="5"/>
      <c r="D208" s="5"/>
      <c r="E208" s="5"/>
      <c r="F208" s="5"/>
    </row>
    <row r="209">
      <c r="A209" s="122">
        <f t="shared" si="101"/>
        <v>0</v>
      </c>
      <c r="B209" s="36"/>
      <c r="C209" s="5"/>
      <c r="D209" s="5"/>
      <c r="E209" s="5"/>
      <c r="F209" s="5"/>
    </row>
    <row r="210">
      <c r="A210" s="122">
        <f t="shared" si="101"/>
        <v>0</v>
      </c>
      <c r="B210" s="36"/>
      <c r="C210" s="5"/>
      <c r="D210" s="5"/>
      <c r="E210" s="5"/>
      <c r="F210" s="5"/>
    </row>
    <row r="211">
      <c r="A211" s="122">
        <f t="shared" si="101"/>
        <v>0</v>
      </c>
      <c r="B211" s="36"/>
      <c r="C211" s="5"/>
      <c r="D211" s="5"/>
      <c r="E211" s="5"/>
      <c r="F211" s="5"/>
    </row>
    <row r="212">
      <c r="A212" s="122">
        <f t="shared" si="101"/>
        <v>0</v>
      </c>
      <c r="B212" s="36"/>
      <c r="C212" s="5"/>
      <c r="D212" s="5"/>
      <c r="E212" s="5"/>
      <c r="F212" s="5"/>
    </row>
    <row r="213">
      <c r="A213" s="122">
        <f t="shared" si="101"/>
        <v>0</v>
      </c>
      <c r="B213" s="36"/>
      <c r="C213" s="5"/>
      <c r="D213" s="5"/>
      <c r="E213" s="5"/>
      <c r="F213" s="5"/>
    </row>
    <row r="214">
      <c r="A214" s="122">
        <f t="shared" si="101"/>
        <v>0</v>
      </c>
      <c r="B214" s="36"/>
      <c r="C214" s="5"/>
      <c r="D214" s="5"/>
      <c r="E214" s="5"/>
      <c r="F214" s="5"/>
    </row>
    <row r="215">
      <c r="A215" s="122">
        <f t="shared" si="101"/>
        <v>0</v>
      </c>
      <c r="B215" s="36"/>
      <c r="C215" s="5"/>
      <c r="D215" s="5"/>
      <c r="E215" s="5"/>
      <c r="F215" s="5"/>
    </row>
    <row r="216">
      <c r="A216" s="122">
        <f t="shared" si="101"/>
        <v>0</v>
      </c>
      <c r="B216" s="36"/>
      <c r="C216" s="5"/>
      <c r="D216" s="5"/>
      <c r="E216" s="5"/>
      <c r="F216" s="5"/>
    </row>
    <row r="217">
      <c r="A217" s="122">
        <f t="shared" si="101"/>
        <v>0</v>
      </c>
      <c r="B217" s="36"/>
      <c r="C217" s="5"/>
      <c r="D217" s="5"/>
      <c r="E217" s="5"/>
      <c r="F217" s="5"/>
    </row>
    <row r="218">
      <c r="A218" s="122">
        <f t="shared" si="101"/>
        <v>0</v>
      </c>
      <c r="B218" s="36"/>
      <c r="C218" s="5"/>
      <c r="D218" s="5"/>
      <c r="E218" s="5"/>
      <c r="F218" s="5"/>
    </row>
    <row r="219">
      <c r="A219" s="122">
        <f t="shared" si="101"/>
        <v>0</v>
      </c>
      <c r="B219" s="36"/>
      <c r="C219" s="5"/>
      <c r="D219" s="5"/>
      <c r="E219" s="5"/>
      <c r="F219" s="5"/>
    </row>
    <row r="220">
      <c r="A220" s="122">
        <f t="shared" si="101"/>
        <v>0</v>
      </c>
      <c r="B220" s="36"/>
      <c r="C220" s="5"/>
      <c r="D220" s="5"/>
      <c r="E220" s="5"/>
      <c r="F220" s="5"/>
    </row>
    <row r="221">
      <c r="A221" s="122">
        <f t="shared" si="101"/>
        <v>0</v>
      </c>
      <c r="B221" s="36"/>
      <c r="C221" s="5"/>
      <c r="D221" s="5"/>
      <c r="E221" s="5"/>
      <c r="F221" s="5"/>
    </row>
    <row r="222">
      <c r="A222" s="122">
        <f t="shared" si="101"/>
        <v>0</v>
      </c>
      <c r="B222" s="36"/>
      <c r="C222" s="5"/>
      <c r="D222" s="5"/>
      <c r="E222" s="5"/>
      <c r="F222" s="5"/>
    </row>
    <row r="223">
      <c r="A223" s="122">
        <f t="shared" si="101"/>
        <v>0</v>
      </c>
      <c r="B223" s="36"/>
      <c r="C223" s="5"/>
      <c r="D223" s="5"/>
      <c r="E223" s="5"/>
      <c r="F223" s="5"/>
    </row>
    <row r="224">
      <c r="A224" s="122">
        <f t="shared" si="101"/>
        <v>0</v>
      </c>
      <c r="B224" s="36"/>
      <c r="C224" s="5"/>
      <c r="D224" s="5"/>
      <c r="E224" s="5"/>
      <c r="F224" s="5"/>
    </row>
    <row r="225">
      <c r="A225" s="122">
        <f t="shared" si="101"/>
        <v>0</v>
      </c>
      <c r="B225" s="36"/>
      <c r="C225" s="5"/>
      <c r="D225" s="5"/>
      <c r="E225" s="5"/>
      <c r="F225" s="5"/>
    </row>
    <row r="226">
      <c r="A226" s="122">
        <f t="shared" si="101"/>
        <v>0</v>
      </c>
      <c r="B226" s="36"/>
      <c r="C226" s="5"/>
      <c r="D226" s="5"/>
      <c r="E226" s="5"/>
      <c r="F226" s="5"/>
    </row>
    <row r="227">
      <c r="A227" s="122">
        <f t="shared" si="101"/>
        <v>0</v>
      </c>
      <c r="B227" s="36"/>
      <c r="C227" s="5"/>
      <c r="D227" s="5"/>
      <c r="E227" s="5"/>
      <c r="F227" s="5"/>
    </row>
    <row r="228">
      <c r="A228" s="122">
        <f t="shared" si="101"/>
        <v>0</v>
      </c>
      <c r="B228" s="36"/>
      <c r="C228" s="5"/>
      <c r="D228" s="5"/>
      <c r="E228" s="5"/>
      <c r="F228" s="5"/>
    </row>
    <row r="229">
      <c r="A229" s="122">
        <f t="shared" si="101"/>
        <v>0</v>
      </c>
      <c r="B229" s="36"/>
      <c r="C229" s="5"/>
      <c r="D229" s="5"/>
      <c r="E229" s="5"/>
      <c r="F229" s="5"/>
    </row>
    <row r="230">
      <c r="A230" s="122">
        <f t="shared" si="101"/>
        <v>0</v>
      </c>
      <c r="B230" s="36"/>
      <c r="C230" s="5"/>
      <c r="D230" s="5"/>
      <c r="E230" s="5"/>
      <c r="F230" s="5"/>
    </row>
    <row r="231">
      <c r="A231" s="122">
        <f t="shared" si="101"/>
        <v>0</v>
      </c>
      <c r="B231" s="36"/>
      <c r="C231" s="5"/>
      <c r="D231" s="5"/>
      <c r="E231" s="5"/>
      <c r="F231" s="5"/>
    </row>
    <row r="232">
      <c r="A232" s="122">
        <f t="shared" si="101"/>
        <v>0</v>
      </c>
      <c r="B232" s="36"/>
      <c r="C232" s="5"/>
      <c r="D232" s="5"/>
      <c r="E232" s="5"/>
      <c r="F232" s="5"/>
    </row>
    <row r="233">
      <c r="A233" s="122">
        <f t="shared" si="101"/>
        <v>0</v>
      </c>
      <c r="B233" s="36"/>
      <c r="C233" s="5"/>
      <c r="D233" s="5"/>
      <c r="E233" s="5"/>
      <c r="F233" s="5"/>
    </row>
    <row r="234">
      <c r="A234" s="122">
        <f t="shared" si="101"/>
        <v>0</v>
      </c>
      <c r="B234" s="36"/>
      <c r="C234" s="5"/>
      <c r="D234" s="5"/>
      <c r="E234" s="5"/>
      <c r="F234" s="5"/>
    </row>
    <row r="235">
      <c r="A235" s="122">
        <f t="shared" si="101"/>
        <v>0</v>
      </c>
      <c r="B235" s="36"/>
      <c r="C235" s="5"/>
      <c r="D235" s="5"/>
      <c r="E235" s="5"/>
      <c r="F235" s="5"/>
    </row>
    <row r="236">
      <c r="A236" s="122">
        <f t="shared" si="101"/>
        <v>0</v>
      </c>
      <c r="B236" s="36"/>
      <c r="C236" s="5"/>
      <c r="D236" s="5"/>
      <c r="E236" s="5"/>
      <c r="F236" s="5"/>
    </row>
    <row r="237">
      <c r="A237" s="122">
        <f t="shared" si="101"/>
        <v>0</v>
      </c>
      <c r="B237" s="36"/>
      <c r="C237" s="5"/>
      <c r="D237" s="5"/>
      <c r="E237" s="5"/>
      <c r="F237" s="5"/>
    </row>
    <row r="238">
      <c r="A238" s="122">
        <f t="shared" si="101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05/30/26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IFERROR(__xludf.DUMMYFUNCTION("""COMPUTED_VALUE"""),18.0)</f>
        <v>18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IFERROR(__xludf.DUMMYFUNCTION("""COMPUTED_VALUE"""),"Sandeep Kamalon")</f>
        <v>Sandeep Kamalon</v>
      </c>
      <c r="C251" s="132">
        <f>IFERROR(__xludf.DUMMYFUNCTION("""COMPUTED_VALUE"""),4.0)</f>
        <v>4</v>
      </c>
      <c r="D251" s="132">
        <f>IFERROR(__xludf.DUMMYFUNCTION("""COMPUTED_VALUE"""),3.0)</f>
        <v>3</v>
      </c>
      <c r="E251" s="132">
        <f>IFERROR(__xludf.DUMMYFUNCTION("""COMPUTED_VALUE"""),6.0)</f>
        <v>6</v>
      </c>
      <c r="F251" s="132">
        <f>IFERROR(__xludf.DUMMYFUNCTION("""COMPUTED_VALUE"""),13.0)</f>
        <v>13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IFERROR(__xludf.DUMMYFUNCTION("""COMPUTED_VALUE"""),"Erik Hoeckmann")</f>
        <v>Erik Hoeckmann</v>
      </c>
      <c r="C252" s="132">
        <f>IFERROR(__xludf.DUMMYFUNCTION("""COMPUTED_VALUE"""),4.0)</f>
        <v>4</v>
      </c>
      <c r="D252" s="132">
        <f>IFERROR(__xludf.DUMMYFUNCTION("""COMPUTED_VALUE"""),6.0)</f>
        <v>6</v>
      </c>
      <c r="E252" s="132">
        <f>IFERROR(__xludf.DUMMYFUNCTION("""COMPUTED_VALUE"""),4.0)</f>
        <v>4</v>
      </c>
      <c r="F252" s="132">
        <f>IFERROR(__xludf.DUMMYFUNCTION("""COMPUTED_VALUE"""),14.0)</f>
        <v>14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IFERROR(__xludf.DUMMYFUNCTION("""COMPUTED_VALUE"""),"David Shin")</f>
        <v>David Shin</v>
      </c>
      <c r="C253" s="132">
        <f>IFERROR(__xludf.DUMMYFUNCTION("""COMPUTED_VALUE"""),6.0)</f>
        <v>6</v>
      </c>
      <c r="D253" s="132">
        <f>IFERROR(__xludf.DUMMYFUNCTION("""COMPUTED_VALUE"""),3.0)</f>
        <v>3</v>
      </c>
      <c r="E253" s="132">
        <f>IFERROR(__xludf.DUMMYFUNCTION("""COMPUTED_VALUE"""),4.0)</f>
        <v>4</v>
      </c>
      <c r="F253" s="132">
        <f>IFERROR(__xludf.DUMMYFUNCTION("""COMPUTED_VALUE"""),13.0)</f>
        <v>13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IFERROR(__xludf.DUMMYFUNCTION("""COMPUTED_VALUE"""),"Manish Anand")</f>
        <v>Manish Anand</v>
      </c>
      <c r="C254" s="135">
        <f>IFERROR(__xludf.DUMMYFUNCTION("""COMPUTED_VALUE"""),6.0)</f>
        <v>6</v>
      </c>
      <c r="D254" s="135">
        <f>IFERROR(__xludf.DUMMYFUNCTION("""COMPUTED_VALUE"""),3.0)</f>
        <v>3</v>
      </c>
      <c r="E254" s="135">
        <f>IFERROR(__xludf.DUMMYFUNCTION("""COMPUTED_VALUE"""),5.0)</f>
        <v>5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IFERROR(__xludf.DUMMYFUNCTION("""COMPUTED_VALUE"""),"Pavan Akkimsetty")</f>
        <v>Pavan Akkimsetty</v>
      </c>
      <c r="C255" s="135">
        <f>IFERROR(__xludf.DUMMYFUNCTION("""COMPUTED_VALUE"""),2.0)</f>
        <v>2</v>
      </c>
      <c r="D255" s="135">
        <f>IFERROR(__xludf.DUMMYFUNCTION("""COMPUTED_VALUE"""),6.0)</f>
        <v>6</v>
      </c>
      <c r="E255" s="135">
        <f>IFERROR(__xludf.DUMMYFUNCTION("""COMPUTED_VALUE"""),5.0)</f>
        <v>5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IFERROR(__xludf.DUMMYFUNCTION("""COMPUTED_VALUE"""),"Darren Wong")</f>
        <v>Darren Wong</v>
      </c>
      <c r="C256" s="135">
        <f>IFERROR(__xludf.DUMMYFUNCTION("""COMPUTED_VALUE"""),6.0)</f>
        <v>6</v>
      </c>
      <c r="D256" s="135">
        <f>IFERROR(__xludf.DUMMYFUNCTION("""COMPUTED_VALUE"""),6.0)</f>
        <v>6</v>
      </c>
      <c r="E256" s="135">
        <f>IFERROR(__xludf.DUMMYFUNCTION("""COMPUTED_VALUE"""),7.0)</f>
        <v>7</v>
      </c>
      <c r="F256" s="135">
        <f>IFERROR(__xludf.DUMMYFUNCTION("""COMPUTED_VALUE"""),19.0)</f>
        <v>19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IFERROR(__xludf.DUMMYFUNCTION("""COMPUTED_VALUE"""),"Herman Au")</f>
        <v>Herman Au</v>
      </c>
      <c r="C257" s="135">
        <f>IFERROR(__xludf.DUMMYFUNCTION("""COMPUTED_VALUE"""),2.0)</f>
        <v>2</v>
      </c>
      <c r="D257" s="135">
        <f>IFERROR(__xludf.DUMMYFUNCTION("""COMPUTED_VALUE"""),3.0)</f>
        <v>3</v>
      </c>
      <c r="E257" s="135">
        <f>IFERROR(__xludf.DUMMYFUNCTION("""COMPUTED_VALUE"""),7.0)</f>
        <v>7</v>
      </c>
      <c r="F257" s="135">
        <f>IFERROR(__xludf.DUMMYFUNCTION("""COMPUTED_VALUE"""),12.0)</f>
        <v>12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IFERROR(__xludf.DUMMYFUNCTION("""COMPUTED_VALUE"""),"Matthew Huang")</f>
        <v>Matthew Huang</v>
      </c>
      <c r="C258" s="132">
        <f>IFERROR(__xludf.DUMMYFUNCTION("""COMPUTED_VALUE"""),6.0)</f>
        <v>6</v>
      </c>
      <c r="D258" s="132">
        <f>IFERROR(__xludf.DUMMYFUNCTION("""COMPUTED_VALUE"""),2.0)</f>
        <v>2</v>
      </c>
      <c r="E258" s="132">
        <f>IFERROR(__xludf.DUMMYFUNCTION("""COMPUTED_VALUE"""),6.0)</f>
        <v>6</v>
      </c>
      <c r="F258" s="132">
        <f>IFERROR(__xludf.DUMMYFUNCTION("""COMPUTED_VALUE"""),14.0)</f>
        <v>14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IFERROR(__xludf.DUMMYFUNCTION("""COMPUTED_VALUE"""),"Tom Le")</f>
        <v>Tom Le</v>
      </c>
      <c r="C259" s="132">
        <f>IFERROR(__xludf.DUMMYFUNCTION("""COMPUTED_VALUE"""),3.0)</f>
        <v>3</v>
      </c>
      <c r="D259" s="132">
        <f>IFERROR(__xludf.DUMMYFUNCTION("""COMPUTED_VALUE"""),6.0)</f>
        <v>6</v>
      </c>
      <c r="E259" s="132">
        <f>IFERROR(__xludf.DUMMYFUNCTION("""COMPUTED_VALUE"""),6.0)</f>
        <v>6</v>
      </c>
      <c r="F259" s="132">
        <f>IFERROR(__xludf.DUMMYFUNCTION("""COMPUTED_VALUE"""),15.0)</f>
        <v>15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IFERROR(__xludf.DUMMYFUNCTION("""COMPUTED_VALUE"""),"Frank Moon")</f>
        <v>Frank Moon</v>
      </c>
      <c r="C260" s="132">
        <f>IFERROR(__xludf.DUMMYFUNCTION("""COMPUTED_VALUE"""),6.0)</f>
        <v>6</v>
      </c>
      <c r="D260" s="132">
        <f>IFERROR(__xludf.DUMMYFUNCTION("""COMPUTED_VALUE"""),6.0)</f>
        <v>6</v>
      </c>
      <c r="E260" s="132">
        <f>IFERROR(__xludf.DUMMYFUNCTION("""COMPUTED_VALUE"""),0.0)</f>
        <v>0</v>
      </c>
      <c r="F260" s="132">
        <f>IFERROR(__xludf.DUMMYFUNCTION("""COMPUTED_VALUE"""),12.0)</f>
        <v>12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IFERROR(__xludf.DUMMYFUNCTION("""COMPUTED_VALUE"""),"Ted Shen")</f>
        <v>Ted Shen</v>
      </c>
      <c r="C261" s="132">
        <f>IFERROR(__xludf.DUMMYFUNCTION("""COMPUTED_VALUE"""),3.0)</f>
        <v>3</v>
      </c>
      <c r="D261" s="132">
        <f>IFERROR(__xludf.DUMMYFUNCTION("""COMPUTED_VALUE"""),2.0)</f>
        <v>2</v>
      </c>
      <c r="E261" s="132">
        <f>IFERROR(__xludf.DUMMYFUNCTION("""COMPUTED_VALUE"""),0.0)</f>
        <v>0</v>
      </c>
      <c r="F261" s="132">
        <f>IFERROR(__xludf.DUMMYFUNCTION("""COMPUTED_VALUE"""),5.0)</f>
        <v>5</v>
      </c>
      <c r="G261" s="132">
        <f>IFERROR(__xludf.DUMMYFUNCTION("""COMPUTED_VALUE"""),0.0)</f>
        <v>0</v>
      </c>
    </row>
    <row r="262">
      <c r="A262" s="133">
        <f>IFERROR(__xludf.DUMMYFUNCTION("""COMPUTED_VALUE"""),4.0)</f>
        <v>4</v>
      </c>
      <c r="B262" s="134" t="str">
        <f>IFERROR(__xludf.DUMMYFUNCTION("""COMPUTED_VALUE"""),"Mauricio Palacios")</f>
        <v>Mauricio Palacios</v>
      </c>
      <c r="C262" s="135">
        <f>IFERROR(__xludf.DUMMYFUNCTION("""COMPUTED_VALUE"""),2.0)</f>
        <v>2</v>
      </c>
      <c r="D262" s="135">
        <f>IFERROR(__xludf.DUMMYFUNCTION("""COMPUTED_VALUE"""),4.0)</f>
        <v>4</v>
      </c>
      <c r="E262" s="135">
        <f>IFERROR(__xludf.DUMMYFUNCTION("""COMPUTED_VALUE"""),7.0)</f>
        <v>7</v>
      </c>
      <c r="F262" s="135">
        <f>IFERROR(__xludf.DUMMYFUNCTION("""COMPUTED_VALUE"""),13.0)</f>
        <v>13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IFERROR(__xludf.DUMMYFUNCTION("""COMPUTED_VALUE"""),"Joe Luzzi")</f>
        <v>Joe Luzzi</v>
      </c>
      <c r="C263" s="135">
        <f>IFERROR(__xludf.DUMMYFUNCTION("""COMPUTED_VALUE"""),2.0)</f>
        <v>2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IFERROR(__xludf.DUMMYFUNCTION("""COMPUTED_VALUE"""),14.0)</f>
        <v>14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IFERROR(__xludf.DUMMYFUNCTION("""COMPUTED_VALUE"""),"Elayaraja Thangaraj")</f>
        <v>Elayaraja Thangaraj</v>
      </c>
      <c r="C264" s="135">
        <f>IFERROR(__xludf.DUMMYFUNCTION("""COMPUTED_VALUE"""),6.0)</f>
        <v>6</v>
      </c>
      <c r="D264" s="135">
        <f>IFERROR(__xludf.DUMMYFUNCTION("""COMPUTED_VALUE"""),6.0)</f>
        <v>6</v>
      </c>
      <c r="E264" s="135">
        <f>IFERROR(__xludf.DUMMYFUNCTION("""COMPUTED_VALUE"""),7.0)</f>
        <v>7</v>
      </c>
      <c r="F264" s="135">
        <f>IFERROR(__xludf.DUMMYFUNCTION("""COMPUTED_VALUE"""),19.0)</f>
        <v>19</v>
      </c>
      <c r="G264" s="135">
        <f>IFERROR(__xludf.DUMMYFUNCTION("""COMPUTED_VALUE"""),3.0)</f>
        <v>3</v>
      </c>
    </row>
    <row r="265">
      <c r="A265" s="133">
        <f>IFERROR(__xludf.DUMMYFUNCTION("""COMPUTED_VALUE"""),4.0)</f>
        <v>4</v>
      </c>
      <c r="B265" s="134" t="str">
        <f>IFERROR(__xludf.DUMMYFUNCTION("""COMPUTED_VALUE"""),"Oscar Bonilla")</f>
        <v>Oscar Bonilla</v>
      </c>
      <c r="C265" s="135">
        <f>IFERROR(__xludf.DUMMYFUNCTION("""COMPUTED_VALUE"""),6.0)</f>
        <v>6</v>
      </c>
      <c r="D265" s="135">
        <f>IFERROR(__xludf.DUMMYFUNCTION("""COMPUTED_VALUE"""),4.0)</f>
        <v>4</v>
      </c>
      <c r="E265" s="135">
        <f>IFERROR(__xludf.DUMMYFUNCTION("""COMPUTED_VALUE"""),6.0)</f>
        <v>6</v>
      </c>
      <c r="F265" s="135">
        <f>IFERROR(__xludf.DUMMYFUNCTION("""COMPUTED_VALUE"""),16.0)</f>
        <v>16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IFERROR(__xludf.DUMMYFUNCTION("""COMPUTED_VALUE"""),"Alex Hou")</f>
        <v>Alex Hou</v>
      </c>
      <c r="C266" s="132">
        <f>IFERROR(__xludf.DUMMYFUNCTION("""COMPUTED_VALUE"""),3.0)</f>
        <v>3</v>
      </c>
      <c r="D266" s="132">
        <f>IFERROR(__xludf.DUMMYFUNCTION("""COMPUTED_VALUE"""),3.0)</f>
        <v>3</v>
      </c>
      <c r="E266" s="132">
        <f>IFERROR(__xludf.DUMMYFUNCTION("""COMPUTED_VALUE"""),1.0)</f>
        <v>1</v>
      </c>
      <c r="F266" s="132">
        <f>IFERROR(__xludf.DUMMYFUNCTION("""COMPUTED_VALUE"""),7.0)</f>
        <v>7</v>
      </c>
      <c r="G266" s="132">
        <f>IFERROR(__xludf.DUMMYFUNCTION("""COMPUTED_VALUE"""),0.0)</f>
        <v>0</v>
      </c>
    </row>
    <row r="267">
      <c r="A267" s="122">
        <f>IFERROR(__xludf.DUMMYFUNCTION("""COMPUTED_VALUE"""),5.0)</f>
        <v>5</v>
      </c>
      <c r="B267" s="36" t="str">
        <f>IFERROR(__xludf.DUMMYFUNCTION("""COMPUTED_VALUE"""),"Lloyd Sagar")</f>
        <v>Lloyd Sagar</v>
      </c>
      <c r="C267" s="132">
        <f>IFERROR(__xludf.DUMMYFUNCTION("""COMPUTED_VALUE"""),6.0)</f>
        <v>6</v>
      </c>
      <c r="D267" s="132">
        <f>IFERROR(__xludf.DUMMYFUNCTION("""COMPUTED_VALUE"""),6.0)</f>
        <v>6</v>
      </c>
      <c r="E267" s="132">
        <f>IFERROR(__xludf.DUMMYFUNCTION("""COMPUTED_VALUE"""),1.0)</f>
        <v>1</v>
      </c>
      <c r="F267" s="132">
        <f>IFERROR(__xludf.DUMMYFUNCTION("""COMPUTED_VALUE"""),13.0)</f>
        <v>13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IFERROR(__xludf.DUMMYFUNCTION("""COMPUTED_VALUE"""),"Tina Hanson")</f>
        <v>Tina Hanson</v>
      </c>
      <c r="C268" s="132">
        <f>IFERROR(__xludf.DUMMYFUNCTION("""COMPUTED_VALUE"""),3.0)</f>
        <v>3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IFERROR(__xludf.DUMMYFUNCTION("""COMPUTED_VALUE"""),15.0)</f>
        <v>15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IFERROR(__xludf.DUMMYFUNCTION("""COMPUTED_VALUE"""),"Wayne Liu")</f>
        <v>Wayne Liu</v>
      </c>
      <c r="C269" s="132">
        <f>IFERROR(__xludf.DUMMYFUNCTION("""COMPUTED_VALUE"""),6.0)</f>
        <v>6</v>
      </c>
      <c r="D269" s="132">
        <f>IFERROR(__xludf.DUMMYFUNCTION("""COMPUTED_VALUE"""),3.0)</f>
        <v>3</v>
      </c>
      <c r="E269" s="132">
        <f>IFERROR(__xludf.DUMMYFUNCTION("""COMPUTED_VALUE"""),6.0)</f>
        <v>6</v>
      </c>
      <c r="F269" s="132">
        <f>IFERROR(__xludf.DUMMYFUNCTION("""COMPUTED_VALUE"""),15.0)</f>
        <v>15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IFERROR(__xludf.DUMMYFUNCTION("""COMPUTED_VALUE"""),"Chinna Ponnaganti")</f>
        <v>Chinna Ponnaganti</v>
      </c>
      <c r="C270" s="135">
        <f>IFERROR(__xludf.DUMMYFUNCTION("""COMPUTED_VALUE"""),6.0)</f>
        <v>6</v>
      </c>
      <c r="D270" s="135">
        <f>IFERROR(__xludf.DUMMYFUNCTION("""COMPUTED_VALUE"""),7.0)</f>
        <v>7</v>
      </c>
      <c r="E270" s="135">
        <f>IFERROR(__xludf.DUMMYFUNCTION("""COMPUTED_VALUE"""),5.0)</f>
        <v>5</v>
      </c>
      <c r="F270" s="135">
        <f>IFERROR(__xludf.DUMMYFUNCTION("""COMPUTED_VALUE"""),18.0)</f>
        <v>18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IFERROR(__xludf.DUMMYFUNCTION("""COMPUTED_VALUE"""),"Ruben Ron")</f>
        <v>Ruben Ron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IFERROR(__xludf.DUMMYFUNCTION("""COMPUTED_VALUE"""),7.0)</f>
        <v>7</v>
      </c>
      <c r="F271" s="135">
        <f>IFERROR(__xludf.DUMMYFUNCTION("""COMPUTED_VALUE"""),19.0)</f>
        <v>19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IFERROR(__xludf.DUMMYFUNCTION("""COMPUTED_VALUE"""),"Jimmy Awolesi")</f>
        <v>Jimmy Awolesi</v>
      </c>
      <c r="C272" s="135">
        <f>IFERROR(__xludf.DUMMYFUNCTION("""COMPUTED_VALUE"""),3.0)</f>
        <v>3</v>
      </c>
      <c r="D272" s="135">
        <f>IFERROR(__xludf.DUMMYFUNCTION("""COMPUTED_VALUE"""),7.0)</f>
        <v>7</v>
      </c>
      <c r="E272" s="135">
        <f>IFERROR(__xludf.DUMMYFUNCTION("""COMPUTED_VALUE"""),7.0)</f>
        <v>7</v>
      </c>
      <c r="F272" s="135">
        <f>IFERROR(__xludf.DUMMYFUNCTION("""COMPUTED_VALUE"""),17.0)</f>
        <v>17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IFERROR(__xludf.DUMMYFUNCTION("""COMPUTED_VALUE"""),"Kumar Palakeel")</f>
        <v>Kumar Palakeel</v>
      </c>
      <c r="C273" s="135">
        <f>IFERROR(__xludf.DUMMYFUNCTION("""COMPUTED_VALUE"""),3.0)</f>
        <v>3</v>
      </c>
      <c r="D273" s="135">
        <f>IFERROR(__xludf.DUMMYFUNCTION("""COMPUTED_VALUE"""),6.0)</f>
        <v>6</v>
      </c>
      <c r="E273" s="135">
        <f>IFERROR(__xludf.DUMMYFUNCTION("""COMPUTED_VALUE"""),5.0)</f>
        <v>5</v>
      </c>
      <c r="F273" s="135">
        <f>IFERROR(__xludf.DUMMYFUNCTION("""COMPUTED_VALUE"""),14.0)</f>
        <v>14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IFERROR(__xludf.DUMMYFUNCTION("""COMPUTED_VALUE"""),"Allen Zhang")</f>
        <v>Allen Zhang</v>
      </c>
      <c r="C274" s="132">
        <f>IFERROR(__xludf.DUMMYFUNCTION("""COMPUTED_VALUE"""),6.0)</f>
        <v>6</v>
      </c>
      <c r="D274" s="132">
        <f>IFERROR(__xludf.DUMMYFUNCTION("""COMPUTED_VALUE"""),2.0)</f>
        <v>2</v>
      </c>
      <c r="E274" s="132">
        <f>IFERROR(__xludf.DUMMYFUNCTION("""COMPUTED_VALUE"""),6.0)</f>
        <v>6</v>
      </c>
      <c r="F274" s="132">
        <f>IFERROR(__xludf.DUMMYFUNCTION("""COMPUTED_VALUE"""),14.0)</f>
        <v>14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IFERROR(__xludf.DUMMYFUNCTION("""COMPUTED_VALUE"""),"Vinaya Kajla")</f>
        <v>Vinaya Kajla</v>
      </c>
      <c r="C275" s="132">
        <f>IFERROR(__xludf.DUMMYFUNCTION("""COMPUTED_VALUE"""),4.0)</f>
        <v>4</v>
      </c>
      <c r="D275" s="132">
        <f>IFERROR(__xludf.DUMMYFUNCTION("""COMPUTED_VALUE"""),2.0)</f>
        <v>2</v>
      </c>
      <c r="E275" s="132">
        <f>IFERROR(__xludf.DUMMYFUNCTION("""COMPUTED_VALUE"""),7.0)</f>
        <v>7</v>
      </c>
      <c r="F275" s="132">
        <f>IFERROR(__xludf.DUMMYFUNCTION("""COMPUTED_VALUE"""),13.0)</f>
        <v>13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IFERROR(__xludf.DUMMYFUNCTION("""COMPUTED_VALUE"""),"Vishnu Amarnath")</f>
        <v>Vishnu Amarnath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IFERROR(__xludf.DUMMYFUNCTION("""COMPUTED_VALUE"""),7.0)</f>
        <v>7</v>
      </c>
      <c r="F276" s="132">
        <f>IFERROR(__xludf.DUMMYFUNCTION("""COMPUTED_VALUE"""),19.0)</f>
        <v>19</v>
      </c>
      <c r="G276" s="132">
        <f>IFERROR(__xludf.DUMMYFUNCTION("""COMPUTED_VALUE"""),3.0)</f>
        <v>3</v>
      </c>
    </row>
    <row r="277">
      <c r="A277" s="122">
        <f>IFERROR(__xludf.DUMMYFUNCTION("""COMPUTED_VALUE"""),7.0)</f>
        <v>7</v>
      </c>
      <c r="B277" s="36" t="str">
        <f>IFERROR(__xludf.DUMMYFUNCTION("""COMPUTED_VALUE"""),"Trish Newlin")</f>
        <v>Trish Newlin</v>
      </c>
      <c r="C277" s="132">
        <f>IFERROR(__xludf.DUMMYFUNCTION("""COMPUTED_VALUE"""),4.0)</f>
        <v>4</v>
      </c>
      <c r="D277" s="132">
        <f>IFERROR(__xludf.DUMMYFUNCTION("""COMPUTED_VALUE"""),6.0)</f>
        <v>6</v>
      </c>
      <c r="E277" s="132">
        <f>IFERROR(__xludf.DUMMYFUNCTION("""COMPUTED_VALUE"""),6.0)</f>
        <v>6</v>
      </c>
      <c r="F277" s="132">
        <f>IFERROR(__xludf.DUMMYFUNCTION("""COMPUTED_VALUE"""),16.0)</f>
        <v>16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IFERROR(__xludf.DUMMYFUNCTION("""COMPUTED_VALUE"""),"Eric Tan")</f>
        <v>Eric Tan</v>
      </c>
      <c r="C278" s="135">
        <f>IFERROR(__xludf.DUMMYFUNCTION("""COMPUTED_VALUE"""),5.0)</f>
        <v>5</v>
      </c>
      <c r="D278" s="135">
        <f>IFERROR(__xludf.DUMMYFUNCTION("""COMPUTED_VALUE"""),6.0)</f>
        <v>6</v>
      </c>
      <c r="E278" s="135">
        <f>IFERROR(__xludf.DUMMYFUNCTION("""COMPUTED_VALUE"""),5.0)</f>
        <v>5</v>
      </c>
      <c r="F278" s="135">
        <f>IFERROR(__xludf.DUMMYFUNCTION("""COMPUTED_VALUE"""),16.0)</f>
        <v>16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IFERROR(__xludf.DUMMYFUNCTION("""COMPUTED_VALUE"""),"Andrew Wen")</f>
        <v>Andrew Wen</v>
      </c>
      <c r="C279" s="135">
        <f>IFERROR(__xludf.DUMMYFUNCTION("""COMPUTED_VALUE"""),7.0)</f>
        <v>7</v>
      </c>
      <c r="D279" s="135">
        <f>IFERROR(__xludf.DUMMYFUNCTION("""COMPUTED_VALUE"""),6.0)</f>
        <v>6</v>
      </c>
      <c r="E279" s="135">
        <f>IFERROR(__xludf.DUMMYFUNCTION("""COMPUTED_VALUE"""),7.0)</f>
        <v>7</v>
      </c>
      <c r="F279" s="135">
        <f>IFERROR(__xludf.DUMMYFUNCTION("""COMPUTED_VALUE"""),20.0)</f>
        <v>20</v>
      </c>
      <c r="G279" s="135">
        <f>IFERROR(__xludf.DUMMYFUNCTION("""COMPUTED_VALUE"""),3.0)</f>
        <v>3</v>
      </c>
    </row>
    <row r="280">
      <c r="A280" s="133">
        <f>IFERROR(__xludf.DUMMYFUNCTION("""COMPUTED_VALUE"""),8.0)</f>
        <v>8</v>
      </c>
      <c r="B280" s="134" t="str">
        <f>IFERROR(__xludf.DUMMYFUNCTION("""COMPUTED_VALUE"""),"Camille Jung")</f>
        <v>Camille Jung</v>
      </c>
      <c r="C280" s="135">
        <f>IFERROR(__xludf.DUMMYFUNCTION("""COMPUTED_VALUE"""),7.0)</f>
        <v>7</v>
      </c>
      <c r="D280" s="135">
        <f>IFERROR(__xludf.DUMMYFUNCTION("""COMPUTED_VALUE"""),3.0)</f>
        <v>3</v>
      </c>
      <c r="E280" s="135">
        <f>IFERROR(__xludf.DUMMYFUNCTION("""COMPUTED_VALUE"""),5.0)</f>
        <v>5</v>
      </c>
      <c r="F280" s="135">
        <f>IFERROR(__xludf.DUMMYFUNCTION("""COMPUTED_VALUE"""),15.0)</f>
        <v>15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IFERROR(__xludf.DUMMYFUNCTION("""COMPUTED_VALUE"""),"Ranjith Doraiswamy")</f>
        <v>Ranjith Doraiswamy</v>
      </c>
      <c r="C281" s="135">
        <f>IFERROR(__xludf.DUMMYFUNCTION("""COMPUTED_VALUE"""),5.0)</f>
        <v>5</v>
      </c>
      <c r="D281" s="135">
        <f>IFERROR(__xludf.DUMMYFUNCTION("""COMPUTED_VALUE"""),3.0)</f>
        <v>3</v>
      </c>
      <c r="E281" s="135">
        <f>IFERROR(__xludf.DUMMYFUNCTION("""COMPUTED_VALUE"""),7.0)</f>
        <v>7</v>
      </c>
      <c r="F281" s="135">
        <f>IFERROR(__xludf.DUMMYFUNCTION("""COMPUTED_VALUE"""),15.0)</f>
        <v>15</v>
      </c>
      <c r="G281" s="135">
        <f>IFERROR(__xludf.DUMMYFUNCTION("""COMPUTED_VALUE"""),1.0)</f>
        <v>1</v>
      </c>
    </row>
    <row r="282">
      <c r="A282" s="122"/>
      <c r="B282" s="36"/>
      <c r="C282" s="132"/>
      <c r="D282" s="132"/>
      <c r="E282" s="132"/>
      <c r="F282" s="132"/>
      <c r="G282" s="132"/>
    </row>
    <row r="283">
      <c r="A283" s="122"/>
      <c r="B283" s="36"/>
      <c r="C283" s="132"/>
      <c r="D283" s="132"/>
      <c r="E283" s="132"/>
      <c r="F283" s="132"/>
      <c r="G283" s="132"/>
    </row>
    <row r="284">
      <c r="A284" s="122"/>
      <c r="B284" s="36"/>
      <c r="C284" s="132"/>
      <c r="D284" s="132"/>
      <c r="E284" s="132"/>
      <c r="F284" s="132"/>
      <c r="G284" s="132"/>
    </row>
    <row r="285">
      <c r="A285" s="122"/>
      <c r="B285" s="36"/>
      <c r="C285" s="132"/>
      <c r="D285" s="132"/>
      <c r="E285" s="132"/>
      <c r="F285" s="132"/>
      <c r="G285" s="132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171</v>
      </c>
      <c r="C297" s="5"/>
      <c r="D297" s="115" t="s">
        <v>177</v>
      </c>
      <c r="E297" s="25"/>
      <c r="F297" s="26"/>
      <c r="H297" s="115" t="s">
        <v>176</v>
      </c>
      <c r="I297" s="25"/>
      <c r="J297" s="26"/>
    </row>
    <row r="298">
      <c r="A298" s="136">
        <v>1.0</v>
      </c>
      <c r="B298" s="137" t="str">
        <f>IFERROR(__xludf.DUMMYFUNCTION("QUERY(B5:R79,""Select B where R = 'X' order by B asc"",0)"),"Alejandro Mejia")</f>
        <v>Alejandro Mejia</v>
      </c>
      <c r="C298" s="138">
        <f t="shared" ref="C298:C362" si="102">A298</f>
        <v>1</v>
      </c>
      <c r="D298" s="139" t="str">
        <f>IFERROR(__xludf.DUMMYFUNCTION("QUERY(B5:R79,""Select B where R = '' order by B asc"",0)"),"Adrian Tay")</f>
        <v>Adrian Tay</v>
      </c>
      <c r="E298" s="25"/>
      <c r="F298" s="26"/>
      <c r="G298" s="138">
        <f t="shared" ref="G298:G362" si="103">C298</f>
        <v>1</v>
      </c>
      <c r="H298" s="139" t="str">
        <f>IFERROR(__xludf.DUMMYFUNCTION("QUERY(B5:R79,""Select B where R = 'N' order by B asc"",0)"),"Balaji Alahari")</f>
        <v>Balaji Alahari</v>
      </c>
      <c r="I298" s="25"/>
      <c r="J298" s="26"/>
    </row>
    <row r="299">
      <c r="A299" s="136">
        <f t="shared" ref="A299:A362" si="104">A298+1</f>
        <v>2</v>
      </c>
      <c r="B299" s="137" t="str">
        <f>IFERROR(__xludf.DUMMYFUNCTION("""COMPUTED_VALUE"""),"Alex Hou")</f>
        <v>Alex Hou</v>
      </c>
      <c r="C299" s="138">
        <f t="shared" si="102"/>
        <v>2</v>
      </c>
      <c r="D299" s="139" t="str">
        <f>IFERROR(__xludf.DUMMYFUNCTION("""COMPUTED_VALUE"""),"Art Hui")</f>
        <v>Art Hui</v>
      </c>
      <c r="E299" s="25"/>
      <c r="F299" s="26"/>
      <c r="G299" s="138">
        <f t="shared" si="103"/>
        <v>2</v>
      </c>
      <c r="H299" s="139" t="str">
        <f>IFERROR(__xludf.DUMMYFUNCTION("""COMPUTED_VALUE"""),"Leigh-Anh Nguyen")</f>
        <v>Leigh-Anh Nguyen</v>
      </c>
      <c r="I299" s="25"/>
      <c r="J299" s="26"/>
    </row>
    <row r="300">
      <c r="A300" s="136">
        <f t="shared" si="104"/>
        <v>3</v>
      </c>
      <c r="B300" s="137" t="str">
        <f>IFERROR(__xludf.DUMMYFUNCTION("""COMPUTED_VALUE"""),"Allen Zhang")</f>
        <v>Allen Zhang</v>
      </c>
      <c r="C300" s="138">
        <f t="shared" si="102"/>
        <v>3</v>
      </c>
      <c r="D300" s="139" t="str">
        <f>IFERROR(__xludf.DUMMYFUNCTION("""COMPUTED_VALUE"""),"Barathi Sundaram")</f>
        <v>Barathi Sundaram</v>
      </c>
      <c r="E300" s="25"/>
      <c r="F300" s="26"/>
      <c r="G300" s="138">
        <f t="shared" si="103"/>
        <v>3</v>
      </c>
      <c r="H300" s="139"/>
      <c r="I300" s="25"/>
      <c r="J300" s="26"/>
    </row>
    <row r="301">
      <c r="A301" s="136">
        <f t="shared" si="104"/>
        <v>4</v>
      </c>
      <c r="B301" s="137" t="str">
        <f>IFERROR(__xludf.DUMMYFUNCTION("""COMPUTED_VALUE"""),"Andrew Wen")</f>
        <v>Andrew Wen</v>
      </c>
      <c r="C301" s="138">
        <f t="shared" si="102"/>
        <v>4</v>
      </c>
      <c r="D301" s="139" t="str">
        <f>IFERROR(__xludf.DUMMYFUNCTION("""COMPUTED_VALUE"""),"Charles Choi")</f>
        <v>Charles Choi</v>
      </c>
      <c r="E301" s="25"/>
      <c r="F301" s="26"/>
      <c r="G301" s="138">
        <f t="shared" si="103"/>
        <v>4</v>
      </c>
      <c r="H301" s="139"/>
      <c r="I301" s="25"/>
      <c r="J301" s="26"/>
    </row>
    <row r="302">
      <c r="A302" s="136">
        <f t="shared" si="104"/>
        <v>5</v>
      </c>
      <c r="B302" s="137" t="str">
        <f>IFERROR(__xludf.DUMMYFUNCTION("""COMPUTED_VALUE"""),"Andrew Yao")</f>
        <v>Andrew Yao</v>
      </c>
      <c r="C302" s="138">
        <f t="shared" si="102"/>
        <v>5</v>
      </c>
      <c r="D302" s="139" t="str">
        <f>IFERROR(__xludf.DUMMYFUNCTION("""COMPUTED_VALUE"""),"Cid Macaraeg")</f>
        <v>Cid Macaraeg</v>
      </c>
      <c r="E302" s="25"/>
      <c r="F302" s="26"/>
      <c r="G302" s="138">
        <f t="shared" si="103"/>
        <v>5</v>
      </c>
      <c r="H302" s="139"/>
      <c r="I302" s="25"/>
      <c r="J302" s="26"/>
    </row>
    <row r="303">
      <c r="A303" s="136">
        <f t="shared" si="104"/>
        <v>6</v>
      </c>
      <c r="B303" s="137" t="str">
        <f>IFERROR(__xludf.DUMMYFUNCTION("""COMPUTED_VALUE"""),"Basudev Thoppai Vidyasankar")</f>
        <v>Basudev Thoppai Vidyasankar</v>
      </c>
      <c r="C303" s="138">
        <f t="shared" si="102"/>
        <v>6</v>
      </c>
      <c r="D303" s="139" t="str">
        <f>IFERROR(__xludf.DUMMYFUNCTION("""COMPUTED_VALUE"""),"Eric Pan")</f>
        <v>Eric Pan</v>
      </c>
      <c r="E303" s="25"/>
      <c r="F303" s="26"/>
      <c r="G303" s="138">
        <f t="shared" si="103"/>
        <v>6</v>
      </c>
      <c r="H303" s="139"/>
      <c r="I303" s="25"/>
      <c r="J303" s="26"/>
    </row>
    <row r="304">
      <c r="A304" s="136">
        <f t="shared" si="104"/>
        <v>7</v>
      </c>
      <c r="B304" s="137" t="str">
        <f>IFERROR(__xludf.DUMMYFUNCTION("""COMPUTED_VALUE"""),"Camille Jung")</f>
        <v>Camille Jung</v>
      </c>
      <c r="C304" s="138">
        <f t="shared" si="102"/>
        <v>7</v>
      </c>
      <c r="D304" s="139" t="str">
        <f>IFERROR(__xludf.DUMMYFUNCTION("""COMPUTED_VALUE"""),"Erik Hoeckmann")</f>
        <v>Erik Hoeckmann</v>
      </c>
      <c r="E304" s="25"/>
      <c r="F304" s="26"/>
      <c r="G304" s="138">
        <f t="shared" si="103"/>
        <v>7</v>
      </c>
      <c r="H304" s="139"/>
      <c r="I304" s="25"/>
      <c r="J304" s="26"/>
    </row>
    <row r="305">
      <c r="A305" s="136">
        <f t="shared" si="104"/>
        <v>8</v>
      </c>
      <c r="B305" s="137" t="str">
        <f>IFERROR(__xludf.DUMMYFUNCTION("""COMPUTED_VALUE"""),"Chinna Ponnaganti")</f>
        <v>Chinna Ponnaganti</v>
      </c>
      <c r="C305" s="138">
        <f t="shared" si="102"/>
        <v>8</v>
      </c>
      <c r="D305" s="139" t="str">
        <f>IFERROR(__xludf.DUMMYFUNCTION("""COMPUTED_VALUE"""),"Herman Au")</f>
        <v>Herman Au</v>
      </c>
      <c r="E305" s="25"/>
      <c r="F305" s="26"/>
      <c r="G305" s="138">
        <f t="shared" si="103"/>
        <v>8</v>
      </c>
      <c r="H305" s="139"/>
      <c r="I305" s="25"/>
      <c r="J305" s="26"/>
    </row>
    <row r="306">
      <c r="A306" s="136">
        <f t="shared" si="104"/>
        <v>9</v>
      </c>
      <c r="B306" s="137" t="str">
        <f>IFERROR(__xludf.DUMMYFUNCTION("""COMPUTED_VALUE"""),"Coco Yan")</f>
        <v>Coco Yan</v>
      </c>
      <c r="C306" s="138">
        <f t="shared" si="102"/>
        <v>9</v>
      </c>
      <c r="D306" s="139" t="str">
        <f>IFERROR(__xludf.DUMMYFUNCTION("""COMPUTED_VALUE"""),"Hubert J Sung")</f>
        <v>Hubert J Sung</v>
      </c>
      <c r="E306" s="25"/>
      <c r="F306" s="26"/>
      <c r="G306" s="138">
        <f t="shared" si="103"/>
        <v>9</v>
      </c>
      <c r="H306" s="139"/>
      <c r="I306" s="25"/>
      <c r="J306" s="26"/>
    </row>
    <row r="307">
      <c r="A307" s="136">
        <f t="shared" si="104"/>
        <v>10</v>
      </c>
      <c r="B307" s="137" t="str">
        <f>IFERROR(__xludf.DUMMYFUNCTION("""COMPUTED_VALUE"""),"Darren Wong")</f>
        <v>Darren Wong</v>
      </c>
      <c r="C307" s="138">
        <f t="shared" si="102"/>
        <v>10</v>
      </c>
      <c r="D307" s="139" t="str">
        <f>IFERROR(__xludf.DUMMYFUNCTION("""COMPUTED_VALUE"""),"James Phan")</f>
        <v>James Phan</v>
      </c>
      <c r="E307" s="25"/>
      <c r="F307" s="26"/>
      <c r="G307" s="138">
        <f t="shared" si="103"/>
        <v>10</v>
      </c>
      <c r="H307" s="139"/>
      <c r="I307" s="25"/>
      <c r="J307" s="26"/>
    </row>
    <row r="308">
      <c r="A308" s="136">
        <f t="shared" si="104"/>
        <v>11</v>
      </c>
      <c r="B308" s="137" t="str">
        <f>IFERROR(__xludf.DUMMYFUNCTION("""COMPUTED_VALUE"""),"David Shin")</f>
        <v>David Shin</v>
      </c>
      <c r="C308" s="138">
        <f t="shared" si="102"/>
        <v>11</v>
      </c>
      <c r="D308" s="139" t="str">
        <f>IFERROR(__xludf.DUMMYFUNCTION("""COMPUTED_VALUE"""),"Jaya Sogata")</f>
        <v>Jaya Sogata</v>
      </c>
      <c r="E308" s="25"/>
      <c r="F308" s="26"/>
      <c r="G308" s="138">
        <f t="shared" si="103"/>
        <v>11</v>
      </c>
      <c r="H308" s="139"/>
      <c r="I308" s="25"/>
      <c r="J308" s="26"/>
    </row>
    <row r="309">
      <c r="A309" s="136">
        <f t="shared" si="104"/>
        <v>12</v>
      </c>
      <c r="B309" s="137" t="str">
        <f>IFERROR(__xludf.DUMMYFUNCTION("""COMPUTED_VALUE"""),"Elayaraja Thangaraj")</f>
        <v>Elayaraja Thangaraj</v>
      </c>
      <c r="C309" s="138">
        <f t="shared" si="102"/>
        <v>12</v>
      </c>
      <c r="D309" s="139" t="str">
        <f>IFERROR(__xludf.DUMMYFUNCTION("""COMPUTED_VALUE"""),"Jordan Tatang")</f>
        <v>Jordan Tatang</v>
      </c>
      <c r="E309" s="25"/>
      <c r="F309" s="26"/>
      <c r="G309" s="138">
        <f t="shared" si="103"/>
        <v>12</v>
      </c>
      <c r="H309" s="139"/>
      <c r="I309" s="25"/>
      <c r="J309" s="26"/>
    </row>
    <row r="310">
      <c r="A310" s="136">
        <f t="shared" si="104"/>
        <v>13</v>
      </c>
      <c r="B310" s="137" t="str">
        <f>IFERROR(__xludf.DUMMYFUNCTION("""COMPUTED_VALUE"""),"Eric Tan")</f>
        <v>Eric Tan</v>
      </c>
      <c r="C310" s="138">
        <f t="shared" si="102"/>
        <v>13</v>
      </c>
      <c r="D310" s="139" t="str">
        <f>IFERROR(__xludf.DUMMYFUNCTION("""COMPUTED_VALUE"""),"Lenin Belangonda ")</f>
        <v>Lenin Belangonda </v>
      </c>
      <c r="E310" s="25"/>
      <c r="F310" s="26"/>
      <c r="G310" s="138">
        <f t="shared" si="103"/>
        <v>13</v>
      </c>
      <c r="H310" s="139"/>
      <c r="I310" s="25"/>
      <c r="J310" s="26"/>
    </row>
    <row r="311">
      <c r="A311" s="136">
        <f t="shared" si="104"/>
        <v>14</v>
      </c>
      <c r="B311" s="137" t="str">
        <f>IFERROR(__xludf.DUMMYFUNCTION("""COMPUTED_VALUE"""),"Ethan Gu")</f>
        <v>Ethan Gu</v>
      </c>
      <c r="C311" s="138">
        <f t="shared" si="102"/>
        <v>14</v>
      </c>
      <c r="D311" s="139" t="str">
        <f>IFERROR(__xludf.DUMMYFUNCTION("""COMPUTED_VALUE"""),"Manuel Rivera")</f>
        <v>Manuel Rivera</v>
      </c>
      <c r="E311" s="25"/>
      <c r="F311" s="26"/>
      <c r="G311" s="138">
        <f t="shared" si="103"/>
        <v>14</v>
      </c>
      <c r="H311" s="139"/>
      <c r="I311" s="25"/>
      <c r="J311" s="26"/>
    </row>
    <row r="312">
      <c r="A312" s="136">
        <f t="shared" si="104"/>
        <v>15</v>
      </c>
      <c r="B312" s="137" t="str">
        <f>IFERROR(__xludf.DUMMYFUNCTION("""COMPUTED_VALUE"""),"Frank Moon")</f>
        <v>Frank Moon</v>
      </c>
      <c r="C312" s="138">
        <f t="shared" si="102"/>
        <v>15</v>
      </c>
      <c r="D312" s="139" t="str">
        <f>IFERROR(__xludf.DUMMYFUNCTION("""COMPUTED_VALUE"""),"Mauricio Palacios")</f>
        <v>Mauricio Palacios</v>
      </c>
      <c r="E312" s="25"/>
      <c r="F312" s="26"/>
      <c r="G312" s="138">
        <f t="shared" si="103"/>
        <v>15</v>
      </c>
      <c r="H312" s="139"/>
      <c r="I312" s="25"/>
      <c r="J312" s="26"/>
    </row>
    <row r="313">
      <c r="A313" s="136">
        <f t="shared" si="104"/>
        <v>16</v>
      </c>
      <c r="B313" s="137" t="str">
        <f>IFERROR(__xludf.DUMMYFUNCTION("""COMPUTED_VALUE"""),"Hongyuan Wen")</f>
        <v>Hongyuan Wen</v>
      </c>
      <c r="C313" s="138">
        <f t="shared" si="102"/>
        <v>16</v>
      </c>
      <c r="D313" s="139" t="str">
        <f>IFERROR(__xludf.DUMMYFUNCTION("""COMPUTED_VALUE"""),"Pulkit Mathur")</f>
        <v>Pulkit Mathur</v>
      </c>
      <c r="E313" s="25"/>
      <c r="F313" s="26"/>
      <c r="G313" s="138">
        <f t="shared" si="103"/>
        <v>16</v>
      </c>
      <c r="H313" s="139"/>
      <c r="I313" s="25"/>
      <c r="J313" s="26"/>
    </row>
    <row r="314">
      <c r="A314" s="136">
        <f t="shared" si="104"/>
        <v>17</v>
      </c>
      <c r="B314" s="137" t="str">
        <f>IFERROR(__xludf.DUMMYFUNCTION("""COMPUTED_VALUE"""),"Jim Miao")</f>
        <v>Jim Miao</v>
      </c>
      <c r="C314" s="138">
        <f t="shared" si="102"/>
        <v>17</v>
      </c>
      <c r="D314" s="139" t="str">
        <f>IFERROR(__xludf.DUMMYFUNCTION("""COMPUTED_VALUE"""),"Rajasekar Ramasamy")</f>
        <v>Rajasekar Ramasamy</v>
      </c>
      <c r="E314" s="25"/>
      <c r="F314" s="26"/>
      <c r="G314" s="138">
        <f t="shared" si="103"/>
        <v>17</v>
      </c>
      <c r="H314" s="139"/>
      <c r="I314" s="25"/>
      <c r="J314" s="26"/>
    </row>
    <row r="315">
      <c r="A315" s="136">
        <f t="shared" si="104"/>
        <v>18</v>
      </c>
      <c r="B315" s="137" t="str">
        <f>IFERROR(__xludf.DUMMYFUNCTION("""COMPUTED_VALUE"""),"Jimmy Awolesi")</f>
        <v>Jimmy Awolesi</v>
      </c>
      <c r="C315" s="138">
        <f t="shared" si="102"/>
        <v>18</v>
      </c>
      <c r="D315" s="139" t="str">
        <f>IFERROR(__xludf.DUMMYFUNCTION("""COMPUTED_VALUE"""),"Robert Chang")</f>
        <v>Robert Chang</v>
      </c>
      <c r="E315" s="25"/>
      <c r="F315" s="26"/>
      <c r="G315" s="138">
        <f t="shared" si="103"/>
        <v>18</v>
      </c>
      <c r="H315" s="139"/>
      <c r="I315" s="25"/>
      <c r="J315" s="26"/>
    </row>
    <row r="316">
      <c r="A316" s="136">
        <f t="shared" si="104"/>
        <v>19</v>
      </c>
      <c r="B316" s="137" t="str">
        <f>IFERROR(__xludf.DUMMYFUNCTION("""COMPUTED_VALUE"""),"Joe Luzzi")</f>
        <v>Joe Luzzi</v>
      </c>
      <c r="C316" s="138">
        <f t="shared" si="102"/>
        <v>19</v>
      </c>
      <c r="D316" s="139" t="str">
        <f>IFERROR(__xludf.DUMMYFUNCTION("""COMPUTED_VALUE"""),"Ruben Ron")</f>
        <v>Ruben Ron</v>
      </c>
      <c r="E316" s="25"/>
      <c r="F316" s="26"/>
      <c r="G316" s="138">
        <f t="shared" si="103"/>
        <v>19</v>
      </c>
      <c r="H316" s="139"/>
      <c r="I316" s="25"/>
      <c r="J316" s="26"/>
    </row>
    <row r="317">
      <c r="A317" s="136">
        <f t="shared" si="104"/>
        <v>20</v>
      </c>
      <c r="B317" s="137" t="str">
        <f>IFERROR(__xludf.DUMMYFUNCTION("""COMPUTED_VALUE"""),"Jonathan Phan")</f>
        <v>Jonathan Phan</v>
      </c>
      <c r="C317" s="138">
        <f t="shared" si="102"/>
        <v>20</v>
      </c>
      <c r="D317" s="139" t="str">
        <f>IFERROR(__xludf.DUMMYFUNCTION("""COMPUTED_VALUE"""),"Rudy Tatang")</f>
        <v>Rudy Tatang</v>
      </c>
      <c r="E317" s="25"/>
      <c r="F317" s="26"/>
      <c r="G317" s="138">
        <f t="shared" si="103"/>
        <v>20</v>
      </c>
      <c r="H317" s="139"/>
      <c r="I317" s="25"/>
      <c r="J317" s="26"/>
    </row>
    <row r="318">
      <c r="A318" s="136">
        <f t="shared" si="104"/>
        <v>21</v>
      </c>
      <c r="B318" s="137" t="str">
        <f>IFERROR(__xludf.DUMMYFUNCTION("""COMPUTED_VALUE"""),"Joyce Zhu")</f>
        <v>Joyce Zhu</v>
      </c>
      <c r="C318" s="138">
        <f t="shared" si="102"/>
        <v>21</v>
      </c>
      <c r="D318" s="139" t="str">
        <f>IFERROR(__xludf.DUMMYFUNCTION("""COMPUTED_VALUE"""),"Sandy Weyant")</f>
        <v>Sandy Weyant</v>
      </c>
      <c r="E318" s="25"/>
      <c r="F318" s="26"/>
      <c r="G318" s="138">
        <f t="shared" si="103"/>
        <v>21</v>
      </c>
      <c r="H318" s="139"/>
      <c r="I318" s="25"/>
      <c r="J318" s="26"/>
    </row>
    <row r="319">
      <c r="A319" s="136">
        <f t="shared" si="104"/>
        <v>22</v>
      </c>
      <c r="B319" s="137" t="str">
        <f>IFERROR(__xludf.DUMMYFUNCTION("""COMPUTED_VALUE"""),"Kumar Palakeel")</f>
        <v>Kumar Palakeel</v>
      </c>
      <c r="C319" s="138">
        <f t="shared" si="102"/>
        <v>22</v>
      </c>
      <c r="D319" s="139" t="str">
        <f>IFERROR(__xludf.DUMMYFUNCTION("""COMPUTED_VALUE"""),"Scott Li")</f>
        <v>Scott Li</v>
      </c>
      <c r="E319" s="25"/>
      <c r="F319" s="26"/>
      <c r="G319" s="138">
        <f t="shared" si="103"/>
        <v>22</v>
      </c>
      <c r="H319" s="139"/>
      <c r="I319" s="25"/>
      <c r="J319" s="26"/>
    </row>
    <row r="320">
      <c r="A320" s="136">
        <f t="shared" si="104"/>
        <v>23</v>
      </c>
      <c r="B320" s="137" t="str">
        <f>IFERROR(__xludf.DUMMYFUNCTION("""COMPUTED_VALUE"""),"Lam Bui")</f>
        <v>Lam Bui</v>
      </c>
      <c r="C320" s="138">
        <f t="shared" si="102"/>
        <v>23</v>
      </c>
      <c r="D320" s="139" t="str">
        <f>IFERROR(__xludf.DUMMYFUNCTION("""COMPUTED_VALUE"""),"Sean Chang")</f>
        <v>Sean Chang</v>
      </c>
      <c r="E320" s="25"/>
      <c r="F320" s="26"/>
      <c r="G320" s="138">
        <f t="shared" si="103"/>
        <v>23</v>
      </c>
      <c r="H320" s="139"/>
      <c r="I320" s="25"/>
      <c r="J320" s="26"/>
    </row>
    <row r="321">
      <c r="A321" s="136">
        <f t="shared" si="104"/>
        <v>24</v>
      </c>
      <c r="B321" s="137" t="str">
        <f>IFERROR(__xludf.DUMMYFUNCTION("""COMPUTED_VALUE"""),"Lloyd Sagar")</f>
        <v>Lloyd Sagar</v>
      </c>
      <c r="C321" s="138">
        <f t="shared" si="102"/>
        <v>24</v>
      </c>
      <c r="D321" s="139" t="str">
        <f>IFERROR(__xludf.DUMMYFUNCTION("""COMPUTED_VALUE"""),"Suleman Alidina")</f>
        <v>Suleman Alidina</v>
      </c>
      <c r="E321" s="25"/>
      <c r="F321" s="26"/>
      <c r="G321" s="138">
        <f t="shared" si="103"/>
        <v>24</v>
      </c>
      <c r="H321" s="139"/>
      <c r="I321" s="25"/>
      <c r="J321" s="26"/>
    </row>
    <row r="322">
      <c r="A322" s="136">
        <f t="shared" si="104"/>
        <v>25</v>
      </c>
      <c r="B322" s="137" t="str">
        <f>IFERROR(__xludf.DUMMYFUNCTION("""COMPUTED_VALUE"""),"Luis Hsu")</f>
        <v>Luis Hsu</v>
      </c>
      <c r="C322" s="138">
        <f t="shared" si="102"/>
        <v>25</v>
      </c>
      <c r="D322" s="139" t="str">
        <f>IFERROR(__xludf.DUMMYFUNCTION("""COMPUTED_VALUE"""),"Tom Le")</f>
        <v>Tom Le</v>
      </c>
      <c r="E322" s="25"/>
      <c r="F322" s="26"/>
      <c r="G322" s="138">
        <f t="shared" si="103"/>
        <v>25</v>
      </c>
      <c r="H322" s="139"/>
      <c r="I322" s="25"/>
      <c r="J322" s="26"/>
    </row>
    <row r="323">
      <c r="A323" s="136">
        <f t="shared" si="104"/>
        <v>26</v>
      </c>
      <c r="B323" s="137" t="str">
        <f>IFERROR(__xludf.DUMMYFUNCTION("""COMPUTED_VALUE"""),"Manish Anand")</f>
        <v>Manish Anand</v>
      </c>
      <c r="C323" s="138">
        <f t="shared" si="102"/>
        <v>26</v>
      </c>
      <c r="D323" s="139"/>
      <c r="E323" s="25"/>
      <c r="F323" s="26"/>
      <c r="G323" s="138">
        <f t="shared" si="103"/>
        <v>26</v>
      </c>
      <c r="H323" s="139"/>
      <c r="I323" s="25"/>
      <c r="J323" s="26"/>
    </row>
    <row r="324">
      <c r="A324" s="136">
        <f t="shared" si="104"/>
        <v>27</v>
      </c>
      <c r="B324" s="137" t="str">
        <f>IFERROR(__xludf.DUMMYFUNCTION("""COMPUTED_VALUE"""),"Matthew Huang")</f>
        <v>Matthew Huang</v>
      </c>
      <c r="C324" s="138">
        <f t="shared" si="102"/>
        <v>27</v>
      </c>
      <c r="D324" s="139"/>
      <c r="E324" s="25"/>
      <c r="F324" s="26"/>
      <c r="G324" s="138">
        <f t="shared" si="103"/>
        <v>27</v>
      </c>
      <c r="H324" s="139"/>
      <c r="I324" s="25"/>
      <c r="J324" s="26"/>
    </row>
    <row r="325">
      <c r="A325" s="136">
        <f t="shared" si="104"/>
        <v>28</v>
      </c>
      <c r="B325" s="137" t="str">
        <f>IFERROR(__xludf.DUMMYFUNCTION("""COMPUTED_VALUE"""),"Naveen Raj")</f>
        <v>Naveen Raj</v>
      </c>
      <c r="C325" s="138">
        <f t="shared" si="102"/>
        <v>28</v>
      </c>
      <c r="D325" s="139"/>
      <c r="E325" s="25"/>
      <c r="F325" s="26"/>
      <c r="G325" s="138">
        <f t="shared" si="103"/>
        <v>28</v>
      </c>
      <c r="H325" s="139"/>
      <c r="I325" s="25"/>
      <c r="J325" s="26"/>
    </row>
    <row r="326">
      <c r="A326" s="136">
        <f t="shared" si="104"/>
        <v>29</v>
      </c>
      <c r="B326" s="137" t="str">
        <f>IFERROR(__xludf.DUMMYFUNCTION("""COMPUTED_VALUE"""),"Nicole Ni")</f>
        <v>Nicole Ni</v>
      </c>
      <c r="C326" s="138">
        <f t="shared" si="102"/>
        <v>29</v>
      </c>
      <c r="D326" s="139"/>
      <c r="E326" s="25"/>
      <c r="F326" s="26"/>
      <c r="G326" s="138">
        <f t="shared" si="103"/>
        <v>29</v>
      </c>
      <c r="H326" s="139"/>
      <c r="I326" s="25"/>
      <c r="J326" s="26"/>
    </row>
    <row r="327">
      <c r="A327" s="136">
        <f t="shared" si="104"/>
        <v>30</v>
      </c>
      <c r="B327" s="137" t="str">
        <f>IFERROR(__xludf.DUMMYFUNCTION("""COMPUTED_VALUE"""),"Oscar Bonilla")</f>
        <v>Oscar Bonilla</v>
      </c>
      <c r="C327" s="138">
        <f t="shared" si="102"/>
        <v>30</v>
      </c>
      <c r="D327" s="139"/>
      <c r="E327" s="25"/>
      <c r="F327" s="26"/>
      <c r="G327" s="138">
        <f t="shared" si="103"/>
        <v>30</v>
      </c>
      <c r="H327" s="139"/>
      <c r="I327" s="25"/>
      <c r="J327" s="26"/>
    </row>
    <row r="328">
      <c r="A328" s="136">
        <f t="shared" si="104"/>
        <v>31</v>
      </c>
      <c r="B328" s="137" t="str">
        <f>IFERROR(__xludf.DUMMYFUNCTION("""COMPUTED_VALUE"""),"Pavan Akkimsetty")</f>
        <v>Pavan Akkimsetty</v>
      </c>
      <c r="C328" s="138">
        <f t="shared" si="102"/>
        <v>31</v>
      </c>
      <c r="D328" s="139"/>
      <c r="E328" s="25"/>
      <c r="F328" s="26"/>
      <c r="G328" s="138">
        <f t="shared" si="103"/>
        <v>31</v>
      </c>
      <c r="H328" s="139"/>
      <c r="I328" s="25"/>
      <c r="J328" s="26"/>
    </row>
    <row r="329">
      <c r="A329" s="136">
        <f t="shared" si="104"/>
        <v>32</v>
      </c>
      <c r="B329" s="137" t="str">
        <f>IFERROR(__xludf.DUMMYFUNCTION("""COMPUTED_VALUE"""),"Rajesh Dorairaj")</f>
        <v>Rajesh Dorairaj</v>
      </c>
      <c r="C329" s="138">
        <f t="shared" si="102"/>
        <v>32</v>
      </c>
      <c r="D329" s="139"/>
      <c r="E329" s="25"/>
      <c r="F329" s="26"/>
      <c r="G329" s="138">
        <f t="shared" si="103"/>
        <v>32</v>
      </c>
      <c r="H329" s="139"/>
      <c r="I329" s="25"/>
      <c r="J329" s="26"/>
    </row>
    <row r="330">
      <c r="A330" s="136">
        <f t="shared" si="104"/>
        <v>33</v>
      </c>
      <c r="B330" s="137" t="str">
        <f>IFERROR(__xludf.DUMMYFUNCTION("""COMPUTED_VALUE"""),"Ramesh Bandaru")</f>
        <v>Ramesh Bandaru</v>
      </c>
      <c r="C330" s="138">
        <f t="shared" si="102"/>
        <v>33</v>
      </c>
      <c r="D330" s="139"/>
      <c r="E330" s="25"/>
      <c r="F330" s="26"/>
      <c r="G330" s="138">
        <f t="shared" si="103"/>
        <v>33</v>
      </c>
      <c r="H330" s="139"/>
      <c r="I330" s="25"/>
      <c r="J330" s="26"/>
    </row>
    <row r="331">
      <c r="A331" s="136">
        <f t="shared" si="104"/>
        <v>34</v>
      </c>
      <c r="B331" s="137" t="str">
        <f>IFERROR(__xludf.DUMMYFUNCTION("""COMPUTED_VALUE"""),"Ranjith Doraiswamy")</f>
        <v>Ranjith Doraiswamy</v>
      </c>
      <c r="C331" s="138">
        <f t="shared" si="102"/>
        <v>34</v>
      </c>
      <c r="D331" s="139"/>
      <c r="E331" s="25"/>
      <c r="F331" s="26"/>
      <c r="G331" s="138">
        <f t="shared" si="103"/>
        <v>34</v>
      </c>
      <c r="H331" s="139"/>
      <c r="I331" s="25"/>
      <c r="J331" s="26"/>
    </row>
    <row r="332">
      <c r="A332" s="136">
        <f t="shared" si="104"/>
        <v>35</v>
      </c>
      <c r="B332" s="137" t="str">
        <f>IFERROR(__xludf.DUMMYFUNCTION("""COMPUTED_VALUE"""),"Sandeep Kamalon")</f>
        <v>Sandeep Kamalon</v>
      </c>
      <c r="C332" s="138">
        <f t="shared" si="102"/>
        <v>35</v>
      </c>
      <c r="D332" s="139"/>
      <c r="E332" s="25"/>
      <c r="F332" s="26"/>
      <c r="G332" s="138">
        <f t="shared" si="103"/>
        <v>35</v>
      </c>
      <c r="H332" s="139"/>
      <c r="I332" s="25"/>
      <c r="J332" s="26"/>
    </row>
    <row r="333">
      <c r="A333" s="136">
        <f t="shared" si="104"/>
        <v>36</v>
      </c>
      <c r="B333" s="137" t="str">
        <f>IFERROR(__xludf.DUMMYFUNCTION("""COMPUTED_VALUE"""),"Sanjaye Elayattu")</f>
        <v>Sanjaye Elayattu</v>
      </c>
      <c r="C333" s="138">
        <f t="shared" si="102"/>
        <v>36</v>
      </c>
      <c r="D333" s="139"/>
      <c r="E333" s="25"/>
      <c r="F333" s="26"/>
      <c r="G333" s="138">
        <f t="shared" si="103"/>
        <v>36</v>
      </c>
      <c r="H333" s="139"/>
      <c r="I333" s="25"/>
      <c r="J333" s="26"/>
    </row>
    <row r="334">
      <c r="A334" s="136">
        <f t="shared" si="104"/>
        <v>37</v>
      </c>
      <c r="B334" s="137" t="str">
        <f>IFERROR(__xludf.DUMMYFUNCTION("""COMPUTED_VALUE"""),"Santosh Sundaresan")</f>
        <v>Santosh Sundaresan</v>
      </c>
      <c r="C334" s="138">
        <f t="shared" si="102"/>
        <v>37</v>
      </c>
      <c r="D334" s="139"/>
      <c r="E334" s="25"/>
      <c r="F334" s="26"/>
      <c r="G334" s="138">
        <f t="shared" si="103"/>
        <v>37</v>
      </c>
      <c r="H334" s="139"/>
      <c r="I334" s="25"/>
      <c r="J334" s="26"/>
    </row>
    <row r="335">
      <c r="A335" s="136">
        <f t="shared" si="104"/>
        <v>38</v>
      </c>
      <c r="B335" s="137" t="str">
        <f>IFERROR(__xludf.DUMMYFUNCTION("""COMPUTED_VALUE"""),"Saravanan Veerapandian")</f>
        <v>Saravanan Veerapandian</v>
      </c>
      <c r="C335" s="138">
        <f t="shared" si="102"/>
        <v>38</v>
      </c>
      <c r="D335" s="139"/>
      <c r="E335" s="25"/>
      <c r="F335" s="26"/>
      <c r="G335" s="138">
        <f t="shared" si="103"/>
        <v>38</v>
      </c>
      <c r="H335" s="139"/>
      <c r="I335" s="25"/>
      <c r="J335" s="26"/>
    </row>
    <row r="336">
      <c r="A336" s="136">
        <f t="shared" si="104"/>
        <v>39</v>
      </c>
      <c r="B336" s="137" t="str">
        <f>IFERROR(__xludf.DUMMYFUNCTION("""COMPUTED_VALUE"""),"Susanta Mishra")</f>
        <v>Susanta Mishra</v>
      </c>
      <c r="C336" s="138">
        <f t="shared" si="102"/>
        <v>39</v>
      </c>
      <c r="D336" s="139"/>
      <c r="E336" s="25"/>
      <c r="F336" s="26"/>
      <c r="G336" s="138">
        <f t="shared" si="103"/>
        <v>39</v>
      </c>
      <c r="H336" s="139"/>
      <c r="I336" s="25"/>
      <c r="J336" s="26"/>
    </row>
    <row r="337">
      <c r="A337" s="136">
        <f t="shared" si="104"/>
        <v>40</v>
      </c>
      <c r="B337" s="137" t="str">
        <f>IFERROR(__xludf.DUMMYFUNCTION("""COMPUTED_VALUE"""),"Ted Shen")</f>
        <v>Ted Shen</v>
      </c>
      <c r="C337" s="138">
        <f t="shared" si="102"/>
        <v>40</v>
      </c>
      <c r="D337" s="139"/>
      <c r="E337" s="25"/>
      <c r="F337" s="26"/>
      <c r="G337" s="138">
        <f t="shared" si="103"/>
        <v>40</v>
      </c>
      <c r="H337" s="139"/>
      <c r="I337" s="25"/>
      <c r="J337" s="26"/>
    </row>
    <row r="338">
      <c r="A338" s="136">
        <f t="shared" si="104"/>
        <v>41</v>
      </c>
      <c r="B338" s="137" t="str">
        <f>IFERROR(__xludf.DUMMYFUNCTION("""COMPUTED_VALUE"""),"Tina Hanson")</f>
        <v>Tina Hanson</v>
      </c>
      <c r="C338" s="138">
        <f t="shared" si="102"/>
        <v>41</v>
      </c>
      <c r="D338" s="139"/>
      <c r="E338" s="25"/>
      <c r="F338" s="26"/>
      <c r="G338" s="138">
        <f t="shared" si="103"/>
        <v>41</v>
      </c>
      <c r="H338" s="139"/>
      <c r="I338" s="25"/>
      <c r="J338" s="26"/>
    </row>
    <row r="339">
      <c r="A339" s="136">
        <f t="shared" si="104"/>
        <v>42</v>
      </c>
      <c r="B339" s="137" t="str">
        <f>IFERROR(__xludf.DUMMYFUNCTION("""COMPUTED_VALUE"""),"Trish Newlin")</f>
        <v>Trish Newlin</v>
      </c>
      <c r="C339" s="138">
        <f t="shared" si="102"/>
        <v>42</v>
      </c>
      <c r="D339" s="139"/>
      <c r="E339" s="25"/>
      <c r="F339" s="26"/>
      <c r="G339" s="138">
        <f t="shared" si="103"/>
        <v>42</v>
      </c>
      <c r="H339" s="139"/>
      <c r="I339" s="25"/>
      <c r="J339" s="26"/>
    </row>
    <row r="340">
      <c r="A340" s="136">
        <f t="shared" si="104"/>
        <v>43</v>
      </c>
      <c r="B340" s="137" t="str">
        <f>IFERROR(__xludf.DUMMYFUNCTION("""COMPUTED_VALUE"""),"Troy Wong")</f>
        <v>Troy Wong</v>
      </c>
      <c r="C340" s="138">
        <f t="shared" si="102"/>
        <v>43</v>
      </c>
      <c r="D340" s="139"/>
      <c r="E340" s="25"/>
      <c r="F340" s="26"/>
      <c r="G340" s="138">
        <f t="shared" si="103"/>
        <v>43</v>
      </c>
      <c r="H340" s="139"/>
      <c r="I340" s="25"/>
      <c r="J340" s="26"/>
    </row>
    <row r="341">
      <c r="A341" s="136">
        <f t="shared" si="104"/>
        <v>44</v>
      </c>
      <c r="B341" s="137" t="str">
        <f>IFERROR(__xludf.DUMMYFUNCTION("""COMPUTED_VALUE"""),"Vicki Martinet")</f>
        <v>Vicki Martinet</v>
      </c>
      <c r="C341" s="138">
        <f t="shared" si="102"/>
        <v>44</v>
      </c>
      <c r="D341" s="139"/>
      <c r="E341" s="25"/>
      <c r="F341" s="26"/>
      <c r="G341" s="138">
        <f t="shared" si="103"/>
        <v>44</v>
      </c>
      <c r="H341" s="139"/>
      <c r="I341" s="25"/>
      <c r="J341" s="26"/>
    </row>
    <row r="342">
      <c r="A342" s="136">
        <f t="shared" si="104"/>
        <v>45</v>
      </c>
      <c r="B342" s="137" t="str">
        <f>IFERROR(__xludf.DUMMYFUNCTION("""COMPUTED_VALUE"""),"Vinaya Kajla")</f>
        <v>Vinaya Kajla</v>
      </c>
      <c r="C342" s="138">
        <f t="shared" si="102"/>
        <v>45</v>
      </c>
      <c r="D342" s="139"/>
      <c r="E342" s="25"/>
      <c r="F342" s="26"/>
      <c r="G342" s="138">
        <f t="shared" si="103"/>
        <v>45</v>
      </c>
      <c r="H342" s="139"/>
      <c r="I342" s="25"/>
      <c r="J342" s="26"/>
    </row>
    <row r="343">
      <c r="A343" s="136">
        <f t="shared" si="104"/>
        <v>46</v>
      </c>
      <c r="B343" s="137" t="str">
        <f>IFERROR(__xludf.DUMMYFUNCTION("""COMPUTED_VALUE"""),"Vinotkumar Nagappan")</f>
        <v>Vinotkumar Nagappan</v>
      </c>
      <c r="C343" s="138">
        <f t="shared" si="102"/>
        <v>46</v>
      </c>
      <c r="D343" s="139"/>
      <c r="E343" s="25"/>
      <c r="F343" s="26"/>
      <c r="G343" s="138">
        <f t="shared" si="103"/>
        <v>46</v>
      </c>
      <c r="H343" s="139"/>
      <c r="I343" s="25"/>
      <c r="J343" s="26"/>
    </row>
    <row r="344">
      <c r="A344" s="136">
        <f t="shared" si="104"/>
        <v>47</v>
      </c>
      <c r="B344" s="137" t="str">
        <f>IFERROR(__xludf.DUMMYFUNCTION("""COMPUTED_VALUE"""),"Vishnu Amarnath")</f>
        <v>Vishnu Amarnath</v>
      </c>
      <c r="C344" s="138">
        <f t="shared" si="102"/>
        <v>47</v>
      </c>
      <c r="D344" s="139"/>
      <c r="E344" s="25"/>
      <c r="F344" s="26"/>
      <c r="G344" s="138">
        <f t="shared" si="103"/>
        <v>47</v>
      </c>
      <c r="H344" s="139"/>
      <c r="I344" s="25"/>
      <c r="J344" s="26"/>
    </row>
    <row r="345">
      <c r="A345" s="136">
        <f t="shared" si="104"/>
        <v>48</v>
      </c>
      <c r="B345" s="137" t="str">
        <f>IFERROR(__xludf.DUMMYFUNCTION("""COMPUTED_VALUE"""),"Wayne Liu")</f>
        <v>Wayne Liu</v>
      </c>
      <c r="C345" s="138">
        <f t="shared" si="102"/>
        <v>48</v>
      </c>
      <c r="D345" s="139"/>
      <c r="E345" s="25"/>
      <c r="F345" s="26"/>
      <c r="G345" s="138">
        <f t="shared" si="103"/>
        <v>48</v>
      </c>
      <c r="H345" s="139"/>
      <c r="I345" s="25"/>
      <c r="J345" s="26"/>
    </row>
    <row r="346">
      <c r="A346" s="136">
        <f t="shared" si="104"/>
        <v>49</v>
      </c>
      <c r="B346" s="137"/>
      <c r="C346" s="138">
        <f t="shared" si="102"/>
        <v>49</v>
      </c>
      <c r="D346" s="139"/>
      <c r="E346" s="25"/>
      <c r="F346" s="26"/>
      <c r="G346" s="138">
        <f t="shared" si="103"/>
        <v>49</v>
      </c>
      <c r="H346" s="139"/>
      <c r="I346" s="25"/>
      <c r="J346" s="26"/>
    </row>
    <row r="347">
      <c r="A347" s="136">
        <f t="shared" si="104"/>
        <v>50</v>
      </c>
      <c r="B347" s="137"/>
      <c r="C347" s="138">
        <f t="shared" si="102"/>
        <v>50</v>
      </c>
      <c r="D347" s="139"/>
      <c r="E347" s="25"/>
      <c r="F347" s="26"/>
      <c r="G347" s="138">
        <f t="shared" si="103"/>
        <v>50</v>
      </c>
      <c r="H347" s="139"/>
      <c r="I347" s="25"/>
      <c r="J347" s="26"/>
    </row>
    <row r="348">
      <c r="A348" s="136">
        <f t="shared" si="104"/>
        <v>51</v>
      </c>
      <c r="B348" s="137"/>
      <c r="C348" s="138">
        <f t="shared" si="102"/>
        <v>51</v>
      </c>
      <c r="D348" s="139"/>
      <c r="E348" s="25"/>
      <c r="F348" s="26"/>
      <c r="G348" s="138">
        <f t="shared" si="103"/>
        <v>51</v>
      </c>
      <c r="H348" s="139"/>
      <c r="I348" s="25"/>
      <c r="J348" s="26"/>
    </row>
    <row r="349">
      <c r="A349" s="136">
        <f t="shared" si="104"/>
        <v>52</v>
      </c>
      <c r="B349" s="137"/>
      <c r="C349" s="138">
        <f t="shared" si="102"/>
        <v>52</v>
      </c>
      <c r="D349" s="139"/>
      <c r="E349" s="25"/>
      <c r="F349" s="26"/>
      <c r="G349" s="138">
        <f t="shared" si="103"/>
        <v>52</v>
      </c>
      <c r="H349" s="139"/>
      <c r="I349" s="25"/>
      <c r="J349" s="26"/>
    </row>
    <row r="350">
      <c r="A350" s="136">
        <f t="shared" si="104"/>
        <v>53</v>
      </c>
      <c r="B350" s="137"/>
      <c r="C350" s="138">
        <f t="shared" si="102"/>
        <v>53</v>
      </c>
      <c r="D350" s="139"/>
      <c r="E350" s="25"/>
      <c r="F350" s="26"/>
      <c r="G350" s="138">
        <f t="shared" si="103"/>
        <v>53</v>
      </c>
      <c r="H350" s="139"/>
      <c r="I350" s="25"/>
      <c r="J350" s="26"/>
    </row>
    <row r="351">
      <c r="A351" s="136">
        <f t="shared" si="104"/>
        <v>54</v>
      </c>
      <c r="B351" s="137"/>
      <c r="C351" s="138">
        <f t="shared" si="102"/>
        <v>54</v>
      </c>
      <c r="D351" s="139"/>
      <c r="E351" s="25"/>
      <c r="F351" s="26"/>
      <c r="G351" s="138">
        <f t="shared" si="103"/>
        <v>54</v>
      </c>
      <c r="H351" s="139"/>
      <c r="I351" s="25"/>
      <c r="J351" s="26"/>
    </row>
    <row r="352">
      <c r="A352" s="136">
        <f t="shared" si="104"/>
        <v>55</v>
      </c>
      <c r="B352" s="137"/>
      <c r="C352" s="138">
        <f t="shared" si="102"/>
        <v>55</v>
      </c>
      <c r="D352" s="139"/>
      <c r="E352" s="25"/>
      <c r="F352" s="26"/>
      <c r="G352" s="138">
        <f t="shared" si="103"/>
        <v>55</v>
      </c>
      <c r="H352" s="139"/>
      <c r="I352" s="25"/>
      <c r="J352" s="26"/>
    </row>
    <row r="353">
      <c r="A353" s="136">
        <f t="shared" si="104"/>
        <v>56</v>
      </c>
      <c r="B353" s="137"/>
      <c r="C353" s="138">
        <f t="shared" si="102"/>
        <v>56</v>
      </c>
      <c r="D353" s="139"/>
      <c r="E353" s="25"/>
      <c r="F353" s="26"/>
      <c r="G353" s="138">
        <f t="shared" si="103"/>
        <v>56</v>
      </c>
      <c r="H353" s="139"/>
      <c r="I353" s="25"/>
      <c r="J353" s="26"/>
    </row>
    <row r="354">
      <c r="A354" s="136">
        <f t="shared" si="104"/>
        <v>57</v>
      </c>
      <c r="B354" s="137"/>
      <c r="C354" s="138">
        <f t="shared" si="102"/>
        <v>57</v>
      </c>
      <c r="D354" s="139"/>
      <c r="E354" s="25"/>
      <c r="F354" s="26"/>
      <c r="G354" s="138">
        <f t="shared" si="103"/>
        <v>57</v>
      </c>
      <c r="H354" s="139"/>
      <c r="I354" s="25"/>
      <c r="J354" s="26"/>
    </row>
    <row r="355">
      <c r="A355" s="136">
        <f t="shared" si="104"/>
        <v>58</v>
      </c>
      <c r="B355" s="137"/>
      <c r="C355" s="138">
        <f t="shared" si="102"/>
        <v>58</v>
      </c>
      <c r="D355" s="139"/>
      <c r="E355" s="25"/>
      <c r="F355" s="26"/>
      <c r="G355" s="138">
        <f t="shared" si="103"/>
        <v>58</v>
      </c>
      <c r="H355" s="139"/>
      <c r="I355" s="25"/>
      <c r="J355" s="26"/>
    </row>
    <row r="356">
      <c r="A356" s="136">
        <f t="shared" si="104"/>
        <v>59</v>
      </c>
      <c r="B356" s="137"/>
      <c r="C356" s="138">
        <f t="shared" si="102"/>
        <v>59</v>
      </c>
      <c r="D356" s="139"/>
      <c r="E356" s="25"/>
      <c r="F356" s="26"/>
      <c r="G356" s="138">
        <f t="shared" si="103"/>
        <v>59</v>
      </c>
      <c r="H356" s="139"/>
      <c r="I356" s="25"/>
      <c r="J356" s="26"/>
    </row>
    <row r="357">
      <c r="A357" s="136">
        <f t="shared" si="104"/>
        <v>60</v>
      </c>
      <c r="B357" s="137"/>
      <c r="C357" s="138">
        <f t="shared" si="102"/>
        <v>60</v>
      </c>
      <c r="D357" s="139"/>
      <c r="E357" s="25"/>
      <c r="F357" s="26"/>
      <c r="G357" s="138">
        <f t="shared" si="103"/>
        <v>60</v>
      </c>
      <c r="H357" s="139"/>
      <c r="I357" s="25"/>
      <c r="J357" s="26"/>
    </row>
    <row r="358">
      <c r="A358" s="136">
        <f t="shared" si="104"/>
        <v>61</v>
      </c>
      <c r="B358" s="137"/>
      <c r="C358" s="138">
        <f t="shared" si="102"/>
        <v>61</v>
      </c>
      <c r="D358" s="139"/>
      <c r="E358" s="25"/>
      <c r="F358" s="26"/>
      <c r="G358" s="138">
        <f t="shared" si="103"/>
        <v>61</v>
      </c>
      <c r="H358" s="139"/>
      <c r="I358" s="25"/>
      <c r="J358" s="26"/>
    </row>
    <row r="359">
      <c r="A359" s="136">
        <f t="shared" si="104"/>
        <v>62</v>
      </c>
      <c r="B359" s="137"/>
      <c r="C359" s="138">
        <f t="shared" si="102"/>
        <v>62</v>
      </c>
      <c r="D359" s="139"/>
      <c r="E359" s="25"/>
      <c r="F359" s="26"/>
      <c r="G359" s="138">
        <f t="shared" si="103"/>
        <v>62</v>
      </c>
      <c r="H359" s="139"/>
      <c r="I359" s="25"/>
      <c r="J359" s="26"/>
    </row>
    <row r="360">
      <c r="A360" s="136">
        <f t="shared" si="104"/>
        <v>63</v>
      </c>
      <c r="B360" s="137"/>
      <c r="C360" s="138">
        <f t="shared" si="102"/>
        <v>63</v>
      </c>
      <c r="D360" s="139"/>
      <c r="E360" s="25"/>
      <c r="F360" s="26"/>
      <c r="G360" s="138">
        <f t="shared" si="103"/>
        <v>63</v>
      </c>
      <c r="H360" s="139"/>
      <c r="I360" s="25"/>
      <c r="J360" s="26"/>
    </row>
    <row r="361">
      <c r="A361" s="136">
        <f t="shared" si="104"/>
        <v>64</v>
      </c>
      <c r="B361" s="137"/>
      <c r="C361" s="138">
        <f t="shared" si="102"/>
        <v>64</v>
      </c>
      <c r="D361" s="139"/>
      <c r="E361" s="25"/>
      <c r="F361" s="26"/>
      <c r="G361" s="138">
        <f t="shared" si="103"/>
        <v>64</v>
      </c>
      <c r="H361" s="139"/>
      <c r="I361" s="25"/>
      <c r="J361" s="26"/>
    </row>
    <row r="362">
      <c r="A362" s="136">
        <f t="shared" si="104"/>
        <v>65</v>
      </c>
      <c r="B362" s="137"/>
      <c r="C362" s="138">
        <f t="shared" si="102"/>
        <v>65</v>
      </c>
      <c r="D362" s="139"/>
      <c r="E362" s="25"/>
      <c r="F362" s="26"/>
      <c r="G362" s="138">
        <f t="shared" si="103"/>
        <v>65</v>
      </c>
      <c r="H362" s="139"/>
      <c r="I362" s="25"/>
      <c r="J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150"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48:F348"/>
    <mergeCell ref="D349:F349"/>
    <mergeCell ref="D350:F350"/>
    <mergeCell ref="D351:F351"/>
    <mergeCell ref="D352:F352"/>
    <mergeCell ref="D353:F353"/>
    <mergeCell ref="D354:F354"/>
    <mergeCell ref="H314:J314"/>
    <mergeCell ref="H315:J315"/>
    <mergeCell ref="H316:J316"/>
    <mergeCell ref="H317:J317"/>
    <mergeCell ref="H318:J318"/>
    <mergeCell ref="H319:J319"/>
    <mergeCell ref="H320:J320"/>
    <mergeCell ref="H321:J321"/>
    <mergeCell ref="H322:J322"/>
    <mergeCell ref="H323:J323"/>
    <mergeCell ref="H324:J324"/>
    <mergeCell ref="H325:J325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56:J356"/>
    <mergeCell ref="H357:J357"/>
    <mergeCell ref="H358:J358"/>
    <mergeCell ref="H359:J359"/>
    <mergeCell ref="H360:J360"/>
    <mergeCell ref="H361:J361"/>
    <mergeCell ref="H362:J362"/>
    <mergeCell ref="H349:J349"/>
    <mergeCell ref="H350:J350"/>
    <mergeCell ref="H351:J351"/>
    <mergeCell ref="H352:J352"/>
    <mergeCell ref="H353:J353"/>
    <mergeCell ref="H354:J354"/>
    <mergeCell ref="H355:J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H297:J297"/>
    <mergeCell ref="H298:J298"/>
    <mergeCell ref="H301:J301"/>
    <mergeCell ref="H302:J302"/>
    <mergeCell ref="D298:F298"/>
    <mergeCell ref="D299:F299"/>
    <mergeCell ref="H299:J299"/>
    <mergeCell ref="D300:F300"/>
    <mergeCell ref="H300:J300"/>
    <mergeCell ref="D301:F301"/>
    <mergeCell ref="D302:F302"/>
    <mergeCell ref="D303:F303"/>
    <mergeCell ref="H303:J303"/>
    <mergeCell ref="D304:F304"/>
    <mergeCell ref="H304:J304"/>
    <mergeCell ref="D305:F305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7.25"/>
    <col customWidth="1" min="4" max="4" width="11.38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46172.0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21.0</v>
      </c>
      <c r="E2" s="5"/>
      <c r="F2" s="5"/>
      <c r="R2" s="18"/>
      <c r="AC2" s="22" t="str">
        <f>text(C1-7,"mm/dd/yy")</f>
        <v>05/23/26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306.0</v>
      </c>
      <c r="D5" s="37">
        <v>40.0</v>
      </c>
      <c r="E5" s="40">
        <f t="shared" ref="E5:E79" si="2">if(S5&gt;0,(C5-(V5*9)-(T5*13))/S5,0)</f>
        <v>15.15789474</v>
      </c>
      <c r="F5" s="90">
        <v>1.0</v>
      </c>
      <c r="G5" s="91">
        <v>1.0</v>
      </c>
      <c r="H5" s="92">
        <v>0.0</v>
      </c>
      <c r="I5" s="91">
        <v>6.0</v>
      </c>
      <c r="J5" s="91">
        <v>6.0</v>
      </c>
      <c r="K5" s="91">
        <v>6.0</v>
      </c>
      <c r="L5" s="93">
        <v>18.0</v>
      </c>
      <c r="M5" s="91">
        <v>3.0</v>
      </c>
      <c r="N5" s="37">
        <f t="shared" ref="N5:O5" si="1">C5+L5</f>
        <v>324</v>
      </c>
      <c r="O5" s="37">
        <f t="shared" si="1"/>
        <v>43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19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1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301.0</v>
      </c>
      <c r="D6" s="37">
        <v>35.0</v>
      </c>
      <c r="E6" s="40">
        <f t="shared" si="2"/>
        <v>15.58823529</v>
      </c>
      <c r="F6" s="90">
        <v>3.0</v>
      </c>
      <c r="G6" s="91">
        <v>0.0</v>
      </c>
      <c r="H6" s="92">
        <v>9.0</v>
      </c>
      <c r="I6" s="91">
        <v>0.0</v>
      </c>
      <c r="J6" s="91">
        <v>0.0</v>
      </c>
      <c r="K6" s="91">
        <v>0.0</v>
      </c>
      <c r="L6" s="93">
        <v>9.0</v>
      </c>
      <c r="M6" s="91">
        <v>0.0</v>
      </c>
      <c r="N6" s="37">
        <f t="shared" ref="N6:O6" si="3">C6+L6</f>
        <v>310</v>
      </c>
      <c r="O6" s="37">
        <f t="shared" si="3"/>
        <v>35</v>
      </c>
      <c r="P6" s="49" t="s">
        <v>57</v>
      </c>
      <c r="Q6" s="49" t="s">
        <v>57</v>
      </c>
      <c r="R6" s="49" t="s">
        <v>57</v>
      </c>
      <c r="S6" s="51">
        <f t="shared" si="4"/>
        <v>17</v>
      </c>
      <c r="T6" s="52">
        <f t="shared" si="5"/>
        <v>0</v>
      </c>
      <c r="U6" s="52"/>
      <c r="V6" s="51">
        <f t="shared" si="6"/>
        <v>4</v>
      </c>
      <c r="W6" s="52">
        <f t="shared" si="7"/>
        <v>-1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283.0</v>
      </c>
      <c r="D7" s="37">
        <v>28.0</v>
      </c>
      <c r="E7" s="40">
        <f t="shared" si="2"/>
        <v>14.22222222</v>
      </c>
      <c r="F7" s="90">
        <v>1.0</v>
      </c>
      <c r="G7" s="91">
        <v>1.0</v>
      </c>
      <c r="H7" s="92">
        <v>0.0</v>
      </c>
      <c r="I7" s="91">
        <v>4.0</v>
      </c>
      <c r="J7" s="91">
        <v>3.0</v>
      </c>
      <c r="K7" s="91">
        <v>6.0</v>
      </c>
      <c r="L7" s="93">
        <v>13.0</v>
      </c>
      <c r="M7" s="91">
        <v>1.0</v>
      </c>
      <c r="N7" s="37">
        <f t="shared" ref="N7:O7" si="11">C7+L7</f>
        <v>296</v>
      </c>
      <c r="O7" s="37">
        <f t="shared" si="11"/>
        <v>29</v>
      </c>
      <c r="P7" s="49" t="s">
        <v>57</v>
      </c>
      <c r="Q7" s="49" t="s">
        <v>57</v>
      </c>
      <c r="R7" s="49" t="s">
        <v>57</v>
      </c>
      <c r="S7" s="51">
        <f t="shared" si="4"/>
        <v>18</v>
      </c>
      <c r="T7" s="52">
        <f t="shared" si="5"/>
        <v>0</v>
      </c>
      <c r="U7" s="52"/>
      <c r="V7" s="51">
        <f t="shared" si="6"/>
        <v>3</v>
      </c>
      <c r="W7" s="52">
        <f t="shared" si="7"/>
        <v>1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283.0</v>
      </c>
      <c r="D8" s="37">
        <v>28.0</v>
      </c>
      <c r="E8" s="40">
        <f t="shared" si="2"/>
        <v>13.73684211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292</v>
      </c>
      <c r="O8" s="37">
        <f t="shared" si="13"/>
        <v>28</v>
      </c>
      <c r="P8" s="49" t="s">
        <v>57</v>
      </c>
      <c r="Q8" s="49" t="s">
        <v>57</v>
      </c>
      <c r="R8" s="49" t="s">
        <v>57</v>
      </c>
      <c r="S8" s="51">
        <f t="shared" si="4"/>
        <v>19</v>
      </c>
      <c r="T8" s="52">
        <f t="shared" si="5"/>
        <v>1</v>
      </c>
      <c r="U8" s="52"/>
      <c r="V8" s="51">
        <f t="shared" si="6"/>
        <v>1</v>
      </c>
      <c r="W8" s="52">
        <f t="shared" si="7"/>
        <v>-1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93</v>
      </c>
      <c r="C9" s="37">
        <v>271.0</v>
      </c>
      <c r="D9" s="37">
        <v>26.0</v>
      </c>
      <c r="E9" s="40">
        <f t="shared" si="2"/>
        <v>13.58823529</v>
      </c>
      <c r="F9" s="90">
        <v>1.0</v>
      </c>
      <c r="G9" s="91">
        <v>1.0</v>
      </c>
      <c r="H9" s="92">
        <v>0.0</v>
      </c>
      <c r="I9" s="91">
        <v>4.0</v>
      </c>
      <c r="J9" s="91">
        <v>6.0</v>
      </c>
      <c r="K9" s="91">
        <v>4.0</v>
      </c>
      <c r="L9" s="93">
        <v>14.0</v>
      </c>
      <c r="M9" s="91">
        <v>1.0</v>
      </c>
      <c r="N9" s="37">
        <f t="shared" ref="N9:O9" si="14">C9+L9</f>
        <v>285</v>
      </c>
      <c r="O9" s="37">
        <f t="shared" si="14"/>
        <v>27</v>
      </c>
      <c r="P9" s="49" t="s">
        <v>57</v>
      </c>
      <c r="Q9" s="49" t="s">
        <v>57</v>
      </c>
      <c r="R9" s="49" t="s">
        <v>57</v>
      </c>
      <c r="S9" s="51">
        <f t="shared" si="4"/>
        <v>17</v>
      </c>
      <c r="T9" s="52">
        <f t="shared" si="5"/>
        <v>1</v>
      </c>
      <c r="U9" s="52"/>
      <c r="V9" s="51">
        <f t="shared" si="6"/>
        <v>3</v>
      </c>
      <c r="W9" s="52">
        <f t="shared" si="7"/>
        <v>2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94</v>
      </c>
      <c r="C10" s="37">
        <v>269.0</v>
      </c>
      <c r="D10" s="37">
        <v>28.0</v>
      </c>
      <c r="E10" s="40">
        <f t="shared" si="2"/>
        <v>13.21052632</v>
      </c>
      <c r="F10" s="90">
        <v>1.0</v>
      </c>
      <c r="G10" s="91">
        <v>1.0</v>
      </c>
      <c r="H10" s="92">
        <v>0.0</v>
      </c>
      <c r="I10" s="91">
        <v>6.0</v>
      </c>
      <c r="J10" s="91">
        <v>3.0</v>
      </c>
      <c r="K10" s="91">
        <v>4.0</v>
      </c>
      <c r="L10" s="93">
        <v>13.0</v>
      </c>
      <c r="M10" s="91">
        <v>1.0</v>
      </c>
      <c r="N10" s="37">
        <f t="shared" ref="N10:O10" si="15">C10+L10</f>
        <v>282</v>
      </c>
      <c r="O10" s="37">
        <f t="shared" si="15"/>
        <v>29</v>
      </c>
      <c r="P10" s="49" t="s">
        <v>57</v>
      </c>
      <c r="Q10" s="49" t="s">
        <v>57</v>
      </c>
      <c r="R10" s="49" t="s">
        <v>57</v>
      </c>
      <c r="S10" s="51">
        <f t="shared" si="4"/>
        <v>19</v>
      </c>
      <c r="T10" s="52">
        <f t="shared" si="5"/>
        <v>0</v>
      </c>
      <c r="U10" s="52"/>
      <c r="V10" s="51">
        <f t="shared" si="6"/>
        <v>2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95</v>
      </c>
      <c r="C11" s="37">
        <v>268.0</v>
      </c>
      <c r="D11" s="37">
        <v>27.0</v>
      </c>
      <c r="E11" s="40">
        <f t="shared" si="2"/>
        <v>13.64705882</v>
      </c>
      <c r="F11" s="90">
        <v>1.0</v>
      </c>
      <c r="G11" s="91">
        <v>2.0</v>
      </c>
      <c r="H11" s="92">
        <v>0.0</v>
      </c>
      <c r="I11" s="91">
        <v>6.0</v>
      </c>
      <c r="J11" s="91">
        <v>3.0</v>
      </c>
      <c r="K11" s="91">
        <v>5.0</v>
      </c>
      <c r="L11" s="93">
        <v>14.0</v>
      </c>
      <c r="M11" s="91">
        <v>1.0</v>
      </c>
      <c r="N11" s="37">
        <f t="shared" ref="N11:O11" si="16">C11+L11</f>
        <v>282</v>
      </c>
      <c r="O11" s="37">
        <f t="shared" si="16"/>
        <v>28</v>
      </c>
      <c r="P11" s="49" t="s">
        <v>57</v>
      </c>
      <c r="Q11" s="49" t="s">
        <v>57</v>
      </c>
      <c r="R11" s="49" t="s">
        <v>57</v>
      </c>
      <c r="S11" s="51">
        <f t="shared" si="4"/>
        <v>17</v>
      </c>
      <c r="T11" s="52">
        <f t="shared" si="5"/>
        <v>0</v>
      </c>
      <c r="U11" s="52"/>
      <c r="V11" s="51">
        <f t="shared" si="6"/>
        <v>4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80</v>
      </c>
      <c r="C12" s="37">
        <v>266.0</v>
      </c>
      <c r="D12" s="37">
        <v>24.0</v>
      </c>
      <c r="E12" s="40">
        <f t="shared" si="2"/>
        <v>13.86666667</v>
      </c>
      <c r="F12" s="90">
        <v>1.0</v>
      </c>
      <c r="G12" s="91">
        <v>2.0</v>
      </c>
      <c r="H12" s="92">
        <v>0.0</v>
      </c>
      <c r="I12" s="91">
        <v>2.0</v>
      </c>
      <c r="J12" s="91">
        <v>6.0</v>
      </c>
      <c r="K12" s="91">
        <v>5.0</v>
      </c>
      <c r="L12" s="93">
        <v>13.0</v>
      </c>
      <c r="M12" s="91">
        <v>1.0</v>
      </c>
      <c r="N12" s="37">
        <f t="shared" ref="N12:O12" si="17">C12+L12</f>
        <v>279</v>
      </c>
      <c r="O12" s="37">
        <f t="shared" si="17"/>
        <v>25</v>
      </c>
      <c r="P12" s="49" t="s">
        <v>57</v>
      </c>
      <c r="Q12" s="49" t="s">
        <v>57</v>
      </c>
      <c r="R12" s="49" t="s">
        <v>57</v>
      </c>
      <c r="S12" s="51">
        <f t="shared" si="4"/>
        <v>15</v>
      </c>
      <c r="T12" s="52">
        <f t="shared" si="5"/>
        <v>1</v>
      </c>
      <c r="U12" s="52"/>
      <c r="V12" s="51">
        <f t="shared" si="6"/>
        <v>5</v>
      </c>
      <c r="W12" s="52">
        <f t="shared" si="7"/>
        <v>0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89</v>
      </c>
      <c r="C13" s="37">
        <v>261.0</v>
      </c>
      <c r="D13" s="37">
        <v>25.0</v>
      </c>
      <c r="E13" s="40">
        <f t="shared" si="2"/>
        <v>15</v>
      </c>
      <c r="F13" s="90">
        <v>1.0</v>
      </c>
      <c r="G13" s="91">
        <v>2.0</v>
      </c>
      <c r="H13" s="92">
        <v>0.0</v>
      </c>
      <c r="I13" s="91">
        <v>6.0</v>
      </c>
      <c r="J13" s="91">
        <v>6.0</v>
      </c>
      <c r="K13" s="91">
        <v>7.0</v>
      </c>
      <c r="L13" s="93">
        <v>19.0</v>
      </c>
      <c r="M13" s="91">
        <v>3.0</v>
      </c>
      <c r="N13" s="37">
        <f t="shared" ref="N13:O13" si="18">C13+L13</f>
        <v>280</v>
      </c>
      <c r="O13" s="37">
        <f t="shared" si="18"/>
        <v>28</v>
      </c>
      <c r="P13" s="49" t="s">
        <v>57</v>
      </c>
      <c r="Q13" s="49" t="s">
        <v>57</v>
      </c>
      <c r="R13" s="49" t="s">
        <v>57</v>
      </c>
      <c r="S13" s="51">
        <f t="shared" si="4"/>
        <v>12</v>
      </c>
      <c r="T13" s="52">
        <f t="shared" si="5"/>
        <v>0</v>
      </c>
      <c r="U13" s="52"/>
      <c r="V13" s="51">
        <f t="shared" si="6"/>
        <v>9</v>
      </c>
      <c r="W13" s="52">
        <f t="shared" si="7"/>
        <v>5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92</v>
      </c>
      <c r="C14" s="37">
        <v>260.0</v>
      </c>
      <c r="D14" s="37">
        <v>19.0</v>
      </c>
      <c r="E14" s="40">
        <f t="shared" si="2"/>
        <v>13.73333333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269</v>
      </c>
      <c r="O14" s="37">
        <f t="shared" si="19"/>
        <v>19</v>
      </c>
      <c r="P14" s="49" t="s">
        <v>57</v>
      </c>
      <c r="Q14" s="49" t="s">
        <v>57</v>
      </c>
      <c r="R14" s="49" t="s">
        <v>57</v>
      </c>
      <c r="S14" s="51">
        <f t="shared" si="4"/>
        <v>15</v>
      </c>
      <c r="T14" s="52">
        <f t="shared" si="5"/>
        <v>0</v>
      </c>
      <c r="U14" s="52"/>
      <c r="V14" s="51">
        <f t="shared" si="6"/>
        <v>6</v>
      </c>
      <c r="W14" s="52">
        <f t="shared" si="7"/>
        <v>-1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127</v>
      </c>
      <c r="C15" s="37">
        <v>259.0</v>
      </c>
      <c r="D15" s="37">
        <v>23.0</v>
      </c>
      <c r="E15" s="40">
        <f t="shared" si="2"/>
        <v>14.83333333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268</v>
      </c>
      <c r="O15" s="37">
        <f t="shared" si="20"/>
        <v>23</v>
      </c>
      <c r="P15" s="49" t="s">
        <v>57</v>
      </c>
      <c r="Q15" s="49" t="s">
        <v>57</v>
      </c>
      <c r="R15" s="49" t="s">
        <v>57</v>
      </c>
      <c r="S15" s="51">
        <f t="shared" si="4"/>
        <v>12</v>
      </c>
      <c r="T15" s="52">
        <f t="shared" si="5"/>
        <v>0</v>
      </c>
      <c r="U15" s="52"/>
      <c r="V15" s="51">
        <f t="shared" si="6"/>
        <v>9</v>
      </c>
      <c r="W15" s="52">
        <f t="shared" si="7"/>
        <v>-1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117</v>
      </c>
      <c r="C16" s="37">
        <v>258.0</v>
      </c>
      <c r="D16" s="37">
        <v>23.0</v>
      </c>
      <c r="E16" s="40">
        <f t="shared" si="2"/>
        <v>12.82352941</v>
      </c>
      <c r="F16" s="90">
        <v>2.0</v>
      </c>
      <c r="G16" s="91">
        <v>2.0</v>
      </c>
      <c r="H16" s="92">
        <v>0.0</v>
      </c>
      <c r="I16" s="91">
        <v>2.0</v>
      </c>
      <c r="J16" s="91">
        <v>3.0</v>
      </c>
      <c r="K16" s="91">
        <v>7.0</v>
      </c>
      <c r="L16" s="93">
        <v>12.0</v>
      </c>
      <c r="M16" s="91">
        <v>1.0</v>
      </c>
      <c r="N16" s="37">
        <f t="shared" ref="N16:O16" si="21">C16+L16</f>
        <v>270</v>
      </c>
      <c r="O16" s="37">
        <f t="shared" si="21"/>
        <v>24</v>
      </c>
      <c r="P16" s="49" t="s">
        <v>57</v>
      </c>
      <c r="Q16" s="49" t="s">
        <v>57</v>
      </c>
      <c r="R16" s="49" t="s">
        <v>57</v>
      </c>
      <c r="S16" s="51">
        <f t="shared" si="4"/>
        <v>17</v>
      </c>
      <c r="T16" s="52">
        <f t="shared" si="5"/>
        <v>1</v>
      </c>
      <c r="U16" s="52"/>
      <c r="V16" s="51">
        <f t="shared" si="6"/>
        <v>3</v>
      </c>
      <c r="W16" s="52">
        <f t="shared" si="7"/>
        <v>-1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91</v>
      </c>
      <c r="C17" s="37">
        <v>257.0</v>
      </c>
      <c r="D17" s="37">
        <v>24.0</v>
      </c>
      <c r="E17" s="40">
        <f t="shared" si="2"/>
        <v>14.23076923</v>
      </c>
      <c r="F17" s="90">
        <v>2.0</v>
      </c>
      <c r="G17" s="91">
        <v>3.0</v>
      </c>
      <c r="H17" s="92">
        <v>0.0</v>
      </c>
      <c r="I17" s="91">
        <v>6.0</v>
      </c>
      <c r="J17" s="91">
        <v>2.0</v>
      </c>
      <c r="K17" s="91">
        <v>6.0</v>
      </c>
      <c r="L17" s="93">
        <v>14.0</v>
      </c>
      <c r="M17" s="91">
        <v>2.0</v>
      </c>
      <c r="N17" s="37">
        <f t="shared" ref="N17:O17" si="22">C17+L17</f>
        <v>271</v>
      </c>
      <c r="O17" s="37">
        <f t="shared" si="22"/>
        <v>26</v>
      </c>
      <c r="P17" s="49" t="s">
        <v>57</v>
      </c>
      <c r="Q17" s="49" t="s">
        <v>57</v>
      </c>
      <c r="R17" s="49" t="s">
        <v>57</v>
      </c>
      <c r="S17" s="51">
        <f t="shared" si="4"/>
        <v>13</v>
      </c>
      <c r="T17" s="52">
        <f t="shared" si="5"/>
        <v>0</v>
      </c>
      <c r="U17" s="52"/>
      <c r="V17" s="51">
        <f t="shared" si="6"/>
        <v>8</v>
      </c>
      <c r="W17" s="52">
        <f t="shared" si="7"/>
        <v>2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73</v>
      </c>
      <c r="C18" s="37">
        <v>255.0</v>
      </c>
      <c r="D18" s="37">
        <v>24.0</v>
      </c>
      <c r="E18" s="40">
        <f t="shared" si="2"/>
        <v>15.6</v>
      </c>
      <c r="F18" s="90">
        <v>2.0</v>
      </c>
      <c r="G18" s="91">
        <v>3.0</v>
      </c>
      <c r="H18" s="92">
        <v>0.0</v>
      </c>
      <c r="I18" s="91">
        <v>3.0</v>
      </c>
      <c r="J18" s="91">
        <v>6.0</v>
      </c>
      <c r="K18" s="91">
        <v>6.0</v>
      </c>
      <c r="L18" s="93">
        <v>15.0</v>
      </c>
      <c r="M18" s="91">
        <v>2.0</v>
      </c>
      <c r="N18" s="37">
        <f t="shared" ref="N18:O18" si="23">C18+L18</f>
        <v>270</v>
      </c>
      <c r="O18" s="37">
        <f t="shared" si="23"/>
        <v>26</v>
      </c>
      <c r="P18" s="49" t="s">
        <v>57</v>
      </c>
      <c r="Q18" s="49" t="s">
        <v>57</v>
      </c>
      <c r="R18" s="49" t="s">
        <v>57</v>
      </c>
      <c r="S18" s="51">
        <f t="shared" si="4"/>
        <v>10</v>
      </c>
      <c r="T18" s="52">
        <f t="shared" si="5"/>
        <v>0</v>
      </c>
      <c r="U18" s="52"/>
      <c r="V18" s="51">
        <f t="shared" si="6"/>
        <v>11</v>
      </c>
      <c r="W18" s="52">
        <f t="shared" si="7"/>
        <v>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120</v>
      </c>
      <c r="C19" s="37">
        <v>255.0</v>
      </c>
      <c r="D19" s="37">
        <v>21.0</v>
      </c>
      <c r="E19" s="40">
        <f t="shared" si="2"/>
        <v>15.6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264</v>
      </c>
      <c r="O19" s="37">
        <f t="shared" si="24"/>
        <v>21</v>
      </c>
      <c r="P19" s="49" t="s">
        <v>57</v>
      </c>
      <c r="Q19" s="49" t="s">
        <v>57</v>
      </c>
      <c r="R19" s="49" t="s">
        <v>57</v>
      </c>
      <c r="S19" s="51">
        <f t="shared" si="4"/>
        <v>10</v>
      </c>
      <c r="T19" s="52">
        <f t="shared" si="5"/>
        <v>0</v>
      </c>
      <c r="U19" s="52"/>
      <c r="V19" s="51">
        <f t="shared" si="6"/>
        <v>11</v>
      </c>
      <c r="W19" s="52">
        <f t="shared" si="7"/>
        <v>-3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135</v>
      </c>
      <c r="C20" s="37">
        <v>255.0</v>
      </c>
      <c r="D20" s="37">
        <v>19.0</v>
      </c>
      <c r="E20" s="40">
        <f t="shared" si="2"/>
        <v>13.4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264</v>
      </c>
      <c r="O20" s="37">
        <f t="shared" si="25"/>
        <v>19</v>
      </c>
      <c r="P20" s="49" t="s">
        <v>57</v>
      </c>
      <c r="Q20" s="49" t="s">
        <v>57</v>
      </c>
      <c r="R20" s="49" t="s">
        <v>57</v>
      </c>
      <c r="S20" s="51">
        <f t="shared" si="4"/>
        <v>15</v>
      </c>
      <c r="T20" s="52">
        <f t="shared" si="5"/>
        <v>0</v>
      </c>
      <c r="U20" s="52"/>
      <c r="V20" s="51">
        <f t="shared" si="6"/>
        <v>6</v>
      </c>
      <c r="W20" s="52">
        <f t="shared" si="7"/>
        <v>-3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96</v>
      </c>
      <c r="C21" s="37">
        <v>253.0</v>
      </c>
      <c r="D21" s="37">
        <v>27.0</v>
      </c>
      <c r="E21" s="40">
        <f t="shared" si="2"/>
        <v>12.2</v>
      </c>
      <c r="F21" s="90">
        <v>1.0</v>
      </c>
      <c r="G21" s="91">
        <v>3.0</v>
      </c>
      <c r="H21" s="92">
        <v>0.0</v>
      </c>
      <c r="I21" s="91">
        <v>6.0</v>
      </c>
      <c r="J21" s="91">
        <v>6.0</v>
      </c>
      <c r="K21" s="91">
        <v>0.0</v>
      </c>
      <c r="L21" s="93">
        <v>12.0</v>
      </c>
      <c r="M21" s="91">
        <v>2.0</v>
      </c>
      <c r="N21" s="37">
        <f t="shared" ref="N21:O21" si="26">C21+L21</f>
        <v>265</v>
      </c>
      <c r="O21" s="37">
        <f t="shared" si="26"/>
        <v>29</v>
      </c>
      <c r="P21" s="49" t="s">
        <v>57</v>
      </c>
      <c r="Q21" s="49" t="s">
        <v>57</v>
      </c>
      <c r="R21" s="49" t="s">
        <v>57</v>
      </c>
      <c r="S21" s="51">
        <f t="shared" si="4"/>
        <v>20</v>
      </c>
      <c r="T21" s="52">
        <f t="shared" si="5"/>
        <v>0</v>
      </c>
      <c r="U21" s="52"/>
      <c r="V21" s="51">
        <f t="shared" si="6"/>
        <v>1</v>
      </c>
      <c r="W21" s="52">
        <f t="shared" si="7"/>
        <v>8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108</v>
      </c>
      <c r="C22" s="37">
        <v>252.0</v>
      </c>
      <c r="D22" s="37">
        <v>24.0</v>
      </c>
      <c r="E22" s="40">
        <f t="shared" si="2"/>
        <v>12.9375</v>
      </c>
      <c r="F22" s="90">
        <v>1.0</v>
      </c>
      <c r="G22" s="91">
        <v>3.0</v>
      </c>
      <c r="H22" s="92">
        <v>0.0</v>
      </c>
      <c r="I22" s="91">
        <v>3.0</v>
      </c>
      <c r="J22" s="91">
        <v>2.0</v>
      </c>
      <c r="K22" s="91">
        <v>0.0</v>
      </c>
      <c r="L22" s="93">
        <v>5.0</v>
      </c>
      <c r="M22" s="91">
        <v>0.0</v>
      </c>
      <c r="N22" s="37">
        <f t="shared" ref="N22:O22" si="27">C22+L22</f>
        <v>257</v>
      </c>
      <c r="O22" s="37">
        <f t="shared" si="27"/>
        <v>24</v>
      </c>
      <c r="P22" s="49" t="s">
        <v>57</v>
      </c>
      <c r="Q22" s="49" t="s">
        <v>57</v>
      </c>
      <c r="R22" s="49" t="s">
        <v>57</v>
      </c>
      <c r="S22" s="51">
        <f t="shared" si="4"/>
        <v>16</v>
      </c>
      <c r="T22" s="52">
        <f t="shared" si="5"/>
        <v>0</v>
      </c>
      <c r="U22" s="52"/>
      <c r="V22" s="51">
        <f t="shared" si="6"/>
        <v>5</v>
      </c>
      <c r="W22" s="52">
        <f t="shared" si="7"/>
        <v>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111</v>
      </c>
      <c r="C23" s="37">
        <v>249.0</v>
      </c>
      <c r="D23" s="37">
        <v>20.0</v>
      </c>
      <c r="E23" s="40">
        <f t="shared" si="2"/>
        <v>13.66666667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258</v>
      </c>
      <c r="O23" s="37">
        <f t="shared" si="28"/>
        <v>20</v>
      </c>
      <c r="P23" s="49" t="s">
        <v>57</v>
      </c>
      <c r="Q23" s="49" t="s">
        <v>57</v>
      </c>
      <c r="R23" s="49" t="s">
        <v>57</v>
      </c>
      <c r="S23" s="51">
        <f t="shared" si="4"/>
        <v>12</v>
      </c>
      <c r="T23" s="52">
        <f t="shared" si="5"/>
        <v>1</v>
      </c>
      <c r="U23" s="52"/>
      <c r="V23" s="51">
        <f t="shared" si="6"/>
        <v>8</v>
      </c>
      <c r="W23" s="52">
        <f t="shared" si="7"/>
        <v>-3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99</v>
      </c>
      <c r="C24" s="37">
        <v>248.0</v>
      </c>
      <c r="D24" s="37">
        <v>22.0</v>
      </c>
      <c r="E24" s="40">
        <f t="shared" si="2"/>
        <v>12.66666667</v>
      </c>
      <c r="F24" s="90">
        <v>2.0</v>
      </c>
      <c r="G24" s="91">
        <v>4.0</v>
      </c>
      <c r="H24" s="92">
        <v>0.0</v>
      </c>
      <c r="I24" s="91">
        <v>2.0</v>
      </c>
      <c r="J24" s="91">
        <v>4.0</v>
      </c>
      <c r="K24" s="91">
        <v>7.0</v>
      </c>
      <c r="L24" s="93">
        <v>13.0</v>
      </c>
      <c r="M24" s="91">
        <v>1.0</v>
      </c>
      <c r="N24" s="37">
        <f t="shared" ref="N24:O24" si="29">C24+L24</f>
        <v>261</v>
      </c>
      <c r="O24" s="37">
        <f t="shared" si="29"/>
        <v>23</v>
      </c>
      <c r="P24" s="49" t="s">
        <v>57</v>
      </c>
      <c r="Q24" s="49" t="s">
        <v>57</v>
      </c>
      <c r="R24" s="49" t="s">
        <v>57</v>
      </c>
      <c r="S24" s="51">
        <f t="shared" si="4"/>
        <v>15</v>
      </c>
      <c r="T24" s="52">
        <f t="shared" si="5"/>
        <v>1</v>
      </c>
      <c r="U24" s="52"/>
      <c r="V24" s="51">
        <f t="shared" si="6"/>
        <v>5</v>
      </c>
      <c r="W24" s="52">
        <f t="shared" si="7"/>
        <v>-2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103</v>
      </c>
      <c r="C25" s="37">
        <v>247.0</v>
      </c>
      <c r="D25" s="37">
        <v>22.0</v>
      </c>
      <c r="E25" s="40">
        <f t="shared" si="2"/>
        <v>12.375</v>
      </c>
      <c r="F25" s="90">
        <v>2.0</v>
      </c>
      <c r="G25" s="91">
        <v>4.0</v>
      </c>
      <c r="H25" s="92">
        <v>0.0</v>
      </c>
      <c r="I25" s="91">
        <v>2.0</v>
      </c>
      <c r="J25" s="91">
        <v>6.0</v>
      </c>
      <c r="K25" s="91">
        <v>6.0</v>
      </c>
      <c r="L25" s="93">
        <v>14.0</v>
      </c>
      <c r="M25" s="91">
        <v>1.0</v>
      </c>
      <c r="N25" s="37">
        <f t="shared" ref="N25:O25" si="30">C25+L25</f>
        <v>261</v>
      </c>
      <c r="O25" s="37">
        <f t="shared" si="30"/>
        <v>23</v>
      </c>
      <c r="P25" s="49" t="s">
        <v>57</v>
      </c>
      <c r="Q25" s="49" t="s">
        <v>57</v>
      </c>
      <c r="R25" s="49" t="s">
        <v>57</v>
      </c>
      <c r="S25" s="51">
        <f t="shared" si="4"/>
        <v>16</v>
      </c>
      <c r="T25" s="52">
        <f t="shared" si="5"/>
        <v>1</v>
      </c>
      <c r="U25" s="52"/>
      <c r="V25" s="51">
        <f t="shared" si="6"/>
        <v>4</v>
      </c>
      <c r="W25" s="52">
        <f t="shared" si="7"/>
        <v>-2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97</v>
      </c>
      <c r="C26" s="37">
        <v>247.0</v>
      </c>
      <c r="D26" s="37">
        <v>18.0</v>
      </c>
      <c r="E26" s="40">
        <f t="shared" si="2"/>
        <v>13.46153846</v>
      </c>
      <c r="F26" s="90">
        <v>2.0</v>
      </c>
      <c r="G26" s="91">
        <v>4.0</v>
      </c>
      <c r="H26" s="92">
        <v>0.0</v>
      </c>
      <c r="I26" s="91">
        <v>6.0</v>
      </c>
      <c r="J26" s="91">
        <v>6.0</v>
      </c>
      <c r="K26" s="91">
        <v>7.0</v>
      </c>
      <c r="L26" s="93">
        <v>19.0</v>
      </c>
      <c r="M26" s="91">
        <v>3.0</v>
      </c>
      <c r="N26" s="37">
        <f t="shared" ref="N26:O26" si="31">C26+L26</f>
        <v>266</v>
      </c>
      <c r="O26" s="37">
        <f t="shared" si="31"/>
        <v>21</v>
      </c>
      <c r="P26" s="49" t="s">
        <v>57</v>
      </c>
      <c r="Q26" s="49" t="s">
        <v>57</v>
      </c>
      <c r="R26" s="49" t="s">
        <v>57</v>
      </c>
      <c r="S26" s="51">
        <f t="shared" si="4"/>
        <v>13</v>
      </c>
      <c r="T26" s="52">
        <f t="shared" si="5"/>
        <v>0</v>
      </c>
      <c r="U26" s="52"/>
      <c r="V26" s="51">
        <f t="shared" si="6"/>
        <v>8</v>
      </c>
      <c r="W26" s="52">
        <f t="shared" si="7"/>
        <v>5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126</v>
      </c>
      <c r="C27" s="37">
        <v>246.0</v>
      </c>
      <c r="D27" s="37">
        <v>23.0</v>
      </c>
      <c r="E27" s="40">
        <f t="shared" si="2"/>
        <v>13.07142857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255</v>
      </c>
      <c r="O27" s="37">
        <f t="shared" si="32"/>
        <v>23</v>
      </c>
      <c r="P27" s="49" t="s">
        <v>57</v>
      </c>
      <c r="Q27" s="49" t="s">
        <v>57</v>
      </c>
      <c r="R27" s="49" t="s">
        <v>57</v>
      </c>
      <c r="S27" s="51">
        <f t="shared" si="4"/>
        <v>14</v>
      </c>
      <c r="T27" s="52">
        <f t="shared" si="5"/>
        <v>0</v>
      </c>
      <c r="U27" s="52"/>
      <c r="V27" s="51">
        <f t="shared" si="6"/>
        <v>7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113</v>
      </c>
      <c r="C28" s="37">
        <v>246.0</v>
      </c>
      <c r="D28" s="37">
        <v>21.0</v>
      </c>
      <c r="E28" s="40">
        <f t="shared" si="2"/>
        <v>14.18181818</v>
      </c>
      <c r="F28" s="90">
        <v>1.0</v>
      </c>
      <c r="G28" s="91">
        <v>4.0</v>
      </c>
      <c r="H28" s="92">
        <v>0.0</v>
      </c>
      <c r="I28" s="91">
        <v>6.0</v>
      </c>
      <c r="J28" s="91">
        <v>4.0</v>
      </c>
      <c r="K28" s="91">
        <v>6.0</v>
      </c>
      <c r="L28" s="93">
        <v>16.0</v>
      </c>
      <c r="M28" s="91">
        <v>1.0</v>
      </c>
      <c r="N28" s="37">
        <f t="shared" ref="N28:O28" si="33">C28+L28</f>
        <v>262</v>
      </c>
      <c r="O28" s="37">
        <f t="shared" si="33"/>
        <v>22</v>
      </c>
      <c r="P28" s="49" t="s">
        <v>57</v>
      </c>
      <c r="Q28" s="49" t="s">
        <v>57</v>
      </c>
      <c r="R28" s="49" t="s">
        <v>57</v>
      </c>
      <c r="S28" s="51">
        <f t="shared" si="4"/>
        <v>11</v>
      </c>
      <c r="T28" s="52">
        <f t="shared" si="5"/>
        <v>0</v>
      </c>
      <c r="U28" s="52"/>
      <c r="V28" s="51">
        <f t="shared" si="6"/>
        <v>10</v>
      </c>
      <c r="W28" s="52">
        <f t="shared" si="7"/>
        <v>-3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59</v>
      </c>
      <c r="C29" s="37">
        <v>246.0</v>
      </c>
      <c r="D29" s="37">
        <v>21.0</v>
      </c>
      <c r="E29" s="40">
        <f t="shared" si="2"/>
        <v>11.85</v>
      </c>
      <c r="F29" s="90">
        <v>1.0</v>
      </c>
      <c r="G29" s="91">
        <v>5.0</v>
      </c>
      <c r="H29" s="92">
        <v>0.0</v>
      </c>
      <c r="I29" s="91">
        <v>3.0</v>
      </c>
      <c r="J29" s="91">
        <v>3.0</v>
      </c>
      <c r="K29" s="91">
        <v>1.0</v>
      </c>
      <c r="L29" s="93">
        <v>7.0</v>
      </c>
      <c r="M29" s="91">
        <v>0.0</v>
      </c>
      <c r="N29" s="37">
        <f t="shared" ref="N29:O29" si="34">C29+L29</f>
        <v>253</v>
      </c>
      <c r="O29" s="37">
        <f t="shared" si="34"/>
        <v>21</v>
      </c>
      <c r="P29" s="49" t="s">
        <v>57</v>
      </c>
      <c r="Q29" s="49" t="s">
        <v>57</v>
      </c>
      <c r="R29" s="49" t="s">
        <v>57</v>
      </c>
      <c r="S29" s="51">
        <f t="shared" si="4"/>
        <v>20</v>
      </c>
      <c r="T29" s="52">
        <f t="shared" si="5"/>
        <v>0</v>
      </c>
      <c r="U29" s="52"/>
      <c r="V29" s="51">
        <f t="shared" si="6"/>
        <v>1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137</v>
      </c>
      <c r="C30" s="37">
        <v>245.0</v>
      </c>
      <c r="D30" s="37">
        <v>22.0</v>
      </c>
      <c r="E30" s="40">
        <f t="shared" si="2"/>
        <v>12.5</v>
      </c>
      <c r="F30" s="90">
        <v>1.0</v>
      </c>
      <c r="G30" s="91">
        <v>5.0</v>
      </c>
      <c r="H30" s="92">
        <v>0.0</v>
      </c>
      <c r="I30" s="91">
        <v>6.0</v>
      </c>
      <c r="J30" s="91">
        <v>6.0</v>
      </c>
      <c r="K30" s="91">
        <v>1.0</v>
      </c>
      <c r="L30" s="93">
        <v>13.0</v>
      </c>
      <c r="M30" s="91">
        <v>2.0</v>
      </c>
      <c r="N30" s="37">
        <f t="shared" ref="N30:O30" si="35">C30+L30</f>
        <v>258</v>
      </c>
      <c r="O30" s="37">
        <f t="shared" si="35"/>
        <v>24</v>
      </c>
      <c r="P30" s="49" t="s">
        <v>57</v>
      </c>
      <c r="Q30" s="49" t="s">
        <v>57</v>
      </c>
      <c r="R30" s="49" t="s">
        <v>57</v>
      </c>
      <c r="S30" s="51">
        <f t="shared" si="4"/>
        <v>16</v>
      </c>
      <c r="T30" s="52">
        <f t="shared" si="5"/>
        <v>0</v>
      </c>
      <c r="U30" s="52"/>
      <c r="V30" s="51">
        <f t="shared" si="6"/>
        <v>5</v>
      </c>
      <c r="W30" s="52">
        <f t="shared" si="7"/>
        <v>-3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112</v>
      </c>
      <c r="C31" s="37">
        <v>245.0</v>
      </c>
      <c r="D31" s="37">
        <v>18.0</v>
      </c>
      <c r="E31" s="40">
        <f t="shared" si="2"/>
        <v>13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254</v>
      </c>
      <c r="O31" s="37">
        <f t="shared" si="36"/>
        <v>18</v>
      </c>
      <c r="P31" s="49" t="s">
        <v>57</v>
      </c>
      <c r="Q31" s="49" t="s">
        <v>57</v>
      </c>
      <c r="R31" s="49" t="s">
        <v>57</v>
      </c>
      <c r="S31" s="51">
        <f t="shared" si="4"/>
        <v>14</v>
      </c>
      <c r="T31" s="52">
        <f t="shared" si="5"/>
        <v>0</v>
      </c>
      <c r="U31" s="52"/>
      <c r="V31" s="51">
        <f t="shared" si="6"/>
        <v>7</v>
      </c>
      <c r="W31" s="52">
        <f t="shared" si="7"/>
        <v>-3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107</v>
      </c>
      <c r="C32" s="37">
        <v>244.0</v>
      </c>
      <c r="D32" s="37">
        <v>22.0</v>
      </c>
      <c r="E32" s="40">
        <f t="shared" si="2"/>
        <v>12.92857143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253</v>
      </c>
      <c r="O32" s="37">
        <f t="shared" si="37"/>
        <v>22</v>
      </c>
      <c r="P32" s="49" t="s">
        <v>57</v>
      </c>
      <c r="Q32" s="49" t="s">
        <v>57</v>
      </c>
      <c r="R32" s="49" t="s">
        <v>57</v>
      </c>
      <c r="S32" s="51">
        <f t="shared" si="4"/>
        <v>14</v>
      </c>
      <c r="T32" s="52">
        <f t="shared" si="5"/>
        <v>0</v>
      </c>
      <c r="U32" s="52"/>
      <c r="V32" s="51">
        <f t="shared" si="6"/>
        <v>7</v>
      </c>
      <c r="W32" s="52">
        <f t="shared" si="7"/>
        <v>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115</v>
      </c>
      <c r="C33" s="37">
        <v>243.0</v>
      </c>
      <c r="D33" s="37">
        <v>20.0</v>
      </c>
      <c r="E33" s="40">
        <f t="shared" si="2"/>
        <v>12.375</v>
      </c>
      <c r="F33" s="90">
        <v>1.0</v>
      </c>
      <c r="G33" s="91">
        <v>5.0</v>
      </c>
      <c r="H33" s="92">
        <v>0.0</v>
      </c>
      <c r="I33" s="91">
        <v>3.0</v>
      </c>
      <c r="J33" s="91">
        <v>6.0</v>
      </c>
      <c r="K33" s="91">
        <v>6.0</v>
      </c>
      <c r="L33" s="93">
        <v>15.0</v>
      </c>
      <c r="M33" s="91">
        <v>2.0</v>
      </c>
      <c r="N33" s="37">
        <f t="shared" ref="N33:O33" si="38">C33+L33</f>
        <v>258</v>
      </c>
      <c r="O33" s="37">
        <f t="shared" si="38"/>
        <v>22</v>
      </c>
      <c r="P33" s="49" t="s">
        <v>57</v>
      </c>
      <c r="Q33" s="49" t="s">
        <v>57</v>
      </c>
      <c r="R33" s="49" t="s">
        <v>57</v>
      </c>
      <c r="S33" s="51">
        <f t="shared" si="4"/>
        <v>16</v>
      </c>
      <c r="T33" s="52">
        <f t="shared" si="5"/>
        <v>0</v>
      </c>
      <c r="U33" s="52"/>
      <c r="V33" s="51">
        <f t="shared" si="6"/>
        <v>5</v>
      </c>
      <c r="W33" s="52">
        <f t="shared" si="7"/>
        <v>4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130</v>
      </c>
      <c r="C34" s="37">
        <v>242.0</v>
      </c>
      <c r="D34" s="37">
        <v>23.0</v>
      </c>
      <c r="E34" s="40">
        <f t="shared" si="2"/>
        <v>11.52380952</v>
      </c>
      <c r="F34" s="90">
        <v>1.0</v>
      </c>
      <c r="G34" s="91">
        <v>5.0</v>
      </c>
      <c r="H34" s="92">
        <v>0.0</v>
      </c>
      <c r="I34" s="91">
        <v>6.0</v>
      </c>
      <c r="J34" s="91">
        <v>3.0</v>
      </c>
      <c r="K34" s="91">
        <v>6.0</v>
      </c>
      <c r="L34" s="93">
        <v>15.0</v>
      </c>
      <c r="M34" s="91">
        <v>2.0</v>
      </c>
      <c r="N34" s="37">
        <f t="shared" ref="N34:O34" si="39">C34+L34</f>
        <v>257</v>
      </c>
      <c r="O34" s="37">
        <f t="shared" si="39"/>
        <v>25</v>
      </c>
      <c r="P34" s="49" t="s">
        <v>57</v>
      </c>
      <c r="Q34" s="49" t="s">
        <v>57</v>
      </c>
      <c r="R34" s="49" t="s">
        <v>57</v>
      </c>
      <c r="S34" s="51">
        <f t="shared" si="4"/>
        <v>21</v>
      </c>
      <c r="T34" s="52">
        <f t="shared" si="5"/>
        <v>0</v>
      </c>
      <c r="U34" s="52"/>
      <c r="V34" s="51">
        <f t="shared" si="6"/>
        <v>0</v>
      </c>
      <c r="W34" s="52">
        <f t="shared" si="7"/>
        <v>-1</v>
      </c>
      <c r="X34" s="35">
        <f t="shared" si="12"/>
        <v>30</v>
      </c>
      <c r="Y34" s="35" t="str">
        <f t="shared" si="8"/>
        <v>Y</v>
      </c>
      <c r="Z34" s="19" t="str">
        <f t="shared" si="9"/>
        <v/>
      </c>
    </row>
    <row r="35">
      <c r="A35" s="35">
        <f t="shared" si="10"/>
        <v>31</v>
      </c>
      <c r="B35" s="36" t="s">
        <v>101</v>
      </c>
      <c r="C35" s="37">
        <v>242.0</v>
      </c>
      <c r="D35" s="37">
        <v>17.0</v>
      </c>
      <c r="E35" s="40">
        <f t="shared" si="2"/>
        <v>12.5</v>
      </c>
      <c r="F35" s="90">
        <v>1.0</v>
      </c>
      <c r="G35" s="91">
        <v>6.0</v>
      </c>
      <c r="H35" s="92">
        <v>0.0</v>
      </c>
      <c r="I35" s="91">
        <v>6.0</v>
      </c>
      <c r="J35" s="91">
        <v>7.0</v>
      </c>
      <c r="K35" s="91">
        <v>5.0</v>
      </c>
      <c r="L35" s="93">
        <v>18.0</v>
      </c>
      <c r="M35" s="91">
        <v>2.0</v>
      </c>
      <c r="N35" s="37">
        <f t="shared" ref="N35:O35" si="40">C35+L35</f>
        <v>260</v>
      </c>
      <c r="O35" s="37">
        <f t="shared" si="40"/>
        <v>19</v>
      </c>
      <c r="P35" s="49" t="s">
        <v>57</v>
      </c>
      <c r="Q35" s="49" t="s">
        <v>57</v>
      </c>
      <c r="R35" s="49" t="s">
        <v>57</v>
      </c>
      <c r="S35" s="51">
        <f t="shared" si="4"/>
        <v>14</v>
      </c>
      <c r="T35" s="52">
        <f t="shared" si="5"/>
        <v>1</v>
      </c>
      <c r="U35" s="52"/>
      <c r="V35" s="51">
        <f t="shared" si="6"/>
        <v>6</v>
      </c>
      <c r="W35" s="52">
        <f t="shared" si="7"/>
        <v>4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128</v>
      </c>
      <c r="C36" s="37">
        <v>241.0</v>
      </c>
      <c r="D36" s="37">
        <v>18.0</v>
      </c>
      <c r="E36" s="40">
        <f t="shared" si="2"/>
        <v>12.71428571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250</v>
      </c>
      <c r="O36" s="37">
        <f t="shared" si="41"/>
        <v>18</v>
      </c>
      <c r="P36" s="49" t="s">
        <v>57</v>
      </c>
      <c r="Q36" s="49" t="s">
        <v>57</v>
      </c>
      <c r="R36" s="49" t="s">
        <v>57</v>
      </c>
      <c r="S36" s="51">
        <f t="shared" si="4"/>
        <v>14</v>
      </c>
      <c r="T36" s="52">
        <f t="shared" si="5"/>
        <v>0</v>
      </c>
      <c r="U36" s="52"/>
      <c r="V36" s="51">
        <f t="shared" si="6"/>
        <v>7</v>
      </c>
      <c r="W36" s="52">
        <f t="shared" si="7"/>
        <v>-4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139</v>
      </c>
      <c r="C37" s="37">
        <v>240.0</v>
      </c>
      <c r="D37" s="37">
        <v>20.0</v>
      </c>
      <c r="E37" s="40">
        <f t="shared" si="2"/>
        <v>12.1875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249</v>
      </c>
      <c r="O37" s="37">
        <f t="shared" si="42"/>
        <v>20</v>
      </c>
      <c r="P37" s="49" t="s">
        <v>57</v>
      </c>
      <c r="Q37" s="49" t="s">
        <v>57</v>
      </c>
      <c r="R37" s="49" t="s">
        <v>57</v>
      </c>
      <c r="S37" s="51">
        <f t="shared" si="4"/>
        <v>16</v>
      </c>
      <c r="T37" s="52">
        <f t="shared" si="5"/>
        <v>0</v>
      </c>
      <c r="U37" s="52"/>
      <c r="V37" s="51">
        <f t="shared" si="6"/>
        <v>5</v>
      </c>
      <c r="W37" s="52">
        <f t="shared" si="7"/>
        <v>-3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54</v>
      </c>
      <c r="C38" s="37">
        <v>239.0</v>
      </c>
      <c r="D38" s="37">
        <v>19.0</v>
      </c>
      <c r="E38" s="40">
        <f t="shared" si="2"/>
        <v>15.25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3">C38+L38</f>
        <v>248</v>
      </c>
      <c r="O38" s="37">
        <f t="shared" si="43"/>
        <v>19</v>
      </c>
      <c r="P38" s="49" t="s">
        <v>57</v>
      </c>
      <c r="Q38" s="49" t="s">
        <v>57</v>
      </c>
      <c r="R38" s="49" t="s">
        <v>57</v>
      </c>
      <c r="S38" s="51">
        <f t="shared" si="4"/>
        <v>8</v>
      </c>
      <c r="T38" s="52">
        <f t="shared" si="5"/>
        <v>0</v>
      </c>
      <c r="U38" s="52"/>
      <c r="V38" s="51">
        <f t="shared" si="6"/>
        <v>13</v>
      </c>
      <c r="W38" s="52">
        <f t="shared" si="7"/>
        <v>7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132</v>
      </c>
      <c r="C39" s="37">
        <v>237.0</v>
      </c>
      <c r="D39" s="37">
        <v>18.0</v>
      </c>
      <c r="E39" s="40">
        <f t="shared" si="2"/>
        <v>15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246</v>
      </c>
      <c r="O39" s="37">
        <f t="shared" si="44"/>
        <v>18</v>
      </c>
      <c r="P39" s="49" t="s">
        <v>57</v>
      </c>
      <c r="Q39" s="49" t="s">
        <v>57</v>
      </c>
      <c r="R39" s="49" t="s">
        <v>57</v>
      </c>
      <c r="S39" s="51">
        <f t="shared" si="4"/>
        <v>8</v>
      </c>
      <c r="T39" s="52">
        <f t="shared" si="5"/>
        <v>0</v>
      </c>
      <c r="U39" s="52"/>
      <c r="V39" s="51">
        <f t="shared" si="6"/>
        <v>13</v>
      </c>
      <c r="W39" s="52">
        <f t="shared" si="7"/>
        <v>-3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138</v>
      </c>
      <c r="C40" s="37">
        <v>236.0</v>
      </c>
      <c r="D40" s="37">
        <v>18.0</v>
      </c>
      <c r="E40" s="40">
        <f t="shared" si="2"/>
        <v>12.61538462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245</v>
      </c>
      <c r="O40" s="37">
        <f t="shared" si="45"/>
        <v>18</v>
      </c>
      <c r="P40" s="49" t="s">
        <v>57</v>
      </c>
      <c r="Q40" s="49" t="s">
        <v>57</v>
      </c>
      <c r="R40" s="49" t="s">
        <v>57</v>
      </c>
      <c r="S40" s="51">
        <f t="shared" si="4"/>
        <v>13</v>
      </c>
      <c r="T40" s="52">
        <f t="shared" si="5"/>
        <v>0</v>
      </c>
      <c r="U40" s="52"/>
      <c r="V40" s="51">
        <f t="shared" si="6"/>
        <v>8</v>
      </c>
      <c r="W40" s="52">
        <f t="shared" si="7"/>
        <v>1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114</v>
      </c>
      <c r="C41" s="37">
        <v>235.0</v>
      </c>
      <c r="D41" s="37">
        <v>20.0</v>
      </c>
      <c r="E41" s="40">
        <f t="shared" si="2"/>
        <v>14.11111111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244</v>
      </c>
      <c r="O41" s="37">
        <f t="shared" si="46"/>
        <v>20</v>
      </c>
      <c r="P41" s="49" t="s">
        <v>57</v>
      </c>
      <c r="Q41" s="49" t="s">
        <v>57</v>
      </c>
      <c r="R41" s="49" t="s">
        <v>57</v>
      </c>
      <c r="S41" s="51">
        <f t="shared" si="4"/>
        <v>9</v>
      </c>
      <c r="T41" s="52">
        <f t="shared" si="5"/>
        <v>0</v>
      </c>
      <c r="U41" s="52"/>
      <c r="V41" s="51">
        <f t="shared" si="6"/>
        <v>12</v>
      </c>
      <c r="W41" s="52">
        <f t="shared" si="7"/>
        <v>-3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104</v>
      </c>
      <c r="C42" s="37">
        <v>235.0</v>
      </c>
      <c r="D42" s="37">
        <v>19.0</v>
      </c>
      <c r="E42" s="40">
        <f t="shared" si="2"/>
        <v>13.6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244</v>
      </c>
      <c r="O42" s="37">
        <f t="shared" si="47"/>
        <v>19</v>
      </c>
      <c r="P42" s="49" t="s">
        <v>57</v>
      </c>
      <c r="Q42" s="49" t="s">
        <v>57</v>
      </c>
      <c r="R42" s="49" t="s">
        <v>57</v>
      </c>
      <c r="S42" s="51">
        <f t="shared" si="4"/>
        <v>10</v>
      </c>
      <c r="T42" s="52">
        <f t="shared" si="5"/>
        <v>0</v>
      </c>
      <c r="U42" s="52"/>
      <c r="V42" s="51">
        <f t="shared" si="6"/>
        <v>11</v>
      </c>
      <c r="W42" s="52">
        <f t="shared" si="7"/>
        <v>6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142</v>
      </c>
      <c r="C43" s="37">
        <v>233.0</v>
      </c>
      <c r="D43" s="37">
        <v>18.0</v>
      </c>
      <c r="E43" s="40">
        <f t="shared" si="2"/>
        <v>13</v>
      </c>
      <c r="F43" s="90">
        <v>1.0</v>
      </c>
      <c r="G43" s="91">
        <v>6.0</v>
      </c>
      <c r="H43" s="92">
        <v>0.0</v>
      </c>
      <c r="I43" s="91">
        <v>6.0</v>
      </c>
      <c r="J43" s="91">
        <v>6.0</v>
      </c>
      <c r="K43" s="91">
        <v>7.0</v>
      </c>
      <c r="L43" s="93">
        <v>19.0</v>
      </c>
      <c r="M43" s="91">
        <v>2.0</v>
      </c>
      <c r="N43" s="37">
        <f t="shared" ref="N43:O43" si="48">C43+L43</f>
        <v>252</v>
      </c>
      <c r="O43" s="37">
        <f t="shared" si="48"/>
        <v>20</v>
      </c>
      <c r="P43" s="49" t="s">
        <v>57</v>
      </c>
      <c r="Q43" s="49" t="s">
        <v>57</v>
      </c>
      <c r="R43" s="49" t="s">
        <v>57</v>
      </c>
      <c r="S43" s="51">
        <f t="shared" si="4"/>
        <v>11</v>
      </c>
      <c r="T43" s="52">
        <f t="shared" si="5"/>
        <v>0</v>
      </c>
      <c r="U43" s="52"/>
      <c r="V43" s="51">
        <f t="shared" si="6"/>
        <v>10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118</v>
      </c>
      <c r="C44" s="37">
        <v>233.0</v>
      </c>
      <c r="D44" s="37">
        <v>18.0</v>
      </c>
      <c r="E44" s="40">
        <f t="shared" si="2"/>
        <v>11.44444444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242</v>
      </c>
      <c r="O44" s="37">
        <f t="shared" si="49"/>
        <v>18</v>
      </c>
      <c r="P44" s="49" t="s">
        <v>57</v>
      </c>
      <c r="Q44" s="49" t="s">
        <v>57</v>
      </c>
      <c r="R44" s="49" t="s">
        <v>57</v>
      </c>
      <c r="S44" s="51">
        <f t="shared" si="4"/>
        <v>18</v>
      </c>
      <c r="T44" s="52">
        <f t="shared" si="5"/>
        <v>0</v>
      </c>
      <c r="U44" s="52"/>
      <c r="V44" s="51">
        <f t="shared" si="6"/>
        <v>3</v>
      </c>
      <c r="W44" s="52">
        <f t="shared" si="7"/>
        <v>0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129</v>
      </c>
      <c r="C45" s="37">
        <v>232.0</v>
      </c>
      <c r="D45" s="37">
        <v>20.0</v>
      </c>
      <c r="E45" s="40">
        <f t="shared" si="2"/>
        <v>11.6875</v>
      </c>
      <c r="F45" s="90">
        <v>1.0</v>
      </c>
      <c r="G45" s="91">
        <v>6.0</v>
      </c>
      <c r="H45" s="92">
        <v>0.0</v>
      </c>
      <c r="I45" s="91">
        <v>3.0</v>
      </c>
      <c r="J45" s="91">
        <v>7.0</v>
      </c>
      <c r="K45" s="91">
        <v>7.0</v>
      </c>
      <c r="L45" s="93">
        <v>17.0</v>
      </c>
      <c r="M45" s="91">
        <v>2.0</v>
      </c>
      <c r="N45" s="37">
        <f t="shared" ref="N45:O45" si="50">C45+L45</f>
        <v>249</v>
      </c>
      <c r="O45" s="37">
        <f t="shared" si="50"/>
        <v>22</v>
      </c>
      <c r="P45" s="49" t="s">
        <v>57</v>
      </c>
      <c r="Q45" s="49" t="s">
        <v>57</v>
      </c>
      <c r="R45" s="49" t="s">
        <v>57</v>
      </c>
      <c r="S45" s="51">
        <f t="shared" si="4"/>
        <v>16</v>
      </c>
      <c r="T45" s="52">
        <f t="shared" si="5"/>
        <v>0</v>
      </c>
      <c r="U45" s="52"/>
      <c r="V45" s="51">
        <f t="shared" si="6"/>
        <v>5</v>
      </c>
      <c r="W45" s="52">
        <f t="shared" si="7"/>
        <v>-3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109</v>
      </c>
      <c r="C46" s="37">
        <v>231.0</v>
      </c>
      <c r="D46" s="37">
        <v>17.0</v>
      </c>
      <c r="E46" s="40">
        <f t="shared" si="2"/>
        <v>12.81818182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240</v>
      </c>
      <c r="O46" s="37">
        <f t="shared" si="51"/>
        <v>17</v>
      </c>
      <c r="P46" s="49" t="s">
        <v>57</v>
      </c>
      <c r="Q46" s="49" t="s">
        <v>57</v>
      </c>
      <c r="R46" s="49" t="s">
        <v>57</v>
      </c>
      <c r="S46" s="51">
        <f t="shared" si="4"/>
        <v>11</v>
      </c>
      <c r="T46" s="52">
        <f t="shared" si="5"/>
        <v>0</v>
      </c>
      <c r="U46" s="52"/>
      <c r="V46" s="51">
        <f t="shared" si="6"/>
        <v>10</v>
      </c>
      <c r="W46" s="52">
        <f t="shared" si="7"/>
        <v>-3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134</v>
      </c>
      <c r="C47" s="37">
        <v>229.0</v>
      </c>
      <c r="D47" s="37">
        <v>19.0</v>
      </c>
      <c r="E47" s="40">
        <f t="shared" si="2"/>
        <v>11.22222222</v>
      </c>
      <c r="F47" s="90">
        <v>1.0</v>
      </c>
      <c r="G47" s="91">
        <v>6.0</v>
      </c>
      <c r="H47" s="92">
        <v>0.0</v>
      </c>
      <c r="I47" s="91">
        <v>3.0</v>
      </c>
      <c r="J47" s="91">
        <v>6.0</v>
      </c>
      <c r="K47" s="91">
        <v>5.0</v>
      </c>
      <c r="L47" s="93">
        <v>14.0</v>
      </c>
      <c r="M47" s="91">
        <v>0.0</v>
      </c>
      <c r="N47" s="37">
        <f t="shared" ref="N47:O47" si="52">C47+L47</f>
        <v>243</v>
      </c>
      <c r="O47" s="37">
        <f t="shared" si="52"/>
        <v>19</v>
      </c>
      <c r="P47" s="49" t="s">
        <v>57</v>
      </c>
      <c r="Q47" s="49" t="s">
        <v>57</v>
      </c>
      <c r="R47" s="49" t="s">
        <v>57</v>
      </c>
      <c r="S47" s="51">
        <f t="shared" si="4"/>
        <v>18</v>
      </c>
      <c r="T47" s="52">
        <f t="shared" si="5"/>
        <v>0</v>
      </c>
      <c r="U47" s="52"/>
      <c r="V47" s="51">
        <f t="shared" si="6"/>
        <v>3</v>
      </c>
      <c r="W47" s="52">
        <f t="shared" si="7"/>
        <v>-1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143</v>
      </c>
      <c r="C48" s="37">
        <v>229.0</v>
      </c>
      <c r="D48" s="37">
        <v>18.0</v>
      </c>
      <c r="E48" s="40">
        <f t="shared" si="2"/>
        <v>12.63636364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238</v>
      </c>
      <c r="O48" s="37">
        <f t="shared" si="53"/>
        <v>18</v>
      </c>
      <c r="P48" s="49" t="s">
        <v>57</v>
      </c>
      <c r="Q48" s="49" t="s">
        <v>57</v>
      </c>
      <c r="R48" s="49" t="s">
        <v>57</v>
      </c>
      <c r="S48" s="51">
        <f t="shared" si="4"/>
        <v>11</v>
      </c>
      <c r="T48" s="52">
        <f t="shared" si="5"/>
        <v>0</v>
      </c>
      <c r="U48" s="52"/>
      <c r="V48" s="51">
        <f t="shared" si="6"/>
        <v>10</v>
      </c>
      <c r="W48" s="52">
        <f t="shared" si="7"/>
        <v>-1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64</v>
      </c>
      <c r="C49" s="37">
        <v>228.0</v>
      </c>
      <c r="D49" s="37">
        <v>18.0</v>
      </c>
      <c r="E49" s="40">
        <f t="shared" si="2"/>
        <v>10.95</v>
      </c>
      <c r="F49" s="90">
        <v>1.0</v>
      </c>
      <c r="G49" s="91">
        <v>7.0</v>
      </c>
      <c r="H49" s="92">
        <v>0.0</v>
      </c>
      <c r="I49" s="91">
        <v>6.0</v>
      </c>
      <c r="J49" s="91">
        <v>2.0</v>
      </c>
      <c r="K49" s="91">
        <v>6.0</v>
      </c>
      <c r="L49" s="93">
        <v>14.0</v>
      </c>
      <c r="M49" s="91">
        <v>1.0</v>
      </c>
      <c r="N49" s="37">
        <f t="shared" ref="N49:O49" si="54">C49+L49</f>
        <v>242</v>
      </c>
      <c r="O49" s="37">
        <f t="shared" si="54"/>
        <v>19</v>
      </c>
      <c r="P49" s="49" t="s">
        <v>57</v>
      </c>
      <c r="Q49" s="49" t="s">
        <v>57</v>
      </c>
      <c r="R49" s="49" t="s">
        <v>57</v>
      </c>
      <c r="S49" s="51">
        <f t="shared" si="4"/>
        <v>20</v>
      </c>
      <c r="T49" s="52">
        <f t="shared" si="5"/>
        <v>0</v>
      </c>
      <c r="U49" s="52"/>
      <c r="V49" s="51">
        <f t="shared" si="6"/>
        <v>1</v>
      </c>
      <c r="W49" s="52">
        <f t="shared" si="7"/>
        <v>0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110</v>
      </c>
      <c r="C50" s="37">
        <v>225.0</v>
      </c>
      <c r="D50" s="37">
        <v>18.0</v>
      </c>
      <c r="E50" s="40">
        <f t="shared" si="2"/>
        <v>11.4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234</v>
      </c>
      <c r="O50" s="37">
        <f t="shared" si="55"/>
        <v>18</v>
      </c>
      <c r="P50" s="49" t="s">
        <v>57</v>
      </c>
      <c r="Q50" s="49" t="s">
        <v>57</v>
      </c>
      <c r="R50" s="49" t="s">
        <v>57</v>
      </c>
      <c r="S50" s="51">
        <f t="shared" si="4"/>
        <v>15</v>
      </c>
      <c r="T50" s="52">
        <f t="shared" si="5"/>
        <v>0</v>
      </c>
      <c r="U50" s="52"/>
      <c r="V50" s="51">
        <f t="shared" si="6"/>
        <v>6</v>
      </c>
      <c r="W50" s="52">
        <f t="shared" si="7"/>
        <v>4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51</v>
      </c>
      <c r="C51" s="37">
        <v>224.0</v>
      </c>
      <c r="D51" s="37">
        <v>14.0</v>
      </c>
      <c r="E51" s="40">
        <f t="shared" si="2"/>
        <v>16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233</v>
      </c>
      <c r="O51" s="37">
        <f t="shared" si="56"/>
        <v>14</v>
      </c>
      <c r="P51" s="49" t="s">
        <v>57</v>
      </c>
      <c r="Q51" s="49" t="s">
        <v>57</v>
      </c>
      <c r="R51" s="49" t="s">
        <v>57</v>
      </c>
      <c r="S51" s="51">
        <f t="shared" si="4"/>
        <v>5</v>
      </c>
      <c r="T51" s="52">
        <f t="shared" si="5"/>
        <v>0</v>
      </c>
      <c r="U51" s="52"/>
      <c r="V51" s="51">
        <f t="shared" si="6"/>
        <v>16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152</v>
      </c>
      <c r="C52" s="37">
        <v>223.0</v>
      </c>
      <c r="D52" s="37">
        <v>20.0</v>
      </c>
      <c r="E52" s="40">
        <f t="shared" si="2"/>
        <v>11.42857143</v>
      </c>
      <c r="F52" s="90">
        <v>1.0</v>
      </c>
      <c r="G52" s="91">
        <v>7.0</v>
      </c>
      <c r="H52" s="92">
        <v>0.0</v>
      </c>
      <c r="I52" s="91">
        <v>4.0</v>
      </c>
      <c r="J52" s="91">
        <v>2.0</v>
      </c>
      <c r="K52" s="91">
        <v>7.0</v>
      </c>
      <c r="L52" s="93">
        <v>13.0</v>
      </c>
      <c r="M52" s="91">
        <v>1.0</v>
      </c>
      <c r="N52" s="37">
        <f t="shared" ref="N52:O52" si="57">C52+L52</f>
        <v>236</v>
      </c>
      <c r="O52" s="37">
        <f t="shared" si="57"/>
        <v>21</v>
      </c>
      <c r="P52" s="49" t="s">
        <v>57</v>
      </c>
      <c r="Q52" s="49" t="s">
        <v>57</v>
      </c>
      <c r="R52" s="49" t="s">
        <v>57</v>
      </c>
      <c r="S52" s="51">
        <f t="shared" si="4"/>
        <v>14</v>
      </c>
      <c r="T52" s="52">
        <f t="shared" si="5"/>
        <v>0</v>
      </c>
      <c r="U52" s="52"/>
      <c r="V52" s="51">
        <f t="shared" si="6"/>
        <v>7</v>
      </c>
      <c r="W52" s="52">
        <f t="shared" si="7"/>
        <v>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90</v>
      </c>
      <c r="C53" s="37">
        <v>223.0</v>
      </c>
      <c r="D53" s="37">
        <v>12.0</v>
      </c>
      <c r="E53" s="40">
        <f t="shared" si="2"/>
        <v>14.66666667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232</v>
      </c>
      <c r="O53" s="37">
        <f t="shared" si="58"/>
        <v>12</v>
      </c>
      <c r="P53" s="49" t="s">
        <v>57</v>
      </c>
      <c r="Q53" s="49" t="s">
        <v>57</v>
      </c>
      <c r="R53" s="49" t="s">
        <v>57</v>
      </c>
      <c r="S53" s="51">
        <f t="shared" si="4"/>
        <v>6</v>
      </c>
      <c r="T53" s="52">
        <f t="shared" si="5"/>
        <v>0</v>
      </c>
      <c r="U53" s="52"/>
      <c r="V53" s="51">
        <f t="shared" si="6"/>
        <v>15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147</v>
      </c>
      <c r="C54" s="37">
        <v>222.0</v>
      </c>
      <c r="D54" s="37">
        <v>12.0</v>
      </c>
      <c r="E54" s="40">
        <f t="shared" si="2"/>
        <v>12.22222222</v>
      </c>
      <c r="F54" s="90">
        <v>2.0</v>
      </c>
      <c r="G54" s="91">
        <v>7.0</v>
      </c>
      <c r="H54" s="92">
        <v>0.0</v>
      </c>
      <c r="I54" s="91">
        <v>6.0</v>
      </c>
      <c r="J54" s="91">
        <v>6.0</v>
      </c>
      <c r="K54" s="91">
        <v>7.0</v>
      </c>
      <c r="L54" s="93">
        <v>19.0</v>
      </c>
      <c r="M54" s="91">
        <v>3.0</v>
      </c>
      <c r="N54" s="37">
        <f t="shared" ref="N54:O54" si="59">C54+L54</f>
        <v>241</v>
      </c>
      <c r="O54" s="37">
        <f t="shared" si="59"/>
        <v>15</v>
      </c>
      <c r="P54" s="49" t="s">
        <v>57</v>
      </c>
      <c r="Q54" s="49" t="s">
        <v>57</v>
      </c>
      <c r="R54" s="49" t="s">
        <v>57</v>
      </c>
      <c r="S54" s="51">
        <f t="shared" si="4"/>
        <v>9</v>
      </c>
      <c r="T54" s="52">
        <f t="shared" si="5"/>
        <v>1</v>
      </c>
      <c r="U54" s="52"/>
      <c r="V54" s="51">
        <f t="shared" si="6"/>
        <v>11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151</v>
      </c>
      <c r="C55" s="37">
        <v>219.0</v>
      </c>
      <c r="D55" s="37">
        <v>14.0</v>
      </c>
      <c r="E55" s="40">
        <f t="shared" si="2"/>
        <v>11</v>
      </c>
      <c r="F55" s="90">
        <v>2.0</v>
      </c>
      <c r="G55" s="91">
        <v>7.0</v>
      </c>
      <c r="H55" s="92">
        <v>0.0</v>
      </c>
      <c r="I55" s="91">
        <v>4.0</v>
      </c>
      <c r="J55" s="91">
        <v>6.0</v>
      </c>
      <c r="K55" s="91">
        <v>6.0</v>
      </c>
      <c r="L55" s="93">
        <v>16.0</v>
      </c>
      <c r="M55" s="91">
        <v>1.0</v>
      </c>
      <c r="N55" s="37">
        <f t="shared" ref="N55:O55" si="60">C55+L55</f>
        <v>235</v>
      </c>
      <c r="O55" s="37">
        <f t="shared" si="60"/>
        <v>15</v>
      </c>
      <c r="P55" s="49" t="s">
        <v>57</v>
      </c>
      <c r="Q55" s="49" t="s">
        <v>57</v>
      </c>
      <c r="R55" s="49" t="s">
        <v>57</v>
      </c>
      <c r="S55" s="51">
        <f t="shared" si="4"/>
        <v>13</v>
      </c>
      <c r="T55" s="52">
        <f t="shared" si="5"/>
        <v>1</v>
      </c>
      <c r="U55" s="52"/>
      <c r="V55" s="51">
        <f t="shared" si="6"/>
        <v>7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140</v>
      </c>
      <c r="C56" s="37">
        <v>218.0</v>
      </c>
      <c r="D56" s="37">
        <v>15.0</v>
      </c>
      <c r="E56" s="40">
        <f t="shared" si="2"/>
        <v>11.07142857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227</v>
      </c>
      <c r="O56" s="37">
        <f t="shared" si="61"/>
        <v>15</v>
      </c>
      <c r="P56" s="49" t="s">
        <v>57</v>
      </c>
      <c r="Q56" s="49" t="s">
        <v>57</v>
      </c>
      <c r="R56" s="49" t="s">
        <v>57</v>
      </c>
      <c r="S56" s="51">
        <f t="shared" si="4"/>
        <v>14</v>
      </c>
      <c r="T56" s="52">
        <f t="shared" si="5"/>
        <v>0</v>
      </c>
      <c r="U56" s="52"/>
      <c r="V56" s="51">
        <f t="shared" si="6"/>
        <v>7</v>
      </c>
      <c r="W56" s="52">
        <f t="shared" si="7"/>
        <v>2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116</v>
      </c>
      <c r="C57" s="37">
        <v>215.0</v>
      </c>
      <c r="D57" s="37">
        <v>13.0</v>
      </c>
      <c r="E57" s="40">
        <f t="shared" si="2"/>
        <v>10.23809524</v>
      </c>
      <c r="F57" s="90">
        <v>1.0</v>
      </c>
      <c r="G57" s="91">
        <v>8.0</v>
      </c>
      <c r="H57" s="92">
        <v>0.0</v>
      </c>
      <c r="I57" s="91">
        <v>5.0</v>
      </c>
      <c r="J57" s="91">
        <v>6.0</v>
      </c>
      <c r="K57" s="91">
        <v>5.0</v>
      </c>
      <c r="L57" s="93">
        <v>16.0</v>
      </c>
      <c r="M57" s="91">
        <v>1.0</v>
      </c>
      <c r="N57" s="37">
        <f t="shared" ref="N57:O57" si="62">C57+L57</f>
        <v>231</v>
      </c>
      <c r="O57" s="37">
        <f t="shared" si="62"/>
        <v>14</v>
      </c>
      <c r="P57" s="49" t="s">
        <v>57</v>
      </c>
      <c r="Q57" s="49" t="s">
        <v>57</v>
      </c>
      <c r="R57" s="49" t="s">
        <v>57</v>
      </c>
      <c r="S57" s="51">
        <f t="shared" si="4"/>
        <v>21</v>
      </c>
      <c r="T57" s="52">
        <f t="shared" si="5"/>
        <v>0</v>
      </c>
      <c r="U57" s="52"/>
      <c r="V57" s="51">
        <f t="shared" si="6"/>
        <v>0</v>
      </c>
      <c r="W57" s="52">
        <f t="shared" si="7"/>
        <v>-1</v>
      </c>
      <c r="X57" s="35">
        <f t="shared" si="12"/>
        <v>53</v>
      </c>
      <c r="Y57" s="35" t="str">
        <f t="shared" si="8"/>
        <v>Y</v>
      </c>
      <c r="Z57" s="19" t="str">
        <f t="shared" si="9"/>
        <v/>
      </c>
    </row>
    <row r="58">
      <c r="A58" s="35">
        <f t="shared" si="10"/>
        <v>54</v>
      </c>
      <c r="B58" s="36" t="s">
        <v>153</v>
      </c>
      <c r="C58" s="37">
        <v>212.0</v>
      </c>
      <c r="D58" s="37">
        <v>10.0</v>
      </c>
      <c r="E58" s="40">
        <f t="shared" si="2"/>
        <v>13.6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221</v>
      </c>
      <c r="O58" s="37">
        <f t="shared" si="63"/>
        <v>10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16</v>
      </c>
      <c r="W58" s="52">
        <f t="shared" si="7"/>
        <v>-1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76</v>
      </c>
      <c r="C59" s="37">
        <v>209.0</v>
      </c>
      <c r="D59" s="37">
        <v>8.0</v>
      </c>
      <c r="E59" s="40">
        <f t="shared" si="2"/>
        <v>11.66666667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218</v>
      </c>
      <c r="O59" s="37">
        <f t="shared" si="64"/>
        <v>8</v>
      </c>
      <c r="P59" s="49" t="s">
        <v>57</v>
      </c>
      <c r="Q59" s="49" t="s">
        <v>57</v>
      </c>
      <c r="R59" s="49" t="s">
        <v>57</v>
      </c>
      <c r="S59" s="51">
        <f t="shared" si="4"/>
        <v>6</v>
      </c>
      <c r="T59" s="52">
        <f t="shared" si="5"/>
        <v>1</v>
      </c>
      <c r="U59" s="52"/>
      <c r="V59" s="51">
        <f t="shared" si="6"/>
        <v>14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131</v>
      </c>
      <c r="C60" s="37">
        <v>200.0</v>
      </c>
      <c r="D60" s="37">
        <v>6.0</v>
      </c>
      <c r="E60" s="40">
        <f t="shared" si="2"/>
        <v>11.33333333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209</v>
      </c>
      <c r="O60" s="37">
        <f t="shared" si="65"/>
        <v>6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17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199.0</v>
      </c>
      <c r="D61" s="37">
        <v>7.0</v>
      </c>
      <c r="E61" s="40">
        <f t="shared" si="2"/>
        <v>10.2</v>
      </c>
      <c r="F61" s="90">
        <v>1.0</v>
      </c>
      <c r="G61" s="91">
        <v>8.0</v>
      </c>
      <c r="H61" s="92">
        <v>0.0</v>
      </c>
      <c r="I61" s="91">
        <v>7.0</v>
      </c>
      <c r="J61" s="91">
        <v>6.0</v>
      </c>
      <c r="K61" s="91">
        <v>7.0</v>
      </c>
      <c r="L61" s="93">
        <v>20.0</v>
      </c>
      <c r="M61" s="91">
        <v>3.0</v>
      </c>
      <c r="N61" s="37">
        <f t="shared" ref="N61:O61" si="66">C61+L61</f>
        <v>219</v>
      </c>
      <c r="O61" s="37">
        <f t="shared" si="66"/>
        <v>10</v>
      </c>
      <c r="P61" s="49" t="s">
        <v>57</v>
      </c>
      <c r="Q61" s="49" t="s">
        <v>57</v>
      </c>
      <c r="R61" s="49" t="s">
        <v>57</v>
      </c>
      <c r="S61" s="51">
        <f t="shared" si="4"/>
        <v>5</v>
      </c>
      <c r="T61" s="52">
        <f t="shared" si="5"/>
        <v>1</v>
      </c>
      <c r="U61" s="52"/>
      <c r="V61" s="51">
        <f t="shared" si="6"/>
        <v>15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150</v>
      </c>
      <c r="C62" s="37">
        <v>198.0</v>
      </c>
      <c r="D62" s="37">
        <v>6.0</v>
      </c>
      <c r="E62" s="40">
        <f t="shared" si="2"/>
        <v>13.5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207</v>
      </c>
      <c r="O62" s="37">
        <f t="shared" si="67"/>
        <v>6</v>
      </c>
      <c r="P62" s="49" t="s">
        <v>57</v>
      </c>
      <c r="Q62" s="49" t="s">
        <v>57</v>
      </c>
      <c r="R62" s="49" t="s">
        <v>57</v>
      </c>
      <c r="S62" s="51">
        <f t="shared" si="4"/>
        <v>2</v>
      </c>
      <c r="T62" s="52">
        <f t="shared" si="5"/>
        <v>0</v>
      </c>
      <c r="U62" s="52"/>
      <c r="V62" s="51">
        <f t="shared" si="6"/>
        <v>19</v>
      </c>
      <c r="W62" s="52">
        <f t="shared" si="7"/>
        <v>10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145</v>
      </c>
      <c r="C63" s="37">
        <v>197.0</v>
      </c>
      <c r="D63" s="37">
        <v>12.0</v>
      </c>
      <c r="E63" s="40">
        <f t="shared" si="2"/>
        <v>9.888888889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206</v>
      </c>
      <c r="O63" s="37">
        <f t="shared" si="68"/>
        <v>12</v>
      </c>
      <c r="P63" s="49" t="s">
        <v>57</v>
      </c>
      <c r="Q63" s="49" t="s">
        <v>57</v>
      </c>
      <c r="R63" s="49" t="s">
        <v>57</v>
      </c>
      <c r="S63" s="51">
        <f t="shared" si="4"/>
        <v>9</v>
      </c>
      <c r="T63" s="52">
        <f t="shared" si="5"/>
        <v>0</v>
      </c>
      <c r="U63" s="52"/>
      <c r="V63" s="51">
        <f t="shared" si="6"/>
        <v>12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100</v>
      </c>
      <c r="C64" s="37">
        <v>197.0</v>
      </c>
      <c r="D64" s="37">
        <v>6.0</v>
      </c>
      <c r="E64" s="40">
        <f t="shared" si="2"/>
        <v>11.66666667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206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0</v>
      </c>
      <c r="U64" s="52"/>
      <c r="V64" s="51">
        <f t="shared" si="6"/>
        <v>18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98</v>
      </c>
      <c r="C65" s="37">
        <v>196.0</v>
      </c>
      <c r="D65" s="37">
        <v>9.0</v>
      </c>
      <c r="E65" s="40">
        <f t="shared" si="2"/>
        <v>9.230769231</v>
      </c>
      <c r="F65" s="90">
        <v>1.0</v>
      </c>
      <c r="G65" s="91">
        <v>8.0</v>
      </c>
      <c r="H65" s="92">
        <v>0.0</v>
      </c>
      <c r="I65" s="91">
        <v>7.0</v>
      </c>
      <c r="J65" s="91">
        <v>3.0</v>
      </c>
      <c r="K65" s="91">
        <v>5.0</v>
      </c>
      <c r="L65" s="93">
        <v>15.0</v>
      </c>
      <c r="M65" s="91">
        <v>1.0</v>
      </c>
      <c r="N65" s="37">
        <f t="shared" ref="N65:O65" si="70">C65+L65</f>
        <v>211</v>
      </c>
      <c r="O65" s="37">
        <f t="shared" si="70"/>
        <v>10</v>
      </c>
      <c r="P65" s="49" t="s">
        <v>57</v>
      </c>
      <c r="Q65" s="49" t="s">
        <v>57</v>
      </c>
      <c r="R65" s="49" t="s">
        <v>57</v>
      </c>
      <c r="S65" s="51">
        <f t="shared" si="4"/>
        <v>13</v>
      </c>
      <c r="T65" s="52">
        <f t="shared" si="5"/>
        <v>1</v>
      </c>
      <c r="U65" s="52"/>
      <c r="V65" s="51">
        <f t="shared" si="6"/>
        <v>7</v>
      </c>
      <c r="W65" s="52">
        <f t="shared" si="7"/>
        <v>-3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154</v>
      </c>
      <c r="C66" s="37">
        <v>195.0</v>
      </c>
      <c r="D66" s="37">
        <v>7.0</v>
      </c>
      <c r="E66" s="40">
        <f t="shared" si="2"/>
        <v>10.2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204</v>
      </c>
      <c r="O66" s="37">
        <f t="shared" si="71"/>
        <v>7</v>
      </c>
      <c r="P66" s="49" t="s">
        <v>57</v>
      </c>
      <c r="Q66" s="49" t="s">
        <v>57</v>
      </c>
      <c r="R66" s="49" t="s">
        <v>57</v>
      </c>
      <c r="S66" s="51">
        <f t="shared" si="4"/>
        <v>5</v>
      </c>
      <c r="T66" s="52">
        <f t="shared" si="5"/>
        <v>0</v>
      </c>
      <c r="U66" s="52"/>
      <c r="V66" s="51">
        <f t="shared" si="6"/>
        <v>16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148</v>
      </c>
      <c r="C67" s="37">
        <v>195.0</v>
      </c>
      <c r="D67" s="37">
        <v>4.0</v>
      </c>
      <c r="E67" s="40">
        <f t="shared" si="2"/>
        <v>10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204</v>
      </c>
      <c r="O67" s="37">
        <f t="shared" si="72"/>
        <v>4</v>
      </c>
      <c r="P67" s="49" t="s">
        <v>57</v>
      </c>
      <c r="Q67" s="49" t="s">
        <v>57</v>
      </c>
      <c r="R67" s="49" t="s">
        <v>57</v>
      </c>
      <c r="S67" s="51">
        <f t="shared" si="4"/>
        <v>2</v>
      </c>
      <c r="T67" s="52">
        <f t="shared" si="5"/>
        <v>1</v>
      </c>
      <c r="U67" s="52"/>
      <c r="V67" s="51">
        <f t="shared" si="6"/>
        <v>18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133</v>
      </c>
      <c r="C68" s="37">
        <v>193.0</v>
      </c>
      <c r="D68" s="37">
        <v>5.0</v>
      </c>
      <c r="E68" s="40">
        <f t="shared" si="2"/>
        <v>9.5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202</v>
      </c>
      <c r="O68" s="37">
        <f t="shared" si="73"/>
        <v>5</v>
      </c>
      <c r="P68" s="49" t="s">
        <v>57</v>
      </c>
      <c r="Q68" s="49" t="s">
        <v>57</v>
      </c>
      <c r="R68" s="49" t="s">
        <v>57</v>
      </c>
      <c r="S68" s="51">
        <f t="shared" si="4"/>
        <v>8</v>
      </c>
      <c r="T68" s="52">
        <f t="shared" si="5"/>
        <v>0</v>
      </c>
      <c r="U68" s="52"/>
      <c r="V68" s="51">
        <f t="shared" si="6"/>
        <v>13</v>
      </c>
      <c r="W68" s="52">
        <f t="shared" si="7"/>
        <v>-2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136</v>
      </c>
      <c r="C69" s="37">
        <v>191.0</v>
      </c>
      <c r="D69" s="37">
        <v>5.0</v>
      </c>
      <c r="E69" s="40">
        <f t="shared" si="2"/>
        <v>9.333333333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200</v>
      </c>
      <c r="O69" s="37">
        <f t="shared" si="74"/>
        <v>5</v>
      </c>
      <c r="P69" s="49" t="s">
        <v>57</v>
      </c>
      <c r="Q69" s="49" t="s">
        <v>57</v>
      </c>
      <c r="R69" s="49" t="s">
        <v>57</v>
      </c>
      <c r="S69" s="51">
        <f t="shared" si="4"/>
        <v>6</v>
      </c>
      <c r="T69" s="52">
        <f t="shared" si="5"/>
        <v>0</v>
      </c>
      <c r="U69" s="52"/>
      <c r="V69" s="51">
        <f t="shared" si="6"/>
        <v>15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146</v>
      </c>
      <c r="C70" s="37">
        <v>191.0</v>
      </c>
      <c r="D70" s="37">
        <v>4.0</v>
      </c>
      <c r="E70" s="40">
        <f t="shared" si="2"/>
        <v>8.333333333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200</v>
      </c>
      <c r="O70" s="37">
        <f t="shared" si="75"/>
        <v>4</v>
      </c>
      <c r="P70" s="49" t="s">
        <v>57</v>
      </c>
      <c r="Q70" s="49" t="s">
        <v>57</v>
      </c>
      <c r="R70" s="49" t="s">
        <v>57</v>
      </c>
      <c r="S70" s="51">
        <f t="shared" si="4"/>
        <v>3</v>
      </c>
      <c r="T70" s="52">
        <f t="shared" si="5"/>
        <v>1</v>
      </c>
      <c r="U70" s="52"/>
      <c r="V70" s="51">
        <f t="shared" si="6"/>
        <v>17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125</v>
      </c>
      <c r="C71" s="37">
        <v>190.0</v>
      </c>
      <c r="D71" s="37">
        <v>3.0</v>
      </c>
      <c r="E71" s="40">
        <f t="shared" si="2"/>
        <v>10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199</v>
      </c>
      <c r="O71" s="37">
        <f t="shared" si="76"/>
        <v>3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20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78</v>
      </c>
      <c r="C72" s="37">
        <v>190.0</v>
      </c>
      <c r="D72" s="37">
        <v>2.0</v>
      </c>
      <c r="E72" s="40">
        <f t="shared" si="2"/>
        <v>6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199</v>
      </c>
      <c r="O72" s="37">
        <f t="shared" si="77"/>
        <v>2</v>
      </c>
      <c r="P72" s="49" t="s">
        <v>57</v>
      </c>
      <c r="Q72" s="49" t="s">
        <v>57</v>
      </c>
      <c r="R72" s="49" t="s">
        <v>57</v>
      </c>
      <c r="S72" s="51">
        <f t="shared" si="4"/>
        <v>1</v>
      </c>
      <c r="T72" s="52">
        <f t="shared" si="5"/>
        <v>1</v>
      </c>
      <c r="U72" s="52"/>
      <c r="V72" s="51">
        <f t="shared" si="6"/>
        <v>19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144</v>
      </c>
      <c r="C73" s="37">
        <v>188.0</v>
      </c>
      <c r="D73" s="37">
        <v>9.0</v>
      </c>
      <c r="E73" s="40">
        <f t="shared" si="2"/>
        <v>8.916666667</v>
      </c>
      <c r="F73" s="90">
        <v>1.0</v>
      </c>
      <c r="G73" s="91">
        <v>8.0</v>
      </c>
      <c r="H73" s="92">
        <v>0.0</v>
      </c>
      <c r="I73" s="91">
        <v>5.0</v>
      </c>
      <c r="J73" s="91">
        <v>3.0</v>
      </c>
      <c r="K73" s="91">
        <v>7.0</v>
      </c>
      <c r="L73" s="93">
        <v>15.0</v>
      </c>
      <c r="M73" s="91">
        <v>1.0</v>
      </c>
      <c r="N73" s="37">
        <f t="shared" ref="N73:O73" si="78">C73+L73</f>
        <v>203</v>
      </c>
      <c r="O73" s="37">
        <f t="shared" si="78"/>
        <v>10</v>
      </c>
      <c r="P73" s="49" t="s">
        <v>57</v>
      </c>
      <c r="Q73" s="49" t="s">
        <v>57</v>
      </c>
      <c r="R73" s="49" t="s">
        <v>57</v>
      </c>
      <c r="S73" s="51">
        <f t="shared" si="4"/>
        <v>12</v>
      </c>
      <c r="T73" s="52">
        <f t="shared" si="5"/>
        <v>0</v>
      </c>
      <c r="U73" s="52"/>
      <c r="V73" s="51">
        <f t="shared" si="6"/>
        <v>9</v>
      </c>
      <c r="W73" s="52">
        <f t="shared" si="7"/>
        <v>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149</v>
      </c>
      <c r="C74" s="37">
        <v>188.0</v>
      </c>
      <c r="D74" s="37">
        <v>7.0</v>
      </c>
      <c r="E74" s="40">
        <f t="shared" si="2"/>
        <v>8.833333333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197</v>
      </c>
      <c r="O74" s="37">
        <f t="shared" si="79"/>
        <v>7</v>
      </c>
      <c r="P74" s="49" t="s">
        <v>57</v>
      </c>
      <c r="Q74" s="49" t="s">
        <v>57</v>
      </c>
      <c r="R74" s="49" t="s">
        <v>57</v>
      </c>
      <c r="S74" s="51">
        <f t="shared" si="4"/>
        <v>6</v>
      </c>
      <c r="T74" s="52">
        <f t="shared" si="5"/>
        <v>0</v>
      </c>
      <c r="U74" s="52"/>
      <c r="V74" s="51">
        <f t="shared" si="6"/>
        <v>15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186.0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195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20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124</v>
      </c>
      <c r="C76" s="37">
        <v>182.0</v>
      </c>
      <c r="D76" s="37">
        <v>1.0</v>
      </c>
      <c r="E76" s="40">
        <f t="shared" si="2"/>
        <v>2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191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20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180.0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189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1</v>
      </c>
      <c r="T77" s="52">
        <f t="shared" si="5"/>
        <v>0</v>
      </c>
      <c r="U77" s="52"/>
      <c r="V77" s="51">
        <f t="shared" si="6"/>
        <v>20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141</v>
      </c>
      <c r="C78" s="37">
        <v>180.0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189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21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180.0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189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0</v>
      </c>
      <c r="T79" s="52">
        <f t="shared" si="5"/>
        <v>0</v>
      </c>
      <c r="U79" s="52"/>
      <c r="V79" s="51">
        <f t="shared" si="6"/>
        <v>21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05/23/26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desc"",0)"),"Frank Moon")</f>
        <v>Frank Moon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IFERROR(__xludf.DUMMYFUNCTION("""COMPUTED_VALUE"""),4.0)</f>
        <v>4</v>
      </c>
      <c r="F91" s="5"/>
    </row>
    <row r="92">
      <c r="A92" s="5"/>
      <c r="B92" s="36" t="str">
        <f>IFERROR(__xludf.DUMMYFUNCTION("""COMPUTED_VALUE"""),"Alejandro Mejia")</f>
        <v>Alejandro Mejia</v>
      </c>
      <c r="C92" s="122">
        <f>IFERROR(__xludf.DUMMYFUNCTION("""COMPUTED_VALUE"""),18.0)</f>
        <v>18</v>
      </c>
      <c r="D92" s="122">
        <f>IFERROR(__xludf.DUMMYFUNCTION("""COMPUTED_VALUE"""),3.0)</f>
        <v>3</v>
      </c>
      <c r="E92" s="122">
        <f>IFERROR(__xludf.DUMMYFUNCTION("""COMPUTED_VALUE"""),6.0)</f>
        <v>6</v>
      </c>
      <c r="F92" s="5"/>
    </row>
    <row r="93">
      <c r="A93" s="5"/>
      <c r="B93" s="36" t="str">
        <f>IFERROR(__xludf.DUMMYFUNCTION("""COMPUTED_VALUE"""),"Lam Bui")</f>
        <v>Lam Bui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IFERROR(__xludf.DUMMYFUNCTION("""COMPUTED_VALUE"""),7.0)</f>
        <v>7</v>
      </c>
      <c r="F93" s="5"/>
    </row>
    <row r="94">
      <c r="A94" s="5"/>
      <c r="B94" s="36" t="str">
        <f>IFERROR(__xludf.DUMMYFUNCTION("""COMPUTED_VALUE"""),"Susanta Mishra")</f>
        <v>Susanta Mishra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IFERROR(__xludf.DUMMYFUNCTION("""COMPUTED_VALUE"""),9.0)</f>
        <v>9</v>
      </c>
      <c r="F94" s="5"/>
    </row>
    <row r="95">
      <c r="A95" s="5"/>
      <c r="B95" s="36" t="str">
        <f>IFERROR(__xludf.DUMMYFUNCTION("""COMPUTED_VALUE"""),"Sandeep Kamalon")</f>
        <v>Sandeep Kamalon</v>
      </c>
      <c r="C95" s="122">
        <f>IFERROR(__xludf.DUMMYFUNCTION("""COMPUTED_VALUE"""),18.0)</f>
        <v>18</v>
      </c>
      <c r="D95" s="122">
        <f>IFERROR(__xludf.DUMMYFUNCTION("""COMPUTED_VALUE"""),2.0)</f>
        <v>2</v>
      </c>
      <c r="E95" s="122">
        <f>IFERROR(__xludf.DUMMYFUNCTION("""COMPUTED_VALUE"""),1.0)</f>
        <v>1</v>
      </c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10"")"),"Susanta Mishra")</f>
        <v>Susanta Mishra</v>
      </c>
      <c r="C110" s="122">
        <f>IFERROR(__xludf.DUMMYFUNCTION("""COMPUTED_VALUE"""),10.0)</f>
        <v>10</v>
      </c>
      <c r="D110" s="122">
        <f t="shared" ref="D110:D119" si="85">VLOOKUP(B110,indirect($AC$2&amp;"!B$5:X$79"),23, false)</f>
        <v>68</v>
      </c>
      <c r="E110" s="122">
        <f t="shared" ref="E110:E119" si="86">VLOOKUP(B110,B$5:X$79,23, false)</f>
        <v>58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9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IFERROR(__xludf.DUMMYFUNCTION("""COMPUTED_VALUE"""),"Frank Moon")</f>
        <v>Frank Moon</v>
      </c>
      <c r="C111" s="122">
        <f>IFERROR(__xludf.DUMMYFUNCTION("""COMPUTED_VALUE"""),8.0)</f>
        <v>8</v>
      </c>
      <c r="D111" s="122">
        <f t="shared" si="85"/>
        <v>25</v>
      </c>
      <c r="E111" s="122">
        <f t="shared" si="86"/>
        <v>17</v>
      </c>
      <c r="F111" s="122">
        <f t="shared" si="87"/>
        <v>19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IFERROR(__xludf.DUMMYFUNCTION("""COMPUTED_VALUE"""),"Alejandro Mejia")</f>
        <v>Alejandro Mejia</v>
      </c>
      <c r="C112" s="122">
        <f>IFERROR(__xludf.DUMMYFUNCTION("""COMPUTED_VALUE"""),7.0)</f>
        <v>7</v>
      </c>
      <c r="D112" s="122">
        <f t="shared" si="85"/>
        <v>41</v>
      </c>
      <c r="E112" s="122">
        <f t="shared" si="86"/>
        <v>34</v>
      </c>
      <c r="F112" s="122">
        <f t="shared" si="87"/>
        <v>18</v>
      </c>
      <c r="G112" s="122">
        <f t="shared" si="88"/>
        <v>6</v>
      </c>
      <c r="L112" s="122" t="str">
        <f t="shared" si="89"/>
        <v>ok</v>
      </c>
    </row>
    <row r="113">
      <c r="A113" s="5"/>
      <c r="B113" s="36" t="str">
        <f>IFERROR(__xludf.DUMMYFUNCTION("""COMPUTED_VALUE"""),"Lam Bui")</f>
        <v>Lam Bui</v>
      </c>
      <c r="C113" s="122">
        <f>IFERROR(__xludf.DUMMYFUNCTION("""COMPUTED_VALUE"""),6.0)</f>
        <v>6</v>
      </c>
      <c r="D113" s="122">
        <f t="shared" si="85"/>
        <v>44</v>
      </c>
      <c r="E113" s="122">
        <f t="shared" si="86"/>
        <v>38</v>
      </c>
      <c r="F113" s="122">
        <f t="shared" si="87"/>
        <v>18</v>
      </c>
      <c r="G113" s="122">
        <f t="shared" si="88"/>
        <v>7</v>
      </c>
      <c r="L113" s="122" t="str">
        <f t="shared" si="89"/>
        <v>ok</v>
      </c>
    </row>
    <row r="114">
      <c r="A114" s="5"/>
      <c r="B114" s="36" t="str">
        <f>IFERROR(__xludf.DUMMYFUNCTION("""COMPUTED_VALUE"""),"Darren Wong")</f>
        <v>Darren Wong</v>
      </c>
      <c r="C114" s="122">
        <f>IFERROR(__xludf.DUMMYFUNCTION("""COMPUTED_VALUE"""),5.0)</f>
        <v>5</v>
      </c>
      <c r="D114" s="122">
        <f t="shared" si="85"/>
        <v>14</v>
      </c>
      <c r="E114" s="122">
        <f t="shared" si="86"/>
        <v>9</v>
      </c>
      <c r="F114" s="122">
        <f t="shared" si="87"/>
        <v>17</v>
      </c>
      <c r="G114" s="122">
        <f t="shared" si="88"/>
        <v>3</v>
      </c>
      <c r="L114" s="122" t="str">
        <f t="shared" si="89"/>
        <v>ok</v>
      </c>
    </row>
    <row r="115">
      <c r="A115" s="5"/>
      <c r="B115" s="36" t="str">
        <f>IFERROR(__xludf.DUMMYFUNCTION("""COMPUTED_VALUE"""),"Elayaraja Thangaraj")</f>
        <v>Elayaraja Thangaraj</v>
      </c>
      <c r="C115" s="122">
        <f>IFERROR(__xludf.DUMMYFUNCTION("""COMPUTED_VALUE"""),5.0)</f>
        <v>5</v>
      </c>
      <c r="D115" s="122">
        <f t="shared" si="85"/>
        <v>27</v>
      </c>
      <c r="E115" s="122">
        <f t="shared" si="86"/>
        <v>22</v>
      </c>
      <c r="F115" s="122">
        <f t="shared" si="87"/>
        <v>13</v>
      </c>
      <c r="G115" s="122">
        <f t="shared" si="88"/>
        <v>4</v>
      </c>
      <c r="L115" s="122" t="str">
        <f t="shared" si="89"/>
        <v>ok</v>
      </c>
    </row>
    <row r="116">
      <c r="A116" s="5"/>
      <c r="B116" s="36" t="str">
        <f>IFERROR(__xludf.DUMMYFUNCTION("""COMPUTED_VALUE"""),"Ted Shen")</f>
        <v>Ted Shen</v>
      </c>
      <c r="C116" s="122">
        <f>IFERROR(__xludf.DUMMYFUNCTION("""COMPUTED_VALUE"""),4.0)</f>
        <v>4</v>
      </c>
      <c r="D116" s="122">
        <f t="shared" si="85"/>
        <v>22</v>
      </c>
      <c r="E116" s="122">
        <f t="shared" si="86"/>
        <v>18</v>
      </c>
      <c r="F116" s="122">
        <f t="shared" si="87"/>
        <v>16</v>
      </c>
      <c r="G116" s="122">
        <f t="shared" si="88"/>
        <v>4</v>
      </c>
      <c r="L116" s="122" t="str">
        <f t="shared" si="89"/>
        <v>ok</v>
      </c>
    </row>
    <row r="117">
      <c r="A117" s="5"/>
      <c r="B117" s="36" t="str">
        <f>IFERROR(__xludf.DUMMYFUNCTION("""COMPUTED_VALUE"""),"Tina Hanson")</f>
        <v>Tina Hanson</v>
      </c>
      <c r="C117" s="122">
        <f>IFERROR(__xludf.DUMMYFUNCTION("""COMPUTED_VALUE"""),4.0)</f>
        <v>4</v>
      </c>
      <c r="D117" s="122">
        <f t="shared" si="85"/>
        <v>33</v>
      </c>
      <c r="E117" s="122">
        <f t="shared" si="86"/>
        <v>29</v>
      </c>
      <c r="F117" s="122">
        <f t="shared" si="87"/>
        <v>15</v>
      </c>
      <c r="G117" s="122">
        <f t="shared" si="88"/>
        <v>5</v>
      </c>
      <c r="L117" s="122" t="str">
        <f t="shared" si="89"/>
        <v>ok</v>
      </c>
    </row>
    <row r="118">
      <c r="A118" s="5"/>
      <c r="B118" s="36" t="str">
        <f>IFERROR(__xludf.DUMMYFUNCTION("""COMPUTED_VALUE"""),"Chinna Ponnaganti")</f>
        <v>Chinna Ponnaganti</v>
      </c>
      <c r="C118" s="122">
        <f>IFERROR(__xludf.DUMMYFUNCTION("""COMPUTED_VALUE"""),4.0)</f>
        <v>4</v>
      </c>
      <c r="D118" s="122">
        <f t="shared" si="85"/>
        <v>35</v>
      </c>
      <c r="E118" s="122">
        <f t="shared" si="86"/>
        <v>31</v>
      </c>
      <c r="F118" s="122">
        <f t="shared" si="87"/>
        <v>16</v>
      </c>
      <c r="G118" s="122">
        <f t="shared" si="88"/>
        <v>5</v>
      </c>
      <c r="L118" s="122" t="str">
        <f t="shared" si="89"/>
        <v>ok</v>
      </c>
    </row>
    <row r="119">
      <c r="A119" s="5"/>
      <c r="B119" s="36" t="str">
        <f>IFERROR(__xludf.DUMMYFUNCTION("""COMPUTED_VALUE"""),"Coco Yan")</f>
        <v>Coco Yan</v>
      </c>
      <c r="C119" s="122">
        <f>IFERROR(__xludf.DUMMYFUNCTION("""COMPUTED_VALUE"""),4.0)</f>
        <v>4</v>
      </c>
      <c r="D119" s="122">
        <f t="shared" si="85"/>
        <v>50</v>
      </c>
      <c r="E119" s="122">
        <f t="shared" si="86"/>
        <v>46</v>
      </c>
      <c r="F119" s="122">
        <f t="shared" si="87"/>
        <v>17</v>
      </c>
      <c r="G119" s="122">
        <f t="shared" si="88"/>
        <v>8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21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306</v>
      </c>
      <c r="D128" s="122">
        <f t="shared" si="90"/>
        <v>40</v>
      </c>
      <c r="E128" s="122">
        <f t="shared" si="90"/>
        <v>15.15789474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301</v>
      </c>
      <c r="D129" s="122">
        <f t="shared" si="91"/>
        <v>35</v>
      </c>
      <c r="E129" s="122">
        <f t="shared" si="91"/>
        <v>15.58823529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283</v>
      </c>
      <c r="D130" s="122">
        <f t="shared" si="92"/>
        <v>28</v>
      </c>
      <c r="E130" s="122">
        <f t="shared" si="92"/>
        <v>14.22222222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283</v>
      </c>
      <c r="D131" s="122">
        <f t="shared" si="93"/>
        <v>28</v>
      </c>
      <c r="E131" s="122">
        <f t="shared" si="93"/>
        <v>13.73684211</v>
      </c>
      <c r="F131" s="5"/>
    </row>
    <row r="132">
      <c r="A132" s="122">
        <f t="shared" ref="A132:E132" si="94">A9</f>
        <v>5</v>
      </c>
      <c r="B132" s="36" t="str">
        <f t="shared" si="94"/>
        <v>Erik Hoeckmann</v>
      </c>
      <c r="C132" s="122">
        <f t="shared" si="94"/>
        <v>271</v>
      </c>
      <c r="D132" s="122">
        <f t="shared" si="94"/>
        <v>26</v>
      </c>
      <c r="E132" s="122">
        <f t="shared" si="94"/>
        <v>13.58823529</v>
      </c>
      <c r="F132" s="5"/>
    </row>
    <row r="133">
      <c r="A133" s="122">
        <f t="shared" ref="A133:E133" si="95">A10</f>
        <v>6</v>
      </c>
      <c r="B133" s="36" t="str">
        <f t="shared" si="95"/>
        <v>David Shin</v>
      </c>
      <c r="C133" s="122">
        <f t="shared" si="95"/>
        <v>269</v>
      </c>
      <c r="D133" s="122">
        <f t="shared" si="95"/>
        <v>28</v>
      </c>
      <c r="E133" s="122">
        <f t="shared" si="95"/>
        <v>13.21052632</v>
      </c>
      <c r="F133" s="5"/>
    </row>
    <row r="134">
      <c r="A134" s="122">
        <f t="shared" ref="A134:E134" si="96">A11</f>
        <v>7</v>
      </c>
      <c r="B134" s="36" t="str">
        <f t="shared" si="96"/>
        <v>Manish Anand</v>
      </c>
      <c r="C134" s="122">
        <f t="shared" si="96"/>
        <v>268</v>
      </c>
      <c r="D134" s="122">
        <f t="shared" si="96"/>
        <v>27</v>
      </c>
      <c r="E134" s="122">
        <f t="shared" si="96"/>
        <v>13.64705882</v>
      </c>
      <c r="F134" s="5"/>
    </row>
    <row r="135">
      <c r="A135" s="122">
        <f t="shared" ref="A135:E135" si="97">A12</f>
        <v>8</v>
      </c>
      <c r="B135" s="36" t="str">
        <f t="shared" si="97"/>
        <v>Pavan Akkimsetty</v>
      </c>
      <c r="C135" s="122">
        <f t="shared" si="97"/>
        <v>266</v>
      </c>
      <c r="D135" s="122">
        <f t="shared" si="97"/>
        <v>24</v>
      </c>
      <c r="E135" s="122">
        <f t="shared" si="97"/>
        <v>13.86666667</v>
      </c>
      <c r="F135" s="5"/>
    </row>
    <row r="136">
      <c r="A136" s="122">
        <f t="shared" ref="A136:E136" si="98">A13</f>
        <v>9</v>
      </c>
      <c r="B136" s="36" t="str">
        <f t="shared" si="98"/>
        <v>Darren Wong</v>
      </c>
      <c r="C136" s="122">
        <f t="shared" si="98"/>
        <v>261</v>
      </c>
      <c r="D136" s="122">
        <f t="shared" si="98"/>
        <v>25</v>
      </c>
      <c r="E136" s="122">
        <f t="shared" si="98"/>
        <v>15</v>
      </c>
      <c r="F136" s="5"/>
    </row>
    <row r="137">
      <c r="A137" s="122">
        <f t="shared" ref="A137:E137" si="99">A14</f>
        <v>10</v>
      </c>
      <c r="B137" s="36" t="str">
        <f t="shared" si="99"/>
        <v>Ethan Gu</v>
      </c>
      <c r="C137" s="122">
        <f t="shared" si="99"/>
        <v>260</v>
      </c>
      <c r="D137" s="122">
        <f t="shared" si="99"/>
        <v>19</v>
      </c>
      <c r="E137" s="122">
        <f t="shared" si="99"/>
        <v>13.73333333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192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IFERROR(__xludf.DUMMYFUNCTION("""COMPUTED_VALUE"""),"Wayne Liu")</f>
        <v>Wayne Liu</v>
      </c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  <c r="P165" s="36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05/23/26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IFERROR(__xludf.DUMMYFUNCTION("""COMPUTED_VALUE"""),7.0)</f>
        <v>7</v>
      </c>
      <c r="D250" s="132">
        <f>IFERROR(__xludf.DUMMYFUNCTION("""COMPUTED_VALUE"""),2.0)</f>
        <v>2</v>
      </c>
      <c r="E250" s="132">
        <f>IFERROR(__xludf.DUMMYFUNCTION("""COMPUTED_VALUE"""),6.0)</f>
        <v>6</v>
      </c>
      <c r="F250" s="132">
        <f>IFERROR(__xludf.DUMMYFUNCTION("""COMPUTED_VALUE"""),15.0)</f>
        <v>15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IFERROR(__xludf.DUMMYFUNCTION("""COMPUTED_VALUE"""),"Suleman Alidina")</f>
        <v>Suleman Alidina</v>
      </c>
      <c r="C251" s="132">
        <f>IFERROR(__xludf.DUMMYFUNCTION("""COMPUTED_VALUE"""),7.0)</f>
        <v>7</v>
      </c>
      <c r="D251" s="132">
        <f>IFERROR(__xludf.DUMMYFUNCTION("""COMPUTED_VALUE"""),6.0)</f>
        <v>6</v>
      </c>
      <c r="E251" s="132">
        <f>IFERROR(__xludf.DUMMYFUNCTION("""COMPUTED_VALUE"""),2.0)</f>
        <v>2</v>
      </c>
      <c r="F251" s="132">
        <f>IFERROR(__xludf.DUMMYFUNCTION("""COMPUTED_VALUE"""),15.0)</f>
        <v>15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IFERROR(__xludf.DUMMYFUNCTION("""COMPUTED_VALUE"""),"Sandeep Kamalon")</f>
        <v>Sandeep Kamalon</v>
      </c>
      <c r="C252" s="132">
        <f>IFERROR(__xludf.DUMMYFUNCTION("""COMPUTED_VALUE"""),6.0)</f>
        <v>6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IFERROR(__xludf.DUMMYFUNCTION("""COMPUTED_VALUE"""),18.0)</f>
        <v>18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IFERROR(__xludf.DUMMYFUNCTION("""COMPUTED_VALUE"""),"Manish Anand")</f>
        <v>Manish Anand</v>
      </c>
      <c r="C253" s="132">
        <f>IFERROR(__xludf.DUMMYFUNCTION("""COMPUTED_VALUE"""),6.0)</f>
        <v>6</v>
      </c>
      <c r="D253" s="132">
        <f>IFERROR(__xludf.DUMMYFUNCTION("""COMPUTED_VALUE"""),2.0)</f>
        <v>2</v>
      </c>
      <c r="E253" s="132">
        <f>IFERROR(__xludf.DUMMYFUNCTION("""COMPUTED_VALUE"""),2.0)</f>
        <v>2</v>
      </c>
      <c r="F253" s="132">
        <f>IFERROR(__xludf.DUMMYFUNCTION("""COMPUTED_VALUE"""),10.0)</f>
        <v>10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IFERROR(__xludf.DUMMYFUNCTION("""COMPUTED_VALUE"""),"David Shin")</f>
        <v>David Shin</v>
      </c>
      <c r="C254" s="135">
        <f>IFERROR(__xludf.DUMMYFUNCTION("""COMPUTED_VALUE"""),6.0)</f>
        <v>6</v>
      </c>
      <c r="D254" s="135">
        <f>IFERROR(__xludf.DUMMYFUNCTION("""COMPUTED_VALUE"""),7.0)</f>
        <v>7</v>
      </c>
      <c r="E254" s="135">
        <f>IFERROR(__xludf.DUMMYFUNCTION("""COMPUTED_VALUE"""),2.0)</f>
        <v>2</v>
      </c>
      <c r="F254" s="135">
        <f>IFERROR(__xludf.DUMMYFUNCTION("""COMPUTED_VALUE"""),15.0)</f>
        <v>15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IFERROR(__xludf.DUMMYFUNCTION("""COMPUTED_VALUE"""),"Erik Hoeckmann")</f>
        <v>Erik Hoeckmann</v>
      </c>
      <c r="C255" s="135">
        <f>IFERROR(__xludf.DUMMYFUNCTION("""COMPUTED_VALUE"""),6.0)</f>
        <v>6</v>
      </c>
      <c r="D255" s="135">
        <f>IFERROR(__xludf.DUMMYFUNCTION("""COMPUTED_VALUE"""),5.0)</f>
        <v>5</v>
      </c>
      <c r="E255" s="135">
        <f>IFERROR(__xludf.DUMMYFUNCTION("""COMPUTED_VALUE"""),6.0)</f>
        <v>6</v>
      </c>
      <c r="F255" s="135">
        <f>IFERROR(__xludf.DUMMYFUNCTION("""COMPUTED_VALUE"""),17.0)</f>
        <v>17</v>
      </c>
      <c r="G255" s="135">
        <f>IFERROR(__xludf.DUMMYFUNCTION("""COMPUTED_VALUE"""),2.0)</f>
        <v>2</v>
      </c>
    </row>
    <row r="256">
      <c r="A256" s="133">
        <f>IFERROR(__xludf.DUMMYFUNCTION("""COMPUTED_VALUE"""),2.0)</f>
        <v>2</v>
      </c>
      <c r="B256" s="134" t="str">
        <f>IFERROR(__xludf.DUMMYFUNCTION("""COMPUTED_VALUE"""),"Pavan Akkimsetty")</f>
        <v>Pavan Akkimsetty</v>
      </c>
      <c r="C256" s="135">
        <f>IFERROR(__xludf.DUMMYFUNCTION("""COMPUTED_VALUE"""),2.0)</f>
        <v>2</v>
      </c>
      <c r="D256" s="135">
        <f>IFERROR(__xludf.DUMMYFUNCTION("""COMPUTED_VALUE"""),7.0)</f>
        <v>7</v>
      </c>
      <c r="E256" s="135">
        <f>IFERROR(__xludf.DUMMYFUNCTION("""COMPUTED_VALUE"""),6.0)</f>
        <v>6</v>
      </c>
      <c r="F256" s="135">
        <f>IFERROR(__xludf.DUMMYFUNCTION("""COMPUTED_VALUE"""),15.0)</f>
        <v>15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IFERROR(__xludf.DUMMYFUNCTION("""COMPUTED_VALUE"""),"Herman Au")</f>
        <v>Herman Au</v>
      </c>
      <c r="C257" s="135">
        <f>IFERROR(__xludf.DUMMYFUNCTION("""COMPUTED_VALUE"""),2.0)</f>
        <v>2</v>
      </c>
      <c r="D257" s="135">
        <f>IFERROR(__xludf.DUMMYFUNCTION("""COMPUTED_VALUE"""),5.0)</f>
        <v>5</v>
      </c>
      <c r="E257" s="135">
        <f>IFERROR(__xludf.DUMMYFUNCTION("""COMPUTED_VALUE"""),2.0)</f>
        <v>2</v>
      </c>
      <c r="F257" s="135">
        <f>IFERROR(__xludf.DUMMYFUNCTION("""COMPUTED_VALUE"""),9.0)</f>
        <v>9</v>
      </c>
      <c r="G257" s="135">
        <f>IFERROR(__xludf.DUMMYFUNCTION("""COMPUTED_VALUE"""),0.0)</f>
        <v>0</v>
      </c>
    </row>
    <row r="258">
      <c r="A258" s="122">
        <f>IFERROR(__xludf.DUMMYFUNCTION("""COMPUTED_VALUE"""),3.0)</f>
        <v>3</v>
      </c>
      <c r="B258" s="36" t="str">
        <f>IFERROR(__xludf.DUMMYFUNCTION("""COMPUTED_VALUE"""),"Darren Wong")</f>
        <v>Darren Wong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IFERROR(__xludf.DUMMYFUNCTION("""COMPUTED_VALUE"""),5.0)</f>
        <v>5</v>
      </c>
      <c r="F258" s="132">
        <f>IFERROR(__xludf.DUMMYFUNCTION("""COMPUTED_VALUE"""),17.0)</f>
        <v>17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IFERROR(__xludf.DUMMYFUNCTION("""COMPUTED_VALUE"""),"Matthew Huang")</f>
        <v>Matthew Huang</v>
      </c>
      <c r="C259" s="132">
        <f>IFERROR(__xludf.DUMMYFUNCTION("""COMPUTED_VALUE"""),6.0)</f>
        <v>6</v>
      </c>
      <c r="D259" s="132">
        <f>IFERROR(__xludf.DUMMYFUNCTION("""COMPUTED_VALUE"""),1.0)</f>
        <v>1</v>
      </c>
      <c r="E259" s="132">
        <f>IFERROR(__xludf.DUMMYFUNCTION("""COMPUTED_VALUE"""),7.0)</f>
        <v>7</v>
      </c>
      <c r="F259" s="132">
        <f>IFERROR(__xludf.DUMMYFUNCTION("""COMPUTED_VALUE"""),14.0)</f>
        <v>14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IFERROR(__xludf.DUMMYFUNCTION("""COMPUTED_VALUE"""),"Tom Le")</f>
        <v>Tom Le</v>
      </c>
      <c r="C260" s="132">
        <f>IFERROR(__xludf.DUMMYFUNCTION("""COMPUTED_VALUE"""),4.0)</f>
        <v>4</v>
      </c>
      <c r="D260" s="132">
        <f>IFERROR(__xludf.DUMMYFUNCTION("""COMPUTED_VALUE"""),6.0)</f>
        <v>6</v>
      </c>
      <c r="E260" s="132">
        <f>IFERROR(__xludf.DUMMYFUNCTION("""COMPUTED_VALUE"""),7.0)</f>
        <v>7</v>
      </c>
      <c r="F260" s="132">
        <f>IFERROR(__xludf.DUMMYFUNCTION("""COMPUTED_VALUE"""),17.0)</f>
        <v>17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IFERROR(__xludf.DUMMYFUNCTION("""COMPUTED_VALUE"""),"Mauricio Palacios")</f>
        <v>Mauricio Palacios</v>
      </c>
      <c r="C261" s="132">
        <f>IFERROR(__xludf.DUMMYFUNCTION("""COMPUTED_VALUE"""),4.0)</f>
        <v>4</v>
      </c>
      <c r="D261" s="132">
        <f>IFERROR(__xludf.DUMMYFUNCTION("""COMPUTED_VALUE"""),1.0)</f>
        <v>1</v>
      </c>
      <c r="E261" s="132">
        <f>IFERROR(__xludf.DUMMYFUNCTION("""COMPUTED_VALUE"""),5.0)</f>
        <v>5</v>
      </c>
      <c r="F261" s="132">
        <f>IFERROR(__xludf.DUMMYFUNCTION("""COMPUTED_VALUE"""),10.0)</f>
        <v>10</v>
      </c>
      <c r="G261" s="132">
        <f>IFERROR(__xludf.DUMMYFUNCTION("""COMPUTED_VALUE"""),0.0)</f>
        <v>0</v>
      </c>
    </row>
    <row r="262">
      <c r="A262" s="133">
        <f>IFERROR(__xludf.DUMMYFUNCTION("""COMPUTED_VALUE"""),4.0)</f>
        <v>4</v>
      </c>
      <c r="B262" s="134" t="str">
        <f>IFERROR(__xludf.DUMMYFUNCTION("""COMPUTED_VALUE"""),"Ted Shen")</f>
        <v>Ted Shen</v>
      </c>
      <c r="C262" s="135">
        <f>IFERROR(__xludf.DUMMYFUNCTION("""COMPUTED_VALUE"""),6.0)</f>
        <v>6</v>
      </c>
      <c r="D262" s="135">
        <f>IFERROR(__xludf.DUMMYFUNCTION("""COMPUTED_VALUE"""),4.0)</f>
        <v>4</v>
      </c>
      <c r="E262" s="135">
        <f>IFERROR(__xludf.DUMMYFUNCTION("""COMPUTED_VALUE"""),6.0)</f>
        <v>6</v>
      </c>
      <c r="F262" s="135">
        <f>IFERROR(__xludf.DUMMYFUNCTION("""COMPUTED_VALUE"""),16.0)</f>
        <v>16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IFERROR(__xludf.DUMMYFUNCTION("""COMPUTED_VALUE"""),"Frank Moon")</f>
        <v>Frank Moon</v>
      </c>
      <c r="C263" s="135">
        <f>IFERROR(__xludf.DUMMYFUNCTION("""COMPUTED_VALUE"""),7.0)</f>
        <v>7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IFERROR(__xludf.DUMMYFUNCTION("""COMPUTED_VALUE"""),19.0)</f>
        <v>19</v>
      </c>
      <c r="G263" s="135">
        <f>IFERROR(__xludf.DUMMYFUNCTION("""COMPUTED_VALUE"""),3.0)</f>
        <v>3</v>
      </c>
    </row>
    <row r="264">
      <c r="A264" s="133">
        <f>IFERROR(__xludf.DUMMYFUNCTION("""COMPUTED_VALUE"""),4.0)</f>
        <v>4</v>
      </c>
      <c r="B264" s="134" t="str">
        <f>IFERROR(__xludf.DUMMYFUNCTION("""COMPUTED_VALUE"""),"Alex Hou")</f>
        <v>Alex Hou</v>
      </c>
      <c r="C264" s="135">
        <f>IFERROR(__xludf.DUMMYFUNCTION("""COMPUTED_VALUE"""),7.0)</f>
        <v>7</v>
      </c>
      <c r="D264" s="135">
        <f>IFERROR(__xludf.DUMMYFUNCTION("""COMPUTED_VALUE"""),4.0)</f>
        <v>4</v>
      </c>
      <c r="E264" s="135">
        <f>IFERROR(__xludf.DUMMYFUNCTION("""COMPUTED_VALUE"""),1.0)</f>
        <v>1</v>
      </c>
      <c r="F264" s="135">
        <f>IFERROR(__xludf.DUMMYFUNCTION("""COMPUTED_VALUE"""),12.0)</f>
        <v>12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IFERROR(__xludf.DUMMYFUNCTION("""COMPUTED_VALUE"""),"Elayaraja Thangaraj")</f>
        <v>Elayaraja Thangaraj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IFERROR(__xludf.DUMMYFUNCTION("""COMPUTED_VALUE"""),1.0)</f>
        <v>1</v>
      </c>
      <c r="F265" s="135">
        <f>IFERROR(__xludf.DUMMYFUNCTION("""COMPUTED_VALUE"""),13.0)</f>
        <v>13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IFERROR(__xludf.DUMMYFUNCTION("""COMPUTED_VALUE"""),"Wayne Liu")</f>
        <v>Wayne Liu</v>
      </c>
      <c r="C266" s="132">
        <f>IFERROR(__xludf.DUMMYFUNCTION("""COMPUTED_VALUE"""),3.0)</f>
        <v>3</v>
      </c>
      <c r="D266" s="132">
        <f>IFERROR(__xludf.DUMMYFUNCTION("""COMPUTED_VALUE"""),4.0)</f>
        <v>4</v>
      </c>
      <c r="E266" s="132">
        <f>IFERROR(__xludf.DUMMYFUNCTION("""COMPUTED_VALUE"""),4.0)</f>
        <v>4</v>
      </c>
      <c r="F266" s="132">
        <f>IFERROR(__xludf.DUMMYFUNCTION("""COMPUTED_VALUE"""),11.0)</f>
        <v>11</v>
      </c>
      <c r="G266" s="132">
        <f>IFERROR(__xludf.DUMMYFUNCTION("""COMPUTED_VALUE"""),0.0)</f>
        <v>0</v>
      </c>
    </row>
    <row r="267">
      <c r="A267" s="122">
        <f>IFERROR(__xludf.DUMMYFUNCTION("""COMPUTED_VALUE"""),5.0)</f>
        <v>5</v>
      </c>
      <c r="B267" s="36" t="str">
        <f>IFERROR(__xludf.DUMMYFUNCTION("""COMPUTED_VALUE"""),"Sean Chang")</f>
        <v>Sean Chang</v>
      </c>
      <c r="C267" s="132">
        <f>IFERROR(__xludf.DUMMYFUNCTION("""COMPUTED_VALUE"""),6.0)</f>
        <v>6</v>
      </c>
      <c r="D267" s="132">
        <f>IFERROR(__xludf.DUMMYFUNCTION("""COMPUTED_VALUE"""),6.0)</f>
        <v>6</v>
      </c>
      <c r="E267" s="132">
        <f>IFERROR(__xludf.DUMMYFUNCTION("""COMPUTED_VALUE"""),4.0)</f>
        <v>4</v>
      </c>
      <c r="F267" s="132">
        <f>IFERROR(__xludf.DUMMYFUNCTION("""COMPUTED_VALUE"""),16.0)</f>
        <v>16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IFERROR(__xludf.DUMMYFUNCTION("""COMPUTED_VALUE"""),"Tina Hanson")</f>
        <v>Tina Hanson</v>
      </c>
      <c r="C268" s="132">
        <f>IFERROR(__xludf.DUMMYFUNCTION("""COMPUTED_VALUE"""),3.0)</f>
        <v>3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IFERROR(__xludf.DUMMYFUNCTION("""COMPUTED_VALUE"""),15.0)</f>
        <v>15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IFERROR(__xludf.DUMMYFUNCTION("""COMPUTED_VALUE"""),"Chinna Ponnaganti")</f>
        <v>Chinna Ponnaganti</v>
      </c>
      <c r="C269" s="132">
        <f>IFERROR(__xludf.DUMMYFUNCTION("""COMPUTED_VALUE"""),6.0)</f>
        <v>6</v>
      </c>
      <c r="D269" s="132">
        <f>IFERROR(__xludf.DUMMYFUNCTION("""COMPUTED_VALUE"""),4.0)</f>
        <v>4</v>
      </c>
      <c r="E269" s="132">
        <f>IFERROR(__xludf.DUMMYFUNCTION("""COMPUTED_VALUE"""),6.0)</f>
        <v>6</v>
      </c>
      <c r="F269" s="132">
        <f>IFERROR(__xludf.DUMMYFUNCTION("""COMPUTED_VALUE"""),16.0)</f>
        <v>16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IFERROR(__xludf.DUMMYFUNCTION("""COMPUTED_VALUE"""),"Manuel Rivera")</f>
        <v>Manuel Rivera</v>
      </c>
      <c r="C270" s="135">
        <f>IFERROR(__xludf.DUMMYFUNCTION("""COMPUTED_VALUE"""),6.0)</f>
        <v>6</v>
      </c>
      <c r="D270" s="135">
        <f>IFERROR(__xludf.DUMMYFUNCTION("""COMPUTED_VALUE"""),3.0)</f>
        <v>3</v>
      </c>
      <c r="E270" s="135">
        <f>IFERROR(__xludf.DUMMYFUNCTION("""COMPUTED_VALUE"""),4.0)</f>
        <v>4</v>
      </c>
      <c r="F270" s="135">
        <f>IFERROR(__xludf.DUMMYFUNCTION("""COMPUTED_VALUE"""),13.0)</f>
        <v>13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IFERROR(__xludf.DUMMYFUNCTION("""COMPUTED_VALUE"""),"Jimmy Awolesi")</f>
        <v>Jimmy Awolesi</v>
      </c>
      <c r="C271" s="135">
        <f>IFERROR(__xludf.DUMMYFUNCTION("""COMPUTED_VALUE"""),1.0)</f>
        <v>1</v>
      </c>
      <c r="D271" s="135">
        <f>IFERROR(__xludf.DUMMYFUNCTION("""COMPUTED_VALUE"""),3.0)</f>
        <v>3</v>
      </c>
      <c r="E271" s="135">
        <f>IFERROR(__xludf.DUMMYFUNCTION("""COMPUTED_VALUE"""),6.0)</f>
        <v>6</v>
      </c>
      <c r="F271" s="135">
        <f>IFERROR(__xludf.DUMMYFUNCTION("""COMPUTED_VALUE"""),10.0)</f>
        <v>10</v>
      </c>
      <c r="G271" s="135">
        <f>IFERROR(__xludf.DUMMYFUNCTION("""COMPUTED_VALUE"""),1.0)</f>
        <v>1</v>
      </c>
    </row>
    <row r="272">
      <c r="A272" s="133">
        <f>IFERROR(__xludf.DUMMYFUNCTION("""COMPUTED_VALUE"""),6.0)</f>
        <v>6</v>
      </c>
      <c r="B272" s="134" t="str">
        <f>IFERROR(__xludf.DUMMYFUNCTION("""COMPUTED_VALUE"""),"Hongyuan Wen")</f>
        <v>Hongyuan Wen</v>
      </c>
      <c r="C272" s="135">
        <f>IFERROR(__xludf.DUMMYFUNCTION("""COMPUTED_VALUE"""),1.0)</f>
        <v>1</v>
      </c>
      <c r="D272" s="135">
        <f>IFERROR(__xludf.DUMMYFUNCTION("""COMPUTED_VALUE"""),6.0)</f>
        <v>6</v>
      </c>
      <c r="E272" s="135">
        <f>IFERROR(__xludf.DUMMYFUNCTION("""COMPUTED_VALUE"""),4.0)</f>
        <v>4</v>
      </c>
      <c r="F272" s="135">
        <f>IFERROR(__xludf.DUMMYFUNCTION("""COMPUTED_VALUE"""),11.0)</f>
        <v>11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IFERROR(__xludf.DUMMYFUNCTION("""COMPUTED_VALUE"""),"Alejandro Mejia")</f>
        <v>Alejandro Mejia</v>
      </c>
      <c r="C273" s="135">
        <f>IFERROR(__xludf.DUMMYFUNCTION("""COMPUTED_VALUE"""),6.0)</f>
        <v>6</v>
      </c>
      <c r="D273" s="135">
        <f>IFERROR(__xludf.DUMMYFUNCTION("""COMPUTED_VALUE"""),6.0)</f>
        <v>6</v>
      </c>
      <c r="E273" s="135">
        <f>IFERROR(__xludf.DUMMYFUNCTION("""COMPUTED_VALUE"""),6.0)</f>
        <v>6</v>
      </c>
      <c r="F273" s="135">
        <f>IFERROR(__xludf.DUMMYFUNCTION("""COMPUTED_VALUE"""),18.0)</f>
        <v>18</v>
      </c>
      <c r="G273" s="135">
        <f>IFERROR(__xludf.DUMMYFUNCTION("""COMPUTED_VALUE"""),3.0)</f>
        <v>3</v>
      </c>
    </row>
    <row r="274">
      <c r="A274" s="122">
        <f>IFERROR(__xludf.DUMMYFUNCTION("""COMPUTED_VALUE"""),7.0)</f>
        <v>7</v>
      </c>
      <c r="B274" s="36" t="str">
        <f>IFERROR(__xludf.DUMMYFUNCTION("""COMPUTED_VALUE"""),"Kumar Palakeel")</f>
        <v>Kumar Palakeel</v>
      </c>
      <c r="C274" s="132">
        <f>IFERROR(__xludf.DUMMYFUNCTION("""COMPUTED_VALUE"""),3.0)</f>
        <v>3</v>
      </c>
      <c r="D274" s="132">
        <f>IFERROR(__xludf.DUMMYFUNCTION("""COMPUTED_VALUE"""),6.0)</f>
        <v>6</v>
      </c>
      <c r="E274" s="132">
        <f>IFERROR(__xludf.DUMMYFUNCTION("""COMPUTED_VALUE"""),3.0)</f>
        <v>3</v>
      </c>
      <c r="F274" s="132">
        <f>IFERROR(__xludf.DUMMYFUNCTION("""COMPUTED_VALUE"""),12.0)</f>
        <v>12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IFERROR(__xludf.DUMMYFUNCTION("""COMPUTED_VALUE"""),"Ramesh Bandaru")</f>
        <v>Ramesh Bandaru</v>
      </c>
      <c r="C275" s="132">
        <f>IFERROR(__xludf.DUMMYFUNCTION("""COMPUTED_VALUE"""),3.0)</f>
        <v>3</v>
      </c>
      <c r="D275" s="132">
        <f>IFERROR(__xludf.DUMMYFUNCTION("""COMPUTED_VALUE"""),3.0)</f>
        <v>3</v>
      </c>
      <c r="E275" s="132">
        <f>IFERROR(__xludf.DUMMYFUNCTION("""COMPUTED_VALUE"""),6.0)</f>
        <v>6</v>
      </c>
      <c r="F275" s="132">
        <f>IFERROR(__xludf.DUMMYFUNCTION("""COMPUTED_VALUE"""),12.0)</f>
        <v>12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IFERROR(__xludf.DUMMYFUNCTION("""COMPUTED_VALUE"""),"Lam Bui")</f>
        <v>Lam Bui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IFERROR(__xludf.DUMMYFUNCTION("""COMPUTED_VALUE"""),6.0)</f>
        <v>6</v>
      </c>
      <c r="F276" s="132">
        <f>IFERROR(__xludf.DUMMYFUNCTION("""COMPUTED_VALUE"""),18.0)</f>
        <v>18</v>
      </c>
      <c r="G276" s="132">
        <f>IFERROR(__xludf.DUMMYFUNCTION("""COMPUTED_VALUE"""),3.0)</f>
        <v>3</v>
      </c>
    </row>
    <row r="277">
      <c r="A277" s="122">
        <f>IFERROR(__xludf.DUMMYFUNCTION("""COMPUTED_VALUE"""),7.0)</f>
        <v>7</v>
      </c>
      <c r="B277" s="36" t="str">
        <f>IFERROR(__xludf.DUMMYFUNCTION("""COMPUTED_VALUE"""),"Allen Zhang")</f>
        <v>Allen Zhang</v>
      </c>
      <c r="C277" s="132">
        <f>IFERROR(__xludf.DUMMYFUNCTION("""COMPUTED_VALUE"""),6.0)</f>
        <v>6</v>
      </c>
      <c r="D277" s="132">
        <f>IFERROR(__xludf.DUMMYFUNCTION("""COMPUTED_VALUE"""),3.0)</f>
        <v>3</v>
      </c>
      <c r="E277" s="132">
        <f>IFERROR(__xludf.DUMMYFUNCTION("""COMPUTED_VALUE"""),3.0)</f>
        <v>3</v>
      </c>
      <c r="F277" s="132">
        <f>IFERROR(__xludf.DUMMYFUNCTION("""COMPUTED_VALUE"""),12.0)</f>
        <v>12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IFERROR(__xludf.DUMMYFUNCTION("""COMPUTED_VALUE"""),"Coco Yan")</f>
        <v>Coco Yan</v>
      </c>
      <c r="C278" s="135">
        <f>IFERROR(__xludf.DUMMYFUNCTION("""COMPUTED_VALUE"""),5.0)</f>
        <v>5</v>
      </c>
      <c r="D278" s="135">
        <f>IFERROR(__xludf.DUMMYFUNCTION("""COMPUTED_VALUE"""),6.0)</f>
        <v>6</v>
      </c>
      <c r="E278" s="135">
        <f>IFERROR(__xludf.DUMMYFUNCTION("""COMPUTED_VALUE"""),6.0)</f>
        <v>6</v>
      </c>
      <c r="F278" s="135">
        <f>IFERROR(__xludf.DUMMYFUNCTION("""COMPUTED_VALUE"""),17.0)</f>
        <v>17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IFERROR(__xludf.DUMMYFUNCTION("""COMPUTED_VALUE"""),"Vinaya Kajla")</f>
        <v>Vinaya Kajla</v>
      </c>
      <c r="C279" s="135">
        <f>IFERROR(__xludf.DUMMYFUNCTION("""COMPUTED_VALUE"""),7.0)</f>
        <v>7</v>
      </c>
      <c r="D279" s="135">
        <f>IFERROR(__xludf.DUMMYFUNCTION("""COMPUTED_VALUE"""),4.0)</f>
        <v>4</v>
      </c>
      <c r="E279" s="135">
        <f>IFERROR(__xludf.DUMMYFUNCTION("""COMPUTED_VALUE"""),6.0)</f>
        <v>6</v>
      </c>
      <c r="F279" s="135">
        <f>IFERROR(__xludf.DUMMYFUNCTION("""COMPUTED_VALUE"""),17.0)</f>
        <v>17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IFERROR(__xludf.DUMMYFUNCTION("""COMPUTED_VALUE"""),"Eric Tan")</f>
        <v>Eric Tan</v>
      </c>
      <c r="C280" s="135">
        <f>IFERROR(__xludf.DUMMYFUNCTION("""COMPUTED_VALUE"""),5.0)</f>
        <v>5</v>
      </c>
      <c r="D280" s="135">
        <f>IFERROR(__xludf.DUMMYFUNCTION("""COMPUTED_VALUE"""),4.0)</f>
        <v>4</v>
      </c>
      <c r="E280" s="135">
        <f>IFERROR(__xludf.DUMMYFUNCTION("""COMPUTED_VALUE"""),3.0)</f>
        <v>3</v>
      </c>
      <c r="F280" s="135">
        <f>IFERROR(__xludf.DUMMYFUNCTION("""COMPUTED_VALUE"""),12.0)</f>
        <v>12</v>
      </c>
      <c r="G280" s="135">
        <f>IFERROR(__xludf.DUMMYFUNCTION("""COMPUTED_VALUE"""),0.0)</f>
        <v>0</v>
      </c>
    </row>
    <row r="281">
      <c r="A281" s="133">
        <f>IFERROR(__xludf.DUMMYFUNCTION("""COMPUTED_VALUE"""),8.0)</f>
        <v>8</v>
      </c>
      <c r="B281" s="134" t="str">
        <f>IFERROR(__xludf.DUMMYFUNCTION("""COMPUTED_VALUE"""),"Nicole Ni")</f>
        <v>Nicole Ni</v>
      </c>
      <c r="C281" s="135">
        <f>IFERROR(__xludf.DUMMYFUNCTION("""COMPUTED_VALUE"""),7.0)</f>
        <v>7</v>
      </c>
      <c r="D281" s="135">
        <f>IFERROR(__xludf.DUMMYFUNCTION("""COMPUTED_VALUE"""),6.0)</f>
        <v>6</v>
      </c>
      <c r="E281" s="135">
        <f>IFERROR(__xludf.DUMMYFUNCTION("""COMPUTED_VALUE"""),3.0)</f>
        <v>3</v>
      </c>
      <c r="F281" s="135">
        <f>IFERROR(__xludf.DUMMYFUNCTION("""COMPUTED_VALUE"""),16.0)</f>
        <v>16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IFERROR(__xludf.DUMMYFUNCTION("""COMPUTED_VALUE"""),"Camille Jung")</f>
        <v>Camille Jung</v>
      </c>
      <c r="C282" s="132">
        <f>IFERROR(__xludf.DUMMYFUNCTION("""COMPUTED_VALUE"""),6.0)</f>
        <v>6</v>
      </c>
      <c r="D282" s="132">
        <f>IFERROR(__xludf.DUMMYFUNCTION("""COMPUTED_VALUE"""),1.0)</f>
        <v>1</v>
      </c>
      <c r="E282" s="132">
        <f>IFERROR(__xludf.DUMMYFUNCTION("""COMPUTED_VALUE"""),0.0)</f>
        <v>0</v>
      </c>
      <c r="F282" s="132">
        <f>IFERROR(__xludf.DUMMYFUNCTION("""COMPUTED_VALUE"""),7.0)</f>
        <v>7</v>
      </c>
      <c r="G282" s="132">
        <f>IFERROR(__xludf.DUMMYFUNCTION("""COMPUTED_VALUE"""),1.0)</f>
        <v>1</v>
      </c>
    </row>
    <row r="283">
      <c r="A283" s="122">
        <f>IFERROR(__xludf.DUMMYFUNCTION("""COMPUTED_VALUE"""),9.0)</f>
        <v>9</v>
      </c>
      <c r="B283" s="36" t="str">
        <f>IFERROR(__xludf.DUMMYFUNCTION("""COMPUTED_VALUE"""),"Santosh Sundaresan")</f>
        <v>Santosh Sundaresan</v>
      </c>
      <c r="C283" s="132">
        <f>IFERROR(__xludf.DUMMYFUNCTION("""COMPUTED_VALUE"""),4.0)</f>
        <v>4</v>
      </c>
      <c r="D283" s="132">
        <f>IFERROR(__xludf.DUMMYFUNCTION("""COMPUTED_VALUE"""),1.0)</f>
        <v>1</v>
      </c>
      <c r="E283" s="132">
        <f>IFERROR(__xludf.DUMMYFUNCTION("""COMPUTED_VALUE"""),6.0)</f>
        <v>6</v>
      </c>
      <c r="F283" s="132">
        <f>IFERROR(__xludf.DUMMYFUNCTION("""COMPUTED_VALUE"""),11.0)</f>
        <v>11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IFERROR(__xludf.DUMMYFUNCTION("""COMPUTED_VALUE"""),"Susanta Mishra")</f>
        <v>Susanta Mishra</v>
      </c>
      <c r="C284" s="132">
        <f>IFERROR(__xludf.DUMMYFUNCTION("""COMPUTED_VALUE"""),6.0)</f>
        <v>6</v>
      </c>
      <c r="D284" s="132">
        <f>IFERROR(__xludf.DUMMYFUNCTION("""COMPUTED_VALUE"""),6.0)</f>
        <v>6</v>
      </c>
      <c r="E284" s="132">
        <f>IFERROR(__xludf.DUMMYFUNCTION("""COMPUTED_VALUE"""),6.0)</f>
        <v>6</v>
      </c>
      <c r="F284" s="132">
        <f>IFERROR(__xludf.DUMMYFUNCTION("""COMPUTED_VALUE"""),18.0)</f>
        <v>18</v>
      </c>
      <c r="G284" s="132">
        <f>IFERROR(__xludf.DUMMYFUNCTION("""COMPUTED_VALUE"""),3.0)</f>
        <v>3</v>
      </c>
    </row>
    <row r="285">
      <c r="A285" s="122">
        <f>IFERROR(__xludf.DUMMYFUNCTION("""COMPUTED_VALUE"""),9.0)</f>
        <v>9</v>
      </c>
      <c r="B285" s="36" t="str">
        <f>IFERROR(__xludf.DUMMYFUNCTION("""COMPUTED_VALUE"""),"Ranjith Doraiswamy")</f>
        <v>Ranjith Doraiswamy</v>
      </c>
      <c r="C285" s="132">
        <f>IFERROR(__xludf.DUMMYFUNCTION("""COMPUTED_VALUE"""),4.0)</f>
        <v>4</v>
      </c>
      <c r="D285" s="132">
        <f>IFERROR(__xludf.DUMMYFUNCTION("""COMPUTED_VALUE"""),6.0)</f>
        <v>6</v>
      </c>
      <c r="E285" s="132">
        <f>IFERROR(__xludf.DUMMYFUNCTION("""COMPUTED_VALUE"""),0.0)</f>
        <v>0</v>
      </c>
      <c r="F285" s="132">
        <f>IFERROR(__xludf.DUMMYFUNCTION("""COMPUTED_VALUE"""),10.0)</f>
        <v>10</v>
      </c>
      <c r="G285" s="132">
        <f>IFERROR(__xludf.DUMMYFUNCTION("""COMPUTED_VALUE"""),1.0)</f>
        <v>1</v>
      </c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IFERROR(__xludf.DUMMYFUNCTION("""COMPUTED_VALUE"""),"Ruben Ron")</f>
        <v>Ruben Ron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IFERROR(__xludf.DUMMYFUNCTION("""COMPUTED_VALUE"""),"Rudy Tatang")</f>
        <v>Rudy Tatang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IFERROR(__xludf.DUMMYFUNCTION("""COMPUTED_VALUE"""),"Sandeep Kamalon")</f>
        <v>Sandeep Kamalon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IFERROR(__xludf.DUMMYFUNCTION("""COMPUTED_VALUE"""),"Sandy Weyant")</f>
        <v>Sandy Weyant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IFERROR(__xludf.DUMMYFUNCTION("""COMPUTED_VALUE"""),"Santosh Sundaresan")</f>
        <v>Santosh Sundaresan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IFERROR(__xludf.DUMMYFUNCTION("""COMPUTED_VALUE"""),"Scott Li")</f>
        <v>Scott Li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IFERROR(__xludf.DUMMYFUNCTION("""COMPUTED_VALUE"""),"Sean Chang")</f>
        <v>Sean Chang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IFERROR(__xludf.DUMMYFUNCTION("""COMPUTED_VALUE"""),"Suleman Alidina")</f>
        <v>Suleman Alidina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IFERROR(__xludf.DUMMYFUNCTION("""COMPUTED_VALUE"""),"Susanta Mishra")</f>
        <v>Susanta Mishra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46165.0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20.0</v>
      </c>
      <c r="E2" s="5"/>
      <c r="F2" s="5"/>
      <c r="R2" s="18"/>
      <c r="AC2" s="22" t="str">
        <f>text(C1-7,"mm/dd/yy")</f>
        <v>05/16/26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63</v>
      </c>
      <c r="C5" s="37">
        <v>292.0</v>
      </c>
      <c r="D5" s="37">
        <v>35.0</v>
      </c>
      <c r="E5" s="40">
        <f t="shared" ref="E5:E79" si="2">if(S5&gt;0,(C5-(V5*9)-(T5*13))/S5,0)</f>
        <v>15.58823529</v>
      </c>
      <c r="F5" s="90">
        <v>3.0</v>
      </c>
      <c r="G5" s="91">
        <v>0.0</v>
      </c>
      <c r="H5" s="92">
        <v>9.0</v>
      </c>
      <c r="I5" s="91">
        <v>0.0</v>
      </c>
      <c r="J5" s="91">
        <v>0.0</v>
      </c>
      <c r="K5" s="91">
        <v>0.0</v>
      </c>
      <c r="L5" s="93">
        <v>9.0</v>
      </c>
      <c r="M5" s="91">
        <v>0.0</v>
      </c>
      <c r="N5" s="37">
        <f t="shared" ref="N5:O5" si="1">C5+L5</f>
        <v>301</v>
      </c>
      <c r="O5" s="37">
        <f t="shared" si="1"/>
        <v>35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17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3</v>
      </c>
      <c r="W5" s="52">
        <f t="shared" ref="W5:W79" si="7">vlookup(B5,indirect("'" &amp; AC$2 &amp; "'!B5:x79"),23,false)-X5</f>
        <v>1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50</v>
      </c>
      <c r="C6" s="37">
        <v>291.0</v>
      </c>
      <c r="D6" s="37">
        <v>38.0</v>
      </c>
      <c r="E6" s="40">
        <f t="shared" si="2"/>
        <v>15.16666667</v>
      </c>
      <c r="F6" s="90">
        <v>1.0</v>
      </c>
      <c r="G6" s="91">
        <v>1.0</v>
      </c>
      <c r="H6" s="92">
        <v>0.0</v>
      </c>
      <c r="I6" s="91">
        <v>7.0</v>
      </c>
      <c r="J6" s="91">
        <v>2.0</v>
      </c>
      <c r="K6" s="91">
        <v>6.0</v>
      </c>
      <c r="L6" s="93">
        <v>15.0</v>
      </c>
      <c r="M6" s="91">
        <v>2.0</v>
      </c>
      <c r="N6" s="37">
        <f t="shared" ref="N6:O6" si="3">C6+L6</f>
        <v>306</v>
      </c>
      <c r="O6" s="37">
        <f t="shared" si="3"/>
        <v>40</v>
      </c>
      <c r="P6" s="49" t="s">
        <v>57</v>
      </c>
      <c r="Q6" s="49" t="s">
        <v>57</v>
      </c>
      <c r="R6" s="49" t="s">
        <v>57</v>
      </c>
      <c r="S6" s="51">
        <f t="shared" si="4"/>
        <v>18</v>
      </c>
      <c r="T6" s="52">
        <f t="shared" si="5"/>
        <v>0</v>
      </c>
      <c r="U6" s="52"/>
      <c r="V6" s="51">
        <f t="shared" si="6"/>
        <v>2</v>
      </c>
      <c r="W6" s="52">
        <f t="shared" si="7"/>
        <v>-1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268.0</v>
      </c>
      <c r="D7" s="37">
        <v>26.0</v>
      </c>
      <c r="E7" s="40">
        <f t="shared" si="2"/>
        <v>13.42105263</v>
      </c>
      <c r="F7" s="90">
        <v>2.0</v>
      </c>
      <c r="G7" s="91">
        <v>1.0</v>
      </c>
      <c r="H7" s="92">
        <v>0.0</v>
      </c>
      <c r="I7" s="91">
        <v>7.0</v>
      </c>
      <c r="J7" s="91">
        <v>6.0</v>
      </c>
      <c r="K7" s="91">
        <v>2.0</v>
      </c>
      <c r="L7" s="93">
        <v>15.0</v>
      </c>
      <c r="M7" s="91">
        <v>2.0</v>
      </c>
      <c r="N7" s="37">
        <f t="shared" ref="N7:O7" si="11">C7+L7</f>
        <v>283</v>
      </c>
      <c r="O7" s="37">
        <f t="shared" si="11"/>
        <v>28</v>
      </c>
      <c r="P7" s="49" t="s">
        <v>57</v>
      </c>
      <c r="Q7" s="49" t="s">
        <v>57</v>
      </c>
      <c r="R7" s="49" t="s">
        <v>57</v>
      </c>
      <c r="S7" s="51">
        <f t="shared" si="4"/>
        <v>19</v>
      </c>
      <c r="T7" s="52">
        <f t="shared" si="5"/>
        <v>1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265.0</v>
      </c>
      <c r="D8" s="37">
        <v>26.0</v>
      </c>
      <c r="E8" s="40">
        <f t="shared" si="2"/>
        <v>14</v>
      </c>
      <c r="F8" s="90">
        <v>1.0</v>
      </c>
      <c r="G8" s="91">
        <v>1.0</v>
      </c>
      <c r="H8" s="92">
        <v>0.0</v>
      </c>
      <c r="I8" s="91">
        <v>6.0</v>
      </c>
      <c r="J8" s="91">
        <v>6.0</v>
      </c>
      <c r="K8" s="91">
        <v>6.0</v>
      </c>
      <c r="L8" s="93">
        <v>18.0</v>
      </c>
      <c r="M8" s="91">
        <v>2.0</v>
      </c>
      <c r="N8" s="37">
        <f t="shared" ref="N8:O8" si="13">C8+L8</f>
        <v>283</v>
      </c>
      <c r="O8" s="37">
        <f t="shared" si="13"/>
        <v>28</v>
      </c>
      <c r="P8" s="49" t="s">
        <v>57</v>
      </c>
      <c r="Q8" s="49" t="s">
        <v>57</v>
      </c>
      <c r="R8" s="49" t="s">
        <v>57</v>
      </c>
      <c r="S8" s="51">
        <f t="shared" si="4"/>
        <v>17</v>
      </c>
      <c r="T8" s="52">
        <f t="shared" si="5"/>
        <v>0</v>
      </c>
      <c r="U8" s="52"/>
      <c r="V8" s="51">
        <f t="shared" si="6"/>
        <v>3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95</v>
      </c>
      <c r="C9" s="37">
        <v>258.0</v>
      </c>
      <c r="D9" s="37">
        <v>27.0</v>
      </c>
      <c r="E9" s="40">
        <f t="shared" si="2"/>
        <v>13.875</v>
      </c>
      <c r="F9" s="90">
        <v>1.0</v>
      </c>
      <c r="G9" s="91">
        <v>1.0</v>
      </c>
      <c r="H9" s="92">
        <v>0.0</v>
      </c>
      <c r="I9" s="91">
        <v>6.0</v>
      </c>
      <c r="J9" s="91">
        <v>2.0</v>
      </c>
      <c r="K9" s="91">
        <v>2.0</v>
      </c>
      <c r="L9" s="93">
        <v>10.0</v>
      </c>
      <c r="M9" s="91">
        <v>0.0</v>
      </c>
      <c r="N9" s="37">
        <f t="shared" ref="N9:O9" si="14">C9+L9</f>
        <v>268</v>
      </c>
      <c r="O9" s="37">
        <f t="shared" si="14"/>
        <v>27</v>
      </c>
      <c r="P9" s="49" t="s">
        <v>57</v>
      </c>
      <c r="Q9" s="49" t="s">
        <v>57</v>
      </c>
      <c r="R9" s="49" t="s">
        <v>57</v>
      </c>
      <c r="S9" s="51">
        <f t="shared" si="4"/>
        <v>16</v>
      </c>
      <c r="T9" s="52">
        <f t="shared" si="5"/>
        <v>0</v>
      </c>
      <c r="U9" s="52"/>
      <c r="V9" s="51">
        <f t="shared" si="6"/>
        <v>4</v>
      </c>
      <c r="W9" s="52">
        <f t="shared" si="7"/>
        <v>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94</v>
      </c>
      <c r="C10" s="37">
        <v>254.0</v>
      </c>
      <c r="D10" s="37">
        <v>26.0</v>
      </c>
      <c r="E10" s="40">
        <f t="shared" si="2"/>
        <v>13.11111111</v>
      </c>
      <c r="F10" s="90">
        <v>1.0</v>
      </c>
      <c r="G10" s="91">
        <v>2.0</v>
      </c>
      <c r="H10" s="92">
        <v>0.0</v>
      </c>
      <c r="I10" s="91">
        <v>6.0</v>
      </c>
      <c r="J10" s="91">
        <v>7.0</v>
      </c>
      <c r="K10" s="91">
        <v>2.0</v>
      </c>
      <c r="L10" s="93">
        <v>15.0</v>
      </c>
      <c r="M10" s="91">
        <v>2.0</v>
      </c>
      <c r="N10" s="37">
        <f t="shared" ref="N10:O10" si="15">C10+L10</f>
        <v>269</v>
      </c>
      <c r="O10" s="37">
        <f t="shared" si="15"/>
        <v>28</v>
      </c>
      <c r="P10" s="49" t="s">
        <v>57</v>
      </c>
      <c r="Q10" s="49" t="s">
        <v>57</v>
      </c>
      <c r="R10" s="49" t="s">
        <v>57</v>
      </c>
      <c r="S10" s="51">
        <f t="shared" si="4"/>
        <v>18</v>
      </c>
      <c r="T10" s="52">
        <f t="shared" si="5"/>
        <v>0</v>
      </c>
      <c r="U10" s="52"/>
      <c r="V10" s="51">
        <f t="shared" si="6"/>
        <v>2</v>
      </c>
      <c r="W10" s="52">
        <f t="shared" si="7"/>
        <v>2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93</v>
      </c>
      <c r="C11" s="37">
        <v>254.0</v>
      </c>
      <c r="D11" s="37">
        <v>24.0</v>
      </c>
      <c r="E11" s="40">
        <f t="shared" si="2"/>
        <v>13.375</v>
      </c>
      <c r="F11" s="90">
        <v>1.0</v>
      </c>
      <c r="G11" s="91">
        <v>2.0</v>
      </c>
      <c r="H11" s="92">
        <v>0.0</v>
      </c>
      <c r="I11" s="91">
        <v>6.0</v>
      </c>
      <c r="J11" s="91">
        <v>5.0</v>
      </c>
      <c r="K11" s="91">
        <v>6.0</v>
      </c>
      <c r="L11" s="93">
        <v>17.0</v>
      </c>
      <c r="M11" s="91">
        <v>2.0</v>
      </c>
      <c r="N11" s="37">
        <f t="shared" ref="N11:O11" si="16">C11+L11</f>
        <v>271</v>
      </c>
      <c r="O11" s="37">
        <f t="shared" si="16"/>
        <v>26</v>
      </c>
      <c r="P11" s="49" t="s">
        <v>57</v>
      </c>
      <c r="Q11" s="49" t="s">
        <v>57</v>
      </c>
      <c r="R11" s="49" t="s">
        <v>57</v>
      </c>
      <c r="S11" s="51">
        <f t="shared" si="4"/>
        <v>16</v>
      </c>
      <c r="T11" s="52">
        <f t="shared" si="5"/>
        <v>1</v>
      </c>
      <c r="U11" s="52"/>
      <c r="V11" s="51">
        <f t="shared" si="6"/>
        <v>3</v>
      </c>
      <c r="W11" s="52">
        <f t="shared" si="7"/>
        <v>3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80</v>
      </c>
      <c r="C12" s="37">
        <v>251.0</v>
      </c>
      <c r="D12" s="37">
        <v>22.0</v>
      </c>
      <c r="E12" s="40">
        <f t="shared" si="2"/>
        <v>13.78571429</v>
      </c>
      <c r="F12" s="90">
        <v>1.0</v>
      </c>
      <c r="G12" s="91">
        <v>2.0</v>
      </c>
      <c r="H12" s="92">
        <v>0.0</v>
      </c>
      <c r="I12" s="91">
        <v>2.0</v>
      </c>
      <c r="J12" s="91">
        <v>7.0</v>
      </c>
      <c r="K12" s="91">
        <v>6.0</v>
      </c>
      <c r="L12" s="93">
        <v>15.0</v>
      </c>
      <c r="M12" s="91">
        <v>2.0</v>
      </c>
      <c r="N12" s="37">
        <f t="shared" ref="N12:O12" si="17">C12+L12</f>
        <v>266</v>
      </c>
      <c r="O12" s="37">
        <f t="shared" si="17"/>
        <v>24</v>
      </c>
      <c r="P12" s="49" t="s">
        <v>57</v>
      </c>
      <c r="Q12" s="49" t="s">
        <v>57</v>
      </c>
      <c r="R12" s="49" t="s">
        <v>57</v>
      </c>
      <c r="S12" s="51">
        <f t="shared" si="4"/>
        <v>14</v>
      </c>
      <c r="T12" s="52">
        <f t="shared" si="5"/>
        <v>1</v>
      </c>
      <c r="U12" s="52"/>
      <c r="V12" s="51">
        <f t="shared" si="6"/>
        <v>5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92</v>
      </c>
      <c r="C13" s="37">
        <v>251.0</v>
      </c>
      <c r="D13" s="37">
        <v>19.0</v>
      </c>
      <c r="E13" s="40">
        <f t="shared" si="2"/>
        <v>13.73333333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260</v>
      </c>
      <c r="O13" s="37">
        <f t="shared" si="18"/>
        <v>19</v>
      </c>
      <c r="P13" s="49" t="s">
        <v>57</v>
      </c>
      <c r="Q13" s="49" t="s">
        <v>57</v>
      </c>
      <c r="R13" s="49" t="s">
        <v>57</v>
      </c>
      <c r="S13" s="51">
        <f t="shared" si="4"/>
        <v>15</v>
      </c>
      <c r="T13" s="52">
        <f t="shared" si="5"/>
        <v>0</v>
      </c>
      <c r="U13" s="52"/>
      <c r="V13" s="51">
        <f t="shared" si="6"/>
        <v>5</v>
      </c>
      <c r="W13" s="52">
        <f t="shared" si="7"/>
        <v>-4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127</v>
      </c>
      <c r="C14" s="37">
        <v>250.0</v>
      </c>
      <c r="D14" s="37">
        <v>23.0</v>
      </c>
      <c r="E14" s="40">
        <f t="shared" si="2"/>
        <v>14.83333333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259</v>
      </c>
      <c r="O14" s="37">
        <f t="shared" si="19"/>
        <v>23</v>
      </c>
      <c r="P14" s="49" t="s">
        <v>57</v>
      </c>
      <c r="Q14" s="49" t="s">
        <v>57</v>
      </c>
      <c r="R14" s="49" t="s">
        <v>57</v>
      </c>
      <c r="S14" s="51">
        <f t="shared" si="4"/>
        <v>12</v>
      </c>
      <c r="T14" s="52">
        <f t="shared" si="5"/>
        <v>0</v>
      </c>
      <c r="U14" s="52"/>
      <c r="V14" s="51">
        <f t="shared" si="6"/>
        <v>8</v>
      </c>
      <c r="W14" s="52">
        <f t="shared" si="7"/>
        <v>-1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117</v>
      </c>
      <c r="C15" s="37">
        <v>249.0</v>
      </c>
      <c r="D15" s="37">
        <v>23.0</v>
      </c>
      <c r="E15" s="40">
        <f t="shared" si="2"/>
        <v>13.0625</v>
      </c>
      <c r="F15" s="90">
        <v>2.0</v>
      </c>
      <c r="G15" s="91">
        <v>2.0</v>
      </c>
      <c r="H15" s="92">
        <v>0.0</v>
      </c>
      <c r="I15" s="91">
        <v>2.0</v>
      </c>
      <c r="J15" s="91">
        <v>5.0</v>
      </c>
      <c r="K15" s="91">
        <v>2.0</v>
      </c>
      <c r="L15" s="93">
        <v>9.0</v>
      </c>
      <c r="M15" s="91">
        <v>0.0</v>
      </c>
      <c r="N15" s="37">
        <f t="shared" ref="N15:O15" si="20">C15+L15</f>
        <v>258</v>
      </c>
      <c r="O15" s="37">
        <f t="shared" si="20"/>
        <v>23</v>
      </c>
      <c r="P15" s="49" t="s">
        <v>57</v>
      </c>
      <c r="Q15" s="49" t="s">
        <v>57</v>
      </c>
      <c r="R15" s="49" t="s">
        <v>57</v>
      </c>
      <c r="S15" s="51">
        <f t="shared" si="4"/>
        <v>16</v>
      </c>
      <c r="T15" s="52">
        <f t="shared" si="5"/>
        <v>1</v>
      </c>
      <c r="U15" s="52"/>
      <c r="V15" s="51">
        <f t="shared" si="6"/>
        <v>3</v>
      </c>
      <c r="W15" s="52">
        <f t="shared" si="7"/>
        <v>0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120</v>
      </c>
      <c r="C16" s="37">
        <v>246.0</v>
      </c>
      <c r="D16" s="37">
        <v>21.0</v>
      </c>
      <c r="E16" s="40">
        <f t="shared" si="2"/>
        <v>15.6</v>
      </c>
      <c r="F16" s="90">
        <v>3.0</v>
      </c>
      <c r="G16" s="91">
        <v>0.0</v>
      </c>
      <c r="H16" s="92">
        <v>9.0</v>
      </c>
      <c r="I16" s="91">
        <v>0.0</v>
      </c>
      <c r="J16" s="91">
        <v>0.0</v>
      </c>
      <c r="K16" s="91">
        <v>0.0</v>
      </c>
      <c r="L16" s="93">
        <v>9.0</v>
      </c>
      <c r="M16" s="91">
        <v>0.0</v>
      </c>
      <c r="N16" s="37">
        <f t="shared" ref="N16:O16" si="21">C16+L16</f>
        <v>255</v>
      </c>
      <c r="O16" s="37">
        <f t="shared" si="21"/>
        <v>21</v>
      </c>
      <c r="P16" s="49" t="s">
        <v>57</v>
      </c>
      <c r="Q16" s="49" t="s">
        <v>57</v>
      </c>
      <c r="R16" s="49" t="s">
        <v>57</v>
      </c>
      <c r="S16" s="51">
        <f t="shared" si="4"/>
        <v>10</v>
      </c>
      <c r="T16" s="52">
        <f t="shared" si="5"/>
        <v>0</v>
      </c>
      <c r="U16" s="52"/>
      <c r="V16" s="51">
        <f t="shared" si="6"/>
        <v>10</v>
      </c>
      <c r="W16" s="52">
        <f t="shared" si="7"/>
        <v>0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135</v>
      </c>
      <c r="C17" s="37">
        <v>246.0</v>
      </c>
      <c r="D17" s="37">
        <v>19.0</v>
      </c>
      <c r="E17" s="40">
        <f t="shared" si="2"/>
        <v>13.4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255</v>
      </c>
      <c r="O17" s="37">
        <f t="shared" si="22"/>
        <v>19</v>
      </c>
      <c r="P17" s="49" t="s">
        <v>57</v>
      </c>
      <c r="Q17" s="49" t="s">
        <v>57</v>
      </c>
      <c r="R17" s="49" t="s">
        <v>57</v>
      </c>
      <c r="S17" s="51">
        <f t="shared" si="4"/>
        <v>15</v>
      </c>
      <c r="T17" s="52">
        <f t="shared" si="5"/>
        <v>0</v>
      </c>
      <c r="U17" s="52"/>
      <c r="V17" s="51">
        <f t="shared" si="6"/>
        <v>5</v>
      </c>
      <c r="W17" s="52">
        <f t="shared" si="7"/>
        <v>0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89</v>
      </c>
      <c r="C18" s="37">
        <v>244.0</v>
      </c>
      <c r="D18" s="37">
        <v>23.0</v>
      </c>
      <c r="E18" s="40">
        <f t="shared" si="2"/>
        <v>14.81818182</v>
      </c>
      <c r="F18" s="90">
        <v>1.0</v>
      </c>
      <c r="G18" s="91">
        <v>3.0</v>
      </c>
      <c r="H18" s="92">
        <v>0.0</v>
      </c>
      <c r="I18" s="91">
        <v>6.0</v>
      </c>
      <c r="J18" s="91">
        <v>6.0</v>
      </c>
      <c r="K18" s="91">
        <v>5.0</v>
      </c>
      <c r="L18" s="93">
        <v>17.0</v>
      </c>
      <c r="M18" s="91">
        <v>2.0</v>
      </c>
      <c r="N18" s="37">
        <f t="shared" ref="N18:O18" si="23">C18+L18</f>
        <v>261</v>
      </c>
      <c r="O18" s="37">
        <f t="shared" si="23"/>
        <v>25</v>
      </c>
      <c r="P18" s="49" t="s">
        <v>57</v>
      </c>
      <c r="Q18" s="49" t="s">
        <v>57</v>
      </c>
      <c r="R18" s="49" t="s">
        <v>57</v>
      </c>
      <c r="S18" s="51">
        <f t="shared" si="4"/>
        <v>11</v>
      </c>
      <c r="T18" s="52">
        <f t="shared" si="5"/>
        <v>0</v>
      </c>
      <c r="U18" s="52"/>
      <c r="V18" s="51">
        <f t="shared" si="6"/>
        <v>9</v>
      </c>
      <c r="W18" s="52">
        <f t="shared" si="7"/>
        <v>8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91</v>
      </c>
      <c r="C19" s="37">
        <v>243.0</v>
      </c>
      <c r="D19" s="37">
        <v>22.0</v>
      </c>
      <c r="E19" s="40">
        <f t="shared" si="2"/>
        <v>14.25</v>
      </c>
      <c r="F19" s="90">
        <v>2.0</v>
      </c>
      <c r="G19" s="91">
        <v>3.0</v>
      </c>
      <c r="H19" s="92">
        <v>0.0</v>
      </c>
      <c r="I19" s="91">
        <v>6.0</v>
      </c>
      <c r="J19" s="91">
        <v>1.0</v>
      </c>
      <c r="K19" s="91">
        <v>7.0</v>
      </c>
      <c r="L19" s="93">
        <v>14.0</v>
      </c>
      <c r="M19" s="91">
        <v>2.0</v>
      </c>
      <c r="N19" s="37">
        <f t="shared" ref="N19:O19" si="24">C19+L19</f>
        <v>257</v>
      </c>
      <c r="O19" s="37">
        <f t="shared" si="24"/>
        <v>24</v>
      </c>
      <c r="P19" s="49" t="s">
        <v>57</v>
      </c>
      <c r="Q19" s="49" t="s">
        <v>57</v>
      </c>
      <c r="R19" s="49" t="s">
        <v>57</v>
      </c>
      <c r="S19" s="51">
        <f t="shared" si="4"/>
        <v>12</v>
      </c>
      <c r="T19" s="52">
        <f t="shared" si="5"/>
        <v>0</v>
      </c>
      <c r="U19" s="52"/>
      <c r="V19" s="51">
        <f t="shared" si="6"/>
        <v>8</v>
      </c>
      <c r="W19" s="52">
        <f t="shared" si="7"/>
        <v>3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111</v>
      </c>
      <c r="C20" s="37">
        <v>240.0</v>
      </c>
      <c r="D20" s="37">
        <v>20.0</v>
      </c>
      <c r="E20" s="40">
        <f t="shared" si="2"/>
        <v>13.66666667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249</v>
      </c>
      <c r="O20" s="37">
        <f t="shared" si="25"/>
        <v>20</v>
      </c>
      <c r="P20" s="49" t="s">
        <v>57</v>
      </c>
      <c r="Q20" s="49" t="s">
        <v>57</v>
      </c>
      <c r="R20" s="49" t="s">
        <v>57</v>
      </c>
      <c r="S20" s="51">
        <f t="shared" si="4"/>
        <v>12</v>
      </c>
      <c r="T20" s="52">
        <f t="shared" si="5"/>
        <v>1</v>
      </c>
      <c r="U20" s="52"/>
      <c r="V20" s="51">
        <f t="shared" si="6"/>
        <v>7</v>
      </c>
      <c r="W20" s="52">
        <f t="shared" si="7"/>
        <v>-2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73</v>
      </c>
      <c r="C21" s="37">
        <v>238.0</v>
      </c>
      <c r="D21" s="37">
        <v>22.0</v>
      </c>
      <c r="E21" s="40">
        <f t="shared" si="2"/>
        <v>15.44444444</v>
      </c>
      <c r="F21" s="90">
        <v>1.0</v>
      </c>
      <c r="G21" s="91">
        <v>3.0</v>
      </c>
      <c r="H21" s="92">
        <v>0.0</v>
      </c>
      <c r="I21" s="91">
        <v>4.0</v>
      </c>
      <c r="J21" s="91">
        <v>6.0</v>
      </c>
      <c r="K21" s="91">
        <v>7.0</v>
      </c>
      <c r="L21" s="93">
        <v>17.0</v>
      </c>
      <c r="M21" s="91">
        <v>2.0</v>
      </c>
      <c r="N21" s="37">
        <f t="shared" ref="N21:O21" si="26">C21+L21</f>
        <v>255</v>
      </c>
      <c r="O21" s="37">
        <f t="shared" si="26"/>
        <v>24</v>
      </c>
      <c r="P21" s="49" t="s">
        <v>57</v>
      </c>
      <c r="Q21" s="49" t="s">
        <v>57</v>
      </c>
      <c r="R21" s="49" t="s">
        <v>57</v>
      </c>
      <c r="S21" s="51">
        <f t="shared" si="4"/>
        <v>9</v>
      </c>
      <c r="T21" s="52">
        <f t="shared" si="5"/>
        <v>0</v>
      </c>
      <c r="U21" s="52"/>
      <c r="V21" s="51">
        <f t="shared" si="6"/>
        <v>11</v>
      </c>
      <c r="W21" s="52">
        <f t="shared" si="7"/>
        <v>9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99</v>
      </c>
      <c r="C22" s="37">
        <v>238.0</v>
      </c>
      <c r="D22" s="37">
        <v>22.0</v>
      </c>
      <c r="E22" s="40">
        <f t="shared" si="2"/>
        <v>12.85714286</v>
      </c>
      <c r="F22" s="90">
        <v>1.0</v>
      </c>
      <c r="G22" s="91">
        <v>3.0</v>
      </c>
      <c r="H22" s="92">
        <v>0.0</v>
      </c>
      <c r="I22" s="91">
        <v>4.0</v>
      </c>
      <c r="J22" s="91">
        <v>1.0</v>
      </c>
      <c r="K22" s="91">
        <v>5.0</v>
      </c>
      <c r="L22" s="93">
        <v>10.0</v>
      </c>
      <c r="M22" s="91">
        <v>0.0</v>
      </c>
      <c r="N22" s="37">
        <f t="shared" ref="N22:O22" si="27">C22+L22</f>
        <v>248</v>
      </c>
      <c r="O22" s="37">
        <f t="shared" si="27"/>
        <v>22</v>
      </c>
      <c r="P22" s="49" t="s">
        <v>57</v>
      </c>
      <c r="Q22" s="49" t="s">
        <v>57</v>
      </c>
      <c r="R22" s="49" t="s">
        <v>57</v>
      </c>
      <c r="S22" s="51">
        <f t="shared" si="4"/>
        <v>14</v>
      </c>
      <c r="T22" s="52">
        <f t="shared" si="5"/>
        <v>1</v>
      </c>
      <c r="U22" s="52"/>
      <c r="V22" s="51">
        <f t="shared" si="6"/>
        <v>5</v>
      </c>
      <c r="W22" s="52">
        <f t="shared" si="7"/>
        <v>-1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103</v>
      </c>
      <c r="C23" s="37">
        <v>238.0</v>
      </c>
      <c r="D23" s="37">
        <v>22.0</v>
      </c>
      <c r="E23" s="40">
        <f t="shared" si="2"/>
        <v>12.6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247</v>
      </c>
      <c r="O23" s="37">
        <f t="shared" si="28"/>
        <v>22</v>
      </c>
      <c r="P23" s="49" t="s">
        <v>57</v>
      </c>
      <c r="Q23" s="49" t="s">
        <v>57</v>
      </c>
      <c r="R23" s="49" t="s">
        <v>57</v>
      </c>
      <c r="S23" s="51">
        <f t="shared" si="4"/>
        <v>15</v>
      </c>
      <c r="T23" s="52">
        <f t="shared" si="5"/>
        <v>1</v>
      </c>
      <c r="U23" s="52"/>
      <c r="V23" s="51">
        <f t="shared" si="6"/>
        <v>4</v>
      </c>
      <c r="W23" s="52">
        <f t="shared" si="7"/>
        <v>-3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126</v>
      </c>
      <c r="C24" s="37">
        <v>237.0</v>
      </c>
      <c r="D24" s="37">
        <v>23.0</v>
      </c>
      <c r="E24" s="40">
        <f t="shared" si="2"/>
        <v>13.07142857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246</v>
      </c>
      <c r="O24" s="37">
        <f t="shared" si="29"/>
        <v>23</v>
      </c>
      <c r="P24" s="49" t="s">
        <v>57</v>
      </c>
      <c r="Q24" s="49" t="s">
        <v>57</v>
      </c>
      <c r="R24" s="49" t="s">
        <v>57</v>
      </c>
      <c r="S24" s="51">
        <f t="shared" si="4"/>
        <v>14</v>
      </c>
      <c r="T24" s="52">
        <f t="shared" si="5"/>
        <v>0</v>
      </c>
      <c r="U24" s="52"/>
      <c r="V24" s="51">
        <f t="shared" si="6"/>
        <v>6</v>
      </c>
      <c r="W24" s="52">
        <f t="shared" si="7"/>
        <v>-1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113</v>
      </c>
      <c r="C25" s="37">
        <v>237.0</v>
      </c>
      <c r="D25" s="37">
        <v>21.0</v>
      </c>
      <c r="E25" s="40">
        <f t="shared" si="2"/>
        <v>14.7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246</v>
      </c>
      <c r="O25" s="37">
        <f t="shared" si="30"/>
        <v>21</v>
      </c>
      <c r="P25" s="49" t="s">
        <v>57</v>
      </c>
      <c r="Q25" s="49" t="s">
        <v>57</v>
      </c>
      <c r="R25" s="49" t="s">
        <v>57</v>
      </c>
      <c r="S25" s="51">
        <f t="shared" si="4"/>
        <v>10</v>
      </c>
      <c r="T25" s="52">
        <f t="shared" si="5"/>
        <v>0</v>
      </c>
      <c r="U25" s="52"/>
      <c r="V25" s="51">
        <f t="shared" si="6"/>
        <v>10</v>
      </c>
      <c r="W25" s="52">
        <f t="shared" si="7"/>
        <v>6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108</v>
      </c>
      <c r="C26" s="37">
        <v>236.0</v>
      </c>
      <c r="D26" s="37">
        <v>23.0</v>
      </c>
      <c r="E26" s="40">
        <f t="shared" si="2"/>
        <v>12.73333333</v>
      </c>
      <c r="F26" s="90">
        <v>1.0</v>
      </c>
      <c r="G26" s="91">
        <v>4.0</v>
      </c>
      <c r="H26" s="92">
        <v>0.0</v>
      </c>
      <c r="I26" s="91">
        <v>6.0</v>
      </c>
      <c r="J26" s="91">
        <v>4.0</v>
      </c>
      <c r="K26" s="91">
        <v>6.0</v>
      </c>
      <c r="L26" s="93">
        <v>16.0</v>
      </c>
      <c r="M26" s="91">
        <v>1.0</v>
      </c>
      <c r="N26" s="37">
        <f t="shared" ref="N26:O26" si="31">C26+L26</f>
        <v>252</v>
      </c>
      <c r="O26" s="37">
        <f t="shared" si="31"/>
        <v>24</v>
      </c>
      <c r="P26" s="49" t="s">
        <v>57</v>
      </c>
      <c r="Q26" s="49" t="s">
        <v>57</v>
      </c>
      <c r="R26" s="49" t="s">
        <v>57</v>
      </c>
      <c r="S26" s="51">
        <f t="shared" si="4"/>
        <v>15</v>
      </c>
      <c r="T26" s="52">
        <f t="shared" si="5"/>
        <v>0</v>
      </c>
      <c r="U26" s="52"/>
      <c r="V26" s="51">
        <f t="shared" si="6"/>
        <v>5</v>
      </c>
      <c r="W26" s="52">
        <f t="shared" si="7"/>
        <v>-1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137</v>
      </c>
      <c r="C27" s="37">
        <v>236.0</v>
      </c>
      <c r="D27" s="37">
        <v>22.0</v>
      </c>
      <c r="E27" s="40">
        <f t="shared" si="2"/>
        <v>12.73333333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245</v>
      </c>
      <c r="O27" s="37">
        <f t="shared" si="32"/>
        <v>22</v>
      </c>
      <c r="P27" s="49" t="s">
        <v>57</v>
      </c>
      <c r="Q27" s="49" t="s">
        <v>57</v>
      </c>
      <c r="R27" s="49" t="s">
        <v>57</v>
      </c>
      <c r="S27" s="51">
        <f t="shared" si="4"/>
        <v>15</v>
      </c>
      <c r="T27" s="52">
        <f t="shared" si="5"/>
        <v>0</v>
      </c>
      <c r="U27" s="52"/>
      <c r="V27" s="51">
        <f t="shared" si="6"/>
        <v>5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112</v>
      </c>
      <c r="C28" s="37">
        <v>236.0</v>
      </c>
      <c r="D28" s="37">
        <v>18.0</v>
      </c>
      <c r="E28" s="40">
        <f t="shared" si="2"/>
        <v>13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245</v>
      </c>
      <c r="O28" s="37">
        <f t="shared" si="33"/>
        <v>18</v>
      </c>
      <c r="P28" s="49" t="s">
        <v>57</v>
      </c>
      <c r="Q28" s="49" t="s">
        <v>57</v>
      </c>
      <c r="R28" s="49" t="s">
        <v>57</v>
      </c>
      <c r="S28" s="51">
        <f t="shared" si="4"/>
        <v>14</v>
      </c>
      <c r="T28" s="52">
        <f t="shared" si="5"/>
        <v>0</v>
      </c>
      <c r="U28" s="52"/>
      <c r="V28" s="51">
        <f t="shared" si="6"/>
        <v>6</v>
      </c>
      <c r="W28" s="52">
        <f t="shared" si="7"/>
        <v>-1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96</v>
      </c>
      <c r="C29" s="37">
        <v>234.0</v>
      </c>
      <c r="D29" s="37">
        <v>24.0</v>
      </c>
      <c r="E29" s="40">
        <f t="shared" si="2"/>
        <v>11.84210526</v>
      </c>
      <c r="F29" s="90">
        <v>1.0</v>
      </c>
      <c r="G29" s="91">
        <v>4.0</v>
      </c>
      <c r="H29" s="92">
        <v>0.0</v>
      </c>
      <c r="I29" s="91">
        <v>7.0</v>
      </c>
      <c r="J29" s="91">
        <v>6.0</v>
      </c>
      <c r="K29" s="91">
        <v>6.0</v>
      </c>
      <c r="L29" s="93">
        <v>19.0</v>
      </c>
      <c r="M29" s="91">
        <v>3.0</v>
      </c>
      <c r="N29" s="37">
        <f t="shared" ref="N29:O29" si="34">C29+L29</f>
        <v>253</v>
      </c>
      <c r="O29" s="37">
        <f t="shared" si="34"/>
        <v>27</v>
      </c>
      <c r="P29" s="49" t="s">
        <v>57</v>
      </c>
      <c r="Q29" s="49" t="s">
        <v>57</v>
      </c>
      <c r="R29" s="49" t="s">
        <v>57</v>
      </c>
      <c r="S29" s="51">
        <f t="shared" si="4"/>
        <v>19</v>
      </c>
      <c r="T29" s="52">
        <f t="shared" si="5"/>
        <v>0</v>
      </c>
      <c r="U29" s="52"/>
      <c r="V29" s="51">
        <f t="shared" si="6"/>
        <v>1</v>
      </c>
      <c r="W29" s="52">
        <f t="shared" si="7"/>
        <v>-10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59</v>
      </c>
      <c r="C30" s="37">
        <v>234.0</v>
      </c>
      <c r="D30" s="37">
        <v>20.0</v>
      </c>
      <c r="E30" s="40">
        <f t="shared" si="2"/>
        <v>11.84210526</v>
      </c>
      <c r="F30" s="90">
        <v>1.0</v>
      </c>
      <c r="G30" s="91">
        <v>4.0</v>
      </c>
      <c r="H30" s="92">
        <v>0.0</v>
      </c>
      <c r="I30" s="91">
        <v>7.0</v>
      </c>
      <c r="J30" s="91">
        <v>4.0</v>
      </c>
      <c r="K30" s="91">
        <v>1.0</v>
      </c>
      <c r="L30" s="93">
        <v>12.0</v>
      </c>
      <c r="M30" s="91">
        <v>1.0</v>
      </c>
      <c r="N30" s="37">
        <f t="shared" ref="N30:O30" si="35">C30+L30</f>
        <v>246</v>
      </c>
      <c r="O30" s="37">
        <f t="shared" si="35"/>
        <v>21</v>
      </c>
      <c r="P30" s="49" t="s">
        <v>57</v>
      </c>
      <c r="Q30" s="49" t="s">
        <v>57</v>
      </c>
      <c r="R30" s="49" t="s">
        <v>57</v>
      </c>
      <c r="S30" s="51">
        <f t="shared" si="4"/>
        <v>19</v>
      </c>
      <c r="T30" s="52">
        <f t="shared" si="5"/>
        <v>0</v>
      </c>
      <c r="U30" s="52"/>
      <c r="V30" s="51">
        <f t="shared" si="6"/>
        <v>1</v>
      </c>
      <c r="W30" s="52">
        <f t="shared" si="7"/>
        <v>5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97</v>
      </c>
      <c r="C31" s="37">
        <v>234.0</v>
      </c>
      <c r="D31" s="37">
        <v>17.0</v>
      </c>
      <c r="E31" s="40">
        <f t="shared" si="2"/>
        <v>13.5</v>
      </c>
      <c r="F31" s="90">
        <v>1.0</v>
      </c>
      <c r="G31" s="91">
        <v>4.0</v>
      </c>
      <c r="H31" s="92">
        <v>0.0</v>
      </c>
      <c r="I31" s="91">
        <v>6.0</v>
      </c>
      <c r="J31" s="91">
        <v>6.0</v>
      </c>
      <c r="K31" s="91">
        <v>1.0</v>
      </c>
      <c r="L31" s="93">
        <v>13.0</v>
      </c>
      <c r="M31" s="91">
        <v>1.0</v>
      </c>
      <c r="N31" s="37">
        <f t="shared" ref="N31:O31" si="36">C31+L31</f>
        <v>247</v>
      </c>
      <c r="O31" s="37">
        <f t="shared" si="36"/>
        <v>18</v>
      </c>
      <c r="P31" s="49" t="s">
        <v>57</v>
      </c>
      <c r="Q31" s="49" t="s">
        <v>57</v>
      </c>
      <c r="R31" s="49" t="s">
        <v>57</v>
      </c>
      <c r="S31" s="51">
        <f t="shared" si="4"/>
        <v>12</v>
      </c>
      <c r="T31" s="52">
        <f t="shared" si="5"/>
        <v>0</v>
      </c>
      <c r="U31" s="52"/>
      <c r="V31" s="51">
        <f t="shared" si="6"/>
        <v>8</v>
      </c>
      <c r="W31" s="52">
        <f t="shared" si="7"/>
        <v>-3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128</v>
      </c>
      <c r="C32" s="37">
        <v>232.0</v>
      </c>
      <c r="D32" s="37">
        <v>18.0</v>
      </c>
      <c r="E32" s="40">
        <f t="shared" si="2"/>
        <v>12.71428571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241</v>
      </c>
      <c r="O32" s="37">
        <f t="shared" si="37"/>
        <v>18</v>
      </c>
      <c r="P32" s="49" t="s">
        <v>57</v>
      </c>
      <c r="Q32" s="49" t="s">
        <v>57</v>
      </c>
      <c r="R32" s="49" t="s">
        <v>57</v>
      </c>
      <c r="S32" s="51">
        <f t="shared" si="4"/>
        <v>14</v>
      </c>
      <c r="T32" s="52">
        <f t="shared" si="5"/>
        <v>0</v>
      </c>
      <c r="U32" s="52"/>
      <c r="V32" s="51">
        <f t="shared" si="6"/>
        <v>6</v>
      </c>
      <c r="W32" s="52">
        <f t="shared" si="7"/>
        <v>-3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130</v>
      </c>
      <c r="C33" s="37">
        <v>231.0</v>
      </c>
      <c r="D33" s="37">
        <v>23.0</v>
      </c>
      <c r="E33" s="40">
        <f t="shared" si="2"/>
        <v>11.55</v>
      </c>
      <c r="F33" s="90">
        <v>1.0</v>
      </c>
      <c r="G33" s="91">
        <v>5.0</v>
      </c>
      <c r="H33" s="92">
        <v>0.0</v>
      </c>
      <c r="I33" s="91">
        <v>3.0</v>
      </c>
      <c r="J33" s="91">
        <v>4.0</v>
      </c>
      <c r="K33" s="91">
        <v>4.0</v>
      </c>
      <c r="L33" s="93">
        <v>11.0</v>
      </c>
      <c r="M33" s="91">
        <v>0.0</v>
      </c>
      <c r="N33" s="37">
        <f t="shared" ref="N33:O33" si="38">C33+L33</f>
        <v>242</v>
      </c>
      <c r="O33" s="37">
        <f t="shared" si="38"/>
        <v>23</v>
      </c>
      <c r="P33" s="49" t="s">
        <v>57</v>
      </c>
      <c r="Q33" s="49" t="s">
        <v>57</v>
      </c>
      <c r="R33" s="49" t="s">
        <v>57</v>
      </c>
      <c r="S33" s="51">
        <f t="shared" si="4"/>
        <v>20</v>
      </c>
      <c r="T33" s="52">
        <f t="shared" si="5"/>
        <v>0</v>
      </c>
      <c r="U33" s="52"/>
      <c r="V33" s="51">
        <f t="shared" si="6"/>
        <v>0</v>
      </c>
      <c r="W33" s="52">
        <f t="shared" si="7"/>
        <v>3</v>
      </c>
      <c r="X33" s="35">
        <f t="shared" si="12"/>
        <v>29</v>
      </c>
      <c r="Y33" s="35" t="str">
        <f t="shared" si="8"/>
        <v>Y</v>
      </c>
      <c r="Z33" s="19" t="str">
        <f t="shared" si="9"/>
        <v/>
      </c>
    </row>
    <row r="34">
      <c r="A34" s="35">
        <f t="shared" si="10"/>
        <v>30</v>
      </c>
      <c r="B34" s="36" t="s">
        <v>139</v>
      </c>
      <c r="C34" s="37">
        <v>231.0</v>
      </c>
      <c r="D34" s="37">
        <v>20.0</v>
      </c>
      <c r="E34" s="40">
        <f t="shared" si="2"/>
        <v>12.1875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240</v>
      </c>
      <c r="O34" s="37">
        <f t="shared" si="39"/>
        <v>20</v>
      </c>
      <c r="P34" s="49" t="s">
        <v>57</v>
      </c>
      <c r="Q34" s="49" t="s">
        <v>57</v>
      </c>
      <c r="R34" s="49" t="s">
        <v>57</v>
      </c>
      <c r="S34" s="51">
        <f t="shared" si="4"/>
        <v>16</v>
      </c>
      <c r="T34" s="52">
        <f t="shared" si="5"/>
        <v>0</v>
      </c>
      <c r="U34" s="52"/>
      <c r="V34" s="51">
        <f t="shared" si="6"/>
        <v>4</v>
      </c>
      <c r="W34" s="52">
        <f t="shared" si="7"/>
        <v>-1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107</v>
      </c>
      <c r="C35" s="37">
        <v>228.0</v>
      </c>
      <c r="D35" s="37">
        <v>20.0</v>
      </c>
      <c r="E35" s="40">
        <f t="shared" si="2"/>
        <v>12.42857143</v>
      </c>
      <c r="F35" s="90">
        <v>1.0</v>
      </c>
      <c r="G35" s="91">
        <v>5.0</v>
      </c>
      <c r="H35" s="92">
        <v>0.0</v>
      </c>
      <c r="I35" s="91">
        <v>6.0</v>
      </c>
      <c r="J35" s="91">
        <v>6.0</v>
      </c>
      <c r="K35" s="91">
        <v>4.0</v>
      </c>
      <c r="L35" s="93">
        <v>16.0</v>
      </c>
      <c r="M35" s="91">
        <v>2.0</v>
      </c>
      <c r="N35" s="37">
        <f t="shared" ref="N35:O35" si="40">C35+L35</f>
        <v>244</v>
      </c>
      <c r="O35" s="37">
        <f t="shared" si="40"/>
        <v>22</v>
      </c>
      <c r="P35" s="49" t="s">
        <v>57</v>
      </c>
      <c r="Q35" s="49" t="s">
        <v>57</v>
      </c>
      <c r="R35" s="49" t="s">
        <v>57</v>
      </c>
      <c r="S35" s="51">
        <f t="shared" si="4"/>
        <v>14</v>
      </c>
      <c r="T35" s="52">
        <f t="shared" si="5"/>
        <v>0</v>
      </c>
      <c r="U35" s="52"/>
      <c r="V35" s="51">
        <f t="shared" si="6"/>
        <v>6</v>
      </c>
      <c r="W35" s="52">
        <f t="shared" si="7"/>
        <v>5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132</v>
      </c>
      <c r="C36" s="37">
        <v>228.0</v>
      </c>
      <c r="D36" s="37">
        <v>18.0</v>
      </c>
      <c r="E36" s="40">
        <f t="shared" si="2"/>
        <v>15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237</v>
      </c>
      <c r="O36" s="37">
        <f t="shared" si="41"/>
        <v>18</v>
      </c>
      <c r="P36" s="49" t="s">
        <v>57</v>
      </c>
      <c r="Q36" s="49" t="s">
        <v>57</v>
      </c>
      <c r="R36" s="49" t="s">
        <v>57</v>
      </c>
      <c r="S36" s="51">
        <f t="shared" si="4"/>
        <v>8</v>
      </c>
      <c r="T36" s="52">
        <f t="shared" si="5"/>
        <v>0</v>
      </c>
      <c r="U36" s="52"/>
      <c r="V36" s="51">
        <f t="shared" si="6"/>
        <v>12</v>
      </c>
      <c r="W36" s="52">
        <f t="shared" si="7"/>
        <v>-4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115</v>
      </c>
      <c r="C37" s="37">
        <v>228.0</v>
      </c>
      <c r="D37" s="37">
        <v>18.0</v>
      </c>
      <c r="E37" s="40">
        <f t="shared" si="2"/>
        <v>12.2</v>
      </c>
      <c r="F37" s="90">
        <v>1.0</v>
      </c>
      <c r="G37" s="91">
        <v>5.0</v>
      </c>
      <c r="H37" s="92">
        <v>0.0</v>
      </c>
      <c r="I37" s="91">
        <v>3.0</v>
      </c>
      <c r="J37" s="91">
        <v>6.0</v>
      </c>
      <c r="K37" s="91">
        <v>6.0</v>
      </c>
      <c r="L37" s="93">
        <v>15.0</v>
      </c>
      <c r="M37" s="91">
        <v>2.0</v>
      </c>
      <c r="N37" s="37">
        <f t="shared" ref="N37:O37" si="42">C37+L37</f>
        <v>243</v>
      </c>
      <c r="O37" s="37">
        <f t="shared" si="42"/>
        <v>20</v>
      </c>
      <c r="P37" s="49" t="s">
        <v>57</v>
      </c>
      <c r="Q37" s="49" t="s">
        <v>57</v>
      </c>
      <c r="R37" s="49" t="s">
        <v>57</v>
      </c>
      <c r="S37" s="51">
        <f t="shared" si="4"/>
        <v>15</v>
      </c>
      <c r="T37" s="52">
        <f t="shared" si="5"/>
        <v>0</v>
      </c>
      <c r="U37" s="52"/>
      <c r="V37" s="51">
        <f t="shared" si="6"/>
        <v>5</v>
      </c>
      <c r="W37" s="52">
        <f t="shared" si="7"/>
        <v>2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114</v>
      </c>
      <c r="C38" s="37">
        <v>226.0</v>
      </c>
      <c r="D38" s="37">
        <v>20.0</v>
      </c>
      <c r="E38" s="40">
        <f t="shared" si="2"/>
        <v>14.11111111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3">C38+L38</f>
        <v>235</v>
      </c>
      <c r="O38" s="37">
        <f t="shared" si="43"/>
        <v>20</v>
      </c>
      <c r="P38" s="49" t="s">
        <v>57</v>
      </c>
      <c r="Q38" s="49" t="s">
        <v>57</v>
      </c>
      <c r="R38" s="49" t="s">
        <v>57</v>
      </c>
      <c r="S38" s="51">
        <f t="shared" si="4"/>
        <v>9</v>
      </c>
      <c r="T38" s="52">
        <f t="shared" si="5"/>
        <v>0</v>
      </c>
      <c r="U38" s="52"/>
      <c r="V38" s="51">
        <f t="shared" si="6"/>
        <v>11</v>
      </c>
      <c r="W38" s="52">
        <f t="shared" si="7"/>
        <v>-4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101</v>
      </c>
      <c r="C39" s="37">
        <v>226.0</v>
      </c>
      <c r="D39" s="37">
        <v>15.0</v>
      </c>
      <c r="E39" s="40">
        <f t="shared" si="2"/>
        <v>12.23076923</v>
      </c>
      <c r="F39" s="90">
        <v>1.0</v>
      </c>
      <c r="G39" s="91">
        <v>5.0</v>
      </c>
      <c r="H39" s="92">
        <v>0.0</v>
      </c>
      <c r="I39" s="91">
        <v>6.0</v>
      </c>
      <c r="J39" s="91">
        <v>4.0</v>
      </c>
      <c r="K39" s="91">
        <v>6.0</v>
      </c>
      <c r="L39" s="93">
        <v>16.0</v>
      </c>
      <c r="M39" s="91">
        <v>2.0</v>
      </c>
      <c r="N39" s="37">
        <f t="shared" ref="N39:O39" si="44">C39+L39</f>
        <v>242</v>
      </c>
      <c r="O39" s="37">
        <f t="shared" si="44"/>
        <v>17</v>
      </c>
      <c r="P39" s="49" t="s">
        <v>57</v>
      </c>
      <c r="Q39" s="49" t="s">
        <v>57</v>
      </c>
      <c r="R39" s="49" t="s">
        <v>57</v>
      </c>
      <c r="S39" s="51">
        <f t="shared" si="4"/>
        <v>13</v>
      </c>
      <c r="T39" s="52">
        <f t="shared" si="5"/>
        <v>1</v>
      </c>
      <c r="U39" s="52"/>
      <c r="V39" s="51">
        <f t="shared" si="6"/>
        <v>6</v>
      </c>
      <c r="W39" s="52">
        <f t="shared" si="7"/>
        <v>3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142</v>
      </c>
      <c r="C40" s="37">
        <v>224.0</v>
      </c>
      <c r="D40" s="37">
        <v>18.0</v>
      </c>
      <c r="E40" s="40">
        <f t="shared" si="2"/>
        <v>13.4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233</v>
      </c>
      <c r="O40" s="37">
        <f t="shared" si="45"/>
        <v>18</v>
      </c>
      <c r="P40" s="49" t="s">
        <v>57</v>
      </c>
      <c r="Q40" s="49" t="s">
        <v>57</v>
      </c>
      <c r="R40" s="49" t="s">
        <v>57</v>
      </c>
      <c r="S40" s="51">
        <f t="shared" si="4"/>
        <v>10</v>
      </c>
      <c r="T40" s="52">
        <f t="shared" si="5"/>
        <v>0</v>
      </c>
      <c r="U40" s="52"/>
      <c r="V40" s="51">
        <f t="shared" si="6"/>
        <v>10</v>
      </c>
      <c r="W40" s="52">
        <f t="shared" si="7"/>
        <v>-3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138</v>
      </c>
      <c r="C41" s="37">
        <v>223.0</v>
      </c>
      <c r="D41" s="37">
        <v>17.0</v>
      </c>
      <c r="E41" s="40">
        <f t="shared" si="2"/>
        <v>12.30769231</v>
      </c>
      <c r="F41" s="90">
        <v>1.0</v>
      </c>
      <c r="G41" s="91">
        <v>6.0</v>
      </c>
      <c r="H41" s="92">
        <v>0.0</v>
      </c>
      <c r="I41" s="91">
        <v>6.0</v>
      </c>
      <c r="J41" s="91">
        <v>3.0</v>
      </c>
      <c r="K41" s="91">
        <v>4.0</v>
      </c>
      <c r="L41" s="93">
        <v>13.0</v>
      </c>
      <c r="M41" s="91">
        <v>1.0</v>
      </c>
      <c r="N41" s="37">
        <f t="shared" ref="N41:O41" si="46">C41+L41</f>
        <v>236</v>
      </c>
      <c r="O41" s="37">
        <f t="shared" si="46"/>
        <v>18</v>
      </c>
      <c r="P41" s="49" t="s">
        <v>57</v>
      </c>
      <c r="Q41" s="49" t="s">
        <v>57</v>
      </c>
      <c r="R41" s="49" t="s">
        <v>57</v>
      </c>
      <c r="S41" s="51">
        <f t="shared" si="4"/>
        <v>13</v>
      </c>
      <c r="T41" s="52">
        <f t="shared" si="5"/>
        <v>0</v>
      </c>
      <c r="U41" s="52"/>
      <c r="V41" s="51">
        <f t="shared" si="6"/>
        <v>7</v>
      </c>
      <c r="W41" s="52">
        <f t="shared" si="7"/>
        <v>-3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129</v>
      </c>
      <c r="C42" s="37">
        <v>222.0</v>
      </c>
      <c r="D42" s="37">
        <v>19.0</v>
      </c>
      <c r="E42" s="40">
        <f t="shared" si="2"/>
        <v>11.8</v>
      </c>
      <c r="F42" s="90">
        <v>1.0</v>
      </c>
      <c r="G42" s="91">
        <v>6.0</v>
      </c>
      <c r="H42" s="92">
        <v>0.0</v>
      </c>
      <c r="I42" s="91">
        <v>1.0</v>
      </c>
      <c r="J42" s="91">
        <v>3.0</v>
      </c>
      <c r="K42" s="91">
        <v>6.0</v>
      </c>
      <c r="L42" s="93">
        <v>10.0</v>
      </c>
      <c r="M42" s="91">
        <v>1.0</v>
      </c>
      <c r="N42" s="37">
        <f t="shared" ref="N42:O42" si="47">C42+L42</f>
        <v>232</v>
      </c>
      <c r="O42" s="37">
        <f t="shared" si="47"/>
        <v>20</v>
      </c>
      <c r="P42" s="49" t="s">
        <v>57</v>
      </c>
      <c r="Q42" s="49" t="s">
        <v>57</v>
      </c>
      <c r="R42" s="49" t="s">
        <v>57</v>
      </c>
      <c r="S42" s="51">
        <f t="shared" si="4"/>
        <v>15</v>
      </c>
      <c r="T42" s="52">
        <f t="shared" si="5"/>
        <v>0</v>
      </c>
      <c r="U42" s="52"/>
      <c r="V42" s="51">
        <f t="shared" si="6"/>
        <v>5</v>
      </c>
      <c r="W42" s="52">
        <f t="shared" si="7"/>
        <v>8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109</v>
      </c>
      <c r="C43" s="37">
        <v>222.0</v>
      </c>
      <c r="D43" s="37">
        <v>17.0</v>
      </c>
      <c r="E43" s="40">
        <f t="shared" si="2"/>
        <v>12.81818182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231</v>
      </c>
      <c r="O43" s="37">
        <f t="shared" si="48"/>
        <v>17</v>
      </c>
      <c r="P43" s="49" t="s">
        <v>57</v>
      </c>
      <c r="Q43" s="49" t="s">
        <v>57</v>
      </c>
      <c r="R43" s="49" t="s">
        <v>57</v>
      </c>
      <c r="S43" s="51">
        <f t="shared" si="4"/>
        <v>11</v>
      </c>
      <c r="T43" s="52">
        <f t="shared" si="5"/>
        <v>0</v>
      </c>
      <c r="U43" s="52"/>
      <c r="V43" s="51">
        <f t="shared" si="6"/>
        <v>9</v>
      </c>
      <c r="W43" s="52">
        <f t="shared" si="7"/>
        <v>-2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118</v>
      </c>
      <c r="C44" s="37">
        <v>222.0</v>
      </c>
      <c r="D44" s="37">
        <v>17.0</v>
      </c>
      <c r="E44" s="40">
        <f t="shared" si="2"/>
        <v>11.33333333</v>
      </c>
      <c r="F44" s="90">
        <v>1.0</v>
      </c>
      <c r="G44" s="91">
        <v>6.0</v>
      </c>
      <c r="H44" s="92">
        <v>0.0</v>
      </c>
      <c r="I44" s="91">
        <v>1.0</v>
      </c>
      <c r="J44" s="91">
        <v>6.0</v>
      </c>
      <c r="K44" s="91">
        <v>4.0</v>
      </c>
      <c r="L44" s="93">
        <v>11.0</v>
      </c>
      <c r="M44" s="91">
        <v>1.0</v>
      </c>
      <c r="N44" s="37">
        <f t="shared" ref="N44:O44" si="49">C44+L44</f>
        <v>233</v>
      </c>
      <c r="O44" s="37">
        <f t="shared" si="49"/>
        <v>18</v>
      </c>
      <c r="P44" s="49" t="s">
        <v>57</v>
      </c>
      <c r="Q44" s="49" t="s">
        <v>57</v>
      </c>
      <c r="R44" s="49" t="s">
        <v>57</v>
      </c>
      <c r="S44" s="51">
        <f t="shared" si="4"/>
        <v>18</v>
      </c>
      <c r="T44" s="52">
        <f t="shared" si="5"/>
        <v>0</v>
      </c>
      <c r="U44" s="52"/>
      <c r="V44" s="51">
        <f t="shared" si="6"/>
        <v>2</v>
      </c>
      <c r="W44" s="52">
        <f t="shared" si="7"/>
        <v>2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54</v>
      </c>
      <c r="C45" s="37">
        <v>221.0</v>
      </c>
      <c r="D45" s="37">
        <v>16.0</v>
      </c>
      <c r="E45" s="40">
        <f t="shared" si="2"/>
        <v>14.125</v>
      </c>
      <c r="F45" s="90">
        <v>1.0</v>
      </c>
      <c r="G45" s="91">
        <v>6.0</v>
      </c>
      <c r="H45" s="92">
        <v>0.0</v>
      </c>
      <c r="I45" s="91">
        <v>6.0</v>
      </c>
      <c r="J45" s="91">
        <v>6.0</v>
      </c>
      <c r="K45" s="91">
        <v>6.0</v>
      </c>
      <c r="L45" s="93">
        <v>18.0</v>
      </c>
      <c r="M45" s="91">
        <v>3.0</v>
      </c>
      <c r="N45" s="37">
        <f t="shared" ref="N45:O45" si="50">C45+L45</f>
        <v>239</v>
      </c>
      <c r="O45" s="37">
        <f t="shared" si="50"/>
        <v>19</v>
      </c>
      <c r="P45" s="49" t="s">
        <v>57</v>
      </c>
      <c r="Q45" s="49" t="s">
        <v>57</v>
      </c>
      <c r="R45" s="49" t="s">
        <v>57</v>
      </c>
      <c r="S45" s="51">
        <f t="shared" si="4"/>
        <v>8</v>
      </c>
      <c r="T45" s="52">
        <f t="shared" si="5"/>
        <v>0</v>
      </c>
      <c r="U45" s="52"/>
      <c r="V45" s="51">
        <f t="shared" si="6"/>
        <v>12</v>
      </c>
      <c r="W45" s="52">
        <f t="shared" si="7"/>
        <v>6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134</v>
      </c>
      <c r="C46" s="37">
        <v>217.0</v>
      </c>
      <c r="D46" s="37">
        <v>18.0</v>
      </c>
      <c r="E46" s="40">
        <f t="shared" si="2"/>
        <v>11.17647059</v>
      </c>
      <c r="F46" s="90">
        <v>1.0</v>
      </c>
      <c r="G46" s="91">
        <v>7.0</v>
      </c>
      <c r="H46" s="92">
        <v>0.0</v>
      </c>
      <c r="I46" s="91">
        <v>3.0</v>
      </c>
      <c r="J46" s="91">
        <v>6.0</v>
      </c>
      <c r="K46" s="91">
        <v>3.0</v>
      </c>
      <c r="L46" s="93">
        <v>12.0</v>
      </c>
      <c r="M46" s="91">
        <v>1.0</v>
      </c>
      <c r="N46" s="37">
        <f t="shared" ref="N46:O46" si="51">C46+L46</f>
        <v>229</v>
      </c>
      <c r="O46" s="37">
        <f t="shared" si="51"/>
        <v>19</v>
      </c>
      <c r="P46" s="49" t="s">
        <v>57</v>
      </c>
      <c r="Q46" s="49" t="s">
        <v>57</v>
      </c>
      <c r="R46" s="49" t="s">
        <v>57</v>
      </c>
      <c r="S46" s="51">
        <f t="shared" si="4"/>
        <v>17</v>
      </c>
      <c r="T46" s="52">
        <f t="shared" si="5"/>
        <v>0</v>
      </c>
      <c r="U46" s="52"/>
      <c r="V46" s="51">
        <f t="shared" si="6"/>
        <v>3</v>
      </c>
      <c r="W46" s="52">
        <f t="shared" si="7"/>
        <v>2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143</v>
      </c>
      <c r="C47" s="37">
        <v>217.0</v>
      </c>
      <c r="D47" s="37">
        <v>17.0</v>
      </c>
      <c r="E47" s="40">
        <f t="shared" si="2"/>
        <v>12.36363636</v>
      </c>
      <c r="F47" s="90">
        <v>1.0</v>
      </c>
      <c r="G47" s="91">
        <v>7.0</v>
      </c>
      <c r="H47" s="92">
        <v>0.0</v>
      </c>
      <c r="I47" s="91">
        <v>3.0</v>
      </c>
      <c r="J47" s="91">
        <v>3.0</v>
      </c>
      <c r="K47" s="91">
        <v>6.0</v>
      </c>
      <c r="L47" s="93">
        <v>12.0</v>
      </c>
      <c r="M47" s="91">
        <v>1.0</v>
      </c>
      <c r="N47" s="37">
        <f t="shared" ref="N47:O47" si="52">C47+L47</f>
        <v>229</v>
      </c>
      <c r="O47" s="37">
        <f t="shared" si="52"/>
        <v>18</v>
      </c>
      <c r="P47" s="49" t="s">
        <v>57</v>
      </c>
      <c r="Q47" s="49" t="s">
        <v>57</v>
      </c>
      <c r="R47" s="49" t="s">
        <v>57</v>
      </c>
      <c r="S47" s="51">
        <f t="shared" si="4"/>
        <v>11</v>
      </c>
      <c r="T47" s="52">
        <f t="shared" si="5"/>
        <v>0</v>
      </c>
      <c r="U47" s="52"/>
      <c r="V47" s="51">
        <f t="shared" si="6"/>
        <v>9</v>
      </c>
      <c r="W47" s="52">
        <f t="shared" si="7"/>
        <v>-3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104</v>
      </c>
      <c r="C48" s="37">
        <v>217.0</v>
      </c>
      <c r="D48" s="37">
        <v>16.0</v>
      </c>
      <c r="E48" s="40">
        <f t="shared" si="2"/>
        <v>12.7</v>
      </c>
      <c r="F48" s="90">
        <v>2.0</v>
      </c>
      <c r="G48" s="91">
        <v>7.0</v>
      </c>
      <c r="H48" s="92">
        <v>0.0</v>
      </c>
      <c r="I48" s="91">
        <v>6.0</v>
      </c>
      <c r="J48" s="91">
        <v>6.0</v>
      </c>
      <c r="K48" s="91">
        <v>6.0</v>
      </c>
      <c r="L48" s="93">
        <v>18.0</v>
      </c>
      <c r="M48" s="91">
        <v>3.0</v>
      </c>
      <c r="N48" s="37">
        <f t="shared" ref="N48:O48" si="53">C48+L48</f>
        <v>235</v>
      </c>
      <c r="O48" s="37">
        <f t="shared" si="53"/>
        <v>19</v>
      </c>
      <c r="P48" s="49" t="s">
        <v>57</v>
      </c>
      <c r="Q48" s="49" t="s">
        <v>57</v>
      </c>
      <c r="R48" s="49" t="s">
        <v>57</v>
      </c>
      <c r="S48" s="51">
        <f t="shared" si="4"/>
        <v>10</v>
      </c>
      <c r="T48" s="52">
        <f t="shared" si="5"/>
        <v>0</v>
      </c>
      <c r="U48" s="52"/>
      <c r="V48" s="51">
        <f t="shared" si="6"/>
        <v>10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64</v>
      </c>
      <c r="C49" s="37">
        <v>216.0</v>
      </c>
      <c r="D49" s="37">
        <v>17.0</v>
      </c>
      <c r="E49" s="40">
        <f t="shared" si="2"/>
        <v>10.89473684</v>
      </c>
      <c r="F49" s="90">
        <v>1.0</v>
      </c>
      <c r="G49" s="91">
        <v>7.0</v>
      </c>
      <c r="H49" s="92">
        <v>0.0</v>
      </c>
      <c r="I49" s="91">
        <v>6.0</v>
      </c>
      <c r="J49" s="91">
        <v>3.0</v>
      </c>
      <c r="K49" s="91">
        <v>3.0</v>
      </c>
      <c r="L49" s="93">
        <v>12.0</v>
      </c>
      <c r="M49" s="91">
        <v>1.0</v>
      </c>
      <c r="N49" s="37">
        <f t="shared" ref="N49:O49" si="54">C49+L49</f>
        <v>228</v>
      </c>
      <c r="O49" s="37">
        <f t="shared" si="54"/>
        <v>18</v>
      </c>
      <c r="P49" s="49" t="s">
        <v>57</v>
      </c>
      <c r="Q49" s="49" t="s">
        <v>57</v>
      </c>
      <c r="R49" s="49" t="s">
        <v>57</v>
      </c>
      <c r="S49" s="51">
        <f t="shared" si="4"/>
        <v>19</v>
      </c>
      <c r="T49" s="52">
        <f t="shared" si="5"/>
        <v>0</v>
      </c>
      <c r="U49" s="52"/>
      <c r="V49" s="51">
        <f t="shared" si="6"/>
        <v>1</v>
      </c>
      <c r="W49" s="52">
        <f t="shared" si="7"/>
        <v>-6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51</v>
      </c>
      <c r="C50" s="37">
        <v>215.0</v>
      </c>
      <c r="D50" s="37">
        <v>14.0</v>
      </c>
      <c r="E50" s="40">
        <f t="shared" si="2"/>
        <v>16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224</v>
      </c>
      <c r="O50" s="37">
        <f t="shared" si="55"/>
        <v>14</v>
      </c>
      <c r="P50" s="49" t="s">
        <v>57</v>
      </c>
      <c r="Q50" s="49" t="s">
        <v>57</v>
      </c>
      <c r="R50" s="49" t="s">
        <v>57</v>
      </c>
      <c r="S50" s="51">
        <f t="shared" si="4"/>
        <v>5</v>
      </c>
      <c r="T50" s="52">
        <f t="shared" si="5"/>
        <v>0</v>
      </c>
      <c r="U50" s="52"/>
      <c r="V50" s="51">
        <f t="shared" si="6"/>
        <v>15</v>
      </c>
      <c r="W50" s="52">
        <f t="shared" si="7"/>
        <v>-3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90</v>
      </c>
      <c r="C51" s="37">
        <v>214.0</v>
      </c>
      <c r="D51" s="37">
        <v>12.0</v>
      </c>
      <c r="E51" s="40">
        <f t="shared" si="2"/>
        <v>14.66666667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223</v>
      </c>
      <c r="O51" s="37">
        <f t="shared" si="56"/>
        <v>12</v>
      </c>
      <c r="P51" s="49" t="s">
        <v>57</v>
      </c>
      <c r="Q51" s="49" t="s">
        <v>57</v>
      </c>
      <c r="R51" s="49" t="s">
        <v>57</v>
      </c>
      <c r="S51" s="51">
        <f t="shared" si="4"/>
        <v>6</v>
      </c>
      <c r="T51" s="52">
        <f t="shared" si="5"/>
        <v>0</v>
      </c>
      <c r="U51" s="52"/>
      <c r="V51" s="51">
        <f t="shared" si="6"/>
        <v>14</v>
      </c>
      <c r="W51" s="52">
        <f t="shared" si="7"/>
        <v>-2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147</v>
      </c>
      <c r="C52" s="37">
        <v>213.0</v>
      </c>
      <c r="D52" s="37">
        <v>12.0</v>
      </c>
      <c r="E52" s="40">
        <f t="shared" si="2"/>
        <v>12.625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222</v>
      </c>
      <c r="O52" s="37">
        <f t="shared" si="57"/>
        <v>12</v>
      </c>
      <c r="P52" s="49" t="s">
        <v>57</v>
      </c>
      <c r="Q52" s="49" t="s">
        <v>57</v>
      </c>
      <c r="R52" s="49" t="s">
        <v>57</v>
      </c>
      <c r="S52" s="51">
        <f t="shared" si="4"/>
        <v>8</v>
      </c>
      <c r="T52" s="52">
        <f t="shared" si="5"/>
        <v>1</v>
      </c>
      <c r="U52" s="52"/>
      <c r="V52" s="51">
        <f t="shared" si="6"/>
        <v>11</v>
      </c>
      <c r="W52" s="52">
        <f t="shared" si="7"/>
        <v>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151</v>
      </c>
      <c r="C53" s="37">
        <v>210.0</v>
      </c>
      <c r="D53" s="37">
        <v>14.0</v>
      </c>
      <c r="E53" s="40">
        <f t="shared" si="2"/>
        <v>11.16666667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219</v>
      </c>
      <c r="O53" s="37">
        <f t="shared" si="58"/>
        <v>14</v>
      </c>
      <c r="P53" s="49" t="s">
        <v>57</v>
      </c>
      <c r="Q53" s="49" t="s">
        <v>57</v>
      </c>
      <c r="R53" s="49" t="s">
        <v>57</v>
      </c>
      <c r="S53" s="51">
        <f t="shared" si="4"/>
        <v>12</v>
      </c>
      <c r="T53" s="52">
        <f t="shared" si="5"/>
        <v>1</v>
      </c>
      <c r="U53" s="52"/>
      <c r="V53" s="51">
        <f t="shared" si="6"/>
        <v>7</v>
      </c>
      <c r="W53" s="52">
        <f t="shared" si="7"/>
        <v>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110</v>
      </c>
      <c r="C54" s="37">
        <v>208.0</v>
      </c>
      <c r="D54" s="37">
        <v>16.0</v>
      </c>
      <c r="E54" s="40">
        <f t="shared" si="2"/>
        <v>10.86666667</v>
      </c>
      <c r="F54" s="90">
        <v>1.0</v>
      </c>
      <c r="G54" s="91">
        <v>8.0</v>
      </c>
      <c r="H54" s="92">
        <v>0.0</v>
      </c>
      <c r="I54" s="91">
        <v>5.0</v>
      </c>
      <c r="J54" s="91">
        <v>6.0</v>
      </c>
      <c r="K54" s="91">
        <v>6.0</v>
      </c>
      <c r="L54" s="93">
        <v>17.0</v>
      </c>
      <c r="M54" s="91">
        <v>2.0</v>
      </c>
      <c r="N54" s="37">
        <f t="shared" ref="N54:O54" si="59">C54+L54</f>
        <v>225</v>
      </c>
      <c r="O54" s="37">
        <f t="shared" si="59"/>
        <v>18</v>
      </c>
      <c r="P54" s="49" t="s">
        <v>57</v>
      </c>
      <c r="Q54" s="49" t="s">
        <v>57</v>
      </c>
      <c r="R54" s="49" t="s">
        <v>57</v>
      </c>
      <c r="S54" s="51">
        <f t="shared" si="4"/>
        <v>15</v>
      </c>
      <c r="T54" s="52">
        <f t="shared" si="5"/>
        <v>0</v>
      </c>
      <c r="U54" s="52"/>
      <c r="V54" s="51">
        <f t="shared" si="6"/>
        <v>5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152</v>
      </c>
      <c r="C55" s="37">
        <v>206.0</v>
      </c>
      <c r="D55" s="37">
        <v>18.0</v>
      </c>
      <c r="E55" s="40">
        <f t="shared" si="2"/>
        <v>11</v>
      </c>
      <c r="F55" s="90">
        <v>1.0</v>
      </c>
      <c r="G55" s="91">
        <v>8.0</v>
      </c>
      <c r="H55" s="92">
        <v>0.0</v>
      </c>
      <c r="I55" s="91">
        <v>7.0</v>
      </c>
      <c r="J55" s="91">
        <v>4.0</v>
      </c>
      <c r="K55" s="91">
        <v>6.0</v>
      </c>
      <c r="L55" s="93">
        <v>17.0</v>
      </c>
      <c r="M55" s="91">
        <v>2.0</v>
      </c>
      <c r="N55" s="37">
        <f t="shared" ref="N55:O55" si="60">C55+L55</f>
        <v>223</v>
      </c>
      <c r="O55" s="37">
        <f t="shared" si="60"/>
        <v>20</v>
      </c>
      <c r="P55" s="49" t="s">
        <v>57</v>
      </c>
      <c r="Q55" s="49" t="s">
        <v>57</v>
      </c>
      <c r="R55" s="49" t="s">
        <v>57</v>
      </c>
      <c r="S55" s="51">
        <f t="shared" si="4"/>
        <v>13</v>
      </c>
      <c r="T55" s="52">
        <f t="shared" si="5"/>
        <v>0</v>
      </c>
      <c r="U55" s="52"/>
      <c r="V55" s="51">
        <f t="shared" si="6"/>
        <v>7</v>
      </c>
      <c r="W55" s="52">
        <f t="shared" si="7"/>
        <v>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203.0</v>
      </c>
      <c r="D56" s="37">
        <v>13.0</v>
      </c>
      <c r="E56" s="40">
        <f t="shared" si="2"/>
        <v>10.15</v>
      </c>
      <c r="F56" s="90">
        <v>1.0</v>
      </c>
      <c r="G56" s="91">
        <v>8.0</v>
      </c>
      <c r="H56" s="92">
        <v>0.0</v>
      </c>
      <c r="I56" s="91">
        <v>5.0</v>
      </c>
      <c r="J56" s="91">
        <v>4.0</v>
      </c>
      <c r="K56" s="91">
        <v>3.0</v>
      </c>
      <c r="L56" s="93">
        <v>12.0</v>
      </c>
      <c r="M56" s="91">
        <v>0.0</v>
      </c>
      <c r="N56" s="37">
        <f t="shared" ref="N56:O56" si="61">C56+L56</f>
        <v>215</v>
      </c>
      <c r="O56" s="37">
        <f t="shared" si="61"/>
        <v>13</v>
      </c>
      <c r="P56" s="49" t="s">
        <v>57</v>
      </c>
      <c r="Q56" s="49" t="s">
        <v>57</v>
      </c>
      <c r="R56" s="49" t="s">
        <v>57</v>
      </c>
      <c r="S56" s="51">
        <f t="shared" si="4"/>
        <v>20</v>
      </c>
      <c r="T56" s="52">
        <f t="shared" si="5"/>
        <v>0</v>
      </c>
      <c r="U56" s="52"/>
      <c r="V56" s="51">
        <f t="shared" si="6"/>
        <v>0</v>
      </c>
      <c r="W56" s="52">
        <f t="shared" si="7"/>
        <v>-2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153</v>
      </c>
      <c r="C57" s="37">
        <v>203.0</v>
      </c>
      <c r="D57" s="37">
        <v>10.0</v>
      </c>
      <c r="E57" s="40">
        <f t="shared" si="2"/>
        <v>13.6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212</v>
      </c>
      <c r="O57" s="37">
        <f t="shared" si="62"/>
        <v>10</v>
      </c>
      <c r="P57" s="49" t="s">
        <v>57</v>
      </c>
      <c r="Q57" s="49" t="s">
        <v>57</v>
      </c>
      <c r="R57" s="49" t="s">
        <v>57</v>
      </c>
      <c r="S57" s="51">
        <f t="shared" si="4"/>
        <v>5</v>
      </c>
      <c r="T57" s="52">
        <f t="shared" si="5"/>
        <v>0</v>
      </c>
      <c r="U57" s="52"/>
      <c r="V57" s="51">
        <f t="shared" si="6"/>
        <v>15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140</v>
      </c>
      <c r="C58" s="37">
        <v>202.0</v>
      </c>
      <c r="D58" s="37">
        <v>13.0</v>
      </c>
      <c r="E58" s="40">
        <f t="shared" si="2"/>
        <v>10.57142857</v>
      </c>
      <c r="F58" s="90">
        <v>1.0</v>
      </c>
      <c r="G58" s="91">
        <v>8.0</v>
      </c>
      <c r="H58" s="92">
        <v>0.0</v>
      </c>
      <c r="I58" s="91">
        <v>7.0</v>
      </c>
      <c r="J58" s="91">
        <v>6.0</v>
      </c>
      <c r="K58" s="91">
        <v>3.0</v>
      </c>
      <c r="L58" s="93">
        <v>16.0</v>
      </c>
      <c r="M58" s="91">
        <v>2.0</v>
      </c>
      <c r="N58" s="37">
        <f t="shared" ref="N58:O58" si="63">C58+L58</f>
        <v>218</v>
      </c>
      <c r="O58" s="37">
        <f t="shared" si="63"/>
        <v>15</v>
      </c>
      <c r="P58" s="49" t="s">
        <v>57</v>
      </c>
      <c r="Q58" s="49" t="s">
        <v>57</v>
      </c>
      <c r="R58" s="49" t="s">
        <v>57</v>
      </c>
      <c r="S58" s="51">
        <f t="shared" si="4"/>
        <v>14</v>
      </c>
      <c r="T58" s="52">
        <f t="shared" si="5"/>
        <v>0</v>
      </c>
      <c r="U58" s="52"/>
      <c r="V58" s="51">
        <f t="shared" si="6"/>
        <v>6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76</v>
      </c>
      <c r="C59" s="37">
        <v>200.0</v>
      </c>
      <c r="D59" s="37">
        <v>8.0</v>
      </c>
      <c r="E59" s="40">
        <f t="shared" si="2"/>
        <v>11.66666667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209</v>
      </c>
      <c r="O59" s="37">
        <f t="shared" si="64"/>
        <v>8</v>
      </c>
      <c r="P59" s="49" t="s">
        <v>57</v>
      </c>
      <c r="Q59" s="49" t="s">
        <v>57</v>
      </c>
      <c r="R59" s="49" t="s">
        <v>57</v>
      </c>
      <c r="S59" s="51">
        <f t="shared" si="4"/>
        <v>6</v>
      </c>
      <c r="T59" s="52">
        <f t="shared" si="5"/>
        <v>1</v>
      </c>
      <c r="U59" s="52"/>
      <c r="V59" s="51">
        <f t="shared" si="6"/>
        <v>13</v>
      </c>
      <c r="W59" s="52">
        <f t="shared" si="7"/>
        <v>0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131</v>
      </c>
      <c r="C60" s="37">
        <v>191.0</v>
      </c>
      <c r="D60" s="37">
        <v>6.0</v>
      </c>
      <c r="E60" s="40">
        <f t="shared" si="2"/>
        <v>11.33333333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200</v>
      </c>
      <c r="O60" s="37">
        <f t="shared" si="65"/>
        <v>6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16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190.0</v>
      </c>
      <c r="D61" s="37">
        <v>7.0</v>
      </c>
      <c r="E61" s="40">
        <f t="shared" si="2"/>
        <v>10.5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199</v>
      </c>
      <c r="O61" s="37">
        <f t="shared" si="66"/>
        <v>7</v>
      </c>
      <c r="P61" s="49" t="s">
        <v>57</v>
      </c>
      <c r="Q61" s="49" t="s">
        <v>57</v>
      </c>
      <c r="R61" s="49" t="s">
        <v>57</v>
      </c>
      <c r="S61" s="51">
        <f t="shared" si="4"/>
        <v>4</v>
      </c>
      <c r="T61" s="52">
        <f t="shared" si="5"/>
        <v>1</v>
      </c>
      <c r="U61" s="52"/>
      <c r="V61" s="51">
        <f t="shared" si="6"/>
        <v>15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98</v>
      </c>
      <c r="C62" s="37">
        <v>189.0</v>
      </c>
      <c r="D62" s="37">
        <v>8.0</v>
      </c>
      <c r="E62" s="40">
        <f t="shared" si="2"/>
        <v>9.416666667</v>
      </c>
      <c r="F62" s="90">
        <v>1.0</v>
      </c>
      <c r="G62" s="91">
        <v>9.0</v>
      </c>
      <c r="H62" s="92">
        <v>0.0</v>
      </c>
      <c r="I62" s="91">
        <v>6.0</v>
      </c>
      <c r="J62" s="91">
        <v>1.0</v>
      </c>
      <c r="K62" s="91">
        <v>0.0</v>
      </c>
      <c r="L62" s="93">
        <v>7.0</v>
      </c>
      <c r="M62" s="91">
        <v>1.0</v>
      </c>
      <c r="N62" s="37">
        <f t="shared" ref="N62:O62" si="67">C62+L62</f>
        <v>196</v>
      </c>
      <c r="O62" s="37">
        <f t="shared" si="67"/>
        <v>9</v>
      </c>
      <c r="P62" s="49" t="s">
        <v>57</v>
      </c>
      <c r="Q62" s="49" t="s">
        <v>57</v>
      </c>
      <c r="R62" s="49" t="s">
        <v>57</v>
      </c>
      <c r="S62" s="51">
        <f t="shared" si="4"/>
        <v>12</v>
      </c>
      <c r="T62" s="52">
        <f t="shared" si="5"/>
        <v>1</v>
      </c>
      <c r="U62" s="52"/>
      <c r="V62" s="51">
        <f t="shared" si="6"/>
        <v>7</v>
      </c>
      <c r="W62" s="52">
        <f t="shared" si="7"/>
        <v>3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145</v>
      </c>
      <c r="C63" s="37">
        <v>188.0</v>
      </c>
      <c r="D63" s="37">
        <v>12.0</v>
      </c>
      <c r="E63" s="40">
        <f t="shared" si="2"/>
        <v>9.888888889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197</v>
      </c>
      <c r="O63" s="37">
        <f t="shared" si="68"/>
        <v>12</v>
      </c>
      <c r="P63" s="49" t="s">
        <v>57</v>
      </c>
      <c r="Q63" s="49" t="s">
        <v>57</v>
      </c>
      <c r="R63" s="49" t="s">
        <v>57</v>
      </c>
      <c r="S63" s="51">
        <f t="shared" si="4"/>
        <v>9</v>
      </c>
      <c r="T63" s="52">
        <f t="shared" si="5"/>
        <v>0</v>
      </c>
      <c r="U63" s="52"/>
      <c r="V63" s="51">
        <f t="shared" si="6"/>
        <v>11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100</v>
      </c>
      <c r="C64" s="37">
        <v>188.0</v>
      </c>
      <c r="D64" s="37">
        <v>6.0</v>
      </c>
      <c r="E64" s="40">
        <f t="shared" si="2"/>
        <v>11.66666667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197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0</v>
      </c>
      <c r="U64" s="52"/>
      <c r="V64" s="51">
        <f t="shared" si="6"/>
        <v>17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154</v>
      </c>
      <c r="C65" s="37">
        <v>186.0</v>
      </c>
      <c r="D65" s="37">
        <v>7.0</v>
      </c>
      <c r="E65" s="40">
        <f t="shared" si="2"/>
        <v>10.2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195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4"/>
        <v>5</v>
      </c>
      <c r="T65" s="52">
        <f t="shared" si="5"/>
        <v>0</v>
      </c>
      <c r="U65" s="52"/>
      <c r="V65" s="51">
        <f t="shared" si="6"/>
        <v>15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133</v>
      </c>
      <c r="C66" s="37">
        <v>184.0</v>
      </c>
      <c r="D66" s="37">
        <v>5.0</v>
      </c>
      <c r="E66" s="40">
        <f t="shared" si="2"/>
        <v>9.5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193</v>
      </c>
      <c r="O66" s="37">
        <f t="shared" si="71"/>
        <v>5</v>
      </c>
      <c r="P66" s="49" t="s">
        <v>57</v>
      </c>
      <c r="Q66" s="49" t="s">
        <v>57</v>
      </c>
      <c r="R66" s="49" t="s">
        <v>57</v>
      </c>
      <c r="S66" s="51">
        <f t="shared" si="4"/>
        <v>8</v>
      </c>
      <c r="T66" s="52">
        <f t="shared" si="5"/>
        <v>0</v>
      </c>
      <c r="U66" s="52"/>
      <c r="V66" s="51">
        <f t="shared" si="6"/>
        <v>12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148</v>
      </c>
      <c r="C67" s="37">
        <v>184.0</v>
      </c>
      <c r="D67" s="37">
        <v>3.0</v>
      </c>
      <c r="E67" s="40">
        <f t="shared" si="2"/>
        <v>9</v>
      </c>
      <c r="F67" s="90">
        <v>2.0</v>
      </c>
      <c r="G67" s="91">
        <v>9.0</v>
      </c>
      <c r="H67" s="92">
        <v>0.0</v>
      </c>
      <c r="I67" s="91">
        <v>4.0</v>
      </c>
      <c r="J67" s="91">
        <v>1.0</v>
      </c>
      <c r="K67" s="91">
        <v>6.0</v>
      </c>
      <c r="L67" s="93">
        <v>11.0</v>
      </c>
      <c r="M67" s="91">
        <v>1.0</v>
      </c>
      <c r="N67" s="37">
        <f t="shared" ref="N67:O67" si="72">C67+L67</f>
        <v>195</v>
      </c>
      <c r="O67" s="37">
        <f t="shared" si="72"/>
        <v>4</v>
      </c>
      <c r="P67" s="49" t="s">
        <v>57</v>
      </c>
      <c r="Q67" s="49" t="s">
        <v>57</v>
      </c>
      <c r="R67" s="49" t="s">
        <v>57</v>
      </c>
      <c r="S67" s="51">
        <f t="shared" si="4"/>
        <v>2</v>
      </c>
      <c r="T67" s="52">
        <f t="shared" si="5"/>
        <v>1</v>
      </c>
      <c r="U67" s="52"/>
      <c r="V67" s="51">
        <f t="shared" si="6"/>
        <v>17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136</v>
      </c>
      <c r="C68" s="37">
        <v>182.0</v>
      </c>
      <c r="D68" s="37">
        <v>5.0</v>
      </c>
      <c r="E68" s="40">
        <f t="shared" si="2"/>
        <v>9.333333333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191</v>
      </c>
      <c r="O68" s="37">
        <f t="shared" si="73"/>
        <v>5</v>
      </c>
      <c r="P68" s="49" t="s">
        <v>57</v>
      </c>
      <c r="Q68" s="49" t="s">
        <v>57</v>
      </c>
      <c r="R68" s="49" t="s">
        <v>57</v>
      </c>
      <c r="S68" s="51">
        <f t="shared" si="4"/>
        <v>6</v>
      </c>
      <c r="T68" s="52">
        <f t="shared" si="5"/>
        <v>0</v>
      </c>
      <c r="U68" s="52"/>
      <c r="V68" s="51">
        <f t="shared" si="6"/>
        <v>14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146</v>
      </c>
      <c r="C69" s="37">
        <v>182.0</v>
      </c>
      <c r="D69" s="37">
        <v>4.0</v>
      </c>
      <c r="E69" s="40">
        <f t="shared" si="2"/>
        <v>8.333333333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191</v>
      </c>
      <c r="O69" s="37">
        <f t="shared" si="74"/>
        <v>4</v>
      </c>
      <c r="P69" s="49" t="s">
        <v>57</v>
      </c>
      <c r="Q69" s="49" t="s">
        <v>57</v>
      </c>
      <c r="R69" s="49" t="s">
        <v>57</v>
      </c>
      <c r="S69" s="51">
        <f t="shared" si="4"/>
        <v>3</v>
      </c>
      <c r="T69" s="52">
        <f t="shared" si="5"/>
        <v>1</v>
      </c>
      <c r="U69" s="52"/>
      <c r="V69" s="51">
        <f t="shared" si="6"/>
        <v>16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125</v>
      </c>
      <c r="C70" s="37">
        <v>181.0</v>
      </c>
      <c r="D70" s="37">
        <v>3.0</v>
      </c>
      <c r="E70" s="40">
        <f t="shared" si="2"/>
        <v>10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190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19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78</v>
      </c>
      <c r="C71" s="37">
        <v>181.0</v>
      </c>
      <c r="D71" s="37">
        <v>2.0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190</v>
      </c>
      <c r="O71" s="37">
        <f t="shared" si="76"/>
        <v>2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1</v>
      </c>
      <c r="U71" s="52"/>
      <c r="V71" s="51">
        <f t="shared" si="6"/>
        <v>18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150</v>
      </c>
      <c r="C72" s="37">
        <v>180.0</v>
      </c>
      <c r="D72" s="37">
        <v>3.0</v>
      </c>
      <c r="E72" s="40">
        <f t="shared" si="2"/>
        <v>9</v>
      </c>
      <c r="F72" s="90">
        <v>1.0</v>
      </c>
      <c r="G72" s="91">
        <v>9.0</v>
      </c>
      <c r="H72" s="92">
        <v>0.0</v>
      </c>
      <c r="I72" s="91">
        <v>6.0</v>
      </c>
      <c r="J72" s="91">
        <v>6.0</v>
      </c>
      <c r="K72" s="91">
        <v>6.0</v>
      </c>
      <c r="L72" s="93">
        <v>18.0</v>
      </c>
      <c r="M72" s="91">
        <v>3.0</v>
      </c>
      <c r="N72" s="37">
        <f t="shared" ref="N72:O72" si="77">C72+L72</f>
        <v>198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2</v>
      </c>
      <c r="T72" s="52">
        <f t="shared" si="5"/>
        <v>0</v>
      </c>
      <c r="U72" s="52"/>
      <c r="V72" s="51">
        <f t="shared" si="6"/>
        <v>18</v>
      </c>
      <c r="W72" s="52">
        <f t="shared" si="7"/>
        <v>7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149</v>
      </c>
      <c r="C73" s="37">
        <v>179.0</v>
      </c>
      <c r="D73" s="37">
        <v>7.0</v>
      </c>
      <c r="E73" s="40">
        <f t="shared" si="2"/>
        <v>8.833333333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188</v>
      </c>
      <c r="O73" s="37">
        <f t="shared" si="78"/>
        <v>7</v>
      </c>
      <c r="P73" s="49" t="s">
        <v>57</v>
      </c>
      <c r="Q73" s="49" t="s">
        <v>57</v>
      </c>
      <c r="R73" s="49" t="s">
        <v>57</v>
      </c>
      <c r="S73" s="51">
        <f t="shared" si="4"/>
        <v>6</v>
      </c>
      <c r="T73" s="52">
        <f t="shared" si="5"/>
        <v>0</v>
      </c>
      <c r="U73" s="52"/>
      <c r="V73" s="51">
        <f t="shared" si="6"/>
        <v>14</v>
      </c>
      <c r="W73" s="52">
        <f t="shared" si="7"/>
        <v>-1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144</v>
      </c>
      <c r="C74" s="37">
        <v>178.0</v>
      </c>
      <c r="D74" s="37">
        <v>8.0</v>
      </c>
      <c r="E74" s="40">
        <f t="shared" si="2"/>
        <v>8.818181818</v>
      </c>
      <c r="F74" s="90">
        <v>2.0</v>
      </c>
      <c r="G74" s="91">
        <v>9.0</v>
      </c>
      <c r="H74" s="92">
        <v>0.0</v>
      </c>
      <c r="I74" s="91">
        <v>4.0</v>
      </c>
      <c r="J74" s="91">
        <v>6.0</v>
      </c>
      <c r="K74" s="91">
        <v>0.0</v>
      </c>
      <c r="L74" s="93">
        <v>10.0</v>
      </c>
      <c r="M74" s="91">
        <v>1.0</v>
      </c>
      <c r="N74" s="37">
        <f t="shared" ref="N74:O74" si="79">C74+L74</f>
        <v>188</v>
      </c>
      <c r="O74" s="37">
        <f t="shared" si="79"/>
        <v>9</v>
      </c>
      <c r="P74" s="49" t="s">
        <v>57</v>
      </c>
      <c r="Q74" s="49" t="s">
        <v>57</v>
      </c>
      <c r="R74" s="49" t="s">
        <v>57</v>
      </c>
      <c r="S74" s="51">
        <f t="shared" si="4"/>
        <v>11</v>
      </c>
      <c r="T74" s="52">
        <f t="shared" si="5"/>
        <v>0</v>
      </c>
      <c r="U74" s="52"/>
      <c r="V74" s="51">
        <f t="shared" si="6"/>
        <v>9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106</v>
      </c>
      <c r="C75" s="37">
        <v>177.0</v>
      </c>
      <c r="D75" s="37">
        <v>1.0</v>
      </c>
      <c r="E75" s="40">
        <f t="shared" si="2"/>
        <v>6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186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19</v>
      </c>
      <c r="W75" s="52">
        <f t="shared" si="7"/>
        <v>-2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124</v>
      </c>
      <c r="C76" s="37">
        <v>173.0</v>
      </c>
      <c r="D76" s="37">
        <v>1.0</v>
      </c>
      <c r="E76" s="40">
        <f t="shared" si="2"/>
        <v>2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182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19</v>
      </c>
      <c r="W76" s="52">
        <f t="shared" si="7"/>
        <v>-1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171.0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180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1</v>
      </c>
      <c r="T77" s="52">
        <f t="shared" si="5"/>
        <v>0</v>
      </c>
      <c r="U77" s="52"/>
      <c r="V77" s="51">
        <f t="shared" si="6"/>
        <v>19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141</v>
      </c>
      <c r="C78" s="37">
        <v>171.0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180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20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105</v>
      </c>
      <c r="C79" s="37">
        <v>171.0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180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0</v>
      </c>
      <c r="T79" s="52">
        <f t="shared" si="5"/>
        <v>0</v>
      </c>
      <c r="U79" s="52"/>
      <c r="V79" s="51">
        <f t="shared" si="6"/>
        <v>20</v>
      </c>
      <c r="W79" s="52">
        <f t="shared" si="7"/>
        <v>-1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05/16/26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desc"",0)"),"Erik Hoeckmann")</f>
        <v>Erik Hoeckmann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IFERROR(__xludf.DUMMYFUNCTION("""COMPUTED_VALUE"""),"Darren Wong")</f>
        <v>Darren Wong</v>
      </c>
      <c r="C92" s="122">
        <f>IFERROR(__xludf.DUMMYFUNCTION("""COMPUTED_VALUE"""),18.0)</f>
        <v>18</v>
      </c>
      <c r="D92" s="122">
        <f>IFERROR(__xludf.DUMMYFUNCTION("""COMPUTED_VALUE"""),3.0)</f>
        <v>3</v>
      </c>
      <c r="E92" s="122">
        <f>IFERROR(__xludf.DUMMYFUNCTION("""COMPUTED_VALUE"""),4.0)</f>
        <v>4</v>
      </c>
      <c r="F92" s="5"/>
    </row>
    <row r="93">
      <c r="A93" s="5"/>
      <c r="B93" s="36" t="str">
        <f>IFERROR(__xludf.DUMMYFUNCTION("""COMPUTED_VALUE"""),"Tom Le")</f>
        <v>Tom Le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IFERROR(__xludf.DUMMYFUNCTION("""COMPUTED_VALUE"""),5.0)</f>
        <v>5</v>
      </c>
      <c r="F93" s="5"/>
    </row>
    <row r="94">
      <c r="A94" s="5"/>
      <c r="B94" s="36" t="str">
        <f>IFERROR(__xludf.DUMMYFUNCTION("""COMPUTED_VALUE"""),"Susanta Mishra")</f>
        <v>Susanta Mishra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IFERROR(__xludf.DUMMYFUNCTION("""COMPUTED_VALUE"""),10.0)</f>
        <v>10</v>
      </c>
      <c r="F94" s="5"/>
    </row>
    <row r="95">
      <c r="A95" s="5"/>
      <c r="B95" s="36" t="str">
        <f>IFERROR(__xludf.DUMMYFUNCTION("""COMPUTED_VALUE"""),"Oscar Bonilla")</f>
        <v>Oscar Bonilla</v>
      </c>
      <c r="C95" s="122">
        <f>IFERROR(__xludf.DUMMYFUNCTION("""COMPUTED_VALUE"""),18.0)</f>
        <v>18</v>
      </c>
      <c r="D95" s="122">
        <f>IFERROR(__xludf.DUMMYFUNCTION("""COMPUTED_VALUE"""),2.0)</f>
        <v>2</v>
      </c>
      <c r="E95" s="122">
        <f>IFERROR(__xludf.DUMMYFUNCTION("""COMPUTED_VALUE"""),6.0)</f>
        <v>6</v>
      </c>
      <c r="F95" s="5"/>
    </row>
    <row r="96">
      <c r="A96" s="5"/>
      <c r="B96" s="36" t="str">
        <f>IFERROR(__xludf.DUMMYFUNCTION("""COMPUTED_VALUE"""),"Jimmy Awolesi")</f>
        <v>Jimmy Awolesi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IFERROR(__xludf.DUMMYFUNCTION("""COMPUTED_VALUE"""),8.0)</f>
        <v>8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B102" s="123"/>
      <c r="C102" s="124"/>
      <c r="D102" s="124"/>
      <c r="E102" s="124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10"")"),"Tom Le")</f>
        <v>Tom Le</v>
      </c>
      <c r="C110" s="122">
        <f>IFERROR(__xludf.DUMMYFUNCTION("""COMPUTED_VALUE"""),9.0)</f>
        <v>9</v>
      </c>
      <c r="D110" s="122">
        <f t="shared" ref="D110:D119" si="85">VLOOKUP(B110,indirect($AC$2&amp;"!B$5:X$79"),23, false)</f>
        <v>26</v>
      </c>
      <c r="E110" s="122">
        <f t="shared" ref="E110:E119" si="86">VLOOKUP(B110,B$5:X$79,23, false)</f>
        <v>17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5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IFERROR(__xludf.DUMMYFUNCTION("""COMPUTED_VALUE"""),"Darren Wong")</f>
        <v>Darren Wong</v>
      </c>
      <c r="C111" s="122">
        <f>IFERROR(__xludf.DUMMYFUNCTION("""COMPUTED_VALUE"""),8.0)</f>
        <v>8</v>
      </c>
      <c r="D111" s="122">
        <f t="shared" si="85"/>
        <v>22</v>
      </c>
      <c r="E111" s="122">
        <f t="shared" si="86"/>
        <v>14</v>
      </c>
      <c r="F111" s="122">
        <f t="shared" si="87"/>
        <v>18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IFERROR(__xludf.DUMMYFUNCTION("""COMPUTED_VALUE"""),"Jimmy Awolesi")</f>
        <v>Jimmy Awolesi</v>
      </c>
      <c r="C112" s="122">
        <f>IFERROR(__xludf.DUMMYFUNCTION("""COMPUTED_VALUE"""),8.0)</f>
        <v>8</v>
      </c>
      <c r="D112" s="122">
        <f t="shared" si="85"/>
        <v>46</v>
      </c>
      <c r="E112" s="122">
        <f t="shared" si="86"/>
        <v>38</v>
      </c>
      <c r="F112" s="122">
        <f t="shared" si="87"/>
        <v>18</v>
      </c>
      <c r="G112" s="122">
        <f t="shared" si="88"/>
        <v>8</v>
      </c>
      <c r="L112" s="122" t="str">
        <f t="shared" si="89"/>
        <v>ok</v>
      </c>
    </row>
    <row r="113">
      <c r="A113" s="5"/>
      <c r="B113" s="36" t="str">
        <f>IFERROR(__xludf.DUMMYFUNCTION("""COMPUTED_VALUE"""),"Susanta Mishra")</f>
        <v>Susanta Mishra</v>
      </c>
      <c r="C113" s="122">
        <f>IFERROR(__xludf.DUMMYFUNCTION("""COMPUTED_VALUE"""),7.0)</f>
        <v>7</v>
      </c>
      <c r="D113" s="122">
        <f t="shared" si="85"/>
        <v>75</v>
      </c>
      <c r="E113" s="122">
        <f t="shared" si="86"/>
        <v>68</v>
      </c>
      <c r="F113" s="122">
        <f t="shared" si="87"/>
        <v>18</v>
      </c>
      <c r="G113" s="122">
        <f t="shared" si="88"/>
        <v>10</v>
      </c>
      <c r="L113" s="122" t="str">
        <f t="shared" si="89"/>
        <v>ok</v>
      </c>
    </row>
    <row r="114">
      <c r="A114" s="5"/>
      <c r="B114" s="36" t="str">
        <f>IFERROR(__xludf.DUMMYFUNCTION("""COMPUTED_VALUE"""),"Oscar Bonilla")</f>
        <v>Oscar Bonilla</v>
      </c>
      <c r="C114" s="122">
        <f>IFERROR(__xludf.DUMMYFUNCTION("""COMPUTED_VALUE"""),6.0)</f>
        <v>6</v>
      </c>
      <c r="D114" s="122">
        <f t="shared" si="85"/>
        <v>27</v>
      </c>
      <c r="E114" s="122">
        <f t="shared" si="86"/>
        <v>21</v>
      </c>
      <c r="F114" s="122">
        <f t="shared" si="87"/>
        <v>18</v>
      </c>
      <c r="G114" s="122">
        <f t="shared" si="88"/>
        <v>6</v>
      </c>
      <c r="L114" s="122" t="str">
        <f t="shared" si="89"/>
        <v>ok</v>
      </c>
    </row>
    <row r="115">
      <c r="A115" s="5"/>
      <c r="B115" s="36" t="str">
        <f>IFERROR(__xludf.DUMMYFUNCTION("""COMPUTED_VALUE"""),"Alejandro Mejia")</f>
        <v>Alejandro Mejia</v>
      </c>
      <c r="C115" s="122">
        <f>IFERROR(__xludf.DUMMYFUNCTION("""COMPUTED_VALUE"""),6.0)</f>
        <v>6</v>
      </c>
      <c r="D115" s="122">
        <f t="shared" si="85"/>
        <v>47</v>
      </c>
      <c r="E115" s="122">
        <f t="shared" si="86"/>
        <v>41</v>
      </c>
      <c r="F115" s="122">
        <f t="shared" si="87"/>
        <v>17</v>
      </c>
      <c r="G115" s="122">
        <f t="shared" si="88"/>
        <v>8</v>
      </c>
      <c r="L115" s="122" t="str">
        <f t="shared" si="89"/>
        <v>ok</v>
      </c>
    </row>
    <row r="116">
      <c r="A116" s="5"/>
      <c r="B116" s="36" t="str">
        <f>IFERROR(__xludf.DUMMYFUNCTION("""COMPUTED_VALUE"""),"Alex Hou")</f>
        <v>Alex Hou</v>
      </c>
      <c r="C116" s="122">
        <f>IFERROR(__xludf.DUMMYFUNCTION("""COMPUTED_VALUE"""),5.0)</f>
        <v>5</v>
      </c>
      <c r="D116" s="122">
        <f t="shared" si="85"/>
        <v>31</v>
      </c>
      <c r="E116" s="122">
        <f t="shared" si="86"/>
        <v>26</v>
      </c>
      <c r="F116" s="122">
        <f t="shared" si="87"/>
        <v>17</v>
      </c>
      <c r="G116" s="122">
        <f t="shared" si="88"/>
        <v>6</v>
      </c>
      <c r="L116" s="122" t="str">
        <f t="shared" si="89"/>
        <v>ok</v>
      </c>
    </row>
    <row r="117">
      <c r="A117" s="5"/>
      <c r="B117" s="36" t="str">
        <f>IFERROR(__xludf.DUMMYFUNCTION("""COMPUTED_VALUE"""),"Sean Chang")</f>
        <v>Sean Chang</v>
      </c>
      <c r="C117" s="122">
        <f>IFERROR(__xludf.DUMMYFUNCTION("""COMPUTED_VALUE"""),5.0)</f>
        <v>5</v>
      </c>
      <c r="D117" s="122">
        <f t="shared" si="85"/>
        <v>36</v>
      </c>
      <c r="E117" s="122">
        <f t="shared" si="86"/>
        <v>31</v>
      </c>
      <c r="F117" s="122">
        <f t="shared" si="87"/>
        <v>15</v>
      </c>
      <c r="G117" s="122">
        <f t="shared" si="88"/>
        <v>7</v>
      </c>
      <c r="L117" s="122" t="str">
        <f t="shared" si="89"/>
        <v>ok</v>
      </c>
    </row>
    <row r="118">
      <c r="A118" s="5"/>
      <c r="B118" s="36" t="str">
        <f>IFERROR(__xludf.DUMMYFUNCTION("""COMPUTED_VALUE"""),"Erik Hoeckmann")</f>
        <v>Erik Hoeckmann</v>
      </c>
      <c r="C118" s="122">
        <f>IFERROR(__xludf.DUMMYFUNCTION("""COMPUTED_VALUE"""),3.0)</f>
        <v>3</v>
      </c>
      <c r="D118" s="122">
        <f t="shared" si="85"/>
        <v>10</v>
      </c>
      <c r="E118" s="122">
        <f t="shared" si="86"/>
        <v>7</v>
      </c>
      <c r="F118" s="122">
        <f t="shared" si="87"/>
        <v>19</v>
      </c>
      <c r="G118" s="122">
        <f t="shared" si="88"/>
        <v>2</v>
      </c>
      <c r="L118" s="122" t="str">
        <f t="shared" si="89"/>
        <v>ok</v>
      </c>
    </row>
    <row r="119">
      <c r="A119" s="5"/>
      <c r="B119" s="36" t="str">
        <f>IFERROR(__xludf.DUMMYFUNCTION("""COMPUTED_VALUE"""),"Matthew Huang")</f>
        <v>Matthew Huang</v>
      </c>
      <c r="C119" s="122">
        <f>IFERROR(__xludf.DUMMYFUNCTION("""COMPUTED_VALUE"""),3.0)</f>
        <v>3</v>
      </c>
      <c r="D119" s="122">
        <f t="shared" si="85"/>
        <v>18</v>
      </c>
      <c r="E119" s="122">
        <f t="shared" si="86"/>
        <v>15</v>
      </c>
      <c r="F119" s="122">
        <f t="shared" si="87"/>
        <v>14</v>
      </c>
      <c r="G119" s="122">
        <f t="shared" si="88"/>
        <v>3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20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Pulkit Mathur</v>
      </c>
      <c r="C128" s="122">
        <f t="shared" si="90"/>
        <v>292</v>
      </c>
      <c r="D128" s="122">
        <f t="shared" si="90"/>
        <v>35</v>
      </c>
      <c r="E128" s="122">
        <f t="shared" si="90"/>
        <v>15.58823529</v>
      </c>
      <c r="F128" s="5"/>
    </row>
    <row r="129">
      <c r="A129" s="122">
        <f t="shared" ref="A129:E129" si="91">A6</f>
        <v>2</v>
      </c>
      <c r="B129" s="36" t="str">
        <f t="shared" si="91"/>
        <v>Andrew Yao</v>
      </c>
      <c r="C129" s="122">
        <f t="shared" si="91"/>
        <v>291</v>
      </c>
      <c r="D129" s="122">
        <f t="shared" si="91"/>
        <v>38</v>
      </c>
      <c r="E129" s="122">
        <f t="shared" si="91"/>
        <v>15.16666667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268</v>
      </c>
      <c r="D130" s="122">
        <f t="shared" si="92"/>
        <v>26</v>
      </c>
      <c r="E130" s="122">
        <f t="shared" si="92"/>
        <v>13.42105263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265</v>
      </c>
      <c r="D131" s="122">
        <f t="shared" si="93"/>
        <v>26</v>
      </c>
      <c r="E131" s="122">
        <f t="shared" si="93"/>
        <v>14</v>
      </c>
      <c r="F131" s="5"/>
    </row>
    <row r="132">
      <c r="A132" s="122">
        <f t="shared" ref="A132:E132" si="94">A9</f>
        <v>5</v>
      </c>
      <c r="B132" s="36" t="str">
        <f t="shared" si="94"/>
        <v>Manish Anand</v>
      </c>
      <c r="C132" s="122">
        <f t="shared" si="94"/>
        <v>258</v>
      </c>
      <c r="D132" s="122">
        <f t="shared" si="94"/>
        <v>27</v>
      </c>
      <c r="E132" s="122">
        <f t="shared" si="94"/>
        <v>13.875</v>
      </c>
      <c r="F132" s="5"/>
    </row>
    <row r="133">
      <c r="A133" s="122">
        <f t="shared" ref="A133:E133" si="95">A10</f>
        <v>6</v>
      </c>
      <c r="B133" s="36" t="str">
        <f t="shared" si="95"/>
        <v>David Shin</v>
      </c>
      <c r="C133" s="122">
        <f t="shared" si="95"/>
        <v>254</v>
      </c>
      <c r="D133" s="122">
        <f t="shared" si="95"/>
        <v>26</v>
      </c>
      <c r="E133" s="122">
        <f t="shared" si="95"/>
        <v>13.11111111</v>
      </c>
      <c r="F133" s="5"/>
    </row>
    <row r="134">
      <c r="A134" s="122">
        <f t="shared" ref="A134:E134" si="96">A11</f>
        <v>7</v>
      </c>
      <c r="B134" s="36" t="str">
        <f t="shared" si="96"/>
        <v>Erik Hoeckmann</v>
      </c>
      <c r="C134" s="122">
        <f t="shared" si="96"/>
        <v>254</v>
      </c>
      <c r="D134" s="122">
        <f t="shared" si="96"/>
        <v>24</v>
      </c>
      <c r="E134" s="122">
        <f t="shared" si="96"/>
        <v>13.375</v>
      </c>
      <c r="F134" s="5"/>
    </row>
    <row r="135">
      <c r="A135" s="122">
        <f t="shared" ref="A135:E135" si="97">A12</f>
        <v>8</v>
      </c>
      <c r="B135" s="36" t="str">
        <f t="shared" si="97"/>
        <v>Pavan Akkimsetty</v>
      </c>
      <c r="C135" s="122">
        <f t="shared" si="97"/>
        <v>251</v>
      </c>
      <c r="D135" s="122">
        <f t="shared" si="97"/>
        <v>22</v>
      </c>
      <c r="E135" s="122">
        <f t="shared" si="97"/>
        <v>13.78571429</v>
      </c>
      <c r="F135" s="5"/>
    </row>
    <row r="136">
      <c r="A136" s="122">
        <f t="shared" ref="A136:E136" si="98">A13</f>
        <v>9</v>
      </c>
      <c r="B136" s="36" t="str">
        <f t="shared" si="98"/>
        <v>Ethan Gu</v>
      </c>
      <c r="C136" s="122">
        <f t="shared" si="98"/>
        <v>251</v>
      </c>
      <c r="D136" s="122">
        <f t="shared" si="98"/>
        <v>19</v>
      </c>
      <c r="E136" s="122">
        <f t="shared" si="98"/>
        <v>13.73333333</v>
      </c>
      <c r="F136" s="5"/>
    </row>
    <row r="137">
      <c r="A137" s="122">
        <f t="shared" ref="A137:E137" si="99">A14</f>
        <v>10</v>
      </c>
      <c r="B137" s="36" t="str">
        <f t="shared" si="99"/>
        <v>Rudy Tatang</v>
      </c>
      <c r="C137" s="122">
        <f t="shared" si="99"/>
        <v>250</v>
      </c>
      <c r="D137" s="122">
        <f t="shared" si="99"/>
        <v>23</v>
      </c>
      <c r="E137" s="122">
        <f t="shared" si="99"/>
        <v>14.83333333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192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IFERROR(__xludf.DUMMYFUNCTION("""COMPUTED_VALUE"""),"Wayne Liu")</f>
        <v>Wayne Liu</v>
      </c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  <c r="P165" s="36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05/16/26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IFERROR(__xludf.DUMMYFUNCTION("""COMPUTED_VALUE"""),1.0)</f>
        <v>1</v>
      </c>
      <c r="E250" s="132">
        <f>IFERROR(__xludf.DUMMYFUNCTION("""COMPUTED_VALUE"""),6.0)</f>
        <v>6</v>
      </c>
      <c r="F250" s="132">
        <f>IFERROR(__xludf.DUMMYFUNCTION("""COMPUTED_VALUE"""),13.0)</f>
        <v>13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IFERROR(__xludf.DUMMYFUNCTION("""COMPUTED_VALUE"""),6.0)</f>
        <v>6</v>
      </c>
      <c r="D251" s="132">
        <f>IFERROR(__xludf.DUMMYFUNCTION("""COMPUTED_VALUE"""),6.0)</f>
        <v>6</v>
      </c>
      <c r="E251" s="132">
        <f>IFERROR(__xludf.DUMMYFUNCTION("""COMPUTED_VALUE"""),3.0)</f>
        <v>3</v>
      </c>
      <c r="F251" s="132">
        <f>IFERROR(__xludf.DUMMYFUNCTION("""COMPUTED_VALUE"""),15.0)</f>
        <v>15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IFERROR(__xludf.DUMMYFUNCTION("""COMPUTED_VALUE"""),"Sandeep Kamalon")</f>
        <v>Sandeep Kamalon</v>
      </c>
      <c r="C252" s="132">
        <f>IFERROR(__xludf.DUMMYFUNCTION("""COMPUTED_VALUE"""),2.0)</f>
        <v>2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IFERROR(__xludf.DUMMYFUNCTION("""COMPUTED_VALUE"""),14.0)</f>
        <v>14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IFERROR(__xludf.DUMMYFUNCTION("""COMPUTED_VALUE"""),"Ethan Gu")</f>
        <v>Ethan Gu</v>
      </c>
      <c r="C253" s="132">
        <f>IFERROR(__xludf.DUMMYFUNCTION("""COMPUTED_VALUE"""),2.0)</f>
        <v>2</v>
      </c>
      <c r="D253" s="132">
        <f>IFERROR(__xludf.DUMMYFUNCTION("""COMPUTED_VALUE"""),1.0)</f>
        <v>1</v>
      </c>
      <c r="E253" s="132">
        <f>IFERROR(__xludf.DUMMYFUNCTION("""COMPUTED_VALUE"""),3.0)</f>
        <v>3</v>
      </c>
      <c r="F253" s="132">
        <f>IFERROR(__xludf.DUMMYFUNCTION("""COMPUTED_VALUE"""),6.0)</f>
        <v>6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IFERROR(__xludf.DUMMYFUNCTION("""COMPUTED_VALUE"""),"Manish Anand")</f>
        <v>Manish Anand</v>
      </c>
      <c r="C254" s="135">
        <f>IFERROR(__xludf.DUMMYFUNCTION("""COMPUTED_VALUE"""),6.0)</f>
        <v>6</v>
      </c>
      <c r="D254" s="135">
        <f>IFERROR(__xludf.DUMMYFUNCTION("""COMPUTED_VALUE"""),2.0)</f>
        <v>2</v>
      </c>
      <c r="E254" s="135">
        <f>IFERROR(__xludf.DUMMYFUNCTION("""COMPUTED_VALUE"""),6.0)</f>
        <v>6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IFERROR(__xludf.DUMMYFUNCTION("""COMPUTED_VALUE"""),"David Shin")</f>
        <v>David Shin</v>
      </c>
      <c r="C255" s="135">
        <f>IFERROR(__xludf.DUMMYFUNCTION("""COMPUTED_VALUE"""),7.0)</f>
        <v>7</v>
      </c>
      <c r="D255" s="135">
        <f>IFERROR(__xludf.DUMMYFUNCTION("""COMPUTED_VALUE"""),2.0)</f>
        <v>2</v>
      </c>
      <c r="E255" s="135">
        <f>IFERROR(__xludf.DUMMYFUNCTION("""COMPUTED_VALUE"""),4.0)</f>
        <v>4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IFERROR(__xludf.DUMMYFUNCTION("""COMPUTED_VALUE"""),"Erik Hoeckmann")</f>
        <v>Erik Hoeckmann</v>
      </c>
      <c r="C256" s="135">
        <f>IFERROR(__xludf.DUMMYFUNCTION("""COMPUTED_VALUE"""),7.0)</f>
        <v>7</v>
      </c>
      <c r="D256" s="135">
        <f>IFERROR(__xludf.DUMMYFUNCTION("""COMPUTED_VALUE"""),6.0)</f>
        <v>6</v>
      </c>
      <c r="E256" s="135">
        <f>IFERROR(__xludf.DUMMYFUNCTION("""COMPUTED_VALUE"""),6.0)</f>
        <v>6</v>
      </c>
      <c r="F256" s="135">
        <f>IFERROR(__xludf.DUMMYFUNCTION("""COMPUTED_VALUE"""),19.0)</f>
        <v>19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IFERROR(__xludf.DUMMYFUNCTION("""COMPUTED_VALUE"""),"Herman Au")</f>
        <v>Herman Au</v>
      </c>
      <c r="C257" s="135">
        <f>IFERROR(__xludf.DUMMYFUNCTION("""COMPUTED_VALUE"""),6.0)</f>
        <v>6</v>
      </c>
      <c r="D257" s="135">
        <f>IFERROR(__xludf.DUMMYFUNCTION("""COMPUTED_VALUE"""),6.0)</f>
        <v>6</v>
      </c>
      <c r="E257" s="135">
        <f>IFERROR(__xludf.DUMMYFUNCTION("""COMPUTED_VALUE"""),4.0)</f>
        <v>4</v>
      </c>
      <c r="F257" s="135">
        <f>IFERROR(__xludf.DUMMYFUNCTION("""COMPUTED_VALUE"""),16.0)</f>
        <v>16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IFERROR(__xludf.DUMMYFUNCTION("""COMPUTED_VALUE"""),"Luis Hsu")</f>
        <v>Luis Hsu</v>
      </c>
      <c r="C258" s="132">
        <f>IFERROR(__xludf.DUMMYFUNCTION("""COMPUTED_VALUE"""),1.0)</f>
        <v>1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IFERROR(__xludf.DUMMYFUNCTION("""COMPUTED_VALUE"""),13.0)</f>
        <v>13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IFERROR(__xludf.DUMMYFUNCTION("""COMPUTED_VALUE"""),"Scott Li")</f>
        <v>Scott Li</v>
      </c>
      <c r="C259" s="132">
        <f>IFERROR(__xludf.DUMMYFUNCTION("""COMPUTED_VALUE"""),6.0)</f>
        <v>6</v>
      </c>
      <c r="D259" s="132">
        <f>IFERROR(__xludf.DUMMYFUNCTION("""COMPUTED_VALUE"""),2.0)</f>
        <v>2</v>
      </c>
      <c r="E259" s="132">
        <f>IFERROR(__xludf.DUMMYFUNCTION("""COMPUTED_VALUE"""),6.0)</f>
        <v>6</v>
      </c>
      <c r="F259" s="132">
        <f>IFERROR(__xludf.DUMMYFUNCTION("""COMPUTED_VALUE"""),14.0)</f>
        <v>14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IFERROR(__xludf.DUMMYFUNCTION("""COMPUTED_VALUE"""),"Frank Moon")</f>
        <v>Frank Moon</v>
      </c>
      <c r="C260" s="132">
        <f>IFERROR(__xludf.DUMMYFUNCTION("""COMPUTED_VALUE"""),1.0)</f>
        <v>1</v>
      </c>
      <c r="D260" s="132">
        <f>IFERROR(__xludf.DUMMYFUNCTION("""COMPUTED_VALUE"""),2.0)</f>
        <v>2</v>
      </c>
      <c r="E260" s="132">
        <f>IFERROR(__xludf.DUMMYFUNCTION("""COMPUTED_VALUE"""),2.0)</f>
        <v>2</v>
      </c>
      <c r="F260" s="132">
        <f>IFERROR(__xludf.DUMMYFUNCTION("""COMPUTED_VALUE"""),5.0)</f>
        <v>5</v>
      </c>
      <c r="G260" s="132">
        <f>IFERROR(__xludf.DUMMYFUNCTION("""COMPUTED_VALUE"""),0.0)</f>
        <v>0</v>
      </c>
    </row>
    <row r="261">
      <c r="A261" s="122">
        <f>IFERROR(__xludf.DUMMYFUNCTION("""COMPUTED_VALUE"""),3.0)</f>
        <v>3</v>
      </c>
      <c r="B261" s="36" t="str">
        <f>IFERROR(__xludf.DUMMYFUNCTION("""COMPUTED_VALUE"""),"Matthew Huang")</f>
        <v>Matthew Huang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IFERROR(__xludf.DUMMYFUNCTION("""COMPUTED_VALUE"""),2.0)</f>
        <v>2</v>
      </c>
      <c r="F261" s="132">
        <f>IFERROR(__xludf.DUMMYFUNCTION("""COMPUTED_VALUE"""),14.0)</f>
        <v>14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IFERROR(__xludf.DUMMYFUNCTION("""COMPUTED_VALUE"""),"Vinotkumar Nagappan")</f>
        <v>Vinotkumar Nagappan</v>
      </c>
      <c r="C262" s="135">
        <f>IFERROR(__xludf.DUMMYFUNCTION("""COMPUTED_VALUE"""),1.0)</f>
        <v>1</v>
      </c>
      <c r="D262" s="135">
        <f>IFERROR(__xludf.DUMMYFUNCTION("""COMPUTED_VALUE"""),2.0)</f>
        <v>2</v>
      </c>
      <c r="E262" s="135">
        <f>IFERROR(__xludf.DUMMYFUNCTION("""COMPUTED_VALUE"""),6.0)</f>
        <v>6</v>
      </c>
      <c r="F262" s="135">
        <f>IFERROR(__xludf.DUMMYFUNCTION("""COMPUTED_VALUE"""),9.0)</f>
        <v>9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IFERROR(__xludf.DUMMYFUNCTION("""COMPUTED_VALUE"""),"Lloyd Sagar")</f>
        <v>Lloyd Sagar</v>
      </c>
      <c r="C263" s="135">
        <f>IFERROR(__xludf.DUMMYFUNCTION("""COMPUTED_VALUE"""),1.0)</f>
        <v>1</v>
      </c>
      <c r="D263" s="135">
        <f>IFERROR(__xludf.DUMMYFUNCTION("""COMPUTED_VALUE"""),6.0)</f>
        <v>6</v>
      </c>
      <c r="E263" s="135">
        <f>IFERROR(__xludf.DUMMYFUNCTION("""COMPUTED_VALUE"""),2.0)</f>
        <v>2</v>
      </c>
      <c r="F263" s="135">
        <f>IFERROR(__xludf.DUMMYFUNCTION("""COMPUTED_VALUE"""),9.0)</f>
        <v>9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IFERROR(__xludf.DUMMYFUNCTION("""COMPUTED_VALUE"""),"Ted Shen")</f>
        <v>Ted Shen</v>
      </c>
      <c r="C264" s="135">
        <f>IFERROR(__xludf.DUMMYFUNCTION("""COMPUTED_VALUE"""),6.0)</f>
        <v>6</v>
      </c>
      <c r="D264" s="135">
        <f>IFERROR(__xludf.DUMMYFUNCTION("""COMPUTED_VALUE"""),2.0)</f>
        <v>2</v>
      </c>
      <c r="E264" s="135">
        <f>IFERROR(__xludf.DUMMYFUNCTION("""COMPUTED_VALUE"""),2.0)</f>
        <v>2</v>
      </c>
      <c r="F264" s="135">
        <f>IFERROR(__xludf.DUMMYFUNCTION("""COMPUTED_VALUE"""),10.0)</f>
        <v>10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IFERROR(__xludf.DUMMYFUNCTION("""COMPUTED_VALUE"""),"Darren Wong")</f>
        <v>Darren Wong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IFERROR(__xludf.DUMMYFUNCTION("""COMPUTED_VALUE"""),6.0)</f>
        <v>6</v>
      </c>
      <c r="F265" s="135">
        <f>IFERROR(__xludf.DUMMYFUNCTION("""COMPUTED_VALUE"""),18.0)</f>
        <v>18</v>
      </c>
      <c r="G265" s="135">
        <f>IFERROR(__xludf.DUMMYFUNCTION("""COMPUTED_VALUE"""),3.0)</f>
        <v>3</v>
      </c>
    </row>
    <row r="266">
      <c r="A266" s="122">
        <f>IFERROR(__xludf.DUMMYFUNCTION("""COMPUTED_VALUE"""),5.0)</f>
        <v>5</v>
      </c>
      <c r="B266" s="36" t="str">
        <f>IFERROR(__xludf.DUMMYFUNCTION("""COMPUTED_VALUE"""),"Rajasekar Ramasamy")</f>
        <v>Rajasekar Ramasamy</v>
      </c>
      <c r="C266" s="132">
        <f>IFERROR(__xludf.DUMMYFUNCTION("""COMPUTED_VALUE"""),6.0)</f>
        <v>6</v>
      </c>
      <c r="D266" s="132">
        <f>IFERROR(__xludf.DUMMYFUNCTION("""COMPUTED_VALUE"""),2.0)</f>
        <v>2</v>
      </c>
      <c r="E266" s="132">
        <f>IFERROR(__xludf.DUMMYFUNCTION("""COMPUTED_VALUE"""),3.0)</f>
        <v>3</v>
      </c>
      <c r="F266" s="132">
        <f>IFERROR(__xludf.DUMMYFUNCTION("""COMPUTED_VALUE"""),11.0)</f>
        <v>11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IFERROR(__xludf.DUMMYFUNCTION("""COMPUTED_VALUE"""),"Elayaraja Thangaraj")</f>
        <v>Elayaraja Thangaraj</v>
      </c>
      <c r="C267" s="132">
        <f>IFERROR(__xludf.DUMMYFUNCTION("""COMPUTED_VALUE"""),3.0)</f>
        <v>3</v>
      </c>
      <c r="D267" s="132">
        <f>IFERROR(__xludf.DUMMYFUNCTION("""COMPUTED_VALUE"""),6.0)</f>
        <v>6</v>
      </c>
      <c r="E267" s="132">
        <f>IFERROR(__xludf.DUMMYFUNCTION("""COMPUTED_VALUE"""),3.0)</f>
        <v>3</v>
      </c>
      <c r="F267" s="132">
        <f>IFERROR(__xludf.DUMMYFUNCTION("""COMPUTED_VALUE"""),12.0)</f>
        <v>12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IFERROR(__xludf.DUMMYFUNCTION("""COMPUTED_VALUE"""),"Jim Miao")</f>
        <v>Jim Miao</v>
      </c>
      <c r="C268" s="132">
        <f>IFERROR(__xludf.DUMMYFUNCTION("""COMPUTED_VALUE"""),3.0)</f>
        <v>3</v>
      </c>
      <c r="D268" s="132">
        <f>IFERROR(__xludf.DUMMYFUNCTION("""COMPUTED_VALUE"""),2.0)</f>
        <v>2</v>
      </c>
      <c r="E268" s="132">
        <f>IFERROR(__xludf.DUMMYFUNCTION("""COMPUTED_VALUE"""),6.0)</f>
        <v>6</v>
      </c>
      <c r="F268" s="132">
        <f>IFERROR(__xludf.DUMMYFUNCTION("""COMPUTED_VALUE"""),11.0)</f>
        <v>11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IFERROR(__xludf.DUMMYFUNCTION("""COMPUTED_VALUE"""),"Tom Le")</f>
        <v>Tom Le</v>
      </c>
      <c r="C269" s="132">
        <f>IFERROR(__xludf.DUMMYFUNCTION("""COMPUTED_VALUE"""),6.0)</f>
        <v>6</v>
      </c>
      <c r="D269" s="132">
        <f>IFERROR(__xludf.DUMMYFUNCTION("""COMPUTED_VALUE"""),6.0)</f>
        <v>6</v>
      </c>
      <c r="E269" s="132">
        <f>IFERROR(__xludf.DUMMYFUNCTION("""COMPUTED_VALUE"""),6.0)</f>
        <v>6</v>
      </c>
      <c r="F269" s="132">
        <f>IFERROR(__xludf.DUMMYFUNCTION("""COMPUTED_VALUE"""),18.0)</f>
        <v>18</v>
      </c>
      <c r="G269" s="132">
        <f>IFERROR(__xludf.DUMMYFUNCTION("""COMPUTED_VALUE"""),3.0)</f>
        <v>3</v>
      </c>
    </row>
    <row r="270">
      <c r="A270" s="133">
        <f>IFERROR(__xludf.DUMMYFUNCTION("""COMPUTED_VALUE"""),6.0)</f>
        <v>6</v>
      </c>
      <c r="B270" s="134" t="str">
        <f>IFERROR(__xludf.DUMMYFUNCTION("""COMPUTED_VALUE"""),"Oscar Bonilla")</f>
        <v>Oscar Bonilla</v>
      </c>
      <c r="C270" s="135">
        <f>IFERROR(__xludf.DUMMYFUNCTION("""COMPUTED_VALUE"""),6.0)</f>
        <v>6</v>
      </c>
      <c r="D270" s="135">
        <f>IFERROR(__xludf.DUMMYFUNCTION("""COMPUTED_VALUE"""),6.0)</f>
        <v>6</v>
      </c>
      <c r="E270" s="135">
        <f>IFERROR(__xludf.DUMMYFUNCTION("""COMPUTED_VALUE"""),6.0)</f>
        <v>6</v>
      </c>
      <c r="F270" s="135">
        <f>IFERROR(__xludf.DUMMYFUNCTION("""COMPUTED_VALUE"""),18.0)</f>
        <v>18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IFERROR(__xludf.DUMMYFUNCTION("""COMPUTED_VALUE"""),"Naveen Raj")</f>
        <v>Naveen Raj</v>
      </c>
      <c r="C271" s="135">
        <f>IFERROR(__xludf.DUMMYFUNCTION("""COMPUTED_VALUE"""),3.0)</f>
        <v>3</v>
      </c>
      <c r="D271" s="135">
        <f>IFERROR(__xludf.DUMMYFUNCTION("""COMPUTED_VALUE"""),6.0)</f>
        <v>6</v>
      </c>
      <c r="E271" s="135">
        <f>IFERROR(__xludf.DUMMYFUNCTION("""COMPUTED_VALUE"""),4.0)</f>
        <v>4</v>
      </c>
      <c r="F271" s="135">
        <f>IFERROR(__xludf.DUMMYFUNCTION("""COMPUTED_VALUE"""),13.0)</f>
        <v>13</v>
      </c>
      <c r="G271" s="135">
        <f>IFERROR(__xludf.DUMMYFUNCTION("""COMPUTED_VALUE"""),0.0)</f>
        <v>0</v>
      </c>
    </row>
    <row r="272">
      <c r="A272" s="133">
        <f>IFERROR(__xludf.DUMMYFUNCTION("""COMPUTED_VALUE"""),6.0)</f>
        <v>6</v>
      </c>
      <c r="B272" s="134" t="str">
        <f>IFERROR(__xludf.DUMMYFUNCTION("""COMPUTED_VALUE"""),"Alex Hou")</f>
        <v>Alex Hou</v>
      </c>
      <c r="C272" s="135">
        <f>IFERROR(__xludf.DUMMYFUNCTION("""COMPUTED_VALUE"""),6.0)</f>
        <v>6</v>
      </c>
      <c r="D272" s="135">
        <f>IFERROR(__xludf.DUMMYFUNCTION("""COMPUTED_VALUE"""),7.0)</f>
        <v>7</v>
      </c>
      <c r="E272" s="135">
        <f>IFERROR(__xludf.DUMMYFUNCTION("""COMPUTED_VALUE"""),4.0)</f>
        <v>4</v>
      </c>
      <c r="F272" s="135">
        <f>IFERROR(__xludf.DUMMYFUNCTION("""COMPUTED_VALUE"""),17.0)</f>
        <v>17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IFERROR(__xludf.DUMMYFUNCTION("""COMPUTED_VALUE"""),"Wayne Liu")</f>
        <v>Wayne Liu</v>
      </c>
      <c r="C273" s="135">
        <f>IFERROR(__xludf.DUMMYFUNCTION("""COMPUTED_VALUE"""),3.0)</f>
        <v>3</v>
      </c>
      <c r="D273" s="135">
        <f>IFERROR(__xludf.DUMMYFUNCTION("""COMPUTED_VALUE"""),7.0)</f>
        <v>7</v>
      </c>
      <c r="E273" s="135">
        <f>IFERROR(__xludf.DUMMYFUNCTION("""COMPUTED_VALUE"""),6.0)</f>
        <v>6</v>
      </c>
      <c r="F273" s="135">
        <f>IFERROR(__xludf.DUMMYFUNCTION("""COMPUTED_VALUE"""),16.0)</f>
        <v>16</v>
      </c>
      <c r="G273" s="135">
        <f>IFERROR(__xludf.DUMMYFUNCTION("""COMPUTED_VALUE"""),2.0)</f>
        <v>2</v>
      </c>
    </row>
    <row r="274">
      <c r="A274" s="122">
        <f>IFERROR(__xludf.DUMMYFUNCTION("""COMPUTED_VALUE"""),7.0)</f>
        <v>7</v>
      </c>
      <c r="B274" s="36" t="str">
        <f>IFERROR(__xludf.DUMMYFUNCTION("""COMPUTED_VALUE"""),"Tina Hanson")</f>
        <v>Tina Hanson</v>
      </c>
      <c r="C274" s="132">
        <f>IFERROR(__xludf.DUMMYFUNCTION("""COMPUTED_VALUE"""),2.0)</f>
        <v>2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IFERROR(__xludf.DUMMYFUNCTION("""COMPUTED_VALUE"""),14.0)</f>
        <v>14</v>
      </c>
      <c r="G274" s="132">
        <f>IFERROR(__xludf.DUMMYFUNCTION("""COMPUTED_VALUE"""),2.0)</f>
        <v>2</v>
      </c>
    </row>
    <row r="275">
      <c r="A275" s="122">
        <f>IFERROR(__xludf.DUMMYFUNCTION("""COMPUTED_VALUE"""),7.0)</f>
        <v>7</v>
      </c>
      <c r="B275" s="36" t="str">
        <f>IFERROR(__xludf.DUMMYFUNCTION("""COMPUTED_VALUE"""),"Sean Chang")</f>
        <v>Sean Chang</v>
      </c>
      <c r="C275" s="132">
        <f>IFERROR(__xludf.DUMMYFUNCTION("""COMPUTED_VALUE"""),6.0)</f>
        <v>6</v>
      </c>
      <c r="D275" s="132">
        <f>IFERROR(__xludf.DUMMYFUNCTION("""COMPUTED_VALUE"""),3.0)</f>
        <v>3</v>
      </c>
      <c r="E275" s="132">
        <f>IFERROR(__xludf.DUMMYFUNCTION("""COMPUTED_VALUE"""),6.0)</f>
        <v>6</v>
      </c>
      <c r="F275" s="132">
        <f>IFERROR(__xludf.DUMMYFUNCTION("""COMPUTED_VALUE"""),15.0)</f>
        <v>15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IFERROR(__xludf.DUMMYFUNCTION("""COMPUTED_VALUE"""),"Chinna Ponnaganti")</f>
        <v>Chinna Ponnaganti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IFERROR(__xludf.DUMMYFUNCTION("""COMPUTED_VALUE"""),1.0)</f>
        <v>1</v>
      </c>
      <c r="F276" s="132">
        <f>IFERROR(__xludf.DUMMYFUNCTION("""COMPUTED_VALUE"""),13.0)</f>
        <v>13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IFERROR(__xludf.DUMMYFUNCTION("""COMPUTED_VALUE"""),"Allen Zhang")</f>
        <v>Allen Zhang</v>
      </c>
      <c r="C277" s="132">
        <f>IFERROR(__xludf.DUMMYFUNCTION("""COMPUTED_VALUE"""),2.0)</f>
        <v>2</v>
      </c>
      <c r="D277" s="132">
        <f>IFERROR(__xludf.DUMMYFUNCTION("""COMPUTED_VALUE"""),3.0)</f>
        <v>3</v>
      </c>
      <c r="E277" s="132">
        <f>IFERROR(__xludf.DUMMYFUNCTION("""COMPUTED_VALUE"""),1.0)</f>
        <v>1</v>
      </c>
      <c r="F277" s="132">
        <f>IFERROR(__xludf.DUMMYFUNCTION("""COMPUTED_VALUE"""),6.0)</f>
        <v>6</v>
      </c>
      <c r="G277" s="132">
        <f>IFERROR(__xludf.DUMMYFUNCTION("""COMPUTED_VALUE"""),0.0)</f>
        <v>0</v>
      </c>
    </row>
    <row r="278">
      <c r="A278" s="133">
        <f>IFERROR(__xludf.DUMMYFUNCTION("""COMPUTED_VALUE"""),8.0)</f>
        <v>8</v>
      </c>
      <c r="B278" s="134" t="str">
        <f>IFERROR(__xludf.DUMMYFUNCTION("""COMPUTED_VALUE"""),"Hongyuan Wen")</f>
        <v>Hongyuan Wen</v>
      </c>
      <c r="C278" s="135">
        <f>IFERROR(__xludf.DUMMYFUNCTION("""COMPUTED_VALUE"""),6.0)</f>
        <v>6</v>
      </c>
      <c r="D278" s="135">
        <f>IFERROR(__xludf.DUMMYFUNCTION("""COMPUTED_VALUE"""),2.0)</f>
        <v>2</v>
      </c>
      <c r="E278" s="135">
        <f>IFERROR(__xludf.DUMMYFUNCTION("""COMPUTED_VALUE"""),7.0)</f>
        <v>7</v>
      </c>
      <c r="F278" s="135">
        <f>IFERROR(__xludf.DUMMYFUNCTION("""COMPUTED_VALUE"""),15.0)</f>
        <v>15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IFERROR(__xludf.DUMMYFUNCTION("""COMPUTED_VALUE"""),"Kumar Palakeel")</f>
        <v>Kumar Palakeel</v>
      </c>
      <c r="C279" s="135">
        <f>IFERROR(__xludf.DUMMYFUNCTION("""COMPUTED_VALUE"""),4.0)</f>
        <v>4</v>
      </c>
      <c r="D279" s="135">
        <f>IFERROR(__xludf.DUMMYFUNCTION("""COMPUTED_VALUE"""),2.0)</f>
        <v>2</v>
      </c>
      <c r="E279" s="135">
        <f>IFERROR(__xludf.DUMMYFUNCTION("""COMPUTED_VALUE"""),6.0)</f>
        <v>6</v>
      </c>
      <c r="F279" s="135">
        <f>IFERROR(__xludf.DUMMYFUNCTION("""COMPUTED_VALUE"""),12.0)</f>
        <v>12</v>
      </c>
      <c r="G279" s="135">
        <f>IFERROR(__xludf.DUMMYFUNCTION("""COMPUTED_VALUE"""),0.0)</f>
        <v>0</v>
      </c>
    </row>
    <row r="280">
      <c r="A280" s="133">
        <f>IFERROR(__xludf.DUMMYFUNCTION("""COMPUTED_VALUE"""),8.0)</f>
        <v>8</v>
      </c>
      <c r="B280" s="134" t="str">
        <f>IFERROR(__xludf.DUMMYFUNCTION("""COMPUTED_VALUE"""),"Jimmy Awolesi")</f>
        <v>Jimmy Awolesi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IFERROR(__xludf.DUMMYFUNCTION("""COMPUTED_VALUE"""),6.0)</f>
        <v>6</v>
      </c>
      <c r="F280" s="135">
        <f>IFERROR(__xludf.DUMMYFUNCTION("""COMPUTED_VALUE"""),18.0)</f>
        <v>18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IFERROR(__xludf.DUMMYFUNCTION("""COMPUTED_VALUE"""),"Alejandro Mejia")</f>
        <v>Alejandro Mejia</v>
      </c>
      <c r="C281" s="135">
        <f>IFERROR(__xludf.DUMMYFUNCTION("""COMPUTED_VALUE"""),4.0)</f>
        <v>4</v>
      </c>
      <c r="D281" s="135">
        <f>IFERROR(__xludf.DUMMYFUNCTION("""COMPUTED_VALUE"""),6.0)</f>
        <v>6</v>
      </c>
      <c r="E281" s="135">
        <f>IFERROR(__xludf.DUMMYFUNCTION("""COMPUTED_VALUE"""),7.0)</f>
        <v>7</v>
      </c>
      <c r="F281" s="135">
        <f>IFERROR(__xludf.DUMMYFUNCTION("""COMPUTED_VALUE"""),17.0)</f>
        <v>17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IFERROR(__xludf.DUMMYFUNCTION("""COMPUTED_VALUE"""),"Vishnu Amarnath")</f>
        <v>Vishnu Amarnath</v>
      </c>
      <c r="C282" s="132">
        <f>IFERROR(__xludf.DUMMYFUNCTION("""COMPUTED_VALUE"""),3.0)</f>
        <v>3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IFERROR(__xludf.DUMMYFUNCTION("""COMPUTED_VALUE"""),15.0)</f>
        <v>15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IFERROR(__xludf.DUMMYFUNCTION("""COMPUTED_VALUE"""),"Eric Tan")</f>
        <v>Eric Tan</v>
      </c>
      <c r="C283" s="132">
        <f>IFERROR(__xludf.DUMMYFUNCTION("""COMPUTED_VALUE"""),3.0)</f>
        <v>3</v>
      </c>
      <c r="D283" s="132">
        <f>IFERROR(__xludf.DUMMYFUNCTION("""COMPUTED_VALUE"""),4.0)</f>
        <v>4</v>
      </c>
      <c r="E283" s="132">
        <f>IFERROR(__xludf.DUMMYFUNCTION("""COMPUTED_VALUE"""),1.0)</f>
        <v>1</v>
      </c>
      <c r="F283" s="132">
        <f>IFERROR(__xludf.DUMMYFUNCTION("""COMPUTED_VALUE"""),8.0)</f>
        <v>8</v>
      </c>
      <c r="G283" s="132">
        <f>IFERROR(__xludf.DUMMYFUNCTION("""COMPUTED_VALUE"""),0.0)</f>
        <v>0</v>
      </c>
    </row>
    <row r="284">
      <c r="A284" s="122">
        <f>IFERROR(__xludf.DUMMYFUNCTION("""COMPUTED_VALUE"""),9.0)</f>
        <v>9</v>
      </c>
      <c r="B284" s="36" t="str">
        <f>IFERROR(__xludf.DUMMYFUNCTION("""COMPUTED_VALUE"""),"Trish Newlin")</f>
        <v>Trish Newlin</v>
      </c>
      <c r="C284" s="132">
        <f>IFERROR(__xludf.DUMMYFUNCTION("""COMPUTED_VALUE"""),6.0)</f>
        <v>6</v>
      </c>
      <c r="D284" s="132">
        <f>IFERROR(__xludf.DUMMYFUNCTION("""COMPUTED_VALUE"""),4.0)</f>
        <v>4</v>
      </c>
      <c r="E284" s="132">
        <f>IFERROR(__xludf.DUMMYFUNCTION("""COMPUTED_VALUE"""),6.0)</f>
        <v>6</v>
      </c>
      <c r="F284" s="132">
        <f>IFERROR(__xludf.DUMMYFUNCTION("""COMPUTED_VALUE"""),16.0)</f>
        <v>16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IFERROR(__xludf.DUMMYFUNCTION("""COMPUTED_VALUE"""),"Vinaya Kajla")</f>
        <v>Vinaya Kajla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IFERROR(__xludf.DUMMYFUNCTION("""COMPUTED_VALUE"""),1.0)</f>
        <v>1</v>
      </c>
      <c r="F285" s="132">
        <f>IFERROR(__xludf.DUMMYFUNCTION("""COMPUTED_VALUE"""),13.0)</f>
        <v>13</v>
      </c>
      <c r="G285" s="132">
        <f>IFERROR(__xludf.DUMMYFUNCTION("""COMPUTED_VALUE"""),2.0)</f>
        <v>2</v>
      </c>
    </row>
    <row r="286">
      <c r="A286" s="133">
        <f>IFERROR(__xludf.DUMMYFUNCTION("""COMPUTED_VALUE"""),10.0)</f>
        <v>10</v>
      </c>
      <c r="B286" s="134" t="str">
        <f>IFERROR(__xludf.DUMMYFUNCTION("""COMPUTED_VALUE"""),"Nicole Ni")</f>
        <v>Nicole Ni</v>
      </c>
      <c r="C286" s="135">
        <f>IFERROR(__xludf.DUMMYFUNCTION("""COMPUTED_VALUE"""),2.0)</f>
        <v>2</v>
      </c>
      <c r="D286" s="135">
        <f>IFERROR(__xludf.DUMMYFUNCTION("""COMPUTED_VALUE"""),2.0)</f>
        <v>2</v>
      </c>
      <c r="E286" s="135">
        <f>IFERROR(__xludf.DUMMYFUNCTION("""COMPUTED_VALUE"""),6.0)</f>
        <v>6</v>
      </c>
      <c r="F286" s="135">
        <f>IFERROR(__xludf.DUMMYFUNCTION("""COMPUTED_VALUE"""),10.0)</f>
        <v>10</v>
      </c>
      <c r="G286" s="135">
        <f>IFERROR(__xludf.DUMMYFUNCTION("""COMPUTED_VALUE"""),1.0)</f>
        <v>1</v>
      </c>
    </row>
    <row r="287">
      <c r="A287" s="133">
        <f>IFERROR(__xludf.DUMMYFUNCTION("""COMPUTED_VALUE"""),10.0)</f>
        <v>10</v>
      </c>
      <c r="B287" s="134" t="str">
        <f>IFERROR(__xludf.DUMMYFUNCTION("""COMPUTED_VALUE"""),"Camille Jung")</f>
        <v>Camille Jung</v>
      </c>
      <c r="C287" s="135">
        <f>IFERROR(__xludf.DUMMYFUNCTION("""COMPUTED_VALUE"""),2.0)</f>
        <v>2</v>
      </c>
      <c r="D287" s="135">
        <f>IFERROR(__xludf.DUMMYFUNCTION("""COMPUTED_VALUE"""),6.0)</f>
        <v>6</v>
      </c>
      <c r="E287" s="135">
        <f>IFERROR(__xludf.DUMMYFUNCTION("""COMPUTED_VALUE"""),4.0)</f>
        <v>4</v>
      </c>
      <c r="F287" s="135">
        <f>IFERROR(__xludf.DUMMYFUNCTION("""COMPUTED_VALUE"""),12.0)</f>
        <v>12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IFERROR(__xludf.DUMMYFUNCTION("""COMPUTED_VALUE"""),"Ranjith Doraiswamy")</f>
        <v>Ranjith Doraiswamy</v>
      </c>
      <c r="C288" s="135">
        <f>IFERROR(__xludf.DUMMYFUNCTION("""COMPUTED_VALUE"""),6.0)</f>
        <v>6</v>
      </c>
      <c r="D288" s="135">
        <f>IFERROR(__xludf.DUMMYFUNCTION("""COMPUTED_VALUE"""),2.0)</f>
        <v>2</v>
      </c>
      <c r="E288" s="135">
        <f>IFERROR(__xludf.DUMMYFUNCTION("""COMPUTED_VALUE"""),4.0)</f>
        <v>4</v>
      </c>
      <c r="F288" s="135">
        <f>IFERROR(__xludf.DUMMYFUNCTION("""COMPUTED_VALUE"""),12.0)</f>
        <v>12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IFERROR(__xludf.DUMMYFUNCTION("""COMPUTED_VALUE"""),"Susanta Mishra")</f>
        <v>Susanta Mishra</v>
      </c>
      <c r="C289" s="135">
        <f>IFERROR(__xludf.DUMMYFUNCTION("""COMPUTED_VALUE"""),6.0)</f>
        <v>6</v>
      </c>
      <c r="D289" s="135">
        <f>IFERROR(__xludf.DUMMYFUNCTION("""COMPUTED_VALUE"""),6.0)</f>
        <v>6</v>
      </c>
      <c r="E289" s="135">
        <f>IFERROR(__xludf.DUMMYFUNCTION("""COMPUTED_VALUE"""),6.0)</f>
        <v>6</v>
      </c>
      <c r="F289" s="135">
        <f>IFERROR(__xludf.DUMMYFUNCTION("""COMPUTED_VALUE"""),18.0)</f>
        <v>18</v>
      </c>
      <c r="G289" s="135">
        <f>IFERROR(__xludf.DUMMYFUNCTION("""COMPUTED_VALUE"""),3.0)</f>
        <v>3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IFERROR(__xludf.DUMMYFUNCTION("""COMPUTED_VALUE"""),"Scott Li")</f>
        <v>Scott Li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IFERROR(__xludf.DUMMYFUNCTION("""COMPUTED_VALUE"""),"Sean Chang")</f>
        <v>Sean Chang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IFERROR(__xludf.DUMMYFUNCTION("""COMPUTED_VALUE"""),"Suleman Alidina")</f>
        <v>Suleman Alidina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46158.0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19.0</v>
      </c>
      <c r="E2" s="5"/>
      <c r="F2" s="5"/>
      <c r="R2" s="18"/>
      <c r="AC2" s="22" t="str">
        <f>text(C1-7,"mm/dd/yy")</f>
        <v>05/09/26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278.0</v>
      </c>
      <c r="D5" s="37">
        <v>36.0</v>
      </c>
      <c r="E5" s="40">
        <f t="shared" ref="E5:E79" si="2">if(S5&gt;0,(C5-(V5*9)-(T5*13))/S5,0)</f>
        <v>15.29411765</v>
      </c>
      <c r="F5" s="90">
        <v>1.0</v>
      </c>
      <c r="G5" s="91">
        <v>1.0</v>
      </c>
      <c r="H5" s="92">
        <v>0.0</v>
      </c>
      <c r="I5" s="91">
        <v>6.0</v>
      </c>
      <c r="J5" s="91">
        <v>1.0</v>
      </c>
      <c r="K5" s="91">
        <v>6.0</v>
      </c>
      <c r="L5" s="93">
        <v>13.0</v>
      </c>
      <c r="M5" s="91">
        <v>2.0</v>
      </c>
      <c r="N5" s="37">
        <f t="shared" ref="N5:O5" si="1">C5+L5</f>
        <v>291</v>
      </c>
      <c r="O5" s="37">
        <f t="shared" si="1"/>
        <v>38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17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277.0</v>
      </c>
      <c r="D6" s="37">
        <v>33.0</v>
      </c>
      <c r="E6" s="40">
        <f t="shared" si="2"/>
        <v>15.23529412</v>
      </c>
      <c r="F6" s="90">
        <v>1.0</v>
      </c>
      <c r="G6" s="91">
        <v>1.0</v>
      </c>
      <c r="H6" s="92">
        <v>0.0</v>
      </c>
      <c r="I6" s="91">
        <v>6.0</v>
      </c>
      <c r="J6" s="91">
        <v>6.0</v>
      </c>
      <c r="K6" s="91">
        <v>3.0</v>
      </c>
      <c r="L6" s="93">
        <v>15.0</v>
      </c>
      <c r="M6" s="91">
        <v>2.0</v>
      </c>
      <c r="N6" s="37">
        <f t="shared" ref="N6:O6" si="3">C6+L6</f>
        <v>292</v>
      </c>
      <c r="O6" s="37">
        <f t="shared" si="3"/>
        <v>35</v>
      </c>
      <c r="P6" s="49" t="s">
        <v>57</v>
      </c>
      <c r="Q6" s="49" t="s">
        <v>57</v>
      </c>
      <c r="R6" s="49" t="s">
        <v>57</v>
      </c>
      <c r="S6" s="51">
        <f t="shared" si="4"/>
        <v>17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255.0</v>
      </c>
      <c r="D7" s="37">
        <v>26.0</v>
      </c>
      <c r="E7" s="40">
        <f t="shared" si="2"/>
        <v>13.44444444</v>
      </c>
      <c r="F7" s="90">
        <v>5.0</v>
      </c>
      <c r="G7" s="91">
        <v>0.0</v>
      </c>
      <c r="H7" s="92">
        <v>13.0</v>
      </c>
      <c r="I7" s="91">
        <v>0.0</v>
      </c>
      <c r="J7" s="91">
        <v>0.0</v>
      </c>
      <c r="K7" s="91">
        <v>0.0</v>
      </c>
      <c r="L7" s="93">
        <v>13.0</v>
      </c>
      <c r="M7" s="91">
        <v>0.0</v>
      </c>
      <c r="N7" s="37">
        <f t="shared" ref="N7:O7" si="11">C7+L7</f>
        <v>268</v>
      </c>
      <c r="O7" s="37">
        <f t="shared" si="11"/>
        <v>26</v>
      </c>
      <c r="P7" s="49" t="s">
        <v>57</v>
      </c>
      <c r="Q7" s="49" t="s">
        <v>57</v>
      </c>
      <c r="R7" s="49" t="s">
        <v>57</v>
      </c>
      <c r="S7" s="51">
        <f t="shared" si="4"/>
        <v>18</v>
      </c>
      <c r="T7" s="52">
        <f t="shared" si="5"/>
        <v>1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251.0</v>
      </c>
      <c r="D8" s="37">
        <v>24.0</v>
      </c>
      <c r="E8" s="40">
        <f t="shared" si="2"/>
        <v>14</v>
      </c>
      <c r="F8" s="90">
        <v>1.0</v>
      </c>
      <c r="G8" s="91">
        <v>1.0</v>
      </c>
      <c r="H8" s="92">
        <v>0.0</v>
      </c>
      <c r="I8" s="91">
        <v>2.0</v>
      </c>
      <c r="J8" s="91">
        <v>6.0</v>
      </c>
      <c r="K8" s="91">
        <v>6.0</v>
      </c>
      <c r="L8" s="93">
        <v>14.0</v>
      </c>
      <c r="M8" s="91">
        <v>2.0</v>
      </c>
      <c r="N8" s="37">
        <f t="shared" ref="N8:O8" si="13">C8+L8</f>
        <v>265</v>
      </c>
      <c r="O8" s="37">
        <f t="shared" si="13"/>
        <v>26</v>
      </c>
      <c r="P8" s="49" t="s">
        <v>57</v>
      </c>
      <c r="Q8" s="49" t="s">
        <v>57</v>
      </c>
      <c r="R8" s="49" t="s">
        <v>57</v>
      </c>
      <c r="S8" s="51">
        <f t="shared" si="4"/>
        <v>16</v>
      </c>
      <c r="T8" s="52">
        <f t="shared" si="5"/>
        <v>0</v>
      </c>
      <c r="U8" s="52"/>
      <c r="V8" s="51">
        <f t="shared" si="6"/>
        <v>3</v>
      </c>
      <c r="W8" s="52">
        <f t="shared" si="7"/>
        <v>0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92</v>
      </c>
      <c r="C9" s="37">
        <v>245.0</v>
      </c>
      <c r="D9" s="37">
        <v>19.0</v>
      </c>
      <c r="E9" s="40">
        <f t="shared" si="2"/>
        <v>13.93333333</v>
      </c>
      <c r="F9" s="90">
        <v>1.0</v>
      </c>
      <c r="G9" s="91">
        <v>1.0</v>
      </c>
      <c r="H9" s="92">
        <v>0.0</v>
      </c>
      <c r="I9" s="91">
        <v>2.0</v>
      </c>
      <c r="J9" s="91">
        <v>1.0</v>
      </c>
      <c r="K9" s="91">
        <v>3.0</v>
      </c>
      <c r="L9" s="93">
        <v>6.0</v>
      </c>
      <c r="M9" s="91">
        <v>0.0</v>
      </c>
      <c r="N9" s="37">
        <f t="shared" ref="N9:O9" si="14">C9+L9</f>
        <v>251</v>
      </c>
      <c r="O9" s="37">
        <f t="shared" si="14"/>
        <v>19</v>
      </c>
      <c r="P9" s="49" t="s">
        <v>57</v>
      </c>
      <c r="Q9" s="49" t="s">
        <v>57</v>
      </c>
      <c r="R9" s="49" t="s">
        <v>57</v>
      </c>
      <c r="S9" s="51">
        <f t="shared" si="4"/>
        <v>15</v>
      </c>
      <c r="T9" s="52">
        <f t="shared" si="5"/>
        <v>0</v>
      </c>
      <c r="U9" s="52"/>
      <c r="V9" s="51">
        <f t="shared" si="6"/>
        <v>4</v>
      </c>
      <c r="W9" s="52">
        <f t="shared" si="7"/>
        <v>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95</v>
      </c>
      <c r="C10" s="37">
        <v>244.0</v>
      </c>
      <c r="D10" s="37">
        <v>26.0</v>
      </c>
      <c r="E10" s="40">
        <f t="shared" si="2"/>
        <v>13.86666667</v>
      </c>
      <c r="F10" s="90">
        <v>1.0</v>
      </c>
      <c r="G10" s="91">
        <v>2.0</v>
      </c>
      <c r="H10" s="92">
        <v>0.0</v>
      </c>
      <c r="I10" s="91">
        <v>6.0</v>
      </c>
      <c r="J10" s="91">
        <v>2.0</v>
      </c>
      <c r="K10" s="91">
        <v>6.0</v>
      </c>
      <c r="L10" s="93">
        <v>14.0</v>
      </c>
      <c r="M10" s="91">
        <v>1.0</v>
      </c>
      <c r="N10" s="37">
        <f t="shared" ref="N10:O10" si="15">C10+L10</f>
        <v>258</v>
      </c>
      <c r="O10" s="37">
        <f t="shared" si="15"/>
        <v>27</v>
      </c>
      <c r="P10" s="49" t="s">
        <v>57</v>
      </c>
      <c r="Q10" s="49" t="s">
        <v>57</v>
      </c>
      <c r="R10" s="49" t="s">
        <v>57</v>
      </c>
      <c r="S10" s="51">
        <f t="shared" si="4"/>
        <v>15</v>
      </c>
      <c r="T10" s="52">
        <f t="shared" si="5"/>
        <v>0</v>
      </c>
      <c r="U10" s="52"/>
      <c r="V10" s="51">
        <f t="shared" si="6"/>
        <v>4</v>
      </c>
      <c r="W10" s="52">
        <f t="shared" si="7"/>
        <v>3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80</v>
      </c>
      <c r="C11" s="37">
        <v>242.0</v>
      </c>
      <c r="D11" s="37">
        <v>22.0</v>
      </c>
      <c r="E11" s="40">
        <f t="shared" si="2"/>
        <v>14.15384615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251</v>
      </c>
      <c r="O11" s="37">
        <f t="shared" si="16"/>
        <v>22</v>
      </c>
      <c r="P11" s="49" t="s">
        <v>57</v>
      </c>
      <c r="Q11" s="49" t="s">
        <v>57</v>
      </c>
      <c r="R11" s="49" t="s">
        <v>57</v>
      </c>
      <c r="S11" s="51">
        <f t="shared" si="4"/>
        <v>13</v>
      </c>
      <c r="T11" s="52">
        <f t="shared" si="5"/>
        <v>1</v>
      </c>
      <c r="U11" s="52"/>
      <c r="V11" s="51">
        <f t="shared" si="6"/>
        <v>5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94</v>
      </c>
      <c r="C12" s="37">
        <v>241.0</v>
      </c>
      <c r="D12" s="37">
        <v>25.0</v>
      </c>
      <c r="E12" s="40">
        <f t="shared" si="2"/>
        <v>13.11764706</v>
      </c>
      <c r="F12" s="90">
        <v>1.0</v>
      </c>
      <c r="G12" s="91">
        <v>2.0</v>
      </c>
      <c r="H12" s="92">
        <v>0.0</v>
      </c>
      <c r="I12" s="91">
        <v>7.0</v>
      </c>
      <c r="J12" s="91">
        <v>2.0</v>
      </c>
      <c r="K12" s="91">
        <v>4.0</v>
      </c>
      <c r="L12" s="93">
        <v>13.0</v>
      </c>
      <c r="M12" s="91">
        <v>1.0</v>
      </c>
      <c r="N12" s="37">
        <f t="shared" ref="N12:O12" si="17">C12+L12</f>
        <v>254</v>
      </c>
      <c r="O12" s="37">
        <f t="shared" si="17"/>
        <v>26</v>
      </c>
      <c r="P12" s="49" t="s">
        <v>57</v>
      </c>
      <c r="Q12" s="49" t="s">
        <v>57</v>
      </c>
      <c r="R12" s="49" t="s">
        <v>57</v>
      </c>
      <c r="S12" s="51">
        <f t="shared" si="4"/>
        <v>17</v>
      </c>
      <c r="T12" s="52">
        <f t="shared" si="5"/>
        <v>0</v>
      </c>
      <c r="U12" s="52"/>
      <c r="V12" s="51">
        <f t="shared" si="6"/>
        <v>2</v>
      </c>
      <c r="W12" s="52">
        <f t="shared" si="7"/>
        <v>0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127</v>
      </c>
      <c r="C13" s="37">
        <v>241.0</v>
      </c>
      <c r="D13" s="37">
        <v>23.0</v>
      </c>
      <c r="E13" s="40">
        <f t="shared" si="2"/>
        <v>14.83333333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250</v>
      </c>
      <c r="O13" s="37">
        <f t="shared" si="18"/>
        <v>23</v>
      </c>
      <c r="P13" s="49" t="s">
        <v>57</v>
      </c>
      <c r="Q13" s="49" t="s">
        <v>57</v>
      </c>
      <c r="R13" s="49" t="s">
        <v>57</v>
      </c>
      <c r="S13" s="51">
        <f t="shared" si="4"/>
        <v>12</v>
      </c>
      <c r="T13" s="52">
        <f t="shared" si="5"/>
        <v>0</v>
      </c>
      <c r="U13" s="52"/>
      <c r="V13" s="51">
        <f t="shared" si="6"/>
        <v>7</v>
      </c>
      <c r="W13" s="52">
        <f t="shared" si="7"/>
        <v>-4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93</v>
      </c>
      <c r="C14" s="37">
        <v>235.0</v>
      </c>
      <c r="D14" s="37">
        <v>21.0</v>
      </c>
      <c r="E14" s="40">
        <f t="shared" si="2"/>
        <v>13</v>
      </c>
      <c r="F14" s="90">
        <v>1.0</v>
      </c>
      <c r="G14" s="91">
        <v>2.0</v>
      </c>
      <c r="H14" s="92">
        <v>0.0</v>
      </c>
      <c r="I14" s="91">
        <v>7.0</v>
      </c>
      <c r="J14" s="91">
        <v>6.0</v>
      </c>
      <c r="K14" s="91">
        <v>6.0</v>
      </c>
      <c r="L14" s="93">
        <v>19.0</v>
      </c>
      <c r="M14" s="91">
        <v>3.0</v>
      </c>
      <c r="N14" s="37">
        <f t="shared" ref="N14:O14" si="19">C14+L14</f>
        <v>254</v>
      </c>
      <c r="O14" s="37">
        <f t="shared" si="19"/>
        <v>24</v>
      </c>
      <c r="P14" s="49" t="s">
        <v>57</v>
      </c>
      <c r="Q14" s="49" t="s">
        <v>57</v>
      </c>
      <c r="R14" s="49" t="s">
        <v>57</v>
      </c>
      <c r="S14" s="51">
        <f t="shared" si="4"/>
        <v>15</v>
      </c>
      <c r="T14" s="52">
        <f t="shared" si="5"/>
        <v>1</v>
      </c>
      <c r="U14" s="52"/>
      <c r="V14" s="51">
        <f t="shared" si="6"/>
        <v>3</v>
      </c>
      <c r="W14" s="52">
        <f t="shared" si="7"/>
        <v>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117</v>
      </c>
      <c r="C15" s="37">
        <v>233.0</v>
      </c>
      <c r="D15" s="37">
        <v>22.0</v>
      </c>
      <c r="E15" s="40">
        <f t="shared" si="2"/>
        <v>12.86666667</v>
      </c>
      <c r="F15" s="90">
        <v>2.0</v>
      </c>
      <c r="G15" s="91">
        <v>2.0</v>
      </c>
      <c r="H15" s="92">
        <v>0.0</v>
      </c>
      <c r="I15" s="91">
        <v>6.0</v>
      </c>
      <c r="J15" s="91">
        <v>6.0</v>
      </c>
      <c r="K15" s="91">
        <v>4.0</v>
      </c>
      <c r="L15" s="93">
        <v>16.0</v>
      </c>
      <c r="M15" s="91">
        <v>1.0</v>
      </c>
      <c r="N15" s="37">
        <f t="shared" ref="N15:O15" si="20">C15+L15</f>
        <v>249</v>
      </c>
      <c r="O15" s="37">
        <f t="shared" si="20"/>
        <v>23</v>
      </c>
      <c r="P15" s="49" t="s">
        <v>57</v>
      </c>
      <c r="Q15" s="49" t="s">
        <v>57</v>
      </c>
      <c r="R15" s="49" t="s">
        <v>57</v>
      </c>
      <c r="S15" s="51">
        <f t="shared" si="4"/>
        <v>15</v>
      </c>
      <c r="T15" s="52">
        <f t="shared" si="5"/>
        <v>1</v>
      </c>
      <c r="U15" s="52"/>
      <c r="V15" s="51">
        <f t="shared" si="6"/>
        <v>3</v>
      </c>
      <c r="W15" s="52">
        <f t="shared" si="7"/>
        <v>4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120</v>
      </c>
      <c r="C16" s="37">
        <v>233.0</v>
      </c>
      <c r="D16" s="37">
        <v>19.0</v>
      </c>
      <c r="E16" s="40">
        <f t="shared" si="2"/>
        <v>15.2</v>
      </c>
      <c r="F16" s="90">
        <v>1.0</v>
      </c>
      <c r="G16" s="91">
        <v>3.0</v>
      </c>
      <c r="H16" s="92">
        <v>0.0</v>
      </c>
      <c r="I16" s="91">
        <v>1.0</v>
      </c>
      <c r="J16" s="91">
        <v>6.0</v>
      </c>
      <c r="K16" s="91">
        <v>6.0</v>
      </c>
      <c r="L16" s="93">
        <v>13.0</v>
      </c>
      <c r="M16" s="91">
        <v>2.0</v>
      </c>
      <c r="N16" s="37">
        <f t="shared" ref="N16:O16" si="21">C16+L16</f>
        <v>246</v>
      </c>
      <c r="O16" s="37">
        <f t="shared" si="21"/>
        <v>21</v>
      </c>
      <c r="P16" s="49" t="s">
        <v>57</v>
      </c>
      <c r="Q16" s="49" t="s">
        <v>57</v>
      </c>
      <c r="R16" s="49" t="s">
        <v>57</v>
      </c>
      <c r="S16" s="51">
        <f t="shared" si="4"/>
        <v>10</v>
      </c>
      <c r="T16" s="52">
        <f t="shared" si="5"/>
        <v>0</v>
      </c>
      <c r="U16" s="52"/>
      <c r="V16" s="51">
        <f t="shared" si="6"/>
        <v>9</v>
      </c>
      <c r="W16" s="52">
        <f t="shared" si="7"/>
        <v>6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135</v>
      </c>
      <c r="C17" s="37">
        <v>232.0</v>
      </c>
      <c r="D17" s="37">
        <v>17.0</v>
      </c>
      <c r="E17" s="40">
        <f t="shared" si="2"/>
        <v>13.06666667</v>
      </c>
      <c r="F17" s="90">
        <v>1.0</v>
      </c>
      <c r="G17" s="91">
        <v>3.0</v>
      </c>
      <c r="H17" s="92">
        <v>0.0</v>
      </c>
      <c r="I17" s="91">
        <v>6.0</v>
      </c>
      <c r="J17" s="91">
        <v>2.0</v>
      </c>
      <c r="K17" s="91">
        <v>6.0</v>
      </c>
      <c r="L17" s="93">
        <v>14.0</v>
      </c>
      <c r="M17" s="91">
        <v>2.0</v>
      </c>
      <c r="N17" s="37">
        <f t="shared" ref="N17:O17" si="22">C17+L17</f>
        <v>246</v>
      </c>
      <c r="O17" s="37">
        <f t="shared" si="22"/>
        <v>19</v>
      </c>
      <c r="P17" s="49" t="s">
        <v>57</v>
      </c>
      <c r="Q17" s="49" t="s">
        <v>57</v>
      </c>
      <c r="R17" s="49" t="s">
        <v>57</v>
      </c>
      <c r="S17" s="51">
        <f t="shared" si="4"/>
        <v>15</v>
      </c>
      <c r="T17" s="52">
        <f t="shared" si="5"/>
        <v>0</v>
      </c>
      <c r="U17" s="52"/>
      <c r="V17" s="51">
        <f t="shared" si="6"/>
        <v>4</v>
      </c>
      <c r="W17" s="52">
        <f t="shared" si="7"/>
        <v>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111</v>
      </c>
      <c r="C18" s="37">
        <v>231.0</v>
      </c>
      <c r="D18" s="37">
        <v>20.0</v>
      </c>
      <c r="E18" s="40">
        <f t="shared" si="2"/>
        <v>13.66666667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240</v>
      </c>
      <c r="O18" s="37">
        <f t="shared" si="23"/>
        <v>20</v>
      </c>
      <c r="P18" s="49" t="s">
        <v>57</v>
      </c>
      <c r="Q18" s="49" t="s">
        <v>57</v>
      </c>
      <c r="R18" s="49" t="s">
        <v>57</v>
      </c>
      <c r="S18" s="51">
        <f t="shared" si="4"/>
        <v>12</v>
      </c>
      <c r="T18" s="52">
        <f t="shared" si="5"/>
        <v>1</v>
      </c>
      <c r="U18" s="52"/>
      <c r="V18" s="51">
        <f t="shared" si="6"/>
        <v>6</v>
      </c>
      <c r="W18" s="52">
        <f t="shared" si="7"/>
        <v>-2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96</v>
      </c>
      <c r="C19" s="37">
        <v>229.0</v>
      </c>
      <c r="D19" s="37">
        <v>24.0</v>
      </c>
      <c r="E19" s="40">
        <f t="shared" si="2"/>
        <v>12.22222222</v>
      </c>
      <c r="F19" s="90">
        <v>1.0</v>
      </c>
      <c r="G19" s="91">
        <v>3.0</v>
      </c>
      <c r="H19" s="92">
        <v>0.0</v>
      </c>
      <c r="I19" s="91">
        <v>1.0</v>
      </c>
      <c r="J19" s="91">
        <v>2.0</v>
      </c>
      <c r="K19" s="91">
        <v>2.0</v>
      </c>
      <c r="L19" s="93">
        <v>5.0</v>
      </c>
      <c r="M19" s="91">
        <v>0.0</v>
      </c>
      <c r="N19" s="37">
        <f t="shared" ref="N19:O19" si="24">C19+L19</f>
        <v>234</v>
      </c>
      <c r="O19" s="37">
        <f t="shared" si="24"/>
        <v>24</v>
      </c>
      <c r="P19" s="49" t="s">
        <v>57</v>
      </c>
      <c r="Q19" s="49" t="s">
        <v>57</v>
      </c>
      <c r="R19" s="49" t="s">
        <v>57</v>
      </c>
      <c r="S19" s="51">
        <f t="shared" si="4"/>
        <v>18</v>
      </c>
      <c r="T19" s="52">
        <f t="shared" si="5"/>
        <v>0</v>
      </c>
      <c r="U19" s="52"/>
      <c r="V19" s="51">
        <f t="shared" si="6"/>
        <v>1</v>
      </c>
      <c r="W19" s="52">
        <f t="shared" si="7"/>
        <v>-2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103</v>
      </c>
      <c r="C20" s="37">
        <v>229.0</v>
      </c>
      <c r="D20" s="37">
        <v>22.0</v>
      </c>
      <c r="E20" s="40">
        <f t="shared" si="2"/>
        <v>12.6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238</v>
      </c>
      <c r="O20" s="37">
        <f t="shared" si="25"/>
        <v>22</v>
      </c>
      <c r="P20" s="49" t="s">
        <v>57</v>
      </c>
      <c r="Q20" s="49" t="s">
        <v>57</v>
      </c>
      <c r="R20" s="49" t="s">
        <v>57</v>
      </c>
      <c r="S20" s="51">
        <f t="shared" si="4"/>
        <v>15</v>
      </c>
      <c r="T20" s="52">
        <f t="shared" si="5"/>
        <v>1</v>
      </c>
      <c r="U20" s="52"/>
      <c r="V20" s="51">
        <f t="shared" si="6"/>
        <v>3</v>
      </c>
      <c r="W20" s="52">
        <f t="shared" si="7"/>
        <v>-6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99</v>
      </c>
      <c r="C21" s="37">
        <v>229.0</v>
      </c>
      <c r="D21" s="37">
        <v>22.0</v>
      </c>
      <c r="E21" s="40">
        <f t="shared" si="2"/>
        <v>13.15384615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238</v>
      </c>
      <c r="O21" s="37">
        <f t="shared" si="26"/>
        <v>22</v>
      </c>
      <c r="P21" s="49" t="s">
        <v>57</v>
      </c>
      <c r="Q21" s="49" t="s">
        <v>57</v>
      </c>
      <c r="R21" s="49" t="s">
        <v>57</v>
      </c>
      <c r="S21" s="51">
        <f t="shared" si="4"/>
        <v>13</v>
      </c>
      <c r="T21" s="52">
        <f t="shared" si="5"/>
        <v>1</v>
      </c>
      <c r="U21" s="52"/>
      <c r="V21" s="51">
        <f t="shared" si="6"/>
        <v>5</v>
      </c>
      <c r="W21" s="52">
        <f t="shared" si="7"/>
        <v>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91</v>
      </c>
      <c r="C22" s="37">
        <v>229.0</v>
      </c>
      <c r="D22" s="37">
        <v>20.0</v>
      </c>
      <c r="E22" s="40">
        <f t="shared" si="2"/>
        <v>14.27272727</v>
      </c>
      <c r="F22" s="90">
        <v>2.0</v>
      </c>
      <c r="G22" s="91">
        <v>3.0</v>
      </c>
      <c r="H22" s="92">
        <v>0.0</v>
      </c>
      <c r="I22" s="91">
        <v>6.0</v>
      </c>
      <c r="J22" s="91">
        <v>6.0</v>
      </c>
      <c r="K22" s="91">
        <v>2.0</v>
      </c>
      <c r="L22" s="93">
        <v>14.0</v>
      </c>
      <c r="M22" s="91">
        <v>2.0</v>
      </c>
      <c r="N22" s="37">
        <f t="shared" ref="N22:O22" si="27">C22+L22</f>
        <v>243</v>
      </c>
      <c r="O22" s="37">
        <f t="shared" si="27"/>
        <v>22</v>
      </c>
      <c r="P22" s="49" t="s">
        <v>57</v>
      </c>
      <c r="Q22" s="49" t="s">
        <v>57</v>
      </c>
      <c r="R22" s="49" t="s">
        <v>57</v>
      </c>
      <c r="S22" s="51">
        <f t="shared" si="4"/>
        <v>11</v>
      </c>
      <c r="T22" s="52">
        <f t="shared" si="5"/>
        <v>0</v>
      </c>
      <c r="U22" s="52"/>
      <c r="V22" s="51">
        <f t="shared" si="6"/>
        <v>8</v>
      </c>
      <c r="W22" s="52">
        <f t="shared" si="7"/>
        <v>-4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126</v>
      </c>
      <c r="C23" s="37">
        <v>228.0</v>
      </c>
      <c r="D23" s="37">
        <v>22.0</v>
      </c>
      <c r="E23" s="40">
        <f t="shared" si="2"/>
        <v>13.07142857</v>
      </c>
      <c r="F23" s="90">
        <v>1.0</v>
      </c>
      <c r="G23" s="91">
        <v>4.0</v>
      </c>
      <c r="H23" s="92">
        <v>0.0</v>
      </c>
      <c r="I23" s="91">
        <v>1.0</v>
      </c>
      <c r="J23" s="91">
        <v>2.0</v>
      </c>
      <c r="K23" s="91">
        <v>6.0</v>
      </c>
      <c r="L23" s="93">
        <v>9.0</v>
      </c>
      <c r="M23" s="91">
        <v>1.0</v>
      </c>
      <c r="N23" s="37">
        <f t="shared" ref="N23:O23" si="28">C23+L23</f>
        <v>237</v>
      </c>
      <c r="O23" s="37">
        <f t="shared" si="28"/>
        <v>23</v>
      </c>
      <c r="P23" s="49" t="s">
        <v>57</v>
      </c>
      <c r="Q23" s="49" t="s">
        <v>57</v>
      </c>
      <c r="R23" s="49" t="s">
        <v>57</v>
      </c>
      <c r="S23" s="51">
        <f t="shared" si="4"/>
        <v>14</v>
      </c>
      <c r="T23" s="52">
        <f t="shared" si="5"/>
        <v>0</v>
      </c>
      <c r="U23" s="52"/>
      <c r="V23" s="51">
        <f t="shared" si="6"/>
        <v>5</v>
      </c>
      <c r="W23" s="52">
        <f t="shared" si="7"/>
        <v>4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137</v>
      </c>
      <c r="C24" s="37">
        <v>227.0</v>
      </c>
      <c r="D24" s="37">
        <v>21.0</v>
      </c>
      <c r="E24" s="40">
        <f t="shared" si="2"/>
        <v>12.73333333</v>
      </c>
      <c r="F24" s="90">
        <v>1.0</v>
      </c>
      <c r="G24" s="91">
        <v>4.0</v>
      </c>
      <c r="H24" s="92">
        <v>0.0</v>
      </c>
      <c r="I24" s="91">
        <v>1.0</v>
      </c>
      <c r="J24" s="91">
        <v>6.0</v>
      </c>
      <c r="K24" s="91">
        <v>2.0</v>
      </c>
      <c r="L24" s="93">
        <v>9.0</v>
      </c>
      <c r="M24" s="91">
        <v>1.0</v>
      </c>
      <c r="N24" s="37">
        <f t="shared" ref="N24:O24" si="29">C24+L24</f>
        <v>236</v>
      </c>
      <c r="O24" s="37">
        <f t="shared" si="29"/>
        <v>22</v>
      </c>
      <c r="P24" s="49" t="s">
        <v>57</v>
      </c>
      <c r="Q24" s="49" t="s">
        <v>57</v>
      </c>
      <c r="R24" s="49" t="s">
        <v>57</v>
      </c>
      <c r="S24" s="51">
        <f t="shared" si="4"/>
        <v>15</v>
      </c>
      <c r="T24" s="52">
        <f t="shared" si="5"/>
        <v>0</v>
      </c>
      <c r="U24" s="52"/>
      <c r="V24" s="51">
        <f t="shared" si="6"/>
        <v>4</v>
      </c>
      <c r="W24" s="52">
        <f t="shared" si="7"/>
        <v>6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108</v>
      </c>
      <c r="C25" s="37">
        <v>226.0</v>
      </c>
      <c r="D25" s="37">
        <v>22.0</v>
      </c>
      <c r="E25" s="40">
        <f t="shared" si="2"/>
        <v>12.92857143</v>
      </c>
      <c r="F25" s="90">
        <v>1.0</v>
      </c>
      <c r="G25" s="91">
        <v>4.0</v>
      </c>
      <c r="H25" s="92">
        <v>0.0</v>
      </c>
      <c r="I25" s="91">
        <v>6.0</v>
      </c>
      <c r="J25" s="91">
        <v>2.0</v>
      </c>
      <c r="K25" s="91">
        <v>2.0</v>
      </c>
      <c r="L25" s="93">
        <v>10.0</v>
      </c>
      <c r="M25" s="91">
        <v>1.0</v>
      </c>
      <c r="N25" s="37">
        <f t="shared" ref="N25:O25" si="30">C25+L25</f>
        <v>236</v>
      </c>
      <c r="O25" s="37">
        <f t="shared" si="30"/>
        <v>23</v>
      </c>
      <c r="P25" s="49" t="s">
        <v>57</v>
      </c>
      <c r="Q25" s="49" t="s">
        <v>57</v>
      </c>
      <c r="R25" s="49" t="s">
        <v>57</v>
      </c>
      <c r="S25" s="51">
        <f t="shared" si="4"/>
        <v>14</v>
      </c>
      <c r="T25" s="52">
        <f t="shared" si="5"/>
        <v>0</v>
      </c>
      <c r="U25" s="52"/>
      <c r="V25" s="51">
        <f t="shared" si="6"/>
        <v>5</v>
      </c>
      <c r="W25" s="52">
        <f t="shared" si="7"/>
        <v>1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89</v>
      </c>
      <c r="C26" s="37">
        <v>226.0</v>
      </c>
      <c r="D26" s="37">
        <v>20.0</v>
      </c>
      <c r="E26" s="40">
        <f t="shared" si="2"/>
        <v>14.5</v>
      </c>
      <c r="F26" s="90">
        <v>1.0</v>
      </c>
      <c r="G26" s="91">
        <v>4.0</v>
      </c>
      <c r="H26" s="92">
        <v>0.0</v>
      </c>
      <c r="I26" s="91">
        <v>6.0</v>
      </c>
      <c r="J26" s="91">
        <v>6.0</v>
      </c>
      <c r="K26" s="91">
        <v>6.0</v>
      </c>
      <c r="L26" s="93">
        <v>18.0</v>
      </c>
      <c r="M26" s="91">
        <v>3.0</v>
      </c>
      <c r="N26" s="37">
        <f t="shared" ref="N26:O26" si="31">C26+L26</f>
        <v>244</v>
      </c>
      <c r="O26" s="37">
        <f t="shared" si="31"/>
        <v>23</v>
      </c>
      <c r="P26" s="49" t="s">
        <v>57</v>
      </c>
      <c r="Q26" s="49" t="s">
        <v>57</v>
      </c>
      <c r="R26" s="49" t="s">
        <v>57</v>
      </c>
      <c r="S26" s="51">
        <f t="shared" si="4"/>
        <v>10</v>
      </c>
      <c r="T26" s="52">
        <f t="shared" si="5"/>
        <v>0</v>
      </c>
      <c r="U26" s="52"/>
      <c r="V26" s="51">
        <f t="shared" si="6"/>
        <v>9</v>
      </c>
      <c r="W26" s="52">
        <f t="shared" si="7"/>
        <v>-6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112</v>
      </c>
      <c r="C27" s="37">
        <v>225.0</v>
      </c>
      <c r="D27" s="37">
        <v>17.0</v>
      </c>
      <c r="E27" s="40">
        <f t="shared" si="2"/>
        <v>12.85714286</v>
      </c>
      <c r="F27" s="90">
        <v>2.0</v>
      </c>
      <c r="G27" s="91">
        <v>5.0</v>
      </c>
      <c r="H27" s="92">
        <v>0.0</v>
      </c>
      <c r="I27" s="91">
        <v>6.0</v>
      </c>
      <c r="J27" s="91">
        <v>2.0</v>
      </c>
      <c r="K27" s="91">
        <v>3.0</v>
      </c>
      <c r="L27" s="93">
        <v>11.0</v>
      </c>
      <c r="M27" s="91">
        <v>1.0</v>
      </c>
      <c r="N27" s="37">
        <f t="shared" ref="N27:O27" si="32">C27+L27</f>
        <v>236</v>
      </c>
      <c r="O27" s="37">
        <f t="shared" si="32"/>
        <v>18</v>
      </c>
      <c r="P27" s="49" t="s">
        <v>57</v>
      </c>
      <c r="Q27" s="49" t="s">
        <v>57</v>
      </c>
      <c r="R27" s="49" t="s">
        <v>57</v>
      </c>
      <c r="S27" s="51">
        <f t="shared" si="4"/>
        <v>14</v>
      </c>
      <c r="T27" s="52">
        <f t="shared" si="5"/>
        <v>0</v>
      </c>
      <c r="U27" s="52"/>
      <c r="V27" s="51">
        <f t="shared" si="6"/>
        <v>5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97</v>
      </c>
      <c r="C28" s="37">
        <v>222.0</v>
      </c>
      <c r="D28" s="37">
        <v>16.0</v>
      </c>
      <c r="E28" s="40">
        <f t="shared" si="2"/>
        <v>13.63636364</v>
      </c>
      <c r="F28" s="90">
        <v>1.0</v>
      </c>
      <c r="G28" s="91">
        <v>5.0</v>
      </c>
      <c r="H28" s="92">
        <v>0.0</v>
      </c>
      <c r="I28" s="91">
        <v>3.0</v>
      </c>
      <c r="J28" s="91">
        <v>6.0</v>
      </c>
      <c r="K28" s="91">
        <v>3.0</v>
      </c>
      <c r="L28" s="93">
        <v>12.0</v>
      </c>
      <c r="M28" s="91">
        <v>1.0</v>
      </c>
      <c r="N28" s="37">
        <f t="shared" ref="N28:O28" si="33">C28+L28</f>
        <v>234</v>
      </c>
      <c r="O28" s="37">
        <f t="shared" si="33"/>
        <v>17</v>
      </c>
      <c r="P28" s="49" t="s">
        <v>57</v>
      </c>
      <c r="Q28" s="49" t="s">
        <v>57</v>
      </c>
      <c r="R28" s="49" t="s">
        <v>57</v>
      </c>
      <c r="S28" s="51">
        <f t="shared" si="4"/>
        <v>11</v>
      </c>
      <c r="T28" s="52">
        <f t="shared" si="5"/>
        <v>0</v>
      </c>
      <c r="U28" s="52"/>
      <c r="V28" s="51">
        <f t="shared" si="6"/>
        <v>8</v>
      </c>
      <c r="W28" s="52">
        <f t="shared" si="7"/>
        <v>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128</v>
      </c>
      <c r="C29" s="37">
        <v>221.0</v>
      </c>
      <c r="D29" s="37">
        <v>17.0</v>
      </c>
      <c r="E29" s="40">
        <f t="shared" si="2"/>
        <v>12.57142857</v>
      </c>
      <c r="F29" s="90">
        <v>1.0</v>
      </c>
      <c r="G29" s="91">
        <v>5.0</v>
      </c>
      <c r="H29" s="92">
        <v>0.0</v>
      </c>
      <c r="I29" s="91">
        <v>3.0</v>
      </c>
      <c r="J29" s="91">
        <v>2.0</v>
      </c>
      <c r="K29" s="91">
        <v>6.0</v>
      </c>
      <c r="L29" s="93">
        <v>11.0</v>
      </c>
      <c r="M29" s="91">
        <v>1.0</v>
      </c>
      <c r="N29" s="37">
        <f t="shared" ref="N29:O29" si="34">C29+L29</f>
        <v>232</v>
      </c>
      <c r="O29" s="37">
        <f t="shared" si="34"/>
        <v>18</v>
      </c>
      <c r="P29" s="49" t="s">
        <v>57</v>
      </c>
      <c r="Q29" s="49" t="s">
        <v>57</v>
      </c>
      <c r="R29" s="49" t="s">
        <v>57</v>
      </c>
      <c r="S29" s="51">
        <f t="shared" si="4"/>
        <v>14</v>
      </c>
      <c r="T29" s="52">
        <f t="shared" si="5"/>
        <v>0</v>
      </c>
      <c r="U29" s="52"/>
      <c r="V29" s="51">
        <f t="shared" si="6"/>
        <v>5</v>
      </c>
      <c r="W29" s="52">
        <f t="shared" si="7"/>
        <v>-4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73</v>
      </c>
      <c r="C30" s="37">
        <v>220.0</v>
      </c>
      <c r="D30" s="37">
        <v>19.0</v>
      </c>
      <c r="E30" s="40">
        <f t="shared" si="2"/>
        <v>15.125</v>
      </c>
      <c r="F30" s="90">
        <v>1.0</v>
      </c>
      <c r="G30" s="91">
        <v>5.0</v>
      </c>
      <c r="H30" s="92">
        <v>0.0</v>
      </c>
      <c r="I30" s="91">
        <v>6.0</v>
      </c>
      <c r="J30" s="91">
        <v>6.0</v>
      </c>
      <c r="K30" s="91">
        <v>6.0</v>
      </c>
      <c r="L30" s="93">
        <v>18.0</v>
      </c>
      <c r="M30" s="91">
        <v>3.0</v>
      </c>
      <c r="N30" s="37">
        <f t="shared" ref="N30:O30" si="35">C30+L30</f>
        <v>238</v>
      </c>
      <c r="O30" s="37">
        <f t="shared" si="35"/>
        <v>22</v>
      </c>
      <c r="P30" s="49" t="s">
        <v>57</v>
      </c>
      <c r="Q30" s="49" t="s">
        <v>57</v>
      </c>
      <c r="R30" s="49" t="s">
        <v>57</v>
      </c>
      <c r="S30" s="51">
        <f t="shared" si="4"/>
        <v>8</v>
      </c>
      <c r="T30" s="52">
        <f t="shared" si="5"/>
        <v>0</v>
      </c>
      <c r="U30" s="52"/>
      <c r="V30" s="51">
        <f t="shared" si="6"/>
        <v>11</v>
      </c>
      <c r="W30" s="52">
        <f t="shared" si="7"/>
        <v>9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113</v>
      </c>
      <c r="C31" s="37">
        <v>219.0</v>
      </c>
      <c r="D31" s="37">
        <v>19.0</v>
      </c>
      <c r="E31" s="40">
        <f t="shared" si="2"/>
        <v>13.8</v>
      </c>
      <c r="F31" s="90">
        <v>1.0</v>
      </c>
      <c r="G31" s="91">
        <v>6.0</v>
      </c>
      <c r="H31" s="92">
        <v>0.0</v>
      </c>
      <c r="I31" s="91">
        <v>6.0</v>
      </c>
      <c r="J31" s="91">
        <v>6.0</v>
      </c>
      <c r="K31" s="91">
        <v>6.0</v>
      </c>
      <c r="L31" s="93">
        <v>18.0</v>
      </c>
      <c r="M31" s="91">
        <v>2.0</v>
      </c>
      <c r="N31" s="37">
        <f t="shared" ref="N31:O31" si="36">C31+L31</f>
        <v>237</v>
      </c>
      <c r="O31" s="37">
        <f t="shared" si="36"/>
        <v>21</v>
      </c>
      <c r="P31" s="49" t="s">
        <v>57</v>
      </c>
      <c r="Q31" s="49" t="s">
        <v>57</v>
      </c>
      <c r="R31" s="49" t="s">
        <v>57</v>
      </c>
      <c r="S31" s="51">
        <f t="shared" si="4"/>
        <v>10</v>
      </c>
      <c r="T31" s="52">
        <f t="shared" si="5"/>
        <v>0</v>
      </c>
      <c r="U31" s="52"/>
      <c r="V31" s="51">
        <f t="shared" si="6"/>
        <v>9</v>
      </c>
      <c r="W31" s="52">
        <f t="shared" si="7"/>
        <v>-3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132</v>
      </c>
      <c r="C32" s="37">
        <v>219.0</v>
      </c>
      <c r="D32" s="37">
        <v>18.0</v>
      </c>
      <c r="E32" s="40">
        <f t="shared" si="2"/>
        <v>15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228</v>
      </c>
      <c r="O32" s="37">
        <f t="shared" si="37"/>
        <v>18</v>
      </c>
      <c r="P32" s="49" t="s">
        <v>57</v>
      </c>
      <c r="Q32" s="49" t="s">
        <v>57</v>
      </c>
      <c r="R32" s="49" t="s">
        <v>57</v>
      </c>
      <c r="S32" s="51">
        <f t="shared" si="4"/>
        <v>8</v>
      </c>
      <c r="T32" s="52">
        <f t="shared" si="5"/>
        <v>0</v>
      </c>
      <c r="U32" s="52"/>
      <c r="V32" s="51">
        <f t="shared" si="6"/>
        <v>11</v>
      </c>
      <c r="W32" s="52">
        <f t="shared" si="7"/>
        <v>-3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139</v>
      </c>
      <c r="C33" s="37">
        <v>218.0</v>
      </c>
      <c r="D33" s="37">
        <v>20.0</v>
      </c>
      <c r="E33" s="40">
        <f t="shared" si="2"/>
        <v>11.9375</v>
      </c>
      <c r="F33" s="90">
        <v>1.0</v>
      </c>
      <c r="G33" s="91">
        <v>6.0</v>
      </c>
      <c r="H33" s="92">
        <v>0.0</v>
      </c>
      <c r="I33" s="91">
        <v>3.0</v>
      </c>
      <c r="J33" s="91">
        <v>6.0</v>
      </c>
      <c r="K33" s="91">
        <v>4.0</v>
      </c>
      <c r="L33" s="93">
        <v>13.0</v>
      </c>
      <c r="M33" s="91">
        <v>0.0</v>
      </c>
      <c r="N33" s="37">
        <f t="shared" ref="N33:O33" si="38">C33+L33</f>
        <v>231</v>
      </c>
      <c r="O33" s="37">
        <f t="shared" si="38"/>
        <v>20</v>
      </c>
      <c r="P33" s="49" t="s">
        <v>57</v>
      </c>
      <c r="Q33" s="49" t="s">
        <v>57</v>
      </c>
      <c r="R33" s="49" t="s">
        <v>57</v>
      </c>
      <c r="S33" s="51">
        <f t="shared" si="4"/>
        <v>16</v>
      </c>
      <c r="T33" s="52">
        <f t="shared" si="5"/>
        <v>0</v>
      </c>
      <c r="U33" s="52"/>
      <c r="V33" s="51">
        <f t="shared" si="6"/>
        <v>3</v>
      </c>
      <c r="W33" s="52">
        <f t="shared" si="7"/>
        <v>-1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114</v>
      </c>
      <c r="C34" s="37">
        <v>217.0</v>
      </c>
      <c r="D34" s="37">
        <v>20.0</v>
      </c>
      <c r="E34" s="40">
        <f t="shared" si="2"/>
        <v>14.11111111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226</v>
      </c>
      <c r="O34" s="37">
        <f t="shared" si="39"/>
        <v>20</v>
      </c>
      <c r="P34" s="49" t="s">
        <v>57</v>
      </c>
      <c r="Q34" s="49" t="s">
        <v>57</v>
      </c>
      <c r="R34" s="49" t="s">
        <v>57</v>
      </c>
      <c r="S34" s="51">
        <f t="shared" si="4"/>
        <v>9</v>
      </c>
      <c r="T34" s="52">
        <f t="shared" si="5"/>
        <v>0</v>
      </c>
      <c r="U34" s="52"/>
      <c r="V34" s="51">
        <f t="shared" si="6"/>
        <v>10</v>
      </c>
      <c r="W34" s="52">
        <f t="shared" si="7"/>
        <v>-3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59</v>
      </c>
      <c r="C35" s="37">
        <v>217.0</v>
      </c>
      <c r="D35" s="37">
        <v>18.0</v>
      </c>
      <c r="E35" s="40">
        <f t="shared" si="2"/>
        <v>11.55555556</v>
      </c>
      <c r="F35" s="90">
        <v>1.0</v>
      </c>
      <c r="G35" s="91">
        <v>6.0</v>
      </c>
      <c r="H35" s="92">
        <v>0.0</v>
      </c>
      <c r="I35" s="91">
        <v>6.0</v>
      </c>
      <c r="J35" s="91">
        <v>7.0</v>
      </c>
      <c r="K35" s="91">
        <v>4.0</v>
      </c>
      <c r="L35" s="93">
        <v>17.0</v>
      </c>
      <c r="M35" s="91">
        <v>2.0</v>
      </c>
      <c r="N35" s="37">
        <f t="shared" ref="N35:O35" si="40">C35+L35</f>
        <v>234</v>
      </c>
      <c r="O35" s="37">
        <f t="shared" si="40"/>
        <v>20</v>
      </c>
      <c r="P35" s="49" t="s">
        <v>57</v>
      </c>
      <c r="Q35" s="49" t="s">
        <v>57</v>
      </c>
      <c r="R35" s="49" t="s">
        <v>57</v>
      </c>
      <c r="S35" s="51">
        <f t="shared" si="4"/>
        <v>18</v>
      </c>
      <c r="T35" s="52">
        <f t="shared" si="5"/>
        <v>0</v>
      </c>
      <c r="U35" s="52"/>
      <c r="V35" s="51">
        <f t="shared" si="6"/>
        <v>1</v>
      </c>
      <c r="W35" s="52">
        <f t="shared" si="7"/>
        <v>-1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130</v>
      </c>
      <c r="C36" s="37">
        <v>215.0</v>
      </c>
      <c r="D36" s="37">
        <v>21.0</v>
      </c>
      <c r="E36" s="40">
        <f t="shared" si="2"/>
        <v>11.31578947</v>
      </c>
      <c r="F36" s="90">
        <v>1.0</v>
      </c>
      <c r="G36" s="91">
        <v>6.0</v>
      </c>
      <c r="H36" s="92">
        <v>0.0</v>
      </c>
      <c r="I36" s="91">
        <v>3.0</v>
      </c>
      <c r="J36" s="91">
        <v>7.0</v>
      </c>
      <c r="K36" s="91">
        <v>6.0</v>
      </c>
      <c r="L36" s="93">
        <v>16.0</v>
      </c>
      <c r="M36" s="91">
        <v>2.0</v>
      </c>
      <c r="N36" s="37">
        <f t="shared" ref="N36:O36" si="41">C36+L36</f>
        <v>231</v>
      </c>
      <c r="O36" s="37">
        <f t="shared" si="41"/>
        <v>23</v>
      </c>
      <c r="P36" s="49" t="s">
        <v>57</v>
      </c>
      <c r="Q36" s="49" t="s">
        <v>57</v>
      </c>
      <c r="R36" s="49" t="s">
        <v>57</v>
      </c>
      <c r="S36" s="51">
        <f t="shared" si="4"/>
        <v>19</v>
      </c>
      <c r="T36" s="52">
        <f t="shared" si="5"/>
        <v>0</v>
      </c>
      <c r="U36" s="52"/>
      <c r="V36" s="51">
        <f t="shared" si="6"/>
        <v>0</v>
      </c>
      <c r="W36" s="52">
        <f t="shared" si="7"/>
        <v>-1</v>
      </c>
      <c r="X36" s="35">
        <f t="shared" si="12"/>
        <v>32</v>
      </c>
      <c r="Y36" s="35" t="str">
        <f t="shared" si="8"/>
        <v>Y</v>
      </c>
      <c r="Z36" s="19" t="str">
        <f t="shared" si="9"/>
        <v/>
      </c>
    </row>
    <row r="37">
      <c r="A37" s="35">
        <f t="shared" si="10"/>
        <v>33</v>
      </c>
      <c r="B37" s="36" t="s">
        <v>142</v>
      </c>
      <c r="C37" s="37">
        <v>215.0</v>
      </c>
      <c r="D37" s="37">
        <v>18.0</v>
      </c>
      <c r="E37" s="40">
        <f t="shared" si="2"/>
        <v>13.4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224</v>
      </c>
      <c r="O37" s="37">
        <f t="shared" si="42"/>
        <v>18</v>
      </c>
      <c r="P37" s="49" t="s">
        <v>57</v>
      </c>
      <c r="Q37" s="49" t="s">
        <v>57</v>
      </c>
      <c r="R37" s="49" t="s">
        <v>57</v>
      </c>
      <c r="S37" s="51">
        <f t="shared" si="4"/>
        <v>10</v>
      </c>
      <c r="T37" s="52">
        <f t="shared" si="5"/>
        <v>0</v>
      </c>
      <c r="U37" s="52"/>
      <c r="V37" s="51">
        <f t="shared" si="6"/>
        <v>9</v>
      </c>
      <c r="W37" s="52">
        <f t="shared" si="7"/>
        <v>-1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138</v>
      </c>
      <c r="C38" s="37">
        <v>214.0</v>
      </c>
      <c r="D38" s="37">
        <v>17.0</v>
      </c>
      <c r="E38" s="40">
        <f t="shared" si="2"/>
        <v>12.58333333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3">C38+L38</f>
        <v>223</v>
      </c>
      <c r="O38" s="37">
        <f t="shared" si="43"/>
        <v>17</v>
      </c>
      <c r="P38" s="49" t="s">
        <v>57</v>
      </c>
      <c r="Q38" s="49" t="s">
        <v>57</v>
      </c>
      <c r="R38" s="49" t="s">
        <v>57</v>
      </c>
      <c r="S38" s="51">
        <f t="shared" si="4"/>
        <v>12</v>
      </c>
      <c r="T38" s="52">
        <f t="shared" si="5"/>
        <v>0</v>
      </c>
      <c r="U38" s="52"/>
      <c r="V38" s="51">
        <f t="shared" si="6"/>
        <v>7</v>
      </c>
      <c r="W38" s="52">
        <f t="shared" si="7"/>
        <v>7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115</v>
      </c>
      <c r="C39" s="37">
        <v>214.0</v>
      </c>
      <c r="D39" s="37">
        <v>16.0</v>
      </c>
      <c r="E39" s="40">
        <f t="shared" si="2"/>
        <v>12.07142857</v>
      </c>
      <c r="F39" s="90">
        <v>1.0</v>
      </c>
      <c r="G39" s="91">
        <v>7.0</v>
      </c>
      <c r="H39" s="92">
        <v>0.0</v>
      </c>
      <c r="I39" s="91">
        <v>2.0</v>
      </c>
      <c r="J39" s="91">
        <v>6.0</v>
      </c>
      <c r="K39" s="91">
        <v>6.0</v>
      </c>
      <c r="L39" s="93">
        <v>14.0</v>
      </c>
      <c r="M39" s="91">
        <v>2.0</v>
      </c>
      <c r="N39" s="37">
        <f t="shared" ref="N39:O39" si="44">C39+L39</f>
        <v>228</v>
      </c>
      <c r="O39" s="37">
        <f t="shared" si="44"/>
        <v>18</v>
      </c>
      <c r="P39" s="49" t="s">
        <v>57</v>
      </c>
      <c r="Q39" s="49" t="s">
        <v>57</v>
      </c>
      <c r="R39" s="49" t="s">
        <v>57</v>
      </c>
      <c r="S39" s="51">
        <f t="shared" si="4"/>
        <v>14</v>
      </c>
      <c r="T39" s="52">
        <f t="shared" si="5"/>
        <v>0</v>
      </c>
      <c r="U39" s="52"/>
      <c r="V39" s="51">
        <f t="shared" si="6"/>
        <v>5</v>
      </c>
      <c r="W39" s="52">
        <f t="shared" si="7"/>
        <v>9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107</v>
      </c>
      <c r="C40" s="37">
        <v>213.0</v>
      </c>
      <c r="D40" s="37">
        <v>18.0</v>
      </c>
      <c r="E40" s="40">
        <f t="shared" si="2"/>
        <v>12.23076923</v>
      </c>
      <c r="F40" s="90">
        <v>2.0</v>
      </c>
      <c r="G40" s="91">
        <v>7.0</v>
      </c>
      <c r="H40" s="92">
        <v>0.0</v>
      </c>
      <c r="I40" s="91">
        <v>6.0</v>
      </c>
      <c r="J40" s="91">
        <v>3.0</v>
      </c>
      <c r="K40" s="91">
        <v>6.0</v>
      </c>
      <c r="L40" s="93">
        <v>15.0</v>
      </c>
      <c r="M40" s="91">
        <v>2.0</v>
      </c>
      <c r="N40" s="37">
        <f t="shared" ref="N40:O40" si="45">C40+L40</f>
        <v>228</v>
      </c>
      <c r="O40" s="37">
        <f t="shared" si="45"/>
        <v>20</v>
      </c>
      <c r="P40" s="49" t="s">
        <v>57</v>
      </c>
      <c r="Q40" s="49" t="s">
        <v>57</v>
      </c>
      <c r="R40" s="49" t="s">
        <v>57</v>
      </c>
      <c r="S40" s="51">
        <f t="shared" si="4"/>
        <v>13</v>
      </c>
      <c r="T40" s="52">
        <f t="shared" si="5"/>
        <v>0</v>
      </c>
      <c r="U40" s="52"/>
      <c r="V40" s="51">
        <f t="shared" si="6"/>
        <v>6</v>
      </c>
      <c r="W40" s="52">
        <f t="shared" si="7"/>
        <v>-2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109</v>
      </c>
      <c r="C41" s="37">
        <v>213.0</v>
      </c>
      <c r="D41" s="37">
        <v>17.0</v>
      </c>
      <c r="E41" s="40">
        <f t="shared" si="2"/>
        <v>12.81818182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222</v>
      </c>
      <c r="O41" s="37">
        <f t="shared" si="46"/>
        <v>17</v>
      </c>
      <c r="P41" s="49" t="s">
        <v>57</v>
      </c>
      <c r="Q41" s="49" t="s">
        <v>57</v>
      </c>
      <c r="R41" s="49" t="s">
        <v>57</v>
      </c>
      <c r="S41" s="51">
        <f t="shared" si="4"/>
        <v>11</v>
      </c>
      <c r="T41" s="52">
        <f t="shared" si="5"/>
        <v>0</v>
      </c>
      <c r="U41" s="52"/>
      <c r="V41" s="51">
        <f t="shared" si="6"/>
        <v>8</v>
      </c>
      <c r="W41" s="52">
        <f t="shared" si="7"/>
        <v>-4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101</v>
      </c>
      <c r="C42" s="37">
        <v>213.0</v>
      </c>
      <c r="D42" s="37">
        <v>13.0</v>
      </c>
      <c r="E42" s="40">
        <f t="shared" si="2"/>
        <v>12.16666667</v>
      </c>
      <c r="F42" s="90">
        <v>1.0</v>
      </c>
      <c r="G42" s="91">
        <v>7.0</v>
      </c>
      <c r="H42" s="92">
        <v>0.0</v>
      </c>
      <c r="I42" s="91">
        <v>6.0</v>
      </c>
      <c r="J42" s="91">
        <v>6.0</v>
      </c>
      <c r="K42" s="91">
        <v>1.0</v>
      </c>
      <c r="L42" s="93">
        <v>13.0</v>
      </c>
      <c r="M42" s="91">
        <v>2.0</v>
      </c>
      <c r="N42" s="37">
        <f t="shared" ref="N42:O42" si="47">C42+L42</f>
        <v>226</v>
      </c>
      <c r="O42" s="37">
        <f t="shared" si="47"/>
        <v>15</v>
      </c>
      <c r="P42" s="49" t="s">
        <v>57</v>
      </c>
      <c r="Q42" s="49" t="s">
        <v>57</v>
      </c>
      <c r="R42" s="49" t="s">
        <v>57</v>
      </c>
      <c r="S42" s="51">
        <f t="shared" si="4"/>
        <v>12</v>
      </c>
      <c r="T42" s="52">
        <f t="shared" si="5"/>
        <v>1</v>
      </c>
      <c r="U42" s="52"/>
      <c r="V42" s="51">
        <f t="shared" si="6"/>
        <v>6</v>
      </c>
      <c r="W42" s="52">
        <f t="shared" si="7"/>
        <v>-2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64</v>
      </c>
      <c r="C43" s="37">
        <v>210.0</v>
      </c>
      <c r="D43" s="37">
        <v>17.0</v>
      </c>
      <c r="E43" s="40">
        <f t="shared" si="2"/>
        <v>11.16666667</v>
      </c>
      <c r="F43" s="90">
        <v>1.0</v>
      </c>
      <c r="G43" s="91">
        <v>7.0</v>
      </c>
      <c r="H43" s="92">
        <v>0.0</v>
      </c>
      <c r="I43" s="91">
        <v>2.0</v>
      </c>
      <c r="J43" s="91">
        <v>3.0</v>
      </c>
      <c r="K43" s="91">
        <v>1.0</v>
      </c>
      <c r="L43" s="93">
        <v>6.0</v>
      </c>
      <c r="M43" s="91">
        <v>0.0</v>
      </c>
      <c r="N43" s="37">
        <f t="shared" ref="N43:O43" si="48">C43+L43</f>
        <v>216</v>
      </c>
      <c r="O43" s="37">
        <f t="shared" si="48"/>
        <v>17</v>
      </c>
      <c r="P43" s="49" t="s">
        <v>57</v>
      </c>
      <c r="Q43" s="49" t="s">
        <v>57</v>
      </c>
      <c r="R43" s="49" t="s">
        <v>57</v>
      </c>
      <c r="S43" s="51">
        <f t="shared" si="4"/>
        <v>18</v>
      </c>
      <c r="T43" s="52">
        <f t="shared" si="5"/>
        <v>0</v>
      </c>
      <c r="U43" s="52"/>
      <c r="V43" s="51">
        <f t="shared" si="6"/>
        <v>1</v>
      </c>
      <c r="W43" s="52">
        <f t="shared" si="7"/>
        <v>3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143</v>
      </c>
      <c r="C44" s="37">
        <v>208.0</v>
      </c>
      <c r="D44" s="37">
        <v>17.0</v>
      </c>
      <c r="E44" s="40">
        <f t="shared" si="2"/>
        <v>12.7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217</v>
      </c>
      <c r="O44" s="37">
        <f t="shared" si="49"/>
        <v>17</v>
      </c>
      <c r="P44" s="49" t="s">
        <v>57</v>
      </c>
      <c r="Q44" s="49" t="s">
        <v>57</v>
      </c>
      <c r="R44" s="49" t="s">
        <v>57</v>
      </c>
      <c r="S44" s="51">
        <f t="shared" si="4"/>
        <v>10</v>
      </c>
      <c r="T44" s="52">
        <f t="shared" si="5"/>
        <v>0</v>
      </c>
      <c r="U44" s="52"/>
      <c r="V44" s="51">
        <f t="shared" si="6"/>
        <v>9</v>
      </c>
      <c r="W44" s="52">
        <f t="shared" si="7"/>
        <v>-3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104</v>
      </c>
      <c r="C45" s="37">
        <v>208.0</v>
      </c>
      <c r="D45" s="37">
        <v>16.0</v>
      </c>
      <c r="E45" s="40">
        <f t="shared" si="2"/>
        <v>13.11111111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217</v>
      </c>
      <c r="O45" s="37">
        <f t="shared" si="50"/>
        <v>16</v>
      </c>
      <c r="P45" s="49" t="s">
        <v>57</v>
      </c>
      <c r="Q45" s="49" t="s">
        <v>57</v>
      </c>
      <c r="R45" s="49" t="s">
        <v>57</v>
      </c>
      <c r="S45" s="51">
        <f t="shared" si="4"/>
        <v>9</v>
      </c>
      <c r="T45" s="52">
        <f t="shared" si="5"/>
        <v>0</v>
      </c>
      <c r="U45" s="52"/>
      <c r="V45" s="51">
        <f t="shared" si="6"/>
        <v>10</v>
      </c>
      <c r="W45" s="52">
        <f t="shared" si="7"/>
        <v>-3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118</v>
      </c>
      <c r="C46" s="37">
        <v>207.0</v>
      </c>
      <c r="D46" s="37">
        <v>15.0</v>
      </c>
      <c r="E46" s="40">
        <f t="shared" si="2"/>
        <v>11.11764706</v>
      </c>
      <c r="F46" s="90">
        <v>1.0</v>
      </c>
      <c r="G46" s="91">
        <v>8.0</v>
      </c>
      <c r="H46" s="92">
        <v>0.0</v>
      </c>
      <c r="I46" s="91">
        <v>6.0</v>
      </c>
      <c r="J46" s="91">
        <v>2.0</v>
      </c>
      <c r="K46" s="91">
        <v>7.0</v>
      </c>
      <c r="L46" s="93">
        <v>15.0</v>
      </c>
      <c r="M46" s="91">
        <v>2.0</v>
      </c>
      <c r="N46" s="37">
        <f t="shared" ref="N46:O46" si="51">C46+L46</f>
        <v>222</v>
      </c>
      <c r="O46" s="37">
        <f t="shared" si="51"/>
        <v>17</v>
      </c>
      <c r="P46" s="49" t="s">
        <v>57</v>
      </c>
      <c r="Q46" s="49" t="s">
        <v>57</v>
      </c>
      <c r="R46" s="49" t="s">
        <v>57</v>
      </c>
      <c r="S46" s="51">
        <f t="shared" si="4"/>
        <v>17</v>
      </c>
      <c r="T46" s="52">
        <f t="shared" si="5"/>
        <v>0</v>
      </c>
      <c r="U46" s="52"/>
      <c r="V46" s="51">
        <f t="shared" si="6"/>
        <v>2</v>
      </c>
      <c r="W46" s="52">
        <f t="shared" si="7"/>
        <v>3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51</v>
      </c>
      <c r="C47" s="37">
        <v>206.0</v>
      </c>
      <c r="D47" s="37">
        <v>14.0</v>
      </c>
      <c r="E47" s="40">
        <f t="shared" si="2"/>
        <v>16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215</v>
      </c>
      <c r="O47" s="37">
        <f t="shared" si="52"/>
        <v>14</v>
      </c>
      <c r="P47" s="49" t="s">
        <v>57</v>
      </c>
      <c r="Q47" s="49" t="s">
        <v>57</v>
      </c>
      <c r="R47" s="49" t="s">
        <v>57</v>
      </c>
      <c r="S47" s="51">
        <f t="shared" si="4"/>
        <v>5</v>
      </c>
      <c r="T47" s="52">
        <f t="shared" si="5"/>
        <v>0</v>
      </c>
      <c r="U47" s="52"/>
      <c r="V47" s="51">
        <f t="shared" si="6"/>
        <v>14</v>
      </c>
      <c r="W47" s="52">
        <f t="shared" si="7"/>
        <v>-4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134</v>
      </c>
      <c r="C48" s="37">
        <v>205.0</v>
      </c>
      <c r="D48" s="37">
        <v>18.0</v>
      </c>
      <c r="E48" s="40">
        <f t="shared" si="2"/>
        <v>11.125</v>
      </c>
      <c r="F48" s="90">
        <v>1.0</v>
      </c>
      <c r="G48" s="91">
        <v>8.0</v>
      </c>
      <c r="H48" s="92">
        <v>0.0</v>
      </c>
      <c r="I48" s="91">
        <v>4.0</v>
      </c>
      <c r="J48" s="91">
        <v>2.0</v>
      </c>
      <c r="K48" s="91">
        <v>6.0</v>
      </c>
      <c r="L48" s="93">
        <v>12.0</v>
      </c>
      <c r="M48" s="91">
        <v>0.0</v>
      </c>
      <c r="N48" s="37">
        <f t="shared" ref="N48:O48" si="53">C48+L48</f>
        <v>217</v>
      </c>
      <c r="O48" s="37">
        <f t="shared" si="53"/>
        <v>18</v>
      </c>
      <c r="P48" s="49" t="s">
        <v>57</v>
      </c>
      <c r="Q48" s="49" t="s">
        <v>57</v>
      </c>
      <c r="R48" s="49" t="s">
        <v>57</v>
      </c>
      <c r="S48" s="51">
        <f t="shared" si="4"/>
        <v>16</v>
      </c>
      <c r="T48" s="52">
        <f t="shared" si="5"/>
        <v>0</v>
      </c>
      <c r="U48" s="52"/>
      <c r="V48" s="51">
        <f t="shared" si="6"/>
        <v>3</v>
      </c>
      <c r="W48" s="52">
        <f t="shared" si="7"/>
        <v>2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90</v>
      </c>
      <c r="C49" s="37">
        <v>205.0</v>
      </c>
      <c r="D49" s="37">
        <v>12.0</v>
      </c>
      <c r="E49" s="40">
        <f t="shared" si="2"/>
        <v>14.66666667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214</v>
      </c>
      <c r="O49" s="37">
        <f t="shared" si="54"/>
        <v>12</v>
      </c>
      <c r="P49" s="49" t="s">
        <v>57</v>
      </c>
      <c r="Q49" s="49" t="s">
        <v>57</v>
      </c>
      <c r="R49" s="49" t="s">
        <v>57</v>
      </c>
      <c r="S49" s="51">
        <f t="shared" si="4"/>
        <v>6</v>
      </c>
      <c r="T49" s="52">
        <f t="shared" si="5"/>
        <v>0</v>
      </c>
      <c r="U49" s="52"/>
      <c r="V49" s="51">
        <f t="shared" si="6"/>
        <v>13</v>
      </c>
      <c r="W49" s="52">
        <f t="shared" si="7"/>
        <v>-5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129</v>
      </c>
      <c r="C50" s="37">
        <v>204.0</v>
      </c>
      <c r="D50" s="37">
        <v>17.0</v>
      </c>
      <c r="E50" s="40">
        <f t="shared" si="2"/>
        <v>11.35714286</v>
      </c>
      <c r="F50" s="90">
        <v>1.0</v>
      </c>
      <c r="G50" s="91">
        <v>8.0</v>
      </c>
      <c r="H50" s="92">
        <v>0.0</v>
      </c>
      <c r="I50" s="91">
        <v>6.0</v>
      </c>
      <c r="J50" s="91">
        <v>6.0</v>
      </c>
      <c r="K50" s="91">
        <v>6.0</v>
      </c>
      <c r="L50" s="93">
        <v>18.0</v>
      </c>
      <c r="M50" s="91">
        <v>2.0</v>
      </c>
      <c r="N50" s="37">
        <f t="shared" ref="N50:O50" si="55">C50+L50</f>
        <v>222</v>
      </c>
      <c r="O50" s="37">
        <f t="shared" si="55"/>
        <v>19</v>
      </c>
      <c r="P50" s="49" t="s">
        <v>57</v>
      </c>
      <c r="Q50" s="49" t="s">
        <v>57</v>
      </c>
      <c r="R50" s="49" t="s">
        <v>57</v>
      </c>
      <c r="S50" s="51">
        <f t="shared" si="4"/>
        <v>14</v>
      </c>
      <c r="T50" s="52">
        <f t="shared" si="5"/>
        <v>0</v>
      </c>
      <c r="U50" s="52"/>
      <c r="V50" s="51">
        <f t="shared" si="6"/>
        <v>5</v>
      </c>
      <c r="W50" s="52">
        <f t="shared" si="7"/>
        <v>2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54</v>
      </c>
      <c r="C51" s="37">
        <v>204.0</v>
      </c>
      <c r="D51" s="37">
        <v>14.0</v>
      </c>
      <c r="E51" s="40">
        <f t="shared" si="2"/>
        <v>13.71428571</v>
      </c>
      <c r="F51" s="90">
        <v>1.0</v>
      </c>
      <c r="G51" s="91">
        <v>8.0</v>
      </c>
      <c r="H51" s="92">
        <v>0.0</v>
      </c>
      <c r="I51" s="91">
        <v>4.0</v>
      </c>
      <c r="J51" s="91">
        <v>6.0</v>
      </c>
      <c r="K51" s="91">
        <v>7.0</v>
      </c>
      <c r="L51" s="93">
        <v>17.0</v>
      </c>
      <c r="M51" s="91">
        <v>2.0</v>
      </c>
      <c r="N51" s="37">
        <f t="shared" ref="N51:O51" si="56">C51+L51</f>
        <v>221</v>
      </c>
      <c r="O51" s="37">
        <f t="shared" si="56"/>
        <v>16</v>
      </c>
      <c r="P51" s="49" t="s">
        <v>57</v>
      </c>
      <c r="Q51" s="49" t="s">
        <v>57</v>
      </c>
      <c r="R51" s="49" t="s">
        <v>57</v>
      </c>
      <c r="S51" s="51">
        <f t="shared" si="4"/>
        <v>7</v>
      </c>
      <c r="T51" s="52">
        <f t="shared" si="5"/>
        <v>0</v>
      </c>
      <c r="U51" s="52"/>
      <c r="V51" s="51">
        <f t="shared" si="6"/>
        <v>12</v>
      </c>
      <c r="W51" s="52">
        <f t="shared" si="7"/>
        <v>-4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110</v>
      </c>
      <c r="C52" s="37">
        <v>199.0</v>
      </c>
      <c r="D52" s="37">
        <v>16.0</v>
      </c>
      <c r="E52" s="40">
        <f t="shared" si="2"/>
        <v>11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208</v>
      </c>
      <c r="O52" s="37">
        <f t="shared" si="57"/>
        <v>16</v>
      </c>
      <c r="P52" s="49" t="s">
        <v>57</v>
      </c>
      <c r="Q52" s="49" t="s">
        <v>57</v>
      </c>
      <c r="R52" s="49" t="s">
        <v>57</v>
      </c>
      <c r="S52" s="51">
        <f t="shared" si="4"/>
        <v>14</v>
      </c>
      <c r="T52" s="52">
        <f t="shared" si="5"/>
        <v>0</v>
      </c>
      <c r="U52" s="52"/>
      <c r="V52" s="51">
        <f t="shared" si="6"/>
        <v>5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147</v>
      </c>
      <c r="C53" s="37">
        <v>198.0</v>
      </c>
      <c r="D53" s="37">
        <v>10.0</v>
      </c>
      <c r="E53" s="40">
        <f t="shared" si="2"/>
        <v>11.875</v>
      </c>
      <c r="F53" s="90">
        <v>1.0</v>
      </c>
      <c r="G53" s="91">
        <v>9.0</v>
      </c>
      <c r="H53" s="92">
        <v>0.0</v>
      </c>
      <c r="I53" s="91">
        <v>3.0</v>
      </c>
      <c r="J53" s="91">
        <v>6.0</v>
      </c>
      <c r="K53" s="91">
        <v>6.0</v>
      </c>
      <c r="L53" s="93">
        <v>15.0</v>
      </c>
      <c r="M53" s="91">
        <v>2.0</v>
      </c>
      <c r="N53" s="37">
        <f t="shared" ref="N53:O53" si="58">C53+L53</f>
        <v>213</v>
      </c>
      <c r="O53" s="37">
        <f t="shared" si="58"/>
        <v>12</v>
      </c>
      <c r="P53" s="49" t="s">
        <v>57</v>
      </c>
      <c r="Q53" s="49" t="s">
        <v>57</v>
      </c>
      <c r="R53" s="49" t="s">
        <v>57</v>
      </c>
      <c r="S53" s="51">
        <f t="shared" si="4"/>
        <v>8</v>
      </c>
      <c r="T53" s="52">
        <f t="shared" si="5"/>
        <v>1</v>
      </c>
      <c r="U53" s="52"/>
      <c r="V53" s="51">
        <f t="shared" si="6"/>
        <v>10</v>
      </c>
      <c r="W53" s="52">
        <f t="shared" si="7"/>
        <v>6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116</v>
      </c>
      <c r="C54" s="37">
        <v>195.0</v>
      </c>
      <c r="D54" s="37">
        <v>13.0</v>
      </c>
      <c r="E54" s="40">
        <f t="shared" si="2"/>
        <v>10.26315789</v>
      </c>
      <c r="F54" s="90">
        <v>1.0</v>
      </c>
      <c r="G54" s="91">
        <v>9.0</v>
      </c>
      <c r="H54" s="92">
        <v>0.0</v>
      </c>
      <c r="I54" s="91">
        <v>3.0</v>
      </c>
      <c r="J54" s="91">
        <v>4.0</v>
      </c>
      <c r="K54" s="91">
        <v>1.0</v>
      </c>
      <c r="L54" s="93">
        <v>8.0</v>
      </c>
      <c r="M54" s="91">
        <v>0.0</v>
      </c>
      <c r="N54" s="37">
        <f t="shared" ref="N54:O54" si="59">C54+L54</f>
        <v>203</v>
      </c>
      <c r="O54" s="37">
        <f t="shared" si="59"/>
        <v>13</v>
      </c>
      <c r="P54" s="49" t="s">
        <v>57</v>
      </c>
      <c r="Q54" s="49" t="s">
        <v>57</v>
      </c>
      <c r="R54" s="49" t="s">
        <v>57</v>
      </c>
      <c r="S54" s="51">
        <f t="shared" si="4"/>
        <v>19</v>
      </c>
      <c r="T54" s="52">
        <f t="shared" si="5"/>
        <v>0</v>
      </c>
      <c r="U54" s="52"/>
      <c r="V54" s="51">
        <f t="shared" si="6"/>
        <v>0</v>
      </c>
      <c r="W54" s="52">
        <f t="shared" si="7"/>
        <v>2</v>
      </c>
      <c r="X54" s="35">
        <f t="shared" si="12"/>
        <v>50</v>
      </c>
      <c r="Y54" s="35" t="str">
        <f t="shared" si="8"/>
        <v>Y</v>
      </c>
      <c r="Z54" s="19" t="str">
        <f t="shared" si="9"/>
        <v/>
      </c>
    </row>
    <row r="55">
      <c r="A55" s="35">
        <f t="shared" si="10"/>
        <v>51</v>
      </c>
      <c r="B55" s="36" t="s">
        <v>151</v>
      </c>
      <c r="C55" s="37">
        <v>194.0</v>
      </c>
      <c r="D55" s="37">
        <v>12.0</v>
      </c>
      <c r="E55" s="40">
        <f t="shared" si="2"/>
        <v>10.58333333</v>
      </c>
      <c r="F55" s="90">
        <v>2.0</v>
      </c>
      <c r="G55" s="91">
        <v>9.0</v>
      </c>
      <c r="H55" s="92">
        <v>0.0</v>
      </c>
      <c r="I55" s="91">
        <v>6.0</v>
      </c>
      <c r="J55" s="91">
        <v>4.0</v>
      </c>
      <c r="K55" s="91">
        <v>6.0</v>
      </c>
      <c r="L55" s="93">
        <v>16.0</v>
      </c>
      <c r="M55" s="91">
        <v>2.0</v>
      </c>
      <c r="N55" s="37">
        <f t="shared" ref="N55:O55" si="60">C55+L55</f>
        <v>210</v>
      </c>
      <c r="O55" s="37">
        <f t="shared" si="60"/>
        <v>14</v>
      </c>
      <c r="P55" s="49" t="s">
        <v>57</v>
      </c>
      <c r="Q55" s="49" t="s">
        <v>57</v>
      </c>
      <c r="R55" s="49" t="s">
        <v>57</v>
      </c>
      <c r="S55" s="51">
        <f t="shared" si="4"/>
        <v>12</v>
      </c>
      <c r="T55" s="52">
        <f t="shared" si="5"/>
        <v>1</v>
      </c>
      <c r="U55" s="52"/>
      <c r="V55" s="51">
        <f t="shared" si="6"/>
        <v>6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153</v>
      </c>
      <c r="C56" s="37">
        <v>194.0</v>
      </c>
      <c r="D56" s="37">
        <v>10.0</v>
      </c>
      <c r="E56" s="40">
        <f t="shared" si="2"/>
        <v>13.6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203</v>
      </c>
      <c r="O56" s="37">
        <f t="shared" si="61"/>
        <v>10</v>
      </c>
      <c r="P56" s="49" t="s">
        <v>57</v>
      </c>
      <c r="Q56" s="49" t="s">
        <v>57</v>
      </c>
      <c r="R56" s="49" t="s">
        <v>57</v>
      </c>
      <c r="S56" s="51">
        <f t="shared" si="4"/>
        <v>5</v>
      </c>
      <c r="T56" s="52">
        <f t="shared" si="5"/>
        <v>0</v>
      </c>
      <c r="U56" s="52"/>
      <c r="V56" s="51">
        <f t="shared" si="6"/>
        <v>14</v>
      </c>
      <c r="W56" s="52">
        <f t="shared" si="7"/>
        <v>-2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152</v>
      </c>
      <c r="C57" s="37">
        <v>193.0</v>
      </c>
      <c r="D57" s="37">
        <v>16.0</v>
      </c>
      <c r="E57" s="40">
        <f t="shared" si="2"/>
        <v>10.83333333</v>
      </c>
      <c r="F57" s="90">
        <v>1.0</v>
      </c>
      <c r="G57" s="91">
        <v>9.0</v>
      </c>
      <c r="H57" s="92">
        <v>0.0</v>
      </c>
      <c r="I57" s="91">
        <v>6.0</v>
      </c>
      <c r="J57" s="91">
        <v>6.0</v>
      </c>
      <c r="K57" s="91">
        <v>1.0</v>
      </c>
      <c r="L57" s="93">
        <v>13.0</v>
      </c>
      <c r="M57" s="91">
        <v>2.0</v>
      </c>
      <c r="N57" s="37">
        <f t="shared" ref="N57:O57" si="62">C57+L57</f>
        <v>206</v>
      </c>
      <c r="O57" s="37">
        <f t="shared" si="62"/>
        <v>18</v>
      </c>
      <c r="P57" s="49" t="s">
        <v>57</v>
      </c>
      <c r="Q57" s="49" t="s">
        <v>57</v>
      </c>
      <c r="R57" s="49" t="s">
        <v>57</v>
      </c>
      <c r="S57" s="51">
        <f t="shared" si="4"/>
        <v>12</v>
      </c>
      <c r="T57" s="52">
        <f t="shared" si="5"/>
        <v>0</v>
      </c>
      <c r="U57" s="52"/>
      <c r="V57" s="51">
        <f t="shared" si="6"/>
        <v>7</v>
      </c>
      <c r="W57" s="52">
        <f t="shared" si="7"/>
        <v>-2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140</v>
      </c>
      <c r="C58" s="37">
        <v>192.0</v>
      </c>
      <c r="D58" s="37">
        <v>12.0</v>
      </c>
      <c r="E58" s="40">
        <f t="shared" si="2"/>
        <v>10.61538462</v>
      </c>
      <c r="F58" s="90">
        <v>1.0</v>
      </c>
      <c r="G58" s="91">
        <v>10.0</v>
      </c>
      <c r="H58" s="92">
        <v>0.0</v>
      </c>
      <c r="I58" s="91">
        <v>2.0</v>
      </c>
      <c r="J58" s="91">
        <v>2.0</v>
      </c>
      <c r="K58" s="91">
        <v>6.0</v>
      </c>
      <c r="L58" s="93">
        <v>10.0</v>
      </c>
      <c r="M58" s="91">
        <v>1.0</v>
      </c>
      <c r="N58" s="37">
        <f t="shared" ref="N58:O58" si="63">C58+L58</f>
        <v>202</v>
      </c>
      <c r="O58" s="37">
        <f t="shared" si="63"/>
        <v>13</v>
      </c>
      <c r="P58" s="49" t="s">
        <v>57</v>
      </c>
      <c r="Q58" s="49" t="s">
        <v>57</v>
      </c>
      <c r="R58" s="49" t="s">
        <v>57</v>
      </c>
      <c r="S58" s="51">
        <f t="shared" si="4"/>
        <v>13</v>
      </c>
      <c r="T58" s="52">
        <f t="shared" si="5"/>
        <v>0</v>
      </c>
      <c r="U58" s="52"/>
      <c r="V58" s="51">
        <f t="shared" si="6"/>
        <v>6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76</v>
      </c>
      <c r="C59" s="37">
        <v>191.0</v>
      </c>
      <c r="D59" s="37">
        <v>8.0</v>
      </c>
      <c r="E59" s="40">
        <f t="shared" si="2"/>
        <v>11.66666667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200</v>
      </c>
      <c r="O59" s="37">
        <f t="shared" si="64"/>
        <v>8</v>
      </c>
      <c r="P59" s="49" t="s">
        <v>57</v>
      </c>
      <c r="Q59" s="49" t="s">
        <v>57</v>
      </c>
      <c r="R59" s="49" t="s">
        <v>57</v>
      </c>
      <c r="S59" s="51">
        <f t="shared" si="4"/>
        <v>6</v>
      </c>
      <c r="T59" s="52">
        <f t="shared" si="5"/>
        <v>1</v>
      </c>
      <c r="U59" s="52"/>
      <c r="V59" s="51">
        <f t="shared" si="6"/>
        <v>12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131</v>
      </c>
      <c r="C60" s="37">
        <v>182.0</v>
      </c>
      <c r="D60" s="37">
        <v>6.0</v>
      </c>
      <c r="E60" s="40">
        <f t="shared" si="2"/>
        <v>11.33333333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191</v>
      </c>
      <c r="O60" s="37">
        <f t="shared" si="65"/>
        <v>6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15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181.0</v>
      </c>
      <c r="D61" s="37">
        <v>7.0</v>
      </c>
      <c r="E61" s="40">
        <f t="shared" si="2"/>
        <v>10.5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190</v>
      </c>
      <c r="O61" s="37">
        <f t="shared" si="66"/>
        <v>7</v>
      </c>
      <c r="P61" s="49" t="s">
        <v>57</v>
      </c>
      <c r="Q61" s="49" t="s">
        <v>57</v>
      </c>
      <c r="R61" s="49" t="s">
        <v>57</v>
      </c>
      <c r="S61" s="51">
        <f t="shared" si="4"/>
        <v>4</v>
      </c>
      <c r="T61" s="52">
        <f t="shared" si="5"/>
        <v>1</v>
      </c>
      <c r="U61" s="52"/>
      <c r="V61" s="51">
        <f t="shared" si="6"/>
        <v>14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145</v>
      </c>
      <c r="C62" s="37">
        <v>179.0</v>
      </c>
      <c r="D62" s="37">
        <v>12.0</v>
      </c>
      <c r="E62" s="40">
        <f t="shared" si="2"/>
        <v>9.888888889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188</v>
      </c>
      <c r="O62" s="37">
        <f t="shared" si="67"/>
        <v>12</v>
      </c>
      <c r="P62" s="49" t="s">
        <v>57</v>
      </c>
      <c r="Q62" s="49" t="s">
        <v>57</v>
      </c>
      <c r="R62" s="49" t="s">
        <v>57</v>
      </c>
      <c r="S62" s="51">
        <f t="shared" si="4"/>
        <v>9</v>
      </c>
      <c r="T62" s="52">
        <f t="shared" si="5"/>
        <v>0</v>
      </c>
      <c r="U62" s="52"/>
      <c r="V62" s="51">
        <f t="shared" si="6"/>
        <v>10</v>
      </c>
      <c r="W62" s="52">
        <f t="shared" si="7"/>
        <v>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100</v>
      </c>
      <c r="C63" s="37">
        <v>179.0</v>
      </c>
      <c r="D63" s="37">
        <v>6.0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188</v>
      </c>
      <c r="O63" s="37">
        <f t="shared" si="68"/>
        <v>6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16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154</v>
      </c>
      <c r="C64" s="37">
        <v>177.0</v>
      </c>
      <c r="D64" s="37">
        <v>7.0</v>
      </c>
      <c r="E64" s="40">
        <f t="shared" si="2"/>
        <v>10.2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186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si="4"/>
        <v>5</v>
      </c>
      <c r="T64" s="52">
        <f t="shared" si="5"/>
        <v>0</v>
      </c>
      <c r="U64" s="52"/>
      <c r="V64" s="51">
        <f t="shared" si="6"/>
        <v>14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98</v>
      </c>
      <c r="C65" s="37">
        <v>177.0</v>
      </c>
      <c r="D65" s="37">
        <v>7.0</v>
      </c>
      <c r="E65" s="40">
        <f t="shared" si="2"/>
        <v>9.181818182</v>
      </c>
      <c r="F65" s="90">
        <v>1.0</v>
      </c>
      <c r="G65" s="91">
        <v>10.0</v>
      </c>
      <c r="H65" s="92">
        <v>0.0</v>
      </c>
      <c r="I65" s="91">
        <v>2.0</v>
      </c>
      <c r="J65" s="91">
        <v>6.0</v>
      </c>
      <c r="K65" s="91">
        <v>4.0</v>
      </c>
      <c r="L65" s="93">
        <v>12.0</v>
      </c>
      <c r="M65" s="91">
        <v>1.0</v>
      </c>
      <c r="N65" s="37">
        <f t="shared" ref="N65:O65" si="70">C65+L65</f>
        <v>189</v>
      </c>
      <c r="O65" s="37">
        <f t="shared" si="70"/>
        <v>8</v>
      </c>
      <c r="P65" s="49" t="s">
        <v>57</v>
      </c>
      <c r="Q65" s="49" t="s">
        <v>57</v>
      </c>
      <c r="R65" s="49" t="s">
        <v>57</v>
      </c>
      <c r="S65" s="51">
        <f t="shared" si="4"/>
        <v>11</v>
      </c>
      <c r="T65" s="52">
        <f t="shared" si="5"/>
        <v>1</v>
      </c>
      <c r="U65" s="52"/>
      <c r="V65" s="51">
        <f t="shared" si="6"/>
        <v>7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133</v>
      </c>
      <c r="C66" s="37">
        <v>175.0</v>
      </c>
      <c r="D66" s="37">
        <v>5.0</v>
      </c>
      <c r="E66" s="40">
        <f t="shared" si="2"/>
        <v>9.5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184</v>
      </c>
      <c r="O66" s="37">
        <f t="shared" si="71"/>
        <v>5</v>
      </c>
      <c r="P66" s="49" t="s">
        <v>57</v>
      </c>
      <c r="Q66" s="49" t="s">
        <v>57</v>
      </c>
      <c r="R66" s="49" t="s">
        <v>57</v>
      </c>
      <c r="S66" s="51">
        <f t="shared" si="4"/>
        <v>8</v>
      </c>
      <c r="T66" s="52">
        <f t="shared" si="5"/>
        <v>0</v>
      </c>
      <c r="U66" s="52"/>
      <c r="V66" s="51">
        <f t="shared" si="6"/>
        <v>11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148</v>
      </c>
      <c r="C67" s="37">
        <v>175.0</v>
      </c>
      <c r="D67" s="37">
        <v>3.0</v>
      </c>
      <c r="E67" s="40">
        <f t="shared" si="2"/>
        <v>9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184</v>
      </c>
      <c r="O67" s="37">
        <f t="shared" si="72"/>
        <v>3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1</v>
      </c>
      <c r="U67" s="52"/>
      <c r="V67" s="51">
        <f t="shared" si="6"/>
        <v>17</v>
      </c>
      <c r="W67" s="52">
        <f t="shared" si="7"/>
        <v>4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136</v>
      </c>
      <c r="C68" s="37">
        <v>173.0</v>
      </c>
      <c r="D68" s="37">
        <v>5.0</v>
      </c>
      <c r="E68" s="40">
        <f t="shared" si="2"/>
        <v>9.333333333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182</v>
      </c>
      <c r="O68" s="37">
        <f t="shared" si="73"/>
        <v>5</v>
      </c>
      <c r="P68" s="49" t="s">
        <v>57</v>
      </c>
      <c r="Q68" s="49" t="s">
        <v>57</v>
      </c>
      <c r="R68" s="49" t="s">
        <v>57</v>
      </c>
      <c r="S68" s="51">
        <f t="shared" si="4"/>
        <v>6</v>
      </c>
      <c r="T68" s="52">
        <f t="shared" si="5"/>
        <v>0</v>
      </c>
      <c r="U68" s="52"/>
      <c r="V68" s="51">
        <f t="shared" si="6"/>
        <v>13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146</v>
      </c>
      <c r="C69" s="37">
        <v>173.0</v>
      </c>
      <c r="D69" s="37">
        <v>4.0</v>
      </c>
      <c r="E69" s="40">
        <f t="shared" si="2"/>
        <v>8.333333333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182</v>
      </c>
      <c r="O69" s="37">
        <f t="shared" si="74"/>
        <v>4</v>
      </c>
      <c r="P69" s="49" t="s">
        <v>57</v>
      </c>
      <c r="Q69" s="49" t="s">
        <v>57</v>
      </c>
      <c r="R69" s="49" t="s">
        <v>57</v>
      </c>
      <c r="S69" s="51">
        <f t="shared" si="4"/>
        <v>3</v>
      </c>
      <c r="T69" s="52">
        <f t="shared" si="5"/>
        <v>1</v>
      </c>
      <c r="U69" s="52"/>
      <c r="V69" s="51">
        <f t="shared" si="6"/>
        <v>15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125</v>
      </c>
      <c r="C70" s="37">
        <v>172.0</v>
      </c>
      <c r="D70" s="37">
        <v>3.0</v>
      </c>
      <c r="E70" s="40">
        <f t="shared" si="2"/>
        <v>10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181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18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78</v>
      </c>
      <c r="C71" s="37">
        <v>172.0</v>
      </c>
      <c r="D71" s="37">
        <v>2.0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181</v>
      </c>
      <c r="O71" s="37">
        <f t="shared" si="76"/>
        <v>2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1</v>
      </c>
      <c r="U71" s="52"/>
      <c r="V71" s="51">
        <f t="shared" si="6"/>
        <v>17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149</v>
      </c>
      <c r="C72" s="37">
        <v>170.0</v>
      </c>
      <c r="D72" s="37">
        <v>7.0</v>
      </c>
      <c r="E72" s="40">
        <f t="shared" si="2"/>
        <v>8.833333333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179</v>
      </c>
      <c r="O72" s="37">
        <f t="shared" si="77"/>
        <v>7</v>
      </c>
      <c r="P72" s="49" t="s">
        <v>57</v>
      </c>
      <c r="Q72" s="49" t="s">
        <v>57</v>
      </c>
      <c r="R72" s="49" t="s">
        <v>57</v>
      </c>
      <c r="S72" s="51">
        <f t="shared" si="4"/>
        <v>6</v>
      </c>
      <c r="T72" s="52">
        <f t="shared" si="5"/>
        <v>0</v>
      </c>
      <c r="U72" s="52"/>
      <c r="V72" s="51">
        <f t="shared" si="6"/>
        <v>13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106</v>
      </c>
      <c r="C73" s="37">
        <v>168.0</v>
      </c>
      <c r="D73" s="37">
        <v>1.0</v>
      </c>
      <c r="E73" s="40">
        <f t="shared" si="2"/>
        <v>6</v>
      </c>
      <c r="F73" s="90">
        <v>4.0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177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18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144</v>
      </c>
      <c r="C74" s="37">
        <v>166.0</v>
      </c>
      <c r="D74" s="37">
        <v>7.0</v>
      </c>
      <c r="E74" s="40">
        <f t="shared" si="2"/>
        <v>8.5</v>
      </c>
      <c r="F74" s="90">
        <v>2.0</v>
      </c>
      <c r="G74" s="91">
        <v>10.0</v>
      </c>
      <c r="H74" s="92">
        <v>0.0</v>
      </c>
      <c r="I74" s="91">
        <v>6.0</v>
      </c>
      <c r="J74" s="91">
        <v>2.0</v>
      </c>
      <c r="K74" s="91">
        <v>4.0</v>
      </c>
      <c r="L74" s="93">
        <v>12.0</v>
      </c>
      <c r="M74" s="91">
        <v>1.0</v>
      </c>
      <c r="N74" s="37">
        <f t="shared" ref="N74:O74" si="79">C74+L74</f>
        <v>178</v>
      </c>
      <c r="O74" s="37">
        <f t="shared" si="79"/>
        <v>8</v>
      </c>
      <c r="P74" s="49" t="s">
        <v>57</v>
      </c>
      <c r="Q74" s="49" t="s">
        <v>57</v>
      </c>
      <c r="R74" s="49" t="s">
        <v>57</v>
      </c>
      <c r="S74" s="51">
        <f t="shared" si="4"/>
        <v>10</v>
      </c>
      <c r="T74" s="52">
        <f t="shared" si="5"/>
        <v>0</v>
      </c>
      <c r="U74" s="52"/>
      <c r="V74" s="51">
        <f t="shared" si="6"/>
        <v>9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124</v>
      </c>
      <c r="C75" s="37">
        <v>164.0</v>
      </c>
      <c r="D75" s="37">
        <v>1.0</v>
      </c>
      <c r="E75" s="40">
        <f t="shared" si="2"/>
        <v>2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173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18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87</v>
      </c>
      <c r="C76" s="37">
        <v>162.0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171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18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141</v>
      </c>
      <c r="C77" s="37">
        <v>162.0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171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19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105</v>
      </c>
      <c r="C78" s="37">
        <v>162.0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171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19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150</v>
      </c>
      <c r="C79" s="37">
        <v>162.0</v>
      </c>
      <c r="D79" s="37">
        <v>0.0</v>
      </c>
      <c r="E79" s="40">
        <f t="shared" si="2"/>
        <v>0</v>
      </c>
      <c r="F79" s="90">
        <v>1.0</v>
      </c>
      <c r="G79" s="91">
        <v>10.0</v>
      </c>
      <c r="H79" s="92">
        <v>0.0</v>
      </c>
      <c r="I79" s="91">
        <v>6.0</v>
      </c>
      <c r="J79" s="91">
        <v>6.0</v>
      </c>
      <c r="K79" s="91">
        <v>6.0</v>
      </c>
      <c r="L79" s="93">
        <v>18.0</v>
      </c>
      <c r="M79" s="91">
        <v>3.0</v>
      </c>
      <c r="N79" s="37">
        <f t="shared" ref="N79:O79" si="84">C79+L79</f>
        <v>180</v>
      </c>
      <c r="O79" s="37">
        <f t="shared" si="84"/>
        <v>3</v>
      </c>
      <c r="P79" s="49" t="s">
        <v>57</v>
      </c>
      <c r="Q79" s="49" t="s">
        <v>57</v>
      </c>
      <c r="R79" s="49" t="s">
        <v>57</v>
      </c>
      <c r="S79" s="51">
        <f t="shared" si="4"/>
        <v>1</v>
      </c>
      <c r="T79" s="52">
        <f t="shared" si="5"/>
        <v>0</v>
      </c>
      <c r="U79" s="52"/>
      <c r="V79" s="51">
        <f t="shared" si="6"/>
        <v>18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05/09/26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desc"",0)"),"Manish Anand")</f>
        <v>Manish Anand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IFERROR(__xludf.DUMMYFUNCTION("""COMPUTED_VALUE"""),"Manuel Rivera")</f>
        <v>Manuel Rivera</v>
      </c>
      <c r="C92" s="122">
        <f>IFERROR(__xludf.DUMMYFUNCTION("""COMPUTED_VALUE"""),19.0)</f>
        <v>19</v>
      </c>
      <c r="D92" s="122">
        <f>IFERROR(__xludf.DUMMYFUNCTION("""COMPUTED_VALUE"""),2.0)</f>
        <v>2</v>
      </c>
      <c r="E92" s="122">
        <f>IFERROR(__xludf.DUMMYFUNCTION("""COMPUTED_VALUE"""),7.0)</f>
        <v>7</v>
      </c>
      <c r="F92" s="5"/>
    </row>
    <row r="93">
      <c r="A93" s="5"/>
      <c r="B93" s="36" t="str">
        <f>IFERROR(__xludf.DUMMYFUNCTION("""COMPUTED_VALUE"""),"Tina Hanson")</f>
        <v>Tina Hanson</v>
      </c>
      <c r="C93" s="122">
        <f>IFERROR(__xludf.DUMMYFUNCTION("""COMPUTED_VALUE"""),19.0)</f>
        <v>19</v>
      </c>
      <c r="D93" s="122">
        <f>IFERROR(__xludf.DUMMYFUNCTION("""COMPUTED_VALUE"""),2.0)</f>
        <v>2</v>
      </c>
      <c r="E93" s="122">
        <f>IFERROR(__xludf.DUMMYFUNCTION("""COMPUTED_VALUE"""),7.0)</f>
        <v>7</v>
      </c>
      <c r="F93" s="5"/>
    </row>
    <row r="94">
      <c r="A94" s="5"/>
      <c r="B94" s="36" t="str">
        <f>IFERROR(__xludf.DUMMYFUNCTION("""COMPUTED_VALUE"""),"Tom Le")</f>
        <v>Tom Le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IFERROR(__xludf.DUMMYFUNCTION("""COMPUTED_VALUE"""),6.0)</f>
        <v>6</v>
      </c>
      <c r="F94" s="5"/>
    </row>
    <row r="95">
      <c r="A95" s="5"/>
      <c r="B95" s="36" t="str">
        <f>IFERROR(__xludf.DUMMYFUNCTION("""COMPUTED_VALUE"""),"Jimmy Awolesi")</f>
        <v>Jimmy Awolesi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IFERROR(__xludf.DUMMYFUNCTION("""COMPUTED_VALUE"""),8.0)</f>
        <v>8</v>
      </c>
      <c r="F95" s="5"/>
    </row>
    <row r="96">
      <c r="A96" s="5"/>
      <c r="B96" s="36" t="str">
        <f>IFERROR(__xludf.DUMMYFUNCTION("""COMPUTED_VALUE"""),"Vishnu Amarnath")</f>
        <v>Vishnu Amarnath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IFERROR(__xludf.DUMMYFUNCTION("""COMPUTED_VALUE"""),9.0)</f>
        <v>9</v>
      </c>
      <c r="F96" s="5"/>
    </row>
    <row r="97">
      <c r="A97" s="5"/>
      <c r="B97" s="36" t="str">
        <f>IFERROR(__xludf.DUMMYFUNCTION("""COMPUTED_VALUE"""),"Andrew Yao")</f>
        <v>Andrew Yao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IFERROR(__xludf.DUMMYFUNCTION("""COMPUTED_VALUE"""),1.0)</f>
        <v>1</v>
      </c>
      <c r="F97" s="5"/>
    </row>
    <row r="98">
      <c r="A98" s="5"/>
      <c r="B98" s="36" t="str">
        <f>IFERROR(__xludf.DUMMYFUNCTION("""COMPUTED_VALUE"""),"Pulkit Mathur")</f>
        <v>Pulkit Mathur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IFERROR(__xludf.DUMMYFUNCTION("""COMPUTED_VALUE"""),1.0)</f>
        <v>1</v>
      </c>
      <c r="F98" s="5"/>
    </row>
    <row r="99">
      <c r="A99" s="5"/>
      <c r="B99" s="36" t="str">
        <f>IFERROR(__xludf.DUMMYFUNCTION("""COMPUTED_VALUE"""),"Sandeep Kamalon")</f>
        <v>Sandeep Kamalon</v>
      </c>
      <c r="C99" s="122">
        <f>IFERROR(__xludf.DUMMYFUNCTION("""COMPUTED_VALUE"""),18.0)</f>
        <v>18</v>
      </c>
      <c r="D99" s="122">
        <f>IFERROR(__xludf.DUMMYFUNCTION("""COMPUTED_VALUE"""),2.0)</f>
        <v>2</v>
      </c>
      <c r="E99" s="122">
        <f>IFERROR(__xludf.DUMMYFUNCTION("""COMPUTED_VALUE"""),1.0)</f>
        <v>1</v>
      </c>
      <c r="F99" s="5"/>
    </row>
    <row r="100">
      <c r="A100" s="5"/>
      <c r="B100" s="36" t="str">
        <f>IFERROR(__xludf.DUMMYFUNCTION("""COMPUTED_VALUE"""),"Luis Hsu")</f>
        <v>Luis Hsu</v>
      </c>
      <c r="C100" s="122">
        <f>IFERROR(__xludf.DUMMYFUNCTION("""COMPUTED_VALUE"""),18.0)</f>
        <v>18</v>
      </c>
      <c r="D100" s="122">
        <f>IFERROR(__xludf.DUMMYFUNCTION("""COMPUTED_VALUE"""),2.0)</f>
        <v>2</v>
      </c>
      <c r="E100" s="122">
        <f>IFERROR(__xludf.DUMMYFUNCTION("""COMPUTED_VALUE"""),4.0)</f>
        <v>4</v>
      </c>
      <c r="F100" s="5"/>
    </row>
    <row r="101">
      <c r="A101" s="5"/>
      <c r="B101" s="36" t="str">
        <f>IFERROR(__xludf.DUMMYFUNCTION("""COMPUTED_VALUE"""),"Vinotkumar Nagappan")</f>
        <v>Vinotkumar Nagappan</v>
      </c>
      <c r="C101" s="122">
        <f>IFERROR(__xludf.DUMMYFUNCTION("""COMPUTED_VALUE"""),18.0)</f>
        <v>18</v>
      </c>
      <c r="D101" s="122">
        <f>IFERROR(__xludf.DUMMYFUNCTION("""COMPUTED_VALUE"""),2.0)</f>
        <v>2</v>
      </c>
      <c r="E101" s="122">
        <f>IFERROR(__xludf.DUMMYFUNCTION("""COMPUTED_VALUE"""),5.0)</f>
        <v>5</v>
      </c>
      <c r="F101" s="5"/>
    </row>
    <row r="102">
      <c r="A102" s="5"/>
      <c r="B102" s="123" t="str">
        <f>IFERROR(__xludf.DUMMYFUNCTION("""COMPUTED_VALUE"""),"Lloyd Sagar")</f>
        <v>Lloyd Sagar</v>
      </c>
      <c r="C102" s="143">
        <f>IFERROR(__xludf.DUMMYFUNCTION("""COMPUTED_VALUE"""),18.0)</f>
        <v>18</v>
      </c>
      <c r="D102" s="143">
        <f>IFERROR(__xludf.DUMMYFUNCTION("""COMPUTED_VALUE"""),2.0)</f>
        <v>2</v>
      </c>
      <c r="E102" s="143">
        <f>IFERROR(__xludf.DUMMYFUNCTION("""COMPUTED_VALUE"""),5.0)</f>
        <v>5</v>
      </c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10"")"),"Tom Le")</f>
        <v>Tom Le</v>
      </c>
      <c r="C110" s="122">
        <f>IFERROR(__xludf.DUMMYFUNCTION("""COMPUTED_VALUE"""),9.0)</f>
        <v>9</v>
      </c>
      <c r="D110" s="122">
        <f t="shared" ref="D110:D119" si="85">VLOOKUP(B110,indirect($AC$2&amp;"!B$5:X$79"),23, false)</f>
        <v>35</v>
      </c>
      <c r="E110" s="122">
        <f t="shared" ref="E110:E119" si="86">VLOOKUP(B110,B$5:X$79,23, false)</f>
        <v>26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6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IFERROR(__xludf.DUMMYFUNCTION("""COMPUTED_VALUE"""),"Tina Hanson")</f>
        <v>Tina Hanson</v>
      </c>
      <c r="C111" s="122">
        <f>IFERROR(__xludf.DUMMYFUNCTION("""COMPUTED_VALUE"""),9.0)</f>
        <v>9</v>
      </c>
      <c r="D111" s="122">
        <f t="shared" si="85"/>
        <v>44</v>
      </c>
      <c r="E111" s="122">
        <f t="shared" si="86"/>
        <v>35</v>
      </c>
      <c r="F111" s="122">
        <f t="shared" si="87"/>
        <v>19</v>
      </c>
      <c r="G111" s="122">
        <f t="shared" si="88"/>
        <v>7</v>
      </c>
      <c r="L111" s="122" t="str">
        <f t="shared" si="89"/>
        <v>ok</v>
      </c>
    </row>
    <row r="112">
      <c r="A112" s="5"/>
      <c r="B112" s="36" t="str">
        <f>IFERROR(__xludf.DUMMYFUNCTION("""COMPUTED_VALUE"""),"Manuel Rivera")</f>
        <v>Manuel Rivera</v>
      </c>
      <c r="C112" s="122">
        <f>IFERROR(__xludf.DUMMYFUNCTION("""COMPUTED_VALUE"""),7.0)</f>
        <v>7</v>
      </c>
      <c r="D112" s="122">
        <f t="shared" si="85"/>
        <v>41</v>
      </c>
      <c r="E112" s="122">
        <f t="shared" si="86"/>
        <v>34</v>
      </c>
      <c r="F112" s="122">
        <f t="shared" si="87"/>
        <v>19</v>
      </c>
      <c r="G112" s="122">
        <f t="shared" si="88"/>
        <v>7</v>
      </c>
      <c r="L112" s="122" t="str">
        <f t="shared" si="89"/>
        <v>ok</v>
      </c>
    </row>
    <row r="113">
      <c r="A113" s="5"/>
      <c r="B113" s="36" t="str">
        <f>IFERROR(__xludf.DUMMYFUNCTION("""COMPUTED_VALUE"""),"Luis Hsu")</f>
        <v>Luis Hsu</v>
      </c>
      <c r="C113" s="122">
        <f>IFERROR(__xludf.DUMMYFUNCTION("""COMPUTED_VALUE"""),6.0)</f>
        <v>6</v>
      </c>
      <c r="D113" s="122">
        <f t="shared" si="85"/>
        <v>18</v>
      </c>
      <c r="E113" s="122">
        <f t="shared" si="86"/>
        <v>12</v>
      </c>
      <c r="F113" s="122">
        <f t="shared" si="87"/>
        <v>18</v>
      </c>
      <c r="G113" s="122">
        <f t="shared" si="88"/>
        <v>4</v>
      </c>
      <c r="L113" s="122" t="str">
        <f t="shared" si="89"/>
        <v>ok</v>
      </c>
    </row>
    <row r="114">
      <c r="A114" s="5"/>
      <c r="B114" s="36" t="str">
        <f>IFERROR(__xludf.DUMMYFUNCTION("""COMPUTED_VALUE"""),"Lloyd Sagar")</f>
        <v>Lloyd Sagar</v>
      </c>
      <c r="C114" s="122">
        <f>IFERROR(__xludf.DUMMYFUNCTION("""COMPUTED_VALUE"""),6.0)</f>
        <v>6</v>
      </c>
      <c r="D114" s="122">
        <f t="shared" si="85"/>
        <v>26</v>
      </c>
      <c r="E114" s="122">
        <f t="shared" si="86"/>
        <v>20</v>
      </c>
      <c r="F114" s="122">
        <f t="shared" si="87"/>
        <v>18</v>
      </c>
      <c r="G114" s="122">
        <f t="shared" si="88"/>
        <v>5</v>
      </c>
      <c r="L114" s="122" t="str">
        <f t="shared" si="89"/>
        <v>ok</v>
      </c>
    </row>
    <row r="115">
      <c r="A115" s="5"/>
      <c r="B115" s="36" t="str">
        <f>IFERROR(__xludf.DUMMYFUNCTION("""COMPUTED_VALUE"""),"Vishnu Amarnath")</f>
        <v>Vishnu Amarnath</v>
      </c>
      <c r="C115" s="122">
        <f>IFERROR(__xludf.DUMMYFUNCTION("""COMPUTED_VALUE"""),6.0)</f>
        <v>6</v>
      </c>
      <c r="D115" s="122">
        <f t="shared" si="85"/>
        <v>55</v>
      </c>
      <c r="E115" s="122">
        <f t="shared" si="86"/>
        <v>49</v>
      </c>
      <c r="F115" s="122">
        <f t="shared" si="87"/>
        <v>18</v>
      </c>
      <c r="G115" s="122">
        <f t="shared" si="88"/>
        <v>9</v>
      </c>
      <c r="L115" s="122" t="str">
        <f t="shared" si="89"/>
        <v>ok</v>
      </c>
    </row>
    <row r="116">
      <c r="A116" s="5"/>
      <c r="B116" s="36" t="str">
        <f>IFERROR(__xludf.DUMMYFUNCTION("""COMPUTED_VALUE"""),"Elayaraja Thangaraj")</f>
        <v>Elayaraja Thangaraj</v>
      </c>
      <c r="C116" s="122">
        <f>IFERROR(__xludf.DUMMYFUNCTION("""COMPUTED_VALUE"""),5.0)</f>
        <v>5</v>
      </c>
      <c r="D116" s="122">
        <f t="shared" si="85"/>
        <v>29</v>
      </c>
      <c r="E116" s="122">
        <f t="shared" si="86"/>
        <v>24</v>
      </c>
      <c r="F116" s="122">
        <f t="shared" si="87"/>
        <v>14</v>
      </c>
      <c r="G116" s="122">
        <f t="shared" si="88"/>
        <v>5</v>
      </c>
      <c r="L116" s="122" t="str">
        <f t="shared" si="89"/>
        <v>ok</v>
      </c>
    </row>
    <row r="117">
      <c r="A117" s="5"/>
      <c r="B117" s="36" t="str">
        <f>IFERROR(__xludf.DUMMYFUNCTION("""COMPUTED_VALUE"""),"Herman Au")</f>
        <v>Herman Au</v>
      </c>
      <c r="C117" s="122">
        <f>IFERROR(__xludf.DUMMYFUNCTION("""COMPUTED_VALUE"""),4.0)</f>
        <v>4</v>
      </c>
      <c r="D117" s="122">
        <f t="shared" si="85"/>
        <v>15</v>
      </c>
      <c r="E117" s="122">
        <f t="shared" si="86"/>
        <v>11</v>
      </c>
      <c r="F117" s="122">
        <f t="shared" si="87"/>
        <v>15</v>
      </c>
      <c r="G117" s="122">
        <f t="shared" si="88"/>
        <v>3</v>
      </c>
      <c r="L117" s="122" t="str">
        <f t="shared" si="89"/>
        <v>ok</v>
      </c>
    </row>
    <row r="118">
      <c r="A118" s="5"/>
      <c r="B118" s="36" t="str">
        <f>IFERROR(__xludf.DUMMYFUNCTION("""COMPUTED_VALUE"""),"Scott Li")</f>
        <v>Scott Li</v>
      </c>
      <c r="C118" s="122">
        <f>IFERROR(__xludf.DUMMYFUNCTION("""COMPUTED_VALUE"""),4.0)</f>
        <v>4</v>
      </c>
      <c r="D118" s="122">
        <f t="shared" si="85"/>
        <v>17</v>
      </c>
      <c r="E118" s="122">
        <f t="shared" si="86"/>
        <v>13</v>
      </c>
      <c r="F118" s="122">
        <f t="shared" si="87"/>
        <v>15</v>
      </c>
      <c r="G118" s="122">
        <f t="shared" si="88"/>
        <v>3</v>
      </c>
      <c r="L118" s="122" t="str">
        <f t="shared" si="89"/>
        <v>ok</v>
      </c>
    </row>
    <row r="119">
      <c r="A119" s="5"/>
      <c r="B119" s="36" t="str">
        <f>IFERROR(__xludf.DUMMYFUNCTION("""COMPUTED_VALUE"""),"Vinotkumar Nagappan")</f>
        <v>Vinotkumar Nagappan</v>
      </c>
      <c r="C119" s="122">
        <f>IFERROR(__xludf.DUMMYFUNCTION("""COMPUTED_VALUE"""),4.0)</f>
        <v>4</v>
      </c>
      <c r="D119" s="122">
        <f t="shared" si="85"/>
        <v>23</v>
      </c>
      <c r="E119" s="122">
        <f t="shared" si="86"/>
        <v>19</v>
      </c>
      <c r="F119" s="122">
        <f t="shared" si="87"/>
        <v>18</v>
      </c>
      <c r="G119" s="122">
        <f t="shared" si="88"/>
        <v>5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19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278</v>
      </c>
      <c r="D128" s="122">
        <f t="shared" si="90"/>
        <v>36</v>
      </c>
      <c r="E128" s="122">
        <f t="shared" si="90"/>
        <v>15.29411765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277</v>
      </c>
      <c r="D129" s="122">
        <f t="shared" si="91"/>
        <v>33</v>
      </c>
      <c r="E129" s="122">
        <f t="shared" si="91"/>
        <v>15.23529412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255</v>
      </c>
      <c r="D130" s="122">
        <f t="shared" si="92"/>
        <v>26</v>
      </c>
      <c r="E130" s="122">
        <f t="shared" si="92"/>
        <v>13.44444444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251</v>
      </c>
      <c r="D131" s="122">
        <f t="shared" si="93"/>
        <v>24</v>
      </c>
      <c r="E131" s="122">
        <f t="shared" si="93"/>
        <v>14</v>
      </c>
      <c r="F131" s="5"/>
    </row>
    <row r="132">
      <c r="A132" s="122">
        <f t="shared" ref="A132:E132" si="94">A9</f>
        <v>5</v>
      </c>
      <c r="B132" s="36" t="str">
        <f t="shared" si="94"/>
        <v>Ethan Gu</v>
      </c>
      <c r="C132" s="122">
        <f t="shared" si="94"/>
        <v>245</v>
      </c>
      <c r="D132" s="122">
        <f t="shared" si="94"/>
        <v>19</v>
      </c>
      <c r="E132" s="122">
        <f t="shared" si="94"/>
        <v>13.93333333</v>
      </c>
      <c r="F132" s="5"/>
    </row>
    <row r="133">
      <c r="A133" s="122">
        <f t="shared" ref="A133:E133" si="95">A10</f>
        <v>6</v>
      </c>
      <c r="B133" s="36" t="str">
        <f t="shared" si="95"/>
        <v>Manish Anand</v>
      </c>
      <c r="C133" s="122">
        <f t="shared" si="95"/>
        <v>244</v>
      </c>
      <c r="D133" s="122">
        <f t="shared" si="95"/>
        <v>26</v>
      </c>
      <c r="E133" s="122">
        <f t="shared" si="95"/>
        <v>13.86666667</v>
      </c>
      <c r="F133" s="5"/>
    </row>
    <row r="134">
      <c r="A134" s="122">
        <f t="shared" ref="A134:E134" si="96">A11</f>
        <v>7</v>
      </c>
      <c r="B134" s="36" t="str">
        <f t="shared" si="96"/>
        <v>Pavan Akkimsetty</v>
      </c>
      <c r="C134" s="122">
        <f t="shared" si="96"/>
        <v>242</v>
      </c>
      <c r="D134" s="122">
        <f t="shared" si="96"/>
        <v>22</v>
      </c>
      <c r="E134" s="122">
        <f t="shared" si="96"/>
        <v>14.15384615</v>
      </c>
      <c r="F134" s="5"/>
    </row>
    <row r="135">
      <c r="A135" s="122">
        <f t="shared" ref="A135:E135" si="97">A12</f>
        <v>8</v>
      </c>
      <c r="B135" s="36" t="str">
        <f t="shared" si="97"/>
        <v>David Shin</v>
      </c>
      <c r="C135" s="122">
        <f t="shared" si="97"/>
        <v>241</v>
      </c>
      <c r="D135" s="122">
        <f t="shared" si="97"/>
        <v>25</v>
      </c>
      <c r="E135" s="122">
        <f t="shared" si="97"/>
        <v>13.11764706</v>
      </c>
      <c r="F135" s="5"/>
    </row>
    <row r="136">
      <c r="A136" s="122">
        <f t="shared" ref="A136:E136" si="98">A13</f>
        <v>9</v>
      </c>
      <c r="B136" s="36" t="str">
        <f t="shared" si="98"/>
        <v>Rudy Tatang</v>
      </c>
      <c r="C136" s="122">
        <f t="shared" si="98"/>
        <v>241</v>
      </c>
      <c r="D136" s="122">
        <f t="shared" si="98"/>
        <v>23</v>
      </c>
      <c r="E136" s="122">
        <f t="shared" si="98"/>
        <v>14.83333333</v>
      </c>
      <c r="F136" s="5"/>
    </row>
    <row r="137">
      <c r="A137" s="122">
        <f t="shared" ref="A137:E137" si="99">A14</f>
        <v>10</v>
      </c>
      <c r="B137" s="36" t="str">
        <f t="shared" si="99"/>
        <v>Erik Hoeckmann</v>
      </c>
      <c r="C137" s="122">
        <f t="shared" si="99"/>
        <v>235</v>
      </c>
      <c r="D137" s="122">
        <f t="shared" si="99"/>
        <v>21</v>
      </c>
      <c r="E137" s="122">
        <f t="shared" si="99"/>
        <v>13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192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IFERROR(__xludf.DUMMYFUNCTION("""COMPUTED_VALUE"""),"Wayne Liu")</f>
        <v>Wayne Liu</v>
      </c>
      <c r="C164" s="5"/>
      <c r="D164" s="5"/>
      <c r="E164" s="5"/>
      <c r="F164" s="5"/>
    </row>
    <row r="165">
      <c r="A165" s="122">
        <f t="shared" si="100"/>
        <v>0</v>
      </c>
      <c r="B165" s="36"/>
      <c r="C165" s="5"/>
      <c r="D165" s="5"/>
      <c r="E165" s="5"/>
      <c r="F165" s="5"/>
      <c r="P165" s="36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05/09/26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IFERROR(__xludf.DUMMYFUNCTION("""COMPUTED_VALUE"""),5.0)</f>
        <v>5</v>
      </c>
      <c r="D250" s="132">
        <f>IFERROR(__xludf.DUMMYFUNCTION("""COMPUTED_VALUE"""),7.0)</f>
        <v>7</v>
      </c>
      <c r="E250" s="132">
        <f>IFERROR(__xludf.DUMMYFUNCTION("""COMPUTED_VALUE"""),6.0)</f>
        <v>6</v>
      </c>
      <c r="F250" s="132">
        <f>IFERROR(__xludf.DUMMYFUNCTION("""COMPUTED_VALUE"""),18.0)</f>
        <v>18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IFERROR(__xludf.DUMMYFUNCTION("""COMPUTED_VALUE"""),7.0)</f>
        <v>7</v>
      </c>
      <c r="D251" s="132">
        <f>IFERROR(__xludf.DUMMYFUNCTION("""COMPUTED_VALUE"""),7.0)</f>
        <v>7</v>
      </c>
      <c r="E251" s="132">
        <f>IFERROR(__xludf.DUMMYFUNCTION("""COMPUTED_VALUE"""),4.0)</f>
        <v>4</v>
      </c>
      <c r="F251" s="132">
        <f>IFERROR(__xludf.DUMMYFUNCTION("""COMPUTED_VALUE"""),18.0)</f>
        <v>18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IFERROR(__xludf.DUMMYFUNCTION("""COMPUTED_VALUE"""),5.0)</f>
        <v>5</v>
      </c>
      <c r="D252" s="132">
        <f>IFERROR(__xludf.DUMMYFUNCTION("""COMPUTED_VALUE"""),5.0)</f>
        <v>5</v>
      </c>
      <c r="E252" s="132">
        <f>IFERROR(__xludf.DUMMYFUNCTION("""COMPUTED_VALUE"""),4.0)</f>
        <v>4</v>
      </c>
      <c r="F252" s="132">
        <f>IFERROR(__xludf.DUMMYFUNCTION("""COMPUTED_VALUE"""),14.0)</f>
        <v>14</v>
      </c>
      <c r="G252" s="132">
        <f>IFERROR(__xludf.DUMMYFUNCTION("""COMPUTED_VALUE"""),0.0)</f>
        <v>0</v>
      </c>
    </row>
    <row r="253">
      <c r="A253" s="122">
        <f>IFERROR(__xludf.DUMMYFUNCTION("""COMPUTED_VALUE"""),1.0)</f>
        <v>1</v>
      </c>
      <c r="B253" s="36" t="str">
        <f>IFERROR(__xludf.DUMMYFUNCTION("""COMPUTED_VALUE"""),"Sandeep Kamalon")</f>
        <v>Sandeep Kamalon</v>
      </c>
      <c r="C253" s="132">
        <f>IFERROR(__xludf.DUMMYFUNCTION("""COMPUTED_VALUE"""),7.0)</f>
        <v>7</v>
      </c>
      <c r="D253" s="132">
        <f>IFERROR(__xludf.DUMMYFUNCTION("""COMPUTED_VALUE"""),5.0)</f>
        <v>5</v>
      </c>
      <c r="E253" s="132">
        <f>IFERROR(__xludf.DUMMYFUNCTION("""COMPUTED_VALUE"""),6.0)</f>
        <v>6</v>
      </c>
      <c r="F253" s="132">
        <f>IFERROR(__xludf.DUMMYFUNCTION("""COMPUTED_VALUE"""),18.0)</f>
        <v>18</v>
      </c>
      <c r="G253" s="132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IFERROR(__xludf.DUMMYFUNCTION("""COMPUTED_VALUE"""),"Ethan Gu")</f>
        <v>Ethan Gu</v>
      </c>
      <c r="C254" s="135">
        <f>IFERROR(__xludf.DUMMYFUNCTION("""COMPUTED_VALUE"""),3.0)</f>
        <v>3</v>
      </c>
      <c r="D254" s="135">
        <f>IFERROR(__xludf.DUMMYFUNCTION("""COMPUTED_VALUE"""),7.0)</f>
        <v>7</v>
      </c>
      <c r="E254" s="135">
        <f>IFERROR(__xludf.DUMMYFUNCTION("""COMPUTED_VALUE"""),4.0)</f>
        <v>4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IFERROR(__xludf.DUMMYFUNCTION("""COMPUTED_VALUE"""),"Pavan Akkimsetty")</f>
        <v>Pavan Akkimsetty</v>
      </c>
      <c r="C255" s="135">
        <f>IFERROR(__xludf.DUMMYFUNCTION("""COMPUTED_VALUE"""),3.0)</f>
        <v>3</v>
      </c>
      <c r="D255" s="135">
        <f>IFERROR(__xludf.DUMMYFUNCTION("""COMPUTED_VALUE"""),5.0)</f>
        <v>5</v>
      </c>
      <c r="E255" s="135">
        <f>IFERROR(__xludf.DUMMYFUNCTION("""COMPUTED_VALUE"""),6.0)</f>
        <v>6</v>
      </c>
      <c r="F255" s="135">
        <f>IFERROR(__xludf.DUMMYFUNCTION("""COMPUTED_VALUE"""),14.0)</f>
        <v>14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IFERROR(__xludf.DUMMYFUNCTION("""COMPUTED_VALUE"""),"David Shin")</f>
        <v>David Shin</v>
      </c>
      <c r="C256" s="135">
        <f>IFERROR(__xludf.DUMMYFUNCTION("""COMPUTED_VALUE"""),6.0)</f>
        <v>6</v>
      </c>
      <c r="D256" s="135">
        <f>IFERROR(__xludf.DUMMYFUNCTION("""COMPUTED_VALUE"""),5.0)</f>
        <v>5</v>
      </c>
      <c r="E256" s="135">
        <f>IFERROR(__xludf.DUMMYFUNCTION("""COMPUTED_VALUE"""),4.0)</f>
        <v>4</v>
      </c>
      <c r="F256" s="135">
        <f>IFERROR(__xludf.DUMMYFUNCTION("""COMPUTED_VALUE"""),15.0)</f>
        <v>15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IFERROR(__xludf.DUMMYFUNCTION("""COMPUTED_VALUE"""),"Manish Anand")</f>
        <v>Manish Anand</v>
      </c>
      <c r="C257" s="135">
        <f>IFERROR(__xludf.DUMMYFUNCTION("""COMPUTED_VALUE"""),6.0)</f>
        <v>6</v>
      </c>
      <c r="D257" s="135">
        <f>IFERROR(__xludf.DUMMYFUNCTION("""COMPUTED_VALUE"""),7.0)</f>
        <v>7</v>
      </c>
      <c r="E257" s="135">
        <f>IFERROR(__xludf.DUMMYFUNCTION("""COMPUTED_VALUE"""),6.0)</f>
        <v>6</v>
      </c>
      <c r="F257" s="135">
        <f>IFERROR(__xludf.DUMMYFUNCTION("""COMPUTED_VALUE"""),19.0)</f>
        <v>19</v>
      </c>
      <c r="G257" s="135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IFERROR(__xludf.DUMMYFUNCTION("""COMPUTED_VALUE"""),"Joe Luzzi")</f>
        <v>Joe Luzzi</v>
      </c>
      <c r="C258" s="132">
        <f>IFERROR(__xludf.DUMMYFUNCTION("""COMPUTED_VALUE"""),3.0)</f>
        <v>3</v>
      </c>
      <c r="D258" s="132">
        <f>IFERROR(__xludf.DUMMYFUNCTION("""COMPUTED_VALUE"""),0.0)</f>
        <v>0</v>
      </c>
      <c r="E258" s="132">
        <f>IFERROR(__xludf.DUMMYFUNCTION("""COMPUTED_VALUE"""),3.0)</f>
        <v>3</v>
      </c>
      <c r="F258" s="132">
        <f>IFERROR(__xludf.DUMMYFUNCTION("""COMPUTED_VALUE"""),6.0)</f>
        <v>6</v>
      </c>
      <c r="G258" s="132">
        <f>IFERROR(__xludf.DUMMYFUNCTION("""COMPUTED_VALUE"""),0.0)</f>
        <v>0</v>
      </c>
    </row>
    <row r="259">
      <c r="A259" s="122">
        <f>IFERROR(__xludf.DUMMYFUNCTION("""COMPUTED_VALUE"""),3.0)</f>
        <v>3</v>
      </c>
      <c r="B259" s="36" t="str">
        <f>IFERROR(__xludf.DUMMYFUNCTION("""COMPUTED_VALUE"""),"Erik Hoeckmann")</f>
        <v>Erik Hoeckmann</v>
      </c>
      <c r="C259" s="132">
        <f>IFERROR(__xludf.DUMMYFUNCTION("""COMPUTED_VALUE"""),6.0)</f>
        <v>6</v>
      </c>
      <c r="D259" s="132">
        <f>IFERROR(__xludf.DUMMYFUNCTION("""COMPUTED_VALUE"""),0.0)</f>
        <v>0</v>
      </c>
      <c r="E259" s="132">
        <f>IFERROR(__xludf.DUMMYFUNCTION("""COMPUTED_VALUE"""),6.0)</f>
        <v>6</v>
      </c>
      <c r="F259" s="132">
        <f>IFERROR(__xludf.DUMMYFUNCTION("""COMPUTED_VALUE"""),12.0)</f>
        <v>12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IFERROR(__xludf.DUMMYFUNCTION("""COMPUTED_VALUE"""),"Herman Au")</f>
        <v>Herman Au</v>
      </c>
      <c r="C260" s="132">
        <f>IFERROR(__xludf.DUMMYFUNCTION("""COMPUTED_VALUE"""),6.0)</f>
        <v>6</v>
      </c>
      <c r="D260" s="132">
        <f>IFERROR(__xludf.DUMMYFUNCTION("""COMPUTED_VALUE"""),6.0)</f>
        <v>6</v>
      </c>
      <c r="E260" s="132">
        <f>IFERROR(__xludf.DUMMYFUNCTION("""COMPUTED_VALUE"""),3.0)</f>
        <v>3</v>
      </c>
      <c r="F260" s="132">
        <f>IFERROR(__xludf.DUMMYFUNCTION("""COMPUTED_VALUE"""),15.0)</f>
        <v>15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IFERROR(__xludf.DUMMYFUNCTION("""COMPUTED_VALUE"""),"Scott Li")</f>
        <v>Scott Li</v>
      </c>
      <c r="C261" s="132">
        <f>IFERROR(__xludf.DUMMYFUNCTION("""COMPUTED_VALUE"""),3.0)</f>
        <v>3</v>
      </c>
      <c r="D261" s="132">
        <f>IFERROR(__xludf.DUMMYFUNCTION("""COMPUTED_VALUE"""),6.0)</f>
        <v>6</v>
      </c>
      <c r="E261" s="132">
        <f>IFERROR(__xludf.DUMMYFUNCTION("""COMPUTED_VALUE"""),6.0)</f>
        <v>6</v>
      </c>
      <c r="F261" s="132">
        <f>IFERROR(__xludf.DUMMYFUNCTION("""COMPUTED_VALUE"""),15.0)</f>
        <v>15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IFERROR(__xludf.DUMMYFUNCTION("""COMPUTED_VALUE"""),"Luis Hsu")</f>
        <v>Luis Hsu</v>
      </c>
      <c r="C262" s="135">
        <f>IFERROR(__xludf.DUMMYFUNCTION("""COMPUTED_VALUE"""),6.0)</f>
        <v>6</v>
      </c>
      <c r="D262" s="135">
        <f>IFERROR(__xludf.DUMMYFUNCTION("""COMPUTED_VALUE"""),6.0)</f>
        <v>6</v>
      </c>
      <c r="E262" s="135">
        <f>IFERROR(__xludf.DUMMYFUNCTION("""COMPUTED_VALUE"""),6.0)</f>
        <v>6</v>
      </c>
      <c r="F262" s="135">
        <f>IFERROR(__xludf.DUMMYFUNCTION("""COMPUTED_VALUE"""),18.0)</f>
        <v>18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IFERROR(__xludf.DUMMYFUNCTION("""COMPUTED_VALUE"""),"Mauricio Palacios")</f>
        <v>Mauricio Palacios</v>
      </c>
      <c r="C263" s="135">
        <f>IFERROR(__xludf.DUMMYFUNCTION("""COMPUTED_VALUE"""),3.0)</f>
        <v>3</v>
      </c>
      <c r="D263" s="135">
        <f>IFERROR(__xludf.DUMMYFUNCTION("""COMPUTED_VALUE"""),6.0)</f>
        <v>6</v>
      </c>
      <c r="E263" s="135">
        <f>IFERROR(__xludf.DUMMYFUNCTION("""COMPUTED_VALUE"""),7.0)</f>
        <v>7</v>
      </c>
      <c r="F263" s="135">
        <f>IFERROR(__xludf.DUMMYFUNCTION("""COMPUTED_VALUE"""),16.0)</f>
        <v>16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IFERROR(__xludf.DUMMYFUNCTION("""COMPUTED_VALUE"""),"Rajasekar Ramasamy")</f>
        <v>Rajasekar Ramasamy</v>
      </c>
      <c r="C264" s="135">
        <f>IFERROR(__xludf.DUMMYFUNCTION("""COMPUTED_VALUE"""),3.0)</f>
        <v>3</v>
      </c>
      <c r="D264" s="135">
        <f>IFERROR(__xludf.DUMMYFUNCTION("""COMPUTED_VALUE"""),3.0)</f>
        <v>3</v>
      </c>
      <c r="E264" s="135">
        <f>IFERROR(__xludf.DUMMYFUNCTION("""COMPUTED_VALUE"""),6.0)</f>
        <v>6</v>
      </c>
      <c r="F264" s="135">
        <f>IFERROR(__xludf.DUMMYFUNCTION("""COMPUTED_VALUE"""),12.0)</f>
        <v>12</v>
      </c>
      <c r="G264" s="135">
        <f>IFERROR(__xludf.DUMMYFUNCTION("""COMPUTED_VALUE"""),0.0)</f>
        <v>0</v>
      </c>
    </row>
    <row r="265">
      <c r="A265" s="133">
        <f>IFERROR(__xludf.DUMMYFUNCTION("""COMPUTED_VALUE"""),4.0)</f>
        <v>4</v>
      </c>
      <c r="B265" s="134" t="str">
        <f>IFERROR(__xludf.DUMMYFUNCTION("""COMPUTED_VALUE"""),"Ted Shen")</f>
        <v>Ted Shen</v>
      </c>
      <c r="C265" s="135">
        <f>IFERROR(__xludf.DUMMYFUNCTION("""COMPUTED_VALUE"""),6.0)</f>
        <v>6</v>
      </c>
      <c r="D265" s="135">
        <f>IFERROR(__xludf.DUMMYFUNCTION("""COMPUTED_VALUE"""),3.0)</f>
        <v>3</v>
      </c>
      <c r="E265" s="135">
        <f>IFERROR(__xludf.DUMMYFUNCTION("""COMPUTED_VALUE"""),7.0)</f>
        <v>7</v>
      </c>
      <c r="F265" s="135">
        <f>IFERROR(__xludf.DUMMYFUNCTION("""COMPUTED_VALUE"""),16.0)</f>
        <v>16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IFERROR(__xludf.DUMMYFUNCTION("""COMPUTED_VALUE"""),"Vinotkumar Nagappan")</f>
        <v>Vinotkumar Nagappan</v>
      </c>
      <c r="C266" s="132">
        <f>IFERROR(__xludf.DUMMYFUNCTION("""COMPUTED_VALUE"""),6.0)</f>
        <v>6</v>
      </c>
      <c r="D266" s="132">
        <f>IFERROR(__xludf.DUMMYFUNCTION("""COMPUTED_VALUE"""),7.0)</f>
        <v>7</v>
      </c>
      <c r="E266" s="132">
        <f>IFERROR(__xludf.DUMMYFUNCTION("""COMPUTED_VALUE"""),5.0)</f>
        <v>5</v>
      </c>
      <c r="F266" s="132">
        <f>IFERROR(__xludf.DUMMYFUNCTION("""COMPUTED_VALUE"""),18.0)</f>
        <v>18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IFERROR(__xludf.DUMMYFUNCTION("""COMPUTED_VALUE"""),"Lloyd Sagar")</f>
        <v>Lloyd Sagar</v>
      </c>
      <c r="C267" s="132">
        <f>IFERROR(__xludf.DUMMYFUNCTION("""COMPUTED_VALUE"""),6.0)</f>
        <v>6</v>
      </c>
      <c r="D267" s="132">
        <f>IFERROR(__xludf.DUMMYFUNCTION("""COMPUTED_VALUE"""),5.0)</f>
        <v>5</v>
      </c>
      <c r="E267" s="132">
        <f>IFERROR(__xludf.DUMMYFUNCTION("""COMPUTED_VALUE"""),7.0)</f>
        <v>7</v>
      </c>
      <c r="F267" s="132">
        <f>IFERROR(__xludf.DUMMYFUNCTION("""COMPUTED_VALUE"""),18.0)</f>
        <v>18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IFERROR(__xludf.DUMMYFUNCTION("""COMPUTED_VALUE"""),"Naveen Raj")</f>
        <v>Naveen Raj</v>
      </c>
      <c r="C268" s="132">
        <f>IFERROR(__xludf.DUMMYFUNCTION("""COMPUTED_VALUE"""),0.0)</f>
        <v>0</v>
      </c>
      <c r="D268" s="132">
        <f>IFERROR(__xludf.DUMMYFUNCTION("""COMPUTED_VALUE"""),5.0)</f>
        <v>5</v>
      </c>
      <c r="E268" s="132">
        <f>IFERROR(__xludf.DUMMYFUNCTION("""COMPUTED_VALUE"""),5.0)</f>
        <v>5</v>
      </c>
      <c r="F268" s="132">
        <f>IFERROR(__xludf.DUMMYFUNCTION("""COMPUTED_VALUE"""),10.0)</f>
        <v>10</v>
      </c>
      <c r="G268" s="132">
        <f>IFERROR(__xludf.DUMMYFUNCTION("""COMPUTED_VALUE"""),0.0)</f>
        <v>0</v>
      </c>
    </row>
    <row r="269">
      <c r="A269" s="122">
        <f>IFERROR(__xludf.DUMMYFUNCTION("""COMPUTED_VALUE"""),5.0)</f>
        <v>5</v>
      </c>
      <c r="B269" s="36" t="str">
        <f>IFERROR(__xludf.DUMMYFUNCTION("""COMPUTED_VALUE"""),"Elayaraja Thangaraj")</f>
        <v>Elayaraja Thangaraj</v>
      </c>
      <c r="C269" s="132">
        <f>IFERROR(__xludf.DUMMYFUNCTION("""COMPUTED_VALUE"""),0.0)</f>
        <v>0</v>
      </c>
      <c r="D269" s="132">
        <f>IFERROR(__xludf.DUMMYFUNCTION("""COMPUTED_VALUE"""),7.0)</f>
        <v>7</v>
      </c>
      <c r="E269" s="132">
        <f>IFERROR(__xludf.DUMMYFUNCTION("""COMPUTED_VALUE"""),7.0)</f>
        <v>7</v>
      </c>
      <c r="F269" s="132">
        <f>IFERROR(__xludf.DUMMYFUNCTION("""COMPUTED_VALUE"""),14.0)</f>
        <v>14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IFERROR(__xludf.DUMMYFUNCTION("""COMPUTED_VALUE"""),"Alex Hou")</f>
        <v>Alex Hou</v>
      </c>
      <c r="C270" s="135">
        <f>IFERROR(__xludf.DUMMYFUNCTION("""COMPUTED_VALUE"""),6.0)</f>
        <v>6</v>
      </c>
      <c r="D270" s="135">
        <f>IFERROR(__xludf.DUMMYFUNCTION("""COMPUTED_VALUE"""),3.0)</f>
        <v>3</v>
      </c>
      <c r="E270" s="135">
        <f>IFERROR(__xludf.DUMMYFUNCTION("""COMPUTED_VALUE"""),1.0)</f>
        <v>1</v>
      </c>
      <c r="F270" s="135">
        <f>IFERROR(__xludf.DUMMYFUNCTION("""COMPUTED_VALUE"""),10.0)</f>
        <v>10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IFERROR(__xludf.DUMMYFUNCTION("""COMPUTED_VALUE"""),"Wayne Liu")</f>
        <v>Wayne Liu</v>
      </c>
      <c r="C271" s="135">
        <f>IFERROR(__xludf.DUMMYFUNCTION("""COMPUTED_VALUE"""),2.0)</f>
        <v>2</v>
      </c>
      <c r="D271" s="135">
        <f>IFERROR(__xludf.DUMMYFUNCTION("""COMPUTED_VALUE"""),6.0)</f>
        <v>6</v>
      </c>
      <c r="E271" s="135">
        <f>IFERROR(__xludf.DUMMYFUNCTION("""COMPUTED_VALUE"""),1.0)</f>
        <v>1</v>
      </c>
      <c r="F271" s="135">
        <f>IFERROR(__xludf.DUMMYFUNCTION("""COMPUTED_VALUE"""),9.0)</f>
        <v>9</v>
      </c>
      <c r="G271" s="135">
        <f>IFERROR(__xludf.DUMMYFUNCTION("""COMPUTED_VALUE"""),1.0)</f>
        <v>1</v>
      </c>
    </row>
    <row r="272">
      <c r="A272" s="133">
        <f>IFERROR(__xludf.DUMMYFUNCTION("""COMPUTED_VALUE"""),6.0)</f>
        <v>6</v>
      </c>
      <c r="B272" s="134" t="str">
        <f>IFERROR(__xludf.DUMMYFUNCTION("""COMPUTED_VALUE"""),"Sean Chang")</f>
        <v>Sean Chang</v>
      </c>
      <c r="C272" s="135">
        <f>IFERROR(__xludf.DUMMYFUNCTION("""COMPUTED_VALUE"""),2.0)</f>
        <v>2</v>
      </c>
      <c r="D272" s="135">
        <f>IFERROR(__xludf.DUMMYFUNCTION("""COMPUTED_VALUE"""),3.0)</f>
        <v>3</v>
      </c>
      <c r="E272" s="135">
        <f>IFERROR(__xludf.DUMMYFUNCTION("""COMPUTED_VALUE"""),6.0)</f>
        <v>6</v>
      </c>
      <c r="F272" s="135">
        <f>IFERROR(__xludf.DUMMYFUNCTION("""COMPUTED_VALUE"""),11.0)</f>
        <v>11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IFERROR(__xludf.DUMMYFUNCTION("""COMPUTED_VALUE"""),"Tom Le")</f>
        <v>Tom Le</v>
      </c>
      <c r="C273" s="135">
        <f>IFERROR(__xludf.DUMMYFUNCTION("""COMPUTED_VALUE"""),6.0)</f>
        <v>6</v>
      </c>
      <c r="D273" s="135">
        <f>IFERROR(__xludf.DUMMYFUNCTION("""COMPUTED_VALUE"""),6.0)</f>
        <v>6</v>
      </c>
      <c r="E273" s="135">
        <f>IFERROR(__xludf.DUMMYFUNCTION("""COMPUTED_VALUE"""),6.0)</f>
        <v>6</v>
      </c>
      <c r="F273" s="135">
        <f>IFERROR(__xludf.DUMMYFUNCTION("""COMPUTED_VALUE"""),18.0)</f>
        <v>18</v>
      </c>
      <c r="G273" s="135">
        <f>IFERROR(__xludf.DUMMYFUNCTION("""COMPUTED_VALUE"""),3.0)</f>
        <v>3</v>
      </c>
    </row>
    <row r="274">
      <c r="A274" s="122">
        <f>IFERROR(__xludf.DUMMYFUNCTION("""COMPUTED_VALUE"""),7.0)</f>
        <v>7</v>
      </c>
      <c r="B274" s="36" t="str">
        <f>IFERROR(__xludf.DUMMYFUNCTION("""COMPUTED_VALUE"""),"Chinna Ponnaganti")</f>
        <v>Chinna Ponnaganti</v>
      </c>
      <c r="C274" s="132">
        <f>IFERROR(__xludf.DUMMYFUNCTION("""COMPUTED_VALUE"""),6.0)</f>
        <v>6</v>
      </c>
      <c r="D274" s="132">
        <f>IFERROR(__xludf.DUMMYFUNCTION("""COMPUTED_VALUE"""),6.0)</f>
        <v>6</v>
      </c>
      <c r="E274" s="132">
        <f>IFERROR(__xludf.DUMMYFUNCTION("""COMPUTED_VALUE"""),1.0)</f>
        <v>1</v>
      </c>
      <c r="F274" s="132">
        <f>IFERROR(__xludf.DUMMYFUNCTION("""COMPUTED_VALUE"""),13.0)</f>
        <v>13</v>
      </c>
      <c r="G274" s="132">
        <f>IFERROR(__xludf.DUMMYFUNCTION("""COMPUTED_VALUE"""),0.0)</f>
        <v>0</v>
      </c>
    </row>
    <row r="275">
      <c r="A275" s="122">
        <f>IFERROR(__xludf.DUMMYFUNCTION("""COMPUTED_VALUE"""),7.0)</f>
        <v>7</v>
      </c>
      <c r="B275" s="36" t="str">
        <f>IFERROR(__xludf.DUMMYFUNCTION("""COMPUTED_VALUE"""),"Manuel Rivera")</f>
        <v>Manuel Rivera</v>
      </c>
      <c r="C275" s="132">
        <f>IFERROR(__xludf.DUMMYFUNCTION("""COMPUTED_VALUE"""),6.0)</f>
        <v>6</v>
      </c>
      <c r="D275" s="132">
        <f>IFERROR(__xludf.DUMMYFUNCTION("""COMPUTED_VALUE"""),7.0)</f>
        <v>7</v>
      </c>
      <c r="E275" s="132">
        <f>IFERROR(__xludf.DUMMYFUNCTION("""COMPUTED_VALUE"""),6.0)</f>
        <v>6</v>
      </c>
      <c r="F275" s="132">
        <f>IFERROR(__xludf.DUMMYFUNCTION("""COMPUTED_VALUE"""),19.0)</f>
        <v>19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IFERROR(__xludf.DUMMYFUNCTION("""COMPUTED_VALUE"""),"Allen Zhang")</f>
        <v>Allen Zhang</v>
      </c>
      <c r="C276" s="132">
        <f>IFERROR(__xludf.DUMMYFUNCTION("""COMPUTED_VALUE"""),7.0)</f>
        <v>7</v>
      </c>
      <c r="D276" s="132">
        <f>IFERROR(__xludf.DUMMYFUNCTION("""COMPUTED_VALUE"""),7.0)</f>
        <v>7</v>
      </c>
      <c r="E276" s="132">
        <f>IFERROR(__xludf.DUMMYFUNCTION("""COMPUTED_VALUE"""),1.0)</f>
        <v>1</v>
      </c>
      <c r="F276" s="132">
        <f>IFERROR(__xludf.DUMMYFUNCTION("""COMPUTED_VALUE"""),15.0)</f>
        <v>15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IFERROR(__xludf.DUMMYFUNCTION("""COMPUTED_VALUE"""),"Tina Hanson")</f>
        <v>Tina Hanson</v>
      </c>
      <c r="C277" s="132">
        <f>IFERROR(__xludf.DUMMYFUNCTION("""COMPUTED_VALUE"""),7.0)</f>
        <v>7</v>
      </c>
      <c r="D277" s="132">
        <f>IFERROR(__xludf.DUMMYFUNCTION("""COMPUTED_VALUE"""),6.0)</f>
        <v>6</v>
      </c>
      <c r="E277" s="132">
        <f>IFERROR(__xludf.DUMMYFUNCTION("""COMPUTED_VALUE"""),6.0)</f>
        <v>6</v>
      </c>
      <c r="F277" s="132">
        <f>IFERROR(__xludf.DUMMYFUNCTION("""COMPUTED_VALUE"""),19.0)</f>
        <v>19</v>
      </c>
      <c r="G277" s="132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IFERROR(__xludf.DUMMYFUNCTION("""COMPUTED_VALUE"""),"Hongyuan Wen")</f>
        <v>Hongyuan Wen</v>
      </c>
      <c r="C278" s="135">
        <f>IFERROR(__xludf.DUMMYFUNCTION("""COMPUTED_VALUE"""),6.0)</f>
        <v>6</v>
      </c>
      <c r="D278" s="135">
        <f>IFERROR(__xludf.DUMMYFUNCTION("""COMPUTED_VALUE"""),2.0)</f>
        <v>2</v>
      </c>
      <c r="E278" s="135">
        <f>IFERROR(__xludf.DUMMYFUNCTION("""COMPUTED_VALUE"""),4.0)</f>
        <v>4</v>
      </c>
      <c r="F278" s="135">
        <f>IFERROR(__xludf.DUMMYFUNCTION("""COMPUTED_VALUE"""),12.0)</f>
        <v>12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IFERROR(__xludf.DUMMYFUNCTION("""COMPUTED_VALUE"""),"Kumar Palakeel")</f>
        <v>Kumar Palakeel</v>
      </c>
      <c r="C279" s="135">
        <f>IFERROR(__xludf.DUMMYFUNCTION("""COMPUTED_VALUE"""),3.0)</f>
        <v>3</v>
      </c>
      <c r="D279" s="135">
        <f>IFERROR(__xludf.DUMMYFUNCTION("""COMPUTED_VALUE"""),2.0)</f>
        <v>2</v>
      </c>
      <c r="E279" s="135">
        <f>IFERROR(__xludf.DUMMYFUNCTION("""COMPUTED_VALUE"""),6.0)</f>
        <v>6</v>
      </c>
      <c r="F279" s="135">
        <f>IFERROR(__xludf.DUMMYFUNCTION("""COMPUTED_VALUE"""),11.0)</f>
        <v>11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IFERROR(__xludf.DUMMYFUNCTION("""COMPUTED_VALUE"""),"Jimmy Awolesi")</f>
        <v>Jimmy Awolesi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IFERROR(__xludf.DUMMYFUNCTION("""COMPUTED_VALUE"""),6.0)</f>
        <v>6</v>
      </c>
      <c r="F280" s="135">
        <f>IFERROR(__xludf.DUMMYFUNCTION("""COMPUTED_VALUE"""),18.0)</f>
        <v>18</v>
      </c>
      <c r="G280" s="135">
        <f>IFERROR(__xludf.DUMMYFUNCTION("""COMPUTED_VALUE"""),3.0)</f>
        <v>3</v>
      </c>
    </row>
    <row r="281">
      <c r="A281" s="133">
        <f>IFERROR(__xludf.DUMMYFUNCTION("""COMPUTED_VALUE"""),8.0)</f>
        <v>8</v>
      </c>
      <c r="B281" s="134" t="str">
        <f>IFERROR(__xludf.DUMMYFUNCTION("""COMPUTED_VALUE"""),"Eric Tan")</f>
        <v>Eric Tan</v>
      </c>
      <c r="C281" s="135">
        <f>IFERROR(__xludf.DUMMYFUNCTION("""COMPUTED_VALUE"""),3.0)</f>
        <v>3</v>
      </c>
      <c r="D281" s="135">
        <f>IFERROR(__xludf.DUMMYFUNCTION("""COMPUTED_VALUE"""),6.0)</f>
        <v>6</v>
      </c>
      <c r="E281" s="135">
        <f>IFERROR(__xludf.DUMMYFUNCTION("""COMPUTED_VALUE"""),4.0)</f>
        <v>4</v>
      </c>
      <c r="F281" s="135">
        <f>IFERROR(__xludf.DUMMYFUNCTION("""COMPUTED_VALUE"""),13.0)</f>
        <v>13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IFERROR(__xludf.DUMMYFUNCTION("""COMPUTED_VALUE"""),"Nicole Ni")</f>
        <v>Nicole Ni</v>
      </c>
      <c r="C282" s="132">
        <f>IFERROR(__xludf.DUMMYFUNCTION("""COMPUTED_VALUE"""),2.0)</f>
        <v>2</v>
      </c>
      <c r="D282" s="132">
        <f>IFERROR(__xludf.DUMMYFUNCTION("""COMPUTED_VALUE"""),3.0)</f>
        <v>3</v>
      </c>
      <c r="E282" s="132">
        <f>IFERROR(__xludf.DUMMYFUNCTION("""COMPUTED_VALUE"""),6.0)</f>
        <v>6</v>
      </c>
      <c r="F282" s="132">
        <f>IFERROR(__xludf.DUMMYFUNCTION("""COMPUTED_VALUE"""),11.0)</f>
        <v>11</v>
      </c>
      <c r="G282" s="132">
        <f>IFERROR(__xludf.DUMMYFUNCTION("""COMPUTED_VALUE"""),1.0)</f>
        <v>1</v>
      </c>
    </row>
    <row r="283">
      <c r="A283" s="122">
        <f>IFERROR(__xludf.DUMMYFUNCTION("""COMPUTED_VALUE"""),9.0)</f>
        <v>9</v>
      </c>
      <c r="B283" s="36" t="str">
        <f>IFERROR(__xludf.DUMMYFUNCTION("""COMPUTED_VALUE"""),"Vishnu Amarnath")</f>
        <v>Vishnu Amarnath</v>
      </c>
      <c r="C283" s="132">
        <f>IFERROR(__xludf.DUMMYFUNCTION("""COMPUTED_VALUE"""),6.0)</f>
        <v>6</v>
      </c>
      <c r="D283" s="132">
        <f>IFERROR(__xludf.DUMMYFUNCTION("""COMPUTED_VALUE"""),6.0)</f>
        <v>6</v>
      </c>
      <c r="E283" s="132">
        <f>IFERROR(__xludf.DUMMYFUNCTION("""COMPUTED_VALUE"""),6.0)</f>
        <v>6</v>
      </c>
      <c r="F283" s="132">
        <f>IFERROR(__xludf.DUMMYFUNCTION("""COMPUTED_VALUE"""),18.0)</f>
        <v>18</v>
      </c>
      <c r="G283" s="132">
        <f>IFERROR(__xludf.DUMMYFUNCTION("""COMPUTED_VALUE"""),3.0)</f>
        <v>3</v>
      </c>
    </row>
    <row r="284">
      <c r="A284" s="122">
        <f>IFERROR(__xludf.DUMMYFUNCTION("""COMPUTED_VALUE"""),9.0)</f>
        <v>9</v>
      </c>
      <c r="B284" s="36" t="str">
        <f>IFERROR(__xludf.DUMMYFUNCTION("""COMPUTED_VALUE"""),"Camille Jung")</f>
        <v>Camille Jung</v>
      </c>
      <c r="C284" s="132">
        <f>IFERROR(__xludf.DUMMYFUNCTION("""COMPUTED_VALUE"""),6.0)</f>
        <v>6</v>
      </c>
      <c r="D284" s="132">
        <f>IFERROR(__xludf.DUMMYFUNCTION("""COMPUTED_VALUE"""),3.0)</f>
        <v>3</v>
      </c>
      <c r="E284" s="132">
        <f>IFERROR(__xludf.DUMMYFUNCTION("""COMPUTED_VALUE"""),1.0)</f>
        <v>1</v>
      </c>
      <c r="F284" s="132">
        <f>IFERROR(__xludf.DUMMYFUNCTION("""COMPUTED_VALUE"""),10.0)</f>
        <v>10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IFERROR(__xludf.DUMMYFUNCTION("""COMPUTED_VALUE"""),"Ranjith Doraiswamy")</f>
        <v>Ranjith Doraiswamy</v>
      </c>
      <c r="C285" s="132">
        <f>IFERROR(__xludf.DUMMYFUNCTION("""COMPUTED_VALUE"""),2.0)</f>
        <v>2</v>
      </c>
      <c r="D285" s="132">
        <f>IFERROR(__xludf.DUMMYFUNCTION("""COMPUTED_VALUE"""),6.0)</f>
        <v>6</v>
      </c>
      <c r="E285" s="132">
        <f>IFERROR(__xludf.DUMMYFUNCTION("""COMPUTED_VALUE"""),1.0)</f>
        <v>1</v>
      </c>
      <c r="F285" s="132">
        <f>IFERROR(__xludf.DUMMYFUNCTION("""COMPUTED_VALUE"""),9.0)</f>
        <v>9</v>
      </c>
      <c r="G285" s="132">
        <f>IFERROR(__xludf.DUMMYFUNCTION("""COMPUTED_VALUE"""),1.0)</f>
        <v>1</v>
      </c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IFERROR(__xludf.DUMMYFUNCTION("""COMPUTED_VALUE"""),"Scott Li")</f>
        <v>Scott Li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IFERROR(__xludf.DUMMYFUNCTION("""COMPUTED_VALUE"""),"Sean Chang")</f>
        <v>Sean Chang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IFERROR(__xludf.DUMMYFUNCTION("""COMPUTED_VALUE"""),"Suleman Alidina")</f>
        <v>Suleman Alidina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46151.0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18.0</v>
      </c>
      <c r="E2" s="5"/>
      <c r="F2" s="5"/>
      <c r="R2" s="18"/>
      <c r="AC2" s="22" t="str">
        <f>text(C1-7,"mm/dd/yy")</f>
        <v>05/02/26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260.0</v>
      </c>
      <c r="D5" s="37">
        <v>34.0</v>
      </c>
      <c r="E5" s="40">
        <f t="shared" ref="E5:E79" si="2">if(S5&gt;0,(C5-(V5*9)-(T5*13))/S5,0)</f>
        <v>15.125</v>
      </c>
      <c r="F5" s="90">
        <v>1.0</v>
      </c>
      <c r="G5" s="91">
        <v>1.0</v>
      </c>
      <c r="H5" s="92">
        <v>0.0</v>
      </c>
      <c r="I5" s="91">
        <v>5.0</v>
      </c>
      <c r="J5" s="91">
        <v>7.0</v>
      </c>
      <c r="K5" s="91">
        <v>6.0</v>
      </c>
      <c r="L5" s="93">
        <v>18.0</v>
      </c>
      <c r="M5" s="91">
        <v>2.0</v>
      </c>
      <c r="N5" s="37">
        <f t="shared" ref="N5:O5" si="1">C5+L5</f>
        <v>278</v>
      </c>
      <c r="O5" s="37">
        <f t="shared" si="1"/>
        <v>36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16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259.0</v>
      </c>
      <c r="D6" s="37">
        <v>31.0</v>
      </c>
      <c r="E6" s="40">
        <f t="shared" si="2"/>
        <v>15.0625</v>
      </c>
      <c r="F6" s="90">
        <v>2.0</v>
      </c>
      <c r="G6" s="91">
        <v>1.0</v>
      </c>
      <c r="H6" s="92">
        <v>0.0</v>
      </c>
      <c r="I6" s="91">
        <v>7.0</v>
      </c>
      <c r="J6" s="91">
        <v>7.0</v>
      </c>
      <c r="K6" s="91">
        <v>4.0</v>
      </c>
      <c r="L6" s="93">
        <v>18.0</v>
      </c>
      <c r="M6" s="91">
        <v>2.0</v>
      </c>
      <c r="N6" s="37">
        <f t="shared" ref="N6:O6" si="3">C6+L6</f>
        <v>277</v>
      </c>
      <c r="O6" s="37">
        <f t="shared" si="3"/>
        <v>33</v>
      </c>
      <c r="P6" s="49" t="s">
        <v>57</v>
      </c>
      <c r="Q6" s="49" t="s">
        <v>57</v>
      </c>
      <c r="R6" s="49" t="s">
        <v>57</v>
      </c>
      <c r="S6" s="51">
        <f t="shared" si="4"/>
        <v>16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241.0</v>
      </c>
      <c r="D7" s="37">
        <v>26.0</v>
      </c>
      <c r="E7" s="40">
        <f t="shared" si="2"/>
        <v>13.38888889</v>
      </c>
      <c r="F7" s="90">
        <v>1.0</v>
      </c>
      <c r="G7" s="91">
        <v>1.0</v>
      </c>
      <c r="H7" s="92">
        <v>0.0</v>
      </c>
      <c r="I7" s="91">
        <v>5.0</v>
      </c>
      <c r="J7" s="91">
        <v>5.0</v>
      </c>
      <c r="K7" s="91">
        <v>4.0</v>
      </c>
      <c r="L7" s="93">
        <v>14.0</v>
      </c>
      <c r="M7" s="91">
        <v>0.0</v>
      </c>
      <c r="N7" s="37">
        <f t="shared" ref="N7:O7" si="11">C7+L7</f>
        <v>255</v>
      </c>
      <c r="O7" s="37">
        <f t="shared" si="11"/>
        <v>26</v>
      </c>
      <c r="P7" s="49" t="s">
        <v>57</v>
      </c>
      <c r="Q7" s="49" t="s">
        <v>57</v>
      </c>
      <c r="R7" s="49" t="s">
        <v>57</v>
      </c>
      <c r="S7" s="51">
        <f t="shared" si="4"/>
        <v>18</v>
      </c>
      <c r="T7" s="52">
        <f t="shared" si="5"/>
        <v>0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233.0</v>
      </c>
      <c r="D8" s="37">
        <v>22.0</v>
      </c>
      <c r="E8" s="40">
        <f t="shared" si="2"/>
        <v>13.73333333</v>
      </c>
      <c r="F8" s="90">
        <v>1.0</v>
      </c>
      <c r="G8" s="91">
        <v>1.0</v>
      </c>
      <c r="H8" s="92">
        <v>0.0</v>
      </c>
      <c r="I8" s="91">
        <v>7.0</v>
      </c>
      <c r="J8" s="91">
        <v>5.0</v>
      </c>
      <c r="K8" s="91">
        <v>6.0</v>
      </c>
      <c r="L8" s="93">
        <v>18.0</v>
      </c>
      <c r="M8" s="91">
        <v>2.0</v>
      </c>
      <c r="N8" s="37">
        <f t="shared" ref="N8:O8" si="13">C8+L8</f>
        <v>251</v>
      </c>
      <c r="O8" s="37">
        <f t="shared" si="13"/>
        <v>24</v>
      </c>
      <c r="P8" s="49" t="s">
        <v>57</v>
      </c>
      <c r="Q8" s="49" t="s">
        <v>57</v>
      </c>
      <c r="R8" s="49" t="s">
        <v>57</v>
      </c>
      <c r="S8" s="51">
        <f t="shared" si="4"/>
        <v>15</v>
      </c>
      <c r="T8" s="52">
        <f t="shared" si="5"/>
        <v>0</v>
      </c>
      <c r="U8" s="52"/>
      <c r="V8" s="51">
        <f t="shared" si="6"/>
        <v>3</v>
      </c>
      <c r="W8" s="52">
        <f t="shared" si="7"/>
        <v>2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127</v>
      </c>
      <c r="C9" s="37">
        <v>232.0</v>
      </c>
      <c r="D9" s="37">
        <v>23.0</v>
      </c>
      <c r="E9" s="40">
        <f t="shared" si="2"/>
        <v>14.83333333</v>
      </c>
      <c r="F9" s="90">
        <v>3.0</v>
      </c>
      <c r="G9" s="91">
        <v>0.0</v>
      </c>
      <c r="H9" s="92">
        <v>9.0</v>
      </c>
      <c r="I9" s="91">
        <v>0.0</v>
      </c>
      <c r="J9" s="91">
        <v>0.0</v>
      </c>
      <c r="K9" s="91">
        <v>0.0</v>
      </c>
      <c r="L9" s="93">
        <v>9.0</v>
      </c>
      <c r="M9" s="91">
        <v>0.0</v>
      </c>
      <c r="N9" s="37">
        <f t="shared" ref="N9:O9" si="14">C9+L9</f>
        <v>241</v>
      </c>
      <c r="O9" s="37">
        <f t="shared" si="14"/>
        <v>23</v>
      </c>
      <c r="P9" s="49" t="s">
        <v>57</v>
      </c>
      <c r="Q9" s="49" t="s">
        <v>57</v>
      </c>
      <c r="R9" s="49" t="s">
        <v>57</v>
      </c>
      <c r="S9" s="51">
        <f t="shared" si="4"/>
        <v>12</v>
      </c>
      <c r="T9" s="52">
        <f t="shared" si="5"/>
        <v>0</v>
      </c>
      <c r="U9" s="52"/>
      <c r="V9" s="51">
        <f t="shared" si="6"/>
        <v>6</v>
      </c>
      <c r="W9" s="52">
        <f t="shared" si="7"/>
        <v>3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92</v>
      </c>
      <c r="C10" s="37">
        <v>231.0</v>
      </c>
      <c r="D10" s="37">
        <v>18.0</v>
      </c>
      <c r="E10" s="40">
        <f t="shared" si="2"/>
        <v>13.92857143</v>
      </c>
      <c r="F10" s="90">
        <v>1.0</v>
      </c>
      <c r="G10" s="91">
        <v>2.0</v>
      </c>
      <c r="H10" s="92">
        <v>0.0</v>
      </c>
      <c r="I10" s="91">
        <v>3.0</v>
      </c>
      <c r="J10" s="91">
        <v>7.0</v>
      </c>
      <c r="K10" s="91">
        <v>4.0</v>
      </c>
      <c r="L10" s="93">
        <v>14.0</v>
      </c>
      <c r="M10" s="91">
        <v>1.0</v>
      </c>
      <c r="N10" s="37">
        <f t="shared" ref="N10:O10" si="15">C10+L10</f>
        <v>245</v>
      </c>
      <c r="O10" s="37">
        <f t="shared" si="15"/>
        <v>19</v>
      </c>
      <c r="P10" s="49" t="s">
        <v>57</v>
      </c>
      <c r="Q10" s="49" t="s">
        <v>57</v>
      </c>
      <c r="R10" s="49" t="s">
        <v>57</v>
      </c>
      <c r="S10" s="51">
        <f t="shared" si="4"/>
        <v>14</v>
      </c>
      <c r="T10" s="52">
        <f t="shared" si="5"/>
        <v>0</v>
      </c>
      <c r="U10" s="52"/>
      <c r="V10" s="51">
        <f t="shared" si="6"/>
        <v>4</v>
      </c>
      <c r="W10" s="52">
        <f t="shared" si="7"/>
        <v>-2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80</v>
      </c>
      <c r="C11" s="37">
        <v>228.0</v>
      </c>
      <c r="D11" s="37">
        <v>21.0</v>
      </c>
      <c r="E11" s="40">
        <f t="shared" si="2"/>
        <v>13.76923077</v>
      </c>
      <c r="F11" s="90">
        <v>1.0</v>
      </c>
      <c r="G11" s="91">
        <v>2.0</v>
      </c>
      <c r="H11" s="92">
        <v>0.0</v>
      </c>
      <c r="I11" s="91">
        <v>3.0</v>
      </c>
      <c r="J11" s="91">
        <v>5.0</v>
      </c>
      <c r="K11" s="91">
        <v>6.0</v>
      </c>
      <c r="L11" s="93">
        <v>14.0</v>
      </c>
      <c r="M11" s="91">
        <v>1.0</v>
      </c>
      <c r="N11" s="37">
        <f t="shared" ref="N11:O11" si="16">C11+L11</f>
        <v>242</v>
      </c>
      <c r="O11" s="37">
        <f t="shared" si="16"/>
        <v>22</v>
      </c>
      <c r="P11" s="49" t="s">
        <v>57</v>
      </c>
      <c r="Q11" s="49" t="s">
        <v>57</v>
      </c>
      <c r="R11" s="49" t="s">
        <v>57</v>
      </c>
      <c r="S11" s="51">
        <f t="shared" si="4"/>
        <v>13</v>
      </c>
      <c r="T11" s="52">
        <f t="shared" si="5"/>
        <v>1</v>
      </c>
      <c r="U11" s="52"/>
      <c r="V11" s="51">
        <f t="shared" si="6"/>
        <v>4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94</v>
      </c>
      <c r="C12" s="37">
        <v>226.0</v>
      </c>
      <c r="D12" s="37">
        <v>24.0</v>
      </c>
      <c r="E12" s="40">
        <f t="shared" si="2"/>
        <v>13</v>
      </c>
      <c r="F12" s="90">
        <v>1.0</v>
      </c>
      <c r="G12" s="91">
        <v>2.0</v>
      </c>
      <c r="H12" s="92">
        <v>0.0</v>
      </c>
      <c r="I12" s="91">
        <v>6.0</v>
      </c>
      <c r="J12" s="91">
        <v>5.0</v>
      </c>
      <c r="K12" s="91">
        <v>4.0</v>
      </c>
      <c r="L12" s="93">
        <v>15.0</v>
      </c>
      <c r="M12" s="91">
        <v>1.0</v>
      </c>
      <c r="N12" s="37">
        <f t="shared" ref="N12:O12" si="17">C12+L12</f>
        <v>241</v>
      </c>
      <c r="O12" s="37">
        <f t="shared" si="17"/>
        <v>25</v>
      </c>
      <c r="P12" s="49" t="s">
        <v>57</v>
      </c>
      <c r="Q12" s="49" t="s">
        <v>57</v>
      </c>
      <c r="R12" s="49" t="s">
        <v>57</v>
      </c>
      <c r="S12" s="51">
        <f t="shared" si="4"/>
        <v>16</v>
      </c>
      <c r="T12" s="52">
        <f t="shared" si="5"/>
        <v>0</v>
      </c>
      <c r="U12" s="52"/>
      <c r="V12" s="51">
        <f t="shared" si="6"/>
        <v>2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95</v>
      </c>
      <c r="C13" s="37">
        <v>225.0</v>
      </c>
      <c r="D13" s="37">
        <v>23.0</v>
      </c>
      <c r="E13" s="40">
        <f t="shared" si="2"/>
        <v>13.5</v>
      </c>
      <c r="F13" s="90">
        <v>1.0</v>
      </c>
      <c r="G13" s="91">
        <v>2.0</v>
      </c>
      <c r="H13" s="92">
        <v>0.0</v>
      </c>
      <c r="I13" s="91">
        <v>6.0</v>
      </c>
      <c r="J13" s="91">
        <v>7.0</v>
      </c>
      <c r="K13" s="91">
        <v>6.0</v>
      </c>
      <c r="L13" s="93">
        <v>19.0</v>
      </c>
      <c r="M13" s="91">
        <v>3.0</v>
      </c>
      <c r="N13" s="37">
        <f t="shared" ref="N13:O13" si="18">C13+L13</f>
        <v>244</v>
      </c>
      <c r="O13" s="37">
        <f t="shared" si="18"/>
        <v>26</v>
      </c>
      <c r="P13" s="49" t="s">
        <v>57</v>
      </c>
      <c r="Q13" s="49" t="s">
        <v>57</v>
      </c>
      <c r="R13" s="49" t="s">
        <v>57</v>
      </c>
      <c r="S13" s="51">
        <f t="shared" si="4"/>
        <v>14</v>
      </c>
      <c r="T13" s="52">
        <f t="shared" si="5"/>
        <v>0</v>
      </c>
      <c r="U13" s="52"/>
      <c r="V13" s="51">
        <f t="shared" si="6"/>
        <v>4</v>
      </c>
      <c r="W13" s="52">
        <f t="shared" si="7"/>
        <v>6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103</v>
      </c>
      <c r="C14" s="37">
        <v>223.0</v>
      </c>
      <c r="D14" s="37">
        <v>22.0</v>
      </c>
      <c r="E14" s="40">
        <f t="shared" si="2"/>
        <v>12.8</v>
      </c>
      <c r="F14" s="90">
        <v>1.0</v>
      </c>
      <c r="G14" s="91">
        <v>3.0</v>
      </c>
      <c r="H14" s="92">
        <v>0.0</v>
      </c>
      <c r="I14" s="91">
        <v>3.0</v>
      </c>
      <c r="J14" s="91">
        <v>0.0</v>
      </c>
      <c r="K14" s="91">
        <v>3.0</v>
      </c>
      <c r="L14" s="93">
        <v>6.0</v>
      </c>
      <c r="M14" s="91">
        <v>0.0</v>
      </c>
      <c r="N14" s="37">
        <f t="shared" ref="N14:O14" si="19">C14+L14</f>
        <v>229</v>
      </c>
      <c r="O14" s="37">
        <f t="shared" si="19"/>
        <v>22</v>
      </c>
      <c r="P14" s="49" t="s">
        <v>57</v>
      </c>
      <c r="Q14" s="49" t="s">
        <v>57</v>
      </c>
      <c r="R14" s="49" t="s">
        <v>57</v>
      </c>
      <c r="S14" s="51">
        <f t="shared" si="4"/>
        <v>15</v>
      </c>
      <c r="T14" s="52">
        <f t="shared" si="5"/>
        <v>1</v>
      </c>
      <c r="U14" s="52"/>
      <c r="V14" s="51">
        <f t="shared" si="6"/>
        <v>2</v>
      </c>
      <c r="W14" s="52">
        <f t="shared" si="7"/>
        <v>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93</v>
      </c>
      <c r="C15" s="37">
        <v>223.0</v>
      </c>
      <c r="D15" s="37">
        <v>19.0</v>
      </c>
      <c r="E15" s="40">
        <f t="shared" si="2"/>
        <v>13.07142857</v>
      </c>
      <c r="F15" s="90">
        <v>1.0</v>
      </c>
      <c r="G15" s="91">
        <v>3.0</v>
      </c>
      <c r="H15" s="92">
        <v>0.0</v>
      </c>
      <c r="I15" s="91">
        <v>6.0</v>
      </c>
      <c r="J15" s="91">
        <v>0.0</v>
      </c>
      <c r="K15" s="91">
        <v>6.0</v>
      </c>
      <c r="L15" s="93">
        <v>12.0</v>
      </c>
      <c r="M15" s="91">
        <v>2.0</v>
      </c>
      <c r="N15" s="37">
        <f t="shared" ref="N15:O15" si="20">C15+L15</f>
        <v>235</v>
      </c>
      <c r="O15" s="37">
        <f t="shared" si="20"/>
        <v>21</v>
      </c>
      <c r="P15" s="49" t="s">
        <v>57</v>
      </c>
      <c r="Q15" s="49" t="s">
        <v>57</v>
      </c>
      <c r="R15" s="49" t="s">
        <v>57</v>
      </c>
      <c r="S15" s="51">
        <f t="shared" si="4"/>
        <v>14</v>
      </c>
      <c r="T15" s="52">
        <f t="shared" si="5"/>
        <v>1</v>
      </c>
      <c r="U15" s="52"/>
      <c r="V15" s="51">
        <f t="shared" si="6"/>
        <v>3</v>
      </c>
      <c r="W15" s="52">
        <f t="shared" si="7"/>
        <v>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111</v>
      </c>
      <c r="C16" s="37">
        <v>222.0</v>
      </c>
      <c r="D16" s="37">
        <v>20.0</v>
      </c>
      <c r="E16" s="40">
        <f t="shared" si="2"/>
        <v>13.66666667</v>
      </c>
      <c r="F16" s="90">
        <v>3.0</v>
      </c>
      <c r="G16" s="91">
        <v>0.0</v>
      </c>
      <c r="H16" s="92">
        <v>9.0</v>
      </c>
      <c r="I16" s="91">
        <v>0.0</v>
      </c>
      <c r="J16" s="91">
        <v>0.0</v>
      </c>
      <c r="K16" s="91">
        <v>0.0</v>
      </c>
      <c r="L16" s="93">
        <v>9.0</v>
      </c>
      <c r="M16" s="91">
        <v>0.0</v>
      </c>
      <c r="N16" s="37">
        <f t="shared" ref="N16:O16" si="21">C16+L16</f>
        <v>231</v>
      </c>
      <c r="O16" s="37">
        <f t="shared" si="21"/>
        <v>20</v>
      </c>
      <c r="P16" s="49" t="s">
        <v>57</v>
      </c>
      <c r="Q16" s="49" t="s">
        <v>57</v>
      </c>
      <c r="R16" s="49" t="s">
        <v>57</v>
      </c>
      <c r="S16" s="51">
        <f t="shared" si="4"/>
        <v>12</v>
      </c>
      <c r="T16" s="52">
        <f t="shared" si="5"/>
        <v>1</v>
      </c>
      <c r="U16" s="52"/>
      <c r="V16" s="51">
        <f t="shared" si="6"/>
        <v>5</v>
      </c>
      <c r="W16" s="52">
        <f t="shared" si="7"/>
        <v>-3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96</v>
      </c>
      <c r="C17" s="37">
        <v>220.0</v>
      </c>
      <c r="D17" s="37">
        <v>24.0</v>
      </c>
      <c r="E17" s="40">
        <f t="shared" si="2"/>
        <v>12.41176471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229</v>
      </c>
      <c r="O17" s="37">
        <f t="shared" si="22"/>
        <v>24</v>
      </c>
      <c r="P17" s="49" t="s">
        <v>57</v>
      </c>
      <c r="Q17" s="49" t="s">
        <v>57</v>
      </c>
      <c r="R17" s="49" t="s">
        <v>57</v>
      </c>
      <c r="S17" s="51">
        <f t="shared" si="4"/>
        <v>17</v>
      </c>
      <c r="T17" s="52">
        <f t="shared" si="5"/>
        <v>0</v>
      </c>
      <c r="U17" s="52"/>
      <c r="V17" s="51">
        <f t="shared" si="6"/>
        <v>1</v>
      </c>
      <c r="W17" s="52">
        <f t="shared" si="7"/>
        <v>3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91</v>
      </c>
      <c r="C18" s="37">
        <v>220.0</v>
      </c>
      <c r="D18" s="37">
        <v>20.0</v>
      </c>
      <c r="E18" s="40">
        <f t="shared" si="2"/>
        <v>14.8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229</v>
      </c>
      <c r="O18" s="37">
        <f t="shared" si="23"/>
        <v>20</v>
      </c>
      <c r="P18" s="49" t="s">
        <v>57</v>
      </c>
      <c r="Q18" s="49" t="s">
        <v>57</v>
      </c>
      <c r="R18" s="49" t="s">
        <v>57</v>
      </c>
      <c r="S18" s="51">
        <f t="shared" si="4"/>
        <v>10</v>
      </c>
      <c r="T18" s="52">
        <f t="shared" si="5"/>
        <v>0</v>
      </c>
      <c r="U18" s="52"/>
      <c r="V18" s="51">
        <f t="shared" si="6"/>
        <v>8</v>
      </c>
      <c r="W18" s="52">
        <f t="shared" si="7"/>
        <v>-4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117</v>
      </c>
      <c r="C19" s="37">
        <v>218.0</v>
      </c>
      <c r="D19" s="37">
        <v>20.0</v>
      </c>
      <c r="E19" s="40">
        <f t="shared" si="2"/>
        <v>12.71428571</v>
      </c>
      <c r="F19" s="90">
        <v>2.0</v>
      </c>
      <c r="G19" s="91">
        <v>3.0</v>
      </c>
      <c r="H19" s="92">
        <v>0.0</v>
      </c>
      <c r="I19" s="91">
        <v>6.0</v>
      </c>
      <c r="J19" s="91">
        <v>6.0</v>
      </c>
      <c r="K19" s="91">
        <v>3.0</v>
      </c>
      <c r="L19" s="93">
        <v>15.0</v>
      </c>
      <c r="M19" s="91">
        <v>2.0</v>
      </c>
      <c r="N19" s="37">
        <f t="shared" ref="N19:O19" si="24">C19+L19</f>
        <v>233</v>
      </c>
      <c r="O19" s="37">
        <f t="shared" si="24"/>
        <v>22</v>
      </c>
      <c r="P19" s="49" t="s">
        <v>57</v>
      </c>
      <c r="Q19" s="49" t="s">
        <v>57</v>
      </c>
      <c r="R19" s="49" t="s">
        <v>57</v>
      </c>
      <c r="S19" s="51">
        <f t="shared" si="4"/>
        <v>14</v>
      </c>
      <c r="T19" s="52">
        <f t="shared" si="5"/>
        <v>1</v>
      </c>
      <c r="U19" s="52"/>
      <c r="V19" s="51">
        <f t="shared" si="6"/>
        <v>3</v>
      </c>
      <c r="W19" s="52">
        <f t="shared" si="7"/>
        <v>2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89</v>
      </c>
      <c r="C20" s="37">
        <v>217.0</v>
      </c>
      <c r="D20" s="37">
        <v>20.0</v>
      </c>
      <c r="E20" s="40">
        <f t="shared" si="2"/>
        <v>15.11111111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226</v>
      </c>
      <c r="O20" s="37">
        <f t="shared" si="25"/>
        <v>20</v>
      </c>
      <c r="P20" s="49" t="s">
        <v>57</v>
      </c>
      <c r="Q20" s="49" t="s">
        <v>57</v>
      </c>
      <c r="R20" s="49" t="s">
        <v>57</v>
      </c>
      <c r="S20" s="51">
        <f t="shared" si="4"/>
        <v>9</v>
      </c>
      <c r="T20" s="52">
        <f t="shared" si="5"/>
        <v>0</v>
      </c>
      <c r="U20" s="52"/>
      <c r="V20" s="51">
        <f t="shared" si="6"/>
        <v>9</v>
      </c>
      <c r="W20" s="52">
        <f t="shared" si="7"/>
        <v>-2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135</v>
      </c>
      <c r="C21" s="37">
        <v>217.0</v>
      </c>
      <c r="D21" s="37">
        <v>15.0</v>
      </c>
      <c r="E21" s="40">
        <f t="shared" si="2"/>
        <v>12.92857143</v>
      </c>
      <c r="F21" s="90">
        <v>1.0</v>
      </c>
      <c r="G21" s="91">
        <v>3.0</v>
      </c>
      <c r="H21" s="92">
        <v>0.0</v>
      </c>
      <c r="I21" s="91">
        <v>3.0</v>
      </c>
      <c r="J21" s="91">
        <v>6.0</v>
      </c>
      <c r="K21" s="91">
        <v>6.0</v>
      </c>
      <c r="L21" s="93">
        <v>15.0</v>
      </c>
      <c r="M21" s="91">
        <v>2.0</v>
      </c>
      <c r="N21" s="37">
        <f t="shared" ref="N21:O21" si="26">C21+L21</f>
        <v>232</v>
      </c>
      <c r="O21" s="37">
        <f t="shared" si="26"/>
        <v>17</v>
      </c>
      <c r="P21" s="49" t="s">
        <v>57</v>
      </c>
      <c r="Q21" s="49" t="s">
        <v>57</v>
      </c>
      <c r="R21" s="49" t="s">
        <v>57</v>
      </c>
      <c r="S21" s="51">
        <f t="shared" si="4"/>
        <v>14</v>
      </c>
      <c r="T21" s="52">
        <f t="shared" si="5"/>
        <v>0</v>
      </c>
      <c r="U21" s="52"/>
      <c r="V21" s="51">
        <f t="shared" si="6"/>
        <v>4</v>
      </c>
      <c r="W21" s="52">
        <f t="shared" si="7"/>
        <v>-4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120</v>
      </c>
      <c r="C22" s="37">
        <v>215.0</v>
      </c>
      <c r="D22" s="37">
        <v>17.0</v>
      </c>
      <c r="E22" s="40">
        <f t="shared" si="2"/>
        <v>14.88888889</v>
      </c>
      <c r="F22" s="90">
        <v>1.0</v>
      </c>
      <c r="G22" s="91">
        <v>4.0</v>
      </c>
      <c r="H22" s="92">
        <v>0.0</v>
      </c>
      <c r="I22" s="91">
        <v>6.0</v>
      </c>
      <c r="J22" s="91">
        <v>6.0</v>
      </c>
      <c r="K22" s="91">
        <v>6.0</v>
      </c>
      <c r="L22" s="93">
        <v>18.0</v>
      </c>
      <c r="M22" s="91">
        <v>2.0</v>
      </c>
      <c r="N22" s="37">
        <f t="shared" ref="N22:O22" si="27">C22+L22</f>
        <v>233</v>
      </c>
      <c r="O22" s="37">
        <f t="shared" si="27"/>
        <v>19</v>
      </c>
      <c r="P22" s="49" t="s">
        <v>57</v>
      </c>
      <c r="Q22" s="49" t="s">
        <v>57</v>
      </c>
      <c r="R22" s="49" t="s">
        <v>57</v>
      </c>
      <c r="S22" s="51">
        <f t="shared" si="4"/>
        <v>9</v>
      </c>
      <c r="T22" s="52">
        <f t="shared" si="5"/>
        <v>0</v>
      </c>
      <c r="U22" s="52"/>
      <c r="V22" s="51">
        <f t="shared" si="6"/>
        <v>9</v>
      </c>
      <c r="W22" s="52">
        <f t="shared" si="7"/>
        <v>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99</v>
      </c>
      <c r="C23" s="37">
        <v>213.0</v>
      </c>
      <c r="D23" s="37">
        <v>20.0</v>
      </c>
      <c r="E23" s="40">
        <f t="shared" si="2"/>
        <v>12.61538462</v>
      </c>
      <c r="F23" s="90">
        <v>1.0</v>
      </c>
      <c r="G23" s="91">
        <v>4.0</v>
      </c>
      <c r="H23" s="92">
        <v>0.0</v>
      </c>
      <c r="I23" s="91">
        <v>3.0</v>
      </c>
      <c r="J23" s="91">
        <v>6.0</v>
      </c>
      <c r="K23" s="91">
        <v>7.0</v>
      </c>
      <c r="L23" s="93">
        <v>16.0</v>
      </c>
      <c r="M23" s="91">
        <v>2.0</v>
      </c>
      <c r="N23" s="37">
        <f t="shared" ref="N23:O23" si="28">C23+L23</f>
        <v>229</v>
      </c>
      <c r="O23" s="37">
        <f t="shared" si="28"/>
        <v>22</v>
      </c>
      <c r="P23" s="49" t="s">
        <v>57</v>
      </c>
      <c r="Q23" s="49" t="s">
        <v>57</v>
      </c>
      <c r="R23" s="49" t="s">
        <v>57</v>
      </c>
      <c r="S23" s="51">
        <f t="shared" si="4"/>
        <v>13</v>
      </c>
      <c r="T23" s="52">
        <f t="shared" si="5"/>
        <v>1</v>
      </c>
      <c r="U23" s="52"/>
      <c r="V23" s="51">
        <f t="shared" si="6"/>
        <v>4</v>
      </c>
      <c r="W23" s="52">
        <f t="shared" si="7"/>
        <v>2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112</v>
      </c>
      <c r="C24" s="37">
        <v>213.0</v>
      </c>
      <c r="D24" s="37">
        <v>17.0</v>
      </c>
      <c r="E24" s="40">
        <f t="shared" si="2"/>
        <v>12.92307692</v>
      </c>
      <c r="F24" s="90">
        <v>1.0</v>
      </c>
      <c r="G24" s="91">
        <v>4.0</v>
      </c>
      <c r="H24" s="92">
        <v>0.0</v>
      </c>
      <c r="I24" s="91">
        <v>3.0</v>
      </c>
      <c r="J24" s="91">
        <v>3.0</v>
      </c>
      <c r="K24" s="91">
        <v>6.0</v>
      </c>
      <c r="L24" s="93">
        <v>12.0</v>
      </c>
      <c r="M24" s="91">
        <v>0.0</v>
      </c>
      <c r="N24" s="37">
        <f t="shared" ref="N24:O24" si="29">C24+L24</f>
        <v>225</v>
      </c>
      <c r="O24" s="37">
        <f t="shared" si="29"/>
        <v>17</v>
      </c>
      <c r="P24" s="49" t="s">
        <v>57</v>
      </c>
      <c r="Q24" s="49" t="s">
        <v>57</v>
      </c>
      <c r="R24" s="49" t="s">
        <v>57</v>
      </c>
      <c r="S24" s="51">
        <f t="shared" si="4"/>
        <v>13</v>
      </c>
      <c r="T24" s="52">
        <f t="shared" si="5"/>
        <v>0</v>
      </c>
      <c r="U24" s="52"/>
      <c r="V24" s="51">
        <f t="shared" si="6"/>
        <v>5</v>
      </c>
      <c r="W24" s="52">
        <f t="shared" si="7"/>
        <v>-2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128</v>
      </c>
      <c r="C25" s="37">
        <v>212.0</v>
      </c>
      <c r="D25" s="37">
        <v>17.0</v>
      </c>
      <c r="E25" s="40">
        <f t="shared" si="2"/>
        <v>12.84615385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221</v>
      </c>
      <c r="O25" s="37">
        <f t="shared" si="30"/>
        <v>17</v>
      </c>
      <c r="P25" s="49" t="s">
        <v>57</v>
      </c>
      <c r="Q25" s="49" t="s">
        <v>57</v>
      </c>
      <c r="R25" s="49" t="s">
        <v>57</v>
      </c>
      <c r="S25" s="51">
        <f t="shared" si="4"/>
        <v>13</v>
      </c>
      <c r="T25" s="52">
        <f t="shared" si="5"/>
        <v>0</v>
      </c>
      <c r="U25" s="52"/>
      <c r="V25" s="51">
        <f t="shared" si="6"/>
        <v>5</v>
      </c>
      <c r="W25" s="52">
        <f t="shared" si="7"/>
        <v>3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108</v>
      </c>
      <c r="C26" s="37">
        <v>210.0</v>
      </c>
      <c r="D26" s="37">
        <v>20.0</v>
      </c>
      <c r="E26" s="40">
        <f t="shared" si="2"/>
        <v>12.69230769</v>
      </c>
      <c r="F26" s="90">
        <v>1.0</v>
      </c>
      <c r="G26" s="91">
        <v>4.0</v>
      </c>
      <c r="H26" s="92">
        <v>0.0</v>
      </c>
      <c r="I26" s="91">
        <v>6.0</v>
      </c>
      <c r="J26" s="91">
        <v>3.0</v>
      </c>
      <c r="K26" s="91">
        <v>7.0</v>
      </c>
      <c r="L26" s="93">
        <v>16.0</v>
      </c>
      <c r="M26" s="91">
        <v>2.0</v>
      </c>
      <c r="N26" s="37">
        <f t="shared" ref="N26:O26" si="31">C26+L26</f>
        <v>226</v>
      </c>
      <c r="O26" s="37">
        <f t="shared" si="31"/>
        <v>22</v>
      </c>
      <c r="P26" s="49" t="s">
        <v>57</v>
      </c>
      <c r="Q26" s="49" t="s">
        <v>57</v>
      </c>
      <c r="R26" s="49" t="s">
        <v>57</v>
      </c>
      <c r="S26" s="51">
        <f t="shared" si="4"/>
        <v>13</v>
      </c>
      <c r="T26" s="52">
        <f t="shared" si="5"/>
        <v>0</v>
      </c>
      <c r="U26" s="52"/>
      <c r="V26" s="51">
        <f t="shared" si="6"/>
        <v>5</v>
      </c>
      <c r="W26" s="52">
        <f t="shared" si="7"/>
        <v>5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126</v>
      </c>
      <c r="C27" s="37">
        <v>210.0</v>
      </c>
      <c r="D27" s="37">
        <v>20.0</v>
      </c>
      <c r="E27" s="40">
        <f t="shared" si="2"/>
        <v>12.69230769</v>
      </c>
      <c r="F27" s="90">
        <v>1.0</v>
      </c>
      <c r="G27" s="91">
        <v>5.0</v>
      </c>
      <c r="H27" s="92">
        <v>0.0</v>
      </c>
      <c r="I27" s="91">
        <v>6.0</v>
      </c>
      <c r="J27" s="91">
        <v>7.0</v>
      </c>
      <c r="K27" s="91">
        <v>5.0</v>
      </c>
      <c r="L27" s="93">
        <v>18.0</v>
      </c>
      <c r="M27" s="91">
        <v>2.0</v>
      </c>
      <c r="N27" s="37">
        <f t="shared" ref="N27:O27" si="32">C27+L27</f>
        <v>228</v>
      </c>
      <c r="O27" s="37">
        <f t="shared" si="32"/>
        <v>22</v>
      </c>
      <c r="P27" s="49" t="s">
        <v>57</v>
      </c>
      <c r="Q27" s="49" t="s">
        <v>57</v>
      </c>
      <c r="R27" s="49" t="s">
        <v>57</v>
      </c>
      <c r="S27" s="51">
        <f t="shared" si="4"/>
        <v>13</v>
      </c>
      <c r="T27" s="52">
        <f t="shared" si="5"/>
        <v>0</v>
      </c>
      <c r="U27" s="52"/>
      <c r="V27" s="51">
        <f t="shared" si="6"/>
        <v>5</v>
      </c>
      <c r="W27" s="52">
        <f t="shared" si="7"/>
        <v>5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113</v>
      </c>
      <c r="C28" s="37">
        <v>210.0</v>
      </c>
      <c r="D28" s="37">
        <v>19.0</v>
      </c>
      <c r="E28" s="40">
        <f t="shared" si="2"/>
        <v>14.33333333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219</v>
      </c>
      <c r="O28" s="37">
        <f t="shared" si="33"/>
        <v>19</v>
      </c>
      <c r="P28" s="49" t="s">
        <v>57</v>
      </c>
      <c r="Q28" s="49" t="s">
        <v>57</v>
      </c>
      <c r="R28" s="49" t="s">
        <v>57</v>
      </c>
      <c r="S28" s="51">
        <f t="shared" si="4"/>
        <v>9</v>
      </c>
      <c r="T28" s="52">
        <f t="shared" si="5"/>
        <v>0</v>
      </c>
      <c r="U28" s="52"/>
      <c r="V28" s="51">
        <f t="shared" si="6"/>
        <v>9</v>
      </c>
      <c r="W28" s="52">
        <f t="shared" si="7"/>
        <v>8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132</v>
      </c>
      <c r="C29" s="37">
        <v>210.0</v>
      </c>
      <c r="D29" s="37">
        <v>18.0</v>
      </c>
      <c r="E29" s="40">
        <f t="shared" si="2"/>
        <v>15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219</v>
      </c>
      <c r="O29" s="37">
        <f t="shared" si="34"/>
        <v>18</v>
      </c>
      <c r="P29" s="49" t="s">
        <v>57</v>
      </c>
      <c r="Q29" s="49" t="s">
        <v>57</v>
      </c>
      <c r="R29" s="49" t="s">
        <v>57</v>
      </c>
      <c r="S29" s="51">
        <f t="shared" si="4"/>
        <v>8</v>
      </c>
      <c r="T29" s="52">
        <f t="shared" si="5"/>
        <v>0</v>
      </c>
      <c r="U29" s="52"/>
      <c r="V29" s="51">
        <f t="shared" si="6"/>
        <v>10</v>
      </c>
      <c r="W29" s="52">
        <f t="shared" si="7"/>
        <v>-5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137</v>
      </c>
      <c r="C30" s="37">
        <v>209.0</v>
      </c>
      <c r="D30" s="37">
        <v>19.0</v>
      </c>
      <c r="E30" s="40">
        <f t="shared" si="2"/>
        <v>12.35714286</v>
      </c>
      <c r="F30" s="90">
        <v>1.0</v>
      </c>
      <c r="G30" s="91">
        <v>5.0</v>
      </c>
      <c r="H30" s="92">
        <v>0.0</v>
      </c>
      <c r="I30" s="91">
        <v>6.0</v>
      </c>
      <c r="J30" s="91">
        <v>5.0</v>
      </c>
      <c r="K30" s="91">
        <v>7.0</v>
      </c>
      <c r="L30" s="93">
        <v>18.0</v>
      </c>
      <c r="M30" s="91">
        <v>2.0</v>
      </c>
      <c r="N30" s="37">
        <f t="shared" ref="N30:O30" si="35">C30+L30</f>
        <v>227</v>
      </c>
      <c r="O30" s="37">
        <f t="shared" si="35"/>
        <v>21</v>
      </c>
      <c r="P30" s="49" t="s">
        <v>57</v>
      </c>
      <c r="Q30" s="49" t="s">
        <v>57</v>
      </c>
      <c r="R30" s="49" t="s">
        <v>57</v>
      </c>
      <c r="S30" s="51">
        <f t="shared" si="4"/>
        <v>14</v>
      </c>
      <c r="T30" s="52">
        <f t="shared" si="5"/>
        <v>0</v>
      </c>
      <c r="U30" s="52"/>
      <c r="V30" s="51">
        <f t="shared" si="6"/>
        <v>4</v>
      </c>
      <c r="W30" s="52">
        <f t="shared" si="7"/>
        <v>8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114</v>
      </c>
      <c r="C31" s="37">
        <v>208.0</v>
      </c>
      <c r="D31" s="37">
        <v>20.0</v>
      </c>
      <c r="E31" s="40">
        <f t="shared" si="2"/>
        <v>14.11111111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217</v>
      </c>
      <c r="O31" s="37">
        <f t="shared" si="36"/>
        <v>20</v>
      </c>
      <c r="P31" s="49" t="s">
        <v>57</v>
      </c>
      <c r="Q31" s="49" t="s">
        <v>57</v>
      </c>
      <c r="R31" s="49" t="s">
        <v>57</v>
      </c>
      <c r="S31" s="51">
        <f t="shared" si="4"/>
        <v>9</v>
      </c>
      <c r="T31" s="52">
        <f t="shared" si="5"/>
        <v>0</v>
      </c>
      <c r="U31" s="52"/>
      <c r="V31" s="51">
        <f t="shared" si="6"/>
        <v>9</v>
      </c>
      <c r="W31" s="52">
        <f t="shared" si="7"/>
        <v>-4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139</v>
      </c>
      <c r="C32" s="37">
        <v>208.0</v>
      </c>
      <c r="D32" s="37">
        <v>20.0</v>
      </c>
      <c r="E32" s="40">
        <f t="shared" si="2"/>
        <v>12.06666667</v>
      </c>
      <c r="F32" s="90">
        <v>1.0</v>
      </c>
      <c r="G32" s="91">
        <v>5.0</v>
      </c>
      <c r="H32" s="92">
        <v>0.0</v>
      </c>
      <c r="I32" s="91">
        <v>0.0</v>
      </c>
      <c r="J32" s="91">
        <v>5.0</v>
      </c>
      <c r="K32" s="91">
        <v>5.0</v>
      </c>
      <c r="L32" s="93">
        <v>10.0</v>
      </c>
      <c r="M32" s="91">
        <v>0.0</v>
      </c>
      <c r="N32" s="37">
        <f t="shared" ref="N32:O32" si="37">C32+L32</f>
        <v>218</v>
      </c>
      <c r="O32" s="37">
        <f t="shared" si="37"/>
        <v>20</v>
      </c>
      <c r="P32" s="49" t="s">
        <v>57</v>
      </c>
      <c r="Q32" s="49" t="s">
        <v>57</v>
      </c>
      <c r="R32" s="49" t="s">
        <v>57</v>
      </c>
      <c r="S32" s="51">
        <f t="shared" si="4"/>
        <v>15</v>
      </c>
      <c r="T32" s="52">
        <f t="shared" si="5"/>
        <v>0</v>
      </c>
      <c r="U32" s="52"/>
      <c r="V32" s="51">
        <f t="shared" si="6"/>
        <v>3</v>
      </c>
      <c r="W32" s="52">
        <f t="shared" si="7"/>
        <v>1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97</v>
      </c>
      <c r="C33" s="37">
        <v>208.0</v>
      </c>
      <c r="D33" s="37">
        <v>14.0</v>
      </c>
      <c r="E33" s="40">
        <f t="shared" si="2"/>
        <v>13.6</v>
      </c>
      <c r="F33" s="90">
        <v>1.0</v>
      </c>
      <c r="G33" s="91">
        <v>5.0</v>
      </c>
      <c r="H33" s="92">
        <v>0.0</v>
      </c>
      <c r="I33" s="91">
        <v>0.0</v>
      </c>
      <c r="J33" s="91">
        <v>7.0</v>
      </c>
      <c r="K33" s="91">
        <v>7.0</v>
      </c>
      <c r="L33" s="93">
        <v>14.0</v>
      </c>
      <c r="M33" s="91">
        <v>2.0</v>
      </c>
      <c r="N33" s="37">
        <f t="shared" ref="N33:O33" si="38">C33+L33</f>
        <v>222</v>
      </c>
      <c r="O33" s="37">
        <f t="shared" si="38"/>
        <v>16</v>
      </c>
      <c r="P33" s="49" t="s">
        <v>57</v>
      </c>
      <c r="Q33" s="49" t="s">
        <v>57</v>
      </c>
      <c r="R33" s="49" t="s">
        <v>57</v>
      </c>
      <c r="S33" s="51">
        <f t="shared" si="4"/>
        <v>10</v>
      </c>
      <c r="T33" s="52">
        <f t="shared" si="5"/>
        <v>0</v>
      </c>
      <c r="U33" s="52"/>
      <c r="V33" s="51">
        <f t="shared" si="6"/>
        <v>8</v>
      </c>
      <c r="W33" s="52">
        <f t="shared" si="7"/>
        <v>-4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59</v>
      </c>
      <c r="C34" s="37">
        <v>207.0</v>
      </c>
      <c r="D34" s="37">
        <v>17.0</v>
      </c>
      <c r="E34" s="40">
        <f t="shared" si="2"/>
        <v>11.64705882</v>
      </c>
      <c r="F34" s="90">
        <v>1.0</v>
      </c>
      <c r="G34" s="91">
        <v>6.0</v>
      </c>
      <c r="H34" s="92">
        <v>0.0</v>
      </c>
      <c r="I34" s="91">
        <v>6.0</v>
      </c>
      <c r="J34" s="91">
        <v>3.0</v>
      </c>
      <c r="K34" s="91">
        <v>1.0</v>
      </c>
      <c r="L34" s="93">
        <v>10.0</v>
      </c>
      <c r="M34" s="91">
        <v>1.0</v>
      </c>
      <c r="N34" s="37">
        <f t="shared" ref="N34:O34" si="39">C34+L34</f>
        <v>217</v>
      </c>
      <c r="O34" s="37">
        <f t="shared" si="39"/>
        <v>18</v>
      </c>
      <c r="P34" s="49" t="s">
        <v>57</v>
      </c>
      <c r="Q34" s="49" t="s">
        <v>57</v>
      </c>
      <c r="R34" s="49" t="s">
        <v>57</v>
      </c>
      <c r="S34" s="51">
        <f t="shared" si="4"/>
        <v>17</v>
      </c>
      <c r="T34" s="52">
        <f t="shared" si="5"/>
        <v>0</v>
      </c>
      <c r="U34" s="52"/>
      <c r="V34" s="51">
        <f t="shared" si="6"/>
        <v>1</v>
      </c>
      <c r="W34" s="52">
        <f t="shared" si="7"/>
        <v>6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130</v>
      </c>
      <c r="C35" s="37">
        <v>206.0</v>
      </c>
      <c r="D35" s="37">
        <v>20.0</v>
      </c>
      <c r="E35" s="40">
        <f t="shared" si="2"/>
        <v>11.44444444</v>
      </c>
      <c r="F35" s="90">
        <v>1.0</v>
      </c>
      <c r="G35" s="91">
        <v>6.0</v>
      </c>
      <c r="H35" s="92">
        <v>0.0</v>
      </c>
      <c r="I35" s="91">
        <v>2.0</v>
      </c>
      <c r="J35" s="91">
        <v>6.0</v>
      </c>
      <c r="K35" s="91">
        <v>1.0</v>
      </c>
      <c r="L35" s="93">
        <v>9.0</v>
      </c>
      <c r="M35" s="91">
        <v>1.0</v>
      </c>
      <c r="N35" s="37">
        <f t="shared" ref="N35:O35" si="40">C35+L35</f>
        <v>215</v>
      </c>
      <c r="O35" s="37">
        <f t="shared" si="40"/>
        <v>21</v>
      </c>
      <c r="P35" s="49" t="s">
        <v>57</v>
      </c>
      <c r="Q35" s="49" t="s">
        <v>57</v>
      </c>
      <c r="R35" s="49" t="s">
        <v>57</v>
      </c>
      <c r="S35" s="51">
        <f t="shared" si="4"/>
        <v>18</v>
      </c>
      <c r="T35" s="52">
        <f t="shared" si="5"/>
        <v>0</v>
      </c>
      <c r="U35" s="52"/>
      <c r="V35" s="51">
        <f t="shared" si="6"/>
        <v>0</v>
      </c>
      <c r="W35" s="52">
        <f t="shared" si="7"/>
        <v>-12</v>
      </c>
      <c r="X35" s="35">
        <f t="shared" si="12"/>
        <v>31</v>
      </c>
      <c r="Y35" s="35" t="str">
        <f t="shared" si="8"/>
        <v>Y</v>
      </c>
      <c r="Z35" s="19" t="str">
        <f t="shared" si="9"/>
        <v/>
      </c>
    </row>
    <row r="36">
      <c r="A36" s="35">
        <f t="shared" si="10"/>
        <v>32</v>
      </c>
      <c r="B36" s="36" t="s">
        <v>142</v>
      </c>
      <c r="C36" s="37">
        <v>206.0</v>
      </c>
      <c r="D36" s="37">
        <v>18.0</v>
      </c>
      <c r="E36" s="40">
        <f t="shared" si="2"/>
        <v>13.4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215</v>
      </c>
      <c r="O36" s="37">
        <f t="shared" si="41"/>
        <v>18</v>
      </c>
      <c r="P36" s="49" t="s">
        <v>57</v>
      </c>
      <c r="Q36" s="49" t="s">
        <v>57</v>
      </c>
      <c r="R36" s="49" t="s">
        <v>57</v>
      </c>
      <c r="S36" s="51">
        <f t="shared" si="4"/>
        <v>10</v>
      </c>
      <c r="T36" s="52">
        <f t="shared" si="5"/>
        <v>0</v>
      </c>
      <c r="U36" s="52"/>
      <c r="V36" s="51">
        <f t="shared" si="6"/>
        <v>8</v>
      </c>
      <c r="W36" s="52">
        <f t="shared" si="7"/>
        <v>-6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109</v>
      </c>
      <c r="C37" s="37">
        <v>204.0</v>
      </c>
      <c r="D37" s="37">
        <v>17.0</v>
      </c>
      <c r="E37" s="40">
        <f t="shared" si="2"/>
        <v>12.81818182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213</v>
      </c>
      <c r="O37" s="37">
        <f t="shared" si="42"/>
        <v>17</v>
      </c>
      <c r="P37" s="49" t="s">
        <v>57</v>
      </c>
      <c r="Q37" s="49" t="s">
        <v>57</v>
      </c>
      <c r="R37" s="49" t="s">
        <v>57</v>
      </c>
      <c r="S37" s="51">
        <f t="shared" si="4"/>
        <v>11</v>
      </c>
      <c r="T37" s="52">
        <f t="shared" si="5"/>
        <v>0</v>
      </c>
      <c r="U37" s="52"/>
      <c r="V37" s="51">
        <f t="shared" si="6"/>
        <v>7</v>
      </c>
      <c r="W37" s="52">
        <f t="shared" si="7"/>
        <v>-3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107</v>
      </c>
      <c r="C38" s="37">
        <v>202.0</v>
      </c>
      <c r="D38" s="37">
        <v>17.0</v>
      </c>
      <c r="E38" s="40">
        <f t="shared" si="2"/>
        <v>12.33333333</v>
      </c>
      <c r="F38" s="90">
        <v>2.0</v>
      </c>
      <c r="G38" s="91">
        <v>6.0</v>
      </c>
      <c r="H38" s="92">
        <v>0.0</v>
      </c>
      <c r="I38" s="91">
        <v>2.0</v>
      </c>
      <c r="J38" s="91">
        <v>3.0</v>
      </c>
      <c r="K38" s="91">
        <v>6.0</v>
      </c>
      <c r="L38" s="93">
        <v>11.0</v>
      </c>
      <c r="M38" s="91">
        <v>1.0</v>
      </c>
      <c r="N38" s="37">
        <f t="shared" ref="N38:O38" si="43">C38+L38</f>
        <v>213</v>
      </c>
      <c r="O38" s="37">
        <f t="shared" si="43"/>
        <v>18</v>
      </c>
      <c r="P38" s="49" t="s">
        <v>57</v>
      </c>
      <c r="Q38" s="49" t="s">
        <v>57</v>
      </c>
      <c r="R38" s="49" t="s">
        <v>57</v>
      </c>
      <c r="S38" s="51">
        <f t="shared" si="4"/>
        <v>12</v>
      </c>
      <c r="T38" s="52">
        <f t="shared" si="5"/>
        <v>0</v>
      </c>
      <c r="U38" s="52"/>
      <c r="V38" s="51">
        <f t="shared" si="6"/>
        <v>6</v>
      </c>
      <c r="W38" s="52">
        <f t="shared" si="7"/>
        <v>3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73</v>
      </c>
      <c r="C39" s="37">
        <v>202.0</v>
      </c>
      <c r="D39" s="37">
        <v>16.0</v>
      </c>
      <c r="E39" s="40">
        <f t="shared" si="2"/>
        <v>14.71428571</v>
      </c>
      <c r="F39" s="90">
        <v>1.0</v>
      </c>
      <c r="G39" s="91">
        <v>6.0</v>
      </c>
      <c r="H39" s="92">
        <v>0.0</v>
      </c>
      <c r="I39" s="91">
        <v>6.0</v>
      </c>
      <c r="J39" s="91">
        <v>6.0</v>
      </c>
      <c r="K39" s="91">
        <v>6.0</v>
      </c>
      <c r="L39" s="93">
        <v>18.0</v>
      </c>
      <c r="M39" s="91">
        <v>3.0</v>
      </c>
      <c r="N39" s="37">
        <f t="shared" ref="N39:O39" si="44">C39+L39</f>
        <v>220</v>
      </c>
      <c r="O39" s="37">
        <f t="shared" si="44"/>
        <v>19</v>
      </c>
      <c r="P39" s="49" t="s">
        <v>57</v>
      </c>
      <c r="Q39" s="49" t="s">
        <v>57</v>
      </c>
      <c r="R39" s="49" t="s">
        <v>57</v>
      </c>
      <c r="S39" s="51">
        <f t="shared" si="4"/>
        <v>7</v>
      </c>
      <c r="T39" s="52">
        <f t="shared" si="5"/>
        <v>0</v>
      </c>
      <c r="U39" s="52"/>
      <c r="V39" s="51">
        <f t="shared" si="6"/>
        <v>11</v>
      </c>
      <c r="W39" s="52">
        <f t="shared" si="7"/>
        <v>9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101</v>
      </c>
      <c r="C40" s="37">
        <v>200.0</v>
      </c>
      <c r="D40" s="37">
        <v>13.0</v>
      </c>
      <c r="E40" s="40">
        <f t="shared" si="2"/>
        <v>12.09090909</v>
      </c>
      <c r="F40" s="90">
        <v>1.0</v>
      </c>
      <c r="G40" s="91">
        <v>7.0</v>
      </c>
      <c r="H40" s="92">
        <v>0.0</v>
      </c>
      <c r="I40" s="91">
        <v>6.0</v>
      </c>
      <c r="J40" s="91">
        <v>6.0</v>
      </c>
      <c r="K40" s="91">
        <v>1.0</v>
      </c>
      <c r="L40" s="93">
        <v>13.0</v>
      </c>
      <c r="M40" s="91">
        <v>0.0</v>
      </c>
      <c r="N40" s="37">
        <f t="shared" ref="N40:O40" si="45">C40+L40</f>
        <v>213</v>
      </c>
      <c r="O40" s="37">
        <f t="shared" si="45"/>
        <v>13</v>
      </c>
      <c r="P40" s="49" t="s">
        <v>57</v>
      </c>
      <c r="Q40" s="49" t="s">
        <v>57</v>
      </c>
      <c r="R40" s="49" t="s">
        <v>57</v>
      </c>
      <c r="S40" s="51">
        <f t="shared" si="4"/>
        <v>11</v>
      </c>
      <c r="T40" s="52">
        <f t="shared" si="5"/>
        <v>1</v>
      </c>
      <c r="U40" s="52"/>
      <c r="V40" s="51">
        <f t="shared" si="6"/>
        <v>6</v>
      </c>
      <c r="W40" s="52">
        <f t="shared" si="7"/>
        <v>-5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143</v>
      </c>
      <c r="C41" s="37">
        <v>199.0</v>
      </c>
      <c r="D41" s="37">
        <v>17.0</v>
      </c>
      <c r="E41" s="40">
        <f t="shared" si="2"/>
        <v>12.7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208</v>
      </c>
      <c r="O41" s="37">
        <f t="shared" si="46"/>
        <v>17</v>
      </c>
      <c r="P41" s="49" t="s">
        <v>57</v>
      </c>
      <c r="Q41" s="49" t="s">
        <v>57</v>
      </c>
      <c r="R41" s="49" t="s">
        <v>57</v>
      </c>
      <c r="S41" s="51">
        <f t="shared" si="4"/>
        <v>10</v>
      </c>
      <c r="T41" s="52">
        <f t="shared" si="5"/>
        <v>0</v>
      </c>
      <c r="U41" s="52"/>
      <c r="V41" s="51">
        <f t="shared" si="6"/>
        <v>8</v>
      </c>
      <c r="W41" s="52">
        <f t="shared" si="7"/>
        <v>-4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104</v>
      </c>
      <c r="C42" s="37">
        <v>199.0</v>
      </c>
      <c r="D42" s="37">
        <v>16.0</v>
      </c>
      <c r="E42" s="40">
        <f t="shared" si="2"/>
        <v>13.11111111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208</v>
      </c>
      <c r="O42" s="37">
        <f t="shared" si="47"/>
        <v>16</v>
      </c>
      <c r="P42" s="49" t="s">
        <v>57</v>
      </c>
      <c r="Q42" s="49" t="s">
        <v>57</v>
      </c>
      <c r="R42" s="49" t="s">
        <v>57</v>
      </c>
      <c r="S42" s="51">
        <f t="shared" si="4"/>
        <v>9</v>
      </c>
      <c r="T42" s="52">
        <f t="shared" si="5"/>
        <v>0</v>
      </c>
      <c r="U42" s="52"/>
      <c r="V42" s="51">
        <f t="shared" si="6"/>
        <v>9</v>
      </c>
      <c r="W42" s="52">
        <f t="shared" si="7"/>
        <v>-3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51</v>
      </c>
      <c r="C43" s="37">
        <v>197.0</v>
      </c>
      <c r="D43" s="37">
        <v>14.0</v>
      </c>
      <c r="E43" s="40">
        <f t="shared" si="2"/>
        <v>16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206</v>
      </c>
      <c r="O43" s="37">
        <f t="shared" si="48"/>
        <v>14</v>
      </c>
      <c r="P43" s="49" t="s">
        <v>57</v>
      </c>
      <c r="Q43" s="49" t="s">
        <v>57</v>
      </c>
      <c r="R43" s="49" t="s">
        <v>57</v>
      </c>
      <c r="S43" s="51">
        <f t="shared" si="4"/>
        <v>5</v>
      </c>
      <c r="T43" s="52">
        <f t="shared" si="5"/>
        <v>0</v>
      </c>
      <c r="U43" s="52"/>
      <c r="V43" s="51">
        <f t="shared" si="6"/>
        <v>13</v>
      </c>
      <c r="W43" s="52">
        <f t="shared" si="7"/>
        <v>-1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90</v>
      </c>
      <c r="C44" s="37">
        <v>196.0</v>
      </c>
      <c r="D44" s="37">
        <v>12.0</v>
      </c>
      <c r="E44" s="40">
        <f t="shared" si="2"/>
        <v>14.66666667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205</v>
      </c>
      <c r="O44" s="37">
        <f t="shared" si="49"/>
        <v>12</v>
      </c>
      <c r="P44" s="49" t="s">
        <v>57</v>
      </c>
      <c r="Q44" s="49" t="s">
        <v>57</v>
      </c>
      <c r="R44" s="49" t="s">
        <v>57</v>
      </c>
      <c r="S44" s="51">
        <f t="shared" si="4"/>
        <v>6</v>
      </c>
      <c r="T44" s="52">
        <f t="shared" si="5"/>
        <v>0</v>
      </c>
      <c r="U44" s="52"/>
      <c r="V44" s="51">
        <f t="shared" si="6"/>
        <v>12</v>
      </c>
      <c r="W44" s="52">
        <f t="shared" si="7"/>
        <v>-1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138</v>
      </c>
      <c r="C45" s="37">
        <v>195.0</v>
      </c>
      <c r="D45" s="37">
        <v>15.0</v>
      </c>
      <c r="E45" s="40">
        <f t="shared" si="2"/>
        <v>11.75</v>
      </c>
      <c r="F45" s="90">
        <v>1.0</v>
      </c>
      <c r="G45" s="91">
        <v>7.0</v>
      </c>
      <c r="H45" s="92">
        <v>0.0</v>
      </c>
      <c r="I45" s="91">
        <v>6.0</v>
      </c>
      <c r="J45" s="91">
        <v>7.0</v>
      </c>
      <c r="K45" s="91">
        <v>6.0</v>
      </c>
      <c r="L45" s="93">
        <v>19.0</v>
      </c>
      <c r="M45" s="91">
        <v>2.0</v>
      </c>
      <c r="N45" s="37">
        <f t="shared" ref="N45:O45" si="50">C45+L45</f>
        <v>214</v>
      </c>
      <c r="O45" s="37">
        <f t="shared" si="50"/>
        <v>17</v>
      </c>
      <c r="P45" s="49" t="s">
        <v>57</v>
      </c>
      <c r="Q45" s="49" t="s">
        <v>57</v>
      </c>
      <c r="R45" s="49" t="s">
        <v>57</v>
      </c>
      <c r="S45" s="51">
        <f t="shared" si="4"/>
        <v>12</v>
      </c>
      <c r="T45" s="52">
        <f t="shared" si="5"/>
        <v>0</v>
      </c>
      <c r="U45" s="52"/>
      <c r="V45" s="51">
        <f t="shared" si="6"/>
        <v>6</v>
      </c>
      <c r="W45" s="52">
        <f t="shared" si="7"/>
        <v>2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64</v>
      </c>
      <c r="C46" s="37">
        <v>195.0</v>
      </c>
      <c r="D46" s="37">
        <v>15.0</v>
      </c>
      <c r="E46" s="40">
        <f t="shared" si="2"/>
        <v>10.94117647</v>
      </c>
      <c r="F46" s="90">
        <v>1.0</v>
      </c>
      <c r="G46" s="91">
        <v>7.0</v>
      </c>
      <c r="H46" s="92">
        <v>0.0</v>
      </c>
      <c r="I46" s="91">
        <v>7.0</v>
      </c>
      <c r="J46" s="91">
        <v>7.0</v>
      </c>
      <c r="K46" s="91">
        <v>1.0</v>
      </c>
      <c r="L46" s="93">
        <v>15.0</v>
      </c>
      <c r="M46" s="91">
        <v>2.0</v>
      </c>
      <c r="N46" s="37">
        <f t="shared" ref="N46:O46" si="51">C46+L46</f>
        <v>210</v>
      </c>
      <c r="O46" s="37">
        <f t="shared" si="51"/>
        <v>17</v>
      </c>
      <c r="P46" s="49" t="s">
        <v>57</v>
      </c>
      <c r="Q46" s="49" t="s">
        <v>57</v>
      </c>
      <c r="R46" s="49" t="s">
        <v>57</v>
      </c>
      <c r="S46" s="51">
        <f t="shared" si="4"/>
        <v>17</v>
      </c>
      <c r="T46" s="52">
        <f t="shared" si="5"/>
        <v>0</v>
      </c>
      <c r="U46" s="52"/>
      <c r="V46" s="51">
        <f t="shared" si="6"/>
        <v>1</v>
      </c>
      <c r="W46" s="52">
        <f t="shared" si="7"/>
        <v>0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54</v>
      </c>
      <c r="C47" s="37">
        <v>195.0</v>
      </c>
      <c r="D47" s="37">
        <v>14.0</v>
      </c>
      <c r="E47" s="40">
        <f t="shared" si="2"/>
        <v>14.5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204</v>
      </c>
      <c r="O47" s="37">
        <f t="shared" si="52"/>
        <v>14</v>
      </c>
      <c r="P47" s="49" t="s">
        <v>57</v>
      </c>
      <c r="Q47" s="49" t="s">
        <v>57</v>
      </c>
      <c r="R47" s="49" t="s">
        <v>57</v>
      </c>
      <c r="S47" s="51">
        <f t="shared" si="4"/>
        <v>6</v>
      </c>
      <c r="T47" s="52">
        <f t="shared" si="5"/>
        <v>0</v>
      </c>
      <c r="U47" s="52"/>
      <c r="V47" s="51">
        <f t="shared" si="6"/>
        <v>12</v>
      </c>
      <c r="W47" s="52">
        <f t="shared" si="7"/>
        <v>5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115</v>
      </c>
      <c r="C48" s="37">
        <v>195.0</v>
      </c>
      <c r="D48" s="37">
        <v>14.0</v>
      </c>
      <c r="E48" s="40">
        <f t="shared" si="2"/>
        <v>11.53846154</v>
      </c>
      <c r="F48" s="90">
        <v>1.0</v>
      </c>
      <c r="G48" s="91">
        <v>7.0</v>
      </c>
      <c r="H48" s="92">
        <v>0.0</v>
      </c>
      <c r="I48" s="91">
        <v>7.0</v>
      </c>
      <c r="J48" s="91">
        <v>6.0</v>
      </c>
      <c r="K48" s="91">
        <v>6.0</v>
      </c>
      <c r="L48" s="93">
        <v>19.0</v>
      </c>
      <c r="M48" s="91">
        <v>2.0</v>
      </c>
      <c r="N48" s="37">
        <f t="shared" ref="N48:O48" si="53">C48+L48</f>
        <v>214</v>
      </c>
      <c r="O48" s="37">
        <f t="shared" si="53"/>
        <v>16</v>
      </c>
      <c r="P48" s="49" t="s">
        <v>57</v>
      </c>
      <c r="Q48" s="49" t="s">
        <v>57</v>
      </c>
      <c r="R48" s="49" t="s">
        <v>57</v>
      </c>
      <c r="S48" s="51">
        <f t="shared" si="4"/>
        <v>13</v>
      </c>
      <c r="T48" s="52">
        <f t="shared" si="5"/>
        <v>0</v>
      </c>
      <c r="U48" s="52"/>
      <c r="V48" s="51">
        <f t="shared" si="6"/>
        <v>5</v>
      </c>
      <c r="W48" s="52">
        <f t="shared" si="7"/>
        <v>-4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118</v>
      </c>
      <c r="C49" s="37">
        <v>195.0</v>
      </c>
      <c r="D49" s="37">
        <v>14.0</v>
      </c>
      <c r="E49" s="40">
        <f t="shared" si="2"/>
        <v>11.0625</v>
      </c>
      <c r="F49" s="90">
        <v>1.0</v>
      </c>
      <c r="G49" s="91">
        <v>8.0</v>
      </c>
      <c r="H49" s="92">
        <v>0.0</v>
      </c>
      <c r="I49" s="91">
        <v>6.0</v>
      </c>
      <c r="J49" s="91">
        <v>2.0</v>
      </c>
      <c r="K49" s="91">
        <v>4.0</v>
      </c>
      <c r="L49" s="93">
        <v>12.0</v>
      </c>
      <c r="M49" s="91">
        <v>1.0</v>
      </c>
      <c r="N49" s="37">
        <f t="shared" ref="N49:O49" si="54">C49+L49</f>
        <v>207</v>
      </c>
      <c r="O49" s="37">
        <f t="shared" si="54"/>
        <v>15</v>
      </c>
      <c r="P49" s="49" t="s">
        <v>57</v>
      </c>
      <c r="Q49" s="49" t="s">
        <v>57</v>
      </c>
      <c r="R49" s="49" t="s">
        <v>57</v>
      </c>
      <c r="S49" s="51">
        <f t="shared" si="4"/>
        <v>16</v>
      </c>
      <c r="T49" s="52">
        <f t="shared" si="5"/>
        <v>0</v>
      </c>
      <c r="U49" s="52"/>
      <c r="V49" s="51">
        <f t="shared" si="6"/>
        <v>2</v>
      </c>
      <c r="W49" s="52">
        <f t="shared" si="7"/>
        <v>0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134</v>
      </c>
      <c r="C50" s="37">
        <v>194.0</v>
      </c>
      <c r="D50" s="37">
        <v>17.0</v>
      </c>
      <c r="E50" s="40">
        <f t="shared" si="2"/>
        <v>11.13333333</v>
      </c>
      <c r="F50" s="90">
        <v>1.0</v>
      </c>
      <c r="G50" s="91">
        <v>8.0</v>
      </c>
      <c r="H50" s="92">
        <v>0.0</v>
      </c>
      <c r="I50" s="91">
        <v>3.0</v>
      </c>
      <c r="J50" s="91">
        <v>2.0</v>
      </c>
      <c r="K50" s="91">
        <v>6.0</v>
      </c>
      <c r="L50" s="93">
        <v>11.0</v>
      </c>
      <c r="M50" s="91">
        <v>1.0</v>
      </c>
      <c r="N50" s="37">
        <f t="shared" ref="N50:O50" si="55">C50+L50</f>
        <v>205</v>
      </c>
      <c r="O50" s="37">
        <f t="shared" si="55"/>
        <v>18</v>
      </c>
      <c r="P50" s="49" t="s">
        <v>57</v>
      </c>
      <c r="Q50" s="49" t="s">
        <v>57</v>
      </c>
      <c r="R50" s="49" t="s">
        <v>57</v>
      </c>
      <c r="S50" s="51">
        <f t="shared" si="4"/>
        <v>15</v>
      </c>
      <c r="T50" s="52">
        <f t="shared" si="5"/>
        <v>0</v>
      </c>
      <c r="U50" s="52"/>
      <c r="V50" s="51">
        <f t="shared" si="6"/>
        <v>3</v>
      </c>
      <c r="W50" s="52">
        <f t="shared" si="7"/>
        <v>-5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110</v>
      </c>
      <c r="C51" s="37">
        <v>190.0</v>
      </c>
      <c r="D51" s="37">
        <v>16.0</v>
      </c>
      <c r="E51" s="40">
        <f t="shared" si="2"/>
        <v>11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199</v>
      </c>
      <c r="O51" s="37">
        <f t="shared" si="56"/>
        <v>16</v>
      </c>
      <c r="P51" s="49" t="s">
        <v>57</v>
      </c>
      <c r="Q51" s="49" t="s">
        <v>57</v>
      </c>
      <c r="R51" s="49" t="s">
        <v>57</v>
      </c>
      <c r="S51" s="51">
        <f t="shared" si="4"/>
        <v>14</v>
      </c>
      <c r="T51" s="52">
        <f t="shared" si="5"/>
        <v>0</v>
      </c>
      <c r="U51" s="52"/>
      <c r="V51" s="51">
        <f t="shared" si="6"/>
        <v>4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129</v>
      </c>
      <c r="C52" s="37">
        <v>186.0</v>
      </c>
      <c r="D52" s="37">
        <v>14.0</v>
      </c>
      <c r="E52" s="40">
        <f t="shared" si="2"/>
        <v>10.84615385</v>
      </c>
      <c r="F52" s="90">
        <v>1.0</v>
      </c>
      <c r="G52" s="91">
        <v>8.0</v>
      </c>
      <c r="H52" s="92">
        <v>0.0</v>
      </c>
      <c r="I52" s="91">
        <v>6.0</v>
      </c>
      <c r="J52" s="91">
        <v>6.0</v>
      </c>
      <c r="K52" s="91">
        <v>6.0</v>
      </c>
      <c r="L52" s="93">
        <v>18.0</v>
      </c>
      <c r="M52" s="91">
        <v>3.0</v>
      </c>
      <c r="N52" s="37">
        <f t="shared" ref="N52:O52" si="57">C52+L52</f>
        <v>204</v>
      </c>
      <c r="O52" s="37">
        <f t="shared" si="57"/>
        <v>17</v>
      </c>
      <c r="P52" s="49" t="s">
        <v>57</v>
      </c>
      <c r="Q52" s="49" t="s">
        <v>57</v>
      </c>
      <c r="R52" s="49" t="s">
        <v>57</v>
      </c>
      <c r="S52" s="51">
        <f t="shared" si="4"/>
        <v>13</v>
      </c>
      <c r="T52" s="52">
        <f t="shared" si="5"/>
        <v>0</v>
      </c>
      <c r="U52" s="52"/>
      <c r="V52" s="51">
        <f t="shared" si="6"/>
        <v>5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151</v>
      </c>
      <c r="C53" s="37">
        <v>185.0</v>
      </c>
      <c r="D53" s="37">
        <v>12.0</v>
      </c>
      <c r="E53" s="40">
        <f t="shared" si="2"/>
        <v>10.72727273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194</v>
      </c>
      <c r="O53" s="37">
        <f t="shared" si="58"/>
        <v>12</v>
      </c>
      <c r="P53" s="49" t="s">
        <v>57</v>
      </c>
      <c r="Q53" s="49" t="s">
        <v>57</v>
      </c>
      <c r="R53" s="49" t="s">
        <v>57</v>
      </c>
      <c r="S53" s="51">
        <f t="shared" si="4"/>
        <v>11</v>
      </c>
      <c r="T53" s="52">
        <f t="shared" si="5"/>
        <v>1</v>
      </c>
      <c r="U53" s="52"/>
      <c r="V53" s="51">
        <f t="shared" si="6"/>
        <v>6</v>
      </c>
      <c r="W53" s="52">
        <f t="shared" si="7"/>
        <v>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153</v>
      </c>
      <c r="C54" s="37">
        <v>185.0</v>
      </c>
      <c r="D54" s="37">
        <v>10.0</v>
      </c>
      <c r="E54" s="40">
        <f t="shared" si="2"/>
        <v>13.6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194</v>
      </c>
      <c r="O54" s="37">
        <f t="shared" si="59"/>
        <v>10</v>
      </c>
      <c r="P54" s="49" t="s">
        <v>57</v>
      </c>
      <c r="Q54" s="49" t="s">
        <v>57</v>
      </c>
      <c r="R54" s="49" t="s">
        <v>57</v>
      </c>
      <c r="S54" s="51">
        <f t="shared" si="4"/>
        <v>5</v>
      </c>
      <c r="T54" s="52">
        <f t="shared" si="5"/>
        <v>0</v>
      </c>
      <c r="U54" s="52"/>
      <c r="V54" s="51">
        <f t="shared" si="6"/>
        <v>13</v>
      </c>
      <c r="W54" s="52">
        <f t="shared" si="7"/>
        <v>5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152</v>
      </c>
      <c r="C55" s="37">
        <v>184.0</v>
      </c>
      <c r="D55" s="37">
        <v>16.0</v>
      </c>
      <c r="E55" s="40">
        <f t="shared" si="2"/>
        <v>11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193</v>
      </c>
      <c r="O55" s="37">
        <f t="shared" si="60"/>
        <v>16</v>
      </c>
      <c r="P55" s="49" t="s">
        <v>57</v>
      </c>
      <c r="Q55" s="49" t="s">
        <v>57</v>
      </c>
      <c r="R55" s="49" t="s">
        <v>57</v>
      </c>
      <c r="S55" s="51">
        <f t="shared" si="4"/>
        <v>11</v>
      </c>
      <c r="T55" s="52">
        <f t="shared" si="5"/>
        <v>0</v>
      </c>
      <c r="U55" s="52"/>
      <c r="V55" s="51">
        <f t="shared" si="6"/>
        <v>7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182.0</v>
      </c>
      <c r="D56" s="37">
        <v>12.0</v>
      </c>
      <c r="E56" s="40">
        <f t="shared" si="2"/>
        <v>10.11111111</v>
      </c>
      <c r="F56" s="90">
        <v>1.0</v>
      </c>
      <c r="G56" s="91">
        <v>8.0</v>
      </c>
      <c r="H56" s="92">
        <v>0.0</v>
      </c>
      <c r="I56" s="91">
        <v>3.0</v>
      </c>
      <c r="J56" s="91">
        <v>6.0</v>
      </c>
      <c r="K56" s="91">
        <v>4.0</v>
      </c>
      <c r="L56" s="93">
        <v>13.0</v>
      </c>
      <c r="M56" s="91">
        <v>1.0</v>
      </c>
      <c r="N56" s="37">
        <f t="shared" ref="N56:O56" si="61">C56+L56</f>
        <v>195</v>
      </c>
      <c r="O56" s="37">
        <f t="shared" si="61"/>
        <v>13</v>
      </c>
      <c r="P56" s="49" t="s">
        <v>57</v>
      </c>
      <c r="Q56" s="49" t="s">
        <v>57</v>
      </c>
      <c r="R56" s="49" t="s">
        <v>57</v>
      </c>
      <c r="S56" s="51">
        <f t="shared" si="4"/>
        <v>18</v>
      </c>
      <c r="T56" s="52">
        <f t="shared" si="5"/>
        <v>0</v>
      </c>
      <c r="U56" s="52"/>
      <c r="V56" s="51">
        <f t="shared" si="6"/>
        <v>0</v>
      </c>
      <c r="W56" s="52">
        <f t="shared" si="7"/>
        <v>2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76</v>
      </c>
      <c r="C57" s="37">
        <v>182.0</v>
      </c>
      <c r="D57" s="37">
        <v>8.0</v>
      </c>
      <c r="E57" s="40">
        <f t="shared" si="2"/>
        <v>11.66666667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191</v>
      </c>
      <c r="O57" s="37">
        <f t="shared" si="62"/>
        <v>8</v>
      </c>
      <c r="P57" s="49" t="s">
        <v>57</v>
      </c>
      <c r="Q57" s="49" t="s">
        <v>57</v>
      </c>
      <c r="R57" s="49" t="s">
        <v>57</v>
      </c>
      <c r="S57" s="51">
        <f t="shared" si="4"/>
        <v>6</v>
      </c>
      <c r="T57" s="52">
        <f t="shared" si="5"/>
        <v>1</v>
      </c>
      <c r="U57" s="52"/>
      <c r="V57" s="51">
        <f t="shared" si="6"/>
        <v>11</v>
      </c>
      <c r="W57" s="52">
        <f t="shared" si="7"/>
        <v>-3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140</v>
      </c>
      <c r="C58" s="37">
        <v>181.0</v>
      </c>
      <c r="D58" s="37">
        <v>11.0</v>
      </c>
      <c r="E58" s="40">
        <f t="shared" si="2"/>
        <v>10.58333333</v>
      </c>
      <c r="F58" s="90">
        <v>1.0</v>
      </c>
      <c r="G58" s="91">
        <v>9.0</v>
      </c>
      <c r="H58" s="92">
        <v>0.0</v>
      </c>
      <c r="I58" s="91">
        <v>2.0</v>
      </c>
      <c r="J58" s="91">
        <v>3.0</v>
      </c>
      <c r="K58" s="91">
        <v>6.0</v>
      </c>
      <c r="L58" s="93">
        <v>11.0</v>
      </c>
      <c r="M58" s="91">
        <v>1.0</v>
      </c>
      <c r="N58" s="37">
        <f t="shared" ref="N58:O58" si="63">C58+L58</f>
        <v>192</v>
      </c>
      <c r="O58" s="37">
        <f t="shared" si="63"/>
        <v>12</v>
      </c>
      <c r="P58" s="49" t="s">
        <v>57</v>
      </c>
      <c r="Q58" s="49" t="s">
        <v>57</v>
      </c>
      <c r="R58" s="49" t="s">
        <v>57</v>
      </c>
      <c r="S58" s="51">
        <f t="shared" si="4"/>
        <v>12</v>
      </c>
      <c r="T58" s="52">
        <f t="shared" si="5"/>
        <v>0</v>
      </c>
      <c r="U58" s="52"/>
      <c r="V58" s="51">
        <f t="shared" si="6"/>
        <v>6</v>
      </c>
      <c r="W58" s="52">
        <f t="shared" si="7"/>
        <v>-3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147</v>
      </c>
      <c r="C59" s="37">
        <v>180.0</v>
      </c>
      <c r="D59" s="37">
        <v>7.0</v>
      </c>
      <c r="E59" s="40">
        <f t="shared" si="2"/>
        <v>11</v>
      </c>
      <c r="F59" s="90">
        <v>1.0</v>
      </c>
      <c r="G59" s="91">
        <v>9.0</v>
      </c>
      <c r="H59" s="92">
        <v>0.0</v>
      </c>
      <c r="I59" s="91">
        <v>6.0</v>
      </c>
      <c r="J59" s="91">
        <v>6.0</v>
      </c>
      <c r="K59" s="91">
        <v>6.0</v>
      </c>
      <c r="L59" s="93">
        <v>18.0</v>
      </c>
      <c r="M59" s="91">
        <v>3.0</v>
      </c>
      <c r="N59" s="37">
        <f t="shared" ref="N59:O59" si="64">C59+L59</f>
        <v>198</v>
      </c>
      <c r="O59" s="37">
        <f t="shared" si="64"/>
        <v>10</v>
      </c>
      <c r="P59" s="49" t="s">
        <v>57</v>
      </c>
      <c r="Q59" s="49" t="s">
        <v>57</v>
      </c>
      <c r="R59" s="49" t="s">
        <v>57</v>
      </c>
      <c r="S59" s="51">
        <f t="shared" si="4"/>
        <v>7</v>
      </c>
      <c r="T59" s="52">
        <f t="shared" si="5"/>
        <v>1</v>
      </c>
      <c r="U59" s="52"/>
      <c r="V59" s="51">
        <f t="shared" si="6"/>
        <v>10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131</v>
      </c>
      <c r="C60" s="37">
        <v>173.0</v>
      </c>
      <c r="D60" s="37">
        <v>6.0</v>
      </c>
      <c r="E60" s="40">
        <f t="shared" si="2"/>
        <v>11.33333333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182</v>
      </c>
      <c r="O60" s="37">
        <f t="shared" si="65"/>
        <v>6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14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172.0</v>
      </c>
      <c r="D61" s="37">
        <v>7.0</v>
      </c>
      <c r="E61" s="40">
        <f t="shared" si="2"/>
        <v>10.5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181</v>
      </c>
      <c r="O61" s="37">
        <f t="shared" si="66"/>
        <v>7</v>
      </c>
      <c r="P61" s="49" t="s">
        <v>57</v>
      </c>
      <c r="Q61" s="49" t="s">
        <v>57</v>
      </c>
      <c r="R61" s="49" t="s">
        <v>57</v>
      </c>
      <c r="S61" s="51">
        <f t="shared" si="4"/>
        <v>4</v>
      </c>
      <c r="T61" s="52">
        <f t="shared" si="5"/>
        <v>1</v>
      </c>
      <c r="U61" s="52"/>
      <c r="V61" s="51">
        <f t="shared" si="6"/>
        <v>13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145</v>
      </c>
      <c r="C62" s="37">
        <v>170.0</v>
      </c>
      <c r="D62" s="37">
        <v>12.0</v>
      </c>
      <c r="E62" s="40">
        <f t="shared" si="2"/>
        <v>9.888888889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179</v>
      </c>
      <c r="O62" s="37">
        <f t="shared" si="67"/>
        <v>12</v>
      </c>
      <c r="P62" s="49" t="s">
        <v>57</v>
      </c>
      <c r="Q62" s="49" t="s">
        <v>57</v>
      </c>
      <c r="R62" s="49" t="s">
        <v>57</v>
      </c>
      <c r="S62" s="51">
        <f t="shared" si="4"/>
        <v>9</v>
      </c>
      <c r="T62" s="52">
        <f t="shared" si="5"/>
        <v>0</v>
      </c>
      <c r="U62" s="52"/>
      <c r="V62" s="51">
        <f t="shared" si="6"/>
        <v>9</v>
      </c>
      <c r="W62" s="52">
        <f t="shared" si="7"/>
        <v>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100</v>
      </c>
      <c r="C63" s="37">
        <v>170.0</v>
      </c>
      <c r="D63" s="37">
        <v>6.0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179</v>
      </c>
      <c r="O63" s="37">
        <f t="shared" si="68"/>
        <v>6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15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154</v>
      </c>
      <c r="C64" s="37">
        <v>168.0</v>
      </c>
      <c r="D64" s="37">
        <v>7.0</v>
      </c>
      <c r="E64" s="40">
        <f t="shared" si="2"/>
        <v>10.2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177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si="4"/>
        <v>5</v>
      </c>
      <c r="T64" s="52">
        <f t="shared" si="5"/>
        <v>0</v>
      </c>
      <c r="U64" s="52"/>
      <c r="V64" s="51">
        <f t="shared" si="6"/>
        <v>13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98</v>
      </c>
      <c r="C65" s="37">
        <v>167.0</v>
      </c>
      <c r="D65" s="37">
        <v>6.0</v>
      </c>
      <c r="E65" s="40">
        <f t="shared" si="2"/>
        <v>9.1</v>
      </c>
      <c r="F65" s="90">
        <v>1.0</v>
      </c>
      <c r="G65" s="91">
        <v>9.0</v>
      </c>
      <c r="H65" s="92">
        <v>0.0</v>
      </c>
      <c r="I65" s="91">
        <v>6.0</v>
      </c>
      <c r="J65" s="91">
        <v>3.0</v>
      </c>
      <c r="K65" s="91">
        <v>1.0</v>
      </c>
      <c r="L65" s="93">
        <v>10.0</v>
      </c>
      <c r="M65" s="91">
        <v>1.0</v>
      </c>
      <c r="N65" s="37">
        <f t="shared" ref="N65:O65" si="70">C65+L65</f>
        <v>177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4"/>
        <v>10</v>
      </c>
      <c r="T65" s="52">
        <f t="shared" si="5"/>
        <v>1</v>
      </c>
      <c r="U65" s="52"/>
      <c r="V65" s="51">
        <f t="shared" si="6"/>
        <v>7</v>
      </c>
      <c r="W65" s="52">
        <f t="shared" si="7"/>
        <v>2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133</v>
      </c>
      <c r="C66" s="37">
        <v>166.0</v>
      </c>
      <c r="D66" s="37">
        <v>5.0</v>
      </c>
      <c r="E66" s="40">
        <f t="shared" si="2"/>
        <v>9.5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175</v>
      </c>
      <c r="O66" s="37">
        <f t="shared" si="71"/>
        <v>5</v>
      </c>
      <c r="P66" s="49" t="s">
        <v>57</v>
      </c>
      <c r="Q66" s="49" t="s">
        <v>57</v>
      </c>
      <c r="R66" s="49" t="s">
        <v>57</v>
      </c>
      <c r="S66" s="51">
        <f t="shared" si="4"/>
        <v>8</v>
      </c>
      <c r="T66" s="52">
        <f t="shared" si="5"/>
        <v>0</v>
      </c>
      <c r="U66" s="52"/>
      <c r="V66" s="51">
        <f t="shared" si="6"/>
        <v>10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136</v>
      </c>
      <c r="C67" s="37">
        <v>164.0</v>
      </c>
      <c r="D67" s="37">
        <v>5.0</v>
      </c>
      <c r="E67" s="40">
        <f t="shared" si="2"/>
        <v>9.333333333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173</v>
      </c>
      <c r="O67" s="37">
        <f t="shared" si="72"/>
        <v>5</v>
      </c>
      <c r="P67" s="49" t="s">
        <v>57</v>
      </c>
      <c r="Q67" s="49" t="s">
        <v>57</v>
      </c>
      <c r="R67" s="49" t="s">
        <v>57</v>
      </c>
      <c r="S67" s="51">
        <f t="shared" si="4"/>
        <v>6</v>
      </c>
      <c r="T67" s="52">
        <f t="shared" si="5"/>
        <v>0</v>
      </c>
      <c r="U67" s="52"/>
      <c r="V67" s="51">
        <f t="shared" si="6"/>
        <v>12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146</v>
      </c>
      <c r="C68" s="37">
        <v>164.0</v>
      </c>
      <c r="D68" s="37">
        <v>4.0</v>
      </c>
      <c r="E68" s="40">
        <f t="shared" si="2"/>
        <v>8.333333333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173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3</v>
      </c>
      <c r="T68" s="52">
        <f t="shared" si="5"/>
        <v>1</v>
      </c>
      <c r="U68" s="52"/>
      <c r="V68" s="51">
        <f t="shared" si="6"/>
        <v>14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125</v>
      </c>
      <c r="C69" s="37">
        <v>163.0</v>
      </c>
      <c r="D69" s="37">
        <v>3.0</v>
      </c>
      <c r="E69" s="40">
        <f t="shared" si="2"/>
        <v>10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172</v>
      </c>
      <c r="O69" s="37">
        <f t="shared" si="74"/>
        <v>3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17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78</v>
      </c>
      <c r="C70" s="37">
        <v>163.0</v>
      </c>
      <c r="D70" s="37">
        <v>2.0</v>
      </c>
      <c r="E70" s="40">
        <f t="shared" si="2"/>
        <v>6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172</v>
      </c>
      <c r="O70" s="37">
        <f t="shared" si="75"/>
        <v>2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1</v>
      </c>
      <c r="U70" s="52"/>
      <c r="V70" s="51">
        <f t="shared" si="6"/>
        <v>16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148</v>
      </c>
      <c r="C71" s="37">
        <v>162.0</v>
      </c>
      <c r="D71" s="37">
        <v>3.0</v>
      </c>
      <c r="E71" s="40">
        <f t="shared" si="2"/>
        <v>5</v>
      </c>
      <c r="F71" s="90">
        <v>5.0</v>
      </c>
      <c r="G71" s="91">
        <v>0.0</v>
      </c>
      <c r="H71" s="92">
        <v>13.0</v>
      </c>
      <c r="I71" s="91">
        <v>0.0</v>
      </c>
      <c r="J71" s="91">
        <v>0.0</v>
      </c>
      <c r="K71" s="91">
        <v>0.0</v>
      </c>
      <c r="L71" s="93">
        <v>13.0</v>
      </c>
      <c r="M71" s="91">
        <v>0.0</v>
      </c>
      <c r="N71" s="37">
        <f t="shared" ref="N71:O71" si="76">C71+L71</f>
        <v>175</v>
      </c>
      <c r="O71" s="37">
        <f t="shared" si="76"/>
        <v>3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1</v>
      </c>
      <c r="U71" s="52"/>
      <c r="V71" s="51">
        <f t="shared" si="6"/>
        <v>16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149</v>
      </c>
      <c r="C72" s="37">
        <v>161.0</v>
      </c>
      <c r="D72" s="37">
        <v>7.0</v>
      </c>
      <c r="E72" s="40">
        <f t="shared" si="2"/>
        <v>8.833333333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170</v>
      </c>
      <c r="O72" s="37">
        <f t="shared" si="77"/>
        <v>7</v>
      </c>
      <c r="P72" s="49" t="s">
        <v>57</v>
      </c>
      <c r="Q72" s="49" t="s">
        <v>57</v>
      </c>
      <c r="R72" s="49" t="s">
        <v>57</v>
      </c>
      <c r="S72" s="51">
        <f t="shared" si="4"/>
        <v>6</v>
      </c>
      <c r="T72" s="52">
        <f t="shared" si="5"/>
        <v>0</v>
      </c>
      <c r="U72" s="52"/>
      <c r="V72" s="51">
        <f t="shared" si="6"/>
        <v>12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106</v>
      </c>
      <c r="C73" s="37">
        <v>159.0</v>
      </c>
      <c r="D73" s="37">
        <v>1.0</v>
      </c>
      <c r="E73" s="40">
        <f t="shared" si="2"/>
        <v>6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168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17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144</v>
      </c>
      <c r="C74" s="37">
        <v>157.0</v>
      </c>
      <c r="D74" s="37">
        <v>6.0</v>
      </c>
      <c r="E74" s="40">
        <f t="shared" si="2"/>
        <v>8.444444444</v>
      </c>
      <c r="F74" s="90">
        <v>1.0</v>
      </c>
      <c r="G74" s="91">
        <v>9.0</v>
      </c>
      <c r="H74" s="92">
        <v>0.0</v>
      </c>
      <c r="I74" s="91">
        <v>2.0</v>
      </c>
      <c r="J74" s="91">
        <v>6.0</v>
      </c>
      <c r="K74" s="91">
        <v>1.0</v>
      </c>
      <c r="L74" s="93">
        <v>9.0</v>
      </c>
      <c r="M74" s="91">
        <v>1.0</v>
      </c>
      <c r="N74" s="37">
        <f t="shared" ref="N74:O74" si="79">C74+L74</f>
        <v>166</v>
      </c>
      <c r="O74" s="37">
        <f t="shared" si="79"/>
        <v>7</v>
      </c>
      <c r="P74" s="49" t="s">
        <v>57</v>
      </c>
      <c r="Q74" s="49" t="s">
        <v>57</v>
      </c>
      <c r="R74" s="49" t="s">
        <v>57</v>
      </c>
      <c r="S74" s="51">
        <f t="shared" si="4"/>
        <v>9</v>
      </c>
      <c r="T74" s="52">
        <f t="shared" si="5"/>
        <v>0</v>
      </c>
      <c r="U74" s="52"/>
      <c r="V74" s="51">
        <f t="shared" si="6"/>
        <v>9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124</v>
      </c>
      <c r="C75" s="37">
        <v>155.0</v>
      </c>
      <c r="D75" s="37">
        <v>1.0</v>
      </c>
      <c r="E75" s="40">
        <f t="shared" si="2"/>
        <v>2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164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17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87</v>
      </c>
      <c r="C76" s="37">
        <v>153.0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162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17</v>
      </c>
      <c r="W76" s="52">
        <f t="shared" si="7"/>
        <v>3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141</v>
      </c>
      <c r="C77" s="37">
        <v>153.0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162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18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105</v>
      </c>
      <c r="C78" s="37">
        <v>153.0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162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18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150</v>
      </c>
      <c r="C79" s="37">
        <v>153.0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162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0</v>
      </c>
      <c r="T79" s="52">
        <f t="shared" si="5"/>
        <v>0</v>
      </c>
      <c r="U79" s="52"/>
      <c r="V79" s="51">
        <f t="shared" si="6"/>
        <v>18</v>
      </c>
      <c r="W79" s="52">
        <f t="shared" si="7"/>
        <v>-1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05/02/26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desc"",0)"),"Rudy Tatang")</f>
        <v>Rudy Tatang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IFERROR(__xludf.DUMMYFUNCTION("""COMPUTED_VALUE"""),"Alejandro Mejia")</f>
        <v>Alejandro Mejia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IFERROR(__xludf.DUMMYFUNCTION("""COMPUTED_VALUE"""),7.0)</f>
        <v>7</v>
      </c>
      <c r="F92" s="5"/>
    </row>
    <row r="93">
      <c r="A93" s="5"/>
      <c r="B93" s="36" t="str">
        <f>IFERROR(__xludf.DUMMYFUNCTION("""COMPUTED_VALUE"""),"Troy Wong")</f>
        <v>Troy Wong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IFERROR(__xludf.DUMMYFUNCTION("""COMPUTED_VALUE"""),8.0)</f>
        <v>8</v>
      </c>
      <c r="F93" s="5"/>
    </row>
    <row r="94">
      <c r="A94" s="5"/>
      <c r="B94" s="36" t="str">
        <f>IFERROR(__xludf.DUMMYFUNCTION("""COMPUTED_VALUE"""),"Lloyd Sagar")</f>
        <v>Lloyd Sagar</v>
      </c>
      <c r="C94" s="122">
        <f>IFERROR(__xludf.DUMMYFUNCTION("""COMPUTED_VALUE"""),19.0)</f>
        <v>19</v>
      </c>
      <c r="D94" s="122">
        <f>IFERROR(__xludf.DUMMYFUNCTION("""COMPUTED_VALUE"""),2.0)</f>
        <v>2</v>
      </c>
      <c r="E94" s="122">
        <f>IFERROR(__xludf.DUMMYFUNCTION("""COMPUTED_VALUE"""),6.0)</f>
        <v>6</v>
      </c>
      <c r="F94" s="5"/>
    </row>
    <row r="95">
      <c r="A95" s="5"/>
      <c r="B95" s="36" t="str">
        <f>IFERROR(__xludf.DUMMYFUNCTION("""COMPUTED_VALUE"""),"Tom Le")</f>
        <v>Tom Le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IFERROR(__xludf.DUMMYFUNCTION("""COMPUTED_VALUE"""),9.0)</f>
        <v>9</v>
      </c>
      <c r="F95" s="5"/>
    </row>
    <row r="96">
      <c r="A96" s="5"/>
      <c r="B96" s="36" t="str">
        <f>IFERROR(__xludf.DUMMYFUNCTION("""COMPUTED_VALUE"""),"Manish Anand")</f>
        <v>Manish Anand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IFERROR(__xludf.DUMMYFUNCTION("""COMPUTED_VALUE"""),3.0)</f>
        <v>3</v>
      </c>
      <c r="F96" s="5"/>
    </row>
    <row r="97">
      <c r="A97" s="5"/>
      <c r="B97" s="36" t="str">
        <f>IFERROR(__xludf.DUMMYFUNCTION("""COMPUTED_VALUE"""),"Alex Hou")</f>
        <v>Alex Hou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IFERROR(__xludf.DUMMYFUNCTION("""COMPUTED_VALUE"""),6.0)</f>
        <v>6</v>
      </c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10"")"),"Tom Le")</f>
        <v>Tom Le</v>
      </c>
      <c r="C110" s="122">
        <f>IFERROR(__xludf.DUMMYFUNCTION("""COMPUTED_VALUE"""),9.0)</f>
        <v>9</v>
      </c>
      <c r="D110" s="122">
        <f t="shared" ref="D110:D119" si="85">VLOOKUP(B110,indirect($AC$2&amp;"!B$5:X$79"),23, false)</f>
        <v>44</v>
      </c>
      <c r="E110" s="122">
        <f t="shared" ref="E110:E119" si="86">VLOOKUP(B110,B$5:X$79,23, false)</f>
        <v>35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9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IFERROR(__xludf.DUMMYFUNCTION("""COMPUTED_VALUE"""),"Oscar Bonilla")</f>
        <v>Oscar Bonilla</v>
      </c>
      <c r="C111" s="122">
        <f>IFERROR(__xludf.DUMMYFUNCTION("""COMPUTED_VALUE"""),8.0)</f>
        <v>8</v>
      </c>
      <c r="D111" s="122">
        <f t="shared" si="85"/>
        <v>32</v>
      </c>
      <c r="E111" s="122">
        <f t="shared" si="86"/>
        <v>24</v>
      </c>
      <c r="F111" s="122">
        <f t="shared" si="87"/>
        <v>17</v>
      </c>
      <c r="G111" s="122">
        <f t="shared" si="88"/>
        <v>6</v>
      </c>
      <c r="L111" s="122" t="str">
        <f t="shared" si="89"/>
        <v>ok</v>
      </c>
    </row>
    <row r="112">
      <c r="A112" s="5"/>
      <c r="B112" s="36" t="str">
        <f>IFERROR(__xludf.DUMMYFUNCTION("""COMPUTED_VALUE"""),"Lloyd Sagar")</f>
        <v>Lloyd Sagar</v>
      </c>
      <c r="C112" s="122">
        <f>IFERROR(__xludf.DUMMYFUNCTION("""COMPUTED_VALUE"""),8.0)</f>
        <v>8</v>
      </c>
      <c r="D112" s="122">
        <f t="shared" si="85"/>
        <v>34</v>
      </c>
      <c r="E112" s="122">
        <f t="shared" si="86"/>
        <v>26</v>
      </c>
      <c r="F112" s="122">
        <f t="shared" si="87"/>
        <v>19</v>
      </c>
      <c r="G112" s="122">
        <f t="shared" si="88"/>
        <v>6</v>
      </c>
      <c r="L112" s="122" t="str">
        <f t="shared" si="89"/>
        <v>ok</v>
      </c>
    </row>
    <row r="113">
      <c r="A113" s="5"/>
      <c r="B113" s="36" t="str">
        <f>IFERROR(__xludf.DUMMYFUNCTION("""COMPUTED_VALUE"""),"Manish Anand")</f>
        <v>Manish Anand</v>
      </c>
      <c r="C113" s="122">
        <f>IFERROR(__xludf.DUMMYFUNCTION("""COMPUTED_VALUE"""),6.0)</f>
        <v>6</v>
      </c>
      <c r="D113" s="122">
        <f t="shared" si="85"/>
        <v>15</v>
      </c>
      <c r="E113" s="122">
        <f t="shared" si="86"/>
        <v>9</v>
      </c>
      <c r="F113" s="122">
        <f t="shared" si="87"/>
        <v>18</v>
      </c>
      <c r="G113" s="122">
        <f t="shared" si="88"/>
        <v>3</v>
      </c>
      <c r="L113" s="122" t="str">
        <f t="shared" si="89"/>
        <v>ok</v>
      </c>
    </row>
    <row r="114">
      <c r="A114" s="5"/>
      <c r="B114" s="36" t="str">
        <f>IFERROR(__xludf.DUMMYFUNCTION("""COMPUTED_VALUE"""),"Alex Hou")</f>
        <v>Alex Hou</v>
      </c>
      <c r="C114" s="122">
        <f>IFERROR(__xludf.DUMMYFUNCTION("""COMPUTED_VALUE"""),6.0)</f>
        <v>6</v>
      </c>
      <c r="D114" s="122">
        <f t="shared" si="85"/>
        <v>36</v>
      </c>
      <c r="E114" s="122">
        <f t="shared" si="86"/>
        <v>30</v>
      </c>
      <c r="F114" s="122">
        <f t="shared" si="87"/>
        <v>18</v>
      </c>
      <c r="G114" s="122">
        <f t="shared" si="88"/>
        <v>6</v>
      </c>
      <c r="L114" s="122" t="str">
        <f t="shared" si="89"/>
        <v>ok</v>
      </c>
    </row>
    <row r="115">
      <c r="A115" s="5"/>
      <c r="B115" s="36" t="str">
        <f>IFERROR(__xludf.DUMMYFUNCTION("""COMPUTED_VALUE"""),"Ted Shen")</f>
        <v>Ted Shen</v>
      </c>
      <c r="C115" s="122">
        <f>IFERROR(__xludf.DUMMYFUNCTION("""COMPUTED_VALUE"""),5.0)</f>
        <v>5</v>
      </c>
      <c r="D115" s="122">
        <f t="shared" si="85"/>
        <v>27</v>
      </c>
      <c r="E115" s="122">
        <f t="shared" si="86"/>
        <v>22</v>
      </c>
      <c r="F115" s="122">
        <f t="shared" si="87"/>
        <v>14</v>
      </c>
      <c r="G115" s="122">
        <f t="shared" si="88"/>
        <v>5</v>
      </c>
      <c r="L115" s="122" t="str">
        <f t="shared" si="89"/>
        <v>ok</v>
      </c>
    </row>
    <row r="116">
      <c r="A116" s="5"/>
      <c r="B116" s="36" t="str">
        <f>IFERROR(__xludf.DUMMYFUNCTION("""COMPUTED_VALUE"""),"Vinotkumar Nagappan")</f>
        <v>Vinotkumar Nagappan</v>
      </c>
      <c r="C116" s="122">
        <f>IFERROR(__xludf.DUMMYFUNCTION("""COMPUTED_VALUE"""),5.0)</f>
        <v>5</v>
      </c>
      <c r="D116" s="122">
        <f t="shared" si="85"/>
        <v>28</v>
      </c>
      <c r="E116" s="122">
        <f t="shared" si="86"/>
        <v>23</v>
      </c>
      <c r="F116" s="122">
        <f t="shared" si="87"/>
        <v>15</v>
      </c>
      <c r="G116" s="122">
        <f t="shared" si="88"/>
        <v>5</v>
      </c>
      <c r="L116" s="122" t="str">
        <f t="shared" si="89"/>
        <v>ok</v>
      </c>
    </row>
    <row r="117">
      <c r="A117" s="5"/>
      <c r="B117" s="36" t="str">
        <f>IFERROR(__xludf.DUMMYFUNCTION("""COMPUTED_VALUE"""),"Alejandro Mejia")</f>
        <v>Alejandro Mejia</v>
      </c>
      <c r="C117" s="122">
        <f>IFERROR(__xludf.DUMMYFUNCTION("""COMPUTED_VALUE"""),5.0)</f>
        <v>5</v>
      </c>
      <c r="D117" s="122">
        <f t="shared" si="85"/>
        <v>48</v>
      </c>
      <c r="E117" s="122">
        <f t="shared" si="86"/>
        <v>43</v>
      </c>
      <c r="F117" s="122">
        <f t="shared" si="87"/>
        <v>19</v>
      </c>
      <c r="G117" s="122">
        <f t="shared" si="88"/>
        <v>7</v>
      </c>
      <c r="L117" s="122" t="str">
        <f t="shared" si="89"/>
        <v>ok</v>
      </c>
    </row>
    <row r="118">
      <c r="A118" s="5"/>
      <c r="B118" s="36" t="str">
        <f>IFERROR(__xludf.DUMMYFUNCTION("""COMPUTED_VALUE"""),"Troy Wong")</f>
        <v>Troy Wong</v>
      </c>
      <c r="C118" s="122">
        <f>IFERROR(__xludf.DUMMYFUNCTION("""COMPUTED_VALUE"""),5.0)</f>
        <v>5</v>
      </c>
      <c r="D118" s="122">
        <f t="shared" si="85"/>
        <v>55</v>
      </c>
      <c r="E118" s="122">
        <f t="shared" si="86"/>
        <v>50</v>
      </c>
      <c r="F118" s="122">
        <f t="shared" si="87"/>
        <v>19</v>
      </c>
      <c r="G118" s="122">
        <f t="shared" si="88"/>
        <v>8</v>
      </c>
      <c r="L118" s="122" t="str">
        <f t="shared" si="89"/>
        <v>ok</v>
      </c>
    </row>
    <row r="119">
      <c r="A119" s="5"/>
      <c r="B119" s="36" t="str">
        <f>IFERROR(__xludf.DUMMYFUNCTION("""COMPUTED_VALUE"""),"Luis Hsu")</f>
        <v>Luis Hsu</v>
      </c>
      <c r="C119" s="122">
        <f>IFERROR(__xludf.DUMMYFUNCTION("""COMPUTED_VALUE"""),4.0)</f>
        <v>4</v>
      </c>
      <c r="D119" s="122">
        <f t="shared" si="85"/>
        <v>22</v>
      </c>
      <c r="E119" s="122">
        <f t="shared" si="86"/>
        <v>18</v>
      </c>
      <c r="F119" s="122">
        <f t="shared" si="87"/>
        <v>15</v>
      </c>
      <c r="G119" s="122">
        <f t="shared" si="88"/>
        <v>4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18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260</v>
      </c>
      <c r="D128" s="122">
        <f t="shared" si="90"/>
        <v>34</v>
      </c>
      <c r="E128" s="122">
        <f t="shared" si="90"/>
        <v>15.125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259</v>
      </c>
      <c r="D129" s="122">
        <f t="shared" si="91"/>
        <v>31</v>
      </c>
      <c r="E129" s="122">
        <f t="shared" si="91"/>
        <v>15.0625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241</v>
      </c>
      <c r="D130" s="122">
        <f t="shared" si="92"/>
        <v>26</v>
      </c>
      <c r="E130" s="122">
        <f t="shared" si="92"/>
        <v>13.38888889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233</v>
      </c>
      <c r="D131" s="122">
        <f t="shared" si="93"/>
        <v>22</v>
      </c>
      <c r="E131" s="122">
        <f t="shared" si="93"/>
        <v>13.73333333</v>
      </c>
      <c r="F131" s="5"/>
    </row>
    <row r="132">
      <c r="A132" s="122">
        <f t="shared" ref="A132:E132" si="94">A9</f>
        <v>5</v>
      </c>
      <c r="B132" s="36" t="str">
        <f t="shared" si="94"/>
        <v>Rudy Tatang</v>
      </c>
      <c r="C132" s="122">
        <f t="shared" si="94"/>
        <v>232</v>
      </c>
      <c r="D132" s="122">
        <f t="shared" si="94"/>
        <v>23</v>
      </c>
      <c r="E132" s="122">
        <f t="shared" si="94"/>
        <v>14.83333333</v>
      </c>
      <c r="F132" s="5"/>
    </row>
    <row r="133">
      <c r="A133" s="122">
        <f t="shared" ref="A133:E133" si="95">A10</f>
        <v>6</v>
      </c>
      <c r="B133" s="36" t="str">
        <f t="shared" si="95"/>
        <v>Ethan Gu</v>
      </c>
      <c r="C133" s="122">
        <f t="shared" si="95"/>
        <v>231</v>
      </c>
      <c r="D133" s="122">
        <f t="shared" si="95"/>
        <v>18</v>
      </c>
      <c r="E133" s="122">
        <f t="shared" si="95"/>
        <v>13.92857143</v>
      </c>
      <c r="F133" s="5"/>
    </row>
    <row r="134">
      <c r="A134" s="122">
        <f t="shared" ref="A134:E134" si="96">A11</f>
        <v>7</v>
      </c>
      <c r="B134" s="36" t="str">
        <f t="shared" si="96"/>
        <v>Pavan Akkimsetty</v>
      </c>
      <c r="C134" s="122">
        <f t="shared" si="96"/>
        <v>228</v>
      </c>
      <c r="D134" s="122">
        <f t="shared" si="96"/>
        <v>21</v>
      </c>
      <c r="E134" s="122">
        <f t="shared" si="96"/>
        <v>13.76923077</v>
      </c>
      <c r="F134" s="5"/>
    </row>
    <row r="135">
      <c r="A135" s="122">
        <f t="shared" ref="A135:E135" si="97">A12</f>
        <v>8</v>
      </c>
      <c r="B135" s="36" t="str">
        <f t="shared" si="97"/>
        <v>David Shin</v>
      </c>
      <c r="C135" s="122">
        <f t="shared" si="97"/>
        <v>226</v>
      </c>
      <c r="D135" s="122">
        <f t="shared" si="97"/>
        <v>24</v>
      </c>
      <c r="E135" s="122">
        <f t="shared" si="97"/>
        <v>13</v>
      </c>
      <c r="F135" s="5"/>
    </row>
    <row r="136">
      <c r="A136" s="122">
        <f t="shared" ref="A136:E136" si="98">A13</f>
        <v>9</v>
      </c>
      <c r="B136" s="36" t="str">
        <f t="shared" si="98"/>
        <v>Manish Anand</v>
      </c>
      <c r="C136" s="122">
        <f t="shared" si="98"/>
        <v>225</v>
      </c>
      <c r="D136" s="122">
        <f t="shared" si="98"/>
        <v>23</v>
      </c>
      <c r="E136" s="122">
        <f t="shared" si="98"/>
        <v>13.5</v>
      </c>
      <c r="F136" s="5"/>
    </row>
    <row r="137">
      <c r="A137" s="122">
        <f t="shared" ref="A137:E137" si="99">A14</f>
        <v>10</v>
      </c>
      <c r="B137" s="36" t="str">
        <f t="shared" si="99"/>
        <v>Joe Luzzi</v>
      </c>
      <c r="C137" s="122">
        <f t="shared" si="99"/>
        <v>223</v>
      </c>
      <c r="D137" s="122">
        <f t="shared" si="99"/>
        <v>22</v>
      </c>
      <c r="E137" s="122">
        <f t="shared" si="99"/>
        <v>12.8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IFERROR(__xludf.DUMMYFUNCTION("""COMPUTED_VALUE"""),"Suleman Alidina")</f>
        <v>Suleman Alidina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IFERROR(__xludf.DUMMYFUNCTION("""COMPUTED_VALUE"""),"Wayne Liu")</f>
        <v>Wayne Liu</v>
      </c>
      <c r="C165" s="5"/>
      <c r="D165" s="5"/>
      <c r="E165" s="5"/>
      <c r="F165" s="5"/>
      <c r="P165" s="36"/>
    </row>
    <row r="166">
      <c r="A166" s="122">
        <f t="shared" si="100"/>
        <v>0</v>
      </c>
      <c r="B166" s="36"/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05/02/26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IFERROR(__xludf.DUMMYFUNCTION("""COMPUTED_VALUE"""),7.0)</f>
        <v>7</v>
      </c>
      <c r="D250" s="132">
        <f>IFERROR(__xludf.DUMMYFUNCTION("""COMPUTED_VALUE"""),6.0)</f>
        <v>6</v>
      </c>
      <c r="E250" s="132">
        <f>IFERROR(__xludf.DUMMYFUNCTION("""COMPUTED_VALUE"""),3.0)</f>
        <v>3</v>
      </c>
      <c r="F250" s="132">
        <f>IFERROR(__xludf.DUMMYFUNCTION("""COMPUTED_VALUE"""),16.0)</f>
        <v>16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IFERROR(__xludf.DUMMYFUNCTION("""COMPUTED_VALUE"""),5.0)</f>
        <v>5</v>
      </c>
      <c r="D251" s="132">
        <f>IFERROR(__xludf.DUMMYFUNCTION("""COMPUTED_VALUE"""),6.0)</f>
        <v>6</v>
      </c>
      <c r="E251" s="132">
        <f>IFERROR(__xludf.DUMMYFUNCTION("""COMPUTED_VALUE"""),6.0)</f>
        <v>6</v>
      </c>
      <c r="F251" s="132">
        <f>IFERROR(__xludf.DUMMYFUNCTION("""COMPUTED_VALUE"""),17.0)</f>
        <v>17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IFERROR(__xludf.DUMMYFUNCTION("""COMPUTED_VALUE"""),7.0)</f>
        <v>7</v>
      </c>
      <c r="D252" s="132">
        <f>IFERROR(__xludf.DUMMYFUNCTION("""COMPUTED_VALUE"""),0.0)</f>
        <v>0</v>
      </c>
      <c r="E252" s="132">
        <f>IFERROR(__xludf.DUMMYFUNCTION("""COMPUTED_VALUE"""),6.0)</f>
        <v>6</v>
      </c>
      <c r="F252" s="132">
        <f>IFERROR(__xludf.DUMMYFUNCTION("""COMPUTED_VALUE"""),13.0)</f>
        <v>13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IFERROR(__xludf.DUMMYFUNCTION("""COMPUTED_VALUE"""),"Ethan Gu")</f>
        <v>Ethan Gu</v>
      </c>
      <c r="C253" s="132">
        <f>IFERROR(__xludf.DUMMYFUNCTION("""COMPUTED_VALUE"""),5.0)</f>
        <v>5</v>
      </c>
      <c r="D253" s="132">
        <f>IFERROR(__xludf.DUMMYFUNCTION("""COMPUTED_VALUE"""),0.0)</f>
        <v>0</v>
      </c>
      <c r="E253" s="132">
        <f>IFERROR(__xludf.DUMMYFUNCTION("""COMPUTED_VALUE"""),3.0)</f>
        <v>3</v>
      </c>
      <c r="F253" s="132">
        <f>IFERROR(__xludf.DUMMYFUNCTION("""COMPUTED_VALUE"""),8.0)</f>
        <v>8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IFERROR(__xludf.DUMMYFUNCTION("""COMPUTED_VALUE"""),"Sandeep Kamalon")</f>
        <v>Sandeep Kamalon</v>
      </c>
      <c r="C254" s="135">
        <f>IFERROR(__xludf.DUMMYFUNCTION("""COMPUTED_VALUE"""),4.0)</f>
        <v>4</v>
      </c>
      <c r="D254" s="135">
        <f>IFERROR(__xludf.DUMMYFUNCTION("""COMPUTED_VALUE"""),5.0)</f>
        <v>5</v>
      </c>
      <c r="E254" s="135">
        <f>IFERROR(__xludf.DUMMYFUNCTION("""COMPUTED_VALUE"""),6.0)</f>
        <v>6</v>
      </c>
      <c r="F254" s="135">
        <f>IFERROR(__xludf.DUMMYFUNCTION("""COMPUTED_VALUE"""),15.0)</f>
        <v>15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IFERROR(__xludf.DUMMYFUNCTION("""COMPUTED_VALUE"""),"David Shin")</f>
        <v>David Shin</v>
      </c>
      <c r="C255" s="135">
        <f>IFERROR(__xludf.DUMMYFUNCTION("""COMPUTED_VALUE"""),6.0)</f>
        <v>6</v>
      </c>
      <c r="D255" s="135">
        <f>IFERROR(__xludf.DUMMYFUNCTION("""COMPUTED_VALUE"""),5.0)</f>
        <v>5</v>
      </c>
      <c r="E255" s="135">
        <f>IFERROR(__xludf.DUMMYFUNCTION("""COMPUTED_VALUE"""),2.0)</f>
        <v>2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IFERROR(__xludf.DUMMYFUNCTION("""COMPUTED_VALUE"""),"Rudy Tatang")</f>
        <v>Rudy Tatang</v>
      </c>
      <c r="C256" s="135">
        <f>IFERROR(__xludf.DUMMYFUNCTION("""COMPUTED_VALUE"""),6.0)</f>
        <v>6</v>
      </c>
      <c r="D256" s="135">
        <f>IFERROR(__xludf.DUMMYFUNCTION("""COMPUTED_VALUE"""),7.0)</f>
        <v>7</v>
      </c>
      <c r="E256" s="135">
        <f>IFERROR(__xludf.DUMMYFUNCTION("""COMPUTED_VALUE"""),6.0)</f>
        <v>6</v>
      </c>
      <c r="F256" s="135">
        <f>IFERROR(__xludf.DUMMYFUNCTION("""COMPUTED_VALUE"""),19.0)</f>
        <v>19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IFERROR(__xludf.DUMMYFUNCTION("""COMPUTED_VALUE"""),"Erik Hoeckmann")</f>
        <v>Erik Hoeckmann</v>
      </c>
      <c r="C257" s="135">
        <f>IFERROR(__xludf.DUMMYFUNCTION("""COMPUTED_VALUE"""),4.0)</f>
        <v>4</v>
      </c>
      <c r="D257" s="135">
        <f>IFERROR(__xludf.DUMMYFUNCTION("""COMPUTED_VALUE"""),7.0)</f>
        <v>7</v>
      </c>
      <c r="E257" s="135">
        <f>IFERROR(__xludf.DUMMYFUNCTION("""COMPUTED_VALUE"""),2.0)</f>
        <v>2</v>
      </c>
      <c r="F257" s="135">
        <f>IFERROR(__xludf.DUMMYFUNCTION("""COMPUTED_VALUE"""),13.0)</f>
        <v>13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IFERROR(__xludf.DUMMYFUNCTION("""COMPUTED_VALUE"""),"Scott Li")</f>
        <v>Scott Li</v>
      </c>
      <c r="C258" s="132">
        <f>IFERROR(__xludf.DUMMYFUNCTION("""COMPUTED_VALUE"""),1.0)</f>
        <v>1</v>
      </c>
      <c r="D258" s="132">
        <f>IFERROR(__xludf.DUMMYFUNCTION("""COMPUTED_VALUE"""),0.0)</f>
        <v>0</v>
      </c>
      <c r="E258" s="132">
        <f>IFERROR(__xludf.DUMMYFUNCTION("""COMPUTED_VALUE"""),6.0)</f>
        <v>6</v>
      </c>
      <c r="F258" s="132">
        <f>IFERROR(__xludf.DUMMYFUNCTION("""COMPUTED_VALUE"""),7.0)</f>
        <v>7</v>
      </c>
      <c r="G258" s="132">
        <f>IFERROR(__xludf.DUMMYFUNCTION("""COMPUTED_VALUE"""),0.0)</f>
        <v>0</v>
      </c>
    </row>
    <row r="259">
      <c r="A259" s="122">
        <f>IFERROR(__xludf.DUMMYFUNCTION("""COMPUTED_VALUE"""),3.0)</f>
        <v>3</v>
      </c>
      <c r="B259" s="36" t="str">
        <f>IFERROR(__xludf.DUMMYFUNCTION("""COMPUTED_VALUE"""),"Manish Anand")</f>
        <v>Manish Anand</v>
      </c>
      <c r="C259" s="132">
        <f>IFERROR(__xludf.DUMMYFUNCTION("""COMPUTED_VALUE"""),6.0)</f>
        <v>6</v>
      </c>
      <c r="D259" s="132">
        <f>IFERROR(__xludf.DUMMYFUNCTION("""COMPUTED_VALUE"""),6.0)</f>
        <v>6</v>
      </c>
      <c r="E259" s="132">
        <f>IFERROR(__xludf.DUMMYFUNCTION("""COMPUTED_VALUE"""),6.0)</f>
        <v>6</v>
      </c>
      <c r="F259" s="132">
        <f>IFERROR(__xludf.DUMMYFUNCTION("""COMPUTED_VALUE"""),18.0)</f>
        <v>18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IFERROR(__xludf.DUMMYFUNCTION("""COMPUTED_VALUE"""),"Frank Moon")</f>
        <v>Frank Moon</v>
      </c>
      <c r="C260" s="132">
        <f>IFERROR(__xludf.DUMMYFUNCTION("""COMPUTED_VALUE"""),1.0)</f>
        <v>1</v>
      </c>
      <c r="D260" s="132">
        <f>IFERROR(__xludf.DUMMYFUNCTION("""COMPUTED_VALUE"""),6.0)</f>
        <v>6</v>
      </c>
      <c r="E260" s="132">
        <f>IFERROR(__xludf.DUMMYFUNCTION("""COMPUTED_VALUE"""),7.0)</f>
        <v>7</v>
      </c>
      <c r="F260" s="132">
        <f>IFERROR(__xludf.DUMMYFUNCTION("""COMPUTED_VALUE"""),14.0)</f>
        <v>14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IFERROR(__xludf.DUMMYFUNCTION("""COMPUTED_VALUE"""),"Herman Au")</f>
        <v>Herman Au</v>
      </c>
      <c r="C261" s="132">
        <f>IFERROR(__xludf.DUMMYFUNCTION("""COMPUTED_VALUE"""),6.0)</f>
        <v>6</v>
      </c>
      <c r="D261" s="132">
        <f>IFERROR(__xludf.DUMMYFUNCTION("""COMPUTED_VALUE"""),0.0)</f>
        <v>0</v>
      </c>
      <c r="E261" s="132">
        <f>IFERROR(__xludf.DUMMYFUNCTION("""COMPUTED_VALUE"""),7.0)</f>
        <v>7</v>
      </c>
      <c r="F261" s="132">
        <f>IFERROR(__xludf.DUMMYFUNCTION("""COMPUTED_VALUE"""),13.0)</f>
        <v>13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IFERROR(__xludf.DUMMYFUNCTION("""COMPUTED_VALUE"""),"Wayne Liu")</f>
        <v>Wayne Liu</v>
      </c>
      <c r="C262" s="135">
        <f>IFERROR(__xludf.DUMMYFUNCTION("""COMPUTED_VALUE"""),1.0)</f>
        <v>1</v>
      </c>
      <c r="D262" s="135">
        <f>IFERROR(__xludf.DUMMYFUNCTION("""COMPUTED_VALUE"""),3.0)</f>
        <v>3</v>
      </c>
      <c r="E262" s="135">
        <f>IFERROR(__xludf.DUMMYFUNCTION("""COMPUTED_VALUE"""),1.0)</f>
        <v>1</v>
      </c>
      <c r="F262" s="135">
        <f>IFERROR(__xludf.DUMMYFUNCTION("""COMPUTED_VALUE"""),5.0)</f>
        <v>5</v>
      </c>
      <c r="G262" s="135">
        <f>IFERROR(__xludf.DUMMYFUNCTION("""COMPUTED_VALUE"""),0.0)</f>
        <v>0</v>
      </c>
    </row>
    <row r="263">
      <c r="A263" s="133">
        <f>IFERROR(__xludf.DUMMYFUNCTION("""COMPUTED_VALUE"""),4.0)</f>
        <v>4</v>
      </c>
      <c r="B263" s="134" t="str">
        <f>IFERROR(__xludf.DUMMYFUNCTION("""COMPUTED_VALUE"""),"Mauricio Palacios")</f>
        <v>Mauricio Palacios</v>
      </c>
      <c r="C263" s="135">
        <f>IFERROR(__xludf.DUMMYFUNCTION("""COMPUTED_VALUE"""),1.0)</f>
        <v>1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IFERROR(__xludf.DUMMYFUNCTION("""COMPUTED_VALUE"""),13.0)</f>
        <v>13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IFERROR(__xludf.DUMMYFUNCTION("""COMPUTED_VALUE"""),"Luis Hsu")</f>
        <v>Luis Hsu</v>
      </c>
      <c r="C264" s="135">
        <f>IFERROR(__xludf.DUMMYFUNCTION("""COMPUTED_VALUE"""),6.0)</f>
        <v>6</v>
      </c>
      <c r="D264" s="135">
        <f>IFERROR(__xludf.DUMMYFUNCTION("""COMPUTED_VALUE"""),3.0)</f>
        <v>3</v>
      </c>
      <c r="E264" s="135">
        <f>IFERROR(__xludf.DUMMYFUNCTION("""COMPUTED_VALUE"""),6.0)</f>
        <v>6</v>
      </c>
      <c r="F264" s="135">
        <f>IFERROR(__xludf.DUMMYFUNCTION("""COMPUTED_VALUE"""),15.0)</f>
        <v>15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IFERROR(__xludf.DUMMYFUNCTION("""COMPUTED_VALUE"""),"Jim Miao")</f>
        <v>Jim Miao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IFERROR(__xludf.DUMMYFUNCTION("""COMPUTED_VALUE"""),1.0)</f>
        <v>1</v>
      </c>
      <c r="F265" s="135">
        <f>IFERROR(__xludf.DUMMYFUNCTION("""COMPUTED_VALUE"""),13.0)</f>
        <v>13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IFERROR(__xludf.DUMMYFUNCTION("""COMPUTED_VALUE"""),"Ted Shen")</f>
        <v>Ted Shen</v>
      </c>
      <c r="C266" s="132">
        <f>IFERROR(__xludf.DUMMYFUNCTION("""COMPUTED_VALUE"""),6.0)</f>
        <v>6</v>
      </c>
      <c r="D266" s="132">
        <f>IFERROR(__xludf.DUMMYFUNCTION("""COMPUTED_VALUE"""),2.0)</f>
        <v>2</v>
      </c>
      <c r="E266" s="132">
        <f>IFERROR(__xludf.DUMMYFUNCTION("""COMPUTED_VALUE"""),6.0)</f>
        <v>6</v>
      </c>
      <c r="F266" s="132">
        <f>IFERROR(__xludf.DUMMYFUNCTION("""COMPUTED_VALUE"""),14.0)</f>
        <v>14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IFERROR(__xludf.DUMMYFUNCTION("""COMPUTED_VALUE"""),"Vinotkumar Nagappan")</f>
        <v>Vinotkumar Nagappan</v>
      </c>
      <c r="C267" s="132">
        <f>IFERROR(__xludf.DUMMYFUNCTION("""COMPUTED_VALUE"""),3.0)</f>
        <v>3</v>
      </c>
      <c r="D267" s="132">
        <f>IFERROR(__xludf.DUMMYFUNCTION("""COMPUTED_VALUE"""),6.0)</f>
        <v>6</v>
      </c>
      <c r="E267" s="132">
        <f>IFERROR(__xludf.DUMMYFUNCTION("""COMPUTED_VALUE"""),6.0)</f>
        <v>6</v>
      </c>
      <c r="F267" s="132">
        <f>IFERROR(__xludf.DUMMYFUNCTION("""COMPUTED_VALUE"""),15.0)</f>
        <v>15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IFERROR(__xludf.DUMMYFUNCTION("""COMPUTED_VALUE"""),"Naveen Raj")</f>
        <v>Naveen Raj</v>
      </c>
      <c r="C268" s="132">
        <f>IFERROR(__xludf.DUMMYFUNCTION("""COMPUTED_VALUE"""),6.0)</f>
        <v>6</v>
      </c>
      <c r="D268" s="132">
        <f>IFERROR(__xludf.DUMMYFUNCTION("""COMPUTED_VALUE"""),6.0)</f>
        <v>6</v>
      </c>
      <c r="E268" s="132">
        <f>IFERROR(__xludf.DUMMYFUNCTION("""COMPUTED_VALUE"""),1.0)</f>
        <v>1</v>
      </c>
      <c r="F268" s="132">
        <f>IFERROR(__xludf.DUMMYFUNCTION("""COMPUTED_VALUE"""),13.0)</f>
        <v>13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IFERROR(__xludf.DUMMYFUNCTION("""COMPUTED_VALUE"""),"Chinna Ponnaganti")</f>
        <v>Chinna Ponnaganti</v>
      </c>
      <c r="C269" s="132">
        <f>IFERROR(__xludf.DUMMYFUNCTION("""COMPUTED_VALUE"""),3.0)</f>
        <v>3</v>
      </c>
      <c r="D269" s="132">
        <f>IFERROR(__xludf.DUMMYFUNCTION("""COMPUTED_VALUE"""),2.0)</f>
        <v>2</v>
      </c>
      <c r="E269" s="132">
        <f>IFERROR(__xludf.DUMMYFUNCTION("""COMPUTED_VALUE"""),1.0)</f>
        <v>1</v>
      </c>
      <c r="F269" s="132">
        <f>IFERROR(__xludf.DUMMYFUNCTION("""COMPUTED_VALUE"""),6.0)</f>
        <v>6</v>
      </c>
      <c r="G269" s="132">
        <f>IFERROR(__xludf.DUMMYFUNCTION("""COMPUTED_VALUE"""),0.0)</f>
        <v>0</v>
      </c>
    </row>
    <row r="270">
      <c r="A270" s="133">
        <f>IFERROR(__xludf.DUMMYFUNCTION("""COMPUTED_VALUE"""),6.0)</f>
        <v>6</v>
      </c>
      <c r="B270" s="134" t="str">
        <f>IFERROR(__xludf.DUMMYFUNCTION("""COMPUTED_VALUE"""),"Oscar Bonilla")</f>
        <v>Oscar Bonilla</v>
      </c>
      <c r="C270" s="135">
        <f>IFERROR(__xludf.DUMMYFUNCTION("""COMPUTED_VALUE"""),7.0)</f>
        <v>7</v>
      </c>
      <c r="D270" s="135">
        <f>IFERROR(__xludf.DUMMYFUNCTION("""COMPUTED_VALUE"""),3.0)</f>
        <v>3</v>
      </c>
      <c r="E270" s="135">
        <f>IFERROR(__xludf.DUMMYFUNCTION("""COMPUTED_VALUE"""),7.0)</f>
        <v>7</v>
      </c>
      <c r="F270" s="135">
        <f>IFERROR(__xludf.DUMMYFUNCTION("""COMPUTED_VALUE"""),17.0)</f>
        <v>17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IFERROR(__xludf.DUMMYFUNCTION("""COMPUTED_VALUE"""),"Lloyd Sagar")</f>
        <v>Lloyd Sagar</v>
      </c>
      <c r="C271" s="135">
        <f>IFERROR(__xludf.DUMMYFUNCTION("""COMPUTED_VALUE"""),7.0)</f>
        <v>7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IFERROR(__xludf.DUMMYFUNCTION("""COMPUTED_VALUE"""),19.0)</f>
        <v>19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IFERROR(__xludf.DUMMYFUNCTION("""COMPUTED_VALUE"""),"Alex Hou")</f>
        <v>Alex Hou</v>
      </c>
      <c r="C272" s="135">
        <f>IFERROR(__xludf.DUMMYFUNCTION("""COMPUTED_VALUE"""),5.0)</f>
        <v>5</v>
      </c>
      <c r="D272" s="135">
        <f>IFERROR(__xludf.DUMMYFUNCTION("""COMPUTED_VALUE"""),6.0)</f>
        <v>6</v>
      </c>
      <c r="E272" s="135">
        <f>IFERROR(__xludf.DUMMYFUNCTION("""COMPUTED_VALUE"""),7.0)</f>
        <v>7</v>
      </c>
      <c r="F272" s="135">
        <f>IFERROR(__xludf.DUMMYFUNCTION("""COMPUTED_VALUE"""),18.0)</f>
        <v>18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IFERROR(__xludf.DUMMYFUNCTION("""COMPUTED_VALUE"""),"Sean Chang")</f>
        <v>Sean Chang</v>
      </c>
      <c r="C273" s="135">
        <f>IFERROR(__xludf.DUMMYFUNCTION("""COMPUTED_VALUE"""),5.0)</f>
        <v>5</v>
      </c>
      <c r="D273" s="135">
        <f>IFERROR(__xludf.DUMMYFUNCTION("""COMPUTED_VALUE"""),3.0)</f>
        <v>3</v>
      </c>
      <c r="E273" s="135">
        <f>IFERROR(__xludf.DUMMYFUNCTION("""COMPUTED_VALUE"""),6.0)</f>
        <v>6</v>
      </c>
      <c r="F273" s="135">
        <f>IFERROR(__xludf.DUMMYFUNCTION("""COMPUTED_VALUE"""),14.0)</f>
        <v>14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IFERROR(__xludf.DUMMYFUNCTION("""COMPUTED_VALUE"""),"Hongyuan Wen")</f>
        <v>Hongyuan Wen</v>
      </c>
      <c r="C274" s="132">
        <f>IFERROR(__xludf.DUMMYFUNCTION("""COMPUTED_VALUE"""),1.0)</f>
        <v>1</v>
      </c>
      <c r="D274" s="132">
        <f>IFERROR(__xludf.DUMMYFUNCTION("""COMPUTED_VALUE"""),6.0)</f>
        <v>6</v>
      </c>
      <c r="E274" s="132">
        <f>IFERROR(__xludf.DUMMYFUNCTION("""COMPUTED_VALUE"""),5.0)</f>
        <v>5</v>
      </c>
      <c r="F274" s="132">
        <f>IFERROR(__xludf.DUMMYFUNCTION("""COMPUTED_VALUE"""),12.0)</f>
        <v>12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IFERROR(__xludf.DUMMYFUNCTION("""COMPUTED_VALUE"""),"Alejandro Mejia")</f>
        <v>Alejandro Mejia</v>
      </c>
      <c r="C275" s="132">
        <f>IFERROR(__xludf.DUMMYFUNCTION("""COMPUTED_VALUE"""),6.0)</f>
        <v>6</v>
      </c>
      <c r="D275" s="132">
        <f>IFERROR(__xludf.DUMMYFUNCTION("""COMPUTED_VALUE"""),6.0)</f>
        <v>6</v>
      </c>
      <c r="E275" s="132">
        <f>IFERROR(__xludf.DUMMYFUNCTION("""COMPUTED_VALUE"""),7.0)</f>
        <v>7</v>
      </c>
      <c r="F275" s="132">
        <f>IFERROR(__xludf.DUMMYFUNCTION("""COMPUTED_VALUE"""),19.0)</f>
        <v>19</v>
      </c>
      <c r="G275" s="132">
        <f>IFERROR(__xludf.DUMMYFUNCTION("""COMPUTED_VALUE"""),3.0)</f>
        <v>3</v>
      </c>
    </row>
    <row r="276">
      <c r="A276" s="122">
        <f>IFERROR(__xludf.DUMMYFUNCTION("""COMPUTED_VALUE"""),7.0)</f>
        <v>7</v>
      </c>
      <c r="B276" s="36" t="str">
        <f>IFERROR(__xludf.DUMMYFUNCTION("""COMPUTED_VALUE"""),"Trish Newlin")</f>
        <v>Trish Newlin</v>
      </c>
      <c r="C276" s="132">
        <f>IFERROR(__xludf.DUMMYFUNCTION("""COMPUTED_VALUE"""),6.0)</f>
        <v>6</v>
      </c>
      <c r="D276" s="132">
        <f>IFERROR(__xludf.DUMMYFUNCTION("""COMPUTED_VALUE"""),3.0)</f>
        <v>3</v>
      </c>
      <c r="E276" s="132">
        <f>IFERROR(__xludf.DUMMYFUNCTION("""COMPUTED_VALUE"""),5.0)</f>
        <v>5</v>
      </c>
      <c r="F276" s="132">
        <f>IFERROR(__xludf.DUMMYFUNCTION("""COMPUTED_VALUE"""),14.0)</f>
        <v>14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IFERROR(__xludf.DUMMYFUNCTION("""COMPUTED_VALUE"""),"Vishnu Amarnath")</f>
        <v>Vishnu Amarnath</v>
      </c>
      <c r="C277" s="132">
        <f>IFERROR(__xludf.DUMMYFUNCTION("""COMPUTED_VALUE"""),1.0)</f>
        <v>1</v>
      </c>
      <c r="D277" s="132">
        <f>IFERROR(__xludf.DUMMYFUNCTION("""COMPUTED_VALUE"""),3.0)</f>
        <v>3</v>
      </c>
      <c r="E277" s="132">
        <f>IFERROR(__xludf.DUMMYFUNCTION("""COMPUTED_VALUE"""),7.0)</f>
        <v>7</v>
      </c>
      <c r="F277" s="132">
        <f>IFERROR(__xludf.DUMMYFUNCTION("""COMPUTED_VALUE"""),11.0)</f>
        <v>11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IFERROR(__xludf.DUMMYFUNCTION("""COMPUTED_VALUE"""),"Eric Tan")</f>
        <v>Eric Tan</v>
      </c>
      <c r="C278" s="135">
        <f>IFERROR(__xludf.DUMMYFUNCTION("""COMPUTED_VALUE"""),6.0)</f>
        <v>6</v>
      </c>
      <c r="D278" s="135">
        <f>IFERROR(__xludf.DUMMYFUNCTION("""COMPUTED_VALUE"""),6.0)</f>
        <v>6</v>
      </c>
      <c r="E278" s="135">
        <f>IFERROR(__xludf.DUMMYFUNCTION("""COMPUTED_VALUE"""),2.0)</f>
        <v>2</v>
      </c>
      <c r="F278" s="135">
        <f>IFERROR(__xludf.DUMMYFUNCTION("""COMPUTED_VALUE"""),14.0)</f>
        <v>14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IFERROR(__xludf.DUMMYFUNCTION("""COMPUTED_VALUE"""),"Troy Wong")</f>
        <v>Troy Wong</v>
      </c>
      <c r="C279" s="135">
        <f>IFERROR(__xludf.DUMMYFUNCTION("""COMPUTED_VALUE"""),6.0)</f>
        <v>6</v>
      </c>
      <c r="D279" s="135">
        <f>IFERROR(__xludf.DUMMYFUNCTION("""COMPUTED_VALUE"""),7.0)</f>
        <v>7</v>
      </c>
      <c r="E279" s="135">
        <f>IFERROR(__xludf.DUMMYFUNCTION("""COMPUTED_VALUE"""),6.0)</f>
        <v>6</v>
      </c>
      <c r="F279" s="135">
        <f>IFERROR(__xludf.DUMMYFUNCTION("""COMPUTED_VALUE"""),19.0)</f>
        <v>19</v>
      </c>
      <c r="G279" s="135">
        <f>IFERROR(__xludf.DUMMYFUNCTION("""COMPUTED_VALUE"""),3.0)</f>
        <v>3</v>
      </c>
    </row>
    <row r="280">
      <c r="A280" s="133">
        <f>IFERROR(__xludf.DUMMYFUNCTION("""COMPUTED_VALUE"""),8.0)</f>
        <v>8</v>
      </c>
      <c r="B280" s="134" t="str">
        <f>IFERROR(__xludf.DUMMYFUNCTION("""COMPUTED_VALUE"""),"Vicki Martinet")</f>
        <v>Vicki Martinet</v>
      </c>
      <c r="C280" s="135">
        <f>IFERROR(__xludf.DUMMYFUNCTION("""COMPUTED_VALUE"""),0.0)</f>
        <v>0</v>
      </c>
      <c r="D280" s="135">
        <f>IFERROR(__xludf.DUMMYFUNCTION("""COMPUTED_VALUE"""),7.0)</f>
        <v>7</v>
      </c>
      <c r="E280" s="135">
        <f>IFERROR(__xludf.DUMMYFUNCTION("""COMPUTED_VALUE"""),2.0)</f>
        <v>2</v>
      </c>
      <c r="F280" s="135">
        <f>IFERROR(__xludf.DUMMYFUNCTION("""COMPUTED_VALUE"""),9.0)</f>
        <v>9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IFERROR(__xludf.DUMMYFUNCTION("""COMPUTED_VALUE"""),"Camille Jung")</f>
        <v>Camille Jung</v>
      </c>
      <c r="C281" s="135">
        <f>IFERROR(__xludf.DUMMYFUNCTION("""COMPUTED_VALUE"""),0.0)</f>
        <v>0</v>
      </c>
      <c r="D281" s="135">
        <f>IFERROR(__xludf.DUMMYFUNCTION("""COMPUTED_VALUE"""),6.0)</f>
        <v>6</v>
      </c>
      <c r="E281" s="135">
        <f>IFERROR(__xludf.DUMMYFUNCTION("""COMPUTED_VALUE"""),6.0)</f>
        <v>6</v>
      </c>
      <c r="F281" s="135">
        <f>IFERROR(__xludf.DUMMYFUNCTION("""COMPUTED_VALUE"""),12.0)</f>
        <v>12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IFERROR(__xludf.DUMMYFUNCTION("""COMPUTED_VALUE"""),"Kumar Palakeel")</f>
        <v>Kumar Palakeel</v>
      </c>
      <c r="C282" s="132">
        <f>IFERROR(__xludf.DUMMYFUNCTION("""COMPUTED_VALUE"""),6.0)</f>
        <v>6</v>
      </c>
      <c r="D282" s="132">
        <f>IFERROR(__xludf.DUMMYFUNCTION("""COMPUTED_VALUE"""),1.0)</f>
        <v>1</v>
      </c>
      <c r="E282" s="132">
        <f>IFERROR(__xludf.DUMMYFUNCTION("""COMPUTED_VALUE"""),2.0)</f>
        <v>2</v>
      </c>
      <c r="F282" s="132">
        <f>IFERROR(__xludf.DUMMYFUNCTION("""COMPUTED_VALUE"""),9.0)</f>
        <v>9</v>
      </c>
      <c r="G282" s="132">
        <f>IFERROR(__xludf.DUMMYFUNCTION("""COMPUTED_VALUE"""),1.0)</f>
        <v>1</v>
      </c>
    </row>
    <row r="283">
      <c r="A283" s="122">
        <f>IFERROR(__xludf.DUMMYFUNCTION("""COMPUTED_VALUE"""),9.0)</f>
        <v>9</v>
      </c>
      <c r="B283" s="36" t="str">
        <f>IFERROR(__xludf.DUMMYFUNCTION("""COMPUTED_VALUE"""),"Allen Zhang")</f>
        <v>Allen Zhang</v>
      </c>
      <c r="C283" s="132">
        <f>IFERROR(__xludf.DUMMYFUNCTION("""COMPUTED_VALUE"""),3.0)</f>
        <v>3</v>
      </c>
      <c r="D283" s="132">
        <f>IFERROR(__xludf.DUMMYFUNCTION("""COMPUTED_VALUE"""),1.0)</f>
        <v>1</v>
      </c>
      <c r="E283" s="132">
        <f>IFERROR(__xludf.DUMMYFUNCTION("""COMPUTED_VALUE"""),6.0)</f>
        <v>6</v>
      </c>
      <c r="F283" s="132">
        <f>IFERROR(__xludf.DUMMYFUNCTION("""COMPUTED_VALUE"""),10.0)</f>
        <v>10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IFERROR(__xludf.DUMMYFUNCTION("""COMPUTED_VALUE"""),"Manuel Rivera")</f>
        <v>Manuel Rivera</v>
      </c>
      <c r="C284" s="132">
        <f>IFERROR(__xludf.DUMMYFUNCTION("""COMPUTED_VALUE"""),3.0)</f>
        <v>3</v>
      </c>
      <c r="D284" s="132">
        <f>IFERROR(__xludf.DUMMYFUNCTION("""COMPUTED_VALUE"""),6.0)</f>
        <v>6</v>
      </c>
      <c r="E284" s="132">
        <f>IFERROR(__xludf.DUMMYFUNCTION("""COMPUTED_VALUE"""),2.0)</f>
        <v>2</v>
      </c>
      <c r="F284" s="132">
        <f>IFERROR(__xludf.DUMMYFUNCTION("""COMPUTED_VALUE"""),11.0)</f>
        <v>11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IFERROR(__xludf.DUMMYFUNCTION("""COMPUTED_VALUE"""),"Tom Le")</f>
        <v>Tom Le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IFERROR(__xludf.DUMMYFUNCTION("""COMPUTED_VALUE"""),6.0)</f>
        <v>6</v>
      </c>
      <c r="F285" s="132">
        <f>IFERROR(__xludf.DUMMYFUNCTION("""COMPUTED_VALUE"""),18.0)</f>
        <v>18</v>
      </c>
      <c r="G285" s="132">
        <f>IFERROR(__xludf.DUMMYFUNCTION("""COMPUTED_VALUE"""),3.0)</f>
        <v>3</v>
      </c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IFERROR(__xludf.DUMMYFUNCTION("""COMPUTED_VALUE"""),"Scott Li")</f>
        <v>Scott Li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IFERROR(__xludf.DUMMYFUNCTION("""COMPUTED_VALUE"""),"Sean Chang")</f>
        <v>Sean Chang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IFERROR(__xludf.DUMMYFUNCTION("""COMPUTED_VALUE"""),"Suleman Alidina")</f>
        <v>Suleman Alidina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46144.0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17.0</v>
      </c>
      <c r="E2" s="5"/>
      <c r="F2" s="5"/>
      <c r="R2" s="18"/>
      <c r="AC2" s="22" t="str">
        <f>text(C1-7,"mm/dd/yy")</f>
        <v>04/25/26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244.0</v>
      </c>
      <c r="D5" s="37">
        <v>32.0</v>
      </c>
      <c r="E5" s="40">
        <f t="shared" ref="E5:E79" si="2">if(S5&gt;0,(C5-(V5*9)-(T5*13))/S5,0)</f>
        <v>15.06666667</v>
      </c>
      <c r="F5" s="90">
        <v>1.0</v>
      </c>
      <c r="G5" s="91">
        <v>1.0</v>
      </c>
      <c r="H5" s="92">
        <v>0.0</v>
      </c>
      <c r="I5" s="91">
        <v>7.0</v>
      </c>
      <c r="J5" s="91">
        <v>6.0</v>
      </c>
      <c r="K5" s="91">
        <v>3.0</v>
      </c>
      <c r="L5" s="93">
        <v>16.0</v>
      </c>
      <c r="M5" s="91">
        <v>2.0</v>
      </c>
      <c r="N5" s="37">
        <f t="shared" ref="N5:O5" si="1">C5+L5</f>
        <v>260</v>
      </c>
      <c r="O5" s="37">
        <f t="shared" si="1"/>
        <v>34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15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1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242.0</v>
      </c>
      <c r="D6" s="37">
        <v>29.0</v>
      </c>
      <c r="E6" s="40">
        <f t="shared" si="2"/>
        <v>14.93333333</v>
      </c>
      <c r="F6" s="90">
        <v>1.0</v>
      </c>
      <c r="G6" s="91">
        <v>1.0</v>
      </c>
      <c r="H6" s="92">
        <v>0.0</v>
      </c>
      <c r="I6" s="91">
        <v>5.0</v>
      </c>
      <c r="J6" s="91">
        <v>6.0</v>
      </c>
      <c r="K6" s="91">
        <v>6.0</v>
      </c>
      <c r="L6" s="93">
        <v>17.0</v>
      </c>
      <c r="M6" s="91">
        <v>2.0</v>
      </c>
      <c r="N6" s="37">
        <f t="shared" ref="N6:O6" si="3">C6+L6</f>
        <v>259</v>
      </c>
      <c r="O6" s="37">
        <f t="shared" si="3"/>
        <v>31</v>
      </c>
      <c r="P6" s="49" t="s">
        <v>57</v>
      </c>
      <c r="Q6" s="49" t="s">
        <v>57</v>
      </c>
      <c r="R6" s="49" t="s">
        <v>57</v>
      </c>
      <c r="S6" s="51">
        <f t="shared" si="4"/>
        <v>15</v>
      </c>
      <c r="T6" s="52">
        <f t="shared" si="5"/>
        <v>0</v>
      </c>
      <c r="U6" s="52"/>
      <c r="V6" s="51">
        <f t="shared" si="6"/>
        <v>2</v>
      </c>
      <c r="W6" s="52">
        <f t="shared" si="7"/>
        <v>-1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228.0</v>
      </c>
      <c r="D7" s="37">
        <v>24.0</v>
      </c>
      <c r="E7" s="40">
        <f t="shared" si="2"/>
        <v>13.41176471</v>
      </c>
      <c r="F7" s="90">
        <v>2.0</v>
      </c>
      <c r="G7" s="91">
        <v>1.0</v>
      </c>
      <c r="H7" s="92">
        <v>0.0</v>
      </c>
      <c r="I7" s="91">
        <v>7.0</v>
      </c>
      <c r="J7" s="91">
        <v>0.0</v>
      </c>
      <c r="K7" s="91">
        <v>6.0</v>
      </c>
      <c r="L7" s="93">
        <v>13.0</v>
      </c>
      <c r="M7" s="91">
        <v>2.0</v>
      </c>
      <c r="N7" s="37">
        <f t="shared" ref="N7:O7" si="11">C7+L7</f>
        <v>241</v>
      </c>
      <c r="O7" s="37">
        <f t="shared" si="11"/>
        <v>26</v>
      </c>
      <c r="P7" s="49" t="s">
        <v>57</v>
      </c>
      <c r="Q7" s="49" t="s">
        <v>57</v>
      </c>
      <c r="R7" s="49" t="s">
        <v>57</v>
      </c>
      <c r="S7" s="51">
        <f t="shared" si="4"/>
        <v>17</v>
      </c>
      <c r="T7" s="52">
        <f t="shared" si="5"/>
        <v>0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92</v>
      </c>
      <c r="C8" s="37">
        <v>223.0</v>
      </c>
      <c r="D8" s="37">
        <v>18.0</v>
      </c>
      <c r="E8" s="40">
        <f t="shared" si="2"/>
        <v>14.38461538</v>
      </c>
      <c r="F8" s="90">
        <v>1.0</v>
      </c>
      <c r="G8" s="91">
        <v>1.0</v>
      </c>
      <c r="H8" s="92">
        <v>0.0</v>
      </c>
      <c r="I8" s="91">
        <v>5.0</v>
      </c>
      <c r="J8" s="91">
        <v>0.0</v>
      </c>
      <c r="K8" s="91">
        <v>3.0</v>
      </c>
      <c r="L8" s="93">
        <v>8.0</v>
      </c>
      <c r="M8" s="91">
        <v>0.0</v>
      </c>
      <c r="N8" s="37">
        <f t="shared" ref="N8:O8" si="13">C8+L8</f>
        <v>231</v>
      </c>
      <c r="O8" s="37">
        <f t="shared" si="13"/>
        <v>18</v>
      </c>
      <c r="P8" s="49" t="s">
        <v>57</v>
      </c>
      <c r="Q8" s="49" t="s">
        <v>57</v>
      </c>
      <c r="R8" s="49" t="s">
        <v>57</v>
      </c>
      <c r="S8" s="51">
        <f t="shared" si="4"/>
        <v>13</v>
      </c>
      <c r="T8" s="52">
        <f t="shared" si="5"/>
        <v>0</v>
      </c>
      <c r="U8" s="52"/>
      <c r="V8" s="51">
        <f t="shared" si="6"/>
        <v>4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80</v>
      </c>
      <c r="C9" s="37">
        <v>219.0</v>
      </c>
      <c r="D9" s="37">
        <v>21.0</v>
      </c>
      <c r="E9" s="40">
        <f t="shared" si="2"/>
        <v>14.16666667</v>
      </c>
      <c r="F9" s="90">
        <v>4.0</v>
      </c>
      <c r="G9" s="91">
        <v>0.0</v>
      </c>
      <c r="H9" s="92">
        <v>9.0</v>
      </c>
      <c r="I9" s="91">
        <v>0.0</v>
      </c>
      <c r="J9" s="91">
        <v>0.0</v>
      </c>
      <c r="K9" s="91">
        <v>0.0</v>
      </c>
      <c r="L9" s="93">
        <v>9.0</v>
      </c>
      <c r="M9" s="91">
        <v>0.0</v>
      </c>
      <c r="N9" s="37">
        <f t="shared" ref="N9:O9" si="14">C9+L9</f>
        <v>228</v>
      </c>
      <c r="O9" s="37">
        <f t="shared" si="14"/>
        <v>21</v>
      </c>
      <c r="P9" s="49" t="s">
        <v>57</v>
      </c>
      <c r="Q9" s="49" t="s">
        <v>57</v>
      </c>
      <c r="R9" s="49" t="s">
        <v>57</v>
      </c>
      <c r="S9" s="51">
        <f t="shared" si="4"/>
        <v>12</v>
      </c>
      <c r="T9" s="52">
        <f t="shared" si="5"/>
        <v>1</v>
      </c>
      <c r="U9" s="52"/>
      <c r="V9" s="51">
        <f t="shared" si="6"/>
        <v>4</v>
      </c>
      <c r="W9" s="52">
        <f t="shared" si="7"/>
        <v>3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68</v>
      </c>
      <c r="C10" s="37">
        <v>218.0</v>
      </c>
      <c r="D10" s="37">
        <v>21.0</v>
      </c>
      <c r="E10" s="40">
        <f t="shared" si="2"/>
        <v>13.64285714</v>
      </c>
      <c r="F10" s="90">
        <v>1.0</v>
      </c>
      <c r="G10" s="91">
        <v>2.0</v>
      </c>
      <c r="H10" s="92">
        <v>0.0</v>
      </c>
      <c r="I10" s="91">
        <v>4.0</v>
      </c>
      <c r="J10" s="91">
        <v>5.0</v>
      </c>
      <c r="K10" s="91">
        <v>6.0</v>
      </c>
      <c r="L10" s="93">
        <v>15.0</v>
      </c>
      <c r="M10" s="91">
        <v>1.0</v>
      </c>
      <c r="N10" s="37">
        <f t="shared" ref="N10:O10" si="15">C10+L10</f>
        <v>233</v>
      </c>
      <c r="O10" s="37">
        <f t="shared" si="15"/>
        <v>22</v>
      </c>
      <c r="P10" s="49" t="s">
        <v>57</v>
      </c>
      <c r="Q10" s="49" t="s">
        <v>57</v>
      </c>
      <c r="R10" s="49" t="s">
        <v>57</v>
      </c>
      <c r="S10" s="51">
        <f t="shared" si="4"/>
        <v>14</v>
      </c>
      <c r="T10" s="52">
        <f t="shared" si="5"/>
        <v>0</v>
      </c>
      <c r="U10" s="52"/>
      <c r="V10" s="51">
        <f t="shared" si="6"/>
        <v>3</v>
      </c>
      <c r="W10" s="52">
        <f t="shared" si="7"/>
        <v>-2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94</v>
      </c>
      <c r="C11" s="37">
        <v>213.0</v>
      </c>
      <c r="D11" s="37">
        <v>23.0</v>
      </c>
      <c r="E11" s="40">
        <f t="shared" si="2"/>
        <v>13</v>
      </c>
      <c r="F11" s="90">
        <v>1.0</v>
      </c>
      <c r="G11" s="91">
        <v>2.0</v>
      </c>
      <c r="H11" s="92">
        <v>0.0</v>
      </c>
      <c r="I11" s="91">
        <v>6.0</v>
      </c>
      <c r="J11" s="91">
        <v>5.0</v>
      </c>
      <c r="K11" s="91">
        <v>2.0</v>
      </c>
      <c r="L11" s="93">
        <v>13.0</v>
      </c>
      <c r="M11" s="91">
        <v>1.0</v>
      </c>
      <c r="N11" s="37">
        <f t="shared" ref="N11:O11" si="16">C11+L11</f>
        <v>226</v>
      </c>
      <c r="O11" s="37">
        <f t="shared" si="16"/>
        <v>24</v>
      </c>
      <c r="P11" s="49" t="s">
        <v>57</v>
      </c>
      <c r="Q11" s="49" t="s">
        <v>57</v>
      </c>
      <c r="R11" s="49" t="s">
        <v>57</v>
      </c>
      <c r="S11" s="51">
        <f t="shared" si="4"/>
        <v>15</v>
      </c>
      <c r="T11" s="52">
        <f t="shared" si="5"/>
        <v>0</v>
      </c>
      <c r="U11" s="52"/>
      <c r="V11" s="51">
        <f t="shared" si="6"/>
        <v>2</v>
      </c>
      <c r="W11" s="52">
        <f t="shared" si="7"/>
        <v>4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127</v>
      </c>
      <c r="C12" s="37">
        <v>213.0</v>
      </c>
      <c r="D12" s="37">
        <v>20.0</v>
      </c>
      <c r="E12" s="40">
        <f t="shared" si="2"/>
        <v>14</v>
      </c>
      <c r="F12" s="90">
        <v>1.0</v>
      </c>
      <c r="G12" s="91">
        <v>2.0</v>
      </c>
      <c r="H12" s="92">
        <v>0.0</v>
      </c>
      <c r="I12" s="91">
        <v>6.0</v>
      </c>
      <c r="J12" s="91">
        <v>7.0</v>
      </c>
      <c r="K12" s="91">
        <v>6.0</v>
      </c>
      <c r="L12" s="93">
        <v>19.0</v>
      </c>
      <c r="M12" s="91">
        <v>3.0</v>
      </c>
      <c r="N12" s="37">
        <f t="shared" ref="N12:O12" si="17">C12+L12</f>
        <v>232</v>
      </c>
      <c r="O12" s="37">
        <f t="shared" si="17"/>
        <v>23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0</v>
      </c>
      <c r="U12" s="52"/>
      <c r="V12" s="51">
        <f t="shared" si="6"/>
        <v>5</v>
      </c>
      <c r="W12" s="52">
        <f t="shared" si="7"/>
        <v>-2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111</v>
      </c>
      <c r="C13" s="37">
        <v>213.0</v>
      </c>
      <c r="D13" s="37">
        <v>20.0</v>
      </c>
      <c r="E13" s="40">
        <f t="shared" si="2"/>
        <v>13.66666667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222</v>
      </c>
      <c r="O13" s="37">
        <f t="shared" si="18"/>
        <v>20</v>
      </c>
      <c r="P13" s="49" t="s">
        <v>57</v>
      </c>
      <c r="Q13" s="49" t="s">
        <v>57</v>
      </c>
      <c r="R13" s="49" t="s">
        <v>57</v>
      </c>
      <c r="S13" s="51">
        <f t="shared" si="4"/>
        <v>12</v>
      </c>
      <c r="T13" s="52">
        <f t="shared" si="5"/>
        <v>1</v>
      </c>
      <c r="U13" s="52"/>
      <c r="V13" s="51">
        <f t="shared" si="6"/>
        <v>4</v>
      </c>
      <c r="W13" s="52">
        <f t="shared" si="7"/>
        <v>-2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91</v>
      </c>
      <c r="C14" s="37">
        <v>211.0</v>
      </c>
      <c r="D14" s="37">
        <v>20.0</v>
      </c>
      <c r="E14" s="40">
        <f t="shared" si="2"/>
        <v>14.8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220</v>
      </c>
      <c r="O14" s="37">
        <f t="shared" si="19"/>
        <v>20</v>
      </c>
      <c r="P14" s="49" t="s">
        <v>57</v>
      </c>
      <c r="Q14" s="49" t="s">
        <v>57</v>
      </c>
      <c r="R14" s="49" t="s">
        <v>57</v>
      </c>
      <c r="S14" s="51">
        <f t="shared" si="4"/>
        <v>10</v>
      </c>
      <c r="T14" s="52">
        <f t="shared" si="5"/>
        <v>0</v>
      </c>
      <c r="U14" s="52"/>
      <c r="V14" s="51">
        <f t="shared" si="6"/>
        <v>7</v>
      </c>
      <c r="W14" s="52">
        <f t="shared" si="7"/>
        <v>5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103</v>
      </c>
      <c r="C15" s="37">
        <v>210.0</v>
      </c>
      <c r="D15" s="37">
        <v>22.0</v>
      </c>
      <c r="E15" s="40">
        <f t="shared" si="2"/>
        <v>12.78571429</v>
      </c>
      <c r="F15" s="90">
        <v>5.0</v>
      </c>
      <c r="G15" s="91">
        <v>0.0</v>
      </c>
      <c r="H15" s="92">
        <v>13.0</v>
      </c>
      <c r="I15" s="91">
        <v>0.0</v>
      </c>
      <c r="J15" s="91">
        <v>0.0</v>
      </c>
      <c r="K15" s="91">
        <v>0.0</v>
      </c>
      <c r="L15" s="93">
        <v>13.0</v>
      </c>
      <c r="M15" s="91">
        <v>0.0</v>
      </c>
      <c r="N15" s="37">
        <f t="shared" ref="N15:O15" si="20">C15+L15</f>
        <v>223</v>
      </c>
      <c r="O15" s="37">
        <f t="shared" si="20"/>
        <v>22</v>
      </c>
      <c r="P15" s="49" t="s">
        <v>57</v>
      </c>
      <c r="Q15" s="49" t="s">
        <v>57</v>
      </c>
      <c r="R15" s="49" t="s">
        <v>57</v>
      </c>
      <c r="S15" s="51">
        <f t="shared" si="4"/>
        <v>14</v>
      </c>
      <c r="T15" s="52">
        <f t="shared" si="5"/>
        <v>1</v>
      </c>
      <c r="U15" s="52"/>
      <c r="V15" s="51">
        <f t="shared" si="6"/>
        <v>2</v>
      </c>
      <c r="W15" s="52">
        <f t="shared" si="7"/>
        <v>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93</v>
      </c>
      <c r="C16" s="37">
        <v>210.0</v>
      </c>
      <c r="D16" s="37">
        <v>18.0</v>
      </c>
      <c r="E16" s="40">
        <f t="shared" si="2"/>
        <v>13.07692308</v>
      </c>
      <c r="F16" s="90">
        <v>1.0</v>
      </c>
      <c r="G16" s="91">
        <v>2.0</v>
      </c>
      <c r="H16" s="92">
        <v>0.0</v>
      </c>
      <c r="I16" s="91">
        <v>4.0</v>
      </c>
      <c r="J16" s="91">
        <v>7.0</v>
      </c>
      <c r="K16" s="91">
        <v>2.0</v>
      </c>
      <c r="L16" s="93">
        <v>13.0</v>
      </c>
      <c r="M16" s="91">
        <v>1.0</v>
      </c>
      <c r="N16" s="37">
        <f t="shared" ref="N16:O16" si="21">C16+L16</f>
        <v>223</v>
      </c>
      <c r="O16" s="37">
        <f t="shared" si="21"/>
        <v>19</v>
      </c>
      <c r="P16" s="49" t="s">
        <v>57</v>
      </c>
      <c r="Q16" s="49" t="s">
        <v>57</v>
      </c>
      <c r="R16" s="49" t="s">
        <v>57</v>
      </c>
      <c r="S16" s="51">
        <f t="shared" si="4"/>
        <v>13</v>
      </c>
      <c r="T16" s="52">
        <f t="shared" si="5"/>
        <v>1</v>
      </c>
      <c r="U16" s="52"/>
      <c r="V16" s="51">
        <f t="shared" si="6"/>
        <v>3</v>
      </c>
      <c r="W16" s="52">
        <f t="shared" si="7"/>
        <v>1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135</v>
      </c>
      <c r="C17" s="37">
        <v>210.0</v>
      </c>
      <c r="D17" s="37">
        <v>15.0</v>
      </c>
      <c r="E17" s="40">
        <f t="shared" si="2"/>
        <v>13.38461538</v>
      </c>
      <c r="F17" s="90">
        <v>2.0</v>
      </c>
      <c r="G17" s="91">
        <v>3.0</v>
      </c>
      <c r="H17" s="92">
        <v>0.0</v>
      </c>
      <c r="I17" s="91">
        <v>1.0</v>
      </c>
      <c r="J17" s="91">
        <v>0.0</v>
      </c>
      <c r="K17" s="91">
        <v>6.0</v>
      </c>
      <c r="L17" s="93">
        <v>7.0</v>
      </c>
      <c r="M17" s="91">
        <v>0.0</v>
      </c>
      <c r="N17" s="37">
        <f t="shared" ref="N17:O17" si="22">C17+L17</f>
        <v>217</v>
      </c>
      <c r="O17" s="37">
        <f t="shared" si="22"/>
        <v>15</v>
      </c>
      <c r="P17" s="49" t="s">
        <v>57</v>
      </c>
      <c r="Q17" s="49" t="s">
        <v>57</v>
      </c>
      <c r="R17" s="49" t="s">
        <v>57</v>
      </c>
      <c r="S17" s="51">
        <f t="shared" si="4"/>
        <v>13</v>
      </c>
      <c r="T17" s="52">
        <f t="shared" si="5"/>
        <v>0</v>
      </c>
      <c r="U17" s="52"/>
      <c r="V17" s="51">
        <f t="shared" si="6"/>
        <v>4</v>
      </c>
      <c r="W17" s="52">
        <f t="shared" si="7"/>
        <v>-4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89</v>
      </c>
      <c r="C18" s="37">
        <v>208.0</v>
      </c>
      <c r="D18" s="37">
        <v>20.0</v>
      </c>
      <c r="E18" s="40">
        <f t="shared" si="2"/>
        <v>15.11111111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217</v>
      </c>
      <c r="O18" s="37">
        <f t="shared" si="23"/>
        <v>20</v>
      </c>
      <c r="P18" s="49" t="s">
        <v>57</v>
      </c>
      <c r="Q18" s="49" t="s">
        <v>57</v>
      </c>
      <c r="R18" s="49" t="s">
        <v>57</v>
      </c>
      <c r="S18" s="51">
        <f t="shared" si="4"/>
        <v>9</v>
      </c>
      <c r="T18" s="52">
        <f t="shared" si="5"/>
        <v>0</v>
      </c>
      <c r="U18" s="52"/>
      <c r="V18" s="51">
        <f t="shared" si="6"/>
        <v>8</v>
      </c>
      <c r="W18" s="52">
        <f t="shared" si="7"/>
        <v>-4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95</v>
      </c>
      <c r="C19" s="37">
        <v>207.0</v>
      </c>
      <c r="D19" s="37">
        <v>21.0</v>
      </c>
      <c r="E19" s="40">
        <f t="shared" si="2"/>
        <v>13.15384615</v>
      </c>
      <c r="F19" s="90">
        <v>1.0</v>
      </c>
      <c r="G19" s="91">
        <v>3.0</v>
      </c>
      <c r="H19" s="92">
        <v>0.0</v>
      </c>
      <c r="I19" s="91">
        <v>6.0</v>
      </c>
      <c r="J19" s="91">
        <v>6.0</v>
      </c>
      <c r="K19" s="91">
        <v>6.0</v>
      </c>
      <c r="L19" s="93">
        <v>18.0</v>
      </c>
      <c r="M19" s="91">
        <v>2.0</v>
      </c>
      <c r="N19" s="37">
        <f t="shared" ref="N19:O19" si="24">C19+L19</f>
        <v>225</v>
      </c>
      <c r="O19" s="37">
        <f t="shared" si="24"/>
        <v>23</v>
      </c>
      <c r="P19" s="49" t="s">
        <v>57</v>
      </c>
      <c r="Q19" s="49" t="s">
        <v>57</v>
      </c>
      <c r="R19" s="49" t="s">
        <v>57</v>
      </c>
      <c r="S19" s="51">
        <f t="shared" si="4"/>
        <v>13</v>
      </c>
      <c r="T19" s="52">
        <f t="shared" si="5"/>
        <v>0</v>
      </c>
      <c r="U19" s="52"/>
      <c r="V19" s="51">
        <f t="shared" si="6"/>
        <v>4</v>
      </c>
      <c r="W19" s="52">
        <f t="shared" si="7"/>
        <v>3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96</v>
      </c>
      <c r="C20" s="37">
        <v>206.0</v>
      </c>
      <c r="D20" s="37">
        <v>22.0</v>
      </c>
      <c r="E20" s="40">
        <f t="shared" si="2"/>
        <v>12.11764706</v>
      </c>
      <c r="F20" s="90">
        <v>1.0</v>
      </c>
      <c r="G20" s="91">
        <v>3.0</v>
      </c>
      <c r="H20" s="92">
        <v>0.0</v>
      </c>
      <c r="I20" s="91">
        <v>1.0</v>
      </c>
      <c r="J20" s="91">
        <v>6.0</v>
      </c>
      <c r="K20" s="91">
        <v>7.0</v>
      </c>
      <c r="L20" s="93">
        <v>14.0</v>
      </c>
      <c r="M20" s="91">
        <v>2.0</v>
      </c>
      <c r="N20" s="37">
        <f t="shared" ref="N20:O20" si="25">C20+L20</f>
        <v>220</v>
      </c>
      <c r="O20" s="37">
        <f t="shared" si="25"/>
        <v>24</v>
      </c>
      <c r="P20" s="49" t="s">
        <v>57</v>
      </c>
      <c r="Q20" s="49" t="s">
        <v>57</v>
      </c>
      <c r="R20" s="49" t="s">
        <v>57</v>
      </c>
      <c r="S20" s="51">
        <f t="shared" si="4"/>
        <v>17</v>
      </c>
      <c r="T20" s="52">
        <f t="shared" si="5"/>
        <v>0</v>
      </c>
      <c r="U20" s="52"/>
      <c r="V20" s="51">
        <f t="shared" si="6"/>
        <v>0</v>
      </c>
      <c r="W20" s="52">
        <f t="shared" si="7"/>
        <v>0</v>
      </c>
      <c r="X20" s="35">
        <f t="shared" si="12"/>
        <v>16</v>
      </c>
      <c r="Y20" s="35" t="str">
        <f t="shared" si="8"/>
        <v>Y</v>
      </c>
      <c r="Z20" s="19" t="str">
        <f t="shared" si="9"/>
        <v/>
      </c>
    </row>
    <row r="21">
      <c r="A21" s="35">
        <f t="shared" si="10"/>
        <v>17</v>
      </c>
      <c r="B21" s="36" t="s">
        <v>117</v>
      </c>
      <c r="C21" s="37">
        <v>205.0</v>
      </c>
      <c r="D21" s="37">
        <v>18.0</v>
      </c>
      <c r="E21" s="40">
        <f t="shared" si="2"/>
        <v>12.69230769</v>
      </c>
      <c r="F21" s="90">
        <v>2.0</v>
      </c>
      <c r="G21" s="91">
        <v>3.0</v>
      </c>
      <c r="H21" s="92">
        <v>0.0</v>
      </c>
      <c r="I21" s="91">
        <v>6.0</v>
      </c>
      <c r="J21" s="91">
        <v>0.0</v>
      </c>
      <c r="K21" s="91">
        <v>7.0</v>
      </c>
      <c r="L21" s="93">
        <v>13.0</v>
      </c>
      <c r="M21" s="91">
        <v>2.0</v>
      </c>
      <c r="N21" s="37">
        <f t="shared" ref="N21:O21" si="26">C21+L21</f>
        <v>218</v>
      </c>
      <c r="O21" s="37">
        <f t="shared" si="26"/>
        <v>20</v>
      </c>
      <c r="P21" s="49" t="s">
        <v>57</v>
      </c>
      <c r="Q21" s="49" t="s">
        <v>57</v>
      </c>
      <c r="R21" s="49" t="s">
        <v>57</v>
      </c>
      <c r="S21" s="51">
        <f t="shared" si="4"/>
        <v>13</v>
      </c>
      <c r="T21" s="52">
        <f t="shared" si="5"/>
        <v>1</v>
      </c>
      <c r="U21" s="52"/>
      <c r="V21" s="51">
        <f t="shared" si="6"/>
        <v>3</v>
      </c>
      <c r="W21" s="52">
        <f t="shared" si="7"/>
        <v>9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112</v>
      </c>
      <c r="C22" s="37">
        <v>204.0</v>
      </c>
      <c r="D22" s="37">
        <v>17.0</v>
      </c>
      <c r="E22" s="40">
        <f t="shared" si="2"/>
        <v>13.25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213</v>
      </c>
      <c r="O22" s="37">
        <f t="shared" si="27"/>
        <v>17</v>
      </c>
      <c r="P22" s="49" t="s">
        <v>57</v>
      </c>
      <c r="Q22" s="49" t="s">
        <v>57</v>
      </c>
      <c r="R22" s="49" t="s">
        <v>57</v>
      </c>
      <c r="S22" s="51">
        <f t="shared" si="4"/>
        <v>12</v>
      </c>
      <c r="T22" s="52">
        <f t="shared" si="5"/>
        <v>0</v>
      </c>
      <c r="U22" s="52"/>
      <c r="V22" s="51">
        <f t="shared" si="6"/>
        <v>5</v>
      </c>
      <c r="W22" s="52">
        <f t="shared" si="7"/>
        <v>6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130</v>
      </c>
      <c r="C23" s="37">
        <v>201.0</v>
      </c>
      <c r="D23" s="37">
        <v>20.0</v>
      </c>
      <c r="E23" s="40">
        <f t="shared" si="2"/>
        <v>11.82352941</v>
      </c>
      <c r="F23" s="90">
        <v>1.0</v>
      </c>
      <c r="G23" s="91">
        <v>4.0</v>
      </c>
      <c r="H23" s="92">
        <v>0.0</v>
      </c>
      <c r="I23" s="91">
        <v>1.0</v>
      </c>
      <c r="J23" s="91">
        <v>3.0</v>
      </c>
      <c r="K23" s="91">
        <v>1.0</v>
      </c>
      <c r="L23" s="93">
        <v>5.0</v>
      </c>
      <c r="M23" s="91">
        <v>0.0</v>
      </c>
      <c r="N23" s="37">
        <f t="shared" ref="N23:O23" si="28">C23+L23</f>
        <v>206</v>
      </c>
      <c r="O23" s="37">
        <f t="shared" si="28"/>
        <v>20</v>
      </c>
      <c r="P23" s="49" t="s">
        <v>57</v>
      </c>
      <c r="Q23" s="49" t="s">
        <v>57</v>
      </c>
      <c r="R23" s="49" t="s">
        <v>57</v>
      </c>
      <c r="S23" s="51">
        <f t="shared" si="4"/>
        <v>17</v>
      </c>
      <c r="T23" s="52">
        <f t="shared" si="5"/>
        <v>0</v>
      </c>
      <c r="U23" s="52"/>
      <c r="V23" s="51">
        <f t="shared" si="6"/>
        <v>0</v>
      </c>
      <c r="W23" s="52">
        <f t="shared" si="7"/>
        <v>6</v>
      </c>
      <c r="X23" s="35">
        <f t="shared" si="12"/>
        <v>19</v>
      </c>
      <c r="Y23" s="35" t="str">
        <f t="shared" si="8"/>
        <v>Y</v>
      </c>
      <c r="Z23" s="19" t="str">
        <f t="shared" si="9"/>
        <v/>
      </c>
    </row>
    <row r="24">
      <c r="A24" s="35">
        <f t="shared" si="10"/>
        <v>20</v>
      </c>
      <c r="B24" s="36" t="s">
        <v>132</v>
      </c>
      <c r="C24" s="37">
        <v>201.0</v>
      </c>
      <c r="D24" s="37">
        <v>18.0</v>
      </c>
      <c r="E24" s="40">
        <f t="shared" si="2"/>
        <v>15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210</v>
      </c>
      <c r="O24" s="37">
        <f t="shared" si="29"/>
        <v>18</v>
      </c>
      <c r="P24" s="49" t="s">
        <v>57</v>
      </c>
      <c r="Q24" s="49" t="s">
        <v>57</v>
      </c>
      <c r="R24" s="49" t="s">
        <v>57</v>
      </c>
      <c r="S24" s="51">
        <f t="shared" si="4"/>
        <v>8</v>
      </c>
      <c r="T24" s="52">
        <f t="shared" si="5"/>
        <v>0</v>
      </c>
      <c r="U24" s="52"/>
      <c r="V24" s="51">
        <f t="shared" si="6"/>
        <v>9</v>
      </c>
      <c r="W24" s="52">
        <f t="shared" si="7"/>
        <v>-6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99</v>
      </c>
      <c r="C25" s="37">
        <v>200.0</v>
      </c>
      <c r="D25" s="37">
        <v>18.0</v>
      </c>
      <c r="E25" s="40">
        <f t="shared" si="2"/>
        <v>12.58333333</v>
      </c>
      <c r="F25" s="90">
        <v>1.0</v>
      </c>
      <c r="G25" s="91">
        <v>4.0</v>
      </c>
      <c r="H25" s="92">
        <v>0.0</v>
      </c>
      <c r="I25" s="91">
        <v>1.0</v>
      </c>
      <c r="J25" s="91">
        <v>6.0</v>
      </c>
      <c r="K25" s="91">
        <v>6.0</v>
      </c>
      <c r="L25" s="93">
        <v>13.0</v>
      </c>
      <c r="M25" s="91">
        <v>2.0</v>
      </c>
      <c r="N25" s="37">
        <f t="shared" ref="N25:O25" si="30">C25+L25</f>
        <v>213</v>
      </c>
      <c r="O25" s="37">
        <f t="shared" si="30"/>
        <v>20</v>
      </c>
      <c r="P25" s="49" t="s">
        <v>57</v>
      </c>
      <c r="Q25" s="49" t="s">
        <v>57</v>
      </c>
      <c r="R25" s="49" t="s">
        <v>57</v>
      </c>
      <c r="S25" s="51">
        <f t="shared" si="4"/>
        <v>12</v>
      </c>
      <c r="T25" s="52">
        <f t="shared" si="5"/>
        <v>1</v>
      </c>
      <c r="U25" s="52"/>
      <c r="V25" s="51">
        <f t="shared" si="6"/>
        <v>4</v>
      </c>
      <c r="W25" s="52">
        <f t="shared" si="7"/>
        <v>2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120</v>
      </c>
      <c r="C26" s="37">
        <v>200.0</v>
      </c>
      <c r="D26" s="37">
        <v>15.0</v>
      </c>
      <c r="E26" s="40">
        <f t="shared" si="2"/>
        <v>14.875</v>
      </c>
      <c r="F26" s="90">
        <v>1.0</v>
      </c>
      <c r="G26" s="91">
        <v>4.0</v>
      </c>
      <c r="H26" s="92">
        <v>0.0</v>
      </c>
      <c r="I26" s="91">
        <v>6.0</v>
      </c>
      <c r="J26" s="91">
        <v>3.0</v>
      </c>
      <c r="K26" s="91">
        <v>6.0</v>
      </c>
      <c r="L26" s="93">
        <v>15.0</v>
      </c>
      <c r="M26" s="91">
        <v>2.0</v>
      </c>
      <c r="N26" s="37">
        <f t="shared" ref="N26:O26" si="31">C26+L26</f>
        <v>215</v>
      </c>
      <c r="O26" s="37">
        <f t="shared" si="31"/>
        <v>17</v>
      </c>
      <c r="P26" s="49" t="s">
        <v>57</v>
      </c>
      <c r="Q26" s="49" t="s">
        <v>57</v>
      </c>
      <c r="R26" s="49" t="s">
        <v>57</v>
      </c>
      <c r="S26" s="51">
        <f t="shared" si="4"/>
        <v>8</v>
      </c>
      <c r="T26" s="52">
        <f t="shared" si="5"/>
        <v>0</v>
      </c>
      <c r="U26" s="52"/>
      <c r="V26" s="51">
        <f t="shared" si="6"/>
        <v>9</v>
      </c>
      <c r="W26" s="52">
        <f t="shared" si="7"/>
        <v>7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114</v>
      </c>
      <c r="C27" s="37">
        <v>199.0</v>
      </c>
      <c r="D27" s="37">
        <v>20.0</v>
      </c>
      <c r="E27" s="40">
        <f t="shared" si="2"/>
        <v>14.11111111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208</v>
      </c>
      <c r="O27" s="37">
        <f t="shared" si="32"/>
        <v>20</v>
      </c>
      <c r="P27" s="49" t="s">
        <v>57</v>
      </c>
      <c r="Q27" s="49" t="s">
        <v>57</v>
      </c>
      <c r="R27" s="49" t="s">
        <v>57</v>
      </c>
      <c r="S27" s="51">
        <f t="shared" si="4"/>
        <v>9</v>
      </c>
      <c r="T27" s="52">
        <f t="shared" si="5"/>
        <v>0</v>
      </c>
      <c r="U27" s="52"/>
      <c r="V27" s="51">
        <f t="shared" si="6"/>
        <v>8</v>
      </c>
      <c r="W27" s="52">
        <f t="shared" si="7"/>
        <v>-6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128</v>
      </c>
      <c r="C28" s="37">
        <v>199.0</v>
      </c>
      <c r="D28" s="37">
        <v>15.0</v>
      </c>
      <c r="E28" s="40">
        <f t="shared" si="2"/>
        <v>12.53846154</v>
      </c>
      <c r="F28" s="90">
        <v>1.0</v>
      </c>
      <c r="G28" s="91">
        <v>4.0</v>
      </c>
      <c r="H28" s="92">
        <v>0.0</v>
      </c>
      <c r="I28" s="91">
        <v>6.0</v>
      </c>
      <c r="J28" s="91">
        <v>6.0</v>
      </c>
      <c r="K28" s="91">
        <v>1.0</v>
      </c>
      <c r="L28" s="93">
        <v>13.0</v>
      </c>
      <c r="M28" s="91">
        <v>2.0</v>
      </c>
      <c r="N28" s="37">
        <f t="shared" ref="N28:O28" si="33">C28+L28</f>
        <v>212</v>
      </c>
      <c r="O28" s="37">
        <f t="shared" si="33"/>
        <v>17</v>
      </c>
      <c r="P28" s="49" t="s">
        <v>57</v>
      </c>
      <c r="Q28" s="49" t="s">
        <v>57</v>
      </c>
      <c r="R28" s="49" t="s">
        <v>57</v>
      </c>
      <c r="S28" s="51">
        <f t="shared" si="4"/>
        <v>13</v>
      </c>
      <c r="T28" s="52">
        <f t="shared" si="5"/>
        <v>0</v>
      </c>
      <c r="U28" s="52"/>
      <c r="V28" s="51">
        <f t="shared" si="6"/>
        <v>4</v>
      </c>
      <c r="W28" s="52">
        <f t="shared" si="7"/>
        <v>-5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97</v>
      </c>
      <c r="C29" s="37">
        <v>199.0</v>
      </c>
      <c r="D29" s="37">
        <v>14.0</v>
      </c>
      <c r="E29" s="40">
        <f t="shared" si="2"/>
        <v>14.11111111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208</v>
      </c>
      <c r="O29" s="37">
        <f t="shared" si="34"/>
        <v>14</v>
      </c>
      <c r="P29" s="49" t="s">
        <v>57</v>
      </c>
      <c r="Q29" s="49" t="s">
        <v>57</v>
      </c>
      <c r="R29" s="49" t="s">
        <v>57</v>
      </c>
      <c r="S29" s="51">
        <f t="shared" si="4"/>
        <v>9</v>
      </c>
      <c r="T29" s="52">
        <f t="shared" si="5"/>
        <v>0</v>
      </c>
      <c r="U29" s="52"/>
      <c r="V29" s="51">
        <f t="shared" si="6"/>
        <v>8</v>
      </c>
      <c r="W29" s="52">
        <f t="shared" si="7"/>
        <v>2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142</v>
      </c>
      <c r="C30" s="37">
        <v>197.0</v>
      </c>
      <c r="D30" s="37">
        <v>18.0</v>
      </c>
      <c r="E30" s="40">
        <f t="shared" si="2"/>
        <v>13.4</v>
      </c>
      <c r="F30" s="90">
        <v>3.0</v>
      </c>
      <c r="G30" s="91">
        <v>0.0</v>
      </c>
      <c r="H30" s="92">
        <v>9.0</v>
      </c>
      <c r="I30" s="91">
        <v>0.0</v>
      </c>
      <c r="J30" s="91">
        <v>0.0</v>
      </c>
      <c r="K30" s="91">
        <v>0.0</v>
      </c>
      <c r="L30" s="93">
        <v>9.0</v>
      </c>
      <c r="M30" s="91">
        <v>0.0</v>
      </c>
      <c r="N30" s="37">
        <f t="shared" ref="N30:O30" si="35">C30+L30</f>
        <v>206</v>
      </c>
      <c r="O30" s="37">
        <f t="shared" si="35"/>
        <v>18</v>
      </c>
      <c r="P30" s="49" t="s">
        <v>57</v>
      </c>
      <c r="Q30" s="49" t="s">
        <v>57</v>
      </c>
      <c r="R30" s="49" t="s">
        <v>57</v>
      </c>
      <c r="S30" s="51">
        <f t="shared" si="4"/>
        <v>10</v>
      </c>
      <c r="T30" s="52">
        <f t="shared" si="5"/>
        <v>0</v>
      </c>
      <c r="U30" s="52"/>
      <c r="V30" s="51">
        <f t="shared" si="6"/>
        <v>7</v>
      </c>
      <c r="W30" s="52">
        <f t="shared" si="7"/>
        <v>-6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108</v>
      </c>
      <c r="C31" s="37">
        <v>196.0</v>
      </c>
      <c r="D31" s="37">
        <v>18.0</v>
      </c>
      <c r="E31" s="40">
        <f t="shared" si="2"/>
        <v>12.58333333</v>
      </c>
      <c r="F31" s="90">
        <v>2.0</v>
      </c>
      <c r="G31" s="91">
        <v>5.0</v>
      </c>
      <c r="H31" s="92">
        <v>0.0</v>
      </c>
      <c r="I31" s="91">
        <v>6.0</v>
      </c>
      <c r="J31" s="91">
        <v>2.0</v>
      </c>
      <c r="K31" s="91">
        <v>6.0</v>
      </c>
      <c r="L31" s="93">
        <v>14.0</v>
      </c>
      <c r="M31" s="91">
        <v>2.0</v>
      </c>
      <c r="N31" s="37">
        <f t="shared" ref="N31:O31" si="36">C31+L31</f>
        <v>210</v>
      </c>
      <c r="O31" s="37">
        <f t="shared" si="36"/>
        <v>20</v>
      </c>
      <c r="P31" s="49" t="s">
        <v>57</v>
      </c>
      <c r="Q31" s="49" t="s">
        <v>57</v>
      </c>
      <c r="R31" s="49" t="s">
        <v>57</v>
      </c>
      <c r="S31" s="51">
        <f t="shared" si="4"/>
        <v>12</v>
      </c>
      <c r="T31" s="52">
        <f t="shared" si="5"/>
        <v>0</v>
      </c>
      <c r="U31" s="52"/>
      <c r="V31" s="51">
        <f t="shared" si="6"/>
        <v>5</v>
      </c>
      <c r="W31" s="52">
        <f t="shared" si="7"/>
        <v>-6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126</v>
      </c>
      <c r="C32" s="37">
        <v>195.0</v>
      </c>
      <c r="D32" s="37">
        <v>18.0</v>
      </c>
      <c r="E32" s="40">
        <f t="shared" si="2"/>
        <v>12.5</v>
      </c>
      <c r="F32" s="90">
        <v>1.0</v>
      </c>
      <c r="G32" s="91">
        <v>5.0</v>
      </c>
      <c r="H32" s="92">
        <v>0.0</v>
      </c>
      <c r="I32" s="91">
        <v>3.0</v>
      </c>
      <c r="J32" s="91">
        <v>6.0</v>
      </c>
      <c r="K32" s="91">
        <v>6.0</v>
      </c>
      <c r="L32" s="93">
        <v>15.0</v>
      </c>
      <c r="M32" s="91">
        <v>2.0</v>
      </c>
      <c r="N32" s="37">
        <f t="shared" ref="N32:O32" si="37">C32+L32</f>
        <v>210</v>
      </c>
      <c r="O32" s="37">
        <f t="shared" si="37"/>
        <v>20</v>
      </c>
      <c r="P32" s="49" t="s">
        <v>57</v>
      </c>
      <c r="Q32" s="49" t="s">
        <v>57</v>
      </c>
      <c r="R32" s="49" t="s">
        <v>57</v>
      </c>
      <c r="S32" s="51">
        <f t="shared" si="4"/>
        <v>12</v>
      </c>
      <c r="T32" s="52">
        <f t="shared" si="5"/>
        <v>0</v>
      </c>
      <c r="U32" s="52"/>
      <c r="V32" s="51">
        <f t="shared" si="6"/>
        <v>5</v>
      </c>
      <c r="W32" s="52">
        <f t="shared" si="7"/>
        <v>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139</v>
      </c>
      <c r="C33" s="37">
        <v>195.0</v>
      </c>
      <c r="D33" s="37">
        <v>18.0</v>
      </c>
      <c r="E33" s="40">
        <f t="shared" si="2"/>
        <v>12</v>
      </c>
      <c r="F33" s="90">
        <v>1.0</v>
      </c>
      <c r="G33" s="91">
        <v>5.0</v>
      </c>
      <c r="H33" s="92">
        <v>0.0</v>
      </c>
      <c r="I33" s="91">
        <v>6.0</v>
      </c>
      <c r="J33" s="91">
        <v>6.0</v>
      </c>
      <c r="K33" s="91">
        <v>1.0</v>
      </c>
      <c r="L33" s="93">
        <v>13.0</v>
      </c>
      <c r="M33" s="91">
        <v>2.0</v>
      </c>
      <c r="N33" s="37">
        <f t="shared" ref="N33:O33" si="38">C33+L33</f>
        <v>208</v>
      </c>
      <c r="O33" s="37">
        <f t="shared" si="38"/>
        <v>20</v>
      </c>
      <c r="P33" s="49" t="s">
        <v>57</v>
      </c>
      <c r="Q33" s="49" t="s">
        <v>57</v>
      </c>
      <c r="R33" s="49" t="s">
        <v>57</v>
      </c>
      <c r="S33" s="51">
        <f t="shared" si="4"/>
        <v>14</v>
      </c>
      <c r="T33" s="52">
        <f t="shared" si="5"/>
        <v>0</v>
      </c>
      <c r="U33" s="52"/>
      <c r="V33" s="51">
        <f t="shared" si="6"/>
        <v>3</v>
      </c>
      <c r="W33" s="52">
        <f t="shared" si="7"/>
        <v>1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109</v>
      </c>
      <c r="C34" s="37">
        <v>195.0</v>
      </c>
      <c r="D34" s="37">
        <v>17.0</v>
      </c>
      <c r="E34" s="40">
        <f t="shared" si="2"/>
        <v>12.81818182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204</v>
      </c>
      <c r="O34" s="37">
        <f t="shared" si="39"/>
        <v>17</v>
      </c>
      <c r="P34" s="49" t="s">
        <v>57</v>
      </c>
      <c r="Q34" s="49" t="s">
        <v>57</v>
      </c>
      <c r="R34" s="49" t="s">
        <v>57</v>
      </c>
      <c r="S34" s="51">
        <f t="shared" si="4"/>
        <v>11</v>
      </c>
      <c r="T34" s="52">
        <f t="shared" si="5"/>
        <v>0</v>
      </c>
      <c r="U34" s="52"/>
      <c r="V34" s="51">
        <f t="shared" si="6"/>
        <v>6</v>
      </c>
      <c r="W34" s="52">
        <f t="shared" si="7"/>
        <v>-8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101</v>
      </c>
      <c r="C35" s="37">
        <v>194.0</v>
      </c>
      <c r="D35" s="37">
        <v>13.0</v>
      </c>
      <c r="E35" s="40">
        <f t="shared" si="2"/>
        <v>12.7</v>
      </c>
      <c r="F35" s="90">
        <v>1.0</v>
      </c>
      <c r="G35" s="91">
        <v>5.0</v>
      </c>
      <c r="H35" s="92">
        <v>0.0</v>
      </c>
      <c r="I35" s="91">
        <v>3.0</v>
      </c>
      <c r="J35" s="91">
        <v>2.0</v>
      </c>
      <c r="K35" s="91">
        <v>1.0</v>
      </c>
      <c r="L35" s="93">
        <v>6.0</v>
      </c>
      <c r="M35" s="91">
        <v>0.0</v>
      </c>
      <c r="N35" s="37">
        <f t="shared" ref="N35:O35" si="40">C35+L35</f>
        <v>200</v>
      </c>
      <c r="O35" s="37">
        <f t="shared" si="40"/>
        <v>13</v>
      </c>
      <c r="P35" s="49" t="s">
        <v>57</v>
      </c>
      <c r="Q35" s="49" t="s">
        <v>57</v>
      </c>
      <c r="R35" s="49" t="s">
        <v>57</v>
      </c>
      <c r="S35" s="51">
        <f t="shared" si="4"/>
        <v>10</v>
      </c>
      <c r="T35" s="52">
        <f t="shared" si="5"/>
        <v>1</v>
      </c>
      <c r="U35" s="52"/>
      <c r="V35" s="51">
        <f t="shared" si="6"/>
        <v>6</v>
      </c>
      <c r="W35" s="52">
        <f t="shared" si="7"/>
        <v>7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113</v>
      </c>
      <c r="C36" s="37">
        <v>193.0</v>
      </c>
      <c r="D36" s="37">
        <v>17.0</v>
      </c>
      <c r="E36" s="40">
        <f t="shared" si="2"/>
        <v>13.44444444</v>
      </c>
      <c r="F36" s="90">
        <v>2.0</v>
      </c>
      <c r="G36" s="91">
        <v>6.0</v>
      </c>
      <c r="H36" s="92">
        <v>0.0</v>
      </c>
      <c r="I36" s="91">
        <v>7.0</v>
      </c>
      <c r="J36" s="91">
        <v>3.0</v>
      </c>
      <c r="K36" s="91">
        <v>7.0</v>
      </c>
      <c r="L36" s="93">
        <v>17.0</v>
      </c>
      <c r="M36" s="91">
        <v>2.0</v>
      </c>
      <c r="N36" s="37">
        <f t="shared" ref="N36:O36" si="41">C36+L36</f>
        <v>210</v>
      </c>
      <c r="O36" s="37">
        <f t="shared" si="41"/>
        <v>19</v>
      </c>
      <c r="P36" s="49" t="s">
        <v>57</v>
      </c>
      <c r="Q36" s="49" t="s">
        <v>57</v>
      </c>
      <c r="R36" s="49" t="s">
        <v>57</v>
      </c>
      <c r="S36" s="51">
        <f t="shared" si="4"/>
        <v>9</v>
      </c>
      <c r="T36" s="52">
        <f t="shared" si="5"/>
        <v>0</v>
      </c>
      <c r="U36" s="52"/>
      <c r="V36" s="51">
        <f t="shared" si="6"/>
        <v>8</v>
      </c>
      <c r="W36" s="52">
        <f t="shared" si="7"/>
        <v>-4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143</v>
      </c>
      <c r="C37" s="37">
        <v>190.0</v>
      </c>
      <c r="D37" s="37">
        <v>17.0</v>
      </c>
      <c r="E37" s="40">
        <f t="shared" si="2"/>
        <v>12.7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199</v>
      </c>
      <c r="O37" s="37">
        <f t="shared" si="42"/>
        <v>17</v>
      </c>
      <c r="P37" s="49" t="s">
        <v>57</v>
      </c>
      <c r="Q37" s="49" t="s">
        <v>57</v>
      </c>
      <c r="R37" s="49" t="s">
        <v>57</v>
      </c>
      <c r="S37" s="51">
        <f t="shared" si="4"/>
        <v>10</v>
      </c>
      <c r="T37" s="52">
        <f t="shared" si="5"/>
        <v>0</v>
      </c>
      <c r="U37" s="52"/>
      <c r="V37" s="51">
        <f t="shared" si="6"/>
        <v>7</v>
      </c>
      <c r="W37" s="52">
        <f t="shared" si="7"/>
        <v>3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137</v>
      </c>
      <c r="C38" s="37">
        <v>190.0</v>
      </c>
      <c r="D38" s="37">
        <v>17.0</v>
      </c>
      <c r="E38" s="40">
        <f t="shared" si="2"/>
        <v>11.84615385</v>
      </c>
      <c r="F38" s="90">
        <v>2.0</v>
      </c>
      <c r="G38" s="91">
        <v>6.0</v>
      </c>
      <c r="H38" s="92">
        <v>0.0</v>
      </c>
      <c r="I38" s="91">
        <v>7.0</v>
      </c>
      <c r="J38" s="91">
        <v>6.0</v>
      </c>
      <c r="K38" s="91">
        <v>6.0</v>
      </c>
      <c r="L38" s="93">
        <v>19.0</v>
      </c>
      <c r="M38" s="91">
        <v>2.0</v>
      </c>
      <c r="N38" s="37">
        <f t="shared" ref="N38:O38" si="43">C38+L38</f>
        <v>209</v>
      </c>
      <c r="O38" s="37">
        <f t="shared" si="43"/>
        <v>19</v>
      </c>
      <c r="P38" s="49" t="s">
        <v>57</v>
      </c>
      <c r="Q38" s="49" t="s">
        <v>57</v>
      </c>
      <c r="R38" s="49" t="s">
        <v>57</v>
      </c>
      <c r="S38" s="51">
        <f t="shared" si="4"/>
        <v>13</v>
      </c>
      <c r="T38" s="52">
        <f t="shared" si="5"/>
        <v>0</v>
      </c>
      <c r="U38" s="52"/>
      <c r="V38" s="51">
        <f t="shared" si="6"/>
        <v>4</v>
      </c>
      <c r="W38" s="52">
        <f t="shared" si="7"/>
        <v>1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104</v>
      </c>
      <c r="C39" s="37">
        <v>190.0</v>
      </c>
      <c r="D39" s="37">
        <v>16.0</v>
      </c>
      <c r="E39" s="40">
        <f t="shared" si="2"/>
        <v>13.11111111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199</v>
      </c>
      <c r="O39" s="37">
        <f t="shared" si="44"/>
        <v>16</v>
      </c>
      <c r="P39" s="49" t="s">
        <v>57</v>
      </c>
      <c r="Q39" s="49" t="s">
        <v>57</v>
      </c>
      <c r="R39" s="49" t="s">
        <v>57</v>
      </c>
      <c r="S39" s="51">
        <f t="shared" si="4"/>
        <v>9</v>
      </c>
      <c r="T39" s="52">
        <f t="shared" si="5"/>
        <v>0</v>
      </c>
      <c r="U39" s="52"/>
      <c r="V39" s="51">
        <f t="shared" si="6"/>
        <v>8</v>
      </c>
      <c r="W39" s="52">
        <f t="shared" si="7"/>
        <v>10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59</v>
      </c>
      <c r="C40" s="37">
        <v>189.0</v>
      </c>
      <c r="D40" s="37">
        <v>15.0</v>
      </c>
      <c r="E40" s="40">
        <f t="shared" si="2"/>
        <v>11.25</v>
      </c>
      <c r="F40" s="90">
        <v>1.0</v>
      </c>
      <c r="G40" s="91">
        <v>6.0</v>
      </c>
      <c r="H40" s="92">
        <v>0.0</v>
      </c>
      <c r="I40" s="91">
        <v>5.0</v>
      </c>
      <c r="J40" s="91">
        <v>6.0</v>
      </c>
      <c r="K40" s="91">
        <v>7.0</v>
      </c>
      <c r="L40" s="93">
        <v>18.0</v>
      </c>
      <c r="M40" s="91">
        <v>2.0</v>
      </c>
      <c r="N40" s="37">
        <f t="shared" ref="N40:O40" si="45">C40+L40</f>
        <v>207</v>
      </c>
      <c r="O40" s="37">
        <f t="shared" si="45"/>
        <v>17</v>
      </c>
      <c r="P40" s="49" t="s">
        <v>57</v>
      </c>
      <c r="Q40" s="49" t="s">
        <v>57</v>
      </c>
      <c r="R40" s="49" t="s">
        <v>57</v>
      </c>
      <c r="S40" s="51">
        <f t="shared" si="4"/>
        <v>16</v>
      </c>
      <c r="T40" s="52">
        <f t="shared" si="5"/>
        <v>0</v>
      </c>
      <c r="U40" s="52"/>
      <c r="V40" s="51">
        <f t="shared" si="6"/>
        <v>1</v>
      </c>
      <c r="W40" s="52">
        <f t="shared" si="7"/>
        <v>1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107</v>
      </c>
      <c r="C41" s="37">
        <v>188.0</v>
      </c>
      <c r="D41" s="37">
        <v>17.0</v>
      </c>
      <c r="E41" s="40">
        <f t="shared" si="2"/>
        <v>12.18181818</v>
      </c>
      <c r="F41" s="90">
        <v>1.0</v>
      </c>
      <c r="G41" s="91">
        <v>6.0</v>
      </c>
      <c r="H41" s="92">
        <v>0.0</v>
      </c>
      <c r="I41" s="91">
        <v>5.0</v>
      </c>
      <c r="J41" s="91">
        <v>3.0</v>
      </c>
      <c r="K41" s="91">
        <v>6.0</v>
      </c>
      <c r="L41" s="93">
        <v>14.0</v>
      </c>
      <c r="M41" s="91">
        <v>0.0</v>
      </c>
      <c r="N41" s="37">
        <f t="shared" ref="N41:O41" si="46">C41+L41</f>
        <v>202</v>
      </c>
      <c r="O41" s="37">
        <f t="shared" si="46"/>
        <v>17</v>
      </c>
      <c r="P41" s="49" t="s">
        <v>57</v>
      </c>
      <c r="Q41" s="49" t="s">
        <v>57</v>
      </c>
      <c r="R41" s="49" t="s">
        <v>57</v>
      </c>
      <c r="S41" s="51">
        <f t="shared" si="4"/>
        <v>11</v>
      </c>
      <c r="T41" s="52">
        <f t="shared" si="5"/>
        <v>0</v>
      </c>
      <c r="U41" s="52"/>
      <c r="V41" s="51">
        <f t="shared" si="6"/>
        <v>6</v>
      </c>
      <c r="W41" s="52">
        <f t="shared" si="7"/>
        <v>2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51</v>
      </c>
      <c r="C42" s="37">
        <v>188.0</v>
      </c>
      <c r="D42" s="37">
        <v>14.0</v>
      </c>
      <c r="E42" s="40">
        <f t="shared" si="2"/>
        <v>16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197</v>
      </c>
      <c r="O42" s="37">
        <f t="shared" si="47"/>
        <v>14</v>
      </c>
      <c r="P42" s="49" t="s">
        <v>57</v>
      </c>
      <c r="Q42" s="49" t="s">
        <v>57</v>
      </c>
      <c r="R42" s="49" t="s">
        <v>57</v>
      </c>
      <c r="S42" s="51">
        <f t="shared" si="4"/>
        <v>5</v>
      </c>
      <c r="T42" s="52">
        <f t="shared" si="5"/>
        <v>0</v>
      </c>
      <c r="U42" s="52"/>
      <c r="V42" s="51">
        <f t="shared" si="6"/>
        <v>12</v>
      </c>
      <c r="W42" s="52">
        <f t="shared" si="7"/>
        <v>-5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90</v>
      </c>
      <c r="C43" s="37">
        <v>187.0</v>
      </c>
      <c r="D43" s="37">
        <v>12.0</v>
      </c>
      <c r="E43" s="40">
        <f t="shared" si="2"/>
        <v>14.66666667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196</v>
      </c>
      <c r="O43" s="37">
        <f t="shared" si="48"/>
        <v>12</v>
      </c>
      <c r="P43" s="49" t="s">
        <v>57</v>
      </c>
      <c r="Q43" s="49" t="s">
        <v>57</v>
      </c>
      <c r="R43" s="49" t="s">
        <v>57</v>
      </c>
      <c r="S43" s="51">
        <f t="shared" si="4"/>
        <v>6</v>
      </c>
      <c r="T43" s="52">
        <f t="shared" si="5"/>
        <v>0</v>
      </c>
      <c r="U43" s="52"/>
      <c r="V43" s="51">
        <f t="shared" si="6"/>
        <v>11</v>
      </c>
      <c r="W43" s="52">
        <f t="shared" si="7"/>
        <v>-5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115</v>
      </c>
      <c r="C44" s="37">
        <v>186.0</v>
      </c>
      <c r="D44" s="37">
        <v>14.0</v>
      </c>
      <c r="E44" s="40">
        <f t="shared" si="2"/>
        <v>11.75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195</v>
      </c>
      <c r="O44" s="37">
        <f t="shared" si="49"/>
        <v>14</v>
      </c>
      <c r="P44" s="49" t="s">
        <v>57</v>
      </c>
      <c r="Q44" s="49" t="s">
        <v>57</v>
      </c>
      <c r="R44" s="49" t="s">
        <v>57</v>
      </c>
      <c r="S44" s="51">
        <f t="shared" si="4"/>
        <v>12</v>
      </c>
      <c r="T44" s="52">
        <f t="shared" si="5"/>
        <v>0</v>
      </c>
      <c r="U44" s="52"/>
      <c r="V44" s="51">
        <f t="shared" si="6"/>
        <v>5</v>
      </c>
      <c r="W44" s="52">
        <f t="shared" si="7"/>
        <v>2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134</v>
      </c>
      <c r="C45" s="37">
        <v>185.0</v>
      </c>
      <c r="D45" s="37">
        <v>16.0</v>
      </c>
      <c r="E45" s="40">
        <f t="shared" si="2"/>
        <v>11.28571429</v>
      </c>
      <c r="F45" s="90">
        <v>1.0</v>
      </c>
      <c r="G45" s="91">
        <v>9.0</v>
      </c>
      <c r="H45" s="92">
        <v>0.0</v>
      </c>
      <c r="I45" s="91">
        <v>6.0</v>
      </c>
      <c r="J45" s="91">
        <v>1.0</v>
      </c>
      <c r="K45" s="91">
        <v>2.0</v>
      </c>
      <c r="L45" s="93">
        <v>9.0</v>
      </c>
      <c r="M45" s="91">
        <v>1.0</v>
      </c>
      <c r="N45" s="37">
        <f t="shared" ref="N45:O45" si="50">C45+L45</f>
        <v>194</v>
      </c>
      <c r="O45" s="37">
        <f t="shared" si="50"/>
        <v>17</v>
      </c>
      <c r="P45" s="49" t="s">
        <v>57</v>
      </c>
      <c r="Q45" s="49" t="s">
        <v>57</v>
      </c>
      <c r="R45" s="49" t="s">
        <v>57</v>
      </c>
      <c r="S45" s="51">
        <f t="shared" si="4"/>
        <v>14</v>
      </c>
      <c r="T45" s="52">
        <f t="shared" si="5"/>
        <v>0</v>
      </c>
      <c r="U45" s="52"/>
      <c r="V45" s="51">
        <f t="shared" si="6"/>
        <v>3</v>
      </c>
      <c r="W45" s="52">
        <f t="shared" si="7"/>
        <v>0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64</v>
      </c>
      <c r="C46" s="37">
        <v>185.0</v>
      </c>
      <c r="D46" s="37">
        <v>14.0</v>
      </c>
      <c r="E46" s="40">
        <f t="shared" si="2"/>
        <v>11</v>
      </c>
      <c r="F46" s="90">
        <v>1.0</v>
      </c>
      <c r="G46" s="91">
        <v>9.0</v>
      </c>
      <c r="H46" s="92">
        <v>0.0</v>
      </c>
      <c r="I46" s="91">
        <v>3.0</v>
      </c>
      <c r="J46" s="91">
        <v>1.0</v>
      </c>
      <c r="K46" s="91">
        <v>6.0</v>
      </c>
      <c r="L46" s="93">
        <v>10.0</v>
      </c>
      <c r="M46" s="91">
        <v>1.0</v>
      </c>
      <c r="N46" s="37">
        <f t="shared" ref="N46:O46" si="51">C46+L46</f>
        <v>195</v>
      </c>
      <c r="O46" s="37">
        <f t="shared" si="51"/>
        <v>15</v>
      </c>
      <c r="P46" s="49" t="s">
        <v>57</v>
      </c>
      <c r="Q46" s="49" t="s">
        <v>57</v>
      </c>
      <c r="R46" s="49" t="s">
        <v>57</v>
      </c>
      <c r="S46" s="51">
        <f t="shared" si="4"/>
        <v>16</v>
      </c>
      <c r="T46" s="52">
        <f t="shared" si="5"/>
        <v>0</v>
      </c>
      <c r="U46" s="52"/>
      <c r="V46" s="51">
        <f t="shared" si="6"/>
        <v>1</v>
      </c>
      <c r="W46" s="52">
        <f t="shared" si="7"/>
        <v>-10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138</v>
      </c>
      <c r="C47" s="37">
        <v>184.0</v>
      </c>
      <c r="D47" s="37">
        <v>14.0</v>
      </c>
      <c r="E47" s="40">
        <f t="shared" si="2"/>
        <v>11.81818182</v>
      </c>
      <c r="F47" s="90">
        <v>1.0</v>
      </c>
      <c r="G47" s="91">
        <v>9.0</v>
      </c>
      <c r="H47" s="92">
        <v>0.0</v>
      </c>
      <c r="I47" s="91">
        <v>3.0</v>
      </c>
      <c r="J47" s="91">
        <v>6.0</v>
      </c>
      <c r="K47" s="91">
        <v>2.0</v>
      </c>
      <c r="L47" s="93">
        <v>11.0</v>
      </c>
      <c r="M47" s="91">
        <v>1.0</v>
      </c>
      <c r="N47" s="37">
        <f t="shared" ref="N47:O47" si="52">C47+L47</f>
        <v>195</v>
      </c>
      <c r="O47" s="37">
        <f t="shared" si="52"/>
        <v>15</v>
      </c>
      <c r="P47" s="49" t="s">
        <v>57</v>
      </c>
      <c r="Q47" s="49" t="s">
        <v>57</v>
      </c>
      <c r="R47" s="49" t="s">
        <v>57</v>
      </c>
      <c r="S47" s="51">
        <f t="shared" si="4"/>
        <v>11</v>
      </c>
      <c r="T47" s="52">
        <f t="shared" si="5"/>
        <v>0</v>
      </c>
      <c r="U47" s="52"/>
      <c r="V47" s="51">
        <f t="shared" si="6"/>
        <v>6</v>
      </c>
      <c r="W47" s="52">
        <f t="shared" si="7"/>
        <v>-3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73</v>
      </c>
      <c r="C48" s="37">
        <v>184.0</v>
      </c>
      <c r="D48" s="37">
        <v>13.0</v>
      </c>
      <c r="E48" s="40">
        <f t="shared" si="2"/>
        <v>14.16666667</v>
      </c>
      <c r="F48" s="90">
        <v>1.0</v>
      </c>
      <c r="G48" s="91">
        <v>9.0</v>
      </c>
      <c r="H48" s="92">
        <v>0.0</v>
      </c>
      <c r="I48" s="91">
        <v>6.0</v>
      </c>
      <c r="J48" s="91">
        <v>6.0</v>
      </c>
      <c r="K48" s="91">
        <v>6.0</v>
      </c>
      <c r="L48" s="93">
        <v>18.0</v>
      </c>
      <c r="M48" s="91">
        <v>3.0</v>
      </c>
      <c r="N48" s="37">
        <f t="shared" ref="N48:O48" si="53">C48+L48</f>
        <v>202</v>
      </c>
      <c r="O48" s="37">
        <f t="shared" si="53"/>
        <v>16</v>
      </c>
      <c r="P48" s="49" t="s">
        <v>57</v>
      </c>
      <c r="Q48" s="49" t="s">
        <v>57</v>
      </c>
      <c r="R48" s="49" t="s">
        <v>57</v>
      </c>
      <c r="S48" s="51">
        <f t="shared" si="4"/>
        <v>6</v>
      </c>
      <c r="T48" s="52">
        <f t="shared" si="5"/>
        <v>0</v>
      </c>
      <c r="U48" s="52"/>
      <c r="V48" s="51">
        <f t="shared" si="6"/>
        <v>11</v>
      </c>
      <c r="W48" s="52">
        <f t="shared" si="7"/>
        <v>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118</v>
      </c>
      <c r="C49" s="37">
        <v>183.0</v>
      </c>
      <c r="D49" s="37">
        <v>13.0</v>
      </c>
      <c r="E49" s="40">
        <f t="shared" si="2"/>
        <v>11</v>
      </c>
      <c r="F49" s="90">
        <v>1.0</v>
      </c>
      <c r="G49" s="91">
        <v>7.0</v>
      </c>
      <c r="H49" s="92">
        <v>0.0</v>
      </c>
      <c r="I49" s="91">
        <v>1.0</v>
      </c>
      <c r="J49" s="91">
        <v>6.0</v>
      </c>
      <c r="K49" s="91">
        <v>5.0</v>
      </c>
      <c r="L49" s="93">
        <v>12.0</v>
      </c>
      <c r="M49" s="91">
        <v>1.0</v>
      </c>
      <c r="N49" s="37">
        <f t="shared" ref="N49:O49" si="54">C49+L49</f>
        <v>195</v>
      </c>
      <c r="O49" s="37">
        <f t="shared" si="54"/>
        <v>14</v>
      </c>
      <c r="P49" s="49" t="s">
        <v>57</v>
      </c>
      <c r="Q49" s="49" t="s">
        <v>57</v>
      </c>
      <c r="R49" s="49" t="s">
        <v>57</v>
      </c>
      <c r="S49" s="51">
        <f t="shared" si="4"/>
        <v>15</v>
      </c>
      <c r="T49" s="52">
        <f t="shared" si="5"/>
        <v>0</v>
      </c>
      <c r="U49" s="52"/>
      <c r="V49" s="51">
        <f t="shared" si="6"/>
        <v>2</v>
      </c>
      <c r="W49" s="52">
        <f t="shared" si="7"/>
        <v>-2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110</v>
      </c>
      <c r="C50" s="37">
        <v>181.0</v>
      </c>
      <c r="D50" s="37">
        <v>16.0</v>
      </c>
      <c r="E50" s="40">
        <f t="shared" si="2"/>
        <v>11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190</v>
      </c>
      <c r="O50" s="37">
        <f t="shared" si="55"/>
        <v>16</v>
      </c>
      <c r="P50" s="49" t="s">
        <v>57</v>
      </c>
      <c r="Q50" s="49" t="s">
        <v>57</v>
      </c>
      <c r="R50" s="49" t="s">
        <v>57</v>
      </c>
      <c r="S50" s="51">
        <f t="shared" si="4"/>
        <v>14</v>
      </c>
      <c r="T50" s="52">
        <f t="shared" si="5"/>
        <v>0</v>
      </c>
      <c r="U50" s="52"/>
      <c r="V50" s="51">
        <f t="shared" si="6"/>
        <v>3</v>
      </c>
      <c r="W50" s="52">
        <f t="shared" si="7"/>
        <v>-2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129</v>
      </c>
      <c r="C51" s="37">
        <v>177.0</v>
      </c>
      <c r="D51" s="37">
        <v>14.0</v>
      </c>
      <c r="E51" s="40">
        <f t="shared" si="2"/>
        <v>11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186</v>
      </c>
      <c r="O51" s="37">
        <f t="shared" si="56"/>
        <v>14</v>
      </c>
      <c r="P51" s="49" t="s">
        <v>57</v>
      </c>
      <c r="Q51" s="49" t="s">
        <v>57</v>
      </c>
      <c r="R51" s="49" t="s">
        <v>57</v>
      </c>
      <c r="S51" s="51">
        <f t="shared" si="4"/>
        <v>12</v>
      </c>
      <c r="T51" s="52">
        <f t="shared" si="5"/>
        <v>0</v>
      </c>
      <c r="U51" s="52"/>
      <c r="V51" s="51">
        <f t="shared" si="6"/>
        <v>5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54</v>
      </c>
      <c r="C52" s="37">
        <v>176.0</v>
      </c>
      <c r="D52" s="37">
        <v>11.0</v>
      </c>
      <c r="E52" s="40">
        <f t="shared" si="2"/>
        <v>12.83333333</v>
      </c>
      <c r="F52" s="90">
        <v>1.0</v>
      </c>
      <c r="G52" s="91">
        <v>7.0</v>
      </c>
      <c r="H52" s="92">
        <v>0.0</v>
      </c>
      <c r="I52" s="91">
        <v>6.0</v>
      </c>
      <c r="J52" s="91">
        <v>6.0</v>
      </c>
      <c r="K52" s="91">
        <v>7.0</v>
      </c>
      <c r="L52" s="93">
        <v>19.0</v>
      </c>
      <c r="M52" s="91">
        <v>3.0</v>
      </c>
      <c r="N52" s="37">
        <f t="shared" ref="N52:O52" si="57">C52+L52</f>
        <v>195</v>
      </c>
      <c r="O52" s="37">
        <f t="shared" si="57"/>
        <v>14</v>
      </c>
      <c r="P52" s="49" t="s">
        <v>57</v>
      </c>
      <c r="Q52" s="49" t="s">
        <v>57</v>
      </c>
      <c r="R52" s="49" t="s">
        <v>57</v>
      </c>
      <c r="S52" s="51">
        <f t="shared" si="4"/>
        <v>6</v>
      </c>
      <c r="T52" s="52">
        <f t="shared" si="5"/>
        <v>0</v>
      </c>
      <c r="U52" s="52"/>
      <c r="V52" s="51">
        <f t="shared" si="6"/>
        <v>11</v>
      </c>
      <c r="W52" s="52">
        <f t="shared" si="7"/>
        <v>0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152</v>
      </c>
      <c r="C53" s="37">
        <v>175.0</v>
      </c>
      <c r="D53" s="37">
        <v>16.0</v>
      </c>
      <c r="E53" s="40">
        <f t="shared" si="2"/>
        <v>11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184</v>
      </c>
      <c r="O53" s="37">
        <f t="shared" si="58"/>
        <v>16</v>
      </c>
      <c r="P53" s="49" t="s">
        <v>57</v>
      </c>
      <c r="Q53" s="49" t="s">
        <v>57</v>
      </c>
      <c r="R53" s="49" t="s">
        <v>57</v>
      </c>
      <c r="S53" s="51">
        <f t="shared" si="4"/>
        <v>11</v>
      </c>
      <c r="T53" s="52">
        <f t="shared" si="5"/>
        <v>0</v>
      </c>
      <c r="U53" s="52"/>
      <c r="V53" s="51">
        <f t="shared" si="6"/>
        <v>6</v>
      </c>
      <c r="W53" s="52">
        <f t="shared" si="7"/>
        <v>5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76</v>
      </c>
      <c r="C54" s="37">
        <v>173.0</v>
      </c>
      <c r="D54" s="37">
        <v>8.0</v>
      </c>
      <c r="E54" s="40">
        <f t="shared" si="2"/>
        <v>11.66666667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182</v>
      </c>
      <c r="O54" s="37">
        <f t="shared" si="59"/>
        <v>8</v>
      </c>
      <c r="P54" s="49" t="s">
        <v>57</v>
      </c>
      <c r="Q54" s="49" t="s">
        <v>57</v>
      </c>
      <c r="R54" s="49" t="s">
        <v>57</v>
      </c>
      <c r="S54" s="51">
        <f t="shared" si="4"/>
        <v>6</v>
      </c>
      <c r="T54" s="52">
        <f t="shared" si="5"/>
        <v>1</v>
      </c>
      <c r="U54" s="52"/>
      <c r="V54" s="51">
        <f t="shared" si="6"/>
        <v>10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140</v>
      </c>
      <c r="C55" s="37">
        <v>172.0</v>
      </c>
      <c r="D55" s="37">
        <v>11.0</v>
      </c>
      <c r="E55" s="40">
        <f t="shared" si="2"/>
        <v>10.72727273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181</v>
      </c>
      <c r="O55" s="37">
        <f t="shared" si="60"/>
        <v>11</v>
      </c>
      <c r="P55" s="49" t="s">
        <v>57</v>
      </c>
      <c r="Q55" s="49" t="s">
        <v>57</v>
      </c>
      <c r="R55" s="49" t="s">
        <v>57</v>
      </c>
      <c r="S55" s="51">
        <f t="shared" si="4"/>
        <v>11</v>
      </c>
      <c r="T55" s="52">
        <f t="shared" si="5"/>
        <v>0</v>
      </c>
      <c r="U55" s="52"/>
      <c r="V55" s="51">
        <f t="shared" si="6"/>
        <v>6</v>
      </c>
      <c r="W55" s="52">
        <f t="shared" si="7"/>
        <v>0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151</v>
      </c>
      <c r="C56" s="37">
        <v>171.0</v>
      </c>
      <c r="D56" s="37">
        <v>11.0</v>
      </c>
      <c r="E56" s="40">
        <f t="shared" si="2"/>
        <v>10.27272727</v>
      </c>
      <c r="F56" s="90">
        <v>1.0</v>
      </c>
      <c r="G56" s="91">
        <v>7.0</v>
      </c>
      <c r="H56" s="92">
        <v>0.0</v>
      </c>
      <c r="I56" s="91">
        <v>6.0</v>
      </c>
      <c r="J56" s="91">
        <v>3.0</v>
      </c>
      <c r="K56" s="91">
        <v>5.0</v>
      </c>
      <c r="L56" s="93">
        <v>14.0</v>
      </c>
      <c r="M56" s="91">
        <v>1.0</v>
      </c>
      <c r="N56" s="37">
        <f t="shared" ref="N56:O56" si="61">C56+L56</f>
        <v>185</v>
      </c>
      <c r="O56" s="37">
        <f t="shared" si="61"/>
        <v>12</v>
      </c>
      <c r="P56" s="49" t="s">
        <v>57</v>
      </c>
      <c r="Q56" s="49" t="s">
        <v>57</v>
      </c>
      <c r="R56" s="49" t="s">
        <v>57</v>
      </c>
      <c r="S56" s="51">
        <f t="shared" si="4"/>
        <v>11</v>
      </c>
      <c r="T56" s="52">
        <f t="shared" si="5"/>
        <v>1</v>
      </c>
      <c r="U56" s="52"/>
      <c r="V56" s="51">
        <f t="shared" si="6"/>
        <v>5</v>
      </c>
      <c r="W56" s="52">
        <f t="shared" si="7"/>
        <v>-2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147</v>
      </c>
      <c r="C57" s="37">
        <v>169.0</v>
      </c>
      <c r="D57" s="37">
        <v>6.0</v>
      </c>
      <c r="E57" s="40">
        <f t="shared" si="2"/>
        <v>11</v>
      </c>
      <c r="F57" s="90">
        <v>1.0</v>
      </c>
      <c r="G57" s="91">
        <v>7.0</v>
      </c>
      <c r="H57" s="92">
        <v>0.0</v>
      </c>
      <c r="I57" s="91">
        <v>1.0</v>
      </c>
      <c r="J57" s="91">
        <v>3.0</v>
      </c>
      <c r="K57" s="91">
        <v>7.0</v>
      </c>
      <c r="L57" s="93">
        <v>11.0</v>
      </c>
      <c r="M57" s="91">
        <v>1.0</v>
      </c>
      <c r="N57" s="37">
        <f t="shared" ref="N57:O57" si="62">C57+L57</f>
        <v>180</v>
      </c>
      <c r="O57" s="37">
        <f t="shared" si="62"/>
        <v>7</v>
      </c>
      <c r="P57" s="49" t="s">
        <v>57</v>
      </c>
      <c r="Q57" s="49" t="s">
        <v>57</v>
      </c>
      <c r="R57" s="49" t="s">
        <v>57</v>
      </c>
      <c r="S57" s="51">
        <f t="shared" si="4"/>
        <v>6</v>
      </c>
      <c r="T57" s="52">
        <f t="shared" si="5"/>
        <v>1</v>
      </c>
      <c r="U57" s="52"/>
      <c r="V57" s="51">
        <f t="shared" si="6"/>
        <v>10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116</v>
      </c>
      <c r="C58" s="37">
        <v>168.0</v>
      </c>
      <c r="D58" s="37">
        <v>11.0</v>
      </c>
      <c r="E58" s="40">
        <f t="shared" si="2"/>
        <v>9.882352941</v>
      </c>
      <c r="F58" s="90">
        <v>1.0</v>
      </c>
      <c r="G58" s="91">
        <v>8.0</v>
      </c>
      <c r="H58" s="92">
        <v>0.0</v>
      </c>
      <c r="I58" s="91">
        <v>6.0</v>
      </c>
      <c r="J58" s="91">
        <v>6.0</v>
      </c>
      <c r="K58" s="91">
        <v>2.0</v>
      </c>
      <c r="L58" s="93">
        <v>14.0</v>
      </c>
      <c r="M58" s="91">
        <v>1.0</v>
      </c>
      <c r="N58" s="37">
        <f t="shared" ref="N58:O58" si="63">C58+L58</f>
        <v>182</v>
      </c>
      <c r="O58" s="37">
        <f t="shared" si="63"/>
        <v>12</v>
      </c>
      <c r="P58" s="49" t="s">
        <v>57</v>
      </c>
      <c r="Q58" s="49" t="s">
        <v>57</v>
      </c>
      <c r="R58" s="49" t="s">
        <v>57</v>
      </c>
      <c r="S58" s="51">
        <f t="shared" si="4"/>
        <v>17</v>
      </c>
      <c r="T58" s="52">
        <f t="shared" si="5"/>
        <v>0</v>
      </c>
      <c r="U58" s="52"/>
      <c r="V58" s="51">
        <f t="shared" si="6"/>
        <v>0</v>
      </c>
      <c r="W58" s="52">
        <f t="shared" si="7"/>
        <v>4</v>
      </c>
      <c r="X58" s="35">
        <f t="shared" si="12"/>
        <v>54</v>
      </c>
      <c r="Y58" s="35" t="str">
        <f t="shared" si="8"/>
        <v>Y</v>
      </c>
      <c r="Z58" s="19" t="str">
        <f t="shared" si="9"/>
        <v/>
      </c>
    </row>
    <row r="59">
      <c r="A59" s="35">
        <f t="shared" si="10"/>
        <v>55</v>
      </c>
      <c r="B59" s="36" t="s">
        <v>153</v>
      </c>
      <c r="C59" s="37">
        <v>166.0</v>
      </c>
      <c r="D59" s="37">
        <v>7.0</v>
      </c>
      <c r="E59" s="40">
        <f t="shared" si="2"/>
        <v>11.6</v>
      </c>
      <c r="F59" s="90">
        <v>1.0</v>
      </c>
      <c r="G59" s="91">
        <v>8.0</v>
      </c>
      <c r="H59" s="92">
        <v>0.0</v>
      </c>
      <c r="I59" s="91">
        <v>6.0</v>
      </c>
      <c r="J59" s="91">
        <v>7.0</v>
      </c>
      <c r="K59" s="91">
        <v>6.0</v>
      </c>
      <c r="L59" s="93">
        <v>19.0</v>
      </c>
      <c r="M59" s="91">
        <v>3.0</v>
      </c>
      <c r="N59" s="37">
        <f t="shared" ref="N59:O59" si="64">C59+L59</f>
        <v>185</v>
      </c>
      <c r="O59" s="37">
        <f t="shared" si="64"/>
        <v>10</v>
      </c>
      <c r="P59" s="49" t="s">
        <v>57</v>
      </c>
      <c r="Q59" s="49" t="s">
        <v>57</v>
      </c>
      <c r="R59" s="49" t="s">
        <v>57</v>
      </c>
      <c r="S59" s="51">
        <f t="shared" si="4"/>
        <v>5</v>
      </c>
      <c r="T59" s="52">
        <f t="shared" si="5"/>
        <v>0</v>
      </c>
      <c r="U59" s="52"/>
      <c r="V59" s="51">
        <f t="shared" si="6"/>
        <v>12</v>
      </c>
      <c r="W59" s="52">
        <f t="shared" si="7"/>
        <v>-3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131</v>
      </c>
      <c r="C60" s="37">
        <v>164.0</v>
      </c>
      <c r="D60" s="37">
        <v>6.0</v>
      </c>
      <c r="E60" s="40">
        <f t="shared" si="2"/>
        <v>11.33333333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173</v>
      </c>
      <c r="O60" s="37">
        <f t="shared" si="65"/>
        <v>6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13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163.0</v>
      </c>
      <c r="D61" s="37">
        <v>7.0</v>
      </c>
      <c r="E61" s="40">
        <f t="shared" si="2"/>
        <v>10.5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172</v>
      </c>
      <c r="O61" s="37">
        <f t="shared" si="66"/>
        <v>7</v>
      </c>
      <c r="P61" s="49" t="s">
        <v>57</v>
      </c>
      <c r="Q61" s="49" t="s">
        <v>57</v>
      </c>
      <c r="R61" s="49" t="s">
        <v>57</v>
      </c>
      <c r="S61" s="51">
        <f t="shared" si="4"/>
        <v>4</v>
      </c>
      <c r="T61" s="52">
        <f t="shared" si="5"/>
        <v>1</v>
      </c>
      <c r="U61" s="52"/>
      <c r="V61" s="51">
        <f t="shared" si="6"/>
        <v>12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145</v>
      </c>
      <c r="C62" s="37">
        <v>161.0</v>
      </c>
      <c r="D62" s="37">
        <v>12.0</v>
      </c>
      <c r="E62" s="40">
        <f t="shared" si="2"/>
        <v>9.888888889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170</v>
      </c>
      <c r="O62" s="37">
        <f t="shared" si="67"/>
        <v>12</v>
      </c>
      <c r="P62" s="49" t="s">
        <v>57</v>
      </c>
      <c r="Q62" s="49" t="s">
        <v>57</v>
      </c>
      <c r="R62" s="49" t="s">
        <v>57</v>
      </c>
      <c r="S62" s="51">
        <f t="shared" si="4"/>
        <v>9</v>
      </c>
      <c r="T62" s="52">
        <f t="shared" si="5"/>
        <v>0</v>
      </c>
      <c r="U62" s="52"/>
      <c r="V62" s="51">
        <f t="shared" si="6"/>
        <v>8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100</v>
      </c>
      <c r="C63" s="37">
        <v>161.0</v>
      </c>
      <c r="D63" s="37">
        <v>6.0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170</v>
      </c>
      <c r="O63" s="37">
        <f t="shared" si="68"/>
        <v>6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14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154</v>
      </c>
      <c r="C64" s="37">
        <v>159.0</v>
      </c>
      <c r="D64" s="37">
        <v>6.0</v>
      </c>
      <c r="E64" s="40">
        <f t="shared" si="2"/>
        <v>10.2</v>
      </c>
      <c r="F64" s="90">
        <v>2.0</v>
      </c>
      <c r="G64" s="91">
        <v>8.0</v>
      </c>
      <c r="H64" s="92">
        <v>0.0</v>
      </c>
      <c r="I64" s="91">
        <v>0.0</v>
      </c>
      <c r="J64" s="91">
        <v>7.0</v>
      </c>
      <c r="K64" s="91">
        <v>2.0</v>
      </c>
      <c r="L64" s="93">
        <v>9.0</v>
      </c>
      <c r="M64" s="91">
        <v>1.0</v>
      </c>
      <c r="N64" s="37">
        <f t="shared" ref="N64:O64" si="69">C64+L64</f>
        <v>168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si="4"/>
        <v>5</v>
      </c>
      <c r="T64" s="52">
        <f t="shared" si="5"/>
        <v>0</v>
      </c>
      <c r="U64" s="52"/>
      <c r="V64" s="51">
        <f t="shared" si="6"/>
        <v>12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133</v>
      </c>
      <c r="C65" s="37">
        <v>157.0</v>
      </c>
      <c r="D65" s="37">
        <v>5.0</v>
      </c>
      <c r="E65" s="40">
        <f t="shared" si="2"/>
        <v>9.5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166</v>
      </c>
      <c r="O65" s="37">
        <f t="shared" si="70"/>
        <v>5</v>
      </c>
      <c r="P65" s="49" t="s">
        <v>57</v>
      </c>
      <c r="Q65" s="49" t="s">
        <v>57</v>
      </c>
      <c r="R65" s="49" t="s">
        <v>57</v>
      </c>
      <c r="S65" s="51">
        <f t="shared" si="4"/>
        <v>8</v>
      </c>
      <c r="T65" s="52">
        <f t="shared" si="5"/>
        <v>0</v>
      </c>
      <c r="U65" s="52"/>
      <c r="V65" s="51">
        <f t="shared" si="6"/>
        <v>9</v>
      </c>
      <c r="W65" s="52">
        <f t="shared" si="7"/>
        <v>7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136</v>
      </c>
      <c r="C66" s="37">
        <v>155.0</v>
      </c>
      <c r="D66" s="37">
        <v>5.0</v>
      </c>
      <c r="E66" s="40">
        <f t="shared" si="2"/>
        <v>9.333333333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164</v>
      </c>
      <c r="O66" s="37">
        <f t="shared" si="71"/>
        <v>5</v>
      </c>
      <c r="P66" s="49" t="s">
        <v>57</v>
      </c>
      <c r="Q66" s="49" t="s">
        <v>57</v>
      </c>
      <c r="R66" s="49" t="s">
        <v>57</v>
      </c>
      <c r="S66" s="51">
        <f t="shared" si="4"/>
        <v>6</v>
      </c>
      <c r="T66" s="52">
        <f t="shared" si="5"/>
        <v>0</v>
      </c>
      <c r="U66" s="52"/>
      <c r="V66" s="51">
        <f t="shared" si="6"/>
        <v>11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98</v>
      </c>
      <c r="C67" s="37">
        <v>155.0</v>
      </c>
      <c r="D67" s="37">
        <v>5.0</v>
      </c>
      <c r="E67" s="40">
        <f t="shared" si="2"/>
        <v>8.777777778</v>
      </c>
      <c r="F67" s="90">
        <v>1.0</v>
      </c>
      <c r="G67" s="91">
        <v>8.0</v>
      </c>
      <c r="H67" s="92">
        <v>0.0</v>
      </c>
      <c r="I67" s="91">
        <v>0.0</v>
      </c>
      <c r="J67" s="91">
        <v>6.0</v>
      </c>
      <c r="K67" s="91">
        <v>6.0</v>
      </c>
      <c r="L67" s="93">
        <v>12.0</v>
      </c>
      <c r="M67" s="91">
        <v>1.0</v>
      </c>
      <c r="N67" s="37">
        <f t="shared" ref="N67:O67" si="72">C67+L67</f>
        <v>167</v>
      </c>
      <c r="O67" s="37">
        <f t="shared" si="72"/>
        <v>6</v>
      </c>
      <c r="P67" s="49" t="s">
        <v>57</v>
      </c>
      <c r="Q67" s="49" t="s">
        <v>57</v>
      </c>
      <c r="R67" s="49" t="s">
        <v>57</v>
      </c>
      <c r="S67" s="51">
        <f t="shared" si="4"/>
        <v>9</v>
      </c>
      <c r="T67" s="52">
        <f t="shared" si="5"/>
        <v>1</v>
      </c>
      <c r="U67" s="52"/>
      <c r="V67" s="51">
        <f t="shared" si="6"/>
        <v>7</v>
      </c>
      <c r="W67" s="52">
        <f t="shared" si="7"/>
        <v>7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146</v>
      </c>
      <c r="C68" s="37">
        <v>155.0</v>
      </c>
      <c r="D68" s="37">
        <v>4.0</v>
      </c>
      <c r="E68" s="40">
        <f t="shared" si="2"/>
        <v>8.333333333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164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3</v>
      </c>
      <c r="T68" s="52">
        <f t="shared" si="5"/>
        <v>1</v>
      </c>
      <c r="U68" s="52"/>
      <c r="V68" s="51">
        <f t="shared" si="6"/>
        <v>13</v>
      </c>
      <c r="W68" s="52">
        <f t="shared" si="7"/>
        <v>-2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125</v>
      </c>
      <c r="C69" s="37">
        <v>154.0</v>
      </c>
      <c r="D69" s="37">
        <v>3.0</v>
      </c>
      <c r="E69" s="40">
        <f t="shared" si="2"/>
        <v>10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163</v>
      </c>
      <c r="O69" s="37">
        <f t="shared" si="74"/>
        <v>3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16</v>
      </c>
      <c r="W69" s="52">
        <f t="shared" si="7"/>
        <v>-2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78</v>
      </c>
      <c r="C70" s="37">
        <v>154.0</v>
      </c>
      <c r="D70" s="37">
        <v>2.0</v>
      </c>
      <c r="E70" s="40">
        <f t="shared" si="2"/>
        <v>6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163</v>
      </c>
      <c r="O70" s="37">
        <f t="shared" si="75"/>
        <v>2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1</v>
      </c>
      <c r="U70" s="52"/>
      <c r="V70" s="51">
        <f t="shared" si="6"/>
        <v>15</v>
      </c>
      <c r="W70" s="52">
        <f t="shared" si="7"/>
        <v>-2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148</v>
      </c>
      <c r="C71" s="37">
        <v>153.0</v>
      </c>
      <c r="D71" s="37">
        <v>3.0</v>
      </c>
      <c r="E71" s="40">
        <f t="shared" si="2"/>
        <v>9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162</v>
      </c>
      <c r="O71" s="37">
        <f t="shared" si="76"/>
        <v>3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16</v>
      </c>
      <c r="W71" s="52">
        <f t="shared" si="7"/>
        <v>-2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149</v>
      </c>
      <c r="C72" s="37">
        <v>152.0</v>
      </c>
      <c r="D72" s="37">
        <v>7.0</v>
      </c>
      <c r="E72" s="40">
        <f t="shared" si="2"/>
        <v>8.833333333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161</v>
      </c>
      <c r="O72" s="37">
        <f t="shared" si="77"/>
        <v>7</v>
      </c>
      <c r="P72" s="49" t="s">
        <v>57</v>
      </c>
      <c r="Q72" s="49" t="s">
        <v>57</v>
      </c>
      <c r="R72" s="49" t="s">
        <v>57</v>
      </c>
      <c r="S72" s="51">
        <f t="shared" si="4"/>
        <v>6</v>
      </c>
      <c r="T72" s="52">
        <f t="shared" si="5"/>
        <v>0</v>
      </c>
      <c r="U72" s="52"/>
      <c r="V72" s="51">
        <f t="shared" si="6"/>
        <v>11</v>
      </c>
      <c r="W72" s="52">
        <f t="shared" si="7"/>
        <v>-2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106</v>
      </c>
      <c r="C73" s="37">
        <v>150.0</v>
      </c>
      <c r="D73" s="37">
        <v>1.0</v>
      </c>
      <c r="E73" s="40">
        <f t="shared" si="2"/>
        <v>6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159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16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144</v>
      </c>
      <c r="C74" s="37">
        <v>148.0</v>
      </c>
      <c r="D74" s="37">
        <v>6.0</v>
      </c>
      <c r="E74" s="40">
        <f t="shared" si="2"/>
        <v>8.375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157</v>
      </c>
      <c r="O74" s="37">
        <f t="shared" si="79"/>
        <v>6</v>
      </c>
      <c r="P74" s="49" t="s">
        <v>57</v>
      </c>
      <c r="Q74" s="49" t="s">
        <v>57</v>
      </c>
      <c r="R74" s="49" t="s">
        <v>57</v>
      </c>
      <c r="S74" s="51">
        <f t="shared" si="4"/>
        <v>8</v>
      </c>
      <c r="T74" s="52">
        <f t="shared" si="5"/>
        <v>0</v>
      </c>
      <c r="U74" s="52"/>
      <c r="V74" s="51">
        <f t="shared" si="6"/>
        <v>9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124</v>
      </c>
      <c r="C75" s="37">
        <v>146.0</v>
      </c>
      <c r="D75" s="37">
        <v>1.0</v>
      </c>
      <c r="E75" s="40">
        <f t="shared" si="2"/>
        <v>2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155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16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141</v>
      </c>
      <c r="C76" s="37">
        <v>144.0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153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17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105</v>
      </c>
      <c r="C77" s="37">
        <v>144.0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153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17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150</v>
      </c>
      <c r="C78" s="37">
        <v>144.0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153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17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87</v>
      </c>
      <c r="C79" s="37">
        <v>144.0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153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1</v>
      </c>
      <c r="T79" s="52">
        <f t="shared" si="5"/>
        <v>0</v>
      </c>
      <c r="U79" s="52"/>
      <c r="V79" s="51">
        <f t="shared" si="6"/>
        <v>16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04/25/26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Yao")</f>
        <v>Andrew Yao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IFERROR(__xludf.DUMMYFUNCTION("""COMPUTED_VALUE"""),1.0)</f>
        <v>1</v>
      </c>
      <c r="F91" s="5"/>
    </row>
    <row r="92">
      <c r="A92" s="5"/>
      <c r="B92" s="36" t="str">
        <f>IFERROR(__xludf.DUMMYFUNCTION("""COMPUTED_VALUE"""),"Matthew Huang")</f>
        <v>Matthew Huang</v>
      </c>
      <c r="C92" s="122">
        <f>IFERROR(__xludf.DUMMYFUNCTION("""COMPUTED_VALUE"""),20.0)</f>
        <v>20</v>
      </c>
      <c r="D92" s="122">
        <f>IFERROR(__xludf.DUMMYFUNCTION("""COMPUTED_VALUE"""),3.0)</f>
        <v>3</v>
      </c>
      <c r="E92" s="122">
        <f>IFERROR(__xludf.DUMMYFUNCTION("""COMPUTED_VALUE"""),3.0)</f>
        <v>3</v>
      </c>
      <c r="F92" s="5"/>
    </row>
    <row r="93">
      <c r="A93" s="5"/>
      <c r="B93" s="36" t="str">
        <f>IFERROR(__xludf.DUMMYFUNCTION("""COMPUTED_VALUE"""),"Herman Au")</f>
        <v>Herman Au</v>
      </c>
      <c r="C93" s="122">
        <f>IFERROR(__xludf.DUMMYFUNCTION("""COMPUTED_VALUE"""),20.0)</f>
        <v>20</v>
      </c>
      <c r="D93" s="122">
        <f>IFERROR(__xludf.DUMMYFUNCTION("""COMPUTED_VALUE"""),3.0)</f>
        <v>3</v>
      </c>
      <c r="E93" s="122">
        <f>IFERROR(__xludf.DUMMYFUNCTION("""COMPUTED_VALUE"""),4.0)</f>
        <v>4</v>
      </c>
      <c r="F93" s="5"/>
    </row>
    <row r="94">
      <c r="A94" s="5"/>
      <c r="B94" s="36" t="str">
        <f>IFERROR(__xludf.DUMMYFUNCTION("""COMPUTED_VALUE"""),"Vinaya Kajla")</f>
        <v>Vinaya Kajla</v>
      </c>
      <c r="C94" s="122">
        <f>IFERROR(__xludf.DUMMYFUNCTION("""COMPUTED_VALUE"""),20.0)</f>
        <v>20</v>
      </c>
      <c r="D94" s="122">
        <f>IFERROR(__xludf.DUMMYFUNCTION("""COMPUTED_VALUE"""),3.0)</f>
        <v>3</v>
      </c>
      <c r="E94" s="122">
        <f>IFERROR(__xludf.DUMMYFUNCTION("""COMPUTED_VALUE"""),8.0)</f>
        <v>8</v>
      </c>
      <c r="F94" s="5"/>
    </row>
    <row r="95">
      <c r="A95" s="5"/>
      <c r="B95" s="36" t="str">
        <f>IFERROR(__xludf.DUMMYFUNCTION("""COMPUTED_VALUE"""),"Chinna Ponnaganti")</f>
        <v>Chinna Ponnaganti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IFERROR(__xludf.DUMMYFUNCTION("""COMPUTED_VALUE"""),6.0)</f>
        <v>6</v>
      </c>
      <c r="F95" s="5"/>
    </row>
    <row r="96">
      <c r="A96" s="5"/>
      <c r="B96" s="36" t="str">
        <f>IFERROR(__xludf.DUMMYFUNCTION("""COMPUTED_VALUE"""),"Lam Bui")</f>
        <v>Lam Bui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IFERROR(__xludf.DUMMYFUNCTION("""COMPUTED_VALUE"""),7.0)</f>
        <v>7</v>
      </c>
      <c r="F96" s="5"/>
    </row>
    <row r="97">
      <c r="A97" s="5"/>
      <c r="B97" s="36" t="str">
        <f>IFERROR(__xludf.DUMMYFUNCTION("""COMPUTED_VALUE"""),"Tom Le")</f>
        <v>Tom Le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IFERROR(__xludf.DUMMYFUNCTION("""COMPUTED_VALUE"""),10.0)</f>
        <v>10</v>
      </c>
      <c r="F97" s="5"/>
    </row>
    <row r="98">
      <c r="A98" s="5"/>
      <c r="B98" s="36" t="str">
        <f>IFERROR(__xludf.DUMMYFUNCTION("""COMPUTED_VALUE"""),"Rajasekar Ramasamy")</f>
        <v>Rajasekar Ramasamy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IFERROR(__xludf.DUMMYFUNCTION("""COMPUTED_VALUE"""),9.0)</f>
        <v>9</v>
      </c>
      <c r="F98" s="5"/>
    </row>
    <row r="99">
      <c r="A99" s="5"/>
      <c r="B99" s="36" t="str">
        <f>IFERROR(__xludf.DUMMYFUNCTION("""COMPUTED_VALUE"""),"Luis Hsu")</f>
        <v>Luis Hsu</v>
      </c>
      <c r="C99" s="122">
        <f>IFERROR(__xludf.DUMMYFUNCTION("""COMPUTED_VALUE"""),18.0)</f>
        <v>18</v>
      </c>
      <c r="D99" s="122">
        <f>IFERROR(__xludf.DUMMYFUNCTION("""COMPUTED_VALUE"""),1.0)</f>
        <v>1</v>
      </c>
      <c r="E99" s="122">
        <f>IFERROR(__xludf.DUMMYFUNCTION("""COMPUTED_VALUE"""),4.0)</f>
        <v>4</v>
      </c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10"")"),"Lam Bui")</f>
        <v>Lam Bui</v>
      </c>
      <c r="C110" s="122">
        <f>IFERROR(__xludf.DUMMYFUNCTION("""COMPUTED_VALUE"""),10.0)</f>
        <v>10</v>
      </c>
      <c r="D110" s="122">
        <f t="shared" ref="D110:D119" si="85">VLOOKUP(B110,indirect($AC$2&amp;"!B$5:X$79"),23, false)</f>
        <v>45</v>
      </c>
      <c r="E110" s="122">
        <f t="shared" ref="E110:E119" si="86">VLOOKUP(B110,B$5:X$79,23, false)</f>
        <v>35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7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IFERROR(__xludf.DUMMYFUNCTION("""COMPUTED_VALUE"""),"Herman Au")</f>
        <v>Herman Au</v>
      </c>
      <c r="C111" s="122">
        <f>IFERROR(__xludf.DUMMYFUNCTION("""COMPUTED_VALUE"""),9.0)</f>
        <v>9</v>
      </c>
      <c r="D111" s="122">
        <f t="shared" si="85"/>
        <v>26</v>
      </c>
      <c r="E111" s="122">
        <f t="shared" si="86"/>
        <v>17</v>
      </c>
      <c r="F111" s="122">
        <f t="shared" si="87"/>
        <v>20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IFERROR(__xludf.DUMMYFUNCTION("""COMPUTED_VALUE"""),"Luis Hsu")</f>
        <v>Luis Hsu</v>
      </c>
      <c r="C112" s="122">
        <f>IFERROR(__xludf.DUMMYFUNCTION("""COMPUTED_VALUE"""),7.0)</f>
        <v>7</v>
      </c>
      <c r="D112" s="122">
        <f t="shared" si="85"/>
        <v>29</v>
      </c>
      <c r="E112" s="122">
        <f t="shared" si="86"/>
        <v>22</v>
      </c>
      <c r="F112" s="122">
        <f t="shared" si="87"/>
        <v>18</v>
      </c>
      <c r="G112" s="122">
        <f t="shared" si="88"/>
        <v>4</v>
      </c>
      <c r="L112" s="122" t="str">
        <f t="shared" si="89"/>
        <v>ok</v>
      </c>
    </row>
    <row r="113">
      <c r="A113" s="5"/>
      <c r="B113" s="36" t="str">
        <f>IFERROR(__xludf.DUMMYFUNCTION("""COMPUTED_VALUE"""),"Chinna Ponnaganti")</f>
        <v>Chinna Ponnaganti</v>
      </c>
      <c r="C113" s="122">
        <f>IFERROR(__xludf.DUMMYFUNCTION("""COMPUTED_VALUE"""),7.0)</f>
        <v>7</v>
      </c>
      <c r="D113" s="122">
        <f t="shared" si="85"/>
        <v>38</v>
      </c>
      <c r="E113" s="122">
        <f t="shared" si="86"/>
        <v>31</v>
      </c>
      <c r="F113" s="122">
        <f t="shared" si="87"/>
        <v>18</v>
      </c>
      <c r="G113" s="122">
        <f t="shared" si="88"/>
        <v>6</v>
      </c>
      <c r="L113" s="122" t="str">
        <f t="shared" si="89"/>
        <v>ok</v>
      </c>
    </row>
    <row r="114">
      <c r="A114" s="5"/>
      <c r="B114" s="36" t="str">
        <f>IFERROR(__xludf.DUMMYFUNCTION("""COMPUTED_VALUE"""),"Joyce Zhu")</f>
        <v>Joyce Zhu</v>
      </c>
      <c r="C114" s="122">
        <f>IFERROR(__xludf.DUMMYFUNCTION("""COMPUTED_VALUE"""),7.0)</f>
        <v>7</v>
      </c>
      <c r="D114" s="122">
        <f t="shared" si="85"/>
        <v>68</v>
      </c>
      <c r="E114" s="122">
        <f t="shared" si="86"/>
        <v>61</v>
      </c>
      <c r="F114" s="122">
        <f t="shared" si="87"/>
        <v>17</v>
      </c>
      <c r="G114" s="122">
        <f t="shared" si="88"/>
        <v>8</v>
      </c>
      <c r="L114" s="122" t="str">
        <f t="shared" si="89"/>
        <v>ok</v>
      </c>
    </row>
    <row r="115">
      <c r="A115" s="5"/>
      <c r="B115" s="36" t="str">
        <f>IFERROR(__xludf.DUMMYFUNCTION("""COMPUTED_VALUE"""),"Camille Jung")</f>
        <v>Camille Jung</v>
      </c>
      <c r="C115" s="122">
        <f>IFERROR(__xludf.DUMMYFUNCTION("""COMPUTED_VALUE"""),7.0)</f>
        <v>7</v>
      </c>
      <c r="D115" s="122">
        <f t="shared" si="85"/>
        <v>70</v>
      </c>
      <c r="E115" s="122">
        <f t="shared" si="86"/>
        <v>63</v>
      </c>
      <c r="F115" s="122">
        <f t="shared" si="87"/>
        <v>17</v>
      </c>
      <c r="G115" s="122">
        <f t="shared" si="88"/>
        <v>8</v>
      </c>
      <c r="L115" s="122" t="str">
        <f t="shared" si="89"/>
        <v>ok</v>
      </c>
    </row>
    <row r="116">
      <c r="A116" s="5"/>
      <c r="B116" s="36" t="str">
        <f>IFERROR(__xludf.DUMMYFUNCTION("""COMPUTED_VALUE"""),"Rajasekar Ramasamy")</f>
        <v>Rajasekar Ramasamy</v>
      </c>
      <c r="C116" s="122">
        <f>IFERROR(__xludf.DUMMYFUNCTION("""COMPUTED_VALUE"""),6.0)</f>
        <v>6</v>
      </c>
      <c r="D116" s="122">
        <f t="shared" si="85"/>
        <v>24</v>
      </c>
      <c r="E116" s="122">
        <f t="shared" si="86"/>
        <v>18</v>
      </c>
      <c r="F116" s="122">
        <f t="shared" si="87"/>
        <v>18</v>
      </c>
      <c r="G116" s="122">
        <f t="shared" si="88"/>
        <v>9</v>
      </c>
      <c r="L116" s="122" t="str">
        <f t="shared" si="89"/>
        <v>ok</v>
      </c>
    </row>
    <row r="117">
      <c r="A117" s="5"/>
      <c r="B117" s="36" t="str">
        <f>IFERROR(__xludf.DUMMYFUNCTION("""COMPUTED_VALUE"""),"Wayne Liu")</f>
        <v>Wayne Liu</v>
      </c>
      <c r="C117" s="122">
        <f>IFERROR(__xludf.DUMMYFUNCTION("""COMPUTED_VALUE"""),6.0)</f>
        <v>6</v>
      </c>
      <c r="D117" s="122">
        <f t="shared" si="85"/>
        <v>25</v>
      </c>
      <c r="E117" s="122">
        <f t="shared" si="86"/>
        <v>19</v>
      </c>
      <c r="F117" s="122">
        <f t="shared" si="87"/>
        <v>16</v>
      </c>
      <c r="G117" s="122">
        <f t="shared" si="88"/>
        <v>9</v>
      </c>
      <c r="L117" s="122" t="str">
        <f t="shared" si="89"/>
        <v>ok</v>
      </c>
    </row>
    <row r="118">
      <c r="A118" s="5"/>
      <c r="B118" s="36" t="str">
        <f>IFERROR(__xludf.DUMMYFUNCTION("""COMPUTED_VALUE"""),"Matthew Huang")</f>
        <v>Matthew Huang</v>
      </c>
      <c r="C118" s="122">
        <f>IFERROR(__xludf.DUMMYFUNCTION("""COMPUTED_VALUE"""),5.0)</f>
        <v>5</v>
      </c>
      <c r="D118" s="122">
        <f t="shared" si="85"/>
        <v>15</v>
      </c>
      <c r="E118" s="122">
        <f t="shared" si="86"/>
        <v>10</v>
      </c>
      <c r="F118" s="122">
        <f t="shared" si="87"/>
        <v>20</v>
      </c>
      <c r="G118" s="122">
        <f t="shared" si="88"/>
        <v>3</v>
      </c>
      <c r="L118" s="122" t="str">
        <f t="shared" si="89"/>
        <v>ok</v>
      </c>
    </row>
    <row r="119">
      <c r="A119" s="5"/>
      <c r="B119" s="36" t="str">
        <f>IFERROR(__xludf.DUMMYFUNCTION("""COMPUTED_VALUE"""),"Vinaya Kajla")</f>
        <v>Vinaya Kajla</v>
      </c>
      <c r="C119" s="122">
        <f>IFERROR(__xludf.DUMMYFUNCTION("""COMPUTED_VALUE"""),5.0)</f>
        <v>5</v>
      </c>
      <c r="D119" s="122">
        <f t="shared" si="85"/>
        <v>54</v>
      </c>
      <c r="E119" s="122">
        <f t="shared" si="86"/>
        <v>49</v>
      </c>
      <c r="F119" s="122">
        <f t="shared" si="87"/>
        <v>20</v>
      </c>
      <c r="G119" s="122">
        <f t="shared" si="88"/>
        <v>8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17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244</v>
      </c>
      <c r="D128" s="122">
        <f t="shared" si="90"/>
        <v>32</v>
      </c>
      <c r="E128" s="122">
        <f t="shared" si="90"/>
        <v>15.06666667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242</v>
      </c>
      <c r="D129" s="122">
        <f t="shared" si="91"/>
        <v>29</v>
      </c>
      <c r="E129" s="122">
        <f t="shared" si="91"/>
        <v>14.93333333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228</v>
      </c>
      <c r="D130" s="122">
        <f t="shared" si="92"/>
        <v>24</v>
      </c>
      <c r="E130" s="122">
        <f t="shared" si="92"/>
        <v>13.41176471</v>
      </c>
      <c r="F130" s="5"/>
    </row>
    <row r="131">
      <c r="A131" s="122">
        <f t="shared" ref="A131:E131" si="93">A8</f>
        <v>4</v>
      </c>
      <c r="B131" s="36" t="str">
        <f t="shared" si="93"/>
        <v>Ethan Gu</v>
      </c>
      <c r="C131" s="122">
        <f t="shared" si="93"/>
        <v>223</v>
      </c>
      <c r="D131" s="122">
        <f t="shared" si="93"/>
        <v>18</v>
      </c>
      <c r="E131" s="122">
        <f t="shared" si="93"/>
        <v>14.38461538</v>
      </c>
      <c r="F131" s="5"/>
    </row>
    <row r="132">
      <c r="A132" s="122">
        <f t="shared" ref="A132:E132" si="94">A9</f>
        <v>5</v>
      </c>
      <c r="B132" s="36" t="str">
        <f t="shared" si="94"/>
        <v>Pavan Akkimsetty</v>
      </c>
      <c r="C132" s="122">
        <f t="shared" si="94"/>
        <v>219</v>
      </c>
      <c r="D132" s="122">
        <f t="shared" si="94"/>
        <v>21</v>
      </c>
      <c r="E132" s="122">
        <f t="shared" si="94"/>
        <v>14.16666667</v>
      </c>
      <c r="F132" s="5"/>
    </row>
    <row r="133">
      <c r="A133" s="122">
        <f t="shared" ref="A133:E133" si="95">A10</f>
        <v>6</v>
      </c>
      <c r="B133" s="36" t="str">
        <f t="shared" si="95"/>
        <v>Sandeep Kamalon</v>
      </c>
      <c r="C133" s="122">
        <f t="shared" si="95"/>
        <v>218</v>
      </c>
      <c r="D133" s="122">
        <f t="shared" si="95"/>
        <v>21</v>
      </c>
      <c r="E133" s="122">
        <f t="shared" si="95"/>
        <v>13.64285714</v>
      </c>
      <c r="F133" s="5"/>
    </row>
    <row r="134">
      <c r="A134" s="122">
        <f t="shared" ref="A134:E134" si="96">A11</f>
        <v>7</v>
      </c>
      <c r="B134" s="36" t="str">
        <f t="shared" si="96"/>
        <v>David Shin</v>
      </c>
      <c r="C134" s="122">
        <f t="shared" si="96"/>
        <v>213</v>
      </c>
      <c r="D134" s="122">
        <f t="shared" si="96"/>
        <v>23</v>
      </c>
      <c r="E134" s="122">
        <f t="shared" si="96"/>
        <v>13</v>
      </c>
      <c r="F134" s="5"/>
    </row>
    <row r="135">
      <c r="A135" s="122">
        <f t="shared" ref="A135:E135" si="97">A12</f>
        <v>8</v>
      </c>
      <c r="B135" s="36" t="str">
        <f t="shared" si="97"/>
        <v>Rudy Tatang</v>
      </c>
      <c r="C135" s="122">
        <f t="shared" si="97"/>
        <v>213</v>
      </c>
      <c r="D135" s="122">
        <f t="shared" si="97"/>
        <v>20</v>
      </c>
      <c r="E135" s="122">
        <f t="shared" si="97"/>
        <v>14</v>
      </c>
      <c r="F135" s="5"/>
    </row>
    <row r="136">
      <c r="A136" s="122">
        <f t="shared" ref="A136:E136" si="98">A13</f>
        <v>9</v>
      </c>
      <c r="B136" s="36" t="str">
        <f t="shared" si="98"/>
        <v>Jaya Sogata</v>
      </c>
      <c r="C136" s="122">
        <f t="shared" si="98"/>
        <v>213</v>
      </c>
      <c r="D136" s="122">
        <f t="shared" si="98"/>
        <v>20</v>
      </c>
      <c r="E136" s="122">
        <f t="shared" si="98"/>
        <v>13.66666667</v>
      </c>
      <c r="F136" s="5"/>
    </row>
    <row r="137">
      <c r="A137" s="122">
        <f t="shared" ref="A137:E137" si="99">A14</f>
        <v>10</v>
      </c>
      <c r="B137" s="36" t="str">
        <f t="shared" si="99"/>
        <v>Matthew Huang</v>
      </c>
      <c r="C137" s="122">
        <f t="shared" si="99"/>
        <v>211</v>
      </c>
      <c r="D137" s="122">
        <f t="shared" si="99"/>
        <v>20</v>
      </c>
      <c r="E137" s="122">
        <f t="shared" si="99"/>
        <v>14.8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IFERROR(__xludf.DUMMYFUNCTION("""COMPUTED_VALUE"""),"Frank Moon")</f>
        <v>Frank Moon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IFERROR(__xludf.DUMMYFUNCTION("""COMPUTED_VALUE"""),"Suleman Alidina")</f>
        <v>Suleman Alidina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IFERROR(__xludf.DUMMYFUNCTION("""COMPUTED_VALUE"""),"Wayne Liu")</f>
        <v>Wayne Liu</v>
      </c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04/25/26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IFERROR(__xludf.DUMMYFUNCTION("""COMPUTED_VALUE"""),"Pulkit Mathur")</f>
        <v>Pulkit Mathur</v>
      </c>
      <c r="C250" s="132">
        <f>IFERROR(__xludf.DUMMYFUNCTION("""COMPUTED_VALUE"""),3.0)</f>
        <v>3</v>
      </c>
      <c r="D250" s="132">
        <f>IFERROR(__xludf.DUMMYFUNCTION("""COMPUTED_VALUE"""),5.0)</f>
        <v>5</v>
      </c>
      <c r="E250" s="132">
        <f>IFERROR(__xludf.DUMMYFUNCTION("""COMPUTED_VALUE"""),7.0)</f>
        <v>7</v>
      </c>
      <c r="F250" s="132">
        <f>IFERROR(__xludf.DUMMYFUNCTION("""COMPUTED_VALUE"""),15.0)</f>
        <v>15</v>
      </c>
      <c r="G250" s="132">
        <f>IFERROR(__xludf.DUMMYFUNCTION("""COMPUTED_VALUE"""),1.0)</f>
        <v>1</v>
      </c>
    </row>
    <row r="251">
      <c r="A251" s="122">
        <f>IFERROR(__xludf.DUMMYFUNCTION("""COMPUTED_VALUE"""),1.0)</f>
        <v>1</v>
      </c>
      <c r="B251" s="36" t="str">
        <f>IFERROR(__xludf.DUMMYFUNCTION("""COMPUTED_VALUE"""),"Andrew Yao")</f>
        <v>Andrew Yao</v>
      </c>
      <c r="C251" s="132">
        <f>IFERROR(__xludf.DUMMYFUNCTION("""COMPUTED_VALUE"""),6.0)</f>
        <v>6</v>
      </c>
      <c r="D251" s="132">
        <f>IFERROR(__xludf.DUMMYFUNCTION("""COMPUTED_VALUE"""),7.0)</f>
        <v>7</v>
      </c>
      <c r="E251" s="132">
        <f>IFERROR(__xludf.DUMMYFUNCTION("""COMPUTED_VALUE"""),7.0)</f>
        <v>7</v>
      </c>
      <c r="F251" s="132">
        <f>IFERROR(__xludf.DUMMYFUNCTION("""COMPUTED_VALUE"""),20.0)</f>
        <v>20</v>
      </c>
      <c r="G251" s="132">
        <f>IFERROR(__xludf.DUMMYFUNCTION("""COMPUTED_VALUE"""),3.0)</f>
        <v>3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IFERROR(__xludf.DUMMYFUNCTION("""COMPUTED_VALUE"""),3.0)</f>
        <v>3</v>
      </c>
      <c r="D252" s="132">
        <f>IFERROR(__xludf.DUMMYFUNCTION("""COMPUTED_VALUE"""),7.0)</f>
        <v>7</v>
      </c>
      <c r="E252" s="132">
        <f>IFERROR(__xludf.DUMMYFUNCTION("""COMPUTED_VALUE"""),6.0)</f>
        <v>6</v>
      </c>
      <c r="F252" s="132">
        <f>IFERROR(__xludf.DUMMYFUNCTION("""COMPUTED_VALUE"""),16.0)</f>
        <v>16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IFERROR(__xludf.DUMMYFUNCTION("""COMPUTED_VALUE"""),"Ethan Gu")</f>
        <v>Ethan Gu</v>
      </c>
      <c r="C253" s="132">
        <f>IFERROR(__xludf.DUMMYFUNCTION("""COMPUTED_VALUE"""),6.0)</f>
        <v>6</v>
      </c>
      <c r="D253" s="132">
        <f>IFERROR(__xludf.DUMMYFUNCTION("""COMPUTED_VALUE"""),5.0)</f>
        <v>5</v>
      </c>
      <c r="E253" s="132">
        <f>IFERROR(__xludf.DUMMYFUNCTION("""COMPUTED_VALUE"""),6.0)</f>
        <v>6</v>
      </c>
      <c r="F253" s="132">
        <f>IFERROR(__xludf.DUMMYFUNCTION("""COMPUTED_VALUE"""),17.0)</f>
        <v>17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IFERROR(__xludf.DUMMYFUNCTION("""COMPUTED_VALUE"""),"Pavan Akkimsetty")</f>
        <v>Pavan Akkimsetty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IFERROR(__xludf.DUMMYFUNCTION("""COMPUTED_VALUE"""),4.0)</f>
        <v>4</v>
      </c>
      <c r="F254" s="135">
        <f>IFERROR(__xludf.DUMMYFUNCTION("""COMPUTED_VALUE"""),16.0)</f>
        <v>16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IFERROR(__xludf.DUMMYFUNCTION("""COMPUTED_VALUE"""),"Scott Li")</f>
        <v>Scott Li</v>
      </c>
      <c r="C255" s="135">
        <f>IFERROR(__xludf.DUMMYFUNCTION("""COMPUTED_VALUE"""),1.0)</f>
        <v>1</v>
      </c>
      <c r="D255" s="135">
        <f>IFERROR(__xludf.DUMMYFUNCTION("""COMPUTED_VALUE"""),4.0)</f>
        <v>4</v>
      </c>
      <c r="E255" s="135">
        <f>IFERROR(__xludf.DUMMYFUNCTION("""COMPUTED_VALUE"""),4.0)</f>
        <v>4</v>
      </c>
      <c r="F255" s="135">
        <f>IFERROR(__xludf.DUMMYFUNCTION("""COMPUTED_VALUE"""),9.0)</f>
        <v>9</v>
      </c>
      <c r="G255" s="135">
        <f>IFERROR(__xludf.DUMMYFUNCTION("""COMPUTED_VALUE"""),0.0)</f>
        <v>0</v>
      </c>
    </row>
    <row r="256">
      <c r="A256" s="133">
        <f>IFERROR(__xludf.DUMMYFUNCTION("""COMPUTED_VALUE"""),2.0)</f>
        <v>2</v>
      </c>
      <c r="B256" s="134" t="str">
        <f>IFERROR(__xludf.DUMMYFUNCTION("""COMPUTED_VALUE"""),"David Shin")</f>
        <v>David Shin</v>
      </c>
      <c r="C256" s="135">
        <f>IFERROR(__xludf.DUMMYFUNCTION("""COMPUTED_VALUE"""),6.0)</f>
        <v>6</v>
      </c>
      <c r="D256" s="135">
        <f>IFERROR(__xludf.DUMMYFUNCTION("""COMPUTED_VALUE"""),4.0)</f>
        <v>4</v>
      </c>
      <c r="E256" s="135">
        <f>IFERROR(__xludf.DUMMYFUNCTION("""COMPUTED_VALUE"""),6.0)</f>
        <v>6</v>
      </c>
      <c r="F256" s="135">
        <f>IFERROR(__xludf.DUMMYFUNCTION("""COMPUTED_VALUE"""),16.0)</f>
        <v>16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IFERROR(__xludf.DUMMYFUNCTION("""COMPUTED_VALUE"""),"Joe Luzzi")</f>
        <v>Joe Luzzi</v>
      </c>
      <c r="C257" s="135">
        <f>IFERROR(__xludf.DUMMYFUNCTION("""COMPUTED_VALUE"""),1.0)</f>
        <v>1</v>
      </c>
      <c r="D257" s="135">
        <f>IFERROR(__xludf.DUMMYFUNCTION("""COMPUTED_VALUE"""),6.0)</f>
        <v>6</v>
      </c>
      <c r="E257" s="135">
        <f>IFERROR(__xludf.DUMMYFUNCTION("""COMPUTED_VALUE"""),6.0)</f>
        <v>6</v>
      </c>
      <c r="F257" s="135">
        <f>IFERROR(__xludf.DUMMYFUNCTION("""COMPUTED_VALUE"""),13.0)</f>
        <v>13</v>
      </c>
      <c r="G257" s="135">
        <f>IFERROR(__xludf.DUMMYFUNCTION("""COMPUTED_VALUE"""),2.0)</f>
        <v>2</v>
      </c>
    </row>
    <row r="258">
      <c r="A258" s="122">
        <f>IFERROR(__xludf.DUMMYFUNCTION("""COMPUTED_VALUE"""),3.0)</f>
        <v>3</v>
      </c>
      <c r="B258" s="36" t="str">
        <f>IFERROR(__xludf.DUMMYFUNCTION("""COMPUTED_VALUE"""),"Erik Hoeckmann")</f>
        <v>Erik Hoeckmann</v>
      </c>
      <c r="C258" s="132">
        <f>IFERROR(__xludf.DUMMYFUNCTION("""COMPUTED_VALUE"""),7.0)</f>
        <v>7</v>
      </c>
      <c r="D258" s="132">
        <f>IFERROR(__xludf.DUMMYFUNCTION("""COMPUTED_VALUE"""),6.0)</f>
        <v>6</v>
      </c>
      <c r="E258" s="132">
        <f>IFERROR(__xludf.DUMMYFUNCTION("""COMPUTED_VALUE"""),4.0)</f>
        <v>4</v>
      </c>
      <c r="F258" s="132">
        <f>IFERROR(__xludf.DUMMYFUNCTION("""COMPUTED_VALUE"""),17.0)</f>
        <v>17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IFERROR(__xludf.DUMMYFUNCTION("""COMPUTED_VALUE"""),"Matthew Huang")</f>
        <v>Matthew Huang</v>
      </c>
      <c r="C259" s="132">
        <f>IFERROR(__xludf.DUMMYFUNCTION("""COMPUTED_VALUE"""),7.0)</f>
        <v>7</v>
      </c>
      <c r="D259" s="132">
        <f>IFERROR(__xludf.DUMMYFUNCTION("""COMPUTED_VALUE"""),7.0)</f>
        <v>7</v>
      </c>
      <c r="E259" s="132">
        <f>IFERROR(__xludf.DUMMYFUNCTION("""COMPUTED_VALUE"""),6.0)</f>
        <v>6</v>
      </c>
      <c r="F259" s="132">
        <f>IFERROR(__xludf.DUMMYFUNCTION("""COMPUTED_VALUE"""),20.0)</f>
        <v>20</v>
      </c>
      <c r="G259" s="132">
        <f>IFERROR(__xludf.DUMMYFUNCTION("""COMPUTED_VALUE"""),3.0)</f>
        <v>3</v>
      </c>
    </row>
    <row r="260">
      <c r="A260" s="122">
        <f>IFERROR(__xludf.DUMMYFUNCTION("""COMPUTED_VALUE"""),3.0)</f>
        <v>3</v>
      </c>
      <c r="B260" s="36" t="str">
        <f>IFERROR(__xludf.DUMMYFUNCTION("""COMPUTED_VALUE"""),"Frank Moon")</f>
        <v>Frank Moon</v>
      </c>
      <c r="C260" s="132">
        <f>IFERROR(__xludf.DUMMYFUNCTION("""COMPUTED_VALUE"""),5.0)</f>
        <v>5</v>
      </c>
      <c r="D260" s="132">
        <f>IFERROR(__xludf.DUMMYFUNCTION("""COMPUTED_VALUE"""),7.0)</f>
        <v>7</v>
      </c>
      <c r="E260" s="132">
        <f>IFERROR(__xludf.DUMMYFUNCTION("""COMPUTED_VALUE"""),4.0)</f>
        <v>4</v>
      </c>
      <c r="F260" s="132">
        <f>IFERROR(__xludf.DUMMYFUNCTION("""COMPUTED_VALUE"""),16.0)</f>
        <v>16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IFERROR(__xludf.DUMMYFUNCTION("""COMPUTED_VALUE"""),"Manish Anand")</f>
        <v>Manish Anand</v>
      </c>
      <c r="C261" s="132">
        <f>IFERROR(__xludf.DUMMYFUNCTION("""COMPUTED_VALUE"""),5.0)</f>
        <v>5</v>
      </c>
      <c r="D261" s="132">
        <f>IFERROR(__xludf.DUMMYFUNCTION("""COMPUTED_VALUE"""),6.0)</f>
        <v>6</v>
      </c>
      <c r="E261" s="132">
        <f>IFERROR(__xludf.DUMMYFUNCTION("""COMPUTED_VALUE"""),6.0)</f>
        <v>6</v>
      </c>
      <c r="F261" s="132">
        <f>IFERROR(__xludf.DUMMYFUNCTION("""COMPUTED_VALUE"""),17.0)</f>
        <v>17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IFERROR(__xludf.DUMMYFUNCTION("""COMPUTED_VALUE"""),"Herman Au")</f>
        <v>Herman Au</v>
      </c>
      <c r="C262" s="135">
        <f>IFERROR(__xludf.DUMMYFUNCTION("""COMPUTED_VALUE"""),7.0)</f>
        <v>7</v>
      </c>
      <c r="D262" s="135">
        <f>IFERROR(__xludf.DUMMYFUNCTION("""COMPUTED_VALUE"""),7.0)</f>
        <v>7</v>
      </c>
      <c r="E262" s="135">
        <f>IFERROR(__xludf.DUMMYFUNCTION("""COMPUTED_VALUE"""),6.0)</f>
        <v>6</v>
      </c>
      <c r="F262" s="135">
        <f>IFERROR(__xludf.DUMMYFUNCTION("""COMPUTED_VALUE"""),20.0)</f>
        <v>20</v>
      </c>
      <c r="G262" s="135">
        <f>IFERROR(__xludf.DUMMYFUNCTION("""COMPUTED_VALUE"""),3.0)</f>
        <v>3</v>
      </c>
    </row>
    <row r="263">
      <c r="A263" s="133">
        <f>IFERROR(__xludf.DUMMYFUNCTION("""COMPUTED_VALUE"""),4.0)</f>
        <v>4</v>
      </c>
      <c r="B263" s="134" t="str">
        <f>IFERROR(__xludf.DUMMYFUNCTION("""COMPUTED_VALUE"""),"Elayaraja Thangaraj")</f>
        <v>Elayaraja Thangaraj</v>
      </c>
      <c r="C263" s="135">
        <f>IFERROR(__xludf.DUMMYFUNCTION("""COMPUTED_VALUE"""),6.0)</f>
        <v>6</v>
      </c>
      <c r="D263" s="135">
        <f>IFERROR(__xludf.DUMMYFUNCTION("""COMPUTED_VALUE"""),7.0)</f>
        <v>7</v>
      </c>
      <c r="E263" s="135">
        <f>IFERROR(__xludf.DUMMYFUNCTION("""COMPUTED_VALUE"""),1.0)</f>
        <v>1</v>
      </c>
      <c r="F263" s="135">
        <f>IFERROR(__xludf.DUMMYFUNCTION("""COMPUTED_VALUE"""),14.0)</f>
        <v>14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IFERROR(__xludf.DUMMYFUNCTION("""COMPUTED_VALUE"""),"Luis Hsu")</f>
        <v>Luis Hsu</v>
      </c>
      <c r="C264" s="135">
        <f>IFERROR(__xludf.DUMMYFUNCTION("""COMPUTED_VALUE"""),6.0)</f>
        <v>6</v>
      </c>
      <c r="D264" s="135">
        <f>IFERROR(__xludf.DUMMYFUNCTION("""COMPUTED_VALUE"""),6.0)</f>
        <v>6</v>
      </c>
      <c r="E264" s="135">
        <f>IFERROR(__xludf.DUMMYFUNCTION("""COMPUTED_VALUE"""),6.0)</f>
        <v>6</v>
      </c>
      <c r="F264" s="135">
        <f>IFERROR(__xludf.DUMMYFUNCTION("""COMPUTED_VALUE"""),18.0)</f>
        <v>18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IFERROR(__xludf.DUMMYFUNCTION("""COMPUTED_VALUE"""),"Naveen Raj")</f>
        <v>Naveen Raj</v>
      </c>
      <c r="C265" s="135">
        <f>IFERROR(__xludf.DUMMYFUNCTION("""COMPUTED_VALUE"""),7.0)</f>
        <v>7</v>
      </c>
      <c r="D265" s="135">
        <f>IFERROR(__xludf.DUMMYFUNCTION("""COMPUTED_VALUE"""),6.0)</f>
        <v>6</v>
      </c>
      <c r="E265" s="135">
        <f>IFERROR(__xludf.DUMMYFUNCTION("""COMPUTED_VALUE"""),1.0)</f>
        <v>1</v>
      </c>
      <c r="F265" s="135">
        <f>IFERROR(__xludf.DUMMYFUNCTION("""COMPUTED_VALUE"""),14.0)</f>
        <v>14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IFERROR(__xludf.DUMMYFUNCTION("""COMPUTED_VALUE"""),"Vinotkumar Nagappan")</f>
        <v>Vinotkumar Nagappan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IFERROR(__xludf.DUMMYFUNCTION("""COMPUTED_VALUE"""),2.0)</f>
        <v>2</v>
      </c>
      <c r="F266" s="132">
        <f>IFERROR(__xludf.DUMMYFUNCTION("""COMPUTED_VALUE"""),14.0)</f>
        <v>14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IFERROR(__xludf.DUMMYFUNCTION("""COMPUTED_VALUE"""),"Allen Zhang")</f>
        <v>Allen Zhang</v>
      </c>
      <c r="C267" s="132">
        <f>IFERROR(__xludf.DUMMYFUNCTION("""COMPUTED_VALUE"""),2.0)</f>
        <v>2</v>
      </c>
      <c r="D267" s="132">
        <f>IFERROR(__xludf.DUMMYFUNCTION("""COMPUTED_VALUE"""),1.0)</f>
        <v>1</v>
      </c>
      <c r="E267" s="132">
        <f>IFERROR(__xludf.DUMMYFUNCTION("""COMPUTED_VALUE"""),2.0)</f>
        <v>2</v>
      </c>
      <c r="F267" s="132">
        <f>IFERROR(__xludf.DUMMYFUNCTION("""COMPUTED_VALUE"""),5.0)</f>
        <v>5</v>
      </c>
      <c r="G267" s="132">
        <f>IFERROR(__xludf.DUMMYFUNCTION("""COMPUTED_VALUE"""),0.0)</f>
        <v>0</v>
      </c>
    </row>
    <row r="268">
      <c r="A268" s="122">
        <f>IFERROR(__xludf.DUMMYFUNCTION("""COMPUTED_VALUE"""),5.0)</f>
        <v>5</v>
      </c>
      <c r="B268" s="36" t="str">
        <f>IFERROR(__xludf.DUMMYFUNCTION("""COMPUTED_VALUE"""),"Lloyd Sagar")</f>
        <v>Lloyd Sagar</v>
      </c>
      <c r="C268" s="132">
        <f>IFERROR(__xludf.DUMMYFUNCTION("""COMPUTED_VALUE"""),6.0)</f>
        <v>6</v>
      </c>
      <c r="D268" s="132">
        <f>IFERROR(__xludf.DUMMYFUNCTION("""COMPUTED_VALUE"""),1.0)</f>
        <v>1</v>
      </c>
      <c r="E268" s="132">
        <f>IFERROR(__xludf.DUMMYFUNCTION("""COMPUTED_VALUE"""),6.0)</f>
        <v>6</v>
      </c>
      <c r="F268" s="132">
        <f>IFERROR(__xludf.DUMMYFUNCTION("""COMPUTED_VALUE"""),13.0)</f>
        <v>13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IFERROR(__xludf.DUMMYFUNCTION("""COMPUTED_VALUE"""),"Ramesh Bandaru")</f>
        <v>Ramesh Bandaru</v>
      </c>
      <c r="C269" s="132">
        <f>IFERROR(__xludf.DUMMYFUNCTION("""COMPUTED_VALUE"""),2.0)</f>
        <v>2</v>
      </c>
      <c r="D269" s="132">
        <f>IFERROR(__xludf.DUMMYFUNCTION("""COMPUTED_VALUE"""),6.0)</f>
        <v>6</v>
      </c>
      <c r="E269" s="132">
        <f>IFERROR(__xludf.DUMMYFUNCTION("""COMPUTED_VALUE"""),6.0)</f>
        <v>6</v>
      </c>
      <c r="F269" s="132">
        <f>IFERROR(__xludf.DUMMYFUNCTION("""COMPUTED_VALUE"""),14.0)</f>
        <v>14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IFERROR(__xludf.DUMMYFUNCTION("""COMPUTED_VALUE"""),"Alex Hou")</f>
        <v>Alex Hou</v>
      </c>
      <c r="C270" s="135">
        <f>IFERROR(__xludf.DUMMYFUNCTION("""COMPUTED_VALUE"""),4.0)</f>
        <v>4</v>
      </c>
      <c r="D270" s="135">
        <f>IFERROR(__xludf.DUMMYFUNCTION("""COMPUTED_VALUE"""),6.0)</f>
        <v>6</v>
      </c>
      <c r="E270" s="135">
        <f>IFERROR(__xludf.DUMMYFUNCTION("""COMPUTED_VALUE"""),3.0)</f>
        <v>3</v>
      </c>
      <c r="F270" s="135">
        <f>IFERROR(__xludf.DUMMYFUNCTION("""COMPUTED_VALUE"""),13.0)</f>
        <v>13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IFERROR(__xludf.DUMMYFUNCTION("""COMPUTED_VALUE"""),"Chinna Ponnaganti")</f>
        <v>Chinna Ponnaganti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IFERROR(__xludf.DUMMYFUNCTION("""COMPUTED_VALUE"""),"Sean Chang")</f>
        <v>Sean Chang</v>
      </c>
      <c r="C272" s="135">
        <f>IFERROR(__xludf.DUMMYFUNCTION("""COMPUTED_VALUE"""),4.0)</f>
        <v>4</v>
      </c>
      <c r="D272" s="135">
        <f>IFERROR(__xludf.DUMMYFUNCTION("""COMPUTED_VALUE"""),3.0)</f>
        <v>3</v>
      </c>
      <c r="E272" s="135">
        <f>IFERROR(__xludf.DUMMYFUNCTION("""COMPUTED_VALUE"""),6.0)</f>
        <v>6</v>
      </c>
      <c r="F272" s="135">
        <f>IFERROR(__xludf.DUMMYFUNCTION("""COMPUTED_VALUE"""),13.0)</f>
        <v>13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IFERROR(__xludf.DUMMYFUNCTION("""COMPUTED_VALUE"""),"Kumar Palakeel")</f>
        <v>Kumar Palakeel</v>
      </c>
      <c r="C273" s="135">
        <f>IFERROR(__xludf.DUMMYFUNCTION("""COMPUTED_VALUE"""),6.0)</f>
        <v>6</v>
      </c>
      <c r="D273" s="135">
        <f>IFERROR(__xludf.DUMMYFUNCTION("""COMPUTED_VALUE"""),3.0)</f>
        <v>3</v>
      </c>
      <c r="E273" s="135">
        <f>IFERROR(__xludf.DUMMYFUNCTION("""COMPUTED_VALUE"""),3.0)</f>
        <v>3</v>
      </c>
      <c r="F273" s="135">
        <f>IFERROR(__xludf.DUMMYFUNCTION("""COMPUTED_VALUE"""),12.0)</f>
        <v>12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IFERROR(__xludf.DUMMYFUNCTION("""COMPUTED_VALUE"""),"Tina Hanson")</f>
        <v>Tina Hanson</v>
      </c>
      <c r="C274" s="132">
        <f>IFERROR(__xludf.DUMMYFUNCTION("""COMPUTED_VALUE"""),3.0)</f>
        <v>3</v>
      </c>
      <c r="D274" s="132">
        <f>IFERROR(__xludf.DUMMYFUNCTION("""COMPUTED_VALUE"""),6.0)</f>
        <v>6</v>
      </c>
      <c r="E274" s="132">
        <f>IFERROR(__xludf.DUMMYFUNCTION("""COMPUTED_VALUE"""),4.0)</f>
        <v>4</v>
      </c>
      <c r="F274" s="132">
        <f>IFERROR(__xludf.DUMMYFUNCTION("""COMPUTED_VALUE"""),13.0)</f>
        <v>13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IFERROR(__xludf.DUMMYFUNCTION("""COMPUTED_VALUE"""),"Hongyuan Wen")</f>
        <v>Hongyuan Wen</v>
      </c>
      <c r="C275" s="132">
        <f>IFERROR(__xludf.DUMMYFUNCTION("""COMPUTED_VALUE"""),3.0)</f>
        <v>3</v>
      </c>
      <c r="D275" s="132">
        <f>IFERROR(__xludf.DUMMYFUNCTION("""COMPUTED_VALUE"""),1.0)</f>
        <v>1</v>
      </c>
      <c r="E275" s="132">
        <f>IFERROR(__xludf.DUMMYFUNCTION("""COMPUTED_VALUE"""),6.0)</f>
        <v>6</v>
      </c>
      <c r="F275" s="132">
        <f>IFERROR(__xludf.DUMMYFUNCTION("""COMPUTED_VALUE"""),10.0)</f>
        <v>10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IFERROR(__xludf.DUMMYFUNCTION("""COMPUTED_VALUE"""),"Lam Bui")</f>
        <v>Lam Bui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IFERROR(__xludf.DUMMYFUNCTION("""COMPUTED_VALUE"""),6.0)</f>
        <v>6</v>
      </c>
      <c r="F276" s="132">
        <f>IFERROR(__xludf.DUMMYFUNCTION("""COMPUTED_VALUE"""),18.0)</f>
        <v>18</v>
      </c>
      <c r="G276" s="132">
        <f>IFERROR(__xludf.DUMMYFUNCTION("""COMPUTED_VALUE"""),3.0)</f>
        <v>3</v>
      </c>
    </row>
    <row r="277">
      <c r="A277" s="122">
        <f>IFERROR(__xludf.DUMMYFUNCTION("""COMPUTED_VALUE"""),7.0)</f>
        <v>7</v>
      </c>
      <c r="B277" s="36" t="str">
        <f>IFERROR(__xludf.DUMMYFUNCTION("""COMPUTED_VALUE"""),"Jimmy Awolesi")</f>
        <v>Jimmy Awolesi</v>
      </c>
      <c r="C277" s="132">
        <f>IFERROR(__xludf.DUMMYFUNCTION("""COMPUTED_VALUE"""),6.0)</f>
        <v>6</v>
      </c>
      <c r="D277" s="132">
        <f>IFERROR(__xludf.DUMMYFUNCTION("""COMPUTED_VALUE"""),1.0)</f>
        <v>1</v>
      </c>
      <c r="E277" s="132">
        <f>IFERROR(__xludf.DUMMYFUNCTION("""COMPUTED_VALUE"""),4.0)</f>
        <v>4</v>
      </c>
      <c r="F277" s="132">
        <f>IFERROR(__xludf.DUMMYFUNCTION("""COMPUTED_VALUE"""),11.0)</f>
        <v>11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IFERROR(__xludf.DUMMYFUNCTION("""COMPUTED_VALUE"""),"Vinaya Kajla")</f>
        <v>Vinaya Kajla</v>
      </c>
      <c r="C278" s="135">
        <f>IFERROR(__xludf.DUMMYFUNCTION("""COMPUTED_VALUE"""),7.0)</f>
        <v>7</v>
      </c>
      <c r="D278" s="135">
        <f>IFERROR(__xludf.DUMMYFUNCTION("""COMPUTED_VALUE"""),6.0)</f>
        <v>6</v>
      </c>
      <c r="E278" s="135">
        <f>IFERROR(__xludf.DUMMYFUNCTION("""COMPUTED_VALUE"""),7.0)</f>
        <v>7</v>
      </c>
      <c r="F278" s="135">
        <f>IFERROR(__xludf.DUMMYFUNCTION("""COMPUTED_VALUE"""),20.0)</f>
        <v>20</v>
      </c>
      <c r="G278" s="135">
        <f>IFERROR(__xludf.DUMMYFUNCTION("""COMPUTED_VALUE"""),3.0)</f>
        <v>3</v>
      </c>
    </row>
    <row r="279">
      <c r="A279" s="133">
        <f>IFERROR(__xludf.DUMMYFUNCTION("""COMPUTED_VALUE"""),8.0)</f>
        <v>8</v>
      </c>
      <c r="B279" s="134" t="str">
        <f>IFERROR(__xludf.DUMMYFUNCTION("""COMPUTED_VALUE"""),"Eric Tan")</f>
        <v>Eric Tan</v>
      </c>
      <c r="C279" s="135">
        <f>IFERROR(__xludf.DUMMYFUNCTION("""COMPUTED_VALUE"""),5.0)</f>
        <v>5</v>
      </c>
      <c r="D279" s="135">
        <f>IFERROR(__xludf.DUMMYFUNCTION("""COMPUTED_VALUE"""),4.0)</f>
        <v>4</v>
      </c>
      <c r="E279" s="135">
        <f>IFERROR(__xludf.DUMMYFUNCTION("""COMPUTED_VALUE"""),7.0)</f>
        <v>7</v>
      </c>
      <c r="F279" s="135">
        <f>IFERROR(__xludf.DUMMYFUNCTION("""COMPUTED_VALUE"""),16.0)</f>
        <v>16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IFERROR(__xludf.DUMMYFUNCTION("""COMPUTED_VALUE"""),"Joyce Zhu")</f>
        <v>Joyce Zhu</v>
      </c>
      <c r="C280" s="135">
        <f>IFERROR(__xludf.DUMMYFUNCTION("""COMPUTED_VALUE"""),7.0)</f>
        <v>7</v>
      </c>
      <c r="D280" s="135">
        <f>IFERROR(__xludf.DUMMYFUNCTION("""COMPUTED_VALUE"""),4.0)</f>
        <v>4</v>
      </c>
      <c r="E280" s="135">
        <f>IFERROR(__xludf.DUMMYFUNCTION("""COMPUTED_VALUE"""),6.0)</f>
        <v>6</v>
      </c>
      <c r="F280" s="135">
        <f>IFERROR(__xludf.DUMMYFUNCTION("""COMPUTED_VALUE"""),17.0)</f>
        <v>17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IFERROR(__xludf.DUMMYFUNCTION("""COMPUTED_VALUE"""),"Camille Jung")</f>
        <v>Camille Jung</v>
      </c>
      <c r="C281" s="135">
        <f>IFERROR(__xludf.DUMMYFUNCTION("""COMPUTED_VALUE"""),5.0)</f>
        <v>5</v>
      </c>
      <c r="D281" s="135">
        <f>IFERROR(__xludf.DUMMYFUNCTION("""COMPUTED_VALUE"""),6.0)</f>
        <v>6</v>
      </c>
      <c r="E281" s="135">
        <f>IFERROR(__xludf.DUMMYFUNCTION("""COMPUTED_VALUE"""),6.0)</f>
        <v>6</v>
      </c>
      <c r="F281" s="135">
        <f>IFERROR(__xludf.DUMMYFUNCTION("""COMPUTED_VALUE"""),17.0)</f>
        <v>17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IFERROR(__xludf.DUMMYFUNCTION("""COMPUTED_VALUE"""),"Jim Miao")</f>
        <v>Jim Miao</v>
      </c>
      <c r="C282" s="132">
        <f>IFERROR(__xludf.DUMMYFUNCTION("""COMPUTED_VALUE"""),3.0)</f>
        <v>3</v>
      </c>
      <c r="D282" s="132">
        <f>IFERROR(__xludf.DUMMYFUNCTION("""COMPUTED_VALUE"""),1.0)</f>
        <v>1</v>
      </c>
      <c r="E282" s="132">
        <f>IFERROR(__xludf.DUMMYFUNCTION("""COMPUTED_VALUE"""),6.0)</f>
        <v>6</v>
      </c>
      <c r="F282" s="132">
        <f>IFERROR(__xludf.DUMMYFUNCTION("""COMPUTED_VALUE"""),10.0)</f>
        <v>10</v>
      </c>
      <c r="G282" s="132">
        <f>IFERROR(__xludf.DUMMYFUNCTION("""COMPUTED_VALUE"""),0.0)</f>
        <v>0</v>
      </c>
    </row>
    <row r="283">
      <c r="A283" s="122">
        <f>IFERROR(__xludf.DUMMYFUNCTION("""COMPUTED_VALUE"""),9.0)</f>
        <v>9</v>
      </c>
      <c r="B283" s="36" t="str">
        <f>IFERROR(__xludf.DUMMYFUNCTION("""COMPUTED_VALUE"""),"Mauricio Palacios")</f>
        <v>Mauricio Palacios</v>
      </c>
      <c r="C283" s="132">
        <f>IFERROR(__xludf.DUMMYFUNCTION("""COMPUTED_VALUE"""),6.0)</f>
        <v>6</v>
      </c>
      <c r="D283" s="132">
        <f>IFERROR(__xludf.DUMMYFUNCTION("""COMPUTED_VALUE"""),1.0)</f>
        <v>1</v>
      </c>
      <c r="E283" s="132">
        <f>IFERROR(__xludf.DUMMYFUNCTION("""COMPUTED_VALUE"""),7.0)</f>
        <v>7</v>
      </c>
      <c r="F283" s="132">
        <f>IFERROR(__xludf.DUMMYFUNCTION("""COMPUTED_VALUE"""),14.0)</f>
        <v>14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IFERROR(__xludf.DUMMYFUNCTION("""COMPUTED_VALUE"""),"Rajasekar Ramasamy")</f>
        <v>Rajasekar Ramasamy</v>
      </c>
      <c r="C284" s="132">
        <f>IFERROR(__xludf.DUMMYFUNCTION("""COMPUTED_VALUE"""),6.0)</f>
        <v>6</v>
      </c>
      <c r="D284" s="132">
        <f>IFERROR(__xludf.DUMMYFUNCTION("""COMPUTED_VALUE"""),6.0)</f>
        <v>6</v>
      </c>
      <c r="E284" s="132">
        <f>IFERROR(__xludf.DUMMYFUNCTION("""COMPUTED_VALUE"""),6.0)</f>
        <v>6</v>
      </c>
      <c r="F284" s="132">
        <f>IFERROR(__xludf.DUMMYFUNCTION("""COMPUTED_VALUE"""),18.0)</f>
        <v>18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IFERROR(__xludf.DUMMYFUNCTION("""COMPUTED_VALUE"""),"Wayne Liu")</f>
        <v>Wayne Liu</v>
      </c>
      <c r="C285" s="132">
        <f>IFERROR(__xludf.DUMMYFUNCTION("""COMPUTED_VALUE"""),3.0)</f>
        <v>3</v>
      </c>
      <c r="D285" s="132">
        <f>IFERROR(__xludf.DUMMYFUNCTION("""COMPUTED_VALUE"""),6.0)</f>
        <v>6</v>
      </c>
      <c r="E285" s="132">
        <f>IFERROR(__xludf.DUMMYFUNCTION("""COMPUTED_VALUE"""),7.0)</f>
        <v>7</v>
      </c>
      <c r="F285" s="132">
        <f>IFERROR(__xludf.DUMMYFUNCTION("""COMPUTED_VALUE"""),16.0)</f>
        <v>16</v>
      </c>
      <c r="G285" s="132">
        <f>IFERROR(__xludf.DUMMYFUNCTION("""COMPUTED_VALUE"""),2.0)</f>
        <v>2</v>
      </c>
    </row>
    <row r="286">
      <c r="A286" s="133">
        <f>IFERROR(__xludf.DUMMYFUNCTION("""COMPUTED_VALUE"""),10.0)</f>
        <v>10</v>
      </c>
      <c r="B286" s="134" t="str">
        <f>IFERROR(__xludf.DUMMYFUNCTION("""COMPUTED_VALUE"""),"Tom Le")</f>
        <v>Tom Le</v>
      </c>
      <c r="C286" s="135">
        <f>IFERROR(__xludf.DUMMYFUNCTION("""COMPUTED_VALUE"""),6.0)</f>
        <v>6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IFERROR(__xludf.DUMMYFUNCTION("""COMPUTED_VALUE"""),18.0)</f>
        <v>18</v>
      </c>
      <c r="G286" s="135">
        <f>IFERROR(__xludf.DUMMYFUNCTION("""COMPUTED_VALUE"""),3.0)</f>
        <v>3</v>
      </c>
    </row>
    <row r="287">
      <c r="A287" s="133">
        <f>IFERROR(__xludf.DUMMYFUNCTION("""COMPUTED_VALUE"""),10.0)</f>
        <v>10</v>
      </c>
      <c r="B287" s="134" t="str">
        <f>IFERROR(__xludf.DUMMYFUNCTION("""COMPUTED_VALUE"""),"Alejandro Mejia")</f>
        <v>Alejandro Mejia</v>
      </c>
      <c r="C287" s="135">
        <f>IFERROR(__xludf.DUMMYFUNCTION("""COMPUTED_VALUE"""),3.0)</f>
        <v>3</v>
      </c>
      <c r="D287" s="135">
        <f>IFERROR(__xludf.DUMMYFUNCTION("""COMPUTED_VALUE"""),1.0)</f>
        <v>1</v>
      </c>
      <c r="E287" s="135">
        <f>IFERROR(__xludf.DUMMYFUNCTION("""COMPUTED_VALUE"""),6.0)</f>
        <v>6</v>
      </c>
      <c r="F287" s="135">
        <f>IFERROR(__xludf.DUMMYFUNCTION("""COMPUTED_VALUE"""),10.0)</f>
        <v>10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IFERROR(__xludf.DUMMYFUNCTION("""COMPUTED_VALUE"""),"Nicole Ni")</f>
        <v>Nicole Ni</v>
      </c>
      <c r="C288" s="135">
        <f>IFERROR(__xludf.DUMMYFUNCTION("""COMPUTED_VALUE"""),6.0)</f>
        <v>6</v>
      </c>
      <c r="D288" s="135">
        <f>IFERROR(__xludf.DUMMYFUNCTION("""COMPUTED_VALUE"""),1.0)</f>
        <v>1</v>
      </c>
      <c r="E288" s="135">
        <f>IFERROR(__xludf.DUMMYFUNCTION("""COMPUTED_VALUE"""),3.0)</f>
        <v>3</v>
      </c>
      <c r="F288" s="135">
        <f>IFERROR(__xludf.DUMMYFUNCTION("""COMPUTED_VALUE"""),10.0)</f>
        <v>10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IFERROR(__xludf.DUMMYFUNCTION("""COMPUTED_VALUE"""),"Vishnu Amarnath")</f>
        <v>Vishnu Amarnath</v>
      </c>
      <c r="C289" s="135">
        <f>IFERROR(__xludf.DUMMYFUNCTION("""COMPUTED_VALUE"""),3.0)</f>
        <v>3</v>
      </c>
      <c r="D289" s="135">
        <f>IFERROR(__xludf.DUMMYFUNCTION("""COMPUTED_VALUE"""),6.0)</f>
        <v>6</v>
      </c>
      <c r="E289" s="135">
        <f>IFERROR(__xludf.DUMMYFUNCTION("""COMPUTED_VALUE"""),3.0)</f>
        <v>3</v>
      </c>
      <c r="F289" s="135">
        <f>IFERROR(__xludf.DUMMYFUNCTION("""COMPUTED_VALUE"""),12.0)</f>
        <v>12</v>
      </c>
      <c r="G289" s="135">
        <f>IFERROR(__xludf.DUMMYFUNCTION("""COMPUTED_VALUE"""),1.0)</f>
        <v>1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IFERROR(__xludf.DUMMYFUNCTION("""COMPUTED_VALUE"""),"Scott Li")</f>
        <v>Scott Li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IFERROR(__xludf.DUMMYFUNCTION("""COMPUTED_VALUE"""),"Sean Chang")</f>
        <v>Sean Chang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IFERROR(__xludf.DUMMYFUNCTION("""COMPUTED_VALUE"""),"Suleman Alidina")</f>
        <v>Suleman Alidina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46137.0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16.0</v>
      </c>
      <c r="E2" s="5"/>
      <c r="F2" s="5"/>
      <c r="R2" s="18"/>
      <c r="AC2" s="22" t="str">
        <f>text(C1-7,"mm/dd/yy")</f>
        <v>04/18/26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63</v>
      </c>
      <c r="C5" s="37">
        <v>227.0</v>
      </c>
      <c r="D5" s="37">
        <v>28.0</v>
      </c>
      <c r="E5" s="40">
        <f t="shared" ref="E5:E79" si="2">if(S5&gt;0,(C5-(V5*9)-(T5*13))/S5,0)</f>
        <v>14.92857143</v>
      </c>
      <c r="F5" s="90">
        <v>1.0</v>
      </c>
      <c r="G5" s="91">
        <v>1.0</v>
      </c>
      <c r="H5" s="92">
        <v>0.0</v>
      </c>
      <c r="I5" s="91">
        <v>3.0</v>
      </c>
      <c r="J5" s="91">
        <v>5.0</v>
      </c>
      <c r="K5" s="91">
        <v>7.0</v>
      </c>
      <c r="L5" s="93">
        <v>15.0</v>
      </c>
      <c r="M5" s="91">
        <v>1.0</v>
      </c>
      <c r="N5" s="37">
        <f t="shared" ref="N5:O5" si="1">C5+L5</f>
        <v>242</v>
      </c>
      <c r="O5" s="37">
        <f t="shared" si="1"/>
        <v>29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14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50</v>
      </c>
      <c r="C6" s="37">
        <v>224.0</v>
      </c>
      <c r="D6" s="37">
        <v>29.0</v>
      </c>
      <c r="E6" s="40">
        <f t="shared" si="2"/>
        <v>14.71428571</v>
      </c>
      <c r="F6" s="90">
        <v>1.0</v>
      </c>
      <c r="G6" s="91">
        <v>1.0</v>
      </c>
      <c r="H6" s="92">
        <v>0.0</v>
      </c>
      <c r="I6" s="91">
        <v>6.0</v>
      </c>
      <c r="J6" s="91">
        <v>7.0</v>
      </c>
      <c r="K6" s="91">
        <v>7.0</v>
      </c>
      <c r="L6" s="93">
        <v>20.0</v>
      </c>
      <c r="M6" s="91">
        <v>3.0</v>
      </c>
      <c r="N6" s="37">
        <f t="shared" ref="N6:O6" si="3">C6+L6</f>
        <v>244</v>
      </c>
      <c r="O6" s="37">
        <f t="shared" si="3"/>
        <v>32</v>
      </c>
      <c r="P6" s="49" t="s">
        <v>57</v>
      </c>
      <c r="Q6" s="49" t="s">
        <v>57</v>
      </c>
      <c r="R6" s="49" t="s">
        <v>57</v>
      </c>
      <c r="S6" s="51">
        <f t="shared" si="4"/>
        <v>14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212.0</v>
      </c>
      <c r="D7" s="37">
        <v>23.0</v>
      </c>
      <c r="E7" s="40">
        <f t="shared" si="2"/>
        <v>13.25</v>
      </c>
      <c r="F7" s="90">
        <v>1.0</v>
      </c>
      <c r="G7" s="91">
        <v>1.0</v>
      </c>
      <c r="H7" s="92">
        <v>0.0</v>
      </c>
      <c r="I7" s="91">
        <v>3.0</v>
      </c>
      <c r="J7" s="91">
        <v>7.0</v>
      </c>
      <c r="K7" s="91">
        <v>6.0</v>
      </c>
      <c r="L7" s="93">
        <v>16.0</v>
      </c>
      <c r="M7" s="91">
        <v>1.0</v>
      </c>
      <c r="N7" s="37">
        <f t="shared" ref="N7:O7" si="11">C7+L7</f>
        <v>228</v>
      </c>
      <c r="O7" s="37">
        <f t="shared" si="11"/>
        <v>24</v>
      </c>
      <c r="P7" s="49" t="s">
        <v>57</v>
      </c>
      <c r="Q7" s="49" t="s">
        <v>57</v>
      </c>
      <c r="R7" s="49" t="s">
        <v>57</v>
      </c>
      <c r="S7" s="51">
        <f t="shared" si="4"/>
        <v>16</v>
      </c>
      <c r="T7" s="52">
        <f t="shared" si="5"/>
        <v>0</v>
      </c>
      <c r="U7" s="52"/>
      <c r="V7" s="51">
        <f t="shared" si="6"/>
        <v>0</v>
      </c>
      <c r="W7" s="52">
        <f t="shared" si="7"/>
        <v>0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209.0</v>
      </c>
      <c r="D8" s="37">
        <v>21.0</v>
      </c>
      <c r="E8" s="40">
        <f t="shared" si="2"/>
        <v>14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218</v>
      </c>
      <c r="O8" s="37">
        <f t="shared" si="13"/>
        <v>21</v>
      </c>
      <c r="P8" s="49" t="s">
        <v>57</v>
      </c>
      <c r="Q8" s="49" t="s">
        <v>57</v>
      </c>
      <c r="R8" s="49" t="s">
        <v>57</v>
      </c>
      <c r="S8" s="51">
        <f t="shared" si="4"/>
        <v>13</v>
      </c>
      <c r="T8" s="52">
        <f t="shared" si="5"/>
        <v>0</v>
      </c>
      <c r="U8" s="52"/>
      <c r="V8" s="51">
        <f t="shared" si="6"/>
        <v>3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92</v>
      </c>
      <c r="C9" s="37">
        <v>206.0</v>
      </c>
      <c r="D9" s="37">
        <v>17.0</v>
      </c>
      <c r="E9" s="40">
        <f t="shared" si="2"/>
        <v>14.16666667</v>
      </c>
      <c r="F9" s="90">
        <v>1.0</v>
      </c>
      <c r="G9" s="91">
        <v>1.0</v>
      </c>
      <c r="H9" s="92">
        <v>0.0</v>
      </c>
      <c r="I9" s="91">
        <v>6.0</v>
      </c>
      <c r="J9" s="91">
        <v>5.0</v>
      </c>
      <c r="K9" s="91">
        <v>6.0</v>
      </c>
      <c r="L9" s="93">
        <v>17.0</v>
      </c>
      <c r="M9" s="91">
        <v>1.0</v>
      </c>
      <c r="N9" s="37">
        <f t="shared" ref="N9:O9" si="14">C9+L9</f>
        <v>223</v>
      </c>
      <c r="O9" s="37">
        <f t="shared" si="14"/>
        <v>18</v>
      </c>
      <c r="P9" s="49" t="s">
        <v>57</v>
      </c>
      <c r="Q9" s="49" t="s">
        <v>57</v>
      </c>
      <c r="R9" s="49" t="s">
        <v>57</v>
      </c>
      <c r="S9" s="51">
        <f t="shared" si="4"/>
        <v>12</v>
      </c>
      <c r="T9" s="52">
        <f t="shared" si="5"/>
        <v>0</v>
      </c>
      <c r="U9" s="52"/>
      <c r="V9" s="51">
        <f t="shared" si="6"/>
        <v>4</v>
      </c>
      <c r="W9" s="52">
        <f t="shared" si="7"/>
        <v>4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127</v>
      </c>
      <c r="C10" s="37">
        <v>204.0</v>
      </c>
      <c r="D10" s="37">
        <v>20.0</v>
      </c>
      <c r="E10" s="40">
        <f t="shared" si="2"/>
        <v>14.45454545</v>
      </c>
      <c r="F10" s="90">
        <v>3.0</v>
      </c>
      <c r="G10" s="91">
        <v>0.0</v>
      </c>
      <c r="H10" s="92">
        <v>9.0</v>
      </c>
      <c r="I10" s="91">
        <v>0.0</v>
      </c>
      <c r="J10" s="91">
        <v>0.0</v>
      </c>
      <c r="K10" s="91">
        <v>0.0</v>
      </c>
      <c r="L10" s="93">
        <v>9.0</v>
      </c>
      <c r="M10" s="91">
        <v>0.0</v>
      </c>
      <c r="N10" s="37">
        <f t="shared" ref="N10:O10" si="15">C10+L10</f>
        <v>213</v>
      </c>
      <c r="O10" s="37">
        <f t="shared" si="15"/>
        <v>20</v>
      </c>
      <c r="P10" s="49" t="s">
        <v>57</v>
      </c>
      <c r="Q10" s="49" t="s">
        <v>57</v>
      </c>
      <c r="R10" s="49" t="s">
        <v>57</v>
      </c>
      <c r="S10" s="51">
        <f t="shared" si="4"/>
        <v>11</v>
      </c>
      <c r="T10" s="52">
        <f t="shared" si="5"/>
        <v>0</v>
      </c>
      <c r="U10" s="52"/>
      <c r="V10" s="51">
        <f t="shared" si="6"/>
        <v>5</v>
      </c>
      <c r="W10" s="52">
        <f t="shared" si="7"/>
        <v>1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111</v>
      </c>
      <c r="C11" s="37">
        <v>204.0</v>
      </c>
      <c r="D11" s="37">
        <v>20.0</v>
      </c>
      <c r="E11" s="40">
        <f t="shared" si="2"/>
        <v>13.66666667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213</v>
      </c>
      <c r="O11" s="37">
        <f t="shared" si="16"/>
        <v>20</v>
      </c>
      <c r="P11" s="49" t="s">
        <v>57</v>
      </c>
      <c r="Q11" s="49" t="s">
        <v>57</v>
      </c>
      <c r="R11" s="49" t="s">
        <v>57</v>
      </c>
      <c r="S11" s="51">
        <f t="shared" si="4"/>
        <v>12</v>
      </c>
      <c r="T11" s="52">
        <f t="shared" si="5"/>
        <v>1</v>
      </c>
      <c r="U11" s="52"/>
      <c r="V11" s="51">
        <f t="shared" si="6"/>
        <v>3</v>
      </c>
      <c r="W11" s="52">
        <f t="shared" si="7"/>
        <v>-3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80</v>
      </c>
      <c r="C12" s="37">
        <v>203.0</v>
      </c>
      <c r="D12" s="37">
        <v>19.0</v>
      </c>
      <c r="E12" s="40">
        <f t="shared" si="2"/>
        <v>13.58333333</v>
      </c>
      <c r="F12" s="90">
        <v>1.0</v>
      </c>
      <c r="G12" s="91">
        <v>2.0</v>
      </c>
      <c r="H12" s="92">
        <v>0.0</v>
      </c>
      <c r="I12" s="91">
        <v>6.0</v>
      </c>
      <c r="J12" s="91">
        <v>6.0</v>
      </c>
      <c r="K12" s="91">
        <v>4.0</v>
      </c>
      <c r="L12" s="93">
        <v>16.0</v>
      </c>
      <c r="M12" s="91">
        <v>2.0</v>
      </c>
      <c r="N12" s="37">
        <f t="shared" ref="N12:O12" si="17">C12+L12</f>
        <v>219</v>
      </c>
      <c r="O12" s="37">
        <f t="shared" si="17"/>
        <v>21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1</v>
      </c>
      <c r="U12" s="52"/>
      <c r="V12" s="51">
        <f t="shared" si="6"/>
        <v>3</v>
      </c>
      <c r="W12" s="52">
        <f t="shared" si="7"/>
        <v>0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135</v>
      </c>
      <c r="C13" s="37">
        <v>201.0</v>
      </c>
      <c r="D13" s="37">
        <v>15.0</v>
      </c>
      <c r="E13" s="40">
        <f t="shared" si="2"/>
        <v>13.75</v>
      </c>
      <c r="F13" s="90">
        <v>1.0</v>
      </c>
      <c r="G13" s="91">
        <v>2.0</v>
      </c>
      <c r="H13" s="92">
        <v>0.0</v>
      </c>
      <c r="I13" s="91">
        <v>1.0</v>
      </c>
      <c r="J13" s="91">
        <v>4.0</v>
      </c>
      <c r="K13" s="91">
        <v>4.0</v>
      </c>
      <c r="L13" s="93">
        <v>9.0</v>
      </c>
      <c r="M13" s="91">
        <v>0.0</v>
      </c>
      <c r="N13" s="37">
        <f t="shared" ref="N13:O13" si="18">C13+L13</f>
        <v>210</v>
      </c>
      <c r="O13" s="37">
        <f t="shared" si="18"/>
        <v>15</v>
      </c>
      <c r="P13" s="49" t="s">
        <v>57</v>
      </c>
      <c r="Q13" s="49" t="s">
        <v>57</v>
      </c>
      <c r="R13" s="49" t="s">
        <v>57</v>
      </c>
      <c r="S13" s="51">
        <f t="shared" si="4"/>
        <v>12</v>
      </c>
      <c r="T13" s="52">
        <f t="shared" si="5"/>
        <v>0</v>
      </c>
      <c r="U13" s="52"/>
      <c r="V13" s="51">
        <f t="shared" si="6"/>
        <v>4</v>
      </c>
      <c r="W13" s="52">
        <f t="shared" si="7"/>
        <v>-3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89</v>
      </c>
      <c r="C14" s="37">
        <v>199.0</v>
      </c>
      <c r="D14" s="37">
        <v>20.0</v>
      </c>
      <c r="E14" s="40">
        <f t="shared" si="2"/>
        <v>15.11111111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208</v>
      </c>
      <c r="O14" s="37">
        <f t="shared" si="19"/>
        <v>20</v>
      </c>
      <c r="P14" s="49" t="s">
        <v>57</v>
      </c>
      <c r="Q14" s="49" t="s">
        <v>57</v>
      </c>
      <c r="R14" s="49" t="s">
        <v>57</v>
      </c>
      <c r="S14" s="51">
        <f t="shared" si="4"/>
        <v>9</v>
      </c>
      <c r="T14" s="52">
        <f t="shared" si="5"/>
        <v>0</v>
      </c>
      <c r="U14" s="52"/>
      <c r="V14" s="51">
        <f t="shared" si="6"/>
        <v>7</v>
      </c>
      <c r="W14" s="52">
        <f t="shared" si="7"/>
        <v>6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94</v>
      </c>
      <c r="C15" s="37">
        <v>197.0</v>
      </c>
      <c r="D15" s="37">
        <v>21.0</v>
      </c>
      <c r="E15" s="40">
        <f t="shared" si="2"/>
        <v>12.78571429</v>
      </c>
      <c r="F15" s="90">
        <v>1.0</v>
      </c>
      <c r="G15" s="91">
        <v>2.0</v>
      </c>
      <c r="H15" s="92">
        <v>0.0</v>
      </c>
      <c r="I15" s="91">
        <v>6.0</v>
      </c>
      <c r="J15" s="91">
        <v>4.0</v>
      </c>
      <c r="K15" s="91">
        <v>6.0</v>
      </c>
      <c r="L15" s="93">
        <v>16.0</v>
      </c>
      <c r="M15" s="91">
        <v>2.0</v>
      </c>
      <c r="N15" s="37">
        <f t="shared" ref="N15:O15" si="20">C15+L15</f>
        <v>213</v>
      </c>
      <c r="O15" s="37">
        <f t="shared" si="20"/>
        <v>23</v>
      </c>
      <c r="P15" s="49" t="s">
        <v>57</v>
      </c>
      <c r="Q15" s="49" t="s">
        <v>57</v>
      </c>
      <c r="R15" s="49" t="s">
        <v>57</v>
      </c>
      <c r="S15" s="51">
        <f t="shared" si="4"/>
        <v>14</v>
      </c>
      <c r="T15" s="52">
        <f t="shared" si="5"/>
        <v>0</v>
      </c>
      <c r="U15" s="52"/>
      <c r="V15" s="51">
        <f t="shared" si="6"/>
        <v>2</v>
      </c>
      <c r="W15" s="52">
        <f t="shared" si="7"/>
        <v>-1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103</v>
      </c>
      <c r="C16" s="37">
        <v>197.0</v>
      </c>
      <c r="D16" s="37">
        <v>20.0</v>
      </c>
      <c r="E16" s="40">
        <f t="shared" si="2"/>
        <v>12.78571429</v>
      </c>
      <c r="F16" s="90">
        <v>1.0</v>
      </c>
      <c r="G16" s="91">
        <v>2.0</v>
      </c>
      <c r="H16" s="92">
        <v>0.0</v>
      </c>
      <c r="I16" s="91">
        <v>1.0</v>
      </c>
      <c r="J16" s="91">
        <v>6.0</v>
      </c>
      <c r="K16" s="91">
        <v>6.0</v>
      </c>
      <c r="L16" s="93">
        <v>13.0</v>
      </c>
      <c r="M16" s="91">
        <v>2.0</v>
      </c>
      <c r="N16" s="37">
        <f t="shared" ref="N16:O16" si="21">C16+L16</f>
        <v>210</v>
      </c>
      <c r="O16" s="37">
        <f t="shared" si="21"/>
        <v>22</v>
      </c>
      <c r="P16" s="49" t="s">
        <v>57</v>
      </c>
      <c r="Q16" s="49" t="s">
        <v>57</v>
      </c>
      <c r="R16" s="49" t="s">
        <v>57</v>
      </c>
      <c r="S16" s="51">
        <f t="shared" si="4"/>
        <v>14</v>
      </c>
      <c r="T16" s="52">
        <f t="shared" si="5"/>
        <v>0</v>
      </c>
      <c r="U16" s="52"/>
      <c r="V16" s="51">
        <f t="shared" si="6"/>
        <v>2</v>
      </c>
      <c r="W16" s="52">
        <f t="shared" si="7"/>
        <v>0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93</v>
      </c>
      <c r="C17" s="37">
        <v>193.0</v>
      </c>
      <c r="D17" s="37">
        <v>17.0</v>
      </c>
      <c r="E17" s="40">
        <f t="shared" si="2"/>
        <v>12.75</v>
      </c>
      <c r="F17" s="90">
        <v>1.0</v>
      </c>
      <c r="G17" s="91">
        <v>3.0</v>
      </c>
      <c r="H17" s="92">
        <v>0.0</v>
      </c>
      <c r="I17" s="91">
        <v>7.0</v>
      </c>
      <c r="J17" s="91">
        <v>6.0</v>
      </c>
      <c r="K17" s="91">
        <v>4.0</v>
      </c>
      <c r="L17" s="93">
        <v>17.0</v>
      </c>
      <c r="M17" s="91">
        <v>1.0</v>
      </c>
      <c r="N17" s="37">
        <f t="shared" ref="N17:O17" si="22">C17+L17</f>
        <v>210</v>
      </c>
      <c r="O17" s="37">
        <f t="shared" si="22"/>
        <v>18</v>
      </c>
      <c r="P17" s="49" t="s">
        <v>57</v>
      </c>
      <c r="Q17" s="49" t="s">
        <v>57</v>
      </c>
      <c r="R17" s="49" t="s">
        <v>57</v>
      </c>
      <c r="S17" s="51">
        <f t="shared" si="4"/>
        <v>12</v>
      </c>
      <c r="T17" s="52">
        <f t="shared" si="5"/>
        <v>1</v>
      </c>
      <c r="U17" s="52"/>
      <c r="V17" s="51">
        <f t="shared" si="6"/>
        <v>3</v>
      </c>
      <c r="W17" s="52">
        <f t="shared" si="7"/>
        <v>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132</v>
      </c>
      <c r="C18" s="37">
        <v>192.0</v>
      </c>
      <c r="D18" s="37">
        <v>18.0</v>
      </c>
      <c r="E18" s="40">
        <f t="shared" si="2"/>
        <v>15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201</v>
      </c>
      <c r="O18" s="37">
        <f t="shared" si="23"/>
        <v>18</v>
      </c>
      <c r="P18" s="49" t="s">
        <v>57</v>
      </c>
      <c r="Q18" s="49" t="s">
        <v>57</v>
      </c>
      <c r="R18" s="49" t="s">
        <v>57</v>
      </c>
      <c r="S18" s="51">
        <f t="shared" si="4"/>
        <v>8</v>
      </c>
      <c r="T18" s="52">
        <f t="shared" si="5"/>
        <v>0</v>
      </c>
      <c r="U18" s="52"/>
      <c r="V18" s="51">
        <f t="shared" si="6"/>
        <v>8</v>
      </c>
      <c r="W18" s="52">
        <f t="shared" si="7"/>
        <v>-3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91</v>
      </c>
      <c r="C19" s="37">
        <v>191.0</v>
      </c>
      <c r="D19" s="37">
        <v>17.0</v>
      </c>
      <c r="E19" s="40">
        <f t="shared" si="2"/>
        <v>13.7</v>
      </c>
      <c r="F19" s="90">
        <v>2.0</v>
      </c>
      <c r="G19" s="91">
        <v>3.0</v>
      </c>
      <c r="H19" s="92">
        <v>0.0</v>
      </c>
      <c r="I19" s="91">
        <v>7.0</v>
      </c>
      <c r="J19" s="91">
        <v>7.0</v>
      </c>
      <c r="K19" s="91">
        <v>6.0</v>
      </c>
      <c r="L19" s="93">
        <v>20.0</v>
      </c>
      <c r="M19" s="91">
        <v>3.0</v>
      </c>
      <c r="N19" s="37">
        <f t="shared" ref="N19:O19" si="24">C19+L19</f>
        <v>211</v>
      </c>
      <c r="O19" s="37">
        <f t="shared" si="24"/>
        <v>20</v>
      </c>
      <c r="P19" s="49" t="s">
        <v>57</v>
      </c>
      <c r="Q19" s="49" t="s">
        <v>57</v>
      </c>
      <c r="R19" s="49" t="s">
        <v>57</v>
      </c>
      <c r="S19" s="51">
        <f t="shared" si="4"/>
        <v>10</v>
      </c>
      <c r="T19" s="52">
        <f t="shared" si="5"/>
        <v>0</v>
      </c>
      <c r="U19" s="52"/>
      <c r="V19" s="51">
        <f t="shared" si="6"/>
        <v>6</v>
      </c>
      <c r="W19" s="52">
        <f t="shared" si="7"/>
        <v>-1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96</v>
      </c>
      <c r="C20" s="37">
        <v>190.0</v>
      </c>
      <c r="D20" s="37">
        <v>21.0</v>
      </c>
      <c r="E20" s="40">
        <f t="shared" si="2"/>
        <v>11.875</v>
      </c>
      <c r="F20" s="90">
        <v>1.0</v>
      </c>
      <c r="G20" s="91">
        <v>3.0</v>
      </c>
      <c r="H20" s="92">
        <v>0.0</v>
      </c>
      <c r="I20" s="91">
        <v>5.0</v>
      </c>
      <c r="J20" s="91">
        <v>7.0</v>
      </c>
      <c r="K20" s="91">
        <v>4.0</v>
      </c>
      <c r="L20" s="93">
        <v>16.0</v>
      </c>
      <c r="M20" s="91">
        <v>1.0</v>
      </c>
      <c r="N20" s="37">
        <f t="shared" ref="N20:O20" si="25">C20+L20</f>
        <v>206</v>
      </c>
      <c r="O20" s="37">
        <f t="shared" si="25"/>
        <v>22</v>
      </c>
      <c r="P20" s="49" t="s">
        <v>57</v>
      </c>
      <c r="Q20" s="49" t="s">
        <v>57</v>
      </c>
      <c r="R20" s="49" t="s">
        <v>57</v>
      </c>
      <c r="S20" s="51">
        <f t="shared" si="4"/>
        <v>16</v>
      </c>
      <c r="T20" s="52">
        <f t="shared" si="5"/>
        <v>0</v>
      </c>
      <c r="U20" s="52"/>
      <c r="V20" s="51">
        <f t="shared" si="6"/>
        <v>0</v>
      </c>
      <c r="W20" s="52">
        <f t="shared" si="7"/>
        <v>-3</v>
      </c>
      <c r="X20" s="35">
        <f t="shared" si="12"/>
        <v>16</v>
      </c>
      <c r="Y20" s="35" t="str">
        <f t="shared" si="8"/>
        <v>Y</v>
      </c>
      <c r="Z20" s="19" t="str">
        <f t="shared" si="9"/>
        <v/>
      </c>
    </row>
    <row r="21">
      <c r="A21" s="35">
        <f t="shared" si="10"/>
        <v>17</v>
      </c>
      <c r="B21" s="36" t="s">
        <v>114</v>
      </c>
      <c r="C21" s="37">
        <v>190.0</v>
      </c>
      <c r="D21" s="37">
        <v>20.0</v>
      </c>
      <c r="E21" s="40">
        <f t="shared" si="2"/>
        <v>14.11111111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199</v>
      </c>
      <c r="O21" s="37">
        <f t="shared" si="26"/>
        <v>20</v>
      </c>
      <c r="P21" s="49" t="s">
        <v>57</v>
      </c>
      <c r="Q21" s="49" t="s">
        <v>57</v>
      </c>
      <c r="R21" s="49" t="s">
        <v>57</v>
      </c>
      <c r="S21" s="51">
        <f t="shared" si="4"/>
        <v>9</v>
      </c>
      <c r="T21" s="52">
        <f t="shared" si="5"/>
        <v>0</v>
      </c>
      <c r="U21" s="52"/>
      <c r="V21" s="51">
        <f t="shared" si="6"/>
        <v>7</v>
      </c>
      <c r="W21" s="52">
        <f t="shared" si="7"/>
        <v>-2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95</v>
      </c>
      <c r="C22" s="37">
        <v>190.0</v>
      </c>
      <c r="D22" s="37">
        <v>20.0</v>
      </c>
      <c r="E22" s="40">
        <f t="shared" si="2"/>
        <v>12.83333333</v>
      </c>
      <c r="F22" s="90">
        <v>1.0</v>
      </c>
      <c r="G22" s="91">
        <v>3.0</v>
      </c>
      <c r="H22" s="92">
        <v>0.0</v>
      </c>
      <c r="I22" s="91">
        <v>5.0</v>
      </c>
      <c r="J22" s="91">
        <v>6.0</v>
      </c>
      <c r="K22" s="91">
        <v>6.0</v>
      </c>
      <c r="L22" s="93">
        <v>17.0</v>
      </c>
      <c r="M22" s="91">
        <v>1.0</v>
      </c>
      <c r="N22" s="37">
        <f t="shared" ref="N22:O22" si="27">C22+L22</f>
        <v>207</v>
      </c>
      <c r="O22" s="37">
        <f t="shared" si="27"/>
        <v>21</v>
      </c>
      <c r="P22" s="49" t="s">
        <v>57</v>
      </c>
      <c r="Q22" s="49" t="s">
        <v>57</v>
      </c>
      <c r="R22" s="49" t="s">
        <v>57</v>
      </c>
      <c r="S22" s="51">
        <f t="shared" si="4"/>
        <v>12</v>
      </c>
      <c r="T22" s="52">
        <f t="shared" si="5"/>
        <v>0</v>
      </c>
      <c r="U22" s="52"/>
      <c r="V22" s="51">
        <f t="shared" si="6"/>
        <v>4</v>
      </c>
      <c r="W22" s="52">
        <f t="shared" si="7"/>
        <v>8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128</v>
      </c>
      <c r="C23" s="37">
        <v>189.0</v>
      </c>
      <c r="D23" s="37">
        <v>15.0</v>
      </c>
      <c r="E23" s="40">
        <f t="shared" si="2"/>
        <v>12.75</v>
      </c>
      <c r="F23" s="90">
        <v>1.0</v>
      </c>
      <c r="G23" s="91">
        <v>9.0</v>
      </c>
      <c r="H23" s="92">
        <v>0.0</v>
      </c>
      <c r="I23" s="91">
        <v>3.0</v>
      </c>
      <c r="J23" s="91">
        <v>1.0</v>
      </c>
      <c r="K23" s="91">
        <v>6.0</v>
      </c>
      <c r="L23" s="93">
        <v>10.0</v>
      </c>
      <c r="M23" s="91">
        <v>0.0</v>
      </c>
      <c r="N23" s="37">
        <f t="shared" ref="N23:O23" si="28">C23+L23</f>
        <v>199</v>
      </c>
      <c r="O23" s="37">
        <f t="shared" si="28"/>
        <v>15</v>
      </c>
      <c r="P23" s="49" t="s">
        <v>57</v>
      </c>
      <c r="Q23" s="49" t="s">
        <v>57</v>
      </c>
      <c r="R23" s="49" t="s">
        <v>57</v>
      </c>
      <c r="S23" s="51">
        <f t="shared" si="4"/>
        <v>12</v>
      </c>
      <c r="T23" s="52">
        <f t="shared" si="5"/>
        <v>0</v>
      </c>
      <c r="U23" s="52"/>
      <c r="V23" s="51">
        <f t="shared" si="6"/>
        <v>4</v>
      </c>
      <c r="W23" s="52">
        <f t="shared" si="7"/>
        <v>2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142</v>
      </c>
      <c r="C24" s="37">
        <v>188.0</v>
      </c>
      <c r="D24" s="37">
        <v>18.0</v>
      </c>
      <c r="E24" s="40">
        <f t="shared" si="2"/>
        <v>13.4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197</v>
      </c>
      <c r="O24" s="37">
        <f t="shared" si="29"/>
        <v>18</v>
      </c>
      <c r="P24" s="49" t="s">
        <v>57</v>
      </c>
      <c r="Q24" s="49" t="s">
        <v>57</v>
      </c>
      <c r="R24" s="49" t="s">
        <v>57</v>
      </c>
      <c r="S24" s="51">
        <f t="shared" si="4"/>
        <v>10</v>
      </c>
      <c r="T24" s="52">
        <f t="shared" si="5"/>
        <v>0</v>
      </c>
      <c r="U24" s="52"/>
      <c r="V24" s="51">
        <f t="shared" si="6"/>
        <v>6</v>
      </c>
      <c r="W24" s="52">
        <f t="shared" si="7"/>
        <v>-1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108</v>
      </c>
      <c r="C25" s="37">
        <v>187.0</v>
      </c>
      <c r="D25" s="37">
        <v>18.0</v>
      </c>
      <c r="E25" s="40">
        <f t="shared" si="2"/>
        <v>12.90909091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196</v>
      </c>
      <c r="O25" s="37">
        <f t="shared" si="30"/>
        <v>18</v>
      </c>
      <c r="P25" s="49" t="s">
        <v>57</v>
      </c>
      <c r="Q25" s="49" t="s">
        <v>57</v>
      </c>
      <c r="R25" s="49" t="s">
        <v>57</v>
      </c>
      <c r="S25" s="51">
        <f t="shared" si="4"/>
        <v>11</v>
      </c>
      <c r="T25" s="52">
        <f t="shared" si="5"/>
        <v>0</v>
      </c>
      <c r="U25" s="52"/>
      <c r="V25" s="51">
        <f t="shared" si="6"/>
        <v>5</v>
      </c>
      <c r="W25" s="52">
        <f t="shared" si="7"/>
        <v>-3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109</v>
      </c>
      <c r="C26" s="37">
        <v>186.0</v>
      </c>
      <c r="D26" s="37">
        <v>17.0</v>
      </c>
      <c r="E26" s="40">
        <f t="shared" si="2"/>
        <v>12.81818182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195</v>
      </c>
      <c r="O26" s="37">
        <f t="shared" si="31"/>
        <v>17</v>
      </c>
      <c r="P26" s="49" t="s">
        <v>57</v>
      </c>
      <c r="Q26" s="49" t="s">
        <v>57</v>
      </c>
      <c r="R26" s="49" t="s">
        <v>57</v>
      </c>
      <c r="S26" s="51">
        <f t="shared" si="4"/>
        <v>11</v>
      </c>
      <c r="T26" s="52">
        <f t="shared" si="5"/>
        <v>0</v>
      </c>
      <c r="U26" s="52"/>
      <c r="V26" s="51">
        <f t="shared" si="6"/>
        <v>5</v>
      </c>
      <c r="W26" s="52">
        <f t="shared" si="7"/>
        <v>6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99</v>
      </c>
      <c r="C27" s="37">
        <v>186.0</v>
      </c>
      <c r="D27" s="37">
        <v>16.0</v>
      </c>
      <c r="E27" s="40">
        <f t="shared" si="2"/>
        <v>12.45454545</v>
      </c>
      <c r="F27" s="90">
        <v>1.0</v>
      </c>
      <c r="G27" s="91">
        <v>9.0</v>
      </c>
      <c r="H27" s="92">
        <v>0.0</v>
      </c>
      <c r="I27" s="91">
        <v>6.0</v>
      </c>
      <c r="J27" s="91">
        <v>1.0</v>
      </c>
      <c r="K27" s="91">
        <v>7.0</v>
      </c>
      <c r="L27" s="93">
        <v>14.0</v>
      </c>
      <c r="M27" s="91">
        <v>2.0</v>
      </c>
      <c r="N27" s="37">
        <f t="shared" ref="N27:O27" si="32">C27+L27</f>
        <v>200</v>
      </c>
      <c r="O27" s="37">
        <f t="shared" si="32"/>
        <v>18</v>
      </c>
      <c r="P27" s="49" t="s">
        <v>57</v>
      </c>
      <c r="Q27" s="49" t="s">
        <v>57</v>
      </c>
      <c r="R27" s="49" t="s">
        <v>57</v>
      </c>
      <c r="S27" s="51">
        <f t="shared" si="4"/>
        <v>11</v>
      </c>
      <c r="T27" s="52">
        <f t="shared" si="5"/>
        <v>1</v>
      </c>
      <c r="U27" s="52"/>
      <c r="V27" s="51">
        <f t="shared" si="6"/>
        <v>4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112</v>
      </c>
      <c r="C28" s="37">
        <v>186.0</v>
      </c>
      <c r="D28" s="37">
        <v>15.0</v>
      </c>
      <c r="E28" s="40">
        <f t="shared" si="2"/>
        <v>12.5</v>
      </c>
      <c r="F28" s="90">
        <v>2.0</v>
      </c>
      <c r="G28" s="91">
        <v>9.0</v>
      </c>
      <c r="H28" s="92">
        <v>0.0</v>
      </c>
      <c r="I28" s="91">
        <v>6.0</v>
      </c>
      <c r="J28" s="91">
        <v>6.0</v>
      </c>
      <c r="K28" s="91">
        <v>6.0</v>
      </c>
      <c r="L28" s="93">
        <v>18.0</v>
      </c>
      <c r="M28" s="91">
        <v>2.0</v>
      </c>
      <c r="N28" s="37">
        <f t="shared" ref="N28:O28" si="33">C28+L28</f>
        <v>204</v>
      </c>
      <c r="O28" s="37">
        <f t="shared" si="33"/>
        <v>17</v>
      </c>
      <c r="P28" s="49" t="s">
        <v>57</v>
      </c>
      <c r="Q28" s="49" t="s">
        <v>57</v>
      </c>
      <c r="R28" s="49" t="s">
        <v>57</v>
      </c>
      <c r="S28" s="51">
        <f t="shared" si="4"/>
        <v>12</v>
      </c>
      <c r="T28" s="52">
        <f t="shared" si="5"/>
        <v>0</v>
      </c>
      <c r="U28" s="52"/>
      <c r="V28" s="51">
        <f t="shared" si="6"/>
        <v>4</v>
      </c>
      <c r="W28" s="52">
        <f t="shared" si="7"/>
        <v>-1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130</v>
      </c>
      <c r="C29" s="37">
        <v>185.0</v>
      </c>
      <c r="D29" s="37">
        <v>18.0</v>
      </c>
      <c r="E29" s="40">
        <f t="shared" si="2"/>
        <v>11.5625</v>
      </c>
      <c r="F29" s="90">
        <v>1.0</v>
      </c>
      <c r="G29" s="91">
        <v>9.0</v>
      </c>
      <c r="H29" s="92">
        <v>0.0</v>
      </c>
      <c r="I29" s="91">
        <v>3.0</v>
      </c>
      <c r="J29" s="91">
        <v>6.0</v>
      </c>
      <c r="K29" s="91">
        <v>7.0</v>
      </c>
      <c r="L29" s="93">
        <v>16.0</v>
      </c>
      <c r="M29" s="91">
        <v>2.0</v>
      </c>
      <c r="N29" s="37">
        <f t="shared" ref="N29:O29" si="34">C29+L29</f>
        <v>201</v>
      </c>
      <c r="O29" s="37">
        <f t="shared" si="34"/>
        <v>20</v>
      </c>
      <c r="P29" s="49" t="s">
        <v>57</v>
      </c>
      <c r="Q29" s="49" t="s">
        <v>57</v>
      </c>
      <c r="R29" s="49" t="s">
        <v>57</v>
      </c>
      <c r="S29" s="51">
        <f t="shared" si="4"/>
        <v>16</v>
      </c>
      <c r="T29" s="52">
        <f t="shared" si="5"/>
        <v>0</v>
      </c>
      <c r="U29" s="52"/>
      <c r="V29" s="51">
        <f t="shared" si="6"/>
        <v>0</v>
      </c>
      <c r="W29" s="52">
        <f t="shared" si="7"/>
        <v>-1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117</v>
      </c>
      <c r="C30" s="37">
        <v>185.0</v>
      </c>
      <c r="D30" s="37">
        <v>15.0</v>
      </c>
      <c r="E30" s="40">
        <f t="shared" si="2"/>
        <v>12.08333333</v>
      </c>
      <c r="F30" s="90">
        <v>2.0</v>
      </c>
      <c r="G30" s="91">
        <v>4.0</v>
      </c>
      <c r="H30" s="92">
        <v>0.0</v>
      </c>
      <c r="I30" s="91">
        <v>7.0</v>
      </c>
      <c r="J30" s="91">
        <v>7.0</v>
      </c>
      <c r="K30" s="91">
        <v>6.0</v>
      </c>
      <c r="L30" s="93">
        <v>20.0</v>
      </c>
      <c r="M30" s="91">
        <v>3.0</v>
      </c>
      <c r="N30" s="37">
        <f t="shared" ref="N30:O30" si="35">C30+L30</f>
        <v>205</v>
      </c>
      <c r="O30" s="37">
        <f t="shared" si="35"/>
        <v>18</v>
      </c>
      <c r="P30" s="49" t="s">
        <v>57</v>
      </c>
      <c r="Q30" s="49" t="s">
        <v>57</v>
      </c>
      <c r="R30" s="49" t="s">
        <v>57</v>
      </c>
      <c r="S30" s="51">
        <f t="shared" si="4"/>
        <v>12</v>
      </c>
      <c r="T30" s="52">
        <f t="shared" si="5"/>
        <v>1</v>
      </c>
      <c r="U30" s="52"/>
      <c r="V30" s="51">
        <f t="shared" si="6"/>
        <v>3</v>
      </c>
      <c r="W30" s="52">
        <f t="shared" si="7"/>
        <v>10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97</v>
      </c>
      <c r="C31" s="37">
        <v>185.0</v>
      </c>
      <c r="D31" s="37">
        <v>13.0</v>
      </c>
      <c r="E31" s="40">
        <f t="shared" si="2"/>
        <v>13.55555556</v>
      </c>
      <c r="F31" s="90">
        <v>1.0</v>
      </c>
      <c r="G31" s="91">
        <v>4.0</v>
      </c>
      <c r="H31" s="92">
        <v>0.0</v>
      </c>
      <c r="I31" s="91">
        <v>6.0</v>
      </c>
      <c r="J31" s="91">
        <v>7.0</v>
      </c>
      <c r="K31" s="91">
        <v>1.0</v>
      </c>
      <c r="L31" s="93">
        <v>14.0</v>
      </c>
      <c r="M31" s="91">
        <v>1.0</v>
      </c>
      <c r="N31" s="37">
        <f t="shared" ref="N31:O31" si="36">C31+L31</f>
        <v>199</v>
      </c>
      <c r="O31" s="37">
        <f t="shared" si="36"/>
        <v>14</v>
      </c>
      <c r="P31" s="49" t="s">
        <v>57</v>
      </c>
      <c r="Q31" s="49" t="s">
        <v>57</v>
      </c>
      <c r="R31" s="49" t="s">
        <v>57</v>
      </c>
      <c r="S31" s="51">
        <f t="shared" si="4"/>
        <v>9</v>
      </c>
      <c r="T31" s="52">
        <f t="shared" si="5"/>
        <v>0</v>
      </c>
      <c r="U31" s="52"/>
      <c r="V31" s="51">
        <f t="shared" si="6"/>
        <v>7</v>
      </c>
      <c r="W31" s="52">
        <f t="shared" si="7"/>
        <v>5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113</v>
      </c>
      <c r="C32" s="37">
        <v>184.0</v>
      </c>
      <c r="D32" s="37">
        <v>17.0</v>
      </c>
      <c r="E32" s="40">
        <f t="shared" si="2"/>
        <v>14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193</v>
      </c>
      <c r="O32" s="37">
        <f t="shared" si="37"/>
        <v>17</v>
      </c>
      <c r="P32" s="49" t="s">
        <v>57</v>
      </c>
      <c r="Q32" s="49" t="s">
        <v>57</v>
      </c>
      <c r="R32" s="49" t="s">
        <v>57</v>
      </c>
      <c r="S32" s="51">
        <f t="shared" si="4"/>
        <v>8</v>
      </c>
      <c r="T32" s="52">
        <f t="shared" si="5"/>
        <v>0</v>
      </c>
      <c r="U32" s="52"/>
      <c r="V32" s="51">
        <f t="shared" si="6"/>
        <v>8</v>
      </c>
      <c r="W32" s="52">
        <f t="shared" si="7"/>
        <v>-1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120</v>
      </c>
      <c r="C33" s="37">
        <v>182.0</v>
      </c>
      <c r="D33" s="37">
        <v>14.0</v>
      </c>
      <c r="E33" s="40">
        <f t="shared" si="2"/>
        <v>14.42857143</v>
      </c>
      <c r="F33" s="90">
        <v>1.0</v>
      </c>
      <c r="G33" s="91">
        <v>4.0</v>
      </c>
      <c r="H33" s="92">
        <v>0.0</v>
      </c>
      <c r="I33" s="91">
        <v>6.0</v>
      </c>
      <c r="J33" s="91">
        <v>6.0</v>
      </c>
      <c r="K33" s="91">
        <v>6.0</v>
      </c>
      <c r="L33" s="93">
        <v>18.0</v>
      </c>
      <c r="M33" s="91">
        <v>1.0</v>
      </c>
      <c r="N33" s="37">
        <f t="shared" ref="N33:O33" si="38">C33+L33</f>
        <v>200</v>
      </c>
      <c r="O33" s="37">
        <f t="shared" si="38"/>
        <v>15</v>
      </c>
      <c r="P33" s="49" t="s">
        <v>57</v>
      </c>
      <c r="Q33" s="49" t="s">
        <v>57</v>
      </c>
      <c r="R33" s="49" t="s">
        <v>57</v>
      </c>
      <c r="S33" s="51">
        <f t="shared" si="4"/>
        <v>7</v>
      </c>
      <c r="T33" s="52">
        <f t="shared" si="5"/>
        <v>0</v>
      </c>
      <c r="U33" s="52"/>
      <c r="V33" s="51">
        <f t="shared" si="6"/>
        <v>9</v>
      </c>
      <c r="W33" s="52">
        <f t="shared" si="7"/>
        <v>-7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139</v>
      </c>
      <c r="C34" s="37">
        <v>181.0</v>
      </c>
      <c r="D34" s="37">
        <v>17.0</v>
      </c>
      <c r="E34" s="40">
        <f t="shared" si="2"/>
        <v>11.84615385</v>
      </c>
      <c r="F34" s="90">
        <v>1.0</v>
      </c>
      <c r="G34" s="91">
        <v>4.0</v>
      </c>
      <c r="H34" s="92">
        <v>0.0</v>
      </c>
      <c r="I34" s="91">
        <v>7.0</v>
      </c>
      <c r="J34" s="91">
        <v>6.0</v>
      </c>
      <c r="K34" s="91">
        <v>1.0</v>
      </c>
      <c r="L34" s="93">
        <v>14.0</v>
      </c>
      <c r="M34" s="91">
        <v>1.0</v>
      </c>
      <c r="N34" s="37">
        <f t="shared" ref="N34:O34" si="39">C34+L34</f>
        <v>195</v>
      </c>
      <c r="O34" s="37">
        <f t="shared" si="39"/>
        <v>18</v>
      </c>
      <c r="P34" s="49" t="s">
        <v>57</v>
      </c>
      <c r="Q34" s="49" t="s">
        <v>57</v>
      </c>
      <c r="R34" s="49" t="s">
        <v>57</v>
      </c>
      <c r="S34" s="51">
        <f t="shared" si="4"/>
        <v>13</v>
      </c>
      <c r="T34" s="52">
        <f t="shared" si="5"/>
        <v>0</v>
      </c>
      <c r="U34" s="52"/>
      <c r="V34" s="51">
        <f t="shared" si="6"/>
        <v>3</v>
      </c>
      <c r="W34" s="52">
        <f t="shared" si="7"/>
        <v>12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126</v>
      </c>
      <c r="C35" s="37">
        <v>181.0</v>
      </c>
      <c r="D35" s="37">
        <v>16.0</v>
      </c>
      <c r="E35" s="40">
        <f t="shared" si="2"/>
        <v>12.36363636</v>
      </c>
      <c r="F35" s="90">
        <v>1.0</v>
      </c>
      <c r="G35" s="91">
        <v>5.0</v>
      </c>
      <c r="H35" s="92">
        <v>0.0</v>
      </c>
      <c r="I35" s="91">
        <v>6.0</v>
      </c>
      <c r="J35" s="91">
        <v>6.0</v>
      </c>
      <c r="K35" s="91">
        <v>2.0</v>
      </c>
      <c r="L35" s="93">
        <v>14.0</v>
      </c>
      <c r="M35" s="91">
        <v>2.0</v>
      </c>
      <c r="N35" s="37">
        <f t="shared" ref="N35:O35" si="40">C35+L35</f>
        <v>195</v>
      </c>
      <c r="O35" s="37">
        <f t="shared" si="40"/>
        <v>18</v>
      </c>
      <c r="P35" s="49" t="s">
        <v>57</v>
      </c>
      <c r="Q35" s="49" t="s">
        <v>57</v>
      </c>
      <c r="R35" s="49" t="s">
        <v>57</v>
      </c>
      <c r="S35" s="51">
        <f t="shared" si="4"/>
        <v>11</v>
      </c>
      <c r="T35" s="52">
        <f t="shared" si="5"/>
        <v>0</v>
      </c>
      <c r="U35" s="52"/>
      <c r="V35" s="51">
        <f t="shared" si="6"/>
        <v>5</v>
      </c>
      <c r="W35" s="52">
        <f t="shared" si="7"/>
        <v>-6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64</v>
      </c>
      <c r="C36" s="37">
        <v>180.0</v>
      </c>
      <c r="D36" s="37">
        <v>14.0</v>
      </c>
      <c r="E36" s="40">
        <f t="shared" si="2"/>
        <v>11.4</v>
      </c>
      <c r="F36" s="90">
        <v>1.0</v>
      </c>
      <c r="G36" s="91">
        <v>5.0</v>
      </c>
      <c r="H36" s="92">
        <v>0.0</v>
      </c>
      <c r="I36" s="91">
        <v>2.0</v>
      </c>
      <c r="J36" s="91">
        <v>1.0</v>
      </c>
      <c r="K36" s="91">
        <v>2.0</v>
      </c>
      <c r="L36" s="93">
        <v>5.0</v>
      </c>
      <c r="M36" s="91">
        <v>0.0</v>
      </c>
      <c r="N36" s="37">
        <f t="shared" ref="N36:O36" si="41">C36+L36</f>
        <v>185</v>
      </c>
      <c r="O36" s="37">
        <f t="shared" si="41"/>
        <v>14</v>
      </c>
      <c r="P36" s="49" t="s">
        <v>57</v>
      </c>
      <c r="Q36" s="49" t="s">
        <v>57</v>
      </c>
      <c r="R36" s="49" t="s">
        <v>57</v>
      </c>
      <c r="S36" s="51">
        <f t="shared" si="4"/>
        <v>15</v>
      </c>
      <c r="T36" s="52">
        <f t="shared" si="5"/>
        <v>0</v>
      </c>
      <c r="U36" s="52"/>
      <c r="V36" s="51">
        <f t="shared" si="6"/>
        <v>1</v>
      </c>
      <c r="W36" s="52">
        <f t="shared" si="7"/>
        <v>-2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51</v>
      </c>
      <c r="C37" s="37">
        <v>179.0</v>
      </c>
      <c r="D37" s="37">
        <v>14.0</v>
      </c>
      <c r="E37" s="40">
        <f t="shared" si="2"/>
        <v>16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188</v>
      </c>
      <c r="O37" s="37">
        <f t="shared" si="42"/>
        <v>14</v>
      </c>
      <c r="P37" s="49" t="s">
        <v>57</v>
      </c>
      <c r="Q37" s="49" t="s">
        <v>57</v>
      </c>
      <c r="R37" s="49" t="s">
        <v>57</v>
      </c>
      <c r="S37" s="51">
        <f t="shared" si="4"/>
        <v>5</v>
      </c>
      <c r="T37" s="52">
        <f t="shared" si="5"/>
        <v>0</v>
      </c>
      <c r="U37" s="52"/>
      <c r="V37" s="51">
        <f t="shared" si="6"/>
        <v>11</v>
      </c>
      <c r="W37" s="52">
        <f t="shared" si="7"/>
        <v>-4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90</v>
      </c>
      <c r="C38" s="37">
        <v>178.0</v>
      </c>
      <c r="D38" s="37">
        <v>12.0</v>
      </c>
      <c r="E38" s="40">
        <f t="shared" si="2"/>
        <v>14.66666667</v>
      </c>
      <c r="F38" s="90">
        <v>3.0</v>
      </c>
      <c r="G38" s="91">
        <v>0.0</v>
      </c>
      <c r="H38" s="92">
        <v>9.0</v>
      </c>
      <c r="I38" s="91">
        <v>0.0</v>
      </c>
      <c r="J38" s="91">
        <v>0.0</v>
      </c>
      <c r="K38" s="91">
        <v>0.0</v>
      </c>
      <c r="L38" s="93">
        <v>9.0</v>
      </c>
      <c r="M38" s="91">
        <v>0.0</v>
      </c>
      <c r="N38" s="37">
        <f t="shared" ref="N38:O38" si="43">C38+L38</f>
        <v>187</v>
      </c>
      <c r="O38" s="37">
        <f t="shared" si="43"/>
        <v>12</v>
      </c>
      <c r="P38" s="49" t="s">
        <v>57</v>
      </c>
      <c r="Q38" s="49" t="s">
        <v>57</v>
      </c>
      <c r="R38" s="49" t="s">
        <v>57</v>
      </c>
      <c r="S38" s="51">
        <f t="shared" si="4"/>
        <v>6</v>
      </c>
      <c r="T38" s="52">
        <f t="shared" si="5"/>
        <v>0</v>
      </c>
      <c r="U38" s="52"/>
      <c r="V38" s="51">
        <f t="shared" si="6"/>
        <v>10</v>
      </c>
      <c r="W38" s="52">
        <f t="shared" si="7"/>
        <v>-3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137</v>
      </c>
      <c r="C39" s="37">
        <v>177.0</v>
      </c>
      <c r="D39" s="37">
        <v>15.0</v>
      </c>
      <c r="E39" s="40">
        <f t="shared" si="2"/>
        <v>11.75</v>
      </c>
      <c r="F39" s="90">
        <v>1.0</v>
      </c>
      <c r="G39" s="91">
        <v>5.0</v>
      </c>
      <c r="H39" s="92">
        <v>0.0</v>
      </c>
      <c r="I39" s="91">
        <v>6.0</v>
      </c>
      <c r="J39" s="91">
        <v>1.0</v>
      </c>
      <c r="K39" s="91">
        <v>6.0</v>
      </c>
      <c r="L39" s="93">
        <v>13.0</v>
      </c>
      <c r="M39" s="91">
        <v>2.0</v>
      </c>
      <c r="N39" s="37">
        <f t="shared" ref="N39:O39" si="44">C39+L39</f>
        <v>190</v>
      </c>
      <c r="O39" s="37">
        <f t="shared" si="44"/>
        <v>17</v>
      </c>
      <c r="P39" s="49" t="s">
        <v>57</v>
      </c>
      <c r="Q39" s="49" t="s">
        <v>57</v>
      </c>
      <c r="R39" s="49" t="s">
        <v>57</v>
      </c>
      <c r="S39" s="51">
        <f t="shared" si="4"/>
        <v>12</v>
      </c>
      <c r="T39" s="52">
        <f t="shared" si="5"/>
        <v>0</v>
      </c>
      <c r="U39" s="52"/>
      <c r="V39" s="51">
        <f t="shared" si="6"/>
        <v>4</v>
      </c>
      <c r="W39" s="52">
        <f t="shared" si="7"/>
        <v>-2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143</v>
      </c>
      <c r="C40" s="37">
        <v>176.0</v>
      </c>
      <c r="D40" s="37">
        <v>15.0</v>
      </c>
      <c r="E40" s="40">
        <f t="shared" si="2"/>
        <v>12.2</v>
      </c>
      <c r="F40" s="90">
        <v>1.0</v>
      </c>
      <c r="G40" s="91">
        <v>5.0</v>
      </c>
      <c r="H40" s="92">
        <v>0.0</v>
      </c>
      <c r="I40" s="91">
        <v>2.0</v>
      </c>
      <c r="J40" s="91">
        <v>6.0</v>
      </c>
      <c r="K40" s="91">
        <v>6.0</v>
      </c>
      <c r="L40" s="93">
        <v>14.0</v>
      </c>
      <c r="M40" s="91">
        <v>2.0</v>
      </c>
      <c r="N40" s="37">
        <f t="shared" ref="N40:O40" si="45">C40+L40</f>
        <v>190</v>
      </c>
      <c r="O40" s="37">
        <f t="shared" si="45"/>
        <v>17</v>
      </c>
      <c r="P40" s="49" t="s">
        <v>57</v>
      </c>
      <c r="Q40" s="49" t="s">
        <v>57</v>
      </c>
      <c r="R40" s="49" t="s">
        <v>57</v>
      </c>
      <c r="S40" s="51">
        <f t="shared" si="4"/>
        <v>10</v>
      </c>
      <c r="T40" s="52">
        <f t="shared" si="5"/>
        <v>0</v>
      </c>
      <c r="U40" s="52"/>
      <c r="V40" s="51">
        <f t="shared" si="6"/>
        <v>6</v>
      </c>
      <c r="W40" s="52">
        <f t="shared" si="7"/>
        <v>-2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59</v>
      </c>
      <c r="C41" s="37">
        <v>176.0</v>
      </c>
      <c r="D41" s="37">
        <v>14.0</v>
      </c>
      <c r="E41" s="40">
        <f t="shared" si="2"/>
        <v>11.13333333</v>
      </c>
      <c r="F41" s="90">
        <v>1.0</v>
      </c>
      <c r="G41" s="91">
        <v>6.0</v>
      </c>
      <c r="H41" s="92">
        <v>0.0</v>
      </c>
      <c r="I41" s="91">
        <v>4.0</v>
      </c>
      <c r="J41" s="91">
        <v>6.0</v>
      </c>
      <c r="K41" s="91">
        <v>3.0</v>
      </c>
      <c r="L41" s="93">
        <v>13.0</v>
      </c>
      <c r="M41" s="91">
        <v>1.0</v>
      </c>
      <c r="N41" s="37">
        <f t="shared" ref="N41:O41" si="46">C41+L41</f>
        <v>189</v>
      </c>
      <c r="O41" s="37">
        <f t="shared" si="46"/>
        <v>15</v>
      </c>
      <c r="P41" s="49" t="s">
        <v>57</v>
      </c>
      <c r="Q41" s="49" t="s">
        <v>57</v>
      </c>
      <c r="R41" s="49" t="s">
        <v>57</v>
      </c>
      <c r="S41" s="51">
        <f t="shared" si="4"/>
        <v>15</v>
      </c>
      <c r="T41" s="52">
        <f t="shared" si="5"/>
        <v>0</v>
      </c>
      <c r="U41" s="52"/>
      <c r="V41" s="51">
        <f t="shared" si="6"/>
        <v>1</v>
      </c>
      <c r="W41" s="52">
        <f t="shared" si="7"/>
        <v>-2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101</v>
      </c>
      <c r="C42" s="37">
        <v>176.0</v>
      </c>
      <c r="D42" s="37">
        <v>10.0</v>
      </c>
      <c r="E42" s="40">
        <f t="shared" si="2"/>
        <v>12.11111111</v>
      </c>
      <c r="F42" s="90">
        <v>2.0</v>
      </c>
      <c r="G42" s="91">
        <v>6.0</v>
      </c>
      <c r="H42" s="92">
        <v>0.0</v>
      </c>
      <c r="I42" s="91">
        <v>6.0</v>
      </c>
      <c r="J42" s="91">
        <v>6.0</v>
      </c>
      <c r="K42" s="91">
        <v>6.0</v>
      </c>
      <c r="L42" s="93">
        <v>18.0</v>
      </c>
      <c r="M42" s="91">
        <v>3.0</v>
      </c>
      <c r="N42" s="37">
        <f t="shared" ref="N42:O42" si="47">C42+L42</f>
        <v>194</v>
      </c>
      <c r="O42" s="37">
        <f t="shared" si="47"/>
        <v>13</v>
      </c>
      <c r="P42" s="49" t="s">
        <v>57</v>
      </c>
      <c r="Q42" s="49" t="s">
        <v>57</v>
      </c>
      <c r="R42" s="49" t="s">
        <v>57</v>
      </c>
      <c r="S42" s="51">
        <f t="shared" si="4"/>
        <v>9</v>
      </c>
      <c r="T42" s="52">
        <f t="shared" si="5"/>
        <v>1</v>
      </c>
      <c r="U42" s="52"/>
      <c r="V42" s="51">
        <f t="shared" si="6"/>
        <v>6</v>
      </c>
      <c r="W42" s="52">
        <f t="shared" si="7"/>
        <v>-1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107</v>
      </c>
      <c r="C43" s="37">
        <v>175.0</v>
      </c>
      <c r="D43" s="37">
        <v>16.0</v>
      </c>
      <c r="E43" s="40">
        <f t="shared" si="2"/>
        <v>12.1</v>
      </c>
      <c r="F43" s="90">
        <v>1.0</v>
      </c>
      <c r="G43" s="91">
        <v>6.0</v>
      </c>
      <c r="H43" s="92">
        <v>0.0</v>
      </c>
      <c r="I43" s="91">
        <v>4.0</v>
      </c>
      <c r="J43" s="91">
        <v>3.0</v>
      </c>
      <c r="K43" s="91">
        <v>6.0</v>
      </c>
      <c r="L43" s="93">
        <v>13.0</v>
      </c>
      <c r="M43" s="91">
        <v>1.0</v>
      </c>
      <c r="N43" s="37">
        <f t="shared" ref="N43:O43" si="48">C43+L43</f>
        <v>188</v>
      </c>
      <c r="O43" s="37">
        <f t="shared" si="48"/>
        <v>17</v>
      </c>
      <c r="P43" s="49" t="s">
        <v>57</v>
      </c>
      <c r="Q43" s="49" t="s">
        <v>57</v>
      </c>
      <c r="R43" s="49" t="s">
        <v>57</v>
      </c>
      <c r="S43" s="51">
        <f t="shared" si="4"/>
        <v>10</v>
      </c>
      <c r="T43" s="52">
        <f t="shared" si="5"/>
        <v>0</v>
      </c>
      <c r="U43" s="52"/>
      <c r="V43" s="51">
        <f t="shared" si="6"/>
        <v>6</v>
      </c>
      <c r="W43" s="52">
        <f t="shared" si="7"/>
        <v>-1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138</v>
      </c>
      <c r="C44" s="37">
        <v>175.0</v>
      </c>
      <c r="D44" s="37">
        <v>14.0</v>
      </c>
      <c r="E44" s="40">
        <f t="shared" si="2"/>
        <v>12.1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184</v>
      </c>
      <c r="O44" s="37">
        <f t="shared" si="49"/>
        <v>14</v>
      </c>
      <c r="P44" s="49" t="s">
        <v>57</v>
      </c>
      <c r="Q44" s="49" t="s">
        <v>57</v>
      </c>
      <c r="R44" s="49" t="s">
        <v>57</v>
      </c>
      <c r="S44" s="51">
        <f t="shared" si="4"/>
        <v>10</v>
      </c>
      <c r="T44" s="52">
        <f t="shared" si="5"/>
        <v>0</v>
      </c>
      <c r="U44" s="52"/>
      <c r="V44" s="51">
        <f t="shared" si="6"/>
        <v>6</v>
      </c>
      <c r="W44" s="52">
        <f t="shared" si="7"/>
        <v>-1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134</v>
      </c>
      <c r="C45" s="37">
        <v>173.0</v>
      </c>
      <c r="D45" s="37">
        <v>15.0</v>
      </c>
      <c r="E45" s="40">
        <f t="shared" si="2"/>
        <v>11.23076923</v>
      </c>
      <c r="F45" s="90">
        <v>1.0</v>
      </c>
      <c r="G45" s="91">
        <v>6.0</v>
      </c>
      <c r="H45" s="92">
        <v>0.0</v>
      </c>
      <c r="I45" s="91">
        <v>6.0</v>
      </c>
      <c r="J45" s="91">
        <v>3.0</v>
      </c>
      <c r="K45" s="91">
        <v>3.0</v>
      </c>
      <c r="L45" s="93">
        <v>12.0</v>
      </c>
      <c r="M45" s="91">
        <v>1.0</v>
      </c>
      <c r="N45" s="37">
        <f t="shared" ref="N45:O45" si="50">C45+L45</f>
        <v>185</v>
      </c>
      <c r="O45" s="37">
        <f t="shared" si="50"/>
        <v>16</v>
      </c>
      <c r="P45" s="49" t="s">
        <v>57</v>
      </c>
      <c r="Q45" s="49" t="s">
        <v>57</v>
      </c>
      <c r="R45" s="49" t="s">
        <v>57</v>
      </c>
      <c r="S45" s="51">
        <f t="shared" si="4"/>
        <v>13</v>
      </c>
      <c r="T45" s="52">
        <f t="shared" si="5"/>
        <v>0</v>
      </c>
      <c r="U45" s="52"/>
      <c r="V45" s="51">
        <f t="shared" si="6"/>
        <v>3</v>
      </c>
      <c r="W45" s="52">
        <f t="shared" si="7"/>
        <v>3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115</v>
      </c>
      <c r="C46" s="37">
        <v>173.0</v>
      </c>
      <c r="D46" s="37">
        <v>13.0</v>
      </c>
      <c r="E46" s="40">
        <f t="shared" si="2"/>
        <v>11.41666667</v>
      </c>
      <c r="F46" s="90">
        <v>1.0</v>
      </c>
      <c r="G46" s="91">
        <v>7.0</v>
      </c>
      <c r="H46" s="92">
        <v>0.0</v>
      </c>
      <c r="I46" s="91">
        <v>3.0</v>
      </c>
      <c r="J46" s="91">
        <v>6.0</v>
      </c>
      <c r="K46" s="91">
        <v>4.0</v>
      </c>
      <c r="L46" s="93">
        <v>13.0</v>
      </c>
      <c r="M46" s="91">
        <v>1.0</v>
      </c>
      <c r="N46" s="37">
        <f t="shared" ref="N46:O46" si="51">C46+L46</f>
        <v>186</v>
      </c>
      <c r="O46" s="37">
        <f t="shared" si="51"/>
        <v>14</v>
      </c>
      <c r="P46" s="49" t="s">
        <v>57</v>
      </c>
      <c r="Q46" s="49" t="s">
        <v>57</v>
      </c>
      <c r="R46" s="49" t="s">
        <v>57</v>
      </c>
      <c r="S46" s="51">
        <f t="shared" si="4"/>
        <v>12</v>
      </c>
      <c r="T46" s="52">
        <f t="shared" si="5"/>
        <v>0</v>
      </c>
      <c r="U46" s="52"/>
      <c r="V46" s="51">
        <f t="shared" si="6"/>
        <v>4</v>
      </c>
      <c r="W46" s="52">
        <f t="shared" si="7"/>
        <v>-2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118</v>
      </c>
      <c r="C47" s="37">
        <v>173.0</v>
      </c>
      <c r="D47" s="37">
        <v>12.0</v>
      </c>
      <c r="E47" s="40">
        <f t="shared" si="2"/>
        <v>11.07142857</v>
      </c>
      <c r="F47" s="90">
        <v>1.0</v>
      </c>
      <c r="G47" s="91">
        <v>7.0</v>
      </c>
      <c r="H47" s="92">
        <v>0.0</v>
      </c>
      <c r="I47" s="91">
        <v>3.0</v>
      </c>
      <c r="J47" s="91">
        <v>1.0</v>
      </c>
      <c r="K47" s="91">
        <v>6.0</v>
      </c>
      <c r="L47" s="93">
        <v>10.0</v>
      </c>
      <c r="M47" s="91">
        <v>1.0</v>
      </c>
      <c r="N47" s="37">
        <f t="shared" ref="N47:O47" si="52">C47+L47</f>
        <v>183</v>
      </c>
      <c r="O47" s="37">
        <f t="shared" si="52"/>
        <v>13</v>
      </c>
      <c r="P47" s="49" t="s">
        <v>57</v>
      </c>
      <c r="Q47" s="49" t="s">
        <v>57</v>
      </c>
      <c r="R47" s="49" t="s">
        <v>57</v>
      </c>
      <c r="S47" s="51">
        <f t="shared" si="4"/>
        <v>14</v>
      </c>
      <c r="T47" s="52">
        <f t="shared" si="5"/>
        <v>0</v>
      </c>
      <c r="U47" s="52"/>
      <c r="V47" s="51">
        <f t="shared" si="6"/>
        <v>2</v>
      </c>
      <c r="W47" s="52">
        <f t="shared" si="7"/>
        <v>2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110</v>
      </c>
      <c r="C48" s="37">
        <v>172.0</v>
      </c>
      <c r="D48" s="37">
        <v>16.0</v>
      </c>
      <c r="E48" s="40">
        <f t="shared" si="2"/>
        <v>11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181</v>
      </c>
      <c r="O48" s="37">
        <f t="shared" si="53"/>
        <v>16</v>
      </c>
      <c r="P48" s="49" t="s">
        <v>57</v>
      </c>
      <c r="Q48" s="49" t="s">
        <v>57</v>
      </c>
      <c r="R48" s="49" t="s">
        <v>57</v>
      </c>
      <c r="S48" s="51">
        <f t="shared" si="4"/>
        <v>14</v>
      </c>
      <c r="T48" s="52">
        <f t="shared" si="5"/>
        <v>0</v>
      </c>
      <c r="U48" s="52"/>
      <c r="V48" s="51">
        <f t="shared" si="6"/>
        <v>2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104</v>
      </c>
      <c r="C49" s="37">
        <v>172.0</v>
      </c>
      <c r="D49" s="37">
        <v>13.0</v>
      </c>
      <c r="E49" s="40">
        <f t="shared" si="2"/>
        <v>12.11111111</v>
      </c>
      <c r="F49" s="90">
        <v>1.0</v>
      </c>
      <c r="G49" s="91">
        <v>7.0</v>
      </c>
      <c r="H49" s="92">
        <v>0.0</v>
      </c>
      <c r="I49" s="91">
        <v>6.0</v>
      </c>
      <c r="J49" s="91">
        <v>6.0</v>
      </c>
      <c r="K49" s="91">
        <v>6.0</v>
      </c>
      <c r="L49" s="93">
        <v>18.0</v>
      </c>
      <c r="M49" s="91">
        <v>3.0</v>
      </c>
      <c r="N49" s="37">
        <f t="shared" ref="N49:O49" si="54">C49+L49</f>
        <v>190</v>
      </c>
      <c r="O49" s="37">
        <f t="shared" si="54"/>
        <v>16</v>
      </c>
      <c r="P49" s="49" t="s">
        <v>57</v>
      </c>
      <c r="Q49" s="49" t="s">
        <v>57</v>
      </c>
      <c r="R49" s="49" t="s">
        <v>57</v>
      </c>
      <c r="S49" s="51">
        <f t="shared" si="4"/>
        <v>9</v>
      </c>
      <c r="T49" s="52">
        <f t="shared" si="5"/>
        <v>0</v>
      </c>
      <c r="U49" s="52"/>
      <c r="V49" s="51">
        <f t="shared" si="6"/>
        <v>7</v>
      </c>
      <c r="W49" s="52">
        <f t="shared" si="7"/>
        <v>-2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129</v>
      </c>
      <c r="C50" s="37">
        <v>166.0</v>
      </c>
      <c r="D50" s="37">
        <v>13.0</v>
      </c>
      <c r="E50" s="40">
        <f t="shared" si="2"/>
        <v>10.83333333</v>
      </c>
      <c r="F50" s="90">
        <v>1.0</v>
      </c>
      <c r="G50" s="91">
        <v>7.0</v>
      </c>
      <c r="H50" s="92">
        <v>0.0</v>
      </c>
      <c r="I50" s="91">
        <v>6.0</v>
      </c>
      <c r="J50" s="91">
        <v>1.0</v>
      </c>
      <c r="K50" s="91">
        <v>4.0</v>
      </c>
      <c r="L50" s="93">
        <v>11.0</v>
      </c>
      <c r="M50" s="91">
        <v>1.0</v>
      </c>
      <c r="N50" s="37">
        <f t="shared" ref="N50:O50" si="55">C50+L50</f>
        <v>177</v>
      </c>
      <c r="O50" s="37">
        <f t="shared" si="55"/>
        <v>14</v>
      </c>
      <c r="P50" s="49" t="s">
        <v>57</v>
      </c>
      <c r="Q50" s="49" t="s">
        <v>57</v>
      </c>
      <c r="R50" s="49" t="s">
        <v>57</v>
      </c>
      <c r="S50" s="51">
        <f t="shared" si="4"/>
        <v>12</v>
      </c>
      <c r="T50" s="52">
        <f t="shared" si="5"/>
        <v>0</v>
      </c>
      <c r="U50" s="52"/>
      <c r="V50" s="51">
        <f t="shared" si="6"/>
        <v>4</v>
      </c>
      <c r="W50" s="52">
        <f t="shared" si="7"/>
        <v>4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73</v>
      </c>
      <c r="C51" s="37">
        <v>166.0</v>
      </c>
      <c r="D51" s="37">
        <v>10.0</v>
      </c>
      <c r="E51" s="40">
        <f t="shared" si="2"/>
        <v>13.4</v>
      </c>
      <c r="F51" s="90">
        <v>2.0</v>
      </c>
      <c r="G51" s="91">
        <v>10.0</v>
      </c>
      <c r="H51" s="92">
        <v>0.0</v>
      </c>
      <c r="I51" s="91">
        <v>6.0</v>
      </c>
      <c r="J51" s="91">
        <v>6.0</v>
      </c>
      <c r="K51" s="91">
        <v>6.0</v>
      </c>
      <c r="L51" s="93">
        <v>18.0</v>
      </c>
      <c r="M51" s="91">
        <v>3.0</v>
      </c>
      <c r="N51" s="37">
        <f t="shared" ref="N51:O51" si="56">C51+L51</f>
        <v>184</v>
      </c>
      <c r="O51" s="37">
        <f t="shared" si="56"/>
        <v>13</v>
      </c>
      <c r="P51" s="49" t="s">
        <v>57</v>
      </c>
      <c r="Q51" s="49" t="s">
        <v>57</v>
      </c>
      <c r="R51" s="49" t="s">
        <v>57</v>
      </c>
      <c r="S51" s="51">
        <f t="shared" si="4"/>
        <v>5</v>
      </c>
      <c r="T51" s="52">
        <f t="shared" si="5"/>
        <v>0</v>
      </c>
      <c r="U51" s="52"/>
      <c r="V51" s="51">
        <f t="shared" si="6"/>
        <v>11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54</v>
      </c>
      <c r="C52" s="37">
        <v>166.0</v>
      </c>
      <c r="D52" s="37">
        <v>10.0</v>
      </c>
      <c r="E52" s="40">
        <f t="shared" si="2"/>
        <v>13.4</v>
      </c>
      <c r="F52" s="90">
        <v>1.0</v>
      </c>
      <c r="G52" s="91">
        <v>10.0</v>
      </c>
      <c r="H52" s="92">
        <v>0.0</v>
      </c>
      <c r="I52" s="91">
        <v>3.0</v>
      </c>
      <c r="J52" s="91">
        <v>1.0</v>
      </c>
      <c r="K52" s="91">
        <v>6.0</v>
      </c>
      <c r="L52" s="93">
        <v>10.0</v>
      </c>
      <c r="M52" s="91">
        <v>1.0</v>
      </c>
      <c r="N52" s="37">
        <f t="shared" ref="N52:O52" si="57">C52+L52</f>
        <v>176</v>
      </c>
      <c r="O52" s="37">
        <f t="shared" si="57"/>
        <v>11</v>
      </c>
      <c r="P52" s="49" t="s">
        <v>57</v>
      </c>
      <c r="Q52" s="49" t="s">
        <v>57</v>
      </c>
      <c r="R52" s="49" t="s">
        <v>57</v>
      </c>
      <c r="S52" s="51">
        <f t="shared" si="4"/>
        <v>5</v>
      </c>
      <c r="T52" s="52">
        <f t="shared" si="5"/>
        <v>0</v>
      </c>
      <c r="U52" s="52"/>
      <c r="V52" s="51">
        <f t="shared" si="6"/>
        <v>11</v>
      </c>
      <c r="W52" s="52">
        <f t="shared" si="7"/>
        <v>4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76</v>
      </c>
      <c r="C53" s="37">
        <v>164.0</v>
      </c>
      <c r="D53" s="37">
        <v>8.0</v>
      </c>
      <c r="E53" s="40">
        <f t="shared" si="2"/>
        <v>11.66666667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173</v>
      </c>
      <c r="O53" s="37">
        <f t="shared" si="58"/>
        <v>8</v>
      </c>
      <c r="P53" s="49" t="s">
        <v>57</v>
      </c>
      <c r="Q53" s="49" t="s">
        <v>57</v>
      </c>
      <c r="R53" s="49" t="s">
        <v>57</v>
      </c>
      <c r="S53" s="51">
        <f t="shared" si="4"/>
        <v>6</v>
      </c>
      <c r="T53" s="52">
        <f t="shared" si="5"/>
        <v>1</v>
      </c>
      <c r="U53" s="52"/>
      <c r="V53" s="51">
        <f t="shared" si="6"/>
        <v>9</v>
      </c>
      <c r="W53" s="52">
        <f t="shared" si="7"/>
        <v>-2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151</v>
      </c>
      <c r="C54" s="37">
        <v>162.0</v>
      </c>
      <c r="D54" s="37">
        <v>11.0</v>
      </c>
      <c r="E54" s="40">
        <f t="shared" si="2"/>
        <v>10.4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171</v>
      </c>
      <c r="O54" s="37">
        <f t="shared" si="59"/>
        <v>11</v>
      </c>
      <c r="P54" s="49" t="s">
        <v>57</v>
      </c>
      <c r="Q54" s="49" t="s">
        <v>57</v>
      </c>
      <c r="R54" s="49" t="s">
        <v>57</v>
      </c>
      <c r="S54" s="51">
        <f t="shared" si="4"/>
        <v>10</v>
      </c>
      <c r="T54" s="52">
        <f t="shared" si="5"/>
        <v>1</v>
      </c>
      <c r="U54" s="52"/>
      <c r="V54" s="51">
        <f t="shared" si="6"/>
        <v>5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140</v>
      </c>
      <c r="C55" s="37">
        <v>162.0</v>
      </c>
      <c r="D55" s="37">
        <v>10.0</v>
      </c>
      <c r="E55" s="40">
        <f t="shared" si="2"/>
        <v>10.63636364</v>
      </c>
      <c r="F55" s="90">
        <v>1.0</v>
      </c>
      <c r="G55" s="91">
        <v>10.0</v>
      </c>
      <c r="H55" s="92">
        <v>0.0</v>
      </c>
      <c r="I55" s="91">
        <v>6.0</v>
      </c>
      <c r="J55" s="91">
        <v>1.0</v>
      </c>
      <c r="K55" s="91">
        <v>3.0</v>
      </c>
      <c r="L55" s="93">
        <v>10.0</v>
      </c>
      <c r="M55" s="91">
        <v>1.0</v>
      </c>
      <c r="N55" s="37">
        <f t="shared" ref="N55:O55" si="60">C55+L55</f>
        <v>172</v>
      </c>
      <c r="O55" s="37">
        <f t="shared" si="60"/>
        <v>11</v>
      </c>
      <c r="P55" s="49" t="s">
        <v>57</v>
      </c>
      <c r="Q55" s="49" t="s">
        <v>57</v>
      </c>
      <c r="R55" s="49" t="s">
        <v>57</v>
      </c>
      <c r="S55" s="51">
        <f t="shared" si="4"/>
        <v>11</v>
      </c>
      <c r="T55" s="52">
        <f t="shared" si="5"/>
        <v>0</v>
      </c>
      <c r="U55" s="52"/>
      <c r="V55" s="51">
        <f t="shared" si="6"/>
        <v>5</v>
      </c>
      <c r="W55" s="52">
        <f t="shared" si="7"/>
        <v>-3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153</v>
      </c>
      <c r="C56" s="37">
        <v>157.0</v>
      </c>
      <c r="D56" s="37">
        <v>7.0</v>
      </c>
      <c r="E56" s="40">
        <f t="shared" si="2"/>
        <v>12.25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166</v>
      </c>
      <c r="O56" s="37">
        <f t="shared" si="61"/>
        <v>7</v>
      </c>
      <c r="P56" s="49" t="s">
        <v>57</v>
      </c>
      <c r="Q56" s="49" t="s">
        <v>57</v>
      </c>
      <c r="R56" s="49" t="s">
        <v>57</v>
      </c>
      <c r="S56" s="51">
        <f t="shared" si="4"/>
        <v>4</v>
      </c>
      <c r="T56" s="52">
        <f t="shared" si="5"/>
        <v>0</v>
      </c>
      <c r="U56" s="52"/>
      <c r="V56" s="51">
        <f t="shared" si="6"/>
        <v>12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147</v>
      </c>
      <c r="C57" s="37">
        <v>157.0</v>
      </c>
      <c r="D57" s="37">
        <v>5.0</v>
      </c>
      <c r="E57" s="40">
        <f t="shared" si="2"/>
        <v>10.8</v>
      </c>
      <c r="F57" s="90">
        <v>1.0</v>
      </c>
      <c r="G57" s="91">
        <v>10.0</v>
      </c>
      <c r="H57" s="92">
        <v>0.0</v>
      </c>
      <c r="I57" s="91">
        <v>3.0</v>
      </c>
      <c r="J57" s="91">
        <v>6.0</v>
      </c>
      <c r="K57" s="91">
        <v>3.0</v>
      </c>
      <c r="L57" s="93">
        <v>12.0</v>
      </c>
      <c r="M57" s="91">
        <v>1.0</v>
      </c>
      <c r="N57" s="37">
        <f t="shared" ref="N57:O57" si="62">C57+L57</f>
        <v>169</v>
      </c>
      <c r="O57" s="37">
        <f t="shared" si="62"/>
        <v>6</v>
      </c>
      <c r="P57" s="49" t="s">
        <v>57</v>
      </c>
      <c r="Q57" s="49" t="s">
        <v>57</v>
      </c>
      <c r="R57" s="49" t="s">
        <v>57</v>
      </c>
      <c r="S57" s="51">
        <f t="shared" si="4"/>
        <v>5</v>
      </c>
      <c r="T57" s="52">
        <f t="shared" si="5"/>
        <v>1</v>
      </c>
      <c r="U57" s="52"/>
      <c r="V57" s="51">
        <f t="shared" si="6"/>
        <v>10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152</v>
      </c>
      <c r="C58" s="37">
        <v>155.0</v>
      </c>
      <c r="D58" s="37">
        <v>13.0</v>
      </c>
      <c r="E58" s="40">
        <f t="shared" si="2"/>
        <v>10</v>
      </c>
      <c r="F58" s="90">
        <v>1.0</v>
      </c>
      <c r="G58" s="91">
        <v>8.0</v>
      </c>
      <c r="H58" s="92">
        <v>0.0</v>
      </c>
      <c r="I58" s="91">
        <v>7.0</v>
      </c>
      <c r="J58" s="91">
        <v>6.0</v>
      </c>
      <c r="K58" s="91">
        <v>7.0</v>
      </c>
      <c r="L58" s="93">
        <v>20.0</v>
      </c>
      <c r="M58" s="91">
        <v>3.0</v>
      </c>
      <c r="N58" s="37">
        <f t="shared" ref="N58:O58" si="63">C58+L58</f>
        <v>175</v>
      </c>
      <c r="O58" s="37">
        <f t="shared" si="63"/>
        <v>16</v>
      </c>
      <c r="P58" s="49" t="s">
        <v>57</v>
      </c>
      <c r="Q58" s="49" t="s">
        <v>57</v>
      </c>
      <c r="R58" s="49" t="s">
        <v>57</v>
      </c>
      <c r="S58" s="51">
        <f t="shared" si="4"/>
        <v>11</v>
      </c>
      <c r="T58" s="52">
        <f t="shared" si="5"/>
        <v>0</v>
      </c>
      <c r="U58" s="52"/>
      <c r="V58" s="51">
        <f t="shared" si="6"/>
        <v>5</v>
      </c>
      <c r="W58" s="52">
        <f t="shared" si="7"/>
        <v>1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131</v>
      </c>
      <c r="C59" s="37">
        <v>155.0</v>
      </c>
      <c r="D59" s="37">
        <v>6.0</v>
      </c>
      <c r="E59" s="40">
        <f t="shared" si="2"/>
        <v>11.33333333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164</v>
      </c>
      <c r="O59" s="37">
        <f t="shared" si="64"/>
        <v>6</v>
      </c>
      <c r="P59" s="49" t="s">
        <v>57</v>
      </c>
      <c r="Q59" s="49" t="s">
        <v>57</v>
      </c>
      <c r="R59" s="49" t="s">
        <v>57</v>
      </c>
      <c r="S59" s="51">
        <f t="shared" si="4"/>
        <v>3</v>
      </c>
      <c r="T59" s="52">
        <f t="shared" si="5"/>
        <v>1</v>
      </c>
      <c r="U59" s="52"/>
      <c r="V59" s="51">
        <f t="shared" si="6"/>
        <v>12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70</v>
      </c>
      <c r="C60" s="37">
        <v>154.0</v>
      </c>
      <c r="D60" s="37">
        <v>7.0</v>
      </c>
      <c r="E60" s="40">
        <f t="shared" si="2"/>
        <v>10.5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163</v>
      </c>
      <c r="O60" s="37">
        <f t="shared" si="65"/>
        <v>7</v>
      </c>
      <c r="P60" s="49" t="s">
        <v>57</v>
      </c>
      <c r="Q60" s="49" t="s">
        <v>57</v>
      </c>
      <c r="R60" s="49" t="s">
        <v>57</v>
      </c>
      <c r="S60" s="51">
        <f t="shared" si="4"/>
        <v>4</v>
      </c>
      <c r="T60" s="52">
        <f t="shared" si="5"/>
        <v>1</v>
      </c>
      <c r="U60" s="52"/>
      <c r="V60" s="51">
        <f t="shared" si="6"/>
        <v>11</v>
      </c>
      <c r="W60" s="52">
        <f t="shared" si="7"/>
        <v>5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145</v>
      </c>
      <c r="C61" s="37">
        <v>152.0</v>
      </c>
      <c r="D61" s="37">
        <v>12.0</v>
      </c>
      <c r="E61" s="40">
        <f t="shared" si="2"/>
        <v>9.888888889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161</v>
      </c>
      <c r="O61" s="37">
        <f t="shared" si="66"/>
        <v>12</v>
      </c>
      <c r="P61" s="49" t="s">
        <v>57</v>
      </c>
      <c r="Q61" s="49" t="s">
        <v>57</v>
      </c>
      <c r="R61" s="49" t="s">
        <v>57</v>
      </c>
      <c r="S61" s="51">
        <f t="shared" si="4"/>
        <v>9</v>
      </c>
      <c r="T61" s="52">
        <f t="shared" si="5"/>
        <v>0</v>
      </c>
      <c r="U61" s="52"/>
      <c r="V61" s="51">
        <f t="shared" si="6"/>
        <v>7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116</v>
      </c>
      <c r="C62" s="37">
        <v>152.0</v>
      </c>
      <c r="D62" s="37">
        <v>10.0</v>
      </c>
      <c r="E62" s="40">
        <f t="shared" si="2"/>
        <v>9.5</v>
      </c>
      <c r="F62" s="90">
        <v>1.0</v>
      </c>
      <c r="G62" s="91">
        <v>8.0</v>
      </c>
      <c r="H62" s="92">
        <v>0.0</v>
      </c>
      <c r="I62" s="91">
        <v>5.0</v>
      </c>
      <c r="J62" s="91">
        <v>4.0</v>
      </c>
      <c r="K62" s="91">
        <v>7.0</v>
      </c>
      <c r="L62" s="93">
        <v>16.0</v>
      </c>
      <c r="M62" s="91">
        <v>1.0</v>
      </c>
      <c r="N62" s="37">
        <f t="shared" ref="N62:O62" si="67">C62+L62</f>
        <v>168</v>
      </c>
      <c r="O62" s="37">
        <f t="shared" si="67"/>
        <v>11</v>
      </c>
      <c r="P62" s="49" t="s">
        <v>57</v>
      </c>
      <c r="Q62" s="49" t="s">
        <v>57</v>
      </c>
      <c r="R62" s="49" t="s">
        <v>57</v>
      </c>
      <c r="S62" s="51">
        <f t="shared" si="4"/>
        <v>16</v>
      </c>
      <c r="T62" s="52">
        <f t="shared" si="5"/>
        <v>0</v>
      </c>
      <c r="U62" s="52"/>
      <c r="V62" s="51">
        <f t="shared" si="6"/>
        <v>0</v>
      </c>
      <c r="W62" s="52">
        <f t="shared" si="7"/>
        <v>0</v>
      </c>
      <c r="X62" s="35">
        <f t="shared" si="12"/>
        <v>58</v>
      </c>
      <c r="Y62" s="35" t="str">
        <f t="shared" si="8"/>
        <v>Y</v>
      </c>
      <c r="Z62" s="19" t="str">
        <f t="shared" si="9"/>
        <v/>
      </c>
    </row>
    <row r="63">
      <c r="A63" s="35">
        <f t="shared" si="10"/>
        <v>59</v>
      </c>
      <c r="B63" s="36" t="s">
        <v>100</v>
      </c>
      <c r="C63" s="37">
        <v>152.0</v>
      </c>
      <c r="D63" s="37">
        <v>6.0</v>
      </c>
      <c r="E63" s="40">
        <f t="shared" si="2"/>
        <v>11.66666667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161</v>
      </c>
      <c r="O63" s="37">
        <f t="shared" si="68"/>
        <v>6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13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154</v>
      </c>
      <c r="C64" s="37">
        <v>150.0</v>
      </c>
      <c r="D64" s="37">
        <v>6.0</v>
      </c>
      <c r="E64" s="40">
        <f t="shared" si="2"/>
        <v>10.5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159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4</v>
      </c>
      <c r="T64" s="52">
        <f t="shared" si="5"/>
        <v>0</v>
      </c>
      <c r="U64" s="52"/>
      <c r="V64" s="51">
        <f t="shared" si="6"/>
        <v>12</v>
      </c>
      <c r="W64" s="52">
        <f t="shared" si="7"/>
        <v>6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136</v>
      </c>
      <c r="C65" s="37">
        <v>146.0</v>
      </c>
      <c r="D65" s="37">
        <v>5.0</v>
      </c>
      <c r="E65" s="40">
        <f t="shared" si="2"/>
        <v>9.333333333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155</v>
      </c>
      <c r="O65" s="37">
        <f t="shared" si="70"/>
        <v>5</v>
      </c>
      <c r="P65" s="49" t="s">
        <v>57</v>
      </c>
      <c r="Q65" s="49" t="s">
        <v>57</v>
      </c>
      <c r="R65" s="49" t="s">
        <v>57</v>
      </c>
      <c r="S65" s="51">
        <f t="shared" si="4"/>
        <v>6</v>
      </c>
      <c r="T65" s="52">
        <f t="shared" si="5"/>
        <v>0</v>
      </c>
      <c r="U65" s="52"/>
      <c r="V65" s="51">
        <f t="shared" si="6"/>
        <v>10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146</v>
      </c>
      <c r="C66" s="37">
        <v>146.0</v>
      </c>
      <c r="D66" s="37">
        <v>4.0</v>
      </c>
      <c r="E66" s="40">
        <f t="shared" si="2"/>
        <v>8.333333333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155</v>
      </c>
      <c r="O66" s="37">
        <f t="shared" si="71"/>
        <v>4</v>
      </c>
      <c r="P66" s="49" t="s">
        <v>57</v>
      </c>
      <c r="Q66" s="49" t="s">
        <v>57</v>
      </c>
      <c r="R66" s="49" t="s">
        <v>57</v>
      </c>
      <c r="S66" s="51">
        <f t="shared" si="4"/>
        <v>3</v>
      </c>
      <c r="T66" s="52">
        <f t="shared" si="5"/>
        <v>1</v>
      </c>
      <c r="U66" s="52"/>
      <c r="V66" s="51">
        <f t="shared" si="6"/>
        <v>12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125</v>
      </c>
      <c r="C67" s="37">
        <v>145.0</v>
      </c>
      <c r="D67" s="37">
        <v>3.0</v>
      </c>
      <c r="E67" s="40">
        <f t="shared" si="2"/>
        <v>10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154</v>
      </c>
      <c r="O67" s="37">
        <f t="shared" si="72"/>
        <v>3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15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78</v>
      </c>
      <c r="C68" s="37">
        <v>145.0</v>
      </c>
      <c r="D68" s="37">
        <v>2.0</v>
      </c>
      <c r="E68" s="40">
        <f t="shared" si="2"/>
        <v>6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154</v>
      </c>
      <c r="O68" s="37">
        <f t="shared" si="73"/>
        <v>2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1</v>
      </c>
      <c r="U68" s="52"/>
      <c r="V68" s="51">
        <f t="shared" si="6"/>
        <v>14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148</v>
      </c>
      <c r="C69" s="37">
        <v>144.0</v>
      </c>
      <c r="D69" s="37">
        <v>3.0</v>
      </c>
      <c r="E69" s="40">
        <f t="shared" si="2"/>
        <v>9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153</v>
      </c>
      <c r="O69" s="37">
        <f t="shared" si="74"/>
        <v>3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15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149</v>
      </c>
      <c r="C70" s="37">
        <v>143.0</v>
      </c>
      <c r="D70" s="37">
        <v>7.0</v>
      </c>
      <c r="E70" s="40">
        <f t="shared" si="2"/>
        <v>8.833333333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152</v>
      </c>
      <c r="O70" s="37">
        <f t="shared" si="75"/>
        <v>7</v>
      </c>
      <c r="P70" s="49" t="s">
        <v>57</v>
      </c>
      <c r="Q70" s="49" t="s">
        <v>57</v>
      </c>
      <c r="R70" s="49" t="s">
        <v>57</v>
      </c>
      <c r="S70" s="51">
        <f t="shared" si="4"/>
        <v>6</v>
      </c>
      <c r="T70" s="52">
        <f t="shared" si="5"/>
        <v>0</v>
      </c>
      <c r="U70" s="52"/>
      <c r="V70" s="51">
        <f t="shared" si="6"/>
        <v>10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106</v>
      </c>
      <c r="C71" s="37">
        <v>141.0</v>
      </c>
      <c r="D71" s="37">
        <v>1.0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150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15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133</v>
      </c>
      <c r="C72" s="37">
        <v>140.0</v>
      </c>
      <c r="D72" s="37">
        <v>4.0</v>
      </c>
      <c r="E72" s="40">
        <f t="shared" si="2"/>
        <v>8.5</v>
      </c>
      <c r="F72" s="90">
        <v>1.0</v>
      </c>
      <c r="G72" s="91">
        <v>8.0</v>
      </c>
      <c r="H72" s="92">
        <v>0.0</v>
      </c>
      <c r="I72" s="91">
        <v>7.0</v>
      </c>
      <c r="J72" s="91">
        <v>4.0</v>
      </c>
      <c r="K72" s="91">
        <v>6.0</v>
      </c>
      <c r="L72" s="93">
        <v>17.0</v>
      </c>
      <c r="M72" s="91">
        <v>1.0</v>
      </c>
      <c r="N72" s="37">
        <f t="shared" ref="N72:O72" si="77">C72+L72</f>
        <v>157</v>
      </c>
      <c r="O72" s="37">
        <f t="shared" si="77"/>
        <v>5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8</v>
      </c>
      <c r="W72" s="52">
        <f t="shared" si="7"/>
        <v>2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144</v>
      </c>
      <c r="C73" s="37">
        <v>139.0</v>
      </c>
      <c r="D73" s="37">
        <v>6.0</v>
      </c>
      <c r="E73" s="40">
        <f t="shared" si="2"/>
        <v>8.375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148</v>
      </c>
      <c r="O73" s="37">
        <f t="shared" si="78"/>
        <v>6</v>
      </c>
      <c r="P73" s="49" t="s">
        <v>57</v>
      </c>
      <c r="Q73" s="49" t="s">
        <v>57</v>
      </c>
      <c r="R73" s="49" t="s">
        <v>57</v>
      </c>
      <c r="S73" s="51">
        <f t="shared" si="4"/>
        <v>8</v>
      </c>
      <c r="T73" s="52">
        <f t="shared" si="5"/>
        <v>0</v>
      </c>
      <c r="U73" s="52"/>
      <c r="V73" s="51">
        <f t="shared" si="6"/>
        <v>8</v>
      </c>
      <c r="W73" s="52">
        <f t="shared" si="7"/>
        <v>-1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98</v>
      </c>
      <c r="C74" s="37">
        <v>138.0</v>
      </c>
      <c r="D74" s="37">
        <v>4.0</v>
      </c>
      <c r="E74" s="40">
        <f t="shared" si="2"/>
        <v>7.75</v>
      </c>
      <c r="F74" s="90">
        <v>1.0</v>
      </c>
      <c r="G74" s="91">
        <v>8.0</v>
      </c>
      <c r="H74" s="92">
        <v>0.0</v>
      </c>
      <c r="I74" s="91">
        <v>5.0</v>
      </c>
      <c r="J74" s="91">
        <v>6.0</v>
      </c>
      <c r="K74" s="91">
        <v>6.0</v>
      </c>
      <c r="L74" s="93">
        <v>17.0</v>
      </c>
      <c r="M74" s="91">
        <v>1.0</v>
      </c>
      <c r="N74" s="37">
        <f t="shared" ref="N74:O74" si="79">C74+L74</f>
        <v>155</v>
      </c>
      <c r="O74" s="37">
        <f t="shared" si="79"/>
        <v>5</v>
      </c>
      <c r="P74" s="49" t="s">
        <v>57</v>
      </c>
      <c r="Q74" s="49" t="s">
        <v>57</v>
      </c>
      <c r="R74" s="49" t="s">
        <v>57</v>
      </c>
      <c r="S74" s="51">
        <f t="shared" si="4"/>
        <v>8</v>
      </c>
      <c r="T74" s="52">
        <f t="shared" si="5"/>
        <v>1</v>
      </c>
      <c r="U74" s="52"/>
      <c r="V74" s="51">
        <f t="shared" si="6"/>
        <v>7</v>
      </c>
      <c r="W74" s="52">
        <f t="shared" si="7"/>
        <v>5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124</v>
      </c>
      <c r="C75" s="37">
        <v>137.0</v>
      </c>
      <c r="D75" s="37">
        <v>1.0</v>
      </c>
      <c r="E75" s="40">
        <f t="shared" si="2"/>
        <v>2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146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15</v>
      </c>
      <c r="W75" s="52">
        <f t="shared" si="7"/>
        <v>-2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141</v>
      </c>
      <c r="C76" s="37">
        <v>135.0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144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16</v>
      </c>
      <c r="W76" s="52">
        <f t="shared" si="7"/>
        <v>-1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105</v>
      </c>
      <c r="C77" s="37">
        <v>135.0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144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16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150</v>
      </c>
      <c r="C78" s="37">
        <v>135.0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144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16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87</v>
      </c>
      <c r="C79" s="37">
        <v>135.0</v>
      </c>
      <c r="D79" s="37">
        <v>0.0</v>
      </c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144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1</v>
      </c>
      <c r="T79" s="52">
        <f t="shared" si="5"/>
        <v>0</v>
      </c>
      <c r="U79" s="52"/>
      <c r="V79" s="51">
        <f t="shared" si="6"/>
        <v>15</v>
      </c>
      <c r="W79" s="52">
        <f t="shared" si="7"/>
        <v>-1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04/18/26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desc"",0)"),"Manish Anand")</f>
        <v>Manish Anand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IFERROR(__xludf.DUMMYFUNCTION("""COMPUTED_VALUE"""),3.0)</f>
        <v>3</v>
      </c>
      <c r="F91" s="5"/>
    </row>
    <row r="92">
      <c r="A92" s="5"/>
      <c r="B92" s="36" t="str">
        <f>IFERROR(__xludf.DUMMYFUNCTION("""COMPUTED_VALUE"""),"Darren Wong")</f>
        <v>Darren Wong</v>
      </c>
      <c r="C92" s="122">
        <f>IFERROR(__xludf.DUMMYFUNCTION("""COMPUTED_VALUE"""),18.0)</f>
        <v>18</v>
      </c>
      <c r="D92" s="122">
        <f>IFERROR(__xludf.DUMMYFUNCTION("""COMPUTED_VALUE"""),3.0)</f>
        <v>3</v>
      </c>
      <c r="E92" s="122">
        <f>IFERROR(__xludf.DUMMYFUNCTION("""COMPUTED_VALUE"""),2.0)</f>
        <v>2</v>
      </c>
      <c r="F92" s="5"/>
    </row>
    <row r="93">
      <c r="A93" s="5"/>
      <c r="B93" s="36" t="str">
        <f>IFERROR(__xludf.DUMMYFUNCTION("""COMPUTED_VALUE"""),"Herman Au")</f>
        <v>Herman Au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IFERROR(__xludf.DUMMYFUNCTION("""COMPUTED_VALUE"""),5.0)</f>
        <v>5</v>
      </c>
      <c r="F93" s="5"/>
    </row>
    <row r="94">
      <c r="A94" s="5"/>
      <c r="B94" s="36" t="str">
        <f>IFERROR(__xludf.DUMMYFUNCTION("""COMPUTED_VALUE"""),"Naveen Raj")</f>
        <v>Naveen Raj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IFERROR(__xludf.DUMMYFUNCTION("""COMPUTED_VALUE"""),6.0)</f>
        <v>6</v>
      </c>
      <c r="F94" s="5"/>
    </row>
    <row r="95">
      <c r="A95" s="5"/>
      <c r="B95" s="36" t="str">
        <f>IFERROR(__xludf.DUMMYFUNCTION("""COMPUTED_VALUE"""),"Alejandro Mejia")</f>
        <v>Alejandro Mejia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IFERROR(__xludf.DUMMYFUNCTION("""COMPUTED_VALUE"""),7.0)</f>
        <v>7</v>
      </c>
      <c r="F95" s="5"/>
    </row>
    <row r="96">
      <c r="A96" s="5"/>
      <c r="B96" s="36" t="str">
        <f>IFERROR(__xludf.DUMMYFUNCTION("""COMPUTED_VALUE"""),"Ethan Gu")</f>
        <v>Ethan Gu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IFERROR(__xludf.DUMMYFUNCTION("""COMPUTED_VALUE"""),10.0)</f>
        <v>10</v>
      </c>
      <c r="F96" s="5"/>
    </row>
    <row r="97">
      <c r="A97" s="5"/>
      <c r="B97" s="36" t="str">
        <f>IFERROR(__xludf.DUMMYFUNCTION("""COMPUTED_VALUE"""),"Andrew Wen")</f>
        <v>Andrew Wen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IFERROR(__xludf.DUMMYFUNCTION("""COMPUTED_VALUE"""),8.0)</f>
        <v>8</v>
      </c>
      <c r="F97" s="5"/>
    </row>
    <row r="98">
      <c r="A98" s="5"/>
      <c r="B98" s="36" t="str">
        <f>IFERROR(__xludf.DUMMYFUNCTION("""COMPUTED_VALUE"""),"Vicki Martinet")</f>
        <v>Vicki Martinet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IFERROR(__xludf.DUMMYFUNCTION("""COMPUTED_VALUE"""),8.0)</f>
        <v>8</v>
      </c>
      <c r="F98" s="5"/>
    </row>
    <row r="99">
      <c r="A99" s="5"/>
      <c r="B99" s="36" t="str">
        <f>IFERROR(__xludf.DUMMYFUNCTION("""COMPUTED_VALUE"""),"Camille Jung")</f>
        <v>Camille Jung</v>
      </c>
      <c r="C99" s="122">
        <f>IFERROR(__xludf.DUMMYFUNCTION("""COMPUTED_VALUE"""),18.0)</f>
        <v>18</v>
      </c>
      <c r="D99" s="122">
        <f>IFERROR(__xludf.DUMMYFUNCTION("""COMPUTED_VALUE"""),2.0)</f>
        <v>2</v>
      </c>
      <c r="E99" s="122">
        <f>IFERROR(__xludf.DUMMYFUNCTION("""COMPUTED_VALUE"""),8.0)</f>
        <v>8</v>
      </c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10"")"),"Naveen Raj")</f>
        <v>Naveen Raj</v>
      </c>
      <c r="C110" s="122">
        <f>IFERROR(__xludf.DUMMYFUNCTION("""COMPUTED_VALUE"""),12.0)</f>
        <v>12</v>
      </c>
      <c r="D110" s="122">
        <f t="shared" ref="D110:D119" si="85">VLOOKUP(B110,indirect($AC$2&amp;"!B$5:X$79"),23, false)</f>
        <v>42</v>
      </c>
      <c r="E110" s="122">
        <f t="shared" ref="E110:E119" si="86">VLOOKUP(B110,B$5:X$79,23, false)</f>
        <v>30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6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IFERROR(__xludf.DUMMYFUNCTION("""COMPUTED_VALUE"""),"Herman Au")</f>
        <v>Herman Au</v>
      </c>
      <c r="C111" s="122">
        <f>IFERROR(__xludf.DUMMYFUNCTION("""COMPUTED_VALUE"""),10.0)</f>
        <v>10</v>
      </c>
      <c r="D111" s="122">
        <f t="shared" si="85"/>
        <v>36</v>
      </c>
      <c r="E111" s="122">
        <f t="shared" si="86"/>
        <v>26</v>
      </c>
      <c r="F111" s="122">
        <f t="shared" si="87"/>
        <v>18</v>
      </c>
      <c r="G111" s="122">
        <f t="shared" si="88"/>
        <v>5</v>
      </c>
      <c r="L111" s="122" t="str">
        <f t="shared" si="89"/>
        <v>ok</v>
      </c>
    </row>
    <row r="112">
      <c r="A112" s="5"/>
      <c r="B112" s="36" t="str">
        <f>IFERROR(__xludf.DUMMYFUNCTION("""COMPUTED_VALUE"""),"Manish Anand")</f>
        <v>Manish Anand</v>
      </c>
      <c r="C112" s="122">
        <f>IFERROR(__xludf.DUMMYFUNCTION("""COMPUTED_VALUE"""),8.0)</f>
        <v>8</v>
      </c>
      <c r="D112" s="122">
        <f t="shared" si="85"/>
        <v>26</v>
      </c>
      <c r="E112" s="122">
        <f t="shared" si="86"/>
        <v>18</v>
      </c>
      <c r="F112" s="122">
        <f t="shared" si="87"/>
        <v>19</v>
      </c>
      <c r="G112" s="122">
        <f t="shared" si="88"/>
        <v>3</v>
      </c>
      <c r="L112" s="122" t="str">
        <f t="shared" si="89"/>
        <v>ok</v>
      </c>
    </row>
    <row r="113">
      <c r="A113" s="5"/>
      <c r="B113" s="36" t="str">
        <f>IFERROR(__xludf.DUMMYFUNCTION("""COMPUTED_VALUE"""),"Darren Wong")</f>
        <v>Darren Wong</v>
      </c>
      <c r="C113" s="122">
        <f>IFERROR(__xludf.DUMMYFUNCTION("""COMPUTED_VALUE"""),6.0)</f>
        <v>6</v>
      </c>
      <c r="D113" s="122">
        <f t="shared" si="85"/>
        <v>16</v>
      </c>
      <c r="E113" s="122">
        <f t="shared" si="86"/>
        <v>10</v>
      </c>
      <c r="F113" s="122">
        <f t="shared" si="87"/>
        <v>18</v>
      </c>
      <c r="G113" s="122">
        <f t="shared" si="88"/>
        <v>2</v>
      </c>
      <c r="L113" s="122" t="str">
        <f t="shared" si="89"/>
        <v>ok</v>
      </c>
    </row>
    <row r="114">
      <c r="A114" s="5"/>
      <c r="B114" s="36" t="str">
        <f>IFERROR(__xludf.DUMMYFUNCTION("""COMPUTED_VALUE"""),"Cid Macaraeg")</f>
        <v>Cid Macaraeg</v>
      </c>
      <c r="C114" s="122">
        <f>IFERROR(__xludf.DUMMYFUNCTION("""COMPUTED_VALUE"""),6.0)</f>
        <v>6</v>
      </c>
      <c r="D114" s="122">
        <f t="shared" si="85"/>
        <v>28</v>
      </c>
      <c r="E114" s="122">
        <f t="shared" si="86"/>
        <v>22</v>
      </c>
      <c r="F114" s="122">
        <f t="shared" si="87"/>
        <v>16</v>
      </c>
      <c r="G114" s="122">
        <f t="shared" si="88"/>
        <v>4</v>
      </c>
      <c r="L114" s="122" t="str">
        <f t="shared" si="89"/>
        <v>ok</v>
      </c>
    </row>
    <row r="115">
      <c r="A115" s="5"/>
      <c r="B115" s="36" t="str">
        <f>IFERROR(__xludf.DUMMYFUNCTION("""COMPUTED_VALUE"""),"Vicki Martinet")</f>
        <v>Vicki Martinet</v>
      </c>
      <c r="C115" s="122">
        <f>IFERROR(__xludf.DUMMYFUNCTION("""COMPUTED_VALUE"""),6.0)</f>
        <v>6</v>
      </c>
      <c r="D115" s="122">
        <f t="shared" si="85"/>
        <v>66</v>
      </c>
      <c r="E115" s="122">
        <f t="shared" si="86"/>
        <v>60</v>
      </c>
      <c r="F115" s="122">
        <f t="shared" si="87"/>
        <v>18</v>
      </c>
      <c r="G115" s="122">
        <f t="shared" si="88"/>
        <v>8</v>
      </c>
      <c r="L115" s="122" t="str">
        <f t="shared" si="89"/>
        <v>ok</v>
      </c>
    </row>
    <row r="116">
      <c r="A116" s="5"/>
      <c r="B116" s="36" t="str">
        <f>IFERROR(__xludf.DUMMYFUNCTION("""COMPUTED_VALUE"""),"Elayaraja Thangaraj")</f>
        <v>Elayaraja Thangaraj</v>
      </c>
      <c r="C116" s="122">
        <f>IFERROR(__xludf.DUMMYFUNCTION("""COMPUTED_VALUE"""),5.0)</f>
        <v>5</v>
      </c>
      <c r="D116" s="122">
        <f t="shared" si="85"/>
        <v>32</v>
      </c>
      <c r="E116" s="122">
        <f t="shared" si="86"/>
        <v>27</v>
      </c>
      <c r="F116" s="122">
        <f t="shared" si="87"/>
        <v>16</v>
      </c>
      <c r="G116" s="122">
        <f t="shared" si="88"/>
        <v>4</v>
      </c>
      <c r="L116" s="122" t="str">
        <f t="shared" si="89"/>
        <v>ok</v>
      </c>
    </row>
    <row r="117">
      <c r="A117" s="5"/>
      <c r="B117" s="36" t="str">
        <f>IFERROR(__xludf.DUMMYFUNCTION("""COMPUTED_VALUE"""),"Andrew Wen")</f>
        <v>Andrew Wen</v>
      </c>
      <c r="C117" s="122">
        <f>IFERROR(__xludf.DUMMYFUNCTION("""COMPUTED_VALUE"""),5.0)</f>
        <v>5</v>
      </c>
      <c r="D117" s="122">
        <f t="shared" si="85"/>
        <v>61</v>
      </c>
      <c r="E117" s="122">
        <f t="shared" si="86"/>
        <v>56</v>
      </c>
      <c r="F117" s="122">
        <f t="shared" si="87"/>
        <v>18</v>
      </c>
      <c r="G117" s="122">
        <f t="shared" si="88"/>
        <v>8</v>
      </c>
      <c r="L117" s="122" t="str">
        <f t="shared" si="89"/>
        <v>ok</v>
      </c>
    </row>
    <row r="118">
      <c r="A118" s="5"/>
      <c r="B118" s="36" t="str">
        <f>IFERROR(__xludf.DUMMYFUNCTION("""COMPUTED_VALUE"""),"Camille Jung")</f>
        <v>Camille Jung</v>
      </c>
      <c r="C118" s="122">
        <f>IFERROR(__xludf.DUMMYFUNCTION("""COMPUTED_VALUE"""),5.0)</f>
        <v>5</v>
      </c>
      <c r="D118" s="122">
        <f t="shared" si="85"/>
        <v>75</v>
      </c>
      <c r="E118" s="122">
        <f t="shared" si="86"/>
        <v>70</v>
      </c>
      <c r="F118" s="122">
        <f t="shared" si="87"/>
        <v>18</v>
      </c>
      <c r="G118" s="122">
        <f t="shared" si="88"/>
        <v>8</v>
      </c>
      <c r="L118" s="122" t="str">
        <f t="shared" si="89"/>
        <v>ok</v>
      </c>
    </row>
    <row r="119">
      <c r="A119" s="5"/>
      <c r="B119" s="36" t="str">
        <f>IFERROR(__xludf.DUMMYFUNCTION("""COMPUTED_VALUE"""),"Ethan Gu")</f>
        <v>Ethan Gu</v>
      </c>
      <c r="C119" s="122">
        <f>IFERROR(__xludf.DUMMYFUNCTION("""COMPUTED_VALUE"""),4.0)</f>
        <v>4</v>
      </c>
      <c r="D119" s="122">
        <f t="shared" si="85"/>
        <v>9</v>
      </c>
      <c r="E119" s="122">
        <f t="shared" si="86"/>
        <v>5</v>
      </c>
      <c r="F119" s="122">
        <f t="shared" si="87"/>
        <v>18</v>
      </c>
      <c r="G119" s="122">
        <f t="shared" si="88"/>
        <v>10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16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Pulkit Mathur</v>
      </c>
      <c r="C128" s="122">
        <f t="shared" si="90"/>
        <v>227</v>
      </c>
      <c r="D128" s="122">
        <f t="shared" si="90"/>
        <v>28</v>
      </c>
      <c r="E128" s="122">
        <f t="shared" si="90"/>
        <v>14.92857143</v>
      </c>
      <c r="F128" s="5"/>
    </row>
    <row r="129">
      <c r="A129" s="122">
        <f t="shared" ref="A129:E129" si="91">A6</f>
        <v>2</v>
      </c>
      <c r="B129" s="36" t="str">
        <f t="shared" si="91"/>
        <v>Andrew Yao</v>
      </c>
      <c r="C129" s="122">
        <f t="shared" si="91"/>
        <v>224</v>
      </c>
      <c r="D129" s="122">
        <f t="shared" si="91"/>
        <v>29</v>
      </c>
      <c r="E129" s="122">
        <f t="shared" si="91"/>
        <v>14.71428571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212</v>
      </c>
      <c r="D130" s="122">
        <f t="shared" si="92"/>
        <v>23</v>
      </c>
      <c r="E130" s="122">
        <f t="shared" si="92"/>
        <v>13.25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209</v>
      </c>
      <c r="D131" s="122">
        <f t="shared" si="93"/>
        <v>21</v>
      </c>
      <c r="E131" s="122">
        <f t="shared" si="93"/>
        <v>14</v>
      </c>
      <c r="F131" s="5"/>
    </row>
    <row r="132">
      <c r="A132" s="122">
        <f t="shared" ref="A132:E132" si="94">A9</f>
        <v>5</v>
      </c>
      <c r="B132" s="36" t="str">
        <f t="shared" si="94"/>
        <v>Ethan Gu</v>
      </c>
      <c r="C132" s="122">
        <f t="shared" si="94"/>
        <v>206</v>
      </c>
      <c r="D132" s="122">
        <f t="shared" si="94"/>
        <v>17</v>
      </c>
      <c r="E132" s="122">
        <f t="shared" si="94"/>
        <v>14.16666667</v>
      </c>
      <c r="F132" s="5"/>
    </row>
    <row r="133">
      <c r="A133" s="122">
        <f t="shared" ref="A133:E133" si="95">A10</f>
        <v>6</v>
      </c>
      <c r="B133" s="36" t="str">
        <f t="shared" si="95"/>
        <v>Rudy Tatang</v>
      </c>
      <c r="C133" s="122">
        <f t="shared" si="95"/>
        <v>204</v>
      </c>
      <c r="D133" s="122">
        <f t="shared" si="95"/>
        <v>20</v>
      </c>
      <c r="E133" s="122">
        <f t="shared" si="95"/>
        <v>14.45454545</v>
      </c>
      <c r="F133" s="5"/>
    </row>
    <row r="134">
      <c r="A134" s="122">
        <f t="shared" ref="A134:E134" si="96">A11</f>
        <v>7</v>
      </c>
      <c r="B134" s="36" t="str">
        <f t="shared" si="96"/>
        <v>Jaya Sogata</v>
      </c>
      <c r="C134" s="122">
        <f t="shared" si="96"/>
        <v>204</v>
      </c>
      <c r="D134" s="122">
        <f t="shared" si="96"/>
        <v>20</v>
      </c>
      <c r="E134" s="122">
        <f t="shared" si="96"/>
        <v>13.66666667</v>
      </c>
      <c r="F134" s="5"/>
    </row>
    <row r="135">
      <c r="A135" s="122">
        <f t="shared" ref="A135:E135" si="97">A12</f>
        <v>8</v>
      </c>
      <c r="B135" s="36" t="str">
        <f t="shared" si="97"/>
        <v>Pavan Akkimsetty</v>
      </c>
      <c r="C135" s="122">
        <f t="shared" si="97"/>
        <v>203</v>
      </c>
      <c r="D135" s="122">
        <f t="shared" si="97"/>
        <v>19</v>
      </c>
      <c r="E135" s="122">
        <f t="shared" si="97"/>
        <v>13.58333333</v>
      </c>
      <c r="F135" s="5"/>
    </row>
    <row r="136">
      <c r="A136" s="122">
        <f t="shared" ref="A136:E136" si="98">A13</f>
        <v>9</v>
      </c>
      <c r="B136" s="36" t="str">
        <f t="shared" si="98"/>
        <v>Scott Li</v>
      </c>
      <c r="C136" s="122">
        <f t="shared" si="98"/>
        <v>201</v>
      </c>
      <c r="D136" s="122">
        <f t="shared" si="98"/>
        <v>15</v>
      </c>
      <c r="E136" s="122">
        <f t="shared" si="98"/>
        <v>13.75</v>
      </c>
      <c r="F136" s="5"/>
    </row>
    <row r="137">
      <c r="A137" s="122">
        <f t="shared" ref="A137:E137" si="99">A14</f>
        <v>10</v>
      </c>
      <c r="B137" s="36" t="str">
        <f t="shared" si="99"/>
        <v>Darren Wong</v>
      </c>
      <c r="C137" s="122">
        <f t="shared" si="99"/>
        <v>199</v>
      </c>
      <c r="D137" s="122">
        <f t="shared" si="99"/>
        <v>20</v>
      </c>
      <c r="E137" s="122">
        <f t="shared" si="99"/>
        <v>15.11111111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IFERROR(__xludf.DUMMYFUNCTION("""COMPUTED_VALUE"""),"Frank Moon")</f>
        <v>Frank Moon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IFERROR(__xludf.DUMMYFUNCTION("""COMPUTED_VALUE"""),"Suleman Alidina")</f>
        <v>Suleman Alidina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IFERROR(__xludf.DUMMYFUNCTION("""COMPUTED_VALUE"""),"Wayne Liu")</f>
        <v>Wayne Liu</v>
      </c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04/18/26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IFERROR(__xludf.DUMMYFUNCTION("""COMPUTED_VALUE"""),"Sandeep Kamalon")</f>
        <v>Sandeep Kamalon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IFERROR(__xludf.DUMMYFUNCTION("""COMPUTED_VALUE"""),4.0)</f>
        <v>4</v>
      </c>
      <c r="F250" s="132">
        <f>IFERROR(__xludf.DUMMYFUNCTION("""COMPUTED_VALUE"""),16.0)</f>
        <v>16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IFERROR(__xludf.DUMMYFUNCTION("""COMPUTED_VALUE"""),"Scott Li")</f>
        <v>Scott Li</v>
      </c>
      <c r="C251" s="132">
        <f>IFERROR(__xludf.DUMMYFUNCTION("""COMPUTED_VALUE"""),3.0)</f>
        <v>3</v>
      </c>
      <c r="D251" s="132">
        <f>IFERROR(__xludf.DUMMYFUNCTION("""COMPUTED_VALUE"""),3.0)</f>
        <v>3</v>
      </c>
      <c r="E251" s="132">
        <f>IFERROR(__xludf.DUMMYFUNCTION("""COMPUTED_VALUE"""),4.0)</f>
        <v>4</v>
      </c>
      <c r="F251" s="132">
        <f>IFERROR(__xludf.DUMMYFUNCTION("""COMPUTED_VALUE"""),10.0)</f>
        <v>10</v>
      </c>
      <c r="G251" s="132">
        <f>IFERROR(__xludf.DUMMYFUNCTION("""COMPUTED_VALUE"""),0.0)</f>
        <v>0</v>
      </c>
    </row>
    <row r="252">
      <c r="A252" s="122">
        <f>IFERROR(__xludf.DUMMYFUNCTION("""COMPUTED_VALUE"""),1.0)</f>
        <v>1</v>
      </c>
      <c r="B252" s="36" t="str">
        <f>IFERROR(__xludf.DUMMYFUNCTION("""COMPUTED_VALUE"""),"Rudy Tatang")</f>
        <v>Rudy Tatang</v>
      </c>
      <c r="C252" s="132">
        <f>IFERROR(__xludf.DUMMYFUNCTION("""COMPUTED_VALUE"""),6.0)</f>
        <v>6</v>
      </c>
      <c r="D252" s="132">
        <f>IFERROR(__xludf.DUMMYFUNCTION("""COMPUTED_VALUE"""),3.0)</f>
        <v>3</v>
      </c>
      <c r="E252" s="132">
        <f>IFERROR(__xludf.DUMMYFUNCTION("""COMPUTED_VALUE"""),6.0)</f>
        <v>6</v>
      </c>
      <c r="F252" s="132">
        <f>IFERROR(__xludf.DUMMYFUNCTION("""COMPUTED_VALUE"""),15.0)</f>
        <v>15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IFERROR(__xludf.DUMMYFUNCTION("""COMPUTED_VALUE"""),"Pavan Akkimsetty")</f>
        <v>Pavan Akkimsetty</v>
      </c>
      <c r="C253" s="132">
        <f>IFERROR(__xludf.DUMMYFUNCTION("""COMPUTED_VALUE"""),3.0)</f>
        <v>3</v>
      </c>
      <c r="D253" s="132">
        <f>IFERROR(__xludf.DUMMYFUNCTION("""COMPUTED_VALUE"""),6.0)</f>
        <v>6</v>
      </c>
      <c r="E253" s="132">
        <f>IFERROR(__xludf.DUMMYFUNCTION("""COMPUTED_VALUE"""),6.0)</f>
        <v>6</v>
      </c>
      <c r="F253" s="132">
        <f>IFERROR(__xludf.DUMMYFUNCTION("""COMPUTED_VALUE"""),15.0)</f>
        <v>15</v>
      </c>
      <c r="G253" s="132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IFERROR(__xludf.DUMMYFUNCTION("""COMPUTED_VALUE"""),"Matthew Huang")</f>
        <v>Matthew Huang</v>
      </c>
      <c r="C254" s="135">
        <f>IFERROR(__xludf.DUMMYFUNCTION("""COMPUTED_VALUE"""),2.0)</f>
        <v>2</v>
      </c>
      <c r="D254" s="135">
        <f>IFERROR(__xludf.DUMMYFUNCTION("""COMPUTED_VALUE"""),1.0)</f>
        <v>1</v>
      </c>
      <c r="E254" s="135">
        <f>IFERROR(__xludf.DUMMYFUNCTION("""COMPUTED_VALUE"""),6.0)</f>
        <v>6</v>
      </c>
      <c r="F254" s="135">
        <f>IFERROR(__xludf.DUMMYFUNCTION("""COMPUTED_VALUE"""),9.0)</f>
        <v>9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IFERROR(__xludf.DUMMYFUNCTION("""COMPUTED_VALUE"""),"Darren Wong")</f>
        <v>Darren Wong</v>
      </c>
      <c r="C255" s="135">
        <f>IFERROR(__xludf.DUMMYFUNCTION("""COMPUTED_VALUE"""),6.0)</f>
        <v>6</v>
      </c>
      <c r="D255" s="135">
        <f>IFERROR(__xludf.DUMMYFUNCTION("""COMPUTED_VALUE"""),6.0)</f>
        <v>6</v>
      </c>
      <c r="E255" s="135">
        <f>IFERROR(__xludf.DUMMYFUNCTION("""COMPUTED_VALUE"""),6.0)</f>
        <v>6</v>
      </c>
      <c r="F255" s="135">
        <f>IFERROR(__xludf.DUMMYFUNCTION("""COMPUTED_VALUE"""),18.0)</f>
        <v>18</v>
      </c>
      <c r="G255" s="135">
        <f>IFERROR(__xludf.DUMMYFUNCTION("""COMPUTED_VALUE"""),3.0)</f>
        <v>3</v>
      </c>
    </row>
    <row r="256">
      <c r="A256" s="133">
        <f>IFERROR(__xludf.DUMMYFUNCTION("""COMPUTED_VALUE"""),2.0)</f>
        <v>2</v>
      </c>
      <c r="B256" s="134" t="str">
        <f>IFERROR(__xludf.DUMMYFUNCTION("""COMPUTED_VALUE"""),"Erik Hoeckmann")</f>
        <v>Erik Hoeckmann</v>
      </c>
      <c r="C256" s="135">
        <f>IFERROR(__xludf.DUMMYFUNCTION("""COMPUTED_VALUE"""),2.0)</f>
        <v>2</v>
      </c>
      <c r="D256" s="135">
        <f>IFERROR(__xludf.DUMMYFUNCTION("""COMPUTED_VALUE"""),6.0)</f>
        <v>6</v>
      </c>
      <c r="E256" s="135">
        <f>IFERROR(__xludf.DUMMYFUNCTION("""COMPUTED_VALUE"""),4.0)</f>
        <v>4</v>
      </c>
      <c r="F256" s="135">
        <f>IFERROR(__xludf.DUMMYFUNCTION("""COMPUTED_VALUE"""),12.0)</f>
        <v>12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IFERROR(__xludf.DUMMYFUNCTION("""COMPUTED_VALUE"""),"Ruben Ron")</f>
        <v>Ruben Ron</v>
      </c>
      <c r="C257" s="135">
        <f>IFERROR(__xludf.DUMMYFUNCTION("""COMPUTED_VALUE"""),6.0)</f>
        <v>6</v>
      </c>
      <c r="D257" s="135">
        <f>IFERROR(__xludf.DUMMYFUNCTION("""COMPUTED_VALUE"""),1.0)</f>
        <v>1</v>
      </c>
      <c r="E257" s="135">
        <f>IFERROR(__xludf.DUMMYFUNCTION("""COMPUTED_VALUE"""),4.0)</f>
        <v>4</v>
      </c>
      <c r="F257" s="135">
        <f>IFERROR(__xludf.DUMMYFUNCTION("""COMPUTED_VALUE"""),11.0)</f>
        <v>11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IFERROR(__xludf.DUMMYFUNCTION("""COMPUTED_VALUE"""),"Jim Miao")</f>
        <v>Jim Miao</v>
      </c>
      <c r="C258" s="132">
        <f>IFERROR(__xludf.DUMMYFUNCTION("""COMPUTED_VALUE"""),4.0)</f>
        <v>4</v>
      </c>
      <c r="D258" s="132">
        <f>IFERROR(__xludf.DUMMYFUNCTION("""COMPUTED_VALUE"""),6.0)</f>
        <v>6</v>
      </c>
      <c r="E258" s="132">
        <f>IFERROR(__xludf.DUMMYFUNCTION("""COMPUTED_VALUE"""),5.0)</f>
        <v>5</v>
      </c>
      <c r="F258" s="132">
        <f>IFERROR(__xludf.DUMMYFUNCTION("""COMPUTED_VALUE"""),15.0)</f>
        <v>15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IFERROR(__xludf.DUMMYFUNCTION("""COMPUTED_VALUE"""),"Rajasekar Ramasamy")</f>
        <v>Rajasekar Ramasamy</v>
      </c>
      <c r="C259" s="132">
        <f>IFERROR(__xludf.DUMMYFUNCTION("""COMPUTED_VALUE"""),4.0)</f>
        <v>4</v>
      </c>
      <c r="D259" s="132">
        <f>IFERROR(__xludf.DUMMYFUNCTION("""COMPUTED_VALUE"""),2.0)</f>
        <v>2</v>
      </c>
      <c r="E259" s="132">
        <f>IFERROR(__xludf.DUMMYFUNCTION("""COMPUTED_VALUE"""),7.0)</f>
        <v>7</v>
      </c>
      <c r="F259" s="132">
        <f>IFERROR(__xludf.DUMMYFUNCTION("""COMPUTED_VALUE"""),13.0)</f>
        <v>13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IFERROR(__xludf.DUMMYFUNCTION("""COMPUTED_VALUE"""),"Wayne Liu")</f>
        <v>Wayne Liu</v>
      </c>
      <c r="C260" s="132">
        <f>IFERROR(__xludf.DUMMYFUNCTION("""COMPUTED_VALUE"""),6.0)</f>
        <v>6</v>
      </c>
      <c r="D260" s="132">
        <f>IFERROR(__xludf.DUMMYFUNCTION("""COMPUTED_VALUE"""),2.0)</f>
        <v>2</v>
      </c>
      <c r="E260" s="132">
        <f>IFERROR(__xludf.DUMMYFUNCTION("""COMPUTED_VALUE"""),5.0)</f>
        <v>5</v>
      </c>
      <c r="F260" s="132">
        <f>IFERROR(__xludf.DUMMYFUNCTION("""COMPUTED_VALUE"""),13.0)</f>
        <v>13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IFERROR(__xludf.DUMMYFUNCTION("""COMPUTED_VALUE"""),"Manish Anand")</f>
        <v>Manish Anand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IFERROR(__xludf.DUMMYFUNCTION("""COMPUTED_VALUE"""),7.0)</f>
        <v>7</v>
      </c>
      <c r="F261" s="132">
        <f>IFERROR(__xludf.DUMMYFUNCTION("""COMPUTED_VALUE"""),19.0)</f>
        <v>19</v>
      </c>
      <c r="G261" s="132">
        <f>IFERROR(__xludf.DUMMYFUNCTION("""COMPUTED_VALUE"""),3.0)</f>
        <v>3</v>
      </c>
    </row>
    <row r="262">
      <c r="A262" s="133">
        <f>IFERROR(__xludf.DUMMYFUNCTION("""COMPUTED_VALUE"""),4.0)</f>
        <v>4</v>
      </c>
      <c r="B262" s="134" t="str">
        <f>IFERROR(__xludf.DUMMYFUNCTION("""COMPUTED_VALUE"""),"Oscar Bonilla")</f>
        <v>Oscar Bonilla</v>
      </c>
      <c r="C262" s="135">
        <f>IFERROR(__xludf.DUMMYFUNCTION("""COMPUTED_VALUE"""),6.0)</f>
        <v>6</v>
      </c>
      <c r="D262" s="135">
        <f>IFERROR(__xludf.DUMMYFUNCTION("""COMPUTED_VALUE"""),6.0)</f>
        <v>6</v>
      </c>
      <c r="E262" s="135">
        <f>IFERROR(__xludf.DUMMYFUNCTION("""COMPUTED_VALUE"""),2.0)</f>
        <v>2</v>
      </c>
      <c r="F262" s="135">
        <f>IFERROR(__xludf.DUMMYFUNCTION("""COMPUTED_VALUE"""),14.0)</f>
        <v>14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IFERROR(__xludf.DUMMYFUNCTION("""COMPUTED_VALUE"""),"Cid Macaraeg")</f>
        <v>Cid Macaraeg</v>
      </c>
      <c r="C263" s="135">
        <f>IFERROR(__xludf.DUMMYFUNCTION("""COMPUTED_VALUE"""),4.0)</f>
        <v>4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IFERROR(__xludf.DUMMYFUNCTION("""COMPUTED_VALUE"""),16.0)</f>
        <v>16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IFERROR(__xludf.DUMMYFUNCTION("""COMPUTED_VALUE"""),"Allen Zhang")</f>
        <v>Allen Zhang</v>
      </c>
      <c r="C264" s="135">
        <f>IFERROR(__xludf.DUMMYFUNCTION("""COMPUTED_VALUE"""),4.0)</f>
        <v>4</v>
      </c>
      <c r="D264" s="135">
        <f>IFERROR(__xludf.DUMMYFUNCTION("""COMPUTED_VALUE"""),4.0)</f>
        <v>4</v>
      </c>
      <c r="E264" s="135">
        <f>IFERROR(__xludf.DUMMYFUNCTION("""COMPUTED_VALUE"""),2.0)</f>
        <v>2</v>
      </c>
      <c r="F264" s="135">
        <f>IFERROR(__xludf.DUMMYFUNCTION("""COMPUTED_VALUE"""),10.0)</f>
        <v>10</v>
      </c>
      <c r="G264" s="135">
        <f>IFERROR(__xludf.DUMMYFUNCTION("""COMPUTED_VALUE"""),0.0)</f>
        <v>0</v>
      </c>
    </row>
    <row r="265">
      <c r="A265" s="133">
        <f>IFERROR(__xludf.DUMMYFUNCTION("""COMPUTED_VALUE"""),4.0)</f>
        <v>4</v>
      </c>
      <c r="B265" s="134" t="str">
        <f>IFERROR(__xludf.DUMMYFUNCTION("""COMPUTED_VALUE"""),"Elayaraja Thangaraj")</f>
        <v>Elayaraja Thangaraj</v>
      </c>
      <c r="C265" s="135">
        <f>IFERROR(__xludf.DUMMYFUNCTION("""COMPUTED_VALUE"""),6.0)</f>
        <v>6</v>
      </c>
      <c r="D265" s="135">
        <f>IFERROR(__xludf.DUMMYFUNCTION("""COMPUTED_VALUE"""),4.0)</f>
        <v>4</v>
      </c>
      <c r="E265" s="135">
        <f>IFERROR(__xludf.DUMMYFUNCTION("""COMPUTED_VALUE"""),6.0)</f>
        <v>6</v>
      </c>
      <c r="F265" s="135">
        <f>IFERROR(__xludf.DUMMYFUNCTION("""COMPUTED_VALUE"""),16.0)</f>
        <v>16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IFERROR(__xludf.DUMMYFUNCTION("""COMPUTED_VALUE"""),"Ramesh Bandaru")</f>
        <v>Ramesh Bandaru</v>
      </c>
      <c r="C266" s="132">
        <f>IFERROR(__xludf.DUMMYFUNCTION("""COMPUTED_VALUE"""),1.0)</f>
        <v>1</v>
      </c>
      <c r="D266" s="132">
        <f>IFERROR(__xludf.DUMMYFUNCTION("""COMPUTED_VALUE"""),1.0)</f>
        <v>1</v>
      </c>
      <c r="E266" s="132">
        <f>IFERROR(__xludf.DUMMYFUNCTION("""COMPUTED_VALUE"""),6.0)</f>
        <v>6</v>
      </c>
      <c r="F266" s="132">
        <f>IFERROR(__xludf.DUMMYFUNCTION("""COMPUTED_VALUE"""),8.0)</f>
        <v>8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IFERROR(__xludf.DUMMYFUNCTION("""COMPUTED_VALUE"""),"Alex Hou")</f>
        <v>Alex Hou</v>
      </c>
      <c r="C267" s="132">
        <f>IFERROR(__xludf.DUMMYFUNCTION("""COMPUTED_VALUE"""),6.0)</f>
        <v>6</v>
      </c>
      <c r="D267" s="132">
        <f>IFERROR(__xludf.DUMMYFUNCTION("""COMPUTED_VALUE"""),1.0)</f>
        <v>1</v>
      </c>
      <c r="E267" s="132">
        <f>IFERROR(__xludf.DUMMYFUNCTION("""COMPUTED_VALUE"""),2.0)</f>
        <v>2</v>
      </c>
      <c r="F267" s="132">
        <f>IFERROR(__xludf.DUMMYFUNCTION("""COMPUTED_VALUE"""),9.0)</f>
        <v>9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IFERROR(__xludf.DUMMYFUNCTION("""COMPUTED_VALUE"""),"Herman Au")</f>
        <v>Herman Au</v>
      </c>
      <c r="C268" s="132">
        <f>IFERROR(__xludf.DUMMYFUNCTION("""COMPUTED_VALUE"""),6.0)</f>
        <v>6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IFERROR(__xludf.DUMMYFUNCTION("""COMPUTED_VALUE"""),18.0)</f>
        <v>18</v>
      </c>
      <c r="G268" s="132">
        <f>IFERROR(__xludf.DUMMYFUNCTION("""COMPUTED_VALUE"""),3.0)</f>
        <v>3</v>
      </c>
    </row>
    <row r="269">
      <c r="A269" s="122">
        <f>IFERROR(__xludf.DUMMYFUNCTION("""COMPUTED_VALUE"""),5.0)</f>
        <v>5</v>
      </c>
      <c r="B269" s="36" t="str">
        <f>IFERROR(__xludf.DUMMYFUNCTION("""COMPUTED_VALUE"""),"Sean Chang")</f>
        <v>Sean Chang</v>
      </c>
      <c r="C269" s="132">
        <f>IFERROR(__xludf.DUMMYFUNCTION("""COMPUTED_VALUE"""),1.0)</f>
        <v>1</v>
      </c>
      <c r="D269" s="132">
        <f>IFERROR(__xludf.DUMMYFUNCTION("""COMPUTED_VALUE"""),6.0)</f>
        <v>6</v>
      </c>
      <c r="E269" s="132">
        <f>IFERROR(__xludf.DUMMYFUNCTION("""COMPUTED_VALUE"""),2.0)</f>
        <v>2</v>
      </c>
      <c r="F269" s="132">
        <f>IFERROR(__xludf.DUMMYFUNCTION("""COMPUTED_VALUE"""),9.0)</f>
        <v>9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IFERROR(__xludf.DUMMYFUNCTION("""COMPUTED_VALUE"""),"Naveen Raj")</f>
        <v>Naveen Raj</v>
      </c>
      <c r="C270" s="135">
        <f>IFERROR(__xludf.DUMMYFUNCTION("""COMPUTED_VALUE"""),6.0)</f>
        <v>6</v>
      </c>
      <c r="D270" s="135">
        <f>IFERROR(__xludf.DUMMYFUNCTION("""COMPUTED_VALUE"""),6.0)</f>
        <v>6</v>
      </c>
      <c r="E270" s="135">
        <f>IFERROR(__xludf.DUMMYFUNCTION("""COMPUTED_VALUE"""),6.0)</f>
        <v>6</v>
      </c>
      <c r="F270" s="135">
        <f>IFERROR(__xludf.DUMMYFUNCTION("""COMPUTED_VALUE"""),18.0)</f>
        <v>18</v>
      </c>
      <c r="G270" s="135">
        <f>IFERROR(__xludf.DUMMYFUNCTION("""COMPUTED_VALUE"""),3.0)</f>
        <v>3</v>
      </c>
    </row>
    <row r="271">
      <c r="A271" s="133">
        <f>IFERROR(__xludf.DUMMYFUNCTION("""COMPUTED_VALUE"""),6.0)</f>
        <v>6</v>
      </c>
      <c r="B271" s="134" t="str">
        <f>IFERROR(__xludf.DUMMYFUNCTION("""COMPUTED_VALUE"""),"Kumar Palakeel")</f>
        <v>Kumar Palakeel</v>
      </c>
      <c r="C271" s="135">
        <f>IFERROR(__xludf.DUMMYFUNCTION("""COMPUTED_VALUE"""),4.0)</f>
        <v>4</v>
      </c>
      <c r="D271" s="135">
        <f>IFERROR(__xludf.DUMMYFUNCTION("""COMPUTED_VALUE"""),1.0)</f>
        <v>1</v>
      </c>
      <c r="E271" s="135">
        <f>IFERROR(__xludf.DUMMYFUNCTION("""COMPUTED_VALUE"""),6.0)</f>
        <v>6</v>
      </c>
      <c r="F271" s="135">
        <f>IFERROR(__xludf.DUMMYFUNCTION("""COMPUTED_VALUE"""),11.0)</f>
        <v>11</v>
      </c>
      <c r="G271" s="135">
        <f>IFERROR(__xludf.DUMMYFUNCTION("""COMPUTED_VALUE"""),1.0)</f>
        <v>1</v>
      </c>
    </row>
    <row r="272">
      <c r="A272" s="133">
        <f>IFERROR(__xludf.DUMMYFUNCTION("""COMPUTED_VALUE"""),6.0)</f>
        <v>6</v>
      </c>
      <c r="B272" s="134" t="str">
        <f>IFERROR(__xludf.DUMMYFUNCTION("""COMPUTED_VALUE"""),"Hongyuan Wen")</f>
        <v>Hongyuan Wen</v>
      </c>
      <c r="C272" s="135">
        <f>IFERROR(__xludf.DUMMYFUNCTION("""COMPUTED_VALUE"""),4.0)</f>
        <v>4</v>
      </c>
      <c r="D272" s="135">
        <f>IFERROR(__xludf.DUMMYFUNCTION("""COMPUTED_VALUE"""),6.0)</f>
        <v>6</v>
      </c>
      <c r="E272" s="135">
        <f>IFERROR(__xludf.DUMMYFUNCTION("""COMPUTED_VALUE"""),1.0)</f>
        <v>1</v>
      </c>
      <c r="F272" s="135">
        <f>IFERROR(__xludf.DUMMYFUNCTION("""COMPUTED_VALUE"""),11.0)</f>
        <v>11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IFERROR(__xludf.DUMMYFUNCTION("""COMPUTED_VALUE"""),"Nicole Ni")</f>
        <v>Nicole Ni</v>
      </c>
      <c r="C273" s="135">
        <f>IFERROR(__xludf.DUMMYFUNCTION("""COMPUTED_VALUE"""),6.0)</f>
        <v>6</v>
      </c>
      <c r="D273" s="135">
        <f>IFERROR(__xludf.DUMMYFUNCTION("""COMPUTED_VALUE"""),1.0)</f>
        <v>1</v>
      </c>
      <c r="E273" s="135">
        <f>IFERROR(__xludf.DUMMYFUNCTION("""COMPUTED_VALUE"""),1.0)</f>
        <v>1</v>
      </c>
      <c r="F273" s="135">
        <f>IFERROR(__xludf.DUMMYFUNCTION("""COMPUTED_VALUE"""),8.0)</f>
        <v>8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IFERROR(__xludf.DUMMYFUNCTION("""COMPUTED_VALUE"""),"Jimmy Awolesi")</f>
        <v>Jimmy Awolesi</v>
      </c>
      <c r="C274" s="132">
        <f>IFERROR(__xludf.DUMMYFUNCTION("""COMPUTED_VALUE"""),4.0)</f>
        <v>4</v>
      </c>
      <c r="D274" s="132">
        <f>IFERROR(__xludf.DUMMYFUNCTION("""COMPUTED_VALUE"""),4.0)</f>
        <v>4</v>
      </c>
      <c r="E274" s="132">
        <f>IFERROR(__xludf.DUMMYFUNCTION("""COMPUTED_VALUE"""),6.0)</f>
        <v>6</v>
      </c>
      <c r="F274" s="132">
        <f>IFERROR(__xludf.DUMMYFUNCTION("""COMPUTED_VALUE"""),14.0)</f>
        <v>14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IFERROR(__xludf.DUMMYFUNCTION("""COMPUTED_VALUE"""),"Alejandro Mejia")</f>
        <v>Alejandro Mejia</v>
      </c>
      <c r="C275" s="132">
        <f>IFERROR(__xludf.DUMMYFUNCTION("""COMPUTED_VALUE"""),6.0)</f>
        <v>6</v>
      </c>
      <c r="D275" s="132">
        <f>IFERROR(__xludf.DUMMYFUNCTION("""COMPUTED_VALUE"""),6.0)</f>
        <v>6</v>
      </c>
      <c r="E275" s="132">
        <f>IFERROR(__xludf.DUMMYFUNCTION("""COMPUTED_VALUE"""),6.0)</f>
        <v>6</v>
      </c>
      <c r="F275" s="132">
        <f>IFERROR(__xludf.DUMMYFUNCTION("""COMPUTED_VALUE"""),18.0)</f>
        <v>18</v>
      </c>
      <c r="G275" s="132">
        <f>IFERROR(__xludf.DUMMYFUNCTION("""COMPUTED_VALUE"""),3.0)</f>
        <v>3</v>
      </c>
    </row>
    <row r="276">
      <c r="A276" s="122">
        <f>IFERROR(__xludf.DUMMYFUNCTION("""COMPUTED_VALUE"""),7.0)</f>
        <v>7</v>
      </c>
      <c r="B276" s="36" t="str">
        <f>IFERROR(__xludf.DUMMYFUNCTION("""COMPUTED_VALUE"""),"Vinaya Kajla")</f>
        <v>Vinaya Kajla</v>
      </c>
      <c r="C276" s="132">
        <f>IFERROR(__xludf.DUMMYFUNCTION("""COMPUTED_VALUE"""),4.0)</f>
        <v>4</v>
      </c>
      <c r="D276" s="132">
        <f>IFERROR(__xludf.DUMMYFUNCTION("""COMPUTED_VALUE"""),6.0)</f>
        <v>6</v>
      </c>
      <c r="E276" s="132">
        <f>IFERROR(__xludf.DUMMYFUNCTION("""COMPUTED_VALUE"""),1.0)</f>
        <v>1</v>
      </c>
      <c r="F276" s="132">
        <f>IFERROR(__xludf.DUMMYFUNCTION("""COMPUTED_VALUE"""),11.0)</f>
        <v>11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IFERROR(__xludf.DUMMYFUNCTION("""COMPUTED_VALUE"""),"Eric Tan")</f>
        <v>Eric Tan</v>
      </c>
      <c r="C277" s="132">
        <f>IFERROR(__xludf.DUMMYFUNCTION("""COMPUTED_VALUE"""),6.0)</f>
        <v>6</v>
      </c>
      <c r="D277" s="132">
        <f>IFERROR(__xludf.DUMMYFUNCTION("""COMPUTED_VALUE"""),4.0)</f>
        <v>4</v>
      </c>
      <c r="E277" s="132">
        <f>IFERROR(__xludf.DUMMYFUNCTION("""COMPUTED_VALUE"""),1.0)</f>
        <v>1</v>
      </c>
      <c r="F277" s="132">
        <f>IFERROR(__xludf.DUMMYFUNCTION("""COMPUTED_VALUE"""),11.0)</f>
        <v>11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IFERROR(__xludf.DUMMYFUNCTION("""COMPUTED_VALUE"""),"Andrew Wen")</f>
        <v>Andrew Wen</v>
      </c>
      <c r="C278" s="135">
        <f>IFERROR(__xludf.DUMMYFUNCTION("""COMPUTED_VALUE"""),7.0)</f>
        <v>7</v>
      </c>
      <c r="D278" s="135">
        <f>IFERROR(__xludf.DUMMYFUNCTION("""COMPUTED_VALUE"""),7.0)</f>
        <v>7</v>
      </c>
      <c r="E278" s="135">
        <f>IFERROR(__xludf.DUMMYFUNCTION("""COMPUTED_VALUE"""),4.0)</f>
        <v>4</v>
      </c>
      <c r="F278" s="135">
        <f>IFERROR(__xludf.DUMMYFUNCTION("""COMPUTED_VALUE"""),18.0)</f>
        <v>18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IFERROR(__xludf.DUMMYFUNCTION("""COMPUTED_VALUE"""),"Vicki Martinet")</f>
        <v>Vicki Martinet</v>
      </c>
      <c r="C279" s="135">
        <f>IFERROR(__xludf.DUMMYFUNCTION("""COMPUTED_VALUE"""),5.0)</f>
        <v>5</v>
      </c>
      <c r="D279" s="135">
        <f>IFERROR(__xludf.DUMMYFUNCTION("""COMPUTED_VALUE"""),7.0)</f>
        <v>7</v>
      </c>
      <c r="E279" s="135">
        <f>IFERROR(__xludf.DUMMYFUNCTION("""COMPUTED_VALUE"""),6.0)</f>
        <v>6</v>
      </c>
      <c r="F279" s="135">
        <f>IFERROR(__xludf.DUMMYFUNCTION("""COMPUTED_VALUE"""),18.0)</f>
        <v>18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IFERROR(__xludf.DUMMYFUNCTION("""COMPUTED_VALUE"""),"Joyce Zhu")</f>
        <v>Joyce Zhu</v>
      </c>
      <c r="C280" s="135">
        <f>IFERROR(__xludf.DUMMYFUNCTION("""COMPUTED_VALUE"""),5.0)</f>
        <v>5</v>
      </c>
      <c r="D280" s="135">
        <f>IFERROR(__xludf.DUMMYFUNCTION("""COMPUTED_VALUE"""),5.0)</f>
        <v>5</v>
      </c>
      <c r="E280" s="135">
        <f>IFERROR(__xludf.DUMMYFUNCTION("""COMPUTED_VALUE"""),4.0)</f>
        <v>4</v>
      </c>
      <c r="F280" s="135">
        <f>IFERROR(__xludf.DUMMYFUNCTION("""COMPUTED_VALUE"""),14.0)</f>
        <v>14</v>
      </c>
      <c r="G280" s="135">
        <f>IFERROR(__xludf.DUMMYFUNCTION("""COMPUTED_VALUE"""),0.0)</f>
        <v>0</v>
      </c>
    </row>
    <row r="281">
      <c r="A281" s="133">
        <f>IFERROR(__xludf.DUMMYFUNCTION("""COMPUTED_VALUE"""),8.0)</f>
        <v>8</v>
      </c>
      <c r="B281" s="134" t="str">
        <f>IFERROR(__xludf.DUMMYFUNCTION("""COMPUTED_VALUE"""),"Camille Jung")</f>
        <v>Camille Jung</v>
      </c>
      <c r="C281" s="135">
        <f>IFERROR(__xludf.DUMMYFUNCTION("""COMPUTED_VALUE"""),7.0)</f>
        <v>7</v>
      </c>
      <c r="D281" s="135">
        <f>IFERROR(__xludf.DUMMYFUNCTION("""COMPUTED_VALUE"""),5.0)</f>
        <v>5</v>
      </c>
      <c r="E281" s="135">
        <f>IFERROR(__xludf.DUMMYFUNCTION("""COMPUTED_VALUE"""),6.0)</f>
        <v>6</v>
      </c>
      <c r="F281" s="135">
        <f>IFERROR(__xludf.DUMMYFUNCTION("""COMPUTED_VALUE"""),18.0)</f>
        <v>18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IFERROR(__xludf.DUMMYFUNCTION("""COMPUTED_VALUE"""),"Pulkit Mathur")</f>
        <v>Pulkit Mathur</v>
      </c>
      <c r="C282" s="132">
        <f>IFERROR(__xludf.DUMMYFUNCTION("""COMPUTED_VALUE"""),6.0)</f>
        <v>6</v>
      </c>
      <c r="D282" s="132">
        <f>IFERROR(__xludf.DUMMYFUNCTION("""COMPUTED_VALUE"""),4.0)</f>
        <v>4</v>
      </c>
      <c r="E282" s="132">
        <f>IFERROR(__xludf.DUMMYFUNCTION("""COMPUTED_VALUE"""),6.0)</f>
        <v>6</v>
      </c>
      <c r="F282" s="132">
        <f>IFERROR(__xludf.DUMMYFUNCTION("""COMPUTED_VALUE"""),16.0)</f>
        <v>16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IFERROR(__xludf.DUMMYFUNCTION("""COMPUTED_VALUE"""),"Andrew Yao")</f>
        <v>Andrew Yao</v>
      </c>
      <c r="C283" s="132">
        <f>IFERROR(__xludf.DUMMYFUNCTION("""COMPUTED_VALUE"""),2.0)</f>
        <v>2</v>
      </c>
      <c r="D283" s="132">
        <f>IFERROR(__xludf.DUMMYFUNCTION("""COMPUTED_VALUE"""),6.0)</f>
        <v>6</v>
      </c>
      <c r="E283" s="132">
        <f>IFERROR(__xludf.DUMMYFUNCTION("""COMPUTED_VALUE"""),6.0)</f>
        <v>6</v>
      </c>
      <c r="F283" s="132">
        <f>IFERROR(__xludf.DUMMYFUNCTION("""COMPUTED_VALUE"""),14.0)</f>
        <v>14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IFERROR(__xludf.DUMMYFUNCTION("""COMPUTED_VALUE"""),"Suleman Alidina")</f>
        <v>Suleman Alidina</v>
      </c>
      <c r="C284" s="132">
        <f>IFERROR(__xludf.DUMMYFUNCTION("""COMPUTED_VALUE"""),6.0)</f>
        <v>6</v>
      </c>
      <c r="D284" s="132">
        <f>IFERROR(__xludf.DUMMYFUNCTION("""COMPUTED_VALUE"""),6.0)</f>
        <v>6</v>
      </c>
      <c r="E284" s="132">
        <f>IFERROR(__xludf.DUMMYFUNCTION("""COMPUTED_VALUE"""),3.0)</f>
        <v>3</v>
      </c>
      <c r="F284" s="132">
        <f>IFERROR(__xludf.DUMMYFUNCTION("""COMPUTED_VALUE"""),15.0)</f>
        <v>15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IFERROR(__xludf.DUMMYFUNCTION("""COMPUTED_VALUE"""),"Jaya Sogata")</f>
        <v>Jaya Sogata</v>
      </c>
      <c r="C285" s="132">
        <f>IFERROR(__xludf.DUMMYFUNCTION("""COMPUTED_VALUE"""),2.0)</f>
        <v>2</v>
      </c>
      <c r="D285" s="132">
        <f>IFERROR(__xludf.DUMMYFUNCTION("""COMPUTED_VALUE"""),4.0)</f>
        <v>4</v>
      </c>
      <c r="E285" s="132">
        <f>IFERROR(__xludf.DUMMYFUNCTION("""COMPUTED_VALUE"""),3.0)</f>
        <v>3</v>
      </c>
      <c r="F285" s="132">
        <f>IFERROR(__xludf.DUMMYFUNCTION("""COMPUTED_VALUE"""),9.0)</f>
        <v>9</v>
      </c>
      <c r="G285" s="132">
        <f>IFERROR(__xludf.DUMMYFUNCTION("""COMPUTED_VALUE"""),0.0)</f>
        <v>0</v>
      </c>
    </row>
    <row r="286">
      <c r="A286" s="133">
        <f>IFERROR(__xludf.DUMMYFUNCTION("""COMPUTED_VALUE"""),10.0)</f>
        <v>10</v>
      </c>
      <c r="B286" s="134" t="str">
        <f>IFERROR(__xludf.DUMMYFUNCTION("""COMPUTED_VALUE"""),"Ethan Gu")</f>
        <v>Ethan Gu</v>
      </c>
      <c r="C286" s="135">
        <f>IFERROR(__xludf.DUMMYFUNCTION("""COMPUTED_VALUE"""),6.0)</f>
        <v>6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IFERROR(__xludf.DUMMYFUNCTION("""COMPUTED_VALUE"""),18.0)</f>
        <v>18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IFERROR(__xludf.DUMMYFUNCTION("""COMPUTED_VALUE"""),"David Shin")</f>
        <v>David Shin</v>
      </c>
      <c r="C287" s="135">
        <f>IFERROR(__xludf.DUMMYFUNCTION("""COMPUTED_VALUE"""),7.0)</f>
        <v>7</v>
      </c>
      <c r="D287" s="135">
        <f>IFERROR(__xludf.DUMMYFUNCTION("""COMPUTED_VALUE"""),1.0)</f>
        <v>1</v>
      </c>
      <c r="E287" s="135">
        <f>IFERROR(__xludf.DUMMYFUNCTION("""COMPUTED_VALUE"""),6.0)</f>
        <v>6</v>
      </c>
      <c r="F287" s="135">
        <f>IFERROR(__xludf.DUMMYFUNCTION("""COMPUTED_VALUE"""),14.0)</f>
        <v>14</v>
      </c>
      <c r="G287" s="135">
        <f>IFERROR(__xludf.DUMMYFUNCTION("""COMPUTED_VALUE"""),2.0)</f>
        <v>2</v>
      </c>
    </row>
    <row r="288">
      <c r="A288" s="133">
        <f>IFERROR(__xludf.DUMMYFUNCTION("""COMPUTED_VALUE"""),10.0)</f>
        <v>10</v>
      </c>
      <c r="B288" s="134" t="str">
        <f>IFERROR(__xludf.DUMMYFUNCTION("""COMPUTED_VALUE"""),"Joe Luzzi")</f>
        <v>Joe Luzzi</v>
      </c>
      <c r="C288" s="135">
        <f>IFERROR(__xludf.DUMMYFUNCTION("""COMPUTED_VALUE"""),7.0)</f>
        <v>7</v>
      </c>
      <c r="D288" s="135">
        <f>IFERROR(__xludf.DUMMYFUNCTION("""COMPUTED_VALUE"""),6.0)</f>
        <v>6</v>
      </c>
      <c r="E288" s="135">
        <f>IFERROR(__xludf.DUMMYFUNCTION("""COMPUTED_VALUE"""),1.0)</f>
        <v>1</v>
      </c>
      <c r="F288" s="135">
        <f>IFERROR(__xludf.DUMMYFUNCTION("""COMPUTED_VALUE"""),14.0)</f>
        <v>14</v>
      </c>
      <c r="G288" s="135">
        <f>IFERROR(__xludf.DUMMYFUNCTION("""COMPUTED_VALUE"""),2.0)</f>
        <v>2</v>
      </c>
    </row>
    <row r="289">
      <c r="A289" s="133">
        <f>IFERROR(__xludf.DUMMYFUNCTION("""COMPUTED_VALUE"""),10.0)</f>
        <v>10</v>
      </c>
      <c r="B289" s="134" t="str">
        <f>IFERROR(__xludf.DUMMYFUNCTION("""COMPUTED_VALUE"""),"Frank Moon")</f>
        <v>Frank Moon</v>
      </c>
      <c r="C289" s="135">
        <f>IFERROR(__xludf.DUMMYFUNCTION("""COMPUTED_VALUE"""),6.0)</f>
        <v>6</v>
      </c>
      <c r="D289" s="135">
        <f>IFERROR(__xludf.DUMMYFUNCTION("""COMPUTED_VALUE"""),1.0)</f>
        <v>1</v>
      </c>
      <c r="E289" s="135">
        <f>IFERROR(__xludf.DUMMYFUNCTION("""COMPUTED_VALUE"""),1.0)</f>
        <v>1</v>
      </c>
      <c r="F289" s="135">
        <f>IFERROR(__xludf.DUMMYFUNCTION("""COMPUTED_VALUE"""),8.0)</f>
        <v>8</v>
      </c>
      <c r="G289" s="135">
        <f>IFERROR(__xludf.DUMMYFUNCTION("""COMPUTED_VALUE"""),0.0)</f>
        <v>0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IFERROR(__xludf.DUMMYFUNCTION("""COMPUTED_VALUE"""),"Balaji Alahari")</f>
        <v>Balaji Alahari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IFERROR(__xludf.DUMMYFUNCTION("""COMPUTED_VALUE"""),"Basudev Thoppai Vidyasankar")</f>
        <v>Basudev Thoppai Vidyasankar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IFERROR(__xludf.DUMMYFUNCTION("""COMPUTED_VALUE"""),"James Phan")</f>
        <v>James Phan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IFERROR(__xludf.DUMMYFUNCTION("""COMPUTED_VALUE"""),"Jaya Sogata")</f>
        <v>Jaya Sogata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 Miao")</f>
        <v>Jim Miao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IFERROR(__xludf.DUMMYFUNCTION("""COMPUTED_VALUE"""),"Jimmy Awolesi")</f>
        <v>Jimmy Awolesi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IFERROR(__xludf.DUMMYFUNCTION("""COMPUTED_VALUE"""),"Joe Luzzi")</f>
        <v>Joe Luzzi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IFERROR(__xludf.DUMMYFUNCTION("""COMPUTED_VALUE"""),"Jonathan Phan")</f>
        <v>Jonathan Phan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IFERROR(__xludf.DUMMYFUNCTION("""COMPUTED_VALUE"""),"Jordan Tatang")</f>
        <v>Jordan Tatang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IFERROR(__xludf.DUMMYFUNCTION("""COMPUTED_VALUE"""),"Scott Li")</f>
        <v>Scott Li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IFERROR(__xludf.DUMMYFUNCTION("""COMPUTED_VALUE"""),"Sean Chang")</f>
        <v>Sean Chang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IFERROR(__xludf.DUMMYFUNCTION("""COMPUTED_VALUE"""),"Suleman Alidina")</f>
        <v>Suleman Alidina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IFERROR(__xludf.DUMMYFUNCTION("""COMPUTED_VALUE"""),"Ted Shen")</f>
        <v>Ted Shen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IFERROR(__xludf.DUMMYFUNCTION("""COMPUTED_VALUE"""),"Tina Hanson")</f>
        <v>Tina Hanson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IFERROR(__xludf.DUMMYFUNCTION("""COMPUTED_VALUE"""),"Tom Le")</f>
        <v>Tom Le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46130.0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15.0</v>
      </c>
      <c r="E2" s="5"/>
      <c r="F2" s="5"/>
      <c r="R2" s="18"/>
      <c r="AC2" s="22" t="str">
        <f>text(C1-7,"mm/dd/yy")</f>
        <v>04/11/26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63</v>
      </c>
      <c r="C5" s="37">
        <v>211.0</v>
      </c>
      <c r="D5" s="37">
        <v>26.0</v>
      </c>
      <c r="E5" s="40">
        <f t="shared" ref="E5:E79" si="2">if(S5&gt;0,(C5-(V5*9)-(T5*13))/S5,0)</f>
        <v>14.84615385</v>
      </c>
      <c r="F5" s="90">
        <v>1.0</v>
      </c>
      <c r="G5" s="91">
        <v>9.0</v>
      </c>
      <c r="H5" s="92">
        <v>0.0</v>
      </c>
      <c r="I5" s="91">
        <v>6.0</v>
      </c>
      <c r="J5" s="91">
        <v>4.0</v>
      </c>
      <c r="K5" s="91">
        <v>6.0</v>
      </c>
      <c r="L5" s="93">
        <v>16.0</v>
      </c>
      <c r="M5" s="91">
        <v>2.0</v>
      </c>
      <c r="N5" s="37">
        <f t="shared" ref="N5:O5" si="1">C5+L5</f>
        <v>227</v>
      </c>
      <c r="O5" s="37">
        <f t="shared" si="1"/>
        <v>28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13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1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50</v>
      </c>
      <c r="C6" s="37">
        <v>210.0</v>
      </c>
      <c r="D6" s="37">
        <v>27.0</v>
      </c>
      <c r="E6" s="40">
        <f t="shared" si="2"/>
        <v>14.76923077</v>
      </c>
      <c r="F6" s="90">
        <v>1.0</v>
      </c>
      <c r="G6" s="91">
        <v>9.0</v>
      </c>
      <c r="H6" s="92">
        <v>0.0</v>
      </c>
      <c r="I6" s="91">
        <v>2.0</v>
      </c>
      <c r="J6" s="91">
        <v>6.0</v>
      </c>
      <c r="K6" s="91">
        <v>6.0</v>
      </c>
      <c r="L6" s="93">
        <v>14.0</v>
      </c>
      <c r="M6" s="91">
        <v>2.0</v>
      </c>
      <c r="N6" s="37">
        <f t="shared" ref="N6:O6" si="3">C6+L6</f>
        <v>224</v>
      </c>
      <c r="O6" s="37">
        <f t="shared" si="3"/>
        <v>29</v>
      </c>
      <c r="P6" s="49" t="s">
        <v>57</v>
      </c>
      <c r="Q6" s="49" t="s">
        <v>57</v>
      </c>
      <c r="R6" s="49" t="s">
        <v>57</v>
      </c>
      <c r="S6" s="51">
        <f t="shared" si="4"/>
        <v>13</v>
      </c>
      <c r="T6" s="52">
        <f t="shared" si="5"/>
        <v>0</v>
      </c>
      <c r="U6" s="52"/>
      <c r="V6" s="51">
        <f t="shared" si="6"/>
        <v>2</v>
      </c>
      <c r="W6" s="52">
        <f t="shared" si="7"/>
        <v>-1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197.0</v>
      </c>
      <c r="D7" s="37">
        <v>21.0</v>
      </c>
      <c r="E7" s="40">
        <f t="shared" si="2"/>
        <v>13.13333333</v>
      </c>
      <c r="F7" s="90">
        <v>2.0</v>
      </c>
      <c r="G7" s="91">
        <v>9.0</v>
      </c>
      <c r="H7" s="92">
        <v>0.0</v>
      </c>
      <c r="I7" s="91">
        <v>6.0</v>
      </c>
      <c r="J7" s="91">
        <v>6.0</v>
      </c>
      <c r="K7" s="91">
        <v>3.0</v>
      </c>
      <c r="L7" s="93">
        <v>15.0</v>
      </c>
      <c r="M7" s="91">
        <v>2.0</v>
      </c>
      <c r="N7" s="37">
        <f t="shared" ref="N7:O7" si="11">C7+L7</f>
        <v>212</v>
      </c>
      <c r="O7" s="37">
        <f t="shared" si="11"/>
        <v>23</v>
      </c>
      <c r="P7" s="49" t="s">
        <v>57</v>
      </c>
      <c r="Q7" s="49" t="s">
        <v>57</v>
      </c>
      <c r="R7" s="49" t="s">
        <v>57</v>
      </c>
      <c r="S7" s="51">
        <f t="shared" si="4"/>
        <v>15</v>
      </c>
      <c r="T7" s="52">
        <f t="shared" si="5"/>
        <v>0</v>
      </c>
      <c r="U7" s="52"/>
      <c r="V7" s="51">
        <f t="shared" si="6"/>
        <v>0</v>
      </c>
      <c r="W7" s="52">
        <f t="shared" si="7"/>
        <v>3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111</v>
      </c>
      <c r="C8" s="37">
        <v>195.0</v>
      </c>
      <c r="D8" s="37">
        <v>20.0</v>
      </c>
      <c r="E8" s="40">
        <f t="shared" si="2"/>
        <v>13.66666667</v>
      </c>
      <c r="F8" s="90">
        <v>1.0</v>
      </c>
      <c r="G8" s="91">
        <v>9.0</v>
      </c>
      <c r="H8" s="92">
        <v>0.0</v>
      </c>
      <c r="I8" s="91">
        <v>2.0</v>
      </c>
      <c r="J8" s="91">
        <v>4.0</v>
      </c>
      <c r="K8" s="91">
        <v>3.0</v>
      </c>
      <c r="L8" s="93">
        <v>9.0</v>
      </c>
      <c r="M8" s="91">
        <v>0.0</v>
      </c>
      <c r="N8" s="37">
        <f t="shared" ref="N8:O8" si="13">C8+L8</f>
        <v>204</v>
      </c>
      <c r="O8" s="37">
        <f t="shared" si="13"/>
        <v>20</v>
      </c>
      <c r="P8" s="49" t="s">
        <v>57</v>
      </c>
      <c r="Q8" s="49" t="s">
        <v>57</v>
      </c>
      <c r="R8" s="49" t="s">
        <v>57</v>
      </c>
      <c r="S8" s="51">
        <f t="shared" si="4"/>
        <v>12</v>
      </c>
      <c r="T8" s="52">
        <f t="shared" si="5"/>
        <v>1</v>
      </c>
      <c r="U8" s="52"/>
      <c r="V8" s="51">
        <f t="shared" si="6"/>
        <v>2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68</v>
      </c>
      <c r="C9" s="37">
        <v>193.0</v>
      </c>
      <c r="D9" s="37">
        <v>19.0</v>
      </c>
      <c r="E9" s="40">
        <f t="shared" si="2"/>
        <v>13.46153846</v>
      </c>
      <c r="F9" s="90">
        <v>1.0</v>
      </c>
      <c r="G9" s="91">
        <v>1.0</v>
      </c>
      <c r="H9" s="92">
        <v>0.0</v>
      </c>
      <c r="I9" s="91">
        <v>6.0</v>
      </c>
      <c r="J9" s="91">
        <v>6.0</v>
      </c>
      <c r="K9" s="91">
        <v>4.0</v>
      </c>
      <c r="L9" s="93">
        <v>16.0</v>
      </c>
      <c r="M9" s="91">
        <v>2.0</v>
      </c>
      <c r="N9" s="37">
        <f t="shared" ref="N9:O9" si="14">C9+L9</f>
        <v>209</v>
      </c>
      <c r="O9" s="37">
        <f t="shared" si="14"/>
        <v>21</v>
      </c>
      <c r="P9" s="49" t="s">
        <v>57</v>
      </c>
      <c r="Q9" s="49" t="s">
        <v>57</v>
      </c>
      <c r="R9" s="49" t="s">
        <v>57</v>
      </c>
      <c r="S9" s="51">
        <f t="shared" si="4"/>
        <v>13</v>
      </c>
      <c r="T9" s="52">
        <f t="shared" si="5"/>
        <v>0</v>
      </c>
      <c r="U9" s="52"/>
      <c r="V9" s="51">
        <f t="shared" si="6"/>
        <v>2</v>
      </c>
      <c r="W9" s="52">
        <f t="shared" si="7"/>
        <v>-2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135</v>
      </c>
      <c r="C10" s="37">
        <v>191.0</v>
      </c>
      <c r="D10" s="37">
        <v>15.0</v>
      </c>
      <c r="E10" s="40">
        <f t="shared" si="2"/>
        <v>14.09090909</v>
      </c>
      <c r="F10" s="90">
        <v>1.0</v>
      </c>
      <c r="G10" s="91">
        <v>1.0</v>
      </c>
      <c r="H10" s="92">
        <v>0.0</v>
      </c>
      <c r="I10" s="91">
        <v>3.0</v>
      </c>
      <c r="J10" s="91">
        <v>3.0</v>
      </c>
      <c r="K10" s="91">
        <v>4.0</v>
      </c>
      <c r="L10" s="93">
        <v>10.0</v>
      </c>
      <c r="M10" s="91">
        <v>0.0</v>
      </c>
      <c r="N10" s="37">
        <f t="shared" ref="N10:O10" si="15">C10+L10</f>
        <v>201</v>
      </c>
      <c r="O10" s="37">
        <f t="shared" si="15"/>
        <v>15</v>
      </c>
      <c r="P10" s="49" t="s">
        <v>57</v>
      </c>
      <c r="Q10" s="49" t="s">
        <v>57</v>
      </c>
      <c r="R10" s="49" t="s">
        <v>57</v>
      </c>
      <c r="S10" s="51">
        <f t="shared" si="4"/>
        <v>11</v>
      </c>
      <c r="T10" s="52">
        <f t="shared" si="5"/>
        <v>0</v>
      </c>
      <c r="U10" s="52"/>
      <c r="V10" s="51">
        <f t="shared" si="6"/>
        <v>4</v>
      </c>
      <c r="W10" s="52">
        <f t="shared" si="7"/>
        <v>2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127</v>
      </c>
      <c r="C11" s="37">
        <v>189.0</v>
      </c>
      <c r="D11" s="37">
        <v>18.0</v>
      </c>
      <c r="E11" s="40">
        <f t="shared" si="2"/>
        <v>13.90909091</v>
      </c>
      <c r="F11" s="90">
        <v>1.0</v>
      </c>
      <c r="G11" s="91">
        <v>1.0</v>
      </c>
      <c r="H11" s="92">
        <v>0.0</v>
      </c>
      <c r="I11" s="91">
        <v>6.0</v>
      </c>
      <c r="J11" s="91">
        <v>3.0</v>
      </c>
      <c r="K11" s="91">
        <v>6.0</v>
      </c>
      <c r="L11" s="93">
        <v>15.0</v>
      </c>
      <c r="M11" s="91">
        <v>2.0</v>
      </c>
      <c r="N11" s="37">
        <f t="shared" ref="N11:O11" si="16">C11+L11</f>
        <v>204</v>
      </c>
      <c r="O11" s="37">
        <f t="shared" si="16"/>
        <v>20</v>
      </c>
      <c r="P11" s="49" t="s">
        <v>57</v>
      </c>
      <c r="Q11" s="49" t="s">
        <v>57</v>
      </c>
      <c r="R11" s="49" t="s">
        <v>57</v>
      </c>
      <c r="S11" s="51">
        <f t="shared" si="4"/>
        <v>11</v>
      </c>
      <c r="T11" s="52">
        <f t="shared" si="5"/>
        <v>0</v>
      </c>
      <c r="U11" s="52"/>
      <c r="V11" s="51">
        <f t="shared" si="6"/>
        <v>4</v>
      </c>
      <c r="W11" s="52">
        <f t="shared" si="7"/>
        <v>-3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80</v>
      </c>
      <c r="C12" s="37">
        <v>188.0</v>
      </c>
      <c r="D12" s="37">
        <v>17.0</v>
      </c>
      <c r="E12" s="40">
        <f t="shared" si="2"/>
        <v>13.45454545</v>
      </c>
      <c r="F12" s="90">
        <v>1.0</v>
      </c>
      <c r="G12" s="91">
        <v>1.0</v>
      </c>
      <c r="H12" s="92">
        <v>0.0</v>
      </c>
      <c r="I12" s="91">
        <v>3.0</v>
      </c>
      <c r="J12" s="91">
        <v>6.0</v>
      </c>
      <c r="K12" s="91">
        <v>6.0</v>
      </c>
      <c r="L12" s="93">
        <v>15.0</v>
      </c>
      <c r="M12" s="91">
        <v>2.0</v>
      </c>
      <c r="N12" s="37">
        <f t="shared" ref="N12:O12" si="17">C12+L12</f>
        <v>203</v>
      </c>
      <c r="O12" s="37">
        <f t="shared" si="17"/>
        <v>19</v>
      </c>
      <c r="P12" s="49" t="s">
        <v>57</v>
      </c>
      <c r="Q12" s="49" t="s">
        <v>57</v>
      </c>
      <c r="R12" s="49" t="s">
        <v>57</v>
      </c>
      <c r="S12" s="51">
        <f t="shared" si="4"/>
        <v>11</v>
      </c>
      <c r="T12" s="52">
        <f t="shared" si="5"/>
        <v>1</v>
      </c>
      <c r="U12" s="52"/>
      <c r="V12" s="51">
        <f t="shared" si="6"/>
        <v>3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92</v>
      </c>
      <c r="C13" s="37">
        <v>188.0</v>
      </c>
      <c r="D13" s="37">
        <v>15.0</v>
      </c>
      <c r="E13" s="40">
        <f t="shared" si="2"/>
        <v>13.81818182</v>
      </c>
      <c r="F13" s="90">
        <v>1.0</v>
      </c>
      <c r="G13" s="91">
        <v>10.0</v>
      </c>
      <c r="H13" s="92">
        <v>0.0</v>
      </c>
      <c r="I13" s="91">
        <v>6.0</v>
      </c>
      <c r="J13" s="91">
        <v>6.0</v>
      </c>
      <c r="K13" s="91">
        <v>6.0</v>
      </c>
      <c r="L13" s="93">
        <v>18.0</v>
      </c>
      <c r="M13" s="91">
        <v>2.0</v>
      </c>
      <c r="N13" s="37">
        <f t="shared" ref="N13:O13" si="18">C13+L13</f>
        <v>206</v>
      </c>
      <c r="O13" s="37">
        <f t="shared" si="18"/>
        <v>17</v>
      </c>
      <c r="P13" s="49" t="s">
        <v>57</v>
      </c>
      <c r="Q13" s="49" t="s">
        <v>57</v>
      </c>
      <c r="R13" s="49" t="s">
        <v>57</v>
      </c>
      <c r="S13" s="51">
        <f t="shared" si="4"/>
        <v>11</v>
      </c>
      <c r="T13" s="52">
        <f t="shared" si="5"/>
        <v>0</v>
      </c>
      <c r="U13" s="52"/>
      <c r="V13" s="51">
        <f t="shared" si="6"/>
        <v>4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94</v>
      </c>
      <c r="C14" s="37">
        <v>183.0</v>
      </c>
      <c r="D14" s="37">
        <v>19.0</v>
      </c>
      <c r="E14" s="40">
        <f t="shared" si="2"/>
        <v>12.69230769</v>
      </c>
      <c r="F14" s="90">
        <v>1.0</v>
      </c>
      <c r="G14" s="91">
        <v>10.0</v>
      </c>
      <c r="H14" s="92">
        <v>0.0</v>
      </c>
      <c r="I14" s="91">
        <v>7.0</v>
      </c>
      <c r="J14" s="91">
        <v>1.0</v>
      </c>
      <c r="K14" s="91">
        <v>6.0</v>
      </c>
      <c r="L14" s="93">
        <v>14.0</v>
      </c>
      <c r="M14" s="91">
        <v>2.0</v>
      </c>
      <c r="N14" s="37">
        <f t="shared" ref="N14:O14" si="19">C14+L14</f>
        <v>197</v>
      </c>
      <c r="O14" s="37">
        <f t="shared" si="19"/>
        <v>21</v>
      </c>
      <c r="P14" s="49" t="s">
        <v>57</v>
      </c>
      <c r="Q14" s="49" t="s">
        <v>57</v>
      </c>
      <c r="R14" s="49" t="s">
        <v>57</v>
      </c>
      <c r="S14" s="51">
        <f t="shared" si="4"/>
        <v>13</v>
      </c>
      <c r="T14" s="52">
        <f t="shared" si="5"/>
        <v>0</v>
      </c>
      <c r="U14" s="52"/>
      <c r="V14" s="51">
        <f t="shared" si="6"/>
        <v>2</v>
      </c>
      <c r="W14" s="52">
        <f t="shared" si="7"/>
        <v>6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132</v>
      </c>
      <c r="C15" s="37">
        <v>183.0</v>
      </c>
      <c r="D15" s="37">
        <v>18.0</v>
      </c>
      <c r="E15" s="40">
        <f t="shared" si="2"/>
        <v>15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192</v>
      </c>
      <c r="O15" s="37">
        <f t="shared" si="20"/>
        <v>18</v>
      </c>
      <c r="P15" s="49" t="s">
        <v>57</v>
      </c>
      <c r="Q15" s="49" t="s">
        <v>57</v>
      </c>
      <c r="R15" s="49" t="s">
        <v>57</v>
      </c>
      <c r="S15" s="51">
        <f t="shared" si="4"/>
        <v>8</v>
      </c>
      <c r="T15" s="52">
        <f t="shared" si="5"/>
        <v>0</v>
      </c>
      <c r="U15" s="52"/>
      <c r="V15" s="51">
        <f t="shared" si="6"/>
        <v>7</v>
      </c>
      <c r="W15" s="52">
        <f t="shared" si="7"/>
        <v>9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103</v>
      </c>
      <c r="C16" s="37">
        <v>183.0</v>
      </c>
      <c r="D16" s="37">
        <v>18.0</v>
      </c>
      <c r="E16" s="40">
        <f t="shared" si="2"/>
        <v>12.69230769</v>
      </c>
      <c r="F16" s="90">
        <v>1.0</v>
      </c>
      <c r="G16" s="91">
        <v>10.0</v>
      </c>
      <c r="H16" s="92">
        <v>0.0</v>
      </c>
      <c r="I16" s="91">
        <v>7.0</v>
      </c>
      <c r="J16" s="91">
        <v>6.0</v>
      </c>
      <c r="K16" s="91">
        <v>1.0</v>
      </c>
      <c r="L16" s="93">
        <v>14.0</v>
      </c>
      <c r="M16" s="91">
        <v>2.0</v>
      </c>
      <c r="N16" s="37">
        <f t="shared" ref="N16:O16" si="21">C16+L16</f>
        <v>197</v>
      </c>
      <c r="O16" s="37">
        <f t="shared" si="21"/>
        <v>20</v>
      </c>
      <c r="P16" s="49" t="s">
        <v>57</v>
      </c>
      <c r="Q16" s="49" t="s">
        <v>57</v>
      </c>
      <c r="R16" s="49" t="s">
        <v>57</v>
      </c>
      <c r="S16" s="51">
        <f t="shared" si="4"/>
        <v>13</v>
      </c>
      <c r="T16" s="52">
        <f t="shared" si="5"/>
        <v>0</v>
      </c>
      <c r="U16" s="52"/>
      <c r="V16" s="51">
        <f t="shared" si="6"/>
        <v>2</v>
      </c>
      <c r="W16" s="52">
        <f t="shared" si="7"/>
        <v>-2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96</v>
      </c>
      <c r="C17" s="37">
        <v>182.0</v>
      </c>
      <c r="D17" s="37">
        <v>21.0</v>
      </c>
      <c r="E17" s="40">
        <f t="shared" si="2"/>
        <v>12.13333333</v>
      </c>
      <c r="F17" s="90">
        <v>1.0</v>
      </c>
      <c r="G17" s="91">
        <v>10.0</v>
      </c>
      <c r="H17" s="92">
        <v>0.0</v>
      </c>
      <c r="I17" s="91">
        <v>6.0</v>
      </c>
      <c r="J17" s="91">
        <v>1.0</v>
      </c>
      <c r="K17" s="91">
        <v>1.0</v>
      </c>
      <c r="L17" s="93">
        <v>8.0</v>
      </c>
      <c r="M17" s="91">
        <v>0.0</v>
      </c>
      <c r="N17" s="37">
        <f t="shared" ref="N17:O17" si="22">C17+L17</f>
        <v>190</v>
      </c>
      <c r="O17" s="37">
        <f t="shared" si="22"/>
        <v>21</v>
      </c>
      <c r="P17" s="49" t="s">
        <v>57</v>
      </c>
      <c r="Q17" s="49" t="s">
        <v>57</v>
      </c>
      <c r="R17" s="49" t="s">
        <v>57</v>
      </c>
      <c r="S17" s="51">
        <f t="shared" si="4"/>
        <v>15</v>
      </c>
      <c r="T17" s="52">
        <f t="shared" si="5"/>
        <v>0</v>
      </c>
      <c r="U17" s="52"/>
      <c r="V17" s="51">
        <f t="shared" si="6"/>
        <v>0</v>
      </c>
      <c r="W17" s="52">
        <f t="shared" si="7"/>
        <v>-2</v>
      </c>
      <c r="X17" s="35">
        <f t="shared" si="12"/>
        <v>13</v>
      </c>
      <c r="Y17" s="35" t="str">
        <f t="shared" si="8"/>
        <v>Y</v>
      </c>
      <c r="Z17" s="19" t="str">
        <f t="shared" si="9"/>
        <v/>
      </c>
    </row>
    <row r="18">
      <c r="A18" s="35">
        <f t="shared" si="10"/>
        <v>14</v>
      </c>
      <c r="B18" s="36" t="s">
        <v>91</v>
      </c>
      <c r="C18" s="37">
        <v>182.0</v>
      </c>
      <c r="D18" s="37">
        <v>16.0</v>
      </c>
      <c r="E18" s="40">
        <f t="shared" si="2"/>
        <v>14.22222222</v>
      </c>
      <c r="F18" s="90">
        <v>1.0</v>
      </c>
      <c r="G18" s="91">
        <v>2.0</v>
      </c>
      <c r="H18" s="92">
        <v>0.0</v>
      </c>
      <c r="I18" s="91">
        <v>2.0</v>
      </c>
      <c r="J18" s="91">
        <v>1.0</v>
      </c>
      <c r="K18" s="91">
        <v>6.0</v>
      </c>
      <c r="L18" s="93">
        <v>9.0</v>
      </c>
      <c r="M18" s="91">
        <v>1.0</v>
      </c>
      <c r="N18" s="37">
        <f t="shared" ref="N18:O18" si="23">C18+L18</f>
        <v>191</v>
      </c>
      <c r="O18" s="37">
        <f t="shared" si="23"/>
        <v>17</v>
      </c>
      <c r="P18" s="49" t="s">
        <v>57</v>
      </c>
      <c r="Q18" s="49" t="s">
        <v>57</v>
      </c>
      <c r="R18" s="49" t="s">
        <v>57</v>
      </c>
      <c r="S18" s="51">
        <f t="shared" si="4"/>
        <v>9</v>
      </c>
      <c r="T18" s="52">
        <f t="shared" si="5"/>
        <v>0</v>
      </c>
      <c r="U18" s="52"/>
      <c r="V18" s="51">
        <f t="shared" si="6"/>
        <v>6</v>
      </c>
      <c r="W18" s="52">
        <f t="shared" si="7"/>
        <v>4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114</v>
      </c>
      <c r="C19" s="37">
        <v>181.0</v>
      </c>
      <c r="D19" s="37">
        <v>20.0</v>
      </c>
      <c r="E19" s="40">
        <f t="shared" si="2"/>
        <v>14.11111111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190</v>
      </c>
      <c r="O19" s="37">
        <f t="shared" si="24"/>
        <v>20</v>
      </c>
      <c r="P19" s="49" t="s">
        <v>57</v>
      </c>
      <c r="Q19" s="49" t="s">
        <v>57</v>
      </c>
      <c r="R19" s="49" t="s">
        <v>57</v>
      </c>
      <c r="S19" s="51">
        <f t="shared" si="4"/>
        <v>9</v>
      </c>
      <c r="T19" s="52">
        <f t="shared" si="5"/>
        <v>0</v>
      </c>
      <c r="U19" s="52"/>
      <c r="V19" s="51">
        <f t="shared" si="6"/>
        <v>6</v>
      </c>
      <c r="W19" s="52">
        <f t="shared" si="7"/>
        <v>-1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89</v>
      </c>
      <c r="C20" s="37">
        <v>181.0</v>
      </c>
      <c r="D20" s="37">
        <v>17.0</v>
      </c>
      <c r="E20" s="40">
        <f t="shared" si="2"/>
        <v>14.11111111</v>
      </c>
      <c r="F20" s="90">
        <v>1.0</v>
      </c>
      <c r="G20" s="91">
        <v>2.0</v>
      </c>
      <c r="H20" s="92">
        <v>0.0</v>
      </c>
      <c r="I20" s="91">
        <v>6.0</v>
      </c>
      <c r="J20" s="91">
        <v>6.0</v>
      </c>
      <c r="K20" s="91">
        <v>6.0</v>
      </c>
      <c r="L20" s="93">
        <v>18.0</v>
      </c>
      <c r="M20" s="91">
        <v>3.0</v>
      </c>
      <c r="N20" s="37">
        <f t="shared" ref="N20:O20" si="25">C20+L20</f>
        <v>199</v>
      </c>
      <c r="O20" s="37">
        <f t="shared" si="25"/>
        <v>20</v>
      </c>
      <c r="P20" s="49" t="s">
        <v>57</v>
      </c>
      <c r="Q20" s="49" t="s">
        <v>57</v>
      </c>
      <c r="R20" s="49" t="s">
        <v>57</v>
      </c>
      <c r="S20" s="51">
        <f t="shared" si="4"/>
        <v>9</v>
      </c>
      <c r="T20" s="52">
        <f t="shared" si="5"/>
        <v>0</v>
      </c>
      <c r="U20" s="52"/>
      <c r="V20" s="51">
        <f t="shared" si="6"/>
        <v>6</v>
      </c>
      <c r="W20" s="52">
        <f t="shared" si="7"/>
        <v>-4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93</v>
      </c>
      <c r="C21" s="37">
        <v>181.0</v>
      </c>
      <c r="D21" s="37">
        <v>16.0</v>
      </c>
      <c r="E21" s="40">
        <f t="shared" si="2"/>
        <v>12.81818182</v>
      </c>
      <c r="F21" s="90">
        <v>2.0</v>
      </c>
      <c r="G21" s="91">
        <v>2.0</v>
      </c>
      <c r="H21" s="92">
        <v>0.0</v>
      </c>
      <c r="I21" s="91">
        <v>2.0</v>
      </c>
      <c r="J21" s="91">
        <v>6.0</v>
      </c>
      <c r="K21" s="91">
        <v>4.0</v>
      </c>
      <c r="L21" s="93">
        <v>12.0</v>
      </c>
      <c r="M21" s="91">
        <v>1.0</v>
      </c>
      <c r="N21" s="37">
        <f t="shared" ref="N21:O21" si="26">C21+L21</f>
        <v>193</v>
      </c>
      <c r="O21" s="37">
        <f t="shared" si="26"/>
        <v>17</v>
      </c>
      <c r="P21" s="49" t="s">
        <v>57</v>
      </c>
      <c r="Q21" s="49" t="s">
        <v>57</v>
      </c>
      <c r="R21" s="49" t="s">
        <v>57</v>
      </c>
      <c r="S21" s="51">
        <f t="shared" si="4"/>
        <v>11</v>
      </c>
      <c r="T21" s="52">
        <f t="shared" si="5"/>
        <v>1</v>
      </c>
      <c r="U21" s="52"/>
      <c r="V21" s="51">
        <f t="shared" si="6"/>
        <v>3</v>
      </c>
      <c r="W21" s="52">
        <f t="shared" si="7"/>
        <v>-4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108</v>
      </c>
      <c r="C22" s="37">
        <v>178.0</v>
      </c>
      <c r="D22" s="37">
        <v>18.0</v>
      </c>
      <c r="E22" s="40">
        <f t="shared" si="2"/>
        <v>12.90909091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187</v>
      </c>
      <c r="O22" s="37">
        <f t="shared" si="27"/>
        <v>18</v>
      </c>
      <c r="P22" s="49" t="s">
        <v>57</v>
      </c>
      <c r="Q22" s="49" t="s">
        <v>57</v>
      </c>
      <c r="R22" s="49" t="s">
        <v>57</v>
      </c>
      <c r="S22" s="51">
        <f t="shared" si="4"/>
        <v>11</v>
      </c>
      <c r="T22" s="52">
        <f t="shared" si="5"/>
        <v>0</v>
      </c>
      <c r="U22" s="52"/>
      <c r="V22" s="51">
        <f t="shared" si="6"/>
        <v>4</v>
      </c>
      <c r="W22" s="52">
        <f t="shared" si="7"/>
        <v>-3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142</v>
      </c>
      <c r="C23" s="37">
        <v>177.0</v>
      </c>
      <c r="D23" s="37">
        <v>17.0</v>
      </c>
      <c r="E23" s="40">
        <f t="shared" si="2"/>
        <v>13.2</v>
      </c>
      <c r="F23" s="90">
        <v>1.0</v>
      </c>
      <c r="G23" s="91">
        <v>2.0</v>
      </c>
      <c r="H23" s="92">
        <v>0.0</v>
      </c>
      <c r="I23" s="91">
        <v>6.0</v>
      </c>
      <c r="J23" s="91">
        <v>1.0</v>
      </c>
      <c r="K23" s="91">
        <v>4.0</v>
      </c>
      <c r="L23" s="93">
        <v>11.0</v>
      </c>
      <c r="M23" s="91">
        <v>1.0</v>
      </c>
      <c r="N23" s="37">
        <f t="shared" ref="N23:O23" si="28">C23+L23</f>
        <v>188</v>
      </c>
      <c r="O23" s="37">
        <f t="shared" si="28"/>
        <v>18</v>
      </c>
      <c r="P23" s="49" t="s">
        <v>57</v>
      </c>
      <c r="Q23" s="49" t="s">
        <v>57</v>
      </c>
      <c r="R23" s="49" t="s">
        <v>57</v>
      </c>
      <c r="S23" s="51">
        <f t="shared" si="4"/>
        <v>10</v>
      </c>
      <c r="T23" s="52">
        <f t="shared" si="5"/>
        <v>0</v>
      </c>
      <c r="U23" s="52"/>
      <c r="V23" s="51">
        <f t="shared" si="6"/>
        <v>5</v>
      </c>
      <c r="W23" s="52">
        <f t="shared" si="7"/>
        <v>-2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99</v>
      </c>
      <c r="C24" s="37">
        <v>177.0</v>
      </c>
      <c r="D24" s="37">
        <v>16.0</v>
      </c>
      <c r="E24" s="40">
        <f t="shared" si="2"/>
        <v>12.8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186</v>
      </c>
      <c r="O24" s="37">
        <f t="shared" si="29"/>
        <v>16</v>
      </c>
      <c r="P24" s="49" t="s">
        <v>57</v>
      </c>
      <c r="Q24" s="49" t="s">
        <v>57</v>
      </c>
      <c r="R24" s="49" t="s">
        <v>57</v>
      </c>
      <c r="S24" s="51">
        <f t="shared" si="4"/>
        <v>10</v>
      </c>
      <c r="T24" s="52">
        <f t="shared" si="5"/>
        <v>1</v>
      </c>
      <c r="U24" s="52"/>
      <c r="V24" s="51">
        <f t="shared" si="6"/>
        <v>4</v>
      </c>
      <c r="W24" s="52">
        <f t="shared" si="7"/>
        <v>1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128</v>
      </c>
      <c r="C25" s="37">
        <v>174.0</v>
      </c>
      <c r="D25" s="37">
        <v>14.0</v>
      </c>
      <c r="E25" s="40">
        <f t="shared" si="2"/>
        <v>12.54545455</v>
      </c>
      <c r="F25" s="90">
        <v>1.0</v>
      </c>
      <c r="G25" s="91">
        <v>3.0</v>
      </c>
      <c r="H25" s="92">
        <v>0.0</v>
      </c>
      <c r="I25" s="91">
        <v>4.0</v>
      </c>
      <c r="J25" s="91">
        <v>6.0</v>
      </c>
      <c r="K25" s="91">
        <v>5.0</v>
      </c>
      <c r="L25" s="93">
        <v>15.0</v>
      </c>
      <c r="M25" s="91">
        <v>1.0</v>
      </c>
      <c r="N25" s="37">
        <f t="shared" ref="N25:O25" si="30">C25+L25</f>
        <v>189</v>
      </c>
      <c r="O25" s="37">
        <f t="shared" si="30"/>
        <v>15</v>
      </c>
      <c r="P25" s="49" t="s">
        <v>57</v>
      </c>
      <c r="Q25" s="49" t="s">
        <v>57</v>
      </c>
      <c r="R25" s="49" t="s">
        <v>57</v>
      </c>
      <c r="S25" s="51">
        <f t="shared" si="4"/>
        <v>11</v>
      </c>
      <c r="T25" s="52">
        <f t="shared" si="5"/>
        <v>0</v>
      </c>
      <c r="U25" s="52"/>
      <c r="V25" s="51">
        <f t="shared" si="6"/>
        <v>4</v>
      </c>
      <c r="W25" s="52">
        <f t="shared" si="7"/>
        <v>1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120</v>
      </c>
      <c r="C26" s="37">
        <v>173.0</v>
      </c>
      <c r="D26" s="37">
        <v>14.0</v>
      </c>
      <c r="E26" s="40">
        <f t="shared" si="2"/>
        <v>15.33333333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182</v>
      </c>
      <c r="O26" s="37">
        <f t="shared" si="31"/>
        <v>14</v>
      </c>
      <c r="P26" s="49" t="s">
        <v>57</v>
      </c>
      <c r="Q26" s="49" t="s">
        <v>57</v>
      </c>
      <c r="R26" s="49" t="s">
        <v>57</v>
      </c>
      <c r="S26" s="51">
        <f t="shared" si="4"/>
        <v>6</v>
      </c>
      <c r="T26" s="52">
        <f t="shared" si="5"/>
        <v>0</v>
      </c>
      <c r="U26" s="52"/>
      <c r="V26" s="51">
        <f t="shared" si="6"/>
        <v>9</v>
      </c>
      <c r="W26" s="52">
        <f t="shared" si="7"/>
        <v>9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112</v>
      </c>
      <c r="C27" s="37">
        <v>173.0</v>
      </c>
      <c r="D27" s="37">
        <v>14.0</v>
      </c>
      <c r="E27" s="40">
        <f t="shared" si="2"/>
        <v>12.45454545</v>
      </c>
      <c r="F27" s="90">
        <v>2.0</v>
      </c>
      <c r="G27" s="91">
        <v>3.0</v>
      </c>
      <c r="H27" s="92">
        <v>0.0</v>
      </c>
      <c r="I27" s="91">
        <v>4.0</v>
      </c>
      <c r="J27" s="91">
        <v>2.0</v>
      </c>
      <c r="K27" s="91">
        <v>7.0</v>
      </c>
      <c r="L27" s="93">
        <v>13.0</v>
      </c>
      <c r="M27" s="91">
        <v>1.0</v>
      </c>
      <c r="N27" s="37">
        <f t="shared" ref="N27:O27" si="32">C27+L27</f>
        <v>186</v>
      </c>
      <c r="O27" s="37">
        <f t="shared" si="32"/>
        <v>15</v>
      </c>
      <c r="P27" s="49" t="s">
        <v>57</v>
      </c>
      <c r="Q27" s="49" t="s">
        <v>57</v>
      </c>
      <c r="R27" s="49" t="s">
        <v>57</v>
      </c>
      <c r="S27" s="51">
        <f t="shared" si="4"/>
        <v>11</v>
      </c>
      <c r="T27" s="52">
        <f t="shared" si="5"/>
        <v>0</v>
      </c>
      <c r="U27" s="52"/>
      <c r="V27" s="51">
        <f t="shared" si="6"/>
        <v>4</v>
      </c>
      <c r="W27" s="52">
        <f t="shared" si="7"/>
        <v>0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130</v>
      </c>
      <c r="C28" s="37">
        <v>172.0</v>
      </c>
      <c r="D28" s="37">
        <v>17.0</v>
      </c>
      <c r="E28" s="40">
        <f t="shared" si="2"/>
        <v>11.46666667</v>
      </c>
      <c r="F28" s="90">
        <v>1.0</v>
      </c>
      <c r="G28" s="91">
        <v>3.0</v>
      </c>
      <c r="H28" s="92">
        <v>0.0</v>
      </c>
      <c r="I28" s="91">
        <v>6.0</v>
      </c>
      <c r="J28" s="91">
        <v>2.0</v>
      </c>
      <c r="K28" s="91">
        <v>5.0</v>
      </c>
      <c r="L28" s="93">
        <v>13.0</v>
      </c>
      <c r="M28" s="91">
        <v>1.0</v>
      </c>
      <c r="N28" s="37">
        <f t="shared" ref="N28:O28" si="33">C28+L28</f>
        <v>185</v>
      </c>
      <c r="O28" s="37">
        <f t="shared" si="33"/>
        <v>18</v>
      </c>
      <c r="P28" s="49" t="s">
        <v>57</v>
      </c>
      <c r="Q28" s="49" t="s">
        <v>57</v>
      </c>
      <c r="R28" s="49" t="s">
        <v>57</v>
      </c>
      <c r="S28" s="51">
        <f t="shared" si="4"/>
        <v>15</v>
      </c>
      <c r="T28" s="52">
        <f t="shared" si="5"/>
        <v>0</v>
      </c>
      <c r="U28" s="52"/>
      <c r="V28" s="51">
        <f t="shared" si="6"/>
        <v>0</v>
      </c>
      <c r="W28" s="52">
        <f t="shared" si="7"/>
        <v>12</v>
      </c>
      <c r="X28" s="35">
        <f t="shared" si="12"/>
        <v>24</v>
      </c>
      <c r="Y28" s="35" t="str">
        <f t="shared" si="8"/>
        <v>Y</v>
      </c>
      <c r="Z28" s="19" t="str">
        <f t="shared" si="9"/>
        <v/>
      </c>
    </row>
    <row r="29">
      <c r="A29" s="35">
        <f t="shared" si="10"/>
        <v>25</v>
      </c>
      <c r="B29" s="36" t="s">
        <v>126</v>
      </c>
      <c r="C29" s="37">
        <v>172.0</v>
      </c>
      <c r="D29" s="37">
        <v>16.0</v>
      </c>
      <c r="E29" s="40">
        <f t="shared" si="2"/>
        <v>12.7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181</v>
      </c>
      <c r="O29" s="37">
        <f t="shared" si="34"/>
        <v>16</v>
      </c>
      <c r="P29" s="49" t="s">
        <v>57</v>
      </c>
      <c r="Q29" s="49" t="s">
        <v>57</v>
      </c>
      <c r="R29" s="49" t="s">
        <v>57</v>
      </c>
      <c r="S29" s="51">
        <f t="shared" si="4"/>
        <v>10</v>
      </c>
      <c r="T29" s="52">
        <f t="shared" si="5"/>
        <v>0</v>
      </c>
      <c r="U29" s="52"/>
      <c r="V29" s="51">
        <f t="shared" si="6"/>
        <v>5</v>
      </c>
      <c r="W29" s="52">
        <f t="shared" si="7"/>
        <v>1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95</v>
      </c>
      <c r="C30" s="37">
        <v>171.0</v>
      </c>
      <c r="D30" s="37">
        <v>17.0</v>
      </c>
      <c r="E30" s="40">
        <f t="shared" si="2"/>
        <v>12.27272727</v>
      </c>
      <c r="F30" s="90">
        <v>1.0</v>
      </c>
      <c r="G30" s="91">
        <v>3.0</v>
      </c>
      <c r="H30" s="92">
        <v>0.0</v>
      </c>
      <c r="I30" s="91">
        <v>6.0</v>
      </c>
      <c r="J30" s="91">
        <v>6.0</v>
      </c>
      <c r="K30" s="91">
        <v>7.0</v>
      </c>
      <c r="L30" s="93">
        <v>19.0</v>
      </c>
      <c r="M30" s="91">
        <v>3.0</v>
      </c>
      <c r="N30" s="37">
        <f t="shared" ref="N30:O30" si="35">C30+L30</f>
        <v>190</v>
      </c>
      <c r="O30" s="37">
        <f t="shared" si="35"/>
        <v>20</v>
      </c>
      <c r="P30" s="49" t="s">
        <v>57</v>
      </c>
      <c r="Q30" s="49" t="s">
        <v>57</v>
      </c>
      <c r="R30" s="49" t="s">
        <v>57</v>
      </c>
      <c r="S30" s="51">
        <f t="shared" si="4"/>
        <v>11</v>
      </c>
      <c r="T30" s="52">
        <f t="shared" si="5"/>
        <v>0</v>
      </c>
      <c r="U30" s="52"/>
      <c r="V30" s="51">
        <f t="shared" si="6"/>
        <v>4</v>
      </c>
      <c r="W30" s="52">
        <f t="shared" si="7"/>
        <v>-7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113</v>
      </c>
      <c r="C31" s="37">
        <v>170.0</v>
      </c>
      <c r="D31" s="37">
        <v>15.0</v>
      </c>
      <c r="E31" s="40">
        <f t="shared" si="2"/>
        <v>13.375</v>
      </c>
      <c r="F31" s="90">
        <v>2.0</v>
      </c>
      <c r="G31" s="91">
        <v>4.0</v>
      </c>
      <c r="H31" s="92">
        <v>0.0</v>
      </c>
      <c r="I31" s="91">
        <v>6.0</v>
      </c>
      <c r="J31" s="91">
        <v>6.0</v>
      </c>
      <c r="K31" s="91">
        <v>2.0</v>
      </c>
      <c r="L31" s="93">
        <v>14.0</v>
      </c>
      <c r="M31" s="91">
        <v>2.0</v>
      </c>
      <c r="N31" s="37">
        <f t="shared" ref="N31:O31" si="36">C31+L31</f>
        <v>184</v>
      </c>
      <c r="O31" s="37">
        <f t="shared" si="36"/>
        <v>17</v>
      </c>
      <c r="P31" s="49" t="s">
        <v>57</v>
      </c>
      <c r="Q31" s="49" t="s">
        <v>57</v>
      </c>
      <c r="R31" s="49" t="s">
        <v>57</v>
      </c>
      <c r="S31" s="51">
        <f t="shared" si="4"/>
        <v>8</v>
      </c>
      <c r="T31" s="52">
        <f t="shared" si="5"/>
        <v>0</v>
      </c>
      <c r="U31" s="52"/>
      <c r="V31" s="51">
        <f t="shared" si="6"/>
        <v>7</v>
      </c>
      <c r="W31" s="52">
        <f t="shared" si="7"/>
        <v>15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109</v>
      </c>
      <c r="C32" s="37">
        <v>170.0</v>
      </c>
      <c r="D32" s="37">
        <v>15.0</v>
      </c>
      <c r="E32" s="40">
        <f t="shared" si="2"/>
        <v>12.18181818</v>
      </c>
      <c r="F32" s="90">
        <v>1.0</v>
      </c>
      <c r="G32" s="91">
        <v>4.0</v>
      </c>
      <c r="H32" s="92">
        <v>0.0</v>
      </c>
      <c r="I32" s="91">
        <v>4.0</v>
      </c>
      <c r="J32" s="91">
        <v>6.0</v>
      </c>
      <c r="K32" s="91">
        <v>6.0</v>
      </c>
      <c r="L32" s="93">
        <v>16.0</v>
      </c>
      <c r="M32" s="91">
        <v>2.0</v>
      </c>
      <c r="N32" s="37">
        <f t="shared" ref="N32:O32" si="37">C32+L32</f>
        <v>186</v>
      </c>
      <c r="O32" s="37">
        <f t="shared" si="37"/>
        <v>17</v>
      </c>
      <c r="P32" s="49" t="s">
        <v>57</v>
      </c>
      <c r="Q32" s="49" t="s">
        <v>57</v>
      </c>
      <c r="R32" s="49" t="s">
        <v>57</v>
      </c>
      <c r="S32" s="51">
        <f t="shared" si="4"/>
        <v>11</v>
      </c>
      <c r="T32" s="52">
        <f t="shared" si="5"/>
        <v>0</v>
      </c>
      <c r="U32" s="52"/>
      <c r="V32" s="51">
        <f t="shared" si="6"/>
        <v>4</v>
      </c>
      <c r="W32" s="52">
        <f t="shared" si="7"/>
        <v>10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51</v>
      </c>
      <c r="C33" s="37">
        <v>170.0</v>
      </c>
      <c r="D33" s="37">
        <v>14.0</v>
      </c>
      <c r="E33" s="40">
        <f t="shared" si="2"/>
        <v>16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179</v>
      </c>
      <c r="O33" s="37">
        <f t="shared" si="38"/>
        <v>14</v>
      </c>
      <c r="P33" s="49" t="s">
        <v>57</v>
      </c>
      <c r="Q33" s="49" t="s">
        <v>57</v>
      </c>
      <c r="R33" s="49" t="s">
        <v>57</v>
      </c>
      <c r="S33" s="51">
        <f t="shared" si="4"/>
        <v>5</v>
      </c>
      <c r="T33" s="52">
        <f t="shared" si="5"/>
        <v>0</v>
      </c>
      <c r="U33" s="52"/>
      <c r="V33" s="51">
        <f t="shared" si="6"/>
        <v>10</v>
      </c>
      <c r="W33" s="52">
        <f t="shared" si="7"/>
        <v>-5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64</v>
      </c>
      <c r="C34" s="37">
        <v>170.0</v>
      </c>
      <c r="D34" s="37">
        <v>14.0</v>
      </c>
      <c r="E34" s="40">
        <f t="shared" si="2"/>
        <v>11.5</v>
      </c>
      <c r="F34" s="90">
        <v>1.0</v>
      </c>
      <c r="G34" s="91">
        <v>4.0</v>
      </c>
      <c r="H34" s="92">
        <v>0.0</v>
      </c>
      <c r="I34" s="91">
        <v>4.0</v>
      </c>
      <c r="J34" s="91">
        <v>4.0</v>
      </c>
      <c r="K34" s="91">
        <v>2.0</v>
      </c>
      <c r="L34" s="93">
        <v>10.0</v>
      </c>
      <c r="M34" s="91">
        <v>0.0</v>
      </c>
      <c r="N34" s="37">
        <f t="shared" ref="N34:O34" si="39">C34+L34</f>
        <v>180</v>
      </c>
      <c r="O34" s="37">
        <f t="shared" si="39"/>
        <v>14</v>
      </c>
      <c r="P34" s="49" t="s">
        <v>57</v>
      </c>
      <c r="Q34" s="49" t="s">
        <v>57</v>
      </c>
      <c r="R34" s="49" t="s">
        <v>57</v>
      </c>
      <c r="S34" s="51">
        <f t="shared" si="4"/>
        <v>14</v>
      </c>
      <c r="T34" s="52">
        <f t="shared" si="5"/>
        <v>0</v>
      </c>
      <c r="U34" s="52"/>
      <c r="V34" s="51">
        <f t="shared" si="6"/>
        <v>1</v>
      </c>
      <c r="W34" s="52">
        <f t="shared" si="7"/>
        <v>4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90</v>
      </c>
      <c r="C35" s="37">
        <v>169.0</v>
      </c>
      <c r="D35" s="37">
        <v>12.0</v>
      </c>
      <c r="E35" s="40">
        <f t="shared" si="2"/>
        <v>14.66666667</v>
      </c>
      <c r="F35" s="90">
        <v>3.0</v>
      </c>
      <c r="G35" s="91">
        <v>0.0</v>
      </c>
      <c r="H35" s="92">
        <v>9.0</v>
      </c>
      <c r="I35" s="91">
        <v>0.0</v>
      </c>
      <c r="J35" s="91">
        <v>0.0</v>
      </c>
      <c r="K35" s="91">
        <v>0.0</v>
      </c>
      <c r="L35" s="93">
        <v>9.0</v>
      </c>
      <c r="M35" s="91">
        <v>0.0</v>
      </c>
      <c r="N35" s="37">
        <f t="shared" ref="N35:O35" si="40">C35+L35</f>
        <v>178</v>
      </c>
      <c r="O35" s="37">
        <f t="shared" si="40"/>
        <v>12</v>
      </c>
      <c r="P35" s="49" t="s">
        <v>57</v>
      </c>
      <c r="Q35" s="49" t="s">
        <v>57</v>
      </c>
      <c r="R35" s="49" t="s">
        <v>57</v>
      </c>
      <c r="S35" s="51">
        <f t="shared" si="4"/>
        <v>6</v>
      </c>
      <c r="T35" s="52">
        <f t="shared" si="5"/>
        <v>0</v>
      </c>
      <c r="U35" s="52"/>
      <c r="V35" s="51">
        <f t="shared" si="6"/>
        <v>9</v>
      </c>
      <c r="W35" s="52">
        <f t="shared" si="7"/>
        <v>-6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97</v>
      </c>
      <c r="C36" s="37">
        <v>169.0</v>
      </c>
      <c r="D36" s="37">
        <v>11.0</v>
      </c>
      <c r="E36" s="40">
        <f t="shared" si="2"/>
        <v>13.25</v>
      </c>
      <c r="F36" s="90">
        <v>1.0</v>
      </c>
      <c r="G36" s="91">
        <v>4.0</v>
      </c>
      <c r="H36" s="92">
        <v>0.0</v>
      </c>
      <c r="I36" s="91">
        <v>6.0</v>
      </c>
      <c r="J36" s="91">
        <v>4.0</v>
      </c>
      <c r="K36" s="91">
        <v>6.0</v>
      </c>
      <c r="L36" s="93">
        <v>16.0</v>
      </c>
      <c r="M36" s="91">
        <v>2.0</v>
      </c>
      <c r="N36" s="37">
        <f t="shared" ref="N36:O36" si="41">C36+L36</f>
        <v>185</v>
      </c>
      <c r="O36" s="37">
        <f t="shared" si="41"/>
        <v>13</v>
      </c>
      <c r="P36" s="49" t="s">
        <v>57</v>
      </c>
      <c r="Q36" s="49" t="s">
        <v>57</v>
      </c>
      <c r="R36" s="49" t="s">
        <v>57</v>
      </c>
      <c r="S36" s="51">
        <f t="shared" si="4"/>
        <v>8</v>
      </c>
      <c r="T36" s="52">
        <f t="shared" si="5"/>
        <v>0</v>
      </c>
      <c r="U36" s="52"/>
      <c r="V36" s="51">
        <f t="shared" si="6"/>
        <v>7</v>
      </c>
      <c r="W36" s="52">
        <f t="shared" si="7"/>
        <v>-4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137</v>
      </c>
      <c r="C37" s="37">
        <v>168.0</v>
      </c>
      <c r="D37" s="37">
        <v>15.0</v>
      </c>
      <c r="E37" s="40">
        <f t="shared" si="2"/>
        <v>12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177</v>
      </c>
      <c r="O37" s="37">
        <f t="shared" si="42"/>
        <v>15</v>
      </c>
      <c r="P37" s="49" t="s">
        <v>57</v>
      </c>
      <c r="Q37" s="49" t="s">
        <v>57</v>
      </c>
      <c r="R37" s="49" t="s">
        <v>57</v>
      </c>
      <c r="S37" s="51">
        <f t="shared" si="4"/>
        <v>11</v>
      </c>
      <c r="T37" s="52">
        <f t="shared" si="5"/>
        <v>0</v>
      </c>
      <c r="U37" s="52"/>
      <c r="V37" s="51">
        <f t="shared" si="6"/>
        <v>4</v>
      </c>
      <c r="W37" s="52">
        <f t="shared" si="7"/>
        <v>2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143</v>
      </c>
      <c r="C38" s="37">
        <v>168.0</v>
      </c>
      <c r="D38" s="37">
        <v>14.0</v>
      </c>
      <c r="E38" s="40">
        <f t="shared" si="2"/>
        <v>12.66666667</v>
      </c>
      <c r="F38" s="90">
        <v>1.0</v>
      </c>
      <c r="G38" s="91">
        <v>5.0</v>
      </c>
      <c r="H38" s="92">
        <v>0.0</v>
      </c>
      <c r="I38" s="91">
        <v>1.0</v>
      </c>
      <c r="J38" s="91">
        <v>1.0</v>
      </c>
      <c r="K38" s="91">
        <v>6.0</v>
      </c>
      <c r="L38" s="93">
        <v>8.0</v>
      </c>
      <c r="M38" s="91">
        <v>1.0</v>
      </c>
      <c r="N38" s="37">
        <f t="shared" ref="N38:O38" si="43">C38+L38</f>
        <v>176</v>
      </c>
      <c r="O38" s="37">
        <f t="shared" si="43"/>
        <v>15</v>
      </c>
      <c r="P38" s="49" t="s">
        <v>57</v>
      </c>
      <c r="Q38" s="49" t="s">
        <v>57</v>
      </c>
      <c r="R38" s="49" t="s">
        <v>57</v>
      </c>
      <c r="S38" s="51">
        <f t="shared" si="4"/>
        <v>9</v>
      </c>
      <c r="T38" s="52">
        <f t="shared" si="5"/>
        <v>0</v>
      </c>
      <c r="U38" s="52"/>
      <c r="V38" s="51">
        <f t="shared" si="6"/>
        <v>6</v>
      </c>
      <c r="W38" s="52">
        <f t="shared" si="7"/>
        <v>-7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59</v>
      </c>
      <c r="C39" s="37">
        <v>167.0</v>
      </c>
      <c r="D39" s="37">
        <v>13.0</v>
      </c>
      <c r="E39" s="40">
        <f t="shared" si="2"/>
        <v>11.28571429</v>
      </c>
      <c r="F39" s="90">
        <v>1.0</v>
      </c>
      <c r="G39" s="91">
        <v>5.0</v>
      </c>
      <c r="H39" s="92">
        <v>0.0</v>
      </c>
      <c r="I39" s="91">
        <v>6.0</v>
      </c>
      <c r="J39" s="91">
        <v>1.0</v>
      </c>
      <c r="K39" s="91">
        <v>2.0</v>
      </c>
      <c r="L39" s="93">
        <v>9.0</v>
      </c>
      <c r="M39" s="91">
        <v>1.0</v>
      </c>
      <c r="N39" s="37">
        <f t="shared" ref="N39:O39" si="44">C39+L39</f>
        <v>176</v>
      </c>
      <c r="O39" s="37">
        <f t="shared" si="44"/>
        <v>14</v>
      </c>
      <c r="P39" s="49" t="s">
        <v>57</v>
      </c>
      <c r="Q39" s="49" t="s">
        <v>57</v>
      </c>
      <c r="R39" s="49" t="s">
        <v>57</v>
      </c>
      <c r="S39" s="51">
        <f t="shared" si="4"/>
        <v>14</v>
      </c>
      <c r="T39" s="52">
        <f t="shared" si="5"/>
        <v>0</v>
      </c>
      <c r="U39" s="52"/>
      <c r="V39" s="51">
        <f t="shared" si="6"/>
        <v>1</v>
      </c>
      <c r="W39" s="52">
        <f t="shared" si="7"/>
        <v>-5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117</v>
      </c>
      <c r="C40" s="37">
        <v>167.0</v>
      </c>
      <c r="D40" s="37">
        <v>12.0</v>
      </c>
      <c r="E40" s="40">
        <f t="shared" si="2"/>
        <v>11.54545455</v>
      </c>
      <c r="F40" s="90">
        <v>2.0</v>
      </c>
      <c r="G40" s="91">
        <v>5.0</v>
      </c>
      <c r="H40" s="92">
        <v>0.0</v>
      </c>
      <c r="I40" s="91">
        <v>6.0</v>
      </c>
      <c r="J40" s="91">
        <v>6.0</v>
      </c>
      <c r="K40" s="91">
        <v>6.0</v>
      </c>
      <c r="L40" s="93">
        <v>18.0</v>
      </c>
      <c r="M40" s="91">
        <v>3.0</v>
      </c>
      <c r="N40" s="37">
        <f t="shared" ref="N40:O40" si="45">C40+L40</f>
        <v>185</v>
      </c>
      <c r="O40" s="37">
        <f t="shared" si="45"/>
        <v>15</v>
      </c>
      <c r="P40" s="49" t="s">
        <v>57</v>
      </c>
      <c r="Q40" s="49" t="s">
        <v>57</v>
      </c>
      <c r="R40" s="49" t="s">
        <v>57</v>
      </c>
      <c r="S40" s="51">
        <f t="shared" si="4"/>
        <v>11</v>
      </c>
      <c r="T40" s="52">
        <f t="shared" si="5"/>
        <v>1</v>
      </c>
      <c r="U40" s="52"/>
      <c r="V40" s="51">
        <f t="shared" si="6"/>
        <v>3</v>
      </c>
      <c r="W40" s="52">
        <f t="shared" si="7"/>
        <v>-7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101</v>
      </c>
      <c r="C41" s="37">
        <v>167.0</v>
      </c>
      <c r="D41" s="37">
        <v>10.0</v>
      </c>
      <c r="E41" s="40">
        <f t="shared" si="2"/>
        <v>12.5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176</v>
      </c>
      <c r="O41" s="37">
        <f t="shared" si="46"/>
        <v>10</v>
      </c>
      <c r="P41" s="49" t="s">
        <v>57</v>
      </c>
      <c r="Q41" s="49" t="s">
        <v>57</v>
      </c>
      <c r="R41" s="49" t="s">
        <v>57</v>
      </c>
      <c r="S41" s="51">
        <f t="shared" si="4"/>
        <v>8</v>
      </c>
      <c r="T41" s="52">
        <f t="shared" si="5"/>
        <v>1</v>
      </c>
      <c r="U41" s="52"/>
      <c r="V41" s="51">
        <f t="shared" si="6"/>
        <v>6</v>
      </c>
      <c r="W41" s="52">
        <f t="shared" si="7"/>
        <v>0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107</v>
      </c>
      <c r="C42" s="37">
        <v>166.0</v>
      </c>
      <c r="D42" s="37">
        <v>15.0</v>
      </c>
      <c r="E42" s="40">
        <f t="shared" si="2"/>
        <v>12.44444444</v>
      </c>
      <c r="F42" s="90">
        <v>1.0</v>
      </c>
      <c r="G42" s="91">
        <v>5.0</v>
      </c>
      <c r="H42" s="92">
        <v>0.0</v>
      </c>
      <c r="I42" s="91">
        <v>1.0</v>
      </c>
      <c r="J42" s="91">
        <v>6.0</v>
      </c>
      <c r="K42" s="91">
        <v>2.0</v>
      </c>
      <c r="L42" s="93">
        <v>9.0</v>
      </c>
      <c r="M42" s="91">
        <v>1.0</v>
      </c>
      <c r="N42" s="37">
        <f t="shared" ref="N42:O42" si="47">C42+L42</f>
        <v>175</v>
      </c>
      <c r="O42" s="37">
        <f t="shared" si="47"/>
        <v>16</v>
      </c>
      <c r="P42" s="49" t="s">
        <v>57</v>
      </c>
      <c r="Q42" s="49" t="s">
        <v>57</v>
      </c>
      <c r="R42" s="49" t="s">
        <v>57</v>
      </c>
      <c r="S42" s="51">
        <f t="shared" si="4"/>
        <v>9</v>
      </c>
      <c r="T42" s="52">
        <f t="shared" si="5"/>
        <v>0</v>
      </c>
      <c r="U42" s="52"/>
      <c r="V42" s="51">
        <f t="shared" si="6"/>
        <v>6</v>
      </c>
      <c r="W42" s="52">
        <f t="shared" si="7"/>
        <v>-6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138</v>
      </c>
      <c r="C43" s="37">
        <v>166.0</v>
      </c>
      <c r="D43" s="37">
        <v>14.0</v>
      </c>
      <c r="E43" s="40">
        <f t="shared" si="2"/>
        <v>12.1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175</v>
      </c>
      <c r="O43" s="37">
        <f t="shared" si="48"/>
        <v>14</v>
      </c>
      <c r="P43" s="49" t="s">
        <v>57</v>
      </c>
      <c r="Q43" s="49" t="s">
        <v>57</v>
      </c>
      <c r="R43" s="49" t="s">
        <v>57</v>
      </c>
      <c r="S43" s="51">
        <f t="shared" si="4"/>
        <v>10</v>
      </c>
      <c r="T43" s="52">
        <f t="shared" si="5"/>
        <v>0</v>
      </c>
      <c r="U43" s="52"/>
      <c r="V43" s="51">
        <f t="shared" si="6"/>
        <v>5</v>
      </c>
      <c r="W43" s="52">
        <f t="shared" si="7"/>
        <v>4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115</v>
      </c>
      <c r="C44" s="37">
        <v>164.0</v>
      </c>
      <c r="D44" s="37">
        <v>13.0</v>
      </c>
      <c r="E44" s="40">
        <f t="shared" si="2"/>
        <v>11.63636364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173</v>
      </c>
      <c r="O44" s="37">
        <f t="shared" si="49"/>
        <v>13</v>
      </c>
      <c r="P44" s="49" t="s">
        <v>57</v>
      </c>
      <c r="Q44" s="49" t="s">
        <v>57</v>
      </c>
      <c r="R44" s="49" t="s">
        <v>57</v>
      </c>
      <c r="S44" s="51">
        <f t="shared" si="4"/>
        <v>11</v>
      </c>
      <c r="T44" s="52">
        <f t="shared" si="5"/>
        <v>0</v>
      </c>
      <c r="U44" s="52"/>
      <c r="V44" s="51">
        <f t="shared" si="6"/>
        <v>4</v>
      </c>
      <c r="W44" s="52">
        <f t="shared" si="7"/>
        <v>-1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110</v>
      </c>
      <c r="C45" s="37">
        <v>163.0</v>
      </c>
      <c r="D45" s="37">
        <v>16.0</v>
      </c>
      <c r="E45" s="40">
        <f t="shared" si="2"/>
        <v>11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172</v>
      </c>
      <c r="O45" s="37">
        <f t="shared" si="50"/>
        <v>16</v>
      </c>
      <c r="P45" s="49" t="s">
        <v>57</v>
      </c>
      <c r="Q45" s="49" t="s">
        <v>57</v>
      </c>
      <c r="R45" s="49" t="s">
        <v>57</v>
      </c>
      <c r="S45" s="51">
        <f t="shared" si="4"/>
        <v>14</v>
      </c>
      <c r="T45" s="52">
        <f t="shared" si="5"/>
        <v>0</v>
      </c>
      <c r="U45" s="52"/>
      <c r="V45" s="51">
        <f t="shared" si="6"/>
        <v>1</v>
      </c>
      <c r="W45" s="52">
        <f t="shared" si="7"/>
        <v>4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139</v>
      </c>
      <c r="C46" s="37">
        <v>163.0</v>
      </c>
      <c r="D46" s="37">
        <v>14.0</v>
      </c>
      <c r="E46" s="40">
        <f t="shared" si="2"/>
        <v>11.33333333</v>
      </c>
      <c r="F46" s="90">
        <v>1.0</v>
      </c>
      <c r="G46" s="91">
        <v>6.0</v>
      </c>
      <c r="H46" s="92">
        <v>0.0</v>
      </c>
      <c r="I46" s="91">
        <v>6.0</v>
      </c>
      <c r="J46" s="91">
        <v>6.0</v>
      </c>
      <c r="K46" s="91">
        <v>6.0</v>
      </c>
      <c r="L46" s="93">
        <v>18.0</v>
      </c>
      <c r="M46" s="91">
        <v>3.0</v>
      </c>
      <c r="N46" s="37">
        <f t="shared" ref="N46:O46" si="51">C46+L46</f>
        <v>181</v>
      </c>
      <c r="O46" s="37">
        <f t="shared" si="51"/>
        <v>17</v>
      </c>
      <c r="P46" s="49" t="s">
        <v>57</v>
      </c>
      <c r="Q46" s="49" t="s">
        <v>57</v>
      </c>
      <c r="R46" s="49" t="s">
        <v>57</v>
      </c>
      <c r="S46" s="51">
        <f t="shared" si="4"/>
        <v>12</v>
      </c>
      <c r="T46" s="52">
        <f t="shared" si="5"/>
        <v>0</v>
      </c>
      <c r="U46" s="52"/>
      <c r="V46" s="51">
        <f t="shared" si="6"/>
        <v>3</v>
      </c>
      <c r="W46" s="52">
        <f t="shared" si="7"/>
        <v>2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104</v>
      </c>
      <c r="C47" s="37">
        <v>163.0</v>
      </c>
      <c r="D47" s="37">
        <v>13.0</v>
      </c>
      <c r="E47" s="40">
        <f t="shared" si="2"/>
        <v>12.5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172</v>
      </c>
      <c r="O47" s="37">
        <f t="shared" si="52"/>
        <v>13</v>
      </c>
      <c r="P47" s="49" t="s">
        <v>57</v>
      </c>
      <c r="Q47" s="49" t="s">
        <v>57</v>
      </c>
      <c r="R47" s="49" t="s">
        <v>57</v>
      </c>
      <c r="S47" s="51">
        <f t="shared" si="4"/>
        <v>8</v>
      </c>
      <c r="T47" s="52">
        <f t="shared" si="5"/>
        <v>0</v>
      </c>
      <c r="U47" s="52"/>
      <c r="V47" s="51">
        <f t="shared" si="6"/>
        <v>7</v>
      </c>
      <c r="W47" s="52">
        <f t="shared" si="7"/>
        <v>-10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134</v>
      </c>
      <c r="C48" s="37">
        <v>162.0</v>
      </c>
      <c r="D48" s="37">
        <v>14.0</v>
      </c>
      <c r="E48" s="40">
        <f t="shared" si="2"/>
        <v>11.25</v>
      </c>
      <c r="F48" s="90">
        <v>1.0</v>
      </c>
      <c r="G48" s="91">
        <v>6.0</v>
      </c>
      <c r="H48" s="92">
        <v>0.0</v>
      </c>
      <c r="I48" s="91">
        <v>4.0</v>
      </c>
      <c r="J48" s="91">
        <v>1.0</v>
      </c>
      <c r="K48" s="91">
        <v>6.0</v>
      </c>
      <c r="L48" s="93">
        <v>11.0</v>
      </c>
      <c r="M48" s="91">
        <v>1.0</v>
      </c>
      <c r="N48" s="37">
        <f t="shared" ref="N48:O48" si="53">C48+L48</f>
        <v>173</v>
      </c>
      <c r="O48" s="37">
        <f t="shared" si="53"/>
        <v>15</v>
      </c>
      <c r="P48" s="49" t="s">
        <v>57</v>
      </c>
      <c r="Q48" s="49" t="s">
        <v>57</v>
      </c>
      <c r="R48" s="49" t="s">
        <v>57</v>
      </c>
      <c r="S48" s="51">
        <f t="shared" si="4"/>
        <v>12</v>
      </c>
      <c r="T48" s="52">
        <f t="shared" si="5"/>
        <v>0</v>
      </c>
      <c r="U48" s="52"/>
      <c r="V48" s="51">
        <f t="shared" si="6"/>
        <v>3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118</v>
      </c>
      <c r="C49" s="37">
        <v>162.0</v>
      </c>
      <c r="D49" s="37">
        <v>11.0</v>
      </c>
      <c r="E49" s="40">
        <f t="shared" si="2"/>
        <v>11.07692308</v>
      </c>
      <c r="F49" s="90">
        <v>1.0</v>
      </c>
      <c r="G49" s="91">
        <v>6.0</v>
      </c>
      <c r="H49" s="92">
        <v>0.0</v>
      </c>
      <c r="I49" s="91">
        <v>4.0</v>
      </c>
      <c r="J49" s="91">
        <v>6.0</v>
      </c>
      <c r="K49" s="91">
        <v>1.0</v>
      </c>
      <c r="L49" s="93">
        <v>11.0</v>
      </c>
      <c r="M49" s="91">
        <v>1.0</v>
      </c>
      <c r="N49" s="37">
        <f t="shared" ref="N49:O49" si="54">C49+L49</f>
        <v>173</v>
      </c>
      <c r="O49" s="37">
        <f t="shared" si="54"/>
        <v>12</v>
      </c>
      <c r="P49" s="49" t="s">
        <v>57</v>
      </c>
      <c r="Q49" s="49" t="s">
        <v>57</v>
      </c>
      <c r="R49" s="49" t="s">
        <v>57</v>
      </c>
      <c r="S49" s="51">
        <f t="shared" si="4"/>
        <v>13</v>
      </c>
      <c r="T49" s="52">
        <f t="shared" si="5"/>
        <v>0</v>
      </c>
      <c r="U49" s="52"/>
      <c r="V49" s="51">
        <f t="shared" si="6"/>
        <v>2</v>
      </c>
      <c r="W49" s="52">
        <f t="shared" si="7"/>
        <v>-5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73</v>
      </c>
      <c r="C50" s="37">
        <v>157.0</v>
      </c>
      <c r="D50" s="37">
        <v>10.0</v>
      </c>
      <c r="E50" s="40">
        <f t="shared" si="2"/>
        <v>14.5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166</v>
      </c>
      <c r="O50" s="37">
        <f t="shared" si="55"/>
        <v>10</v>
      </c>
      <c r="P50" s="49" t="s">
        <v>57</v>
      </c>
      <c r="Q50" s="49" t="s">
        <v>57</v>
      </c>
      <c r="R50" s="49" t="s">
        <v>57</v>
      </c>
      <c r="S50" s="51">
        <f t="shared" si="4"/>
        <v>4</v>
      </c>
      <c r="T50" s="52">
        <f t="shared" si="5"/>
        <v>0</v>
      </c>
      <c r="U50" s="52"/>
      <c r="V50" s="51">
        <f t="shared" si="6"/>
        <v>11</v>
      </c>
      <c r="W50" s="52">
        <f t="shared" si="7"/>
        <v>5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76</v>
      </c>
      <c r="C51" s="37">
        <v>155.0</v>
      </c>
      <c r="D51" s="37">
        <v>8.0</v>
      </c>
      <c r="E51" s="40">
        <f t="shared" si="2"/>
        <v>11.66666667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164</v>
      </c>
      <c r="O51" s="37">
        <f t="shared" si="56"/>
        <v>8</v>
      </c>
      <c r="P51" s="49" t="s">
        <v>57</v>
      </c>
      <c r="Q51" s="49" t="s">
        <v>57</v>
      </c>
      <c r="R51" s="49" t="s">
        <v>57</v>
      </c>
      <c r="S51" s="51">
        <f t="shared" si="4"/>
        <v>6</v>
      </c>
      <c r="T51" s="52">
        <f t="shared" si="5"/>
        <v>1</v>
      </c>
      <c r="U51" s="52"/>
      <c r="V51" s="51">
        <f t="shared" si="6"/>
        <v>8</v>
      </c>
      <c r="W51" s="52">
        <f t="shared" si="7"/>
        <v>-1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140</v>
      </c>
      <c r="C52" s="37">
        <v>154.0</v>
      </c>
      <c r="D52" s="37">
        <v>9.0</v>
      </c>
      <c r="E52" s="40">
        <f t="shared" si="2"/>
        <v>10.9</v>
      </c>
      <c r="F52" s="90">
        <v>1.0</v>
      </c>
      <c r="G52" s="91">
        <v>6.0</v>
      </c>
      <c r="H52" s="92">
        <v>0.0</v>
      </c>
      <c r="I52" s="91">
        <v>6.0</v>
      </c>
      <c r="J52" s="91">
        <v>1.0</v>
      </c>
      <c r="K52" s="91">
        <v>1.0</v>
      </c>
      <c r="L52" s="93">
        <v>8.0</v>
      </c>
      <c r="M52" s="91">
        <v>1.0</v>
      </c>
      <c r="N52" s="37">
        <f t="shared" ref="N52:O52" si="57">C52+L52</f>
        <v>162</v>
      </c>
      <c r="O52" s="37">
        <f t="shared" si="57"/>
        <v>10</v>
      </c>
      <c r="P52" s="49" t="s">
        <v>57</v>
      </c>
      <c r="Q52" s="49" t="s">
        <v>57</v>
      </c>
      <c r="R52" s="49" t="s">
        <v>57</v>
      </c>
      <c r="S52" s="51">
        <f t="shared" si="4"/>
        <v>10</v>
      </c>
      <c r="T52" s="52">
        <f t="shared" si="5"/>
        <v>0</v>
      </c>
      <c r="U52" s="52"/>
      <c r="V52" s="51">
        <f t="shared" si="6"/>
        <v>5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151</v>
      </c>
      <c r="C53" s="37">
        <v>153.0</v>
      </c>
      <c r="D53" s="37">
        <v>11.0</v>
      </c>
      <c r="E53" s="40">
        <f t="shared" si="2"/>
        <v>10.4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162</v>
      </c>
      <c r="O53" s="37">
        <f t="shared" si="58"/>
        <v>11</v>
      </c>
      <c r="P53" s="49" t="s">
        <v>57</v>
      </c>
      <c r="Q53" s="49" t="s">
        <v>57</v>
      </c>
      <c r="R53" s="49" t="s">
        <v>57</v>
      </c>
      <c r="S53" s="51">
        <f t="shared" si="4"/>
        <v>10</v>
      </c>
      <c r="T53" s="52">
        <f t="shared" si="5"/>
        <v>1</v>
      </c>
      <c r="U53" s="52"/>
      <c r="V53" s="51">
        <f t="shared" si="6"/>
        <v>4</v>
      </c>
      <c r="W53" s="52">
        <f t="shared" si="7"/>
        <v>-1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129</v>
      </c>
      <c r="C54" s="37">
        <v>152.0</v>
      </c>
      <c r="D54" s="37">
        <v>12.0</v>
      </c>
      <c r="E54" s="40">
        <f t="shared" si="2"/>
        <v>10.54545455</v>
      </c>
      <c r="F54" s="90">
        <v>1.0</v>
      </c>
      <c r="G54" s="91">
        <v>7.0</v>
      </c>
      <c r="H54" s="92">
        <v>0.0</v>
      </c>
      <c r="I54" s="91">
        <v>4.0</v>
      </c>
      <c r="J54" s="91">
        <v>4.0</v>
      </c>
      <c r="K54" s="91">
        <v>6.0</v>
      </c>
      <c r="L54" s="93">
        <v>14.0</v>
      </c>
      <c r="M54" s="91">
        <v>1.0</v>
      </c>
      <c r="N54" s="37">
        <f t="shared" ref="N54:O54" si="59">C54+L54</f>
        <v>166</v>
      </c>
      <c r="O54" s="37">
        <f t="shared" si="59"/>
        <v>13</v>
      </c>
      <c r="P54" s="49" t="s">
        <v>57</v>
      </c>
      <c r="Q54" s="49" t="s">
        <v>57</v>
      </c>
      <c r="R54" s="49" t="s">
        <v>57</v>
      </c>
      <c r="S54" s="51">
        <f t="shared" si="4"/>
        <v>11</v>
      </c>
      <c r="T54" s="52">
        <f t="shared" si="5"/>
        <v>0</v>
      </c>
      <c r="U54" s="52"/>
      <c r="V54" s="51">
        <f t="shared" si="6"/>
        <v>4</v>
      </c>
      <c r="W54" s="52">
        <f t="shared" si="7"/>
        <v>-1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153</v>
      </c>
      <c r="C55" s="37">
        <v>148.0</v>
      </c>
      <c r="D55" s="37">
        <v>7.0</v>
      </c>
      <c r="E55" s="40">
        <f t="shared" si="2"/>
        <v>12.25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157</v>
      </c>
      <c r="O55" s="37">
        <f t="shared" si="60"/>
        <v>7</v>
      </c>
      <c r="P55" s="49" t="s">
        <v>57</v>
      </c>
      <c r="Q55" s="49" t="s">
        <v>57</v>
      </c>
      <c r="R55" s="49" t="s">
        <v>57</v>
      </c>
      <c r="S55" s="51">
        <f t="shared" si="4"/>
        <v>4</v>
      </c>
      <c r="T55" s="52">
        <f t="shared" si="5"/>
        <v>0</v>
      </c>
      <c r="U55" s="52"/>
      <c r="V55" s="51">
        <f t="shared" si="6"/>
        <v>11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54</v>
      </c>
      <c r="C56" s="37">
        <v>148.0</v>
      </c>
      <c r="D56" s="37">
        <v>7.0</v>
      </c>
      <c r="E56" s="40">
        <f t="shared" si="2"/>
        <v>12.25</v>
      </c>
      <c r="F56" s="90">
        <v>1.0</v>
      </c>
      <c r="G56" s="91">
        <v>7.0</v>
      </c>
      <c r="H56" s="92">
        <v>0.0</v>
      </c>
      <c r="I56" s="91">
        <v>6.0</v>
      </c>
      <c r="J56" s="91">
        <v>6.0</v>
      </c>
      <c r="K56" s="91">
        <v>6.0</v>
      </c>
      <c r="L56" s="93">
        <v>18.0</v>
      </c>
      <c r="M56" s="91">
        <v>3.0</v>
      </c>
      <c r="N56" s="37">
        <f t="shared" ref="N56:O56" si="61">C56+L56</f>
        <v>166</v>
      </c>
      <c r="O56" s="37">
        <f t="shared" si="61"/>
        <v>10</v>
      </c>
      <c r="P56" s="49" t="s">
        <v>57</v>
      </c>
      <c r="Q56" s="49" t="s">
        <v>57</v>
      </c>
      <c r="R56" s="49" t="s">
        <v>57</v>
      </c>
      <c r="S56" s="51">
        <f t="shared" si="4"/>
        <v>4</v>
      </c>
      <c r="T56" s="52">
        <f t="shared" si="5"/>
        <v>0</v>
      </c>
      <c r="U56" s="52"/>
      <c r="V56" s="51">
        <f t="shared" si="6"/>
        <v>11</v>
      </c>
      <c r="W56" s="52">
        <f t="shared" si="7"/>
        <v>6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147</v>
      </c>
      <c r="C57" s="37">
        <v>148.0</v>
      </c>
      <c r="D57" s="37">
        <v>5.0</v>
      </c>
      <c r="E57" s="40">
        <f t="shared" si="2"/>
        <v>11.25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157</v>
      </c>
      <c r="O57" s="37">
        <f t="shared" si="62"/>
        <v>5</v>
      </c>
      <c r="P57" s="49" t="s">
        <v>57</v>
      </c>
      <c r="Q57" s="49" t="s">
        <v>57</v>
      </c>
      <c r="R57" s="49" t="s">
        <v>57</v>
      </c>
      <c r="S57" s="51">
        <f t="shared" si="4"/>
        <v>4</v>
      </c>
      <c r="T57" s="52">
        <f t="shared" si="5"/>
        <v>1</v>
      </c>
      <c r="U57" s="52"/>
      <c r="V57" s="51">
        <f t="shared" si="6"/>
        <v>10</v>
      </c>
      <c r="W57" s="52">
        <f t="shared" si="7"/>
        <v>-1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131</v>
      </c>
      <c r="C58" s="37">
        <v>146.0</v>
      </c>
      <c r="D58" s="37">
        <v>6.0</v>
      </c>
      <c r="E58" s="40">
        <f t="shared" si="2"/>
        <v>11.33333333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155</v>
      </c>
      <c r="O58" s="37">
        <f t="shared" si="63"/>
        <v>6</v>
      </c>
      <c r="P58" s="49" t="s">
        <v>57</v>
      </c>
      <c r="Q58" s="49" t="s">
        <v>57</v>
      </c>
      <c r="R58" s="49" t="s">
        <v>57</v>
      </c>
      <c r="S58" s="51">
        <f t="shared" si="4"/>
        <v>3</v>
      </c>
      <c r="T58" s="52">
        <f t="shared" si="5"/>
        <v>1</v>
      </c>
      <c r="U58" s="52"/>
      <c r="V58" s="51">
        <f t="shared" si="6"/>
        <v>11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152</v>
      </c>
      <c r="C59" s="37">
        <v>144.0</v>
      </c>
      <c r="D59" s="37">
        <v>12.0</v>
      </c>
      <c r="E59" s="40">
        <f t="shared" si="2"/>
        <v>9.9</v>
      </c>
      <c r="F59" s="90">
        <v>1.0</v>
      </c>
      <c r="G59" s="91">
        <v>7.0</v>
      </c>
      <c r="H59" s="92">
        <v>0.0</v>
      </c>
      <c r="I59" s="91">
        <v>4.0</v>
      </c>
      <c r="J59" s="91">
        <v>6.0</v>
      </c>
      <c r="K59" s="91">
        <v>1.0</v>
      </c>
      <c r="L59" s="93">
        <v>11.0</v>
      </c>
      <c r="M59" s="91">
        <v>1.0</v>
      </c>
      <c r="N59" s="37">
        <f t="shared" ref="N59:O59" si="64">C59+L59</f>
        <v>155</v>
      </c>
      <c r="O59" s="37">
        <f t="shared" si="64"/>
        <v>13</v>
      </c>
      <c r="P59" s="49" t="s">
        <v>57</v>
      </c>
      <c r="Q59" s="49" t="s">
        <v>57</v>
      </c>
      <c r="R59" s="49" t="s">
        <v>57</v>
      </c>
      <c r="S59" s="51">
        <f t="shared" si="4"/>
        <v>10</v>
      </c>
      <c r="T59" s="52">
        <f t="shared" si="5"/>
        <v>0</v>
      </c>
      <c r="U59" s="52"/>
      <c r="V59" s="51">
        <f t="shared" si="6"/>
        <v>5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145</v>
      </c>
      <c r="C60" s="37">
        <v>143.0</v>
      </c>
      <c r="D60" s="37">
        <v>12.0</v>
      </c>
      <c r="E60" s="40">
        <f t="shared" si="2"/>
        <v>9.888888889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152</v>
      </c>
      <c r="O60" s="37">
        <f t="shared" si="65"/>
        <v>12</v>
      </c>
      <c r="P60" s="49" t="s">
        <v>57</v>
      </c>
      <c r="Q60" s="49" t="s">
        <v>57</v>
      </c>
      <c r="R60" s="49" t="s">
        <v>57</v>
      </c>
      <c r="S60" s="51">
        <f t="shared" si="4"/>
        <v>9</v>
      </c>
      <c r="T60" s="52">
        <f t="shared" si="5"/>
        <v>0</v>
      </c>
      <c r="U60" s="52"/>
      <c r="V60" s="51">
        <f t="shared" si="6"/>
        <v>6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100</v>
      </c>
      <c r="C61" s="37">
        <v>143.0</v>
      </c>
      <c r="D61" s="37">
        <v>6.0</v>
      </c>
      <c r="E61" s="40">
        <f t="shared" si="2"/>
        <v>11.66666667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152</v>
      </c>
      <c r="O61" s="37">
        <f t="shared" si="66"/>
        <v>6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0</v>
      </c>
      <c r="U61" s="52"/>
      <c r="V61" s="51">
        <f t="shared" si="6"/>
        <v>12</v>
      </c>
      <c r="W61" s="52">
        <f t="shared" si="7"/>
        <v>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116</v>
      </c>
      <c r="C62" s="37">
        <v>141.0</v>
      </c>
      <c r="D62" s="37">
        <v>9.0</v>
      </c>
      <c r="E62" s="40">
        <f t="shared" si="2"/>
        <v>9.4</v>
      </c>
      <c r="F62" s="90">
        <v>1.0</v>
      </c>
      <c r="G62" s="91">
        <v>7.0</v>
      </c>
      <c r="H62" s="92">
        <v>0.0</v>
      </c>
      <c r="I62" s="91">
        <v>6.0</v>
      </c>
      <c r="J62" s="91">
        <v>4.0</v>
      </c>
      <c r="K62" s="91">
        <v>1.0</v>
      </c>
      <c r="L62" s="93">
        <v>11.0</v>
      </c>
      <c r="M62" s="91">
        <v>1.0</v>
      </c>
      <c r="N62" s="37">
        <f t="shared" ref="N62:O62" si="67">C62+L62</f>
        <v>152</v>
      </c>
      <c r="O62" s="37">
        <f t="shared" si="67"/>
        <v>10</v>
      </c>
      <c r="P62" s="49" t="s">
        <v>57</v>
      </c>
      <c r="Q62" s="49" t="s">
        <v>57</v>
      </c>
      <c r="R62" s="49" t="s">
        <v>57</v>
      </c>
      <c r="S62" s="51">
        <f t="shared" si="4"/>
        <v>15</v>
      </c>
      <c r="T62" s="52">
        <f t="shared" si="5"/>
        <v>0</v>
      </c>
      <c r="U62" s="52"/>
      <c r="V62" s="51">
        <f t="shared" si="6"/>
        <v>0</v>
      </c>
      <c r="W62" s="52">
        <f t="shared" si="7"/>
        <v>-3</v>
      </c>
      <c r="X62" s="35">
        <f t="shared" si="12"/>
        <v>58</v>
      </c>
      <c r="Y62" s="35" t="str">
        <f t="shared" si="8"/>
        <v>Y</v>
      </c>
      <c r="Z62" s="19" t="str">
        <f t="shared" si="9"/>
        <v/>
      </c>
    </row>
    <row r="63">
      <c r="A63" s="35">
        <f t="shared" si="10"/>
        <v>59</v>
      </c>
      <c r="B63" s="36" t="s">
        <v>136</v>
      </c>
      <c r="C63" s="37">
        <v>137.0</v>
      </c>
      <c r="D63" s="37">
        <v>5.0</v>
      </c>
      <c r="E63" s="40">
        <f t="shared" si="2"/>
        <v>9.333333333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146</v>
      </c>
      <c r="O63" s="37">
        <f t="shared" si="68"/>
        <v>5</v>
      </c>
      <c r="P63" s="49" t="s">
        <v>57</v>
      </c>
      <c r="Q63" s="49" t="s">
        <v>57</v>
      </c>
      <c r="R63" s="49" t="s">
        <v>57</v>
      </c>
      <c r="S63" s="51">
        <f t="shared" si="4"/>
        <v>6</v>
      </c>
      <c r="T63" s="52">
        <f t="shared" si="5"/>
        <v>0</v>
      </c>
      <c r="U63" s="52"/>
      <c r="V63" s="51">
        <f t="shared" si="6"/>
        <v>9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146</v>
      </c>
      <c r="C64" s="37">
        <v>137.0</v>
      </c>
      <c r="D64" s="37">
        <v>4.0</v>
      </c>
      <c r="E64" s="40">
        <f t="shared" si="2"/>
        <v>8.333333333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146</v>
      </c>
      <c r="O64" s="37">
        <f t="shared" si="69"/>
        <v>4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11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70</v>
      </c>
      <c r="C65" s="37">
        <v>136.0</v>
      </c>
      <c r="D65" s="37">
        <v>5.0</v>
      </c>
      <c r="E65" s="40">
        <f t="shared" si="2"/>
        <v>8.25</v>
      </c>
      <c r="F65" s="90">
        <v>1.0</v>
      </c>
      <c r="G65" s="91">
        <v>8.0</v>
      </c>
      <c r="H65" s="92">
        <v>0.0</v>
      </c>
      <c r="I65" s="91">
        <v>7.0</v>
      </c>
      <c r="J65" s="91">
        <v>7.0</v>
      </c>
      <c r="K65" s="91">
        <v>4.0</v>
      </c>
      <c r="L65" s="93">
        <v>18.0</v>
      </c>
      <c r="M65" s="91">
        <v>2.0</v>
      </c>
      <c r="N65" s="37">
        <f t="shared" ref="N65:O65" si="70">C65+L65</f>
        <v>154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4"/>
        <v>4</v>
      </c>
      <c r="T65" s="52">
        <f t="shared" si="5"/>
        <v>1</v>
      </c>
      <c r="U65" s="52"/>
      <c r="V65" s="51">
        <f t="shared" si="6"/>
        <v>10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125</v>
      </c>
      <c r="C66" s="37">
        <v>136.0</v>
      </c>
      <c r="D66" s="37">
        <v>3.0</v>
      </c>
      <c r="E66" s="40">
        <f t="shared" si="2"/>
        <v>10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145</v>
      </c>
      <c r="O66" s="37">
        <f t="shared" si="71"/>
        <v>3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14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78</v>
      </c>
      <c r="C67" s="37">
        <v>136.0</v>
      </c>
      <c r="D67" s="37">
        <v>2.0</v>
      </c>
      <c r="E67" s="40">
        <f t="shared" si="2"/>
        <v>6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145</v>
      </c>
      <c r="O67" s="37">
        <f t="shared" si="72"/>
        <v>2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1</v>
      </c>
      <c r="U67" s="52"/>
      <c r="V67" s="51">
        <f t="shared" si="6"/>
        <v>13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148</v>
      </c>
      <c r="C68" s="37">
        <v>135.0</v>
      </c>
      <c r="D68" s="37">
        <v>3.0</v>
      </c>
      <c r="E68" s="40">
        <f t="shared" si="2"/>
        <v>9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144</v>
      </c>
      <c r="O68" s="37">
        <f t="shared" si="73"/>
        <v>3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14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149</v>
      </c>
      <c r="C69" s="37">
        <v>134.0</v>
      </c>
      <c r="D69" s="37">
        <v>7.0</v>
      </c>
      <c r="E69" s="40">
        <f t="shared" si="2"/>
        <v>8.833333333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143</v>
      </c>
      <c r="O69" s="37">
        <f t="shared" si="74"/>
        <v>7</v>
      </c>
      <c r="P69" s="49" t="s">
        <v>57</v>
      </c>
      <c r="Q69" s="49" t="s">
        <v>57</v>
      </c>
      <c r="R69" s="49" t="s">
        <v>57</v>
      </c>
      <c r="S69" s="51">
        <f t="shared" si="4"/>
        <v>6</v>
      </c>
      <c r="T69" s="52">
        <f t="shared" si="5"/>
        <v>0</v>
      </c>
      <c r="U69" s="52"/>
      <c r="V69" s="51">
        <f t="shared" si="6"/>
        <v>9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154</v>
      </c>
      <c r="C70" s="37">
        <v>132.0</v>
      </c>
      <c r="D70" s="37">
        <v>4.0</v>
      </c>
      <c r="E70" s="40">
        <f t="shared" si="2"/>
        <v>8.25</v>
      </c>
      <c r="F70" s="90">
        <v>1.0</v>
      </c>
      <c r="G70" s="91">
        <v>8.0</v>
      </c>
      <c r="H70" s="92">
        <v>0.0</v>
      </c>
      <c r="I70" s="91">
        <v>5.0</v>
      </c>
      <c r="J70" s="91">
        <v>7.0</v>
      </c>
      <c r="K70" s="91">
        <v>6.0</v>
      </c>
      <c r="L70" s="93">
        <v>18.0</v>
      </c>
      <c r="M70" s="91">
        <v>2.0</v>
      </c>
      <c r="N70" s="37">
        <f t="shared" ref="N70:O70" si="75">C70+L70</f>
        <v>150</v>
      </c>
      <c r="O70" s="37">
        <f t="shared" si="75"/>
        <v>6</v>
      </c>
      <c r="P70" s="49" t="s">
        <v>57</v>
      </c>
      <c r="Q70" s="49" t="s">
        <v>57</v>
      </c>
      <c r="R70" s="49" t="s">
        <v>57</v>
      </c>
      <c r="S70" s="51">
        <f t="shared" si="4"/>
        <v>4</v>
      </c>
      <c r="T70" s="52">
        <f t="shared" si="5"/>
        <v>0</v>
      </c>
      <c r="U70" s="52"/>
      <c r="V70" s="51">
        <f t="shared" si="6"/>
        <v>11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106</v>
      </c>
      <c r="C71" s="37">
        <v>132.0</v>
      </c>
      <c r="D71" s="37">
        <v>1.0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141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14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130.0</v>
      </c>
      <c r="D72" s="37">
        <v>6.0</v>
      </c>
      <c r="E72" s="40">
        <f t="shared" si="2"/>
        <v>8.375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139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7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124</v>
      </c>
      <c r="C73" s="37">
        <v>128.0</v>
      </c>
      <c r="D73" s="37">
        <v>1.0</v>
      </c>
      <c r="E73" s="40">
        <f t="shared" si="2"/>
        <v>2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137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14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133</v>
      </c>
      <c r="C74" s="37">
        <v>126.0</v>
      </c>
      <c r="D74" s="37">
        <v>4.0</v>
      </c>
      <c r="E74" s="40">
        <f t="shared" si="2"/>
        <v>7.714285714</v>
      </c>
      <c r="F74" s="90">
        <v>1.0</v>
      </c>
      <c r="G74" s="91">
        <v>8.0</v>
      </c>
      <c r="H74" s="92">
        <v>0.0</v>
      </c>
      <c r="I74" s="91">
        <v>5.0</v>
      </c>
      <c r="J74" s="91">
        <v>5.0</v>
      </c>
      <c r="K74" s="91">
        <v>4.0</v>
      </c>
      <c r="L74" s="93">
        <v>14.0</v>
      </c>
      <c r="M74" s="91">
        <v>0.0</v>
      </c>
      <c r="N74" s="37">
        <f t="shared" ref="N74:O74" si="79">C74+L74</f>
        <v>140</v>
      </c>
      <c r="O74" s="37">
        <f t="shared" si="79"/>
        <v>4</v>
      </c>
      <c r="P74" s="49" t="s">
        <v>57</v>
      </c>
      <c r="Q74" s="49" t="s">
        <v>57</v>
      </c>
      <c r="R74" s="49" t="s">
        <v>57</v>
      </c>
      <c r="S74" s="51">
        <f t="shared" si="4"/>
        <v>7</v>
      </c>
      <c r="T74" s="52">
        <f t="shared" si="5"/>
        <v>0</v>
      </c>
      <c r="U74" s="52"/>
      <c r="V74" s="51">
        <f t="shared" si="6"/>
        <v>8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141</v>
      </c>
      <c r="C75" s="37">
        <v>126.0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135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15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126.0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135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15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126.0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135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15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126.0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135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14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120.0</v>
      </c>
      <c r="D79" s="37">
        <v>2.0</v>
      </c>
      <c r="E79" s="40">
        <f t="shared" si="2"/>
        <v>6.285714286</v>
      </c>
      <c r="F79" s="90">
        <v>2.0</v>
      </c>
      <c r="G79" s="91">
        <v>8.0</v>
      </c>
      <c r="H79" s="92">
        <v>0.0</v>
      </c>
      <c r="I79" s="91">
        <v>7.0</v>
      </c>
      <c r="J79" s="91">
        <v>5.0</v>
      </c>
      <c r="K79" s="91">
        <v>6.0</v>
      </c>
      <c r="L79" s="93">
        <v>18.0</v>
      </c>
      <c r="M79" s="91">
        <v>2.0</v>
      </c>
      <c r="N79" s="37">
        <f t="shared" ref="N79:O79" si="84">C79+L79</f>
        <v>138</v>
      </c>
      <c r="O79" s="37">
        <f t="shared" si="84"/>
        <v>4</v>
      </c>
      <c r="P79" s="49" t="s">
        <v>57</v>
      </c>
      <c r="Q79" s="49" t="s">
        <v>57</v>
      </c>
      <c r="R79" s="49" t="s">
        <v>57</v>
      </c>
      <c r="S79" s="51">
        <f t="shared" si="4"/>
        <v>7</v>
      </c>
      <c r="T79" s="52">
        <f t="shared" si="5"/>
        <v>1</v>
      </c>
      <c r="U79" s="52"/>
      <c r="V79" s="51">
        <f t="shared" si="6"/>
        <v>7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04/11/26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desc"",0)"),"Oscar Bonilla")</f>
        <v>Oscar Bonilla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IFERROR(__xludf.DUMMYFUNCTION("""COMPUTED_VALUE"""),6.0)</f>
        <v>6</v>
      </c>
      <c r="F91" s="5"/>
    </row>
    <row r="92">
      <c r="A92" s="5"/>
      <c r="B92" s="36" t="str">
        <f>IFERROR(__xludf.DUMMYFUNCTION("""COMPUTED_VALUE"""),"Wayne Liu")</f>
        <v>Wayne Liu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IFERROR(__xludf.DUMMYFUNCTION("""COMPUTED_VALUE"""),10.0)</f>
        <v>10</v>
      </c>
      <c r="F92" s="5"/>
    </row>
    <row r="93">
      <c r="A93" s="5"/>
      <c r="B93" s="36" t="str">
        <f>IFERROR(__xludf.DUMMYFUNCTION("""COMPUTED_VALUE"""),"Suleman Alidina")</f>
        <v>Suleman Alidina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IFERROR(__xludf.DUMMYFUNCTION("""COMPUTED_VALUE"""),9.0)</f>
        <v>9</v>
      </c>
      <c r="F93" s="5"/>
    </row>
    <row r="94">
      <c r="A94" s="5"/>
      <c r="B94" s="36" t="str">
        <f>IFERROR(__xludf.DUMMYFUNCTION("""COMPUTED_VALUE"""),"Jordan Tatang")</f>
        <v>Jordan Tatang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IFERROR(__xludf.DUMMYFUNCTION("""COMPUTED_VALUE"""),3.0)</f>
        <v>3</v>
      </c>
      <c r="F94" s="5"/>
    </row>
    <row r="95">
      <c r="A95" s="5"/>
      <c r="B95" s="36" t="str">
        <f>IFERROR(__xludf.DUMMYFUNCTION("""COMPUTED_VALUE"""),"Luis Hsu")</f>
        <v>Luis Hsu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IFERROR(__xludf.DUMMYFUNCTION("""COMPUTED_VALUE"""),4.0)</f>
        <v>4</v>
      </c>
      <c r="F95" s="5"/>
    </row>
    <row r="96">
      <c r="A96" s="5"/>
      <c r="B96" s="36" t="str">
        <f>IFERROR(__xludf.DUMMYFUNCTION("""COMPUTED_VALUE"""),"Cid Macaraeg")</f>
        <v>Cid Macaraeg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IFERROR(__xludf.DUMMYFUNCTION("""COMPUTED_VALUE"""),5.0)</f>
        <v>5</v>
      </c>
      <c r="F96" s="5"/>
    </row>
    <row r="97">
      <c r="A97" s="5"/>
      <c r="B97" s="36" t="str">
        <f>IFERROR(__xludf.DUMMYFUNCTION("""COMPUTED_VALUE"""),"Tom Le")</f>
        <v>Tom Le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IFERROR(__xludf.DUMMYFUNCTION("""COMPUTED_VALUE"""),7.0)</f>
        <v>7</v>
      </c>
      <c r="F97" s="5"/>
    </row>
    <row r="98">
      <c r="A98" s="5"/>
      <c r="B98" s="36" t="str">
        <f>IFERROR(__xludf.DUMMYFUNCTION("""COMPUTED_VALUE"""),"Alejandro Mejia")</f>
        <v>Alejandro Mejia</v>
      </c>
      <c r="C98" s="122">
        <f>IFERROR(__xludf.DUMMYFUNCTION("""COMPUTED_VALUE"""),18.0)</f>
        <v>18</v>
      </c>
      <c r="D98" s="122">
        <f>IFERROR(__xludf.DUMMYFUNCTION("""COMPUTED_VALUE"""),3.0)</f>
        <v>3</v>
      </c>
      <c r="E98" s="122">
        <f>IFERROR(__xludf.DUMMYFUNCTION("""COMPUTED_VALUE"""),8.0)</f>
        <v>8</v>
      </c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10"")"),"Oscar Bonilla")</f>
        <v>Oscar Bonilla</v>
      </c>
      <c r="C110" s="122">
        <f>IFERROR(__xludf.DUMMYFUNCTION("""COMPUTED_VALUE"""),15.0)</f>
        <v>15</v>
      </c>
      <c r="D110" s="122">
        <f t="shared" ref="D110:D119" si="85">VLOOKUP(B110,indirect($AC$2&amp;"!B$5:X$79"),23, false)</f>
        <v>42</v>
      </c>
      <c r="E110" s="122">
        <f t="shared" ref="E110:E119" si="86">VLOOKUP(B110,B$5:X$79,23, false)</f>
        <v>27</v>
      </c>
      <c r="F110" s="122">
        <f t="shared" ref="F110:F119" si="87">VLOOKUP(B110,indirect($AC$2&amp;"!B$5:U$79"),11, false)</f>
        <v>20</v>
      </c>
      <c r="G110" s="122">
        <f t="shared" ref="G110:G119" si="88">VLOOKUP(B110,indirect($AC$2&amp;"!B$5:U$79"),6, false)</f>
        <v>6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IFERROR(__xludf.DUMMYFUNCTION("""COMPUTED_VALUE"""),"Wayne Liu")</f>
        <v>Wayne Liu</v>
      </c>
      <c r="C111" s="122">
        <f>IFERROR(__xludf.DUMMYFUNCTION("""COMPUTED_VALUE"""),12.0)</f>
        <v>12</v>
      </c>
      <c r="D111" s="122">
        <f t="shared" si="85"/>
        <v>36</v>
      </c>
      <c r="E111" s="122">
        <f t="shared" si="86"/>
        <v>24</v>
      </c>
      <c r="F111" s="122">
        <f t="shared" si="87"/>
        <v>19</v>
      </c>
      <c r="G111" s="122">
        <f t="shared" si="88"/>
        <v>10</v>
      </c>
      <c r="L111" s="122" t="str">
        <f t="shared" si="89"/>
        <v>ok</v>
      </c>
    </row>
    <row r="112">
      <c r="A112" s="5"/>
      <c r="B112" s="36" t="str">
        <f>IFERROR(__xludf.DUMMYFUNCTION("""COMPUTED_VALUE"""),"Cid Macaraeg")</f>
        <v>Cid Macaraeg</v>
      </c>
      <c r="C112" s="122">
        <f>IFERROR(__xludf.DUMMYFUNCTION("""COMPUTED_VALUE"""),10.0)</f>
        <v>10</v>
      </c>
      <c r="D112" s="122">
        <f t="shared" si="85"/>
        <v>38</v>
      </c>
      <c r="E112" s="122">
        <f t="shared" si="86"/>
        <v>28</v>
      </c>
      <c r="F112" s="122">
        <f t="shared" si="87"/>
        <v>18</v>
      </c>
      <c r="G112" s="122">
        <f t="shared" si="88"/>
        <v>5</v>
      </c>
      <c r="L112" s="122" t="str">
        <f t="shared" si="89"/>
        <v>ok</v>
      </c>
    </row>
    <row r="113">
      <c r="A113" s="5"/>
      <c r="B113" s="36" t="str">
        <f>IFERROR(__xludf.DUMMYFUNCTION("""COMPUTED_VALUE"""),"Jordan Tatang")</f>
        <v>Jordan Tatang</v>
      </c>
      <c r="C113" s="122">
        <f>IFERROR(__xludf.DUMMYFUNCTION("""COMPUTED_VALUE"""),9.0)</f>
        <v>9</v>
      </c>
      <c r="D113" s="122">
        <f t="shared" si="85"/>
        <v>20</v>
      </c>
      <c r="E113" s="122">
        <f t="shared" si="86"/>
        <v>11</v>
      </c>
      <c r="F113" s="122">
        <f t="shared" si="87"/>
        <v>18</v>
      </c>
      <c r="G113" s="122">
        <f t="shared" si="88"/>
        <v>3</v>
      </c>
      <c r="L113" s="122" t="str">
        <f t="shared" si="89"/>
        <v>ok</v>
      </c>
    </row>
    <row r="114">
      <c r="A114" s="5"/>
      <c r="B114" s="36" t="str">
        <f>IFERROR(__xludf.DUMMYFUNCTION("""COMPUTED_VALUE"""),"Luis Hsu")</f>
        <v>Luis Hsu</v>
      </c>
      <c r="C114" s="122">
        <f>IFERROR(__xludf.DUMMYFUNCTION("""COMPUTED_VALUE"""),9.0)</f>
        <v>9</v>
      </c>
      <c r="D114" s="122">
        <f t="shared" si="85"/>
        <v>31</v>
      </c>
      <c r="E114" s="122">
        <f t="shared" si="86"/>
        <v>22</v>
      </c>
      <c r="F114" s="122">
        <f t="shared" si="87"/>
        <v>18</v>
      </c>
      <c r="G114" s="122">
        <f t="shared" si="88"/>
        <v>4</v>
      </c>
      <c r="L114" s="122" t="str">
        <f t="shared" si="89"/>
        <v>ok</v>
      </c>
    </row>
    <row r="115">
      <c r="A115" s="5"/>
      <c r="B115" s="36" t="str">
        <f>IFERROR(__xludf.DUMMYFUNCTION("""COMPUTED_VALUE"""),"David Shin")</f>
        <v>David Shin</v>
      </c>
      <c r="C115" s="122">
        <f>IFERROR(__xludf.DUMMYFUNCTION("""COMPUTED_VALUE"""),6.0)</f>
        <v>6</v>
      </c>
      <c r="D115" s="122">
        <f t="shared" si="85"/>
        <v>16</v>
      </c>
      <c r="E115" s="122">
        <f t="shared" si="86"/>
        <v>10</v>
      </c>
      <c r="F115" s="122">
        <f t="shared" si="87"/>
        <v>14</v>
      </c>
      <c r="G115" s="122">
        <f t="shared" si="88"/>
        <v>2</v>
      </c>
      <c r="L115" s="122" t="str">
        <f t="shared" si="89"/>
        <v>ok</v>
      </c>
    </row>
    <row r="116">
      <c r="A116" s="5"/>
      <c r="B116" s="36" t="str">
        <f>IFERROR(__xludf.DUMMYFUNCTION("""COMPUTED_VALUE"""),"Alejandro Mejia")</f>
        <v>Alejandro Mejia</v>
      </c>
      <c r="C116" s="122">
        <f>IFERROR(__xludf.DUMMYFUNCTION("""COMPUTED_VALUE"""),6.0)</f>
        <v>6</v>
      </c>
      <c r="D116" s="122">
        <f t="shared" si="85"/>
        <v>58</v>
      </c>
      <c r="E116" s="122">
        <f t="shared" si="86"/>
        <v>52</v>
      </c>
      <c r="F116" s="122">
        <f t="shared" si="87"/>
        <v>18</v>
      </c>
      <c r="G116" s="122">
        <f t="shared" si="88"/>
        <v>8</v>
      </c>
      <c r="L116" s="122" t="str">
        <f t="shared" si="89"/>
        <v>ok</v>
      </c>
    </row>
    <row r="117">
      <c r="A117" s="5"/>
      <c r="B117" s="36" t="str">
        <f>IFERROR(__xludf.DUMMYFUNCTION("""COMPUTED_VALUE"""),"Tom Le")</f>
        <v>Tom Le</v>
      </c>
      <c r="C117" s="122">
        <f>IFERROR(__xludf.DUMMYFUNCTION("""COMPUTED_VALUE"""),5.0)</f>
        <v>5</v>
      </c>
      <c r="D117" s="122">
        <f t="shared" si="85"/>
        <v>51</v>
      </c>
      <c r="E117" s="122">
        <f t="shared" si="86"/>
        <v>46</v>
      </c>
      <c r="F117" s="122">
        <f t="shared" si="87"/>
        <v>18</v>
      </c>
      <c r="G117" s="122">
        <f t="shared" si="88"/>
        <v>7</v>
      </c>
      <c r="L117" s="122" t="str">
        <f t="shared" si="89"/>
        <v>ok</v>
      </c>
    </row>
    <row r="118">
      <c r="A118" s="5"/>
      <c r="B118" s="36" t="str">
        <f>IFERROR(__xludf.DUMMYFUNCTION("""COMPUTED_VALUE"""),"Matthew Huang")</f>
        <v>Matthew Huang</v>
      </c>
      <c r="C118" s="122">
        <f>IFERROR(__xludf.DUMMYFUNCTION("""COMPUTED_VALUE"""),4.0)</f>
        <v>4</v>
      </c>
      <c r="D118" s="122">
        <f t="shared" si="85"/>
        <v>18</v>
      </c>
      <c r="E118" s="122">
        <f t="shared" si="86"/>
        <v>14</v>
      </c>
      <c r="F118" s="122">
        <f t="shared" si="87"/>
        <v>16</v>
      </c>
      <c r="G118" s="122">
        <f t="shared" si="88"/>
        <v>2</v>
      </c>
      <c r="L118" s="122" t="str">
        <f t="shared" si="89"/>
        <v>ok</v>
      </c>
    </row>
    <row r="119">
      <c r="A119" s="5"/>
      <c r="B119" s="36" t="str">
        <f>IFERROR(__xludf.DUMMYFUNCTION("""COMPUTED_VALUE"""),"Allen Zhang")</f>
        <v>Allen Zhang</v>
      </c>
      <c r="C119" s="122">
        <f>IFERROR(__xludf.DUMMYFUNCTION("""COMPUTED_VALUE"""),4.0)</f>
        <v>4</v>
      </c>
      <c r="D119" s="122">
        <f t="shared" si="85"/>
        <v>34</v>
      </c>
      <c r="E119" s="122">
        <f t="shared" si="86"/>
        <v>30</v>
      </c>
      <c r="F119" s="122">
        <f t="shared" si="87"/>
        <v>16</v>
      </c>
      <c r="G119" s="122">
        <f t="shared" si="88"/>
        <v>10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15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Pulkit Mathur</v>
      </c>
      <c r="C128" s="122">
        <f t="shared" si="90"/>
        <v>211</v>
      </c>
      <c r="D128" s="122">
        <f t="shared" si="90"/>
        <v>26</v>
      </c>
      <c r="E128" s="122">
        <f t="shared" si="90"/>
        <v>14.84615385</v>
      </c>
      <c r="F128" s="5"/>
    </row>
    <row r="129">
      <c r="A129" s="122">
        <f t="shared" ref="A129:E129" si="91">A6</f>
        <v>2</v>
      </c>
      <c r="B129" s="36" t="str">
        <f t="shared" si="91"/>
        <v>Andrew Yao</v>
      </c>
      <c r="C129" s="122">
        <f t="shared" si="91"/>
        <v>210</v>
      </c>
      <c r="D129" s="122">
        <f t="shared" si="91"/>
        <v>27</v>
      </c>
      <c r="E129" s="122">
        <f t="shared" si="91"/>
        <v>14.76923077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197</v>
      </c>
      <c r="D130" s="122">
        <f t="shared" si="92"/>
        <v>21</v>
      </c>
      <c r="E130" s="122">
        <f t="shared" si="92"/>
        <v>13.13333333</v>
      </c>
      <c r="F130" s="5"/>
    </row>
    <row r="131">
      <c r="A131" s="122">
        <f t="shared" ref="A131:E131" si="93">A8</f>
        <v>4</v>
      </c>
      <c r="B131" s="36" t="str">
        <f t="shared" si="93"/>
        <v>Jaya Sogata</v>
      </c>
      <c r="C131" s="122">
        <f t="shared" si="93"/>
        <v>195</v>
      </c>
      <c r="D131" s="122">
        <f t="shared" si="93"/>
        <v>20</v>
      </c>
      <c r="E131" s="122">
        <f t="shared" si="93"/>
        <v>13.66666667</v>
      </c>
      <c r="F131" s="5"/>
    </row>
    <row r="132">
      <c r="A132" s="122">
        <f t="shared" ref="A132:E132" si="94">A9</f>
        <v>5</v>
      </c>
      <c r="B132" s="36" t="str">
        <f t="shared" si="94"/>
        <v>Sandeep Kamalon</v>
      </c>
      <c r="C132" s="122">
        <f t="shared" si="94"/>
        <v>193</v>
      </c>
      <c r="D132" s="122">
        <f t="shared" si="94"/>
        <v>19</v>
      </c>
      <c r="E132" s="122">
        <f t="shared" si="94"/>
        <v>13.46153846</v>
      </c>
      <c r="F132" s="5"/>
    </row>
    <row r="133">
      <c r="A133" s="122">
        <f t="shared" ref="A133:E133" si="95">A10</f>
        <v>6</v>
      </c>
      <c r="B133" s="36" t="str">
        <f t="shared" si="95"/>
        <v>Scott Li</v>
      </c>
      <c r="C133" s="122">
        <f t="shared" si="95"/>
        <v>191</v>
      </c>
      <c r="D133" s="122">
        <f t="shared" si="95"/>
        <v>15</v>
      </c>
      <c r="E133" s="122">
        <f t="shared" si="95"/>
        <v>14.09090909</v>
      </c>
      <c r="F133" s="5"/>
    </row>
    <row r="134">
      <c r="A134" s="122">
        <f t="shared" ref="A134:E134" si="96">A11</f>
        <v>7</v>
      </c>
      <c r="B134" s="36" t="str">
        <f t="shared" si="96"/>
        <v>Rudy Tatang</v>
      </c>
      <c r="C134" s="122">
        <f t="shared" si="96"/>
        <v>189</v>
      </c>
      <c r="D134" s="122">
        <f t="shared" si="96"/>
        <v>18</v>
      </c>
      <c r="E134" s="122">
        <f t="shared" si="96"/>
        <v>13.90909091</v>
      </c>
      <c r="F134" s="5"/>
    </row>
    <row r="135">
      <c r="A135" s="122">
        <f t="shared" ref="A135:E135" si="97">A12</f>
        <v>8</v>
      </c>
      <c r="B135" s="36" t="str">
        <f t="shared" si="97"/>
        <v>Pavan Akkimsetty</v>
      </c>
      <c r="C135" s="122">
        <f t="shared" si="97"/>
        <v>188</v>
      </c>
      <c r="D135" s="122">
        <f t="shared" si="97"/>
        <v>17</v>
      </c>
      <c r="E135" s="122">
        <f t="shared" si="97"/>
        <v>13.45454545</v>
      </c>
      <c r="F135" s="5"/>
    </row>
    <row r="136">
      <c r="A136" s="122">
        <f t="shared" ref="A136:E136" si="98">A13</f>
        <v>9</v>
      </c>
      <c r="B136" s="36" t="str">
        <f t="shared" si="98"/>
        <v>Ethan Gu</v>
      </c>
      <c r="C136" s="122">
        <f t="shared" si="98"/>
        <v>188</v>
      </c>
      <c r="D136" s="122">
        <f t="shared" si="98"/>
        <v>15</v>
      </c>
      <c r="E136" s="122">
        <f t="shared" si="98"/>
        <v>13.81818182</v>
      </c>
      <c r="F136" s="5"/>
    </row>
    <row r="137">
      <c r="A137" s="122">
        <f t="shared" ref="A137:E137" si="99">A14</f>
        <v>10</v>
      </c>
      <c r="B137" s="36" t="str">
        <f t="shared" si="99"/>
        <v>David Shin</v>
      </c>
      <c r="C137" s="122">
        <f t="shared" si="99"/>
        <v>183</v>
      </c>
      <c r="D137" s="122">
        <f t="shared" si="99"/>
        <v>19</v>
      </c>
      <c r="E137" s="122">
        <f t="shared" si="99"/>
        <v>12.69230769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ASC"")"),"Eric Tan")</f>
        <v>Eric Tan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IFERROR(__xludf.DUMMYFUNCTION("""COMPUTED_VALUE"""),"Frank Moon")</f>
        <v>Frank Moon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IFERROR(__xludf.DUMMYFUNCTION("""COMPUTED_VALUE"""),"Suleman Alidina")</f>
        <v>Suleman Alidina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IFERROR(__xludf.DUMMYFUNCTION("""COMPUTED_VALUE"""),"Wayne Liu")</f>
        <v>Wayne Liu</v>
      </c>
      <c r="C166" s="5"/>
      <c r="D166" s="5"/>
      <c r="E166" s="5"/>
      <c r="F166" s="5"/>
    </row>
    <row r="167">
      <c r="A167" s="122">
        <f t="shared" si="100"/>
        <v>0</v>
      </c>
      <c r="B167" s="36"/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04/11/26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IFERROR(__xludf.DUMMYFUNCTION("""COMPUTED_VALUE"""),1.0)</f>
        <v>1</v>
      </c>
      <c r="F250" s="132">
        <f>IFERROR(__xludf.DUMMYFUNCTION("""COMPUTED_VALUE"""),13.0)</f>
        <v>13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IFERROR(__xludf.DUMMYFUNCTION("""COMPUTED_VALUE"""),4.0)</f>
        <v>4</v>
      </c>
      <c r="D251" s="132">
        <f>IFERROR(__xludf.DUMMYFUNCTION("""COMPUTED_VALUE"""),6.0)</f>
        <v>6</v>
      </c>
      <c r="E251" s="132">
        <f>IFERROR(__xludf.DUMMYFUNCTION("""COMPUTED_VALUE"""),6.0)</f>
        <v>6</v>
      </c>
      <c r="F251" s="132">
        <f>IFERROR(__xludf.DUMMYFUNCTION("""COMPUTED_VALUE"""),16.0)</f>
        <v>16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IFERROR(__xludf.DUMMYFUNCTION("""COMPUTED_VALUE"""),"Sandeep Kamalon")</f>
        <v>Sandeep Kamalon</v>
      </c>
      <c r="C252" s="132">
        <f>IFERROR(__xludf.DUMMYFUNCTION("""COMPUTED_VALUE"""),4.0)</f>
        <v>4</v>
      </c>
      <c r="D252" s="132">
        <f>IFERROR(__xludf.DUMMYFUNCTION("""COMPUTED_VALUE"""),3.0)</f>
        <v>3</v>
      </c>
      <c r="E252" s="132">
        <f>IFERROR(__xludf.DUMMYFUNCTION("""COMPUTED_VALUE"""),1.0)</f>
        <v>1</v>
      </c>
      <c r="F252" s="132">
        <f>IFERROR(__xludf.DUMMYFUNCTION("""COMPUTED_VALUE"""),8.0)</f>
        <v>8</v>
      </c>
      <c r="G252" s="132">
        <f>IFERROR(__xludf.DUMMYFUNCTION("""COMPUTED_VALUE"""),0.0)</f>
        <v>0</v>
      </c>
    </row>
    <row r="253">
      <c r="A253" s="122">
        <f>IFERROR(__xludf.DUMMYFUNCTION("""COMPUTED_VALUE"""),1.0)</f>
        <v>1</v>
      </c>
      <c r="B253" s="36" t="str">
        <f>IFERROR(__xludf.DUMMYFUNCTION("""COMPUTED_VALUE"""),"Jaya Sogata")</f>
        <v>Jaya Sogata</v>
      </c>
      <c r="C253" s="132">
        <f>IFERROR(__xludf.DUMMYFUNCTION("""COMPUTED_VALUE"""),6.0)</f>
        <v>6</v>
      </c>
      <c r="D253" s="132">
        <f>IFERROR(__xludf.DUMMYFUNCTION("""COMPUTED_VALUE"""),3.0)</f>
        <v>3</v>
      </c>
      <c r="E253" s="132">
        <f>IFERROR(__xludf.DUMMYFUNCTION("""COMPUTED_VALUE"""),6.0)</f>
        <v>6</v>
      </c>
      <c r="F253" s="132">
        <f>IFERROR(__xludf.DUMMYFUNCTION("""COMPUTED_VALUE"""),15.0)</f>
        <v>15</v>
      </c>
      <c r="G253" s="132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IFERROR(__xludf.DUMMYFUNCTION("""COMPUTED_VALUE"""),"Eric Pan")</f>
        <v>Eric Pan</v>
      </c>
      <c r="C254" s="135">
        <f>IFERROR(__xludf.DUMMYFUNCTION("""COMPUTED_VALUE"""),6.0)</f>
        <v>6</v>
      </c>
      <c r="D254" s="135">
        <f>IFERROR(__xludf.DUMMYFUNCTION("""COMPUTED_VALUE"""),0.0)</f>
        <v>0</v>
      </c>
      <c r="E254" s="135">
        <f>IFERROR(__xludf.DUMMYFUNCTION("""COMPUTED_VALUE"""),6.0)</f>
        <v>6</v>
      </c>
      <c r="F254" s="135">
        <f>IFERROR(__xludf.DUMMYFUNCTION("""COMPUTED_VALUE"""),12.0)</f>
        <v>12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IFERROR(__xludf.DUMMYFUNCTION("""COMPUTED_VALUE"""),"David Shin")</f>
        <v>David Shin</v>
      </c>
      <c r="C255" s="135">
        <f>IFERROR(__xludf.DUMMYFUNCTION("""COMPUTED_VALUE"""),2.0)</f>
        <v>2</v>
      </c>
      <c r="D255" s="135">
        <f>IFERROR(__xludf.DUMMYFUNCTION("""COMPUTED_VALUE"""),6.0)</f>
        <v>6</v>
      </c>
      <c r="E255" s="135">
        <f>IFERROR(__xludf.DUMMYFUNCTION("""COMPUTED_VALUE"""),6.0)</f>
        <v>6</v>
      </c>
      <c r="F255" s="135">
        <f>IFERROR(__xludf.DUMMYFUNCTION("""COMPUTED_VALUE"""),14.0)</f>
        <v>14</v>
      </c>
      <c r="G255" s="135">
        <f>IFERROR(__xludf.DUMMYFUNCTION("""COMPUTED_VALUE"""),2.0)</f>
        <v>2</v>
      </c>
    </row>
    <row r="256">
      <c r="A256" s="133">
        <f>IFERROR(__xludf.DUMMYFUNCTION("""COMPUTED_VALUE"""),2.0)</f>
        <v>2</v>
      </c>
      <c r="B256" s="134" t="str">
        <f>IFERROR(__xludf.DUMMYFUNCTION("""COMPUTED_VALUE"""),"Matthew Huang")</f>
        <v>Matthew Huang</v>
      </c>
      <c r="C256" s="135">
        <f>IFERROR(__xludf.DUMMYFUNCTION("""COMPUTED_VALUE"""),6.0)</f>
        <v>6</v>
      </c>
      <c r="D256" s="135">
        <f>IFERROR(__xludf.DUMMYFUNCTION("""COMPUTED_VALUE"""),6.0)</f>
        <v>6</v>
      </c>
      <c r="E256" s="135">
        <f>IFERROR(__xludf.DUMMYFUNCTION("""COMPUTED_VALUE"""),4.0)</f>
        <v>4</v>
      </c>
      <c r="F256" s="135">
        <f>IFERROR(__xludf.DUMMYFUNCTION("""COMPUTED_VALUE"""),16.0)</f>
        <v>16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IFERROR(__xludf.DUMMYFUNCTION("""COMPUTED_VALUE"""),"Manish Anand")</f>
        <v>Manish Anand</v>
      </c>
      <c r="C257" s="135">
        <f>IFERROR(__xludf.DUMMYFUNCTION("""COMPUTED_VALUE"""),2.0)</f>
        <v>2</v>
      </c>
      <c r="D257" s="135">
        <f>IFERROR(__xludf.DUMMYFUNCTION("""COMPUTED_VALUE"""),0.0)</f>
        <v>0</v>
      </c>
      <c r="E257" s="135">
        <f>IFERROR(__xludf.DUMMYFUNCTION("""COMPUTED_VALUE"""),4.0)</f>
        <v>4</v>
      </c>
      <c r="F257" s="135">
        <f>IFERROR(__xludf.DUMMYFUNCTION("""COMPUTED_VALUE"""),6.0)</f>
        <v>6</v>
      </c>
      <c r="G257" s="135">
        <f>IFERROR(__xludf.DUMMYFUNCTION("""COMPUTED_VALUE"""),0.0)</f>
        <v>0</v>
      </c>
    </row>
    <row r="258">
      <c r="A258" s="122">
        <f>IFERROR(__xludf.DUMMYFUNCTION("""COMPUTED_VALUE"""),3.0)</f>
        <v>3</v>
      </c>
      <c r="B258" s="36" t="str">
        <f>IFERROR(__xludf.DUMMYFUNCTION("""COMPUTED_VALUE"""),"Jordan Tatang")</f>
        <v>Jordan Tatang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IFERROR(__xludf.DUMMYFUNCTION("""COMPUTED_VALUE"""),18.0)</f>
        <v>18</v>
      </c>
      <c r="G258" s="132">
        <f>IFERROR(__xludf.DUMMYFUNCTION("""COMPUTED_VALUE"""),3.0)</f>
        <v>3</v>
      </c>
    </row>
    <row r="259">
      <c r="A259" s="122">
        <f>IFERROR(__xludf.DUMMYFUNCTION("""COMPUTED_VALUE"""),3.0)</f>
        <v>3</v>
      </c>
      <c r="B259" s="36" t="str">
        <f>IFERROR(__xludf.DUMMYFUNCTION("""COMPUTED_VALUE"""),"Mauricio Palacios")</f>
        <v>Mauricio Palacios</v>
      </c>
      <c r="C259" s="132">
        <f>IFERROR(__xludf.DUMMYFUNCTION("""COMPUTED_VALUE"""),2.0)</f>
        <v>2</v>
      </c>
      <c r="D259" s="132">
        <f>IFERROR(__xludf.DUMMYFUNCTION("""COMPUTED_VALUE"""),6.0)</f>
        <v>6</v>
      </c>
      <c r="E259" s="132">
        <f>IFERROR(__xludf.DUMMYFUNCTION("""COMPUTED_VALUE"""),4.0)</f>
        <v>4</v>
      </c>
      <c r="F259" s="132">
        <f>IFERROR(__xludf.DUMMYFUNCTION("""COMPUTED_VALUE"""),12.0)</f>
        <v>12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IFERROR(__xludf.DUMMYFUNCTION("""COMPUTED_VALUE"""),"Rajasekar Ramasamy")</f>
        <v>Rajasekar Ramasamy</v>
      </c>
      <c r="C260" s="132">
        <f>IFERROR(__xludf.DUMMYFUNCTION("""COMPUTED_VALUE"""),2.0)</f>
        <v>2</v>
      </c>
      <c r="D260" s="132">
        <f>IFERROR(__xludf.DUMMYFUNCTION("""COMPUTED_VALUE"""),3.0)</f>
        <v>3</v>
      </c>
      <c r="E260" s="132">
        <f>IFERROR(__xludf.DUMMYFUNCTION("""COMPUTED_VALUE"""),6.0)</f>
        <v>6</v>
      </c>
      <c r="F260" s="132">
        <f>IFERROR(__xludf.DUMMYFUNCTION("""COMPUTED_VALUE"""),11.0)</f>
        <v>11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IFERROR(__xludf.DUMMYFUNCTION("""COMPUTED_VALUE"""),"Vinotkumar Nagappan")</f>
        <v>Vinotkumar Nagappan</v>
      </c>
      <c r="C261" s="132">
        <f>IFERROR(__xludf.DUMMYFUNCTION("""COMPUTED_VALUE"""),6.0)</f>
        <v>6</v>
      </c>
      <c r="D261" s="132">
        <f>IFERROR(__xludf.DUMMYFUNCTION("""COMPUTED_VALUE"""),3.0)</f>
        <v>3</v>
      </c>
      <c r="E261" s="132">
        <f>IFERROR(__xludf.DUMMYFUNCTION("""COMPUTED_VALUE"""),4.0)</f>
        <v>4</v>
      </c>
      <c r="F261" s="132">
        <f>IFERROR(__xludf.DUMMYFUNCTION("""COMPUTED_VALUE"""),13.0)</f>
        <v>13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IFERROR(__xludf.DUMMYFUNCTION("""COMPUTED_VALUE"""),"Elayaraja Thangaraj")</f>
        <v>Elayaraja Thangaraj</v>
      </c>
      <c r="C262" s="135">
        <f>IFERROR(__xludf.DUMMYFUNCTION("""COMPUTED_VALUE"""),3.0)</f>
        <v>3</v>
      </c>
      <c r="D262" s="135">
        <f>IFERROR(__xludf.DUMMYFUNCTION("""COMPUTED_VALUE"""),1.0)</f>
        <v>1</v>
      </c>
      <c r="E262" s="135">
        <f>IFERROR(__xludf.DUMMYFUNCTION("""COMPUTED_VALUE"""),6.0)</f>
        <v>6</v>
      </c>
      <c r="F262" s="135">
        <f>IFERROR(__xludf.DUMMYFUNCTION("""COMPUTED_VALUE"""),10.0)</f>
        <v>10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IFERROR(__xludf.DUMMYFUNCTION("""COMPUTED_VALUE"""),"Alex Hou")</f>
        <v>Alex Hou</v>
      </c>
      <c r="C263" s="135">
        <f>IFERROR(__xludf.DUMMYFUNCTION("""COMPUTED_VALUE"""),6.0)</f>
        <v>6</v>
      </c>
      <c r="D263" s="135">
        <f>IFERROR(__xludf.DUMMYFUNCTION("""COMPUTED_VALUE"""),1.0)</f>
        <v>1</v>
      </c>
      <c r="E263" s="135">
        <f>IFERROR(__xludf.DUMMYFUNCTION("""COMPUTED_VALUE"""),3.0)</f>
        <v>3</v>
      </c>
      <c r="F263" s="135">
        <f>IFERROR(__xludf.DUMMYFUNCTION("""COMPUTED_VALUE"""),10.0)</f>
        <v>10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IFERROR(__xludf.DUMMYFUNCTION("""COMPUTED_VALUE"""),"Luis Hsu")</f>
        <v>Luis Hsu</v>
      </c>
      <c r="C264" s="135">
        <f>IFERROR(__xludf.DUMMYFUNCTION("""COMPUTED_VALUE"""),6.0)</f>
        <v>6</v>
      </c>
      <c r="D264" s="135">
        <f>IFERROR(__xludf.DUMMYFUNCTION("""COMPUTED_VALUE"""),6.0)</f>
        <v>6</v>
      </c>
      <c r="E264" s="135">
        <f>IFERROR(__xludf.DUMMYFUNCTION("""COMPUTED_VALUE"""),6.0)</f>
        <v>6</v>
      </c>
      <c r="F264" s="135">
        <f>IFERROR(__xludf.DUMMYFUNCTION("""COMPUTED_VALUE"""),18.0)</f>
        <v>18</v>
      </c>
      <c r="G264" s="135">
        <f>IFERROR(__xludf.DUMMYFUNCTION("""COMPUTED_VALUE"""),3.0)</f>
        <v>3</v>
      </c>
    </row>
    <row r="265">
      <c r="A265" s="133">
        <f>IFERROR(__xludf.DUMMYFUNCTION("""COMPUTED_VALUE"""),4.0)</f>
        <v>4</v>
      </c>
      <c r="B265" s="134" t="str">
        <f>IFERROR(__xludf.DUMMYFUNCTION("""COMPUTED_VALUE"""),"Sean Chang")</f>
        <v>Sean Chang</v>
      </c>
      <c r="C265" s="135">
        <f>IFERROR(__xludf.DUMMYFUNCTION("""COMPUTED_VALUE"""),3.0)</f>
        <v>3</v>
      </c>
      <c r="D265" s="135">
        <f>IFERROR(__xludf.DUMMYFUNCTION("""COMPUTED_VALUE"""),6.0)</f>
        <v>6</v>
      </c>
      <c r="E265" s="135">
        <f>IFERROR(__xludf.DUMMYFUNCTION("""COMPUTED_VALUE"""),3.0)</f>
        <v>3</v>
      </c>
      <c r="F265" s="135">
        <f>IFERROR(__xludf.DUMMYFUNCTION("""COMPUTED_VALUE"""),12.0)</f>
        <v>12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IFERROR(__xludf.DUMMYFUNCTION("""COMPUTED_VALUE"""),"Cid Macaraeg")</f>
        <v>Cid Macaraeg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IFERROR(__xludf.DUMMYFUNCTION("""COMPUTED_VALUE"""),18.0)</f>
        <v>18</v>
      </c>
      <c r="G266" s="132">
        <f>IFERROR(__xludf.DUMMYFUNCTION("""COMPUTED_VALUE"""),3.0)</f>
        <v>3</v>
      </c>
    </row>
    <row r="267">
      <c r="A267" s="122">
        <f>IFERROR(__xludf.DUMMYFUNCTION("""COMPUTED_VALUE"""),5.0)</f>
        <v>5</v>
      </c>
      <c r="B267" s="36" t="str">
        <f>IFERROR(__xludf.DUMMYFUNCTION("""COMPUTED_VALUE"""),"Tina Hanson")</f>
        <v>Tina Hanson</v>
      </c>
      <c r="C267" s="132">
        <f>IFERROR(__xludf.DUMMYFUNCTION("""COMPUTED_VALUE"""),6.0)</f>
        <v>6</v>
      </c>
      <c r="D267" s="132">
        <f>IFERROR(__xludf.DUMMYFUNCTION("""COMPUTED_VALUE"""),4.0)</f>
        <v>4</v>
      </c>
      <c r="E267" s="132">
        <f>IFERROR(__xludf.DUMMYFUNCTION("""COMPUTED_VALUE"""),3.0)</f>
        <v>3</v>
      </c>
      <c r="F267" s="132">
        <f>IFERROR(__xludf.DUMMYFUNCTION("""COMPUTED_VALUE"""),13.0)</f>
        <v>13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IFERROR(__xludf.DUMMYFUNCTION("""COMPUTED_VALUE"""),"Hongyuan Wen")</f>
        <v>Hongyuan Wen</v>
      </c>
      <c r="C268" s="132">
        <f>IFERROR(__xludf.DUMMYFUNCTION("""COMPUTED_VALUE"""),2.0)</f>
        <v>2</v>
      </c>
      <c r="D268" s="132">
        <f>IFERROR(__xludf.DUMMYFUNCTION("""COMPUTED_VALUE"""),6.0)</f>
        <v>6</v>
      </c>
      <c r="E268" s="132">
        <f>IFERROR(__xludf.DUMMYFUNCTION("""COMPUTED_VALUE"""),3.0)</f>
        <v>3</v>
      </c>
      <c r="F268" s="132">
        <f>IFERROR(__xludf.DUMMYFUNCTION("""COMPUTED_VALUE"""),11.0)</f>
        <v>11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IFERROR(__xludf.DUMMYFUNCTION("""COMPUTED_VALUE"""),"Kumar Palakeel")</f>
        <v>Kumar Palakeel</v>
      </c>
      <c r="C269" s="132">
        <f>IFERROR(__xludf.DUMMYFUNCTION("""COMPUTED_VALUE"""),2.0)</f>
        <v>2</v>
      </c>
      <c r="D269" s="132">
        <f>IFERROR(__xludf.DUMMYFUNCTION("""COMPUTED_VALUE"""),4.0)</f>
        <v>4</v>
      </c>
      <c r="E269" s="132">
        <f>IFERROR(__xludf.DUMMYFUNCTION("""COMPUTED_VALUE"""),6.0)</f>
        <v>6</v>
      </c>
      <c r="F269" s="132">
        <f>IFERROR(__xludf.DUMMYFUNCTION("""COMPUTED_VALUE"""),12.0)</f>
        <v>12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IFERROR(__xludf.DUMMYFUNCTION("""COMPUTED_VALUE"""),"Oscar Bonilla")</f>
        <v>Oscar Bonilla</v>
      </c>
      <c r="C270" s="135">
        <f>IFERROR(__xludf.DUMMYFUNCTION("""COMPUTED_VALUE"""),7.0)</f>
        <v>7</v>
      </c>
      <c r="D270" s="135">
        <f>IFERROR(__xludf.DUMMYFUNCTION("""COMPUTED_VALUE"""),7.0)</f>
        <v>7</v>
      </c>
      <c r="E270" s="135">
        <f>IFERROR(__xludf.DUMMYFUNCTION("""COMPUTED_VALUE"""),6.0)</f>
        <v>6</v>
      </c>
      <c r="F270" s="135">
        <f>IFERROR(__xludf.DUMMYFUNCTION("""COMPUTED_VALUE"""),20.0)</f>
        <v>20</v>
      </c>
      <c r="G270" s="135">
        <f>IFERROR(__xludf.DUMMYFUNCTION("""COMPUTED_VALUE"""),3.0)</f>
        <v>3</v>
      </c>
    </row>
    <row r="271">
      <c r="A271" s="133">
        <f>IFERROR(__xludf.DUMMYFUNCTION("""COMPUTED_VALUE"""),6.0)</f>
        <v>6</v>
      </c>
      <c r="B271" s="134" t="str">
        <f>IFERROR(__xludf.DUMMYFUNCTION("""COMPUTED_VALUE"""),"Manuel Rivera")</f>
        <v>Manuel Rivera</v>
      </c>
      <c r="C271" s="135">
        <f>IFERROR(__xludf.DUMMYFUNCTION("""COMPUTED_VALUE"""),5.0)</f>
        <v>5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IFERROR(__xludf.DUMMYFUNCTION("""COMPUTED_VALUE"""),17.0)</f>
        <v>17</v>
      </c>
      <c r="G271" s="135">
        <f>IFERROR(__xludf.DUMMYFUNCTION("""COMPUTED_VALUE"""),1.0)</f>
        <v>1</v>
      </c>
    </row>
    <row r="272">
      <c r="A272" s="133">
        <f>IFERROR(__xludf.DUMMYFUNCTION("""COMPUTED_VALUE"""),6.0)</f>
        <v>6</v>
      </c>
      <c r="B272" s="134" t="str">
        <f>IFERROR(__xludf.DUMMYFUNCTION("""COMPUTED_VALUE"""),"Naveen Raj")</f>
        <v>Naveen Raj</v>
      </c>
      <c r="C272" s="135">
        <f>IFERROR(__xludf.DUMMYFUNCTION("""COMPUTED_VALUE"""),5.0)</f>
        <v>5</v>
      </c>
      <c r="D272" s="135">
        <f>IFERROR(__xludf.DUMMYFUNCTION("""COMPUTED_VALUE"""),7.0)</f>
        <v>7</v>
      </c>
      <c r="E272" s="135">
        <f>IFERROR(__xludf.DUMMYFUNCTION("""COMPUTED_VALUE"""),3.0)</f>
        <v>3</v>
      </c>
      <c r="F272" s="135">
        <f>IFERROR(__xludf.DUMMYFUNCTION("""COMPUTED_VALUE"""),15.0)</f>
        <v>15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IFERROR(__xludf.DUMMYFUNCTION("""COMPUTED_VALUE"""),"Coco Yan")</f>
        <v>Coco Yan</v>
      </c>
      <c r="C273" s="135">
        <f>IFERROR(__xludf.DUMMYFUNCTION("""COMPUTED_VALUE"""),7.0)</f>
        <v>7</v>
      </c>
      <c r="D273" s="135">
        <f>IFERROR(__xludf.DUMMYFUNCTION("""COMPUTED_VALUE"""),6.0)</f>
        <v>6</v>
      </c>
      <c r="E273" s="135">
        <f>IFERROR(__xludf.DUMMYFUNCTION("""COMPUTED_VALUE"""),3.0)</f>
        <v>3</v>
      </c>
      <c r="F273" s="135">
        <f>IFERROR(__xludf.DUMMYFUNCTION("""COMPUTED_VALUE"""),16.0)</f>
        <v>16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IFERROR(__xludf.DUMMYFUNCTION("""COMPUTED_VALUE"""),"Nicole Ni")</f>
        <v>Nicole Ni</v>
      </c>
      <c r="C274" s="132">
        <f>IFERROR(__xludf.DUMMYFUNCTION("""COMPUTED_VALUE"""),1.0)</f>
        <v>1</v>
      </c>
      <c r="D274" s="132">
        <f>IFERROR(__xludf.DUMMYFUNCTION("""COMPUTED_VALUE"""),6.0)</f>
        <v>6</v>
      </c>
      <c r="E274" s="132">
        <f>IFERROR(__xludf.DUMMYFUNCTION("""COMPUTED_VALUE"""),1.0)</f>
        <v>1</v>
      </c>
      <c r="F274" s="132">
        <f>IFERROR(__xludf.DUMMYFUNCTION("""COMPUTED_VALUE"""),8.0)</f>
        <v>8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IFERROR(__xludf.DUMMYFUNCTION("""COMPUTED_VALUE"""),"Trish Newlin")</f>
        <v>Trish Newlin</v>
      </c>
      <c r="C275" s="132">
        <f>IFERROR(__xludf.DUMMYFUNCTION("""COMPUTED_VALUE"""),1.0)</f>
        <v>1</v>
      </c>
      <c r="D275" s="132">
        <f>IFERROR(__xludf.DUMMYFUNCTION("""COMPUTED_VALUE"""),3.0)</f>
        <v>3</v>
      </c>
      <c r="E275" s="132">
        <f>IFERROR(__xludf.DUMMYFUNCTION("""COMPUTED_VALUE"""),6.0)</f>
        <v>6</v>
      </c>
      <c r="F275" s="132">
        <f>IFERROR(__xludf.DUMMYFUNCTION("""COMPUTED_VALUE"""),10.0)</f>
        <v>10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IFERROR(__xludf.DUMMYFUNCTION("""COMPUTED_VALUE"""),"Jimmy Awolesi")</f>
        <v>Jimmy Awolesi</v>
      </c>
      <c r="C276" s="132">
        <f>IFERROR(__xludf.DUMMYFUNCTION("""COMPUTED_VALUE"""),6.0)</f>
        <v>6</v>
      </c>
      <c r="D276" s="132">
        <f>IFERROR(__xludf.DUMMYFUNCTION("""COMPUTED_VALUE"""),3.0)</f>
        <v>3</v>
      </c>
      <c r="E276" s="132">
        <f>IFERROR(__xludf.DUMMYFUNCTION("""COMPUTED_VALUE"""),1.0)</f>
        <v>1</v>
      </c>
      <c r="F276" s="132">
        <f>IFERROR(__xludf.DUMMYFUNCTION("""COMPUTED_VALUE"""),10.0)</f>
        <v>10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IFERROR(__xludf.DUMMYFUNCTION("""COMPUTED_VALUE"""),"Tom Le")</f>
        <v>Tom Le</v>
      </c>
      <c r="C277" s="132">
        <f>IFERROR(__xludf.DUMMYFUNCTION("""COMPUTED_VALUE"""),6.0)</f>
        <v>6</v>
      </c>
      <c r="D277" s="132">
        <f>IFERROR(__xludf.DUMMYFUNCTION("""COMPUTED_VALUE"""),6.0)</f>
        <v>6</v>
      </c>
      <c r="E277" s="132">
        <f>IFERROR(__xludf.DUMMYFUNCTION("""COMPUTED_VALUE"""),6.0)</f>
        <v>6</v>
      </c>
      <c r="F277" s="132">
        <f>IFERROR(__xludf.DUMMYFUNCTION("""COMPUTED_VALUE"""),18.0)</f>
        <v>18</v>
      </c>
      <c r="G277" s="132">
        <f>IFERROR(__xludf.DUMMYFUNCTION("""COMPUTED_VALUE"""),3.0)</f>
        <v>3</v>
      </c>
    </row>
    <row r="278">
      <c r="A278" s="133">
        <f>IFERROR(__xludf.DUMMYFUNCTION("""COMPUTED_VALUE"""),8.0)</f>
        <v>8</v>
      </c>
      <c r="B278" s="134" t="str">
        <f>IFERROR(__xludf.DUMMYFUNCTION("""COMPUTED_VALUE"""),"Vinaya Kajla")</f>
        <v>Vinaya Kajla</v>
      </c>
      <c r="C278" s="135">
        <f>IFERROR(__xludf.DUMMYFUNCTION("""COMPUTED_VALUE"""),0.0)</f>
        <v>0</v>
      </c>
      <c r="D278" s="135">
        <f>IFERROR(__xludf.DUMMYFUNCTION("""COMPUTED_VALUE"""),0.0)</f>
        <v>0</v>
      </c>
      <c r="E278" s="135">
        <f>IFERROR(__xludf.DUMMYFUNCTION("""COMPUTED_VALUE"""),6.0)</f>
        <v>6</v>
      </c>
      <c r="F278" s="135">
        <f>IFERROR(__xludf.DUMMYFUNCTION("""COMPUTED_VALUE"""),6.0)</f>
        <v>6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IFERROR(__xludf.DUMMYFUNCTION("""COMPUTED_VALUE"""),"Eric Tan")</f>
        <v>Eric Tan</v>
      </c>
      <c r="C279" s="135">
        <f>IFERROR(__xludf.DUMMYFUNCTION("""COMPUTED_VALUE"""),6.0)</f>
        <v>6</v>
      </c>
      <c r="D279" s="135">
        <f>IFERROR(__xludf.DUMMYFUNCTION("""COMPUTED_VALUE"""),0.0)</f>
        <v>0</v>
      </c>
      <c r="E279" s="135">
        <f>IFERROR(__xludf.DUMMYFUNCTION("""COMPUTED_VALUE"""),0.0)</f>
        <v>0</v>
      </c>
      <c r="F279" s="135">
        <f>IFERROR(__xludf.DUMMYFUNCTION("""COMPUTED_VALUE"""),6.0)</f>
        <v>6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IFERROR(__xludf.DUMMYFUNCTION("""COMPUTED_VALUE"""),"Alejandro Mejia")</f>
        <v>Alejandro Mejia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IFERROR(__xludf.DUMMYFUNCTION("""COMPUTED_VALUE"""),6.0)</f>
        <v>6</v>
      </c>
      <c r="F280" s="135">
        <f>IFERROR(__xludf.DUMMYFUNCTION("""COMPUTED_VALUE"""),18.0)</f>
        <v>18</v>
      </c>
      <c r="G280" s="135">
        <f>IFERROR(__xludf.DUMMYFUNCTION("""COMPUTED_VALUE"""),3.0)</f>
        <v>3</v>
      </c>
    </row>
    <row r="281">
      <c r="A281" s="133">
        <f>IFERROR(__xludf.DUMMYFUNCTION("""COMPUTED_VALUE"""),8.0)</f>
        <v>8</v>
      </c>
      <c r="B281" s="134" t="str">
        <f>IFERROR(__xludf.DUMMYFUNCTION("""COMPUTED_VALUE"""),"Camille Jung")</f>
        <v>Camille Jung</v>
      </c>
      <c r="C281" s="135">
        <f>IFERROR(__xludf.DUMMYFUNCTION("""COMPUTED_VALUE"""),0.0)</f>
        <v>0</v>
      </c>
      <c r="D281" s="135">
        <f>IFERROR(__xludf.DUMMYFUNCTION("""COMPUTED_VALUE"""),6.0)</f>
        <v>6</v>
      </c>
      <c r="E281" s="135">
        <f>IFERROR(__xludf.DUMMYFUNCTION("""COMPUTED_VALUE"""),0.0)</f>
        <v>0</v>
      </c>
      <c r="F281" s="135">
        <f>IFERROR(__xludf.DUMMYFUNCTION("""COMPUTED_VALUE"""),6.0)</f>
        <v>6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IFERROR(__xludf.DUMMYFUNCTION("""COMPUTED_VALUE"""),"Suleman Alidina")</f>
        <v>Suleman Alidina</v>
      </c>
      <c r="C282" s="132">
        <f>IFERROR(__xludf.DUMMYFUNCTION("""COMPUTED_VALUE"""),6.0)</f>
        <v>6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IFERROR(__xludf.DUMMYFUNCTION("""COMPUTED_VALUE"""),18.0)</f>
        <v>18</v>
      </c>
      <c r="G282" s="132">
        <f>IFERROR(__xludf.DUMMYFUNCTION("""COMPUTED_VALUE"""),3.0)</f>
        <v>3</v>
      </c>
    </row>
    <row r="283">
      <c r="A283" s="122">
        <f>IFERROR(__xludf.DUMMYFUNCTION("""COMPUTED_VALUE"""),9.0)</f>
        <v>9</v>
      </c>
      <c r="B283" s="36" t="str">
        <f>IFERROR(__xludf.DUMMYFUNCTION("""COMPUTED_VALUE"""),"Scott Li")</f>
        <v>Scott Li</v>
      </c>
      <c r="C283" s="132">
        <f>IFERROR(__xludf.DUMMYFUNCTION("""COMPUTED_VALUE"""),2.0)</f>
        <v>2</v>
      </c>
      <c r="D283" s="132">
        <f>IFERROR(__xludf.DUMMYFUNCTION("""COMPUTED_VALUE"""),4.0)</f>
        <v>4</v>
      </c>
      <c r="E283" s="132">
        <f>IFERROR(__xludf.DUMMYFUNCTION("""COMPUTED_VALUE"""),6.0)</f>
        <v>6</v>
      </c>
      <c r="F283" s="132">
        <f>IFERROR(__xludf.DUMMYFUNCTION("""COMPUTED_VALUE"""),12.0)</f>
        <v>12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IFERROR(__xludf.DUMMYFUNCTION("""COMPUTED_VALUE"""),"Ethan Gu")</f>
        <v>Ethan Gu</v>
      </c>
      <c r="C284" s="132">
        <f>IFERROR(__xludf.DUMMYFUNCTION("""COMPUTED_VALUE"""),6.0)</f>
        <v>6</v>
      </c>
      <c r="D284" s="132">
        <f>IFERROR(__xludf.DUMMYFUNCTION("""COMPUTED_VALUE"""),4.0)</f>
        <v>4</v>
      </c>
      <c r="E284" s="132">
        <f>IFERROR(__xludf.DUMMYFUNCTION("""COMPUTED_VALUE"""),1.0)</f>
        <v>1</v>
      </c>
      <c r="F284" s="132">
        <f>IFERROR(__xludf.DUMMYFUNCTION("""COMPUTED_VALUE"""),11.0)</f>
        <v>11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IFERROR(__xludf.DUMMYFUNCTION("""COMPUTED_VALUE"""),"Frank Moon")</f>
        <v>Frank Moon</v>
      </c>
      <c r="C285" s="132">
        <f>IFERROR(__xludf.DUMMYFUNCTION("""COMPUTED_VALUE"""),2.0)</f>
        <v>2</v>
      </c>
      <c r="D285" s="132">
        <f>IFERROR(__xludf.DUMMYFUNCTION("""COMPUTED_VALUE"""),6.0)</f>
        <v>6</v>
      </c>
      <c r="E285" s="132">
        <f>IFERROR(__xludf.DUMMYFUNCTION("""COMPUTED_VALUE"""),1.0)</f>
        <v>1</v>
      </c>
      <c r="F285" s="132">
        <f>IFERROR(__xludf.DUMMYFUNCTION("""COMPUTED_VALUE"""),9.0)</f>
        <v>9</v>
      </c>
      <c r="G285" s="132">
        <f>IFERROR(__xludf.DUMMYFUNCTION("""COMPUTED_VALUE"""),1.0)</f>
        <v>1</v>
      </c>
    </row>
    <row r="286">
      <c r="A286" s="133">
        <f>IFERROR(__xludf.DUMMYFUNCTION("""COMPUTED_VALUE"""),10.0)</f>
        <v>10</v>
      </c>
      <c r="B286" s="134" t="str">
        <f>IFERROR(__xludf.DUMMYFUNCTION("""COMPUTED_VALUE"""),"Allen Zhang")</f>
        <v>Allen Zhang</v>
      </c>
      <c r="C286" s="135">
        <f>IFERROR(__xludf.DUMMYFUNCTION("""COMPUTED_VALUE"""),4.0)</f>
        <v>4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IFERROR(__xludf.DUMMYFUNCTION("""COMPUTED_VALUE"""),16.0)</f>
        <v>16</v>
      </c>
      <c r="G286" s="135">
        <f>IFERROR(__xludf.DUMMYFUNCTION("""COMPUTED_VALUE"""),1.0)</f>
        <v>1</v>
      </c>
    </row>
    <row r="287">
      <c r="A287" s="133">
        <f>IFERROR(__xludf.DUMMYFUNCTION("""COMPUTED_VALUE"""),10.0)</f>
        <v>10</v>
      </c>
      <c r="B287" s="134" t="str">
        <f>IFERROR(__xludf.DUMMYFUNCTION("""COMPUTED_VALUE"""),"Lloyd Sagar")</f>
        <v>Lloyd Sagar</v>
      </c>
      <c r="C287" s="135">
        <f>IFERROR(__xludf.DUMMYFUNCTION("""COMPUTED_VALUE"""),6.0)</f>
        <v>6</v>
      </c>
      <c r="D287" s="135">
        <f>IFERROR(__xludf.DUMMYFUNCTION("""COMPUTED_VALUE"""),3.0)</f>
        <v>3</v>
      </c>
      <c r="E287" s="135">
        <f>IFERROR(__xludf.DUMMYFUNCTION("""COMPUTED_VALUE"""),6.0)</f>
        <v>6</v>
      </c>
      <c r="F287" s="135">
        <f>IFERROR(__xludf.DUMMYFUNCTION("""COMPUTED_VALUE"""),15.0)</f>
        <v>15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IFERROR(__xludf.DUMMYFUNCTION("""COMPUTED_VALUE"""),"Wayne Liu")</f>
        <v>Wayne Liu</v>
      </c>
      <c r="C288" s="135">
        <f>IFERROR(__xludf.DUMMYFUNCTION("""COMPUTED_VALUE"""),6.0)</f>
        <v>6</v>
      </c>
      <c r="D288" s="135">
        <f>IFERROR(__xludf.DUMMYFUNCTION("""COMPUTED_VALUE"""),6.0)</f>
        <v>6</v>
      </c>
      <c r="E288" s="135">
        <f>IFERROR(__xludf.DUMMYFUNCTION("""COMPUTED_VALUE"""),7.0)</f>
        <v>7</v>
      </c>
      <c r="F288" s="135">
        <f>IFERROR(__xludf.DUMMYFUNCTION("""COMPUTED_VALUE"""),19.0)</f>
        <v>19</v>
      </c>
      <c r="G288" s="135">
        <f>IFERROR(__xludf.DUMMYFUNCTION("""COMPUTED_VALUE"""),3.0)</f>
        <v>3</v>
      </c>
    </row>
    <row r="289">
      <c r="A289" s="133">
        <f>IFERROR(__xludf.DUMMYFUNCTION("""COMPUTED_VALUE"""),10.0)</f>
        <v>10</v>
      </c>
      <c r="B289" s="134" t="str">
        <f>IFERROR(__xludf.DUMMYFUNCTION("""COMPUTED_VALUE"""),"Chinna Ponnaganti")</f>
        <v>Chinna Ponnaganti</v>
      </c>
      <c r="C289" s="135">
        <f>IFERROR(__xludf.DUMMYFUNCTION("""COMPUTED_VALUE"""),4.0)</f>
        <v>4</v>
      </c>
      <c r="D289" s="135">
        <f>IFERROR(__xludf.DUMMYFUNCTION("""COMPUTED_VALUE"""),3.0)</f>
        <v>3</v>
      </c>
      <c r="E289" s="135">
        <f>IFERROR(__xludf.DUMMYFUNCTION("""COMPUTED_VALUE"""),7.0)</f>
        <v>7</v>
      </c>
      <c r="F289" s="135">
        <f>IFERROR(__xludf.DUMMYFUNCTION("""COMPUTED_VALUE"""),14.0)</f>
        <v>14</v>
      </c>
      <c r="G289" s="135">
        <f>IFERROR(__xludf.DUMMYFUNCTION("""COMPUTED_VALUE"""),1.0)</f>
        <v>1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IFERROR(__xludf.DUMMYFUNCTION("""COMPUTED_VALUE"""),"Balaji Alahari")</f>
        <v>Balaji Alahari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IFERROR(__xludf.DUMMYFUNCTION("""COMPUTED_VALUE"""),"Basudev Thoppai Vidyasankar")</f>
        <v>Basudev Thoppai Vidyasankar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IFERROR(__xludf.DUMMYFUNCTION("""COMPUTED_VALUE"""),"James Phan")</f>
        <v>James Phan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IFERROR(__xludf.DUMMYFUNCTION("""COMPUTED_VALUE"""),"Jaya Sogata")</f>
        <v>Jaya Sogata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 Miao")</f>
        <v>Jim Miao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IFERROR(__xludf.DUMMYFUNCTION("""COMPUTED_VALUE"""),"Jimmy Awolesi")</f>
        <v>Jimmy Awolesi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IFERROR(__xludf.DUMMYFUNCTION("""COMPUTED_VALUE"""),"Joe Luzzi")</f>
        <v>Joe Luzzi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IFERROR(__xludf.DUMMYFUNCTION("""COMPUTED_VALUE"""),"Jonathan Phan")</f>
        <v>Jonathan Phan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IFERROR(__xludf.DUMMYFUNCTION("""COMPUTED_VALUE"""),"Jordan Tatang")</f>
        <v>Jordan Tatang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46123.0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14.0</v>
      </c>
      <c r="E2" s="5"/>
      <c r="F2" s="5"/>
      <c r="R2" s="18"/>
      <c r="AC2" s="22" t="str">
        <f>text(C1-7,"mm/dd/yy")</f>
        <v>04/04/26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197.0</v>
      </c>
      <c r="D5" s="37">
        <v>25.0</v>
      </c>
      <c r="E5" s="40">
        <f t="shared" ref="E5:E79" si="2">if(S5&gt;0,(C5-(V5*9)-(T5*13))/S5,0)</f>
        <v>14.91666667</v>
      </c>
      <c r="F5" s="90">
        <v>1.0</v>
      </c>
      <c r="G5" s="91">
        <v>1.0</v>
      </c>
      <c r="H5" s="92">
        <v>0.0</v>
      </c>
      <c r="I5" s="91">
        <v>6.0</v>
      </c>
      <c r="J5" s="91">
        <v>6.0</v>
      </c>
      <c r="K5" s="91">
        <v>1.0</v>
      </c>
      <c r="L5" s="93">
        <v>13.0</v>
      </c>
      <c r="M5" s="91">
        <v>2.0</v>
      </c>
      <c r="N5" s="37">
        <f t="shared" ref="N5:O5" si="1">C5+L5</f>
        <v>210</v>
      </c>
      <c r="O5" s="37">
        <f t="shared" si="1"/>
        <v>27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12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195.0</v>
      </c>
      <c r="D6" s="37">
        <v>24.0</v>
      </c>
      <c r="E6" s="40">
        <f t="shared" si="2"/>
        <v>14.75</v>
      </c>
      <c r="F6" s="90">
        <v>2.0</v>
      </c>
      <c r="G6" s="91">
        <v>1.0</v>
      </c>
      <c r="H6" s="92">
        <v>0.0</v>
      </c>
      <c r="I6" s="91">
        <v>4.0</v>
      </c>
      <c r="J6" s="91">
        <v>6.0</v>
      </c>
      <c r="K6" s="91">
        <v>6.0</v>
      </c>
      <c r="L6" s="93">
        <v>16.0</v>
      </c>
      <c r="M6" s="91">
        <v>2.0</v>
      </c>
      <c r="N6" s="37">
        <f t="shared" ref="N6:O6" si="3">C6+L6</f>
        <v>211</v>
      </c>
      <c r="O6" s="37">
        <f t="shared" si="3"/>
        <v>26</v>
      </c>
      <c r="P6" s="49" t="s">
        <v>57</v>
      </c>
      <c r="Q6" s="49" t="s">
        <v>57</v>
      </c>
      <c r="R6" s="49" t="s">
        <v>57</v>
      </c>
      <c r="S6" s="51">
        <f t="shared" si="4"/>
        <v>12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185.0</v>
      </c>
      <c r="D7" s="37">
        <v>19.0</v>
      </c>
      <c r="E7" s="40">
        <f t="shared" si="2"/>
        <v>13.91666667</v>
      </c>
      <c r="F7" s="90">
        <v>1.0</v>
      </c>
      <c r="G7" s="91">
        <v>1.0</v>
      </c>
      <c r="H7" s="92">
        <v>0.0</v>
      </c>
      <c r="I7" s="91">
        <v>4.0</v>
      </c>
      <c r="J7" s="91">
        <v>3.0</v>
      </c>
      <c r="K7" s="91">
        <v>1.0</v>
      </c>
      <c r="L7" s="93">
        <v>8.0</v>
      </c>
      <c r="M7" s="91">
        <v>0.0</v>
      </c>
      <c r="N7" s="37">
        <f t="shared" ref="N7:O7" si="11">C7+L7</f>
        <v>193</v>
      </c>
      <c r="O7" s="37">
        <f t="shared" si="11"/>
        <v>19</v>
      </c>
      <c r="P7" s="49" t="s">
        <v>57</v>
      </c>
      <c r="Q7" s="49" t="s">
        <v>57</v>
      </c>
      <c r="R7" s="49" t="s">
        <v>57</v>
      </c>
      <c r="S7" s="51">
        <f t="shared" si="4"/>
        <v>12</v>
      </c>
      <c r="T7" s="52">
        <f t="shared" si="5"/>
        <v>0</v>
      </c>
      <c r="U7" s="52"/>
      <c r="V7" s="51">
        <f t="shared" si="6"/>
        <v>2</v>
      </c>
      <c r="W7" s="52">
        <f t="shared" si="7"/>
        <v>0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127</v>
      </c>
      <c r="C8" s="37">
        <v>180.0</v>
      </c>
      <c r="D8" s="37">
        <v>18.0</v>
      </c>
      <c r="E8" s="40">
        <f t="shared" si="2"/>
        <v>14.4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189</v>
      </c>
      <c r="O8" s="37">
        <f t="shared" si="13"/>
        <v>18</v>
      </c>
      <c r="P8" s="49" t="s">
        <v>57</v>
      </c>
      <c r="Q8" s="49" t="s">
        <v>57</v>
      </c>
      <c r="R8" s="49" t="s">
        <v>57</v>
      </c>
      <c r="S8" s="51">
        <f t="shared" si="4"/>
        <v>10</v>
      </c>
      <c r="T8" s="52">
        <f t="shared" si="5"/>
        <v>0</v>
      </c>
      <c r="U8" s="52"/>
      <c r="V8" s="51">
        <f t="shared" si="6"/>
        <v>4</v>
      </c>
      <c r="W8" s="52">
        <f t="shared" si="7"/>
        <v>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111</v>
      </c>
      <c r="C9" s="37">
        <v>180.0</v>
      </c>
      <c r="D9" s="37">
        <v>18.0</v>
      </c>
      <c r="E9" s="40">
        <f t="shared" si="2"/>
        <v>13.54545455</v>
      </c>
      <c r="F9" s="90">
        <v>2.0</v>
      </c>
      <c r="G9" s="91">
        <v>1.0</v>
      </c>
      <c r="H9" s="92">
        <v>0.0</v>
      </c>
      <c r="I9" s="91">
        <v>6.0</v>
      </c>
      <c r="J9" s="91">
        <v>3.0</v>
      </c>
      <c r="K9" s="91">
        <v>6.0</v>
      </c>
      <c r="L9" s="93">
        <v>15.0</v>
      </c>
      <c r="M9" s="91">
        <v>2.0</v>
      </c>
      <c r="N9" s="37">
        <f t="shared" ref="N9:O9" si="14">C9+L9</f>
        <v>195</v>
      </c>
      <c r="O9" s="37">
        <f t="shared" si="14"/>
        <v>20</v>
      </c>
      <c r="P9" s="49" t="s">
        <v>57</v>
      </c>
      <c r="Q9" s="49" t="s">
        <v>57</v>
      </c>
      <c r="R9" s="49" t="s">
        <v>57</v>
      </c>
      <c r="S9" s="51">
        <f t="shared" si="4"/>
        <v>11</v>
      </c>
      <c r="T9" s="52">
        <f t="shared" si="5"/>
        <v>1</v>
      </c>
      <c r="U9" s="52"/>
      <c r="V9" s="51">
        <f t="shared" si="6"/>
        <v>2</v>
      </c>
      <c r="W9" s="52">
        <f t="shared" si="7"/>
        <v>2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77</v>
      </c>
      <c r="C10" s="37">
        <v>179.0</v>
      </c>
      <c r="D10" s="37">
        <v>18.0</v>
      </c>
      <c r="E10" s="40">
        <f t="shared" si="2"/>
        <v>12.78571429</v>
      </c>
      <c r="F10" s="90">
        <v>1.0</v>
      </c>
      <c r="G10" s="91">
        <v>9.0</v>
      </c>
      <c r="H10" s="92">
        <v>0.0</v>
      </c>
      <c r="I10" s="91">
        <v>6.0</v>
      </c>
      <c r="J10" s="91">
        <v>6.0</v>
      </c>
      <c r="K10" s="91">
        <v>6.0</v>
      </c>
      <c r="L10" s="93">
        <v>18.0</v>
      </c>
      <c r="M10" s="91">
        <v>3.0</v>
      </c>
      <c r="N10" s="37">
        <f t="shared" ref="N10:O10" si="15">C10+L10</f>
        <v>197</v>
      </c>
      <c r="O10" s="37">
        <f t="shared" si="15"/>
        <v>21</v>
      </c>
      <c r="P10" s="49" t="s">
        <v>57</v>
      </c>
      <c r="Q10" s="49" t="s">
        <v>57</v>
      </c>
      <c r="R10" s="49" t="s">
        <v>57</v>
      </c>
      <c r="S10" s="51">
        <f t="shared" si="4"/>
        <v>14</v>
      </c>
      <c r="T10" s="52">
        <f t="shared" si="5"/>
        <v>0</v>
      </c>
      <c r="U10" s="52"/>
      <c r="V10" s="51">
        <f t="shared" si="6"/>
        <v>0</v>
      </c>
      <c r="W10" s="52">
        <f t="shared" si="7"/>
        <v>0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80</v>
      </c>
      <c r="C11" s="37">
        <v>179.0</v>
      </c>
      <c r="D11" s="37">
        <v>17.0</v>
      </c>
      <c r="E11" s="40">
        <f t="shared" si="2"/>
        <v>13.9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188</v>
      </c>
      <c r="O11" s="37">
        <f t="shared" si="16"/>
        <v>17</v>
      </c>
      <c r="P11" s="49" t="s">
        <v>57</v>
      </c>
      <c r="Q11" s="49" t="s">
        <v>57</v>
      </c>
      <c r="R11" s="49" t="s">
        <v>57</v>
      </c>
      <c r="S11" s="51">
        <f t="shared" si="4"/>
        <v>10</v>
      </c>
      <c r="T11" s="52">
        <f t="shared" si="5"/>
        <v>1</v>
      </c>
      <c r="U11" s="52"/>
      <c r="V11" s="51">
        <f t="shared" si="6"/>
        <v>3</v>
      </c>
      <c r="W11" s="52">
        <f t="shared" si="7"/>
        <v>-3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135</v>
      </c>
      <c r="C12" s="37">
        <v>179.0</v>
      </c>
      <c r="D12" s="37">
        <v>14.0</v>
      </c>
      <c r="E12" s="40">
        <f t="shared" si="2"/>
        <v>14.3</v>
      </c>
      <c r="F12" s="90">
        <v>1.0</v>
      </c>
      <c r="G12" s="91">
        <v>9.0</v>
      </c>
      <c r="H12" s="92">
        <v>0.0</v>
      </c>
      <c r="I12" s="91">
        <v>2.0</v>
      </c>
      <c r="J12" s="91">
        <v>4.0</v>
      </c>
      <c r="K12" s="91">
        <v>6.0</v>
      </c>
      <c r="L12" s="93">
        <v>12.0</v>
      </c>
      <c r="M12" s="91">
        <v>1.0</v>
      </c>
      <c r="N12" s="37">
        <f t="shared" ref="N12:O12" si="17">C12+L12</f>
        <v>191</v>
      </c>
      <c r="O12" s="37">
        <f t="shared" si="17"/>
        <v>15</v>
      </c>
      <c r="P12" s="49" t="s">
        <v>57</v>
      </c>
      <c r="Q12" s="49" t="s">
        <v>57</v>
      </c>
      <c r="R12" s="49" t="s">
        <v>57</v>
      </c>
      <c r="S12" s="51">
        <f t="shared" si="4"/>
        <v>10</v>
      </c>
      <c r="T12" s="52">
        <f t="shared" si="5"/>
        <v>0</v>
      </c>
      <c r="U12" s="52"/>
      <c r="V12" s="51">
        <f t="shared" si="6"/>
        <v>4</v>
      </c>
      <c r="W12" s="52">
        <f t="shared" si="7"/>
        <v>2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92</v>
      </c>
      <c r="C13" s="37">
        <v>177.0</v>
      </c>
      <c r="D13" s="37">
        <v>14.0</v>
      </c>
      <c r="E13" s="40">
        <f t="shared" si="2"/>
        <v>14.1</v>
      </c>
      <c r="F13" s="90">
        <v>1.0</v>
      </c>
      <c r="G13" s="91">
        <v>9.0</v>
      </c>
      <c r="H13" s="92">
        <v>0.0</v>
      </c>
      <c r="I13" s="91">
        <v>6.0</v>
      </c>
      <c r="J13" s="91">
        <v>4.0</v>
      </c>
      <c r="K13" s="91">
        <v>1.0</v>
      </c>
      <c r="L13" s="93">
        <v>11.0</v>
      </c>
      <c r="M13" s="91">
        <v>1.0</v>
      </c>
      <c r="N13" s="37">
        <f t="shared" ref="N13:O13" si="18">C13+L13</f>
        <v>188</v>
      </c>
      <c r="O13" s="37">
        <f t="shared" si="18"/>
        <v>15</v>
      </c>
      <c r="P13" s="49" t="s">
        <v>57</v>
      </c>
      <c r="Q13" s="49" t="s">
        <v>57</v>
      </c>
      <c r="R13" s="49" t="s">
        <v>57</v>
      </c>
      <c r="S13" s="51">
        <f t="shared" si="4"/>
        <v>10</v>
      </c>
      <c r="T13" s="52">
        <f t="shared" si="5"/>
        <v>0</v>
      </c>
      <c r="U13" s="52"/>
      <c r="V13" s="51">
        <f t="shared" si="6"/>
        <v>4</v>
      </c>
      <c r="W13" s="52">
        <f t="shared" si="7"/>
        <v>2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103</v>
      </c>
      <c r="C14" s="37">
        <v>174.0</v>
      </c>
      <c r="D14" s="37">
        <v>18.0</v>
      </c>
      <c r="E14" s="40">
        <f t="shared" si="2"/>
        <v>13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183</v>
      </c>
      <c r="O14" s="37">
        <f t="shared" si="19"/>
        <v>18</v>
      </c>
      <c r="P14" s="49" t="s">
        <v>57</v>
      </c>
      <c r="Q14" s="49" t="s">
        <v>57</v>
      </c>
      <c r="R14" s="49" t="s">
        <v>57</v>
      </c>
      <c r="S14" s="51">
        <f t="shared" si="4"/>
        <v>12</v>
      </c>
      <c r="T14" s="52">
        <f t="shared" si="5"/>
        <v>0</v>
      </c>
      <c r="U14" s="52"/>
      <c r="V14" s="51">
        <f t="shared" si="6"/>
        <v>2</v>
      </c>
      <c r="W14" s="52">
        <f t="shared" si="7"/>
        <v>-2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96</v>
      </c>
      <c r="C15" s="37">
        <v>173.0</v>
      </c>
      <c r="D15" s="37">
        <v>20.0</v>
      </c>
      <c r="E15" s="40">
        <f t="shared" si="2"/>
        <v>12.35714286</v>
      </c>
      <c r="F15" s="90">
        <v>1.0</v>
      </c>
      <c r="G15" s="91">
        <v>9.0</v>
      </c>
      <c r="H15" s="92">
        <v>0.0</v>
      </c>
      <c r="I15" s="91">
        <v>2.0</v>
      </c>
      <c r="J15" s="91">
        <v>6.0</v>
      </c>
      <c r="K15" s="91">
        <v>1.0</v>
      </c>
      <c r="L15" s="93">
        <v>9.0</v>
      </c>
      <c r="M15" s="91">
        <v>1.0</v>
      </c>
      <c r="N15" s="37">
        <f t="shared" ref="N15:O15" si="20">C15+L15</f>
        <v>182</v>
      </c>
      <c r="O15" s="37">
        <f t="shared" si="20"/>
        <v>21</v>
      </c>
      <c r="P15" s="49" t="s">
        <v>57</v>
      </c>
      <c r="Q15" s="49" t="s">
        <v>57</v>
      </c>
      <c r="R15" s="49" t="s">
        <v>57</v>
      </c>
      <c r="S15" s="51">
        <f t="shared" si="4"/>
        <v>14</v>
      </c>
      <c r="T15" s="52">
        <f t="shared" si="5"/>
        <v>0</v>
      </c>
      <c r="U15" s="52"/>
      <c r="V15" s="51">
        <f t="shared" si="6"/>
        <v>0</v>
      </c>
      <c r="W15" s="52">
        <f t="shared" si="7"/>
        <v>1</v>
      </c>
      <c r="X15" s="35">
        <f t="shared" si="12"/>
        <v>11</v>
      </c>
      <c r="Y15" s="35" t="str">
        <f t="shared" si="8"/>
        <v>Y</v>
      </c>
      <c r="Z15" s="19" t="str">
        <f t="shared" si="9"/>
        <v/>
      </c>
    </row>
    <row r="16">
      <c r="A16" s="35">
        <f t="shared" si="10"/>
        <v>12</v>
      </c>
      <c r="B16" s="36" t="s">
        <v>89</v>
      </c>
      <c r="C16" s="37">
        <v>172.0</v>
      </c>
      <c r="D16" s="37">
        <v>17.0</v>
      </c>
      <c r="E16" s="40">
        <f t="shared" si="2"/>
        <v>14.75</v>
      </c>
      <c r="F16" s="90">
        <v>3.0</v>
      </c>
      <c r="G16" s="91">
        <v>0.0</v>
      </c>
      <c r="H16" s="92">
        <v>9.0</v>
      </c>
      <c r="I16" s="91">
        <v>0.0</v>
      </c>
      <c r="J16" s="91">
        <v>0.0</v>
      </c>
      <c r="K16" s="91">
        <v>0.0</v>
      </c>
      <c r="L16" s="93">
        <v>9.0</v>
      </c>
      <c r="M16" s="91">
        <v>0.0</v>
      </c>
      <c r="N16" s="37">
        <f t="shared" ref="N16:O16" si="21">C16+L16</f>
        <v>181</v>
      </c>
      <c r="O16" s="37">
        <f t="shared" si="21"/>
        <v>17</v>
      </c>
      <c r="P16" s="49" t="s">
        <v>57</v>
      </c>
      <c r="Q16" s="49" t="s">
        <v>57</v>
      </c>
      <c r="R16" s="49" t="s">
        <v>57</v>
      </c>
      <c r="S16" s="51">
        <f t="shared" si="4"/>
        <v>8</v>
      </c>
      <c r="T16" s="52">
        <f t="shared" si="5"/>
        <v>0</v>
      </c>
      <c r="U16" s="52"/>
      <c r="V16" s="51">
        <f t="shared" si="6"/>
        <v>6</v>
      </c>
      <c r="W16" s="52">
        <f t="shared" si="7"/>
        <v>2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93</v>
      </c>
      <c r="C17" s="37">
        <v>172.0</v>
      </c>
      <c r="D17" s="37">
        <v>16.0</v>
      </c>
      <c r="E17" s="40">
        <f t="shared" si="2"/>
        <v>13.2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181</v>
      </c>
      <c r="O17" s="37">
        <f t="shared" si="22"/>
        <v>16</v>
      </c>
      <c r="P17" s="49" t="s">
        <v>57</v>
      </c>
      <c r="Q17" s="49" t="s">
        <v>57</v>
      </c>
      <c r="R17" s="49" t="s">
        <v>57</v>
      </c>
      <c r="S17" s="51">
        <f t="shared" si="4"/>
        <v>10</v>
      </c>
      <c r="T17" s="52">
        <f t="shared" si="5"/>
        <v>1</v>
      </c>
      <c r="U17" s="52"/>
      <c r="V17" s="51">
        <f t="shared" si="6"/>
        <v>3</v>
      </c>
      <c r="W17" s="52">
        <f t="shared" si="7"/>
        <v>-4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114</v>
      </c>
      <c r="C18" s="37">
        <v>169.0</v>
      </c>
      <c r="D18" s="37">
        <v>18.0</v>
      </c>
      <c r="E18" s="40">
        <f t="shared" si="2"/>
        <v>13.77777778</v>
      </c>
      <c r="F18" s="90">
        <v>2.0</v>
      </c>
      <c r="G18" s="91">
        <v>2.0</v>
      </c>
      <c r="H18" s="92">
        <v>0.0</v>
      </c>
      <c r="I18" s="91">
        <v>6.0</v>
      </c>
      <c r="J18" s="91">
        <v>0.0</v>
      </c>
      <c r="K18" s="91">
        <v>6.0</v>
      </c>
      <c r="L18" s="93">
        <v>12.0</v>
      </c>
      <c r="M18" s="91">
        <v>2.0</v>
      </c>
      <c r="N18" s="37">
        <f t="shared" ref="N18:O18" si="23">C18+L18</f>
        <v>181</v>
      </c>
      <c r="O18" s="37">
        <f t="shared" si="23"/>
        <v>20</v>
      </c>
      <c r="P18" s="49" t="s">
        <v>57</v>
      </c>
      <c r="Q18" s="49" t="s">
        <v>57</v>
      </c>
      <c r="R18" s="49" t="s">
        <v>57</v>
      </c>
      <c r="S18" s="51">
        <f t="shared" si="4"/>
        <v>9</v>
      </c>
      <c r="T18" s="52">
        <f t="shared" si="5"/>
        <v>0</v>
      </c>
      <c r="U18" s="52"/>
      <c r="V18" s="51">
        <f t="shared" si="6"/>
        <v>5</v>
      </c>
      <c r="W18" s="52">
        <f t="shared" si="7"/>
        <v>1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108</v>
      </c>
      <c r="C19" s="37">
        <v>169.0</v>
      </c>
      <c r="D19" s="37">
        <v>18.0</v>
      </c>
      <c r="E19" s="40">
        <f t="shared" si="2"/>
        <v>12.90909091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178</v>
      </c>
      <c r="O19" s="37">
        <f t="shared" si="24"/>
        <v>18</v>
      </c>
      <c r="P19" s="49" t="s">
        <v>57</v>
      </c>
      <c r="Q19" s="49" t="s">
        <v>57</v>
      </c>
      <c r="R19" s="49" t="s">
        <v>57</v>
      </c>
      <c r="S19" s="51">
        <f t="shared" si="4"/>
        <v>11</v>
      </c>
      <c r="T19" s="52">
        <f t="shared" si="5"/>
        <v>0</v>
      </c>
      <c r="U19" s="52"/>
      <c r="V19" s="51">
        <f t="shared" si="6"/>
        <v>3</v>
      </c>
      <c r="W19" s="52">
        <f t="shared" si="7"/>
        <v>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94</v>
      </c>
      <c r="C20" s="37">
        <v>169.0</v>
      </c>
      <c r="D20" s="37">
        <v>17.0</v>
      </c>
      <c r="E20" s="40">
        <f t="shared" si="2"/>
        <v>12.58333333</v>
      </c>
      <c r="F20" s="90">
        <v>1.0</v>
      </c>
      <c r="G20" s="91">
        <v>2.0</v>
      </c>
      <c r="H20" s="92">
        <v>0.0</v>
      </c>
      <c r="I20" s="91">
        <v>2.0</v>
      </c>
      <c r="J20" s="91">
        <v>6.0</v>
      </c>
      <c r="K20" s="91">
        <v>6.0</v>
      </c>
      <c r="L20" s="93">
        <v>14.0</v>
      </c>
      <c r="M20" s="91">
        <v>2.0</v>
      </c>
      <c r="N20" s="37">
        <f t="shared" ref="N20:O20" si="25">C20+L20</f>
        <v>183</v>
      </c>
      <c r="O20" s="37">
        <f t="shared" si="25"/>
        <v>19</v>
      </c>
      <c r="P20" s="49" t="s">
        <v>57</v>
      </c>
      <c r="Q20" s="49" t="s">
        <v>57</v>
      </c>
      <c r="R20" s="49" t="s">
        <v>57</v>
      </c>
      <c r="S20" s="51">
        <f t="shared" si="4"/>
        <v>12</v>
      </c>
      <c r="T20" s="52">
        <f t="shared" si="5"/>
        <v>0</v>
      </c>
      <c r="U20" s="52"/>
      <c r="V20" s="51">
        <f t="shared" si="6"/>
        <v>2</v>
      </c>
      <c r="W20" s="52">
        <f t="shared" si="7"/>
        <v>1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142</v>
      </c>
      <c r="C21" s="37">
        <v>168.0</v>
      </c>
      <c r="D21" s="37">
        <v>17.0</v>
      </c>
      <c r="E21" s="40">
        <f t="shared" si="2"/>
        <v>13.66666667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177</v>
      </c>
      <c r="O21" s="37">
        <f t="shared" si="26"/>
        <v>17</v>
      </c>
      <c r="P21" s="49" t="s">
        <v>57</v>
      </c>
      <c r="Q21" s="49" t="s">
        <v>57</v>
      </c>
      <c r="R21" s="49" t="s">
        <v>57</v>
      </c>
      <c r="S21" s="51">
        <f t="shared" si="4"/>
        <v>9</v>
      </c>
      <c r="T21" s="52">
        <f t="shared" si="5"/>
        <v>0</v>
      </c>
      <c r="U21" s="52"/>
      <c r="V21" s="51">
        <f t="shared" si="6"/>
        <v>5</v>
      </c>
      <c r="W21" s="52">
        <f t="shared" si="7"/>
        <v>1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91</v>
      </c>
      <c r="C22" s="37">
        <v>166.0</v>
      </c>
      <c r="D22" s="37">
        <v>14.0</v>
      </c>
      <c r="E22" s="40">
        <f t="shared" si="2"/>
        <v>14</v>
      </c>
      <c r="F22" s="90">
        <v>2.0</v>
      </c>
      <c r="G22" s="91">
        <v>2.0</v>
      </c>
      <c r="H22" s="92">
        <v>0.0</v>
      </c>
      <c r="I22" s="91">
        <v>6.0</v>
      </c>
      <c r="J22" s="91">
        <v>6.0</v>
      </c>
      <c r="K22" s="91">
        <v>4.0</v>
      </c>
      <c r="L22" s="93">
        <v>16.0</v>
      </c>
      <c r="M22" s="91">
        <v>2.0</v>
      </c>
      <c r="N22" s="37">
        <f t="shared" ref="N22:O22" si="27">C22+L22</f>
        <v>182</v>
      </c>
      <c r="O22" s="37">
        <f t="shared" si="27"/>
        <v>16</v>
      </c>
      <c r="P22" s="49" t="s">
        <v>57</v>
      </c>
      <c r="Q22" s="49" t="s">
        <v>57</v>
      </c>
      <c r="R22" s="49" t="s">
        <v>57</v>
      </c>
      <c r="S22" s="51">
        <f t="shared" si="4"/>
        <v>8</v>
      </c>
      <c r="T22" s="52">
        <f t="shared" si="5"/>
        <v>0</v>
      </c>
      <c r="U22" s="52"/>
      <c r="V22" s="51">
        <f t="shared" si="6"/>
        <v>6</v>
      </c>
      <c r="W22" s="52">
        <f t="shared" si="7"/>
        <v>3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95</v>
      </c>
      <c r="C23" s="37">
        <v>165.0</v>
      </c>
      <c r="D23" s="37">
        <v>17.0</v>
      </c>
      <c r="E23" s="40">
        <f t="shared" si="2"/>
        <v>12.9</v>
      </c>
      <c r="F23" s="90">
        <v>1.0</v>
      </c>
      <c r="G23" s="91">
        <v>2.0</v>
      </c>
      <c r="H23" s="92">
        <v>0.0</v>
      </c>
      <c r="I23" s="91">
        <v>2.0</v>
      </c>
      <c r="J23" s="91">
        <v>0.0</v>
      </c>
      <c r="K23" s="91">
        <v>4.0</v>
      </c>
      <c r="L23" s="93">
        <v>6.0</v>
      </c>
      <c r="M23" s="91">
        <v>0.0</v>
      </c>
      <c r="N23" s="37">
        <f t="shared" ref="N23:O23" si="28">C23+L23</f>
        <v>171</v>
      </c>
      <c r="O23" s="37">
        <f t="shared" si="28"/>
        <v>17</v>
      </c>
      <c r="P23" s="49" t="s">
        <v>57</v>
      </c>
      <c r="Q23" s="49" t="s">
        <v>57</v>
      </c>
      <c r="R23" s="49" t="s">
        <v>57</v>
      </c>
      <c r="S23" s="51">
        <f t="shared" si="4"/>
        <v>10</v>
      </c>
      <c r="T23" s="52">
        <f t="shared" si="5"/>
        <v>0</v>
      </c>
      <c r="U23" s="52"/>
      <c r="V23" s="51">
        <f t="shared" si="6"/>
        <v>4</v>
      </c>
      <c r="W23" s="52">
        <f t="shared" si="7"/>
        <v>3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132</v>
      </c>
      <c r="C24" s="37">
        <v>165.0</v>
      </c>
      <c r="D24" s="37">
        <v>15.0</v>
      </c>
      <c r="E24" s="40">
        <f t="shared" si="2"/>
        <v>13.875</v>
      </c>
      <c r="F24" s="90">
        <v>1.0</v>
      </c>
      <c r="G24" s="91">
        <v>3.0</v>
      </c>
      <c r="H24" s="92">
        <v>0.0</v>
      </c>
      <c r="I24" s="91">
        <v>6.0</v>
      </c>
      <c r="J24" s="91">
        <v>6.0</v>
      </c>
      <c r="K24" s="91">
        <v>6.0</v>
      </c>
      <c r="L24" s="93">
        <v>18.0</v>
      </c>
      <c r="M24" s="91">
        <v>3.0</v>
      </c>
      <c r="N24" s="37">
        <f t="shared" ref="N24:O24" si="29">C24+L24</f>
        <v>183</v>
      </c>
      <c r="O24" s="37">
        <f t="shared" si="29"/>
        <v>18</v>
      </c>
      <c r="P24" s="49" t="s">
        <v>57</v>
      </c>
      <c r="Q24" s="49" t="s">
        <v>57</v>
      </c>
      <c r="R24" s="49" t="s">
        <v>57</v>
      </c>
      <c r="S24" s="51">
        <f t="shared" si="4"/>
        <v>8</v>
      </c>
      <c r="T24" s="52">
        <f t="shared" si="5"/>
        <v>0</v>
      </c>
      <c r="U24" s="52"/>
      <c r="V24" s="51">
        <f t="shared" si="6"/>
        <v>6</v>
      </c>
      <c r="W24" s="52">
        <f t="shared" si="7"/>
        <v>6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99</v>
      </c>
      <c r="C25" s="37">
        <v>165.0</v>
      </c>
      <c r="D25" s="37">
        <v>15.0</v>
      </c>
      <c r="E25" s="40">
        <f t="shared" si="2"/>
        <v>12.5</v>
      </c>
      <c r="F25" s="90">
        <v>1.0</v>
      </c>
      <c r="G25" s="91">
        <v>3.0</v>
      </c>
      <c r="H25" s="92">
        <v>0.0</v>
      </c>
      <c r="I25" s="91">
        <v>2.0</v>
      </c>
      <c r="J25" s="91">
        <v>6.0</v>
      </c>
      <c r="K25" s="91">
        <v>4.0</v>
      </c>
      <c r="L25" s="93">
        <v>12.0</v>
      </c>
      <c r="M25" s="91">
        <v>1.0</v>
      </c>
      <c r="N25" s="37">
        <f t="shared" ref="N25:O25" si="30">C25+L25</f>
        <v>177</v>
      </c>
      <c r="O25" s="37">
        <f t="shared" si="30"/>
        <v>16</v>
      </c>
      <c r="P25" s="49" t="s">
        <v>57</v>
      </c>
      <c r="Q25" s="49" t="s">
        <v>57</v>
      </c>
      <c r="R25" s="49" t="s">
        <v>57</v>
      </c>
      <c r="S25" s="51">
        <f t="shared" si="4"/>
        <v>10</v>
      </c>
      <c r="T25" s="52">
        <f t="shared" si="5"/>
        <v>1</v>
      </c>
      <c r="U25" s="52"/>
      <c r="V25" s="51">
        <f t="shared" si="6"/>
        <v>3</v>
      </c>
      <c r="W25" s="52">
        <f t="shared" si="7"/>
        <v>2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128</v>
      </c>
      <c r="C26" s="37">
        <v>165.0</v>
      </c>
      <c r="D26" s="37">
        <v>14.0</v>
      </c>
      <c r="E26" s="40">
        <f t="shared" si="2"/>
        <v>12.9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174</v>
      </c>
      <c r="O26" s="37">
        <f t="shared" si="31"/>
        <v>14</v>
      </c>
      <c r="P26" s="49" t="s">
        <v>57</v>
      </c>
      <c r="Q26" s="49" t="s">
        <v>57</v>
      </c>
      <c r="R26" s="49" t="s">
        <v>57</v>
      </c>
      <c r="S26" s="51">
        <f t="shared" si="4"/>
        <v>10</v>
      </c>
      <c r="T26" s="52">
        <f t="shared" si="5"/>
        <v>0</v>
      </c>
      <c r="U26" s="52"/>
      <c r="V26" s="51">
        <f t="shared" si="6"/>
        <v>4</v>
      </c>
      <c r="W26" s="52">
        <f t="shared" si="7"/>
        <v>-9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112</v>
      </c>
      <c r="C27" s="37">
        <v>162.0</v>
      </c>
      <c r="D27" s="37">
        <v>13.0</v>
      </c>
      <c r="E27" s="40">
        <f t="shared" si="2"/>
        <v>12.6</v>
      </c>
      <c r="F27" s="90">
        <v>2.0</v>
      </c>
      <c r="G27" s="91">
        <v>3.0</v>
      </c>
      <c r="H27" s="92">
        <v>0.0</v>
      </c>
      <c r="I27" s="91">
        <v>2.0</v>
      </c>
      <c r="J27" s="91">
        <v>3.0</v>
      </c>
      <c r="K27" s="91">
        <v>6.0</v>
      </c>
      <c r="L27" s="93">
        <v>11.0</v>
      </c>
      <c r="M27" s="91">
        <v>1.0</v>
      </c>
      <c r="N27" s="37">
        <f t="shared" ref="N27:O27" si="32">C27+L27</f>
        <v>173</v>
      </c>
      <c r="O27" s="37">
        <f t="shared" si="32"/>
        <v>14</v>
      </c>
      <c r="P27" s="49" t="s">
        <v>57</v>
      </c>
      <c r="Q27" s="49" t="s">
        <v>57</v>
      </c>
      <c r="R27" s="49" t="s">
        <v>57</v>
      </c>
      <c r="S27" s="51">
        <f t="shared" si="4"/>
        <v>10</v>
      </c>
      <c r="T27" s="52">
        <f t="shared" si="5"/>
        <v>0</v>
      </c>
      <c r="U27" s="52"/>
      <c r="V27" s="51">
        <f t="shared" si="6"/>
        <v>4</v>
      </c>
      <c r="W27" s="52">
        <f t="shared" si="7"/>
        <v>-3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51</v>
      </c>
      <c r="C28" s="37">
        <v>161.0</v>
      </c>
      <c r="D28" s="37">
        <v>14.0</v>
      </c>
      <c r="E28" s="40">
        <f t="shared" si="2"/>
        <v>16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170</v>
      </c>
      <c r="O28" s="37">
        <f t="shared" si="33"/>
        <v>14</v>
      </c>
      <c r="P28" s="49" t="s">
        <v>57</v>
      </c>
      <c r="Q28" s="49" t="s">
        <v>57</v>
      </c>
      <c r="R28" s="49" t="s">
        <v>57</v>
      </c>
      <c r="S28" s="51">
        <f t="shared" si="4"/>
        <v>5</v>
      </c>
      <c r="T28" s="52">
        <f t="shared" si="5"/>
        <v>0</v>
      </c>
      <c r="U28" s="52"/>
      <c r="V28" s="51">
        <f t="shared" si="6"/>
        <v>9</v>
      </c>
      <c r="W28" s="52">
        <f t="shared" si="7"/>
        <v>-5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90</v>
      </c>
      <c r="C29" s="37">
        <v>160.0</v>
      </c>
      <c r="D29" s="37">
        <v>12.0</v>
      </c>
      <c r="E29" s="40">
        <f t="shared" si="2"/>
        <v>14.66666667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169</v>
      </c>
      <c r="O29" s="37">
        <f t="shared" si="34"/>
        <v>12</v>
      </c>
      <c r="P29" s="49" t="s">
        <v>57</v>
      </c>
      <c r="Q29" s="49" t="s">
        <v>57</v>
      </c>
      <c r="R29" s="49" t="s">
        <v>57</v>
      </c>
      <c r="S29" s="51">
        <f t="shared" si="4"/>
        <v>6</v>
      </c>
      <c r="T29" s="52">
        <f t="shared" si="5"/>
        <v>0</v>
      </c>
      <c r="U29" s="52"/>
      <c r="V29" s="51">
        <f t="shared" si="6"/>
        <v>8</v>
      </c>
      <c r="W29" s="52">
        <f t="shared" si="7"/>
        <v>9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126</v>
      </c>
      <c r="C30" s="37">
        <v>159.0</v>
      </c>
      <c r="D30" s="37">
        <v>15.0</v>
      </c>
      <c r="E30" s="40">
        <f t="shared" si="2"/>
        <v>12.3</v>
      </c>
      <c r="F30" s="90">
        <v>1.0</v>
      </c>
      <c r="G30" s="91">
        <v>3.0</v>
      </c>
      <c r="H30" s="92">
        <v>0.0</v>
      </c>
      <c r="I30" s="91">
        <v>6.0</v>
      </c>
      <c r="J30" s="91">
        <v>3.0</v>
      </c>
      <c r="K30" s="91">
        <v>4.0</v>
      </c>
      <c r="L30" s="93">
        <v>13.0</v>
      </c>
      <c r="M30" s="91">
        <v>1.0</v>
      </c>
      <c r="N30" s="37">
        <f t="shared" ref="N30:O30" si="35">C30+L30</f>
        <v>172</v>
      </c>
      <c r="O30" s="37">
        <f t="shared" si="35"/>
        <v>16</v>
      </c>
      <c r="P30" s="49" t="s">
        <v>57</v>
      </c>
      <c r="Q30" s="49" t="s">
        <v>57</v>
      </c>
      <c r="R30" s="49" t="s">
        <v>57</v>
      </c>
      <c r="S30" s="51">
        <f t="shared" si="4"/>
        <v>10</v>
      </c>
      <c r="T30" s="52">
        <f t="shared" si="5"/>
        <v>0</v>
      </c>
      <c r="U30" s="52"/>
      <c r="V30" s="51">
        <f t="shared" si="6"/>
        <v>4</v>
      </c>
      <c r="W30" s="52">
        <f t="shared" si="7"/>
        <v>-1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143</v>
      </c>
      <c r="C31" s="37">
        <v>159.0</v>
      </c>
      <c r="D31" s="37">
        <v>14.0</v>
      </c>
      <c r="E31" s="40">
        <f t="shared" si="2"/>
        <v>13.125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168</v>
      </c>
      <c r="O31" s="37">
        <f t="shared" si="36"/>
        <v>14</v>
      </c>
      <c r="P31" s="49" t="s">
        <v>57</v>
      </c>
      <c r="Q31" s="49" t="s">
        <v>57</v>
      </c>
      <c r="R31" s="49" t="s">
        <v>57</v>
      </c>
      <c r="S31" s="51">
        <f t="shared" si="4"/>
        <v>8</v>
      </c>
      <c r="T31" s="52">
        <f t="shared" si="5"/>
        <v>0</v>
      </c>
      <c r="U31" s="52"/>
      <c r="V31" s="51">
        <f t="shared" si="6"/>
        <v>6</v>
      </c>
      <c r="W31" s="52">
        <f t="shared" si="7"/>
        <v>5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97</v>
      </c>
      <c r="C32" s="37">
        <v>159.0</v>
      </c>
      <c r="D32" s="37">
        <v>10.0</v>
      </c>
      <c r="E32" s="40">
        <f t="shared" si="2"/>
        <v>13.71428571</v>
      </c>
      <c r="F32" s="90">
        <v>1.0</v>
      </c>
      <c r="G32" s="91">
        <v>4.0</v>
      </c>
      <c r="H32" s="92">
        <v>0.0</v>
      </c>
      <c r="I32" s="91">
        <v>3.0</v>
      </c>
      <c r="J32" s="91">
        <v>1.0</v>
      </c>
      <c r="K32" s="91">
        <v>6.0</v>
      </c>
      <c r="L32" s="93">
        <v>10.0</v>
      </c>
      <c r="M32" s="91">
        <v>1.0</v>
      </c>
      <c r="N32" s="37">
        <f t="shared" ref="N32:O32" si="37">C32+L32</f>
        <v>169</v>
      </c>
      <c r="O32" s="37">
        <f t="shared" si="37"/>
        <v>11</v>
      </c>
      <c r="P32" s="49" t="s">
        <v>57</v>
      </c>
      <c r="Q32" s="49" t="s">
        <v>57</v>
      </c>
      <c r="R32" s="49" t="s">
        <v>57</v>
      </c>
      <c r="S32" s="51">
        <f t="shared" si="4"/>
        <v>7</v>
      </c>
      <c r="T32" s="52">
        <f t="shared" si="5"/>
        <v>0</v>
      </c>
      <c r="U32" s="52"/>
      <c r="V32" s="51">
        <f t="shared" si="6"/>
        <v>7</v>
      </c>
      <c r="W32" s="52">
        <f t="shared" si="7"/>
        <v>7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117</v>
      </c>
      <c r="C33" s="37">
        <v>158.0</v>
      </c>
      <c r="D33" s="37">
        <v>12.0</v>
      </c>
      <c r="E33" s="40">
        <f t="shared" si="2"/>
        <v>11.8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167</v>
      </c>
      <c r="O33" s="37">
        <f t="shared" si="38"/>
        <v>12</v>
      </c>
      <c r="P33" s="49" t="s">
        <v>57</v>
      </c>
      <c r="Q33" s="49" t="s">
        <v>57</v>
      </c>
      <c r="R33" s="49" t="s">
        <v>57</v>
      </c>
      <c r="S33" s="51">
        <f t="shared" si="4"/>
        <v>10</v>
      </c>
      <c r="T33" s="52">
        <f t="shared" si="5"/>
        <v>1</v>
      </c>
      <c r="U33" s="52"/>
      <c r="V33" s="51">
        <f t="shared" si="6"/>
        <v>3</v>
      </c>
      <c r="W33" s="52">
        <f t="shared" si="7"/>
        <v>1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59</v>
      </c>
      <c r="C34" s="37">
        <v>157.0</v>
      </c>
      <c r="D34" s="37">
        <v>12.0</v>
      </c>
      <c r="E34" s="40">
        <f t="shared" si="2"/>
        <v>11.38461538</v>
      </c>
      <c r="F34" s="90">
        <v>1.0</v>
      </c>
      <c r="G34" s="91">
        <v>4.0</v>
      </c>
      <c r="H34" s="92">
        <v>0.0</v>
      </c>
      <c r="I34" s="91">
        <v>6.0</v>
      </c>
      <c r="J34" s="91">
        <v>1.0</v>
      </c>
      <c r="K34" s="91">
        <v>3.0</v>
      </c>
      <c r="L34" s="93">
        <v>10.0</v>
      </c>
      <c r="M34" s="91">
        <v>1.0</v>
      </c>
      <c r="N34" s="37">
        <f t="shared" ref="N34:O34" si="39">C34+L34</f>
        <v>167</v>
      </c>
      <c r="O34" s="37">
        <f t="shared" si="39"/>
        <v>13</v>
      </c>
      <c r="P34" s="49" t="s">
        <v>57</v>
      </c>
      <c r="Q34" s="49" t="s">
        <v>57</v>
      </c>
      <c r="R34" s="49" t="s">
        <v>57</v>
      </c>
      <c r="S34" s="51">
        <f t="shared" si="4"/>
        <v>13</v>
      </c>
      <c r="T34" s="52">
        <f t="shared" si="5"/>
        <v>0</v>
      </c>
      <c r="U34" s="52"/>
      <c r="V34" s="51">
        <f t="shared" si="6"/>
        <v>1</v>
      </c>
      <c r="W34" s="52">
        <f t="shared" si="7"/>
        <v>8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120</v>
      </c>
      <c r="C35" s="37">
        <v>155.0</v>
      </c>
      <c r="D35" s="37">
        <v>11.0</v>
      </c>
      <c r="E35" s="40">
        <f t="shared" si="2"/>
        <v>13.83333333</v>
      </c>
      <c r="F35" s="90">
        <v>1.0</v>
      </c>
      <c r="G35" s="91">
        <v>4.0</v>
      </c>
      <c r="H35" s="92">
        <v>0.0</v>
      </c>
      <c r="I35" s="91">
        <v>6.0</v>
      </c>
      <c r="J35" s="91">
        <v>6.0</v>
      </c>
      <c r="K35" s="91">
        <v>6.0</v>
      </c>
      <c r="L35" s="93">
        <v>18.0</v>
      </c>
      <c r="M35" s="91">
        <v>3.0</v>
      </c>
      <c r="N35" s="37">
        <f t="shared" ref="N35:O35" si="40">C35+L35</f>
        <v>173</v>
      </c>
      <c r="O35" s="37">
        <f t="shared" si="40"/>
        <v>14</v>
      </c>
      <c r="P35" s="49" t="s">
        <v>57</v>
      </c>
      <c r="Q35" s="49" t="s">
        <v>57</v>
      </c>
      <c r="R35" s="49" t="s">
        <v>57</v>
      </c>
      <c r="S35" s="51">
        <f t="shared" si="4"/>
        <v>6</v>
      </c>
      <c r="T35" s="52">
        <f t="shared" si="5"/>
        <v>0</v>
      </c>
      <c r="U35" s="52"/>
      <c r="V35" s="51">
        <f t="shared" si="6"/>
        <v>8</v>
      </c>
      <c r="W35" s="52">
        <f t="shared" si="7"/>
        <v>-4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107</v>
      </c>
      <c r="C36" s="37">
        <v>154.0</v>
      </c>
      <c r="D36" s="37">
        <v>14.0</v>
      </c>
      <c r="E36" s="40">
        <f t="shared" si="2"/>
        <v>12.5</v>
      </c>
      <c r="F36" s="90">
        <v>1.0</v>
      </c>
      <c r="G36" s="91">
        <v>4.0</v>
      </c>
      <c r="H36" s="92">
        <v>0.0</v>
      </c>
      <c r="I36" s="91">
        <v>3.0</v>
      </c>
      <c r="J36" s="91">
        <v>6.0</v>
      </c>
      <c r="K36" s="91">
        <v>3.0</v>
      </c>
      <c r="L36" s="93">
        <v>12.0</v>
      </c>
      <c r="M36" s="91">
        <v>1.0</v>
      </c>
      <c r="N36" s="37">
        <f t="shared" ref="N36:O36" si="41">C36+L36</f>
        <v>166</v>
      </c>
      <c r="O36" s="37">
        <f t="shared" si="41"/>
        <v>15</v>
      </c>
      <c r="P36" s="49" t="s">
        <v>57</v>
      </c>
      <c r="Q36" s="49" t="s">
        <v>57</v>
      </c>
      <c r="R36" s="49" t="s">
        <v>57</v>
      </c>
      <c r="S36" s="51">
        <f t="shared" si="4"/>
        <v>8</v>
      </c>
      <c r="T36" s="52">
        <f t="shared" si="5"/>
        <v>0</v>
      </c>
      <c r="U36" s="52"/>
      <c r="V36" s="51">
        <f t="shared" si="6"/>
        <v>6</v>
      </c>
      <c r="W36" s="52">
        <f t="shared" si="7"/>
        <v>11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104</v>
      </c>
      <c r="C37" s="37">
        <v>154.0</v>
      </c>
      <c r="D37" s="37">
        <v>13.0</v>
      </c>
      <c r="E37" s="40">
        <f t="shared" si="2"/>
        <v>12.5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163</v>
      </c>
      <c r="O37" s="37">
        <f t="shared" si="42"/>
        <v>13</v>
      </c>
      <c r="P37" s="49" t="s">
        <v>57</v>
      </c>
      <c r="Q37" s="49" t="s">
        <v>57</v>
      </c>
      <c r="R37" s="49" t="s">
        <v>57</v>
      </c>
      <c r="S37" s="51">
        <f t="shared" si="4"/>
        <v>8</v>
      </c>
      <c r="T37" s="52">
        <f t="shared" si="5"/>
        <v>0</v>
      </c>
      <c r="U37" s="52"/>
      <c r="V37" s="51">
        <f t="shared" si="6"/>
        <v>6</v>
      </c>
      <c r="W37" s="52">
        <f t="shared" si="7"/>
        <v>-5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64</v>
      </c>
      <c r="C38" s="37">
        <v>154.0</v>
      </c>
      <c r="D38" s="37">
        <v>13.0</v>
      </c>
      <c r="E38" s="40">
        <f t="shared" si="2"/>
        <v>11.15384615</v>
      </c>
      <c r="F38" s="90">
        <v>1.0</v>
      </c>
      <c r="G38" s="91">
        <v>10.0</v>
      </c>
      <c r="H38" s="92">
        <v>0.0</v>
      </c>
      <c r="I38" s="91">
        <v>4.0</v>
      </c>
      <c r="J38" s="91">
        <v>6.0</v>
      </c>
      <c r="K38" s="91">
        <v>6.0</v>
      </c>
      <c r="L38" s="93">
        <v>16.0</v>
      </c>
      <c r="M38" s="91">
        <v>1.0</v>
      </c>
      <c r="N38" s="37">
        <f t="shared" ref="N38:O38" si="43">C38+L38</f>
        <v>170</v>
      </c>
      <c r="O38" s="37">
        <f t="shared" si="43"/>
        <v>14</v>
      </c>
      <c r="P38" s="49" t="s">
        <v>57</v>
      </c>
      <c r="Q38" s="49" t="s">
        <v>57</v>
      </c>
      <c r="R38" s="49" t="s">
        <v>57</v>
      </c>
      <c r="S38" s="51">
        <f t="shared" si="4"/>
        <v>13</v>
      </c>
      <c r="T38" s="52">
        <f t="shared" si="5"/>
        <v>0</v>
      </c>
      <c r="U38" s="52"/>
      <c r="V38" s="51">
        <f t="shared" si="6"/>
        <v>1</v>
      </c>
      <c r="W38" s="52">
        <f t="shared" si="7"/>
        <v>-5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137</v>
      </c>
      <c r="C39" s="37">
        <v>153.0</v>
      </c>
      <c r="D39" s="37">
        <v>14.0</v>
      </c>
      <c r="E39" s="40">
        <f t="shared" si="2"/>
        <v>11.45454545</v>
      </c>
      <c r="F39" s="90">
        <v>1.0</v>
      </c>
      <c r="G39" s="91">
        <v>10.0</v>
      </c>
      <c r="H39" s="92">
        <v>0.0</v>
      </c>
      <c r="I39" s="91">
        <v>6.0</v>
      </c>
      <c r="J39" s="91">
        <v>3.0</v>
      </c>
      <c r="K39" s="91">
        <v>6.0</v>
      </c>
      <c r="L39" s="93">
        <v>15.0</v>
      </c>
      <c r="M39" s="91">
        <v>1.0</v>
      </c>
      <c r="N39" s="37">
        <f t="shared" ref="N39:O39" si="44">C39+L39</f>
        <v>168</v>
      </c>
      <c r="O39" s="37">
        <f t="shared" si="44"/>
        <v>15</v>
      </c>
      <c r="P39" s="49" t="s">
        <v>57</v>
      </c>
      <c r="Q39" s="49" t="s">
        <v>57</v>
      </c>
      <c r="R39" s="49" t="s">
        <v>57</v>
      </c>
      <c r="S39" s="51">
        <f t="shared" si="4"/>
        <v>11</v>
      </c>
      <c r="T39" s="52">
        <f t="shared" si="5"/>
        <v>0</v>
      </c>
      <c r="U39" s="52"/>
      <c r="V39" s="51">
        <f t="shared" si="6"/>
        <v>3</v>
      </c>
      <c r="W39" s="52">
        <f t="shared" si="7"/>
        <v>-11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130</v>
      </c>
      <c r="C40" s="37">
        <v>153.0</v>
      </c>
      <c r="D40" s="37">
        <v>14.0</v>
      </c>
      <c r="E40" s="40">
        <f t="shared" si="2"/>
        <v>10.92857143</v>
      </c>
      <c r="F40" s="90">
        <v>1.0</v>
      </c>
      <c r="G40" s="91">
        <v>10.0</v>
      </c>
      <c r="H40" s="92">
        <v>0.0</v>
      </c>
      <c r="I40" s="91">
        <v>6.0</v>
      </c>
      <c r="J40" s="91">
        <v>6.0</v>
      </c>
      <c r="K40" s="91">
        <v>7.0</v>
      </c>
      <c r="L40" s="93">
        <v>19.0</v>
      </c>
      <c r="M40" s="91">
        <v>3.0</v>
      </c>
      <c r="N40" s="37">
        <f t="shared" ref="N40:O40" si="45">C40+L40</f>
        <v>172</v>
      </c>
      <c r="O40" s="37">
        <f t="shared" si="45"/>
        <v>17</v>
      </c>
      <c r="P40" s="49" t="s">
        <v>57</v>
      </c>
      <c r="Q40" s="49" t="s">
        <v>57</v>
      </c>
      <c r="R40" s="49" t="s">
        <v>57</v>
      </c>
      <c r="S40" s="51">
        <f t="shared" si="4"/>
        <v>14</v>
      </c>
      <c r="T40" s="52">
        <f t="shared" si="5"/>
        <v>0</v>
      </c>
      <c r="U40" s="52"/>
      <c r="V40" s="51">
        <f t="shared" si="6"/>
        <v>0</v>
      </c>
      <c r="W40" s="52">
        <f t="shared" si="7"/>
        <v>-5</v>
      </c>
      <c r="X40" s="35">
        <f t="shared" si="12"/>
        <v>36</v>
      </c>
      <c r="Y40" s="35" t="str">
        <f t="shared" si="8"/>
        <v>Y</v>
      </c>
      <c r="Z40" s="19" t="str">
        <f t="shared" si="9"/>
        <v/>
      </c>
    </row>
    <row r="41">
      <c r="A41" s="35">
        <f t="shared" si="10"/>
        <v>37</v>
      </c>
      <c r="B41" s="36" t="s">
        <v>101</v>
      </c>
      <c r="C41" s="37">
        <v>153.0</v>
      </c>
      <c r="D41" s="37">
        <v>9.0</v>
      </c>
      <c r="E41" s="40">
        <f t="shared" si="2"/>
        <v>11.875</v>
      </c>
      <c r="F41" s="90">
        <v>1.0</v>
      </c>
      <c r="G41" s="91">
        <v>10.0</v>
      </c>
      <c r="H41" s="92">
        <v>0.0</v>
      </c>
      <c r="I41" s="91">
        <v>4.0</v>
      </c>
      <c r="J41" s="91">
        <v>3.0</v>
      </c>
      <c r="K41" s="91">
        <v>7.0</v>
      </c>
      <c r="L41" s="93">
        <v>14.0</v>
      </c>
      <c r="M41" s="91">
        <v>1.0</v>
      </c>
      <c r="N41" s="37">
        <f t="shared" ref="N41:O41" si="46">C41+L41</f>
        <v>167</v>
      </c>
      <c r="O41" s="37">
        <f t="shared" si="46"/>
        <v>10</v>
      </c>
      <c r="P41" s="49" t="s">
        <v>57</v>
      </c>
      <c r="Q41" s="49" t="s">
        <v>57</v>
      </c>
      <c r="R41" s="49" t="s">
        <v>57</v>
      </c>
      <c r="S41" s="51">
        <f t="shared" si="4"/>
        <v>8</v>
      </c>
      <c r="T41" s="52">
        <f t="shared" si="5"/>
        <v>1</v>
      </c>
      <c r="U41" s="52"/>
      <c r="V41" s="51">
        <f t="shared" si="6"/>
        <v>5</v>
      </c>
      <c r="W41" s="52">
        <f t="shared" si="7"/>
        <v>3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109</v>
      </c>
      <c r="C42" s="37">
        <v>152.0</v>
      </c>
      <c r="D42" s="37">
        <v>12.0</v>
      </c>
      <c r="E42" s="40">
        <f t="shared" si="2"/>
        <v>11.6</v>
      </c>
      <c r="F42" s="90">
        <v>1.0</v>
      </c>
      <c r="G42" s="91">
        <v>5.0</v>
      </c>
      <c r="H42" s="92">
        <v>0.0</v>
      </c>
      <c r="I42" s="91">
        <v>6.0</v>
      </c>
      <c r="J42" s="91">
        <v>6.0</v>
      </c>
      <c r="K42" s="91">
        <v>6.0</v>
      </c>
      <c r="L42" s="93">
        <v>18.0</v>
      </c>
      <c r="M42" s="91">
        <v>3.0</v>
      </c>
      <c r="N42" s="37">
        <f t="shared" ref="N42:O42" si="47">C42+L42</f>
        <v>170</v>
      </c>
      <c r="O42" s="37">
        <f t="shared" si="47"/>
        <v>15</v>
      </c>
      <c r="P42" s="49" t="s">
        <v>57</v>
      </c>
      <c r="Q42" s="49" t="s">
        <v>57</v>
      </c>
      <c r="R42" s="49" t="s">
        <v>57</v>
      </c>
      <c r="S42" s="51">
        <f t="shared" si="4"/>
        <v>10</v>
      </c>
      <c r="T42" s="52">
        <f t="shared" si="5"/>
        <v>0</v>
      </c>
      <c r="U42" s="52"/>
      <c r="V42" s="51">
        <f t="shared" si="6"/>
        <v>4</v>
      </c>
      <c r="W42" s="52">
        <f t="shared" si="7"/>
        <v>-5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115</v>
      </c>
      <c r="C43" s="37">
        <v>151.0</v>
      </c>
      <c r="D43" s="37">
        <v>12.0</v>
      </c>
      <c r="E43" s="40">
        <f t="shared" si="2"/>
        <v>11.27272727</v>
      </c>
      <c r="F43" s="90">
        <v>1.0</v>
      </c>
      <c r="G43" s="91">
        <v>5.0</v>
      </c>
      <c r="H43" s="92">
        <v>0.0</v>
      </c>
      <c r="I43" s="91">
        <v>6.0</v>
      </c>
      <c r="J43" s="91">
        <v>4.0</v>
      </c>
      <c r="K43" s="91">
        <v>3.0</v>
      </c>
      <c r="L43" s="93">
        <v>13.0</v>
      </c>
      <c r="M43" s="91">
        <v>1.0</v>
      </c>
      <c r="N43" s="37">
        <f t="shared" ref="N43:O43" si="48">C43+L43</f>
        <v>164</v>
      </c>
      <c r="O43" s="37">
        <f t="shared" si="48"/>
        <v>13</v>
      </c>
      <c r="P43" s="49" t="s">
        <v>57</v>
      </c>
      <c r="Q43" s="49" t="s">
        <v>57</v>
      </c>
      <c r="R43" s="49" t="s">
        <v>57</v>
      </c>
      <c r="S43" s="51">
        <f t="shared" si="4"/>
        <v>11</v>
      </c>
      <c r="T43" s="52">
        <f t="shared" si="5"/>
        <v>0</v>
      </c>
      <c r="U43" s="52"/>
      <c r="V43" s="51">
        <f t="shared" si="6"/>
        <v>3</v>
      </c>
      <c r="W43" s="52">
        <f t="shared" si="7"/>
        <v>-3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118</v>
      </c>
      <c r="C44" s="37">
        <v>151.0</v>
      </c>
      <c r="D44" s="37">
        <v>10.0</v>
      </c>
      <c r="E44" s="40">
        <f t="shared" si="2"/>
        <v>11.08333333</v>
      </c>
      <c r="F44" s="90">
        <v>1.0</v>
      </c>
      <c r="G44" s="91">
        <v>5.0</v>
      </c>
      <c r="H44" s="92">
        <v>0.0</v>
      </c>
      <c r="I44" s="91">
        <v>2.0</v>
      </c>
      <c r="J44" s="91">
        <v>6.0</v>
      </c>
      <c r="K44" s="91">
        <v>3.0</v>
      </c>
      <c r="L44" s="93">
        <v>11.0</v>
      </c>
      <c r="M44" s="91">
        <v>1.0</v>
      </c>
      <c r="N44" s="37">
        <f t="shared" ref="N44:O44" si="49">C44+L44</f>
        <v>162</v>
      </c>
      <c r="O44" s="37">
        <f t="shared" si="49"/>
        <v>11</v>
      </c>
      <c r="P44" s="49" t="s">
        <v>57</v>
      </c>
      <c r="Q44" s="49" t="s">
        <v>57</v>
      </c>
      <c r="R44" s="49" t="s">
        <v>57</v>
      </c>
      <c r="S44" s="51">
        <f t="shared" si="4"/>
        <v>12</v>
      </c>
      <c r="T44" s="52">
        <f t="shared" si="5"/>
        <v>0</v>
      </c>
      <c r="U44" s="52"/>
      <c r="V44" s="51">
        <f t="shared" si="6"/>
        <v>2</v>
      </c>
      <c r="W44" s="52">
        <f t="shared" si="7"/>
        <v>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134</v>
      </c>
      <c r="C45" s="37">
        <v>150.0</v>
      </c>
      <c r="D45" s="37">
        <v>13.0</v>
      </c>
      <c r="E45" s="40">
        <f t="shared" si="2"/>
        <v>11.18181818</v>
      </c>
      <c r="F45" s="90">
        <v>1.0</v>
      </c>
      <c r="G45" s="91">
        <v>5.0</v>
      </c>
      <c r="H45" s="92">
        <v>0.0</v>
      </c>
      <c r="I45" s="91">
        <v>2.0</v>
      </c>
      <c r="J45" s="91">
        <v>4.0</v>
      </c>
      <c r="K45" s="91">
        <v>6.0</v>
      </c>
      <c r="L45" s="93">
        <v>12.0</v>
      </c>
      <c r="M45" s="91">
        <v>1.0</v>
      </c>
      <c r="N45" s="37">
        <f t="shared" ref="N45:O45" si="50">C45+L45</f>
        <v>162</v>
      </c>
      <c r="O45" s="37">
        <f t="shared" si="50"/>
        <v>14</v>
      </c>
      <c r="P45" s="49" t="s">
        <v>57</v>
      </c>
      <c r="Q45" s="49" t="s">
        <v>57</v>
      </c>
      <c r="R45" s="49" t="s">
        <v>57</v>
      </c>
      <c r="S45" s="51">
        <f t="shared" si="4"/>
        <v>11</v>
      </c>
      <c r="T45" s="52">
        <f t="shared" si="5"/>
        <v>0</v>
      </c>
      <c r="U45" s="52"/>
      <c r="V45" s="51">
        <f t="shared" si="6"/>
        <v>3</v>
      </c>
      <c r="W45" s="52">
        <f t="shared" si="7"/>
        <v>4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113</v>
      </c>
      <c r="C46" s="37">
        <v>150.0</v>
      </c>
      <c r="D46" s="37">
        <v>12.0</v>
      </c>
      <c r="E46" s="40">
        <f t="shared" si="2"/>
        <v>12.42857143</v>
      </c>
      <c r="F46" s="90">
        <v>1.0</v>
      </c>
      <c r="G46" s="91">
        <v>6.0</v>
      </c>
      <c r="H46" s="92">
        <v>0.0</v>
      </c>
      <c r="I46" s="91">
        <v>7.0</v>
      </c>
      <c r="J46" s="91">
        <v>7.0</v>
      </c>
      <c r="K46" s="91">
        <v>6.0</v>
      </c>
      <c r="L46" s="93">
        <v>20.0</v>
      </c>
      <c r="M46" s="91">
        <v>3.0</v>
      </c>
      <c r="N46" s="37">
        <f t="shared" ref="N46:O46" si="51">C46+L46</f>
        <v>170</v>
      </c>
      <c r="O46" s="37">
        <f t="shared" si="51"/>
        <v>15</v>
      </c>
      <c r="P46" s="49" t="s">
        <v>57</v>
      </c>
      <c r="Q46" s="49" t="s">
        <v>57</v>
      </c>
      <c r="R46" s="49" t="s">
        <v>57</v>
      </c>
      <c r="S46" s="51">
        <f t="shared" si="4"/>
        <v>7</v>
      </c>
      <c r="T46" s="52">
        <f t="shared" si="5"/>
        <v>0</v>
      </c>
      <c r="U46" s="52"/>
      <c r="V46" s="51">
        <f t="shared" si="6"/>
        <v>7</v>
      </c>
      <c r="W46" s="52">
        <f t="shared" si="7"/>
        <v>-5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138</v>
      </c>
      <c r="C47" s="37">
        <v>149.0</v>
      </c>
      <c r="D47" s="37">
        <v>13.0</v>
      </c>
      <c r="E47" s="40">
        <f t="shared" si="2"/>
        <v>11.3</v>
      </c>
      <c r="F47" s="90">
        <v>1.0</v>
      </c>
      <c r="G47" s="91">
        <v>6.0</v>
      </c>
      <c r="H47" s="92">
        <v>0.0</v>
      </c>
      <c r="I47" s="91">
        <v>5.0</v>
      </c>
      <c r="J47" s="91">
        <v>6.0</v>
      </c>
      <c r="K47" s="91">
        <v>6.0</v>
      </c>
      <c r="L47" s="93">
        <v>17.0</v>
      </c>
      <c r="M47" s="91">
        <v>1.0</v>
      </c>
      <c r="N47" s="37">
        <f t="shared" ref="N47:O47" si="52">C47+L47</f>
        <v>166</v>
      </c>
      <c r="O47" s="37">
        <f t="shared" si="52"/>
        <v>14</v>
      </c>
      <c r="P47" s="49" t="s">
        <v>57</v>
      </c>
      <c r="Q47" s="49" t="s">
        <v>57</v>
      </c>
      <c r="R47" s="49" t="s">
        <v>57</v>
      </c>
      <c r="S47" s="51">
        <f t="shared" si="4"/>
        <v>10</v>
      </c>
      <c r="T47" s="52">
        <f t="shared" si="5"/>
        <v>0</v>
      </c>
      <c r="U47" s="52"/>
      <c r="V47" s="51">
        <f t="shared" si="6"/>
        <v>4</v>
      </c>
      <c r="W47" s="52">
        <f t="shared" si="7"/>
        <v>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139</v>
      </c>
      <c r="C48" s="37">
        <v>148.0</v>
      </c>
      <c r="D48" s="37">
        <v>13.0</v>
      </c>
      <c r="E48" s="40">
        <f t="shared" si="2"/>
        <v>11</v>
      </c>
      <c r="F48" s="90">
        <v>1.0</v>
      </c>
      <c r="G48" s="91">
        <v>6.0</v>
      </c>
      <c r="H48" s="92">
        <v>0.0</v>
      </c>
      <c r="I48" s="91">
        <v>5.0</v>
      </c>
      <c r="J48" s="91">
        <v>7.0</v>
      </c>
      <c r="K48" s="91">
        <v>3.0</v>
      </c>
      <c r="L48" s="93">
        <v>15.0</v>
      </c>
      <c r="M48" s="91">
        <v>1.0</v>
      </c>
      <c r="N48" s="37">
        <f t="shared" ref="N48:O48" si="53">C48+L48</f>
        <v>163</v>
      </c>
      <c r="O48" s="37">
        <f t="shared" si="53"/>
        <v>14</v>
      </c>
      <c r="P48" s="49" t="s">
        <v>57</v>
      </c>
      <c r="Q48" s="49" t="s">
        <v>57</v>
      </c>
      <c r="R48" s="49" t="s">
        <v>57</v>
      </c>
      <c r="S48" s="51">
        <f t="shared" si="4"/>
        <v>11</v>
      </c>
      <c r="T48" s="52">
        <f t="shared" si="5"/>
        <v>0</v>
      </c>
      <c r="U48" s="52"/>
      <c r="V48" s="51">
        <f t="shared" si="6"/>
        <v>3</v>
      </c>
      <c r="W48" s="52">
        <f t="shared" si="7"/>
        <v>-5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110</v>
      </c>
      <c r="C49" s="37">
        <v>147.0</v>
      </c>
      <c r="D49" s="37">
        <v>15.0</v>
      </c>
      <c r="E49" s="40">
        <f t="shared" si="2"/>
        <v>10.5</v>
      </c>
      <c r="F49" s="90">
        <v>1.0</v>
      </c>
      <c r="G49" s="91">
        <v>6.0</v>
      </c>
      <c r="H49" s="92">
        <v>0.0</v>
      </c>
      <c r="I49" s="91">
        <v>7.0</v>
      </c>
      <c r="J49" s="91">
        <v>6.0</v>
      </c>
      <c r="K49" s="91">
        <v>3.0</v>
      </c>
      <c r="L49" s="93">
        <v>16.0</v>
      </c>
      <c r="M49" s="91">
        <v>1.0</v>
      </c>
      <c r="N49" s="37">
        <f t="shared" ref="N49:O49" si="54">C49+L49</f>
        <v>163</v>
      </c>
      <c r="O49" s="37">
        <f t="shared" si="54"/>
        <v>16</v>
      </c>
      <c r="P49" s="49" t="s">
        <v>57</v>
      </c>
      <c r="Q49" s="49" t="s">
        <v>57</v>
      </c>
      <c r="R49" s="49" t="s">
        <v>57</v>
      </c>
      <c r="S49" s="51">
        <f t="shared" si="4"/>
        <v>14</v>
      </c>
      <c r="T49" s="52">
        <f t="shared" si="5"/>
        <v>0</v>
      </c>
      <c r="U49" s="52"/>
      <c r="V49" s="51">
        <f t="shared" si="6"/>
        <v>0</v>
      </c>
      <c r="W49" s="52">
        <f t="shared" si="7"/>
        <v>2</v>
      </c>
      <c r="X49" s="35">
        <f t="shared" si="12"/>
        <v>45</v>
      </c>
      <c r="Y49" s="35" t="str">
        <f t="shared" si="8"/>
        <v>Y</v>
      </c>
      <c r="Z49" s="19" t="str">
        <f t="shared" si="9"/>
        <v/>
      </c>
    </row>
    <row r="50">
      <c r="A50" s="35">
        <f t="shared" si="10"/>
        <v>46</v>
      </c>
      <c r="B50" s="36" t="s">
        <v>76</v>
      </c>
      <c r="C50" s="37">
        <v>146.0</v>
      </c>
      <c r="D50" s="37">
        <v>8.0</v>
      </c>
      <c r="E50" s="40">
        <f t="shared" si="2"/>
        <v>11.66666667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155</v>
      </c>
      <c r="O50" s="37">
        <f t="shared" si="55"/>
        <v>8</v>
      </c>
      <c r="P50" s="49" t="s">
        <v>57</v>
      </c>
      <c r="Q50" s="49" t="s">
        <v>57</v>
      </c>
      <c r="R50" s="49" t="s">
        <v>57</v>
      </c>
      <c r="S50" s="51">
        <f t="shared" si="4"/>
        <v>6</v>
      </c>
      <c r="T50" s="52">
        <f t="shared" si="5"/>
        <v>1</v>
      </c>
      <c r="U50" s="52"/>
      <c r="V50" s="51">
        <f t="shared" si="6"/>
        <v>7</v>
      </c>
      <c r="W50" s="52">
        <f t="shared" si="7"/>
        <v>-4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140</v>
      </c>
      <c r="C51" s="37">
        <v>146.0</v>
      </c>
      <c r="D51" s="37">
        <v>8.0</v>
      </c>
      <c r="E51" s="40">
        <f t="shared" si="2"/>
        <v>11.22222222</v>
      </c>
      <c r="F51" s="90">
        <v>1.0</v>
      </c>
      <c r="G51" s="91">
        <v>7.0</v>
      </c>
      <c r="H51" s="92">
        <v>0.0</v>
      </c>
      <c r="I51" s="91">
        <v>1.0</v>
      </c>
      <c r="J51" s="91">
        <v>6.0</v>
      </c>
      <c r="K51" s="91">
        <v>1.0</v>
      </c>
      <c r="L51" s="93">
        <v>8.0</v>
      </c>
      <c r="M51" s="91">
        <v>1.0</v>
      </c>
      <c r="N51" s="37">
        <f t="shared" ref="N51:O51" si="56">C51+L51</f>
        <v>154</v>
      </c>
      <c r="O51" s="37">
        <f t="shared" si="56"/>
        <v>9</v>
      </c>
      <c r="P51" s="49" t="s">
        <v>57</v>
      </c>
      <c r="Q51" s="49" t="s">
        <v>57</v>
      </c>
      <c r="R51" s="49" t="s">
        <v>57</v>
      </c>
      <c r="S51" s="51">
        <f t="shared" si="4"/>
        <v>9</v>
      </c>
      <c r="T51" s="52">
        <f t="shared" si="5"/>
        <v>0</v>
      </c>
      <c r="U51" s="52"/>
      <c r="V51" s="51">
        <f t="shared" si="6"/>
        <v>5</v>
      </c>
      <c r="W51" s="52">
        <f t="shared" si="7"/>
        <v>-3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151</v>
      </c>
      <c r="C52" s="37">
        <v>143.0</v>
      </c>
      <c r="D52" s="37">
        <v>10.0</v>
      </c>
      <c r="E52" s="40">
        <f t="shared" si="2"/>
        <v>10.3</v>
      </c>
      <c r="F52" s="90">
        <v>1.0</v>
      </c>
      <c r="G52" s="91">
        <v>7.0</v>
      </c>
      <c r="H52" s="92">
        <v>0.0</v>
      </c>
      <c r="I52" s="91">
        <v>1.0</v>
      </c>
      <c r="J52" s="91">
        <v>3.0</v>
      </c>
      <c r="K52" s="91">
        <v>6.0</v>
      </c>
      <c r="L52" s="93">
        <v>10.0</v>
      </c>
      <c r="M52" s="91">
        <v>1.0</v>
      </c>
      <c r="N52" s="37">
        <f t="shared" ref="N52:O52" si="57">C52+L52</f>
        <v>153</v>
      </c>
      <c r="O52" s="37">
        <f t="shared" si="57"/>
        <v>11</v>
      </c>
      <c r="P52" s="49" t="s">
        <v>57</v>
      </c>
      <c r="Q52" s="49" t="s">
        <v>57</v>
      </c>
      <c r="R52" s="49" t="s">
        <v>57</v>
      </c>
      <c r="S52" s="51">
        <f t="shared" si="4"/>
        <v>10</v>
      </c>
      <c r="T52" s="52">
        <f t="shared" si="5"/>
        <v>1</v>
      </c>
      <c r="U52" s="52"/>
      <c r="V52" s="51">
        <f t="shared" si="6"/>
        <v>3</v>
      </c>
      <c r="W52" s="52">
        <f t="shared" si="7"/>
        <v>2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129</v>
      </c>
      <c r="C53" s="37">
        <v>142.0</v>
      </c>
      <c r="D53" s="37">
        <v>11.0</v>
      </c>
      <c r="E53" s="40">
        <f t="shared" si="2"/>
        <v>10.6</v>
      </c>
      <c r="F53" s="90">
        <v>1.0</v>
      </c>
      <c r="G53" s="91">
        <v>7.0</v>
      </c>
      <c r="H53" s="92">
        <v>0.0</v>
      </c>
      <c r="I53" s="91">
        <v>6.0</v>
      </c>
      <c r="J53" s="91">
        <v>3.0</v>
      </c>
      <c r="K53" s="91">
        <v>1.0</v>
      </c>
      <c r="L53" s="93">
        <v>10.0</v>
      </c>
      <c r="M53" s="91">
        <v>1.0</v>
      </c>
      <c r="N53" s="37">
        <f t="shared" ref="N53:O53" si="58">C53+L53</f>
        <v>152</v>
      </c>
      <c r="O53" s="37">
        <f t="shared" si="58"/>
        <v>12</v>
      </c>
      <c r="P53" s="49" t="s">
        <v>57</v>
      </c>
      <c r="Q53" s="49" t="s">
        <v>57</v>
      </c>
      <c r="R53" s="49" t="s">
        <v>57</v>
      </c>
      <c r="S53" s="51">
        <f t="shared" si="4"/>
        <v>10</v>
      </c>
      <c r="T53" s="52">
        <f t="shared" si="5"/>
        <v>0</v>
      </c>
      <c r="U53" s="52"/>
      <c r="V53" s="51">
        <f t="shared" si="6"/>
        <v>4</v>
      </c>
      <c r="W53" s="52">
        <f t="shared" si="7"/>
        <v>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153</v>
      </c>
      <c r="C54" s="37">
        <v>139.0</v>
      </c>
      <c r="D54" s="37">
        <v>7.0</v>
      </c>
      <c r="E54" s="40">
        <f t="shared" si="2"/>
        <v>12.25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148</v>
      </c>
      <c r="O54" s="37">
        <f t="shared" si="59"/>
        <v>7</v>
      </c>
      <c r="P54" s="49" t="s">
        <v>57</v>
      </c>
      <c r="Q54" s="49" t="s">
        <v>57</v>
      </c>
      <c r="R54" s="49" t="s">
        <v>57</v>
      </c>
      <c r="S54" s="51">
        <f t="shared" si="4"/>
        <v>4</v>
      </c>
      <c r="T54" s="52">
        <f t="shared" si="5"/>
        <v>0</v>
      </c>
      <c r="U54" s="52"/>
      <c r="V54" s="51">
        <f t="shared" si="6"/>
        <v>10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73</v>
      </c>
      <c r="C55" s="37">
        <v>139.0</v>
      </c>
      <c r="D55" s="37">
        <v>7.0</v>
      </c>
      <c r="E55" s="40">
        <f t="shared" si="2"/>
        <v>12.25</v>
      </c>
      <c r="F55" s="90">
        <v>1.0</v>
      </c>
      <c r="G55" s="91">
        <v>7.0</v>
      </c>
      <c r="H55" s="92">
        <v>0.0</v>
      </c>
      <c r="I55" s="91">
        <v>6.0</v>
      </c>
      <c r="J55" s="91">
        <v>6.0</v>
      </c>
      <c r="K55" s="91">
        <v>6.0</v>
      </c>
      <c r="L55" s="93">
        <v>18.0</v>
      </c>
      <c r="M55" s="91">
        <v>3.0</v>
      </c>
      <c r="N55" s="37">
        <f t="shared" ref="N55:O55" si="60">C55+L55</f>
        <v>157</v>
      </c>
      <c r="O55" s="37">
        <f t="shared" si="60"/>
        <v>10</v>
      </c>
      <c r="P55" s="49" t="s">
        <v>57</v>
      </c>
      <c r="Q55" s="49" t="s">
        <v>57</v>
      </c>
      <c r="R55" s="49" t="s">
        <v>57</v>
      </c>
      <c r="S55" s="51">
        <f t="shared" si="4"/>
        <v>4</v>
      </c>
      <c r="T55" s="52">
        <f t="shared" si="5"/>
        <v>0</v>
      </c>
      <c r="U55" s="52"/>
      <c r="V55" s="51">
        <f t="shared" si="6"/>
        <v>10</v>
      </c>
      <c r="W55" s="52">
        <f t="shared" si="7"/>
        <v>6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147</v>
      </c>
      <c r="C56" s="37">
        <v>139.0</v>
      </c>
      <c r="D56" s="37">
        <v>5.0</v>
      </c>
      <c r="E56" s="40">
        <f t="shared" si="2"/>
        <v>11.25</v>
      </c>
      <c r="F56" s="90">
        <v>4.0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148</v>
      </c>
      <c r="O56" s="37">
        <f t="shared" si="61"/>
        <v>5</v>
      </c>
      <c r="P56" s="49" t="s">
        <v>57</v>
      </c>
      <c r="Q56" s="49" t="s">
        <v>57</v>
      </c>
      <c r="R56" s="49" t="s">
        <v>57</v>
      </c>
      <c r="S56" s="51">
        <f t="shared" si="4"/>
        <v>4</v>
      </c>
      <c r="T56" s="52">
        <f t="shared" si="5"/>
        <v>1</v>
      </c>
      <c r="U56" s="52"/>
      <c r="V56" s="51">
        <f t="shared" si="6"/>
        <v>9</v>
      </c>
      <c r="W56" s="52">
        <f t="shared" si="7"/>
        <v>-3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152</v>
      </c>
      <c r="C57" s="37">
        <v>138.0</v>
      </c>
      <c r="D57" s="37">
        <v>11.0</v>
      </c>
      <c r="E57" s="40">
        <f t="shared" si="2"/>
        <v>10.33333333</v>
      </c>
      <c r="F57" s="90">
        <v>1.0</v>
      </c>
      <c r="G57" s="91">
        <v>8.0</v>
      </c>
      <c r="H57" s="92">
        <v>0.0</v>
      </c>
      <c r="I57" s="91">
        <v>0.0</v>
      </c>
      <c r="J57" s="91">
        <v>0.0</v>
      </c>
      <c r="K57" s="91">
        <v>6.0</v>
      </c>
      <c r="L57" s="93">
        <v>6.0</v>
      </c>
      <c r="M57" s="91">
        <v>1.0</v>
      </c>
      <c r="N57" s="37">
        <f t="shared" ref="N57:O57" si="62">C57+L57</f>
        <v>144</v>
      </c>
      <c r="O57" s="37">
        <f t="shared" si="62"/>
        <v>12</v>
      </c>
      <c r="P57" s="49" t="s">
        <v>57</v>
      </c>
      <c r="Q57" s="49" t="s">
        <v>57</v>
      </c>
      <c r="R57" s="49" t="s">
        <v>57</v>
      </c>
      <c r="S57" s="51">
        <f t="shared" si="4"/>
        <v>9</v>
      </c>
      <c r="T57" s="52">
        <f t="shared" si="5"/>
        <v>0</v>
      </c>
      <c r="U57" s="52"/>
      <c r="V57" s="51">
        <f t="shared" si="6"/>
        <v>5</v>
      </c>
      <c r="W57" s="52">
        <f t="shared" si="7"/>
        <v>2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131</v>
      </c>
      <c r="C58" s="37">
        <v>137.0</v>
      </c>
      <c r="D58" s="37">
        <v>6.0</v>
      </c>
      <c r="E58" s="40">
        <f t="shared" si="2"/>
        <v>11.33333333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146</v>
      </c>
      <c r="O58" s="37">
        <f t="shared" si="63"/>
        <v>6</v>
      </c>
      <c r="P58" s="49" t="s">
        <v>57</v>
      </c>
      <c r="Q58" s="49" t="s">
        <v>57</v>
      </c>
      <c r="R58" s="49" t="s">
        <v>57</v>
      </c>
      <c r="S58" s="51">
        <f t="shared" si="4"/>
        <v>3</v>
      </c>
      <c r="T58" s="52">
        <f t="shared" si="5"/>
        <v>1</v>
      </c>
      <c r="U58" s="52"/>
      <c r="V58" s="51">
        <f t="shared" si="6"/>
        <v>10</v>
      </c>
      <c r="W58" s="52">
        <f t="shared" si="7"/>
        <v>-3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116</v>
      </c>
      <c r="C59" s="37">
        <v>135.0</v>
      </c>
      <c r="D59" s="37">
        <v>8.0</v>
      </c>
      <c r="E59" s="40">
        <f t="shared" si="2"/>
        <v>9.642857143</v>
      </c>
      <c r="F59" s="90">
        <v>1.0</v>
      </c>
      <c r="G59" s="91">
        <v>8.0</v>
      </c>
      <c r="H59" s="92">
        <v>0.0</v>
      </c>
      <c r="I59" s="91">
        <v>6.0</v>
      </c>
      <c r="J59" s="91">
        <v>0.0</v>
      </c>
      <c r="K59" s="91">
        <v>0.0</v>
      </c>
      <c r="L59" s="93">
        <v>6.0</v>
      </c>
      <c r="M59" s="91">
        <v>1.0</v>
      </c>
      <c r="N59" s="37">
        <f t="shared" ref="N59:O59" si="64">C59+L59</f>
        <v>141</v>
      </c>
      <c r="O59" s="37">
        <f t="shared" si="64"/>
        <v>9</v>
      </c>
      <c r="P59" s="49" t="s">
        <v>57</v>
      </c>
      <c r="Q59" s="49" t="s">
        <v>57</v>
      </c>
      <c r="R59" s="49" t="s">
        <v>57</v>
      </c>
      <c r="S59" s="51">
        <f t="shared" si="4"/>
        <v>14</v>
      </c>
      <c r="T59" s="52">
        <f t="shared" si="5"/>
        <v>0</v>
      </c>
      <c r="U59" s="52"/>
      <c r="V59" s="51">
        <f t="shared" si="6"/>
        <v>0</v>
      </c>
      <c r="W59" s="52">
        <f t="shared" si="7"/>
        <v>-2</v>
      </c>
      <c r="X59" s="35">
        <f t="shared" si="12"/>
        <v>55</v>
      </c>
      <c r="Y59" s="35" t="str">
        <f t="shared" si="8"/>
        <v>Y</v>
      </c>
      <c r="Z59" s="19" t="str">
        <f t="shared" si="9"/>
        <v/>
      </c>
    </row>
    <row r="60">
      <c r="A60" s="35">
        <f t="shared" si="10"/>
        <v>56</v>
      </c>
      <c r="B60" s="36" t="s">
        <v>145</v>
      </c>
      <c r="C60" s="37">
        <v>134.0</v>
      </c>
      <c r="D60" s="37">
        <v>12.0</v>
      </c>
      <c r="E60" s="40">
        <f t="shared" si="2"/>
        <v>9.888888889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143</v>
      </c>
      <c r="O60" s="37">
        <f t="shared" si="65"/>
        <v>12</v>
      </c>
      <c r="P60" s="49" t="s">
        <v>57</v>
      </c>
      <c r="Q60" s="49" t="s">
        <v>57</v>
      </c>
      <c r="R60" s="49" t="s">
        <v>57</v>
      </c>
      <c r="S60" s="51">
        <f t="shared" si="4"/>
        <v>9</v>
      </c>
      <c r="T60" s="52">
        <f t="shared" si="5"/>
        <v>0</v>
      </c>
      <c r="U60" s="52"/>
      <c r="V60" s="51">
        <f t="shared" si="6"/>
        <v>5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100</v>
      </c>
      <c r="C61" s="37">
        <v>134.0</v>
      </c>
      <c r="D61" s="37">
        <v>6.0</v>
      </c>
      <c r="E61" s="40">
        <f t="shared" si="2"/>
        <v>11.66666667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143</v>
      </c>
      <c r="O61" s="37">
        <f t="shared" si="66"/>
        <v>6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0</v>
      </c>
      <c r="U61" s="52"/>
      <c r="V61" s="51">
        <f t="shared" si="6"/>
        <v>11</v>
      </c>
      <c r="W61" s="52">
        <f t="shared" si="7"/>
        <v>-3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54</v>
      </c>
      <c r="C62" s="37">
        <v>130.0</v>
      </c>
      <c r="D62" s="37">
        <v>4.0</v>
      </c>
      <c r="E62" s="40">
        <f t="shared" si="2"/>
        <v>10.33333333</v>
      </c>
      <c r="F62" s="90">
        <v>1.0</v>
      </c>
      <c r="G62" s="91">
        <v>8.0</v>
      </c>
      <c r="H62" s="92">
        <v>0.0</v>
      </c>
      <c r="I62" s="91">
        <v>6.0</v>
      </c>
      <c r="J62" s="91">
        <v>6.0</v>
      </c>
      <c r="K62" s="91">
        <v>6.0</v>
      </c>
      <c r="L62" s="93">
        <v>18.0</v>
      </c>
      <c r="M62" s="91">
        <v>3.0</v>
      </c>
      <c r="N62" s="37">
        <f t="shared" ref="N62:O62" si="67">C62+L62</f>
        <v>148</v>
      </c>
      <c r="O62" s="37">
        <f t="shared" si="67"/>
        <v>7</v>
      </c>
      <c r="P62" s="49" t="s">
        <v>57</v>
      </c>
      <c r="Q62" s="49" t="s">
        <v>57</v>
      </c>
      <c r="R62" s="49" t="s">
        <v>57</v>
      </c>
      <c r="S62" s="51">
        <f t="shared" si="4"/>
        <v>3</v>
      </c>
      <c r="T62" s="52">
        <f t="shared" si="5"/>
        <v>0</v>
      </c>
      <c r="U62" s="52"/>
      <c r="V62" s="51">
        <f t="shared" si="6"/>
        <v>11</v>
      </c>
      <c r="W62" s="52">
        <f t="shared" si="7"/>
        <v>7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136</v>
      </c>
      <c r="C63" s="37">
        <v>128.0</v>
      </c>
      <c r="D63" s="37">
        <v>5.0</v>
      </c>
      <c r="E63" s="40">
        <f t="shared" si="2"/>
        <v>9.333333333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137</v>
      </c>
      <c r="O63" s="37">
        <f t="shared" si="68"/>
        <v>5</v>
      </c>
      <c r="P63" s="49" t="s">
        <v>57</v>
      </c>
      <c r="Q63" s="49" t="s">
        <v>57</v>
      </c>
      <c r="R63" s="49" t="s">
        <v>57</v>
      </c>
      <c r="S63" s="51">
        <f t="shared" si="4"/>
        <v>6</v>
      </c>
      <c r="T63" s="52">
        <f t="shared" si="5"/>
        <v>0</v>
      </c>
      <c r="U63" s="52"/>
      <c r="V63" s="51">
        <f t="shared" si="6"/>
        <v>8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146</v>
      </c>
      <c r="C64" s="37">
        <v>128.0</v>
      </c>
      <c r="D64" s="37">
        <v>4.0</v>
      </c>
      <c r="E64" s="40">
        <f t="shared" si="2"/>
        <v>8.333333333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137</v>
      </c>
      <c r="O64" s="37">
        <f t="shared" si="69"/>
        <v>4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10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70</v>
      </c>
      <c r="C65" s="37">
        <v>127.0</v>
      </c>
      <c r="D65" s="37">
        <v>5.0</v>
      </c>
      <c r="E65" s="40">
        <f t="shared" si="2"/>
        <v>8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136</v>
      </c>
      <c r="O65" s="37">
        <f t="shared" si="70"/>
        <v>5</v>
      </c>
      <c r="P65" s="49" t="s">
        <v>57</v>
      </c>
      <c r="Q65" s="49" t="s">
        <v>57</v>
      </c>
      <c r="R65" s="49" t="s">
        <v>57</v>
      </c>
      <c r="S65" s="51">
        <f t="shared" si="4"/>
        <v>3</v>
      </c>
      <c r="T65" s="52">
        <f t="shared" si="5"/>
        <v>1</v>
      </c>
      <c r="U65" s="52"/>
      <c r="V65" s="51">
        <f t="shared" si="6"/>
        <v>10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125</v>
      </c>
      <c r="C66" s="37">
        <v>127.0</v>
      </c>
      <c r="D66" s="37">
        <v>3.0</v>
      </c>
      <c r="E66" s="40">
        <f t="shared" si="2"/>
        <v>10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136</v>
      </c>
      <c r="O66" s="37">
        <f t="shared" si="71"/>
        <v>3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13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78</v>
      </c>
      <c r="C67" s="37">
        <v>127.0</v>
      </c>
      <c r="D67" s="37">
        <v>2.0</v>
      </c>
      <c r="E67" s="40">
        <f t="shared" si="2"/>
        <v>6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136</v>
      </c>
      <c r="O67" s="37">
        <f t="shared" si="72"/>
        <v>2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1</v>
      </c>
      <c r="U67" s="52"/>
      <c r="V67" s="51">
        <f t="shared" si="6"/>
        <v>12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148</v>
      </c>
      <c r="C68" s="37">
        <v>126.0</v>
      </c>
      <c r="D68" s="37">
        <v>3.0</v>
      </c>
      <c r="E68" s="40">
        <f t="shared" si="2"/>
        <v>9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135</v>
      </c>
      <c r="O68" s="37">
        <f t="shared" si="73"/>
        <v>3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13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149</v>
      </c>
      <c r="C69" s="37">
        <v>125.0</v>
      </c>
      <c r="D69" s="37">
        <v>7.0</v>
      </c>
      <c r="E69" s="40">
        <f t="shared" si="2"/>
        <v>8.833333333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134</v>
      </c>
      <c r="O69" s="37">
        <f t="shared" si="74"/>
        <v>7</v>
      </c>
      <c r="P69" s="49" t="s">
        <v>57</v>
      </c>
      <c r="Q69" s="49" t="s">
        <v>57</v>
      </c>
      <c r="R69" s="49" t="s">
        <v>57</v>
      </c>
      <c r="S69" s="51">
        <f t="shared" si="4"/>
        <v>6</v>
      </c>
      <c r="T69" s="52">
        <f t="shared" si="5"/>
        <v>0</v>
      </c>
      <c r="U69" s="52"/>
      <c r="V69" s="51">
        <f t="shared" si="6"/>
        <v>8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154</v>
      </c>
      <c r="C70" s="37">
        <v>123.0</v>
      </c>
      <c r="D70" s="37">
        <v>4.0</v>
      </c>
      <c r="E70" s="40">
        <f t="shared" si="2"/>
        <v>8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132</v>
      </c>
      <c r="O70" s="37">
        <f t="shared" si="75"/>
        <v>4</v>
      </c>
      <c r="P70" s="49" t="s">
        <v>57</v>
      </c>
      <c r="Q70" s="49" t="s">
        <v>57</v>
      </c>
      <c r="R70" s="49" t="s">
        <v>57</v>
      </c>
      <c r="S70" s="51">
        <f t="shared" si="4"/>
        <v>3</v>
      </c>
      <c r="T70" s="52">
        <f t="shared" si="5"/>
        <v>0</v>
      </c>
      <c r="U70" s="52"/>
      <c r="V70" s="51">
        <f t="shared" si="6"/>
        <v>11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106</v>
      </c>
      <c r="C71" s="37">
        <v>123.0</v>
      </c>
      <c r="D71" s="37">
        <v>1.0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132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13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121.0</v>
      </c>
      <c r="D72" s="37">
        <v>6.0</v>
      </c>
      <c r="E72" s="40">
        <f t="shared" si="2"/>
        <v>8.375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130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6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124</v>
      </c>
      <c r="C73" s="37">
        <v>119.0</v>
      </c>
      <c r="D73" s="37">
        <v>1.0</v>
      </c>
      <c r="E73" s="40">
        <f t="shared" si="2"/>
        <v>2</v>
      </c>
      <c r="F73" s="90">
        <v>4.0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128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13</v>
      </c>
      <c r="W73" s="52">
        <f t="shared" si="7"/>
        <v>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133</v>
      </c>
      <c r="C74" s="37">
        <v>117.0</v>
      </c>
      <c r="D74" s="37">
        <v>4.0</v>
      </c>
      <c r="E74" s="40">
        <f t="shared" si="2"/>
        <v>7.5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126</v>
      </c>
      <c r="O74" s="37">
        <f t="shared" si="79"/>
        <v>4</v>
      </c>
      <c r="P74" s="49" t="s">
        <v>57</v>
      </c>
      <c r="Q74" s="49" t="s">
        <v>57</v>
      </c>
      <c r="R74" s="49" t="s">
        <v>57</v>
      </c>
      <c r="S74" s="51">
        <f t="shared" si="4"/>
        <v>6</v>
      </c>
      <c r="T74" s="52">
        <f t="shared" si="5"/>
        <v>0</v>
      </c>
      <c r="U74" s="52"/>
      <c r="V74" s="51">
        <f t="shared" si="6"/>
        <v>8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141</v>
      </c>
      <c r="C75" s="37">
        <v>117.0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126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14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117.0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126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14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117.0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126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14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117.0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126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13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114.0</v>
      </c>
      <c r="D79" s="37">
        <v>1.0</v>
      </c>
      <c r="E79" s="40">
        <f t="shared" si="2"/>
        <v>6.333333333</v>
      </c>
      <c r="F79" s="90">
        <v>2.0</v>
      </c>
      <c r="G79" s="91">
        <v>8.0</v>
      </c>
      <c r="H79" s="92">
        <v>0.0</v>
      </c>
      <c r="I79" s="91">
        <v>0.0</v>
      </c>
      <c r="J79" s="91">
        <v>6.0</v>
      </c>
      <c r="K79" s="91">
        <v>0.0</v>
      </c>
      <c r="L79" s="93">
        <v>6.0</v>
      </c>
      <c r="M79" s="91">
        <v>1.0</v>
      </c>
      <c r="N79" s="37">
        <f t="shared" ref="N79:O79" si="84">C79+L79</f>
        <v>120</v>
      </c>
      <c r="O79" s="37">
        <f t="shared" si="84"/>
        <v>2</v>
      </c>
      <c r="P79" s="49" t="s">
        <v>57</v>
      </c>
      <c r="Q79" s="49" t="s">
        <v>57</v>
      </c>
      <c r="R79" s="49" t="s">
        <v>57</v>
      </c>
      <c r="S79" s="51">
        <f t="shared" si="4"/>
        <v>6</v>
      </c>
      <c r="T79" s="52">
        <f t="shared" si="5"/>
        <v>1</v>
      </c>
      <c r="U79" s="52"/>
      <c r="V79" s="51">
        <f t="shared" si="6"/>
        <v>7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04/04/26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desc"",0)"),"Pulkit Mathur")</f>
        <v>Pulkit Mathur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IFERROR(__xludf.DUMMYFUNCTION("""COMPUTED_VALUE"""),1.0)</f>
        <v>1</v>
      </c>
      <c r="F91" s="5"/>
    </row>
    <row r="92">
      <c r="A92" s="5"/>
      <c r="B92" s="36" t="str">
        <f>IFERROR(__xludf.DUMMYFUNCTION("""COMPUTED_VALUE"""),"Jordan Tatang")</f>
        <v>Jordan Tatang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IFERROR(__xludf.DUMMYFUNCTION("""COMPUTED_VALUE"""),5.0)</f>
        <v>5</v>
      </c>
      <c r="F92" s="5"/>
    </row>
    <row r="93">
      <c r="A93" s="5"/>
      <c r="B93" s="36" t="str">
        <f>IFERROR(__xludf.DUMMYFUNCTION("""COMPUTED_VALUE"""),"Sean Chang")</f>
        <v>Sean Chang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IFERROR(__xludf.DUMMYFUNCTION("""COMPUTED_VALUE"""),7.0)</f>
        <v>7</v>
      </c>
      <c r="F93" s="5"/>
    </row>
    <row r="94">
      <c r="A94" s="5"/>
      <c r="B94" s="36" t="str">
        <f>IFERROR(__xludf.DUMMYFUNCTION("""COMPUTED_VALUE"""),"Tom Le")</f>
        <v>Tom Le</v>
      </c>
      <c r="C94" s="122">
        <f>IFERROR(__xludf.DUMMYFUNCTION("""COMPUTED_VALUE"""),18.0)</f>
        <v>18</v>
      </c>
      <c r="D94" s="122">
        <f>IFERROR(__xludf.DUMMYFUNCTION("""COMPUTED_VALUE"""),2.0)</f>
        <v>2</v>
      </c>
      <c r="E94" s="122">
        <f>IFERROR(__xludf.DUMMYFUNCTION("""COMPUTED_VALUE"""),11.0)</f>
        <v>11</v>
      </c>
      <c r="F94" s="5"/>
    </row>
    <row r="95">
      <c r="A95" s="5"/>
      <c r="B95" s="36"/>
      <c r="C95" s="122"/>
      <c r="D95" s="122"/>
      <c r="E95" s="122"/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10"")"),"Sean Chang")</f>
        <v>Sean Chang</v>
      </c>
      <c r="C110" s="122">
        <f>IFERROR(__xludf.DUMMYFUNCTION("""COMPUTED_VALUE"""),11.0)</f>
        <v>11</v>
      </c>
      <c r="D110" s="122">
        <f t="shared" ref="D110:D119" si="85">VLOOKUP(B110,indirect($AC$2&amp;"!B$5:X$79"),23, false)</f>
        <v>43</v>
      </c>
      <c r="E110" s="122">
        <f t="shared" ref="E110:E119" si="86">VLOOKUP(B110,B$5:X$79,23, false)</f>
        <v>32</v>
      </c>
      <c r="F110" s="122">
        <f t="shared" ref="F110:F119" si="87">VLOOKUP(B110,indirect($AC$2&amp;"!B$5:U$79"),11, false)</f>
        <v>19</v>
      </c>
      <c r="G110" s="122">
        <f t="shared" ref="G110:G119" si="88">VLOOKUP(B110,indirect($AC$2&amp;"!B$5:U$79"),6, false)</f>
        <v>7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IFERROR(__xludf.DUMMYFUNCTION("""COMPUTED_VALUE"""),"Basudev Thoppai Vidyasankar")</f>
        <v>Basudev Thoppai Vidyasankar</v>
      </c>
      <c r="C111" s="122">
        <f>IFERROR(__xludf.DUMMYFUNCTION("""COMPUTED_VALUE"""),9.0)</f>
        <v>9</v>
      </c>
      <c r="D111" s="122">
        <f t="shared" si="85"/>
        <v>34</v>
      </c>
      <c r="E111" s="122">
        <f t="shared" si="86"/>
        <v>25</v>
      </c>
      <c r="F111" s="122">
        <f t="shared" si="87"/>
        <v>17</v>
      </c>
      <c r="G111" s="122">
        <f t="shared" si="88"/>
        <v>6</v>
      </c>
      <c r="L111" s="122" t="str">
        <f t="shared" si="89"/>
        <v>ok</v>
      </c>
    </row>
    <row r="112">
      <c r="A112" s="5"/>
      <c r="B112" s="36" t="str">
        <f>IFERROR(__xludf.DUMMYFUNCTION("""COMPUTED_VALUE"""),"Alex Hou")</f>
        <v>Alex Hou</v>
      </c>
      <c r="C112" s="122">
        <f>IFERROR(__xludf.DUMMYFUNCTION("""COMPUTED_VALUE"""),8.0)</f>
        <v>8</v>
      </c>
      <c r="D112" s="122">
        <f t="shared" si="85"/>
        <v>38</v>
      </c>
      <c r="E112" s="122">
        <f t="shared" si="86"/>
        <v>30</v>
      </c>
      <c r="F112" s="122">
        <f t="shared" si="87"/>
        <v>16</v>
      </c>
      <c r="G112" s="122">
        <f t="shared" si="88"/>
        <v>7</v>
      </c>
      <c r="L112" s="122" t="str">
        <f t="shared" si="89"/>
        <v>ok</v>
      </c>
    </row>
    <row r="113">
      <c r="A113" s="5"/>
      <c r="B113" s="36" t="str">
        <f>IFERROR(__xludf.DUMMYFUNCTION("""COMPUTED_VALUE"""),"Elayaraja Thangaraj")</f>
        <v>Elayaraja Thangaraj</v>
      </c>
      <c r="C113" s="122">
        <f>IFERROR(__xludf.DUMMYFUNCTION("""COMPUTED_VALUE"""),7.0)</f>
        <v>7</v>
      </c>
      <c r="D113" s="122">
        <f t="shared" si="85"/>
        <v>35</v>
      </c>
      <c r="E113" s="122">
        <f t="shared" si="86"/>
        <v>28</v>
      </c>
      <c r="F113" s="122">
        <f t="shared" si="87"/>
        <v>16</v>
      </c>
      <c r="G113" s="122">
        <f t="shared" si="88"/>
        <v>6</v>
      </c>
      <c r="L113" s="122" t="str">
        <f t="shared" si="89"/>
        <v>ok</v>
      </c>
    </row>
    <row r="114">
      <c r="A114" s="5"/>
      <c r="B114" s="36" t="str">
        <f>IFERROR(__xludf.DUMMYFUNCTION("""COMPUTED_VALUE"""),"Alejandro Mejia")</f>
        <v>Alejandro Mejia</v>
      </c>
      <c r="C114" s="122">
        <f>IFERROR(__xludf.DUMMYFUNCTION("""COMPUTED_VALUE"""),7.0)</f>
        <v>7</v>
      </c>
      <c r="D114" s="122">
        <f t="shared" si="85"/>
        <v>65</v>
      </c>
      <c r="E114" s="122">
        <f t="shared" si="86"/>
        <v>58</v>
      </c>
      <c r="F114" s="122">
        <f t="shared" si="87"/>
        <v>14</v>
      </c>
      <c r="G114" s="122">
        <f t="shared" si="88"/>
        <v>11</v>
      </c>
      <c r="L114" s="122" t="str">
        <f t="shared" si="89"/>
        <v>ok</v>
      </c>
    </row>
    <row r="115">
      <c r="A115" s="5"/>
      <c r="B115" s="36" t="str">
        <f>IFERROR(__xludf.DUMMYFUNCTION("""COMPUTED_VALUE"""),"Jordan Tatang")</f>
        <v>Jordan Tatang</v>
      </c>
      <c r="C115" s="122">
        <f>IFERROR(__xludf.DUMMYFUNCTION("""COMPUTED_VALUE"""),6.0)</f>
        <v>6</v>
      </c>
      <c r="D115" s="122">
        <f t="shared" si="85"/>
        <v>26</v>
      </c>
      <c r="E115" s="122">
        <f t="shared" si="86"/>
        <v>20</v>
      </c>
      <c r="F115" s="122">
        <f t="shared" si="87"/>
        <v>19</v>
      </c>
      <c r="G115" s="122">
        <f t="shared" si="88"/>
        <v>5</v>
      </c>
      <c r="L115" s="122" t="str">
        <f t="shared" si="89"/>
        <v>ok</v>
      </c>
    </row>
    <row r="116">
      <c r="A116" s="5"/>
      <c r="B116" s="36" t="str">
        <f>IFERROR(__xludf.DUMMYFUNCTION("""COMPUTED_VALUE"""),"Tom Le")</f>
        <v>Tom Le</v>
      </c>
      <c r="C116" s="122">
        <f>IFERROR(__xludf.DUMMYFUNCTION("""COMPUTED_VALUE"""),6.0)</f>
        <v>6</v>
      </c>
      <c r="D116" s="122">
        <f t="shared" si="85"/>
        <v>57</v>
      </c>
      <c r="E116" s="122">
        <f t="shared" si="86"/>
        <v>51</v>
      </c>
      <c r="F116" s="122">
        <f t="shared" si="87"/>
        <v>18</v>
      </c>
      <c r="G116" s="122">
        <f t="shared" si="88"/>
        <v>11</v>
      </c>
      <c r="L116" s="122" t="str">
        <f t="shared" si="89"/>
        <v>ok</v>
      </c>
    </row>
    <row r="117">
      <c r="A117" s="5"/>
      <c r="B117" s="36" t="str">
        <f>IFERROR(__xludf.DUMMYFUNCTION("""COMPUTED_VALUE"""),"Ramesh Bandaru")</f>
        <v>Ramesh Bandaru</v>
      </c>
      <c r="C117" s="122">
        <f>IFERROR(__xludf.DUMMYFUNCTION("""COMPUTED_VALUE"""),5.0)</f>
        <v>5</v>
      </c>
      <c r="D117" s="122">
        <f t="shared" si="85"/>
        <v>32</v>
      </c>
      <c r="E117" s="122">
        <f t="shared" si="86"/>
        <v>27</v>
      </c>
      <c r="F117" s="122">
        <f t="shared" si="87"/>
        <v>15</v>
      </c>
      <c r="G117" s="122">
        <f t="shared" si="88"/>
        <v>6</v>
      </c>
      <c r="L117" s="122" t="str">
        <f t="shared" si="89"/>
        <v>ok</v>
      </c>
    </row>
    <row r="118">
      <c r="A118" s="5"/>
      <c r="B118" s="36" t="str">
        <f>IFERROR(__xludf.DUMMYFUNCTION("""COMPUTED_VALUE"""),"Kumar Palakeel")</f>
        <v>Kumar Palakeel</v>
      </c>
      <c r="C118" s="122">
        <f>IFERROR(__xludf.DUMMYFUNCTION("""COMPUTED_VALUE"""),4.0)</f>
        <v>4</v>
      </c>
      <c r="D118" s="122">
        <f t="shared" si="85"/>
        <v>45</v>
      </c>
      <c r="E118" s="122">
        <f t="shared" si="86"/>
        <v>41</v>
      </c>
      <c r="F118" s="122">
        <f t="shared" si="87"/>
        <v>16</v>
      </c>
      <c r="G118" s="122">
        <f t="shared" si="88"/>
        <v>8</v>
      </c>
      <c r="L118" s="122" t="str">
        <f t="shared" si="89"/>
        <v>ok</v>
      </c>
    </row>
    <row r="119">
      <c r="A119" s="5"/>
      <c r="B119" s="36" t="str">
        <f>IFERROR(__xludf.DUMMYFUNCTION("""COMPUTED_VALUE"""),"Matthew Huang")</f>
        <v>Matthew Huang</v>
      </c>
      <c r="C119" s="122">
        <f>IFERROR(__xludf.DUMMYFUNCTION("""COMPUTED_VALUE"""),3.0)</f>
        <v>3</v>
      </c>
      <c r="D119" s="122">
        <f t="shared" si="85"/>
        <v>21</v>
      </c>
      <c r="E119" s="122">
        <f t="shared" si="86"/>
        <v>18</v>
      </c>
      <c r="F119" s="122">
        <f t="shared" si="87"/>
        <v>14</v>
      </c>
      <c r="G119" s="122">
        <f t="shared" si="88"/>
        <v>9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14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197</v>
      </c>
      <c r="D128" s="122">
        <f t="shared" si="90"/>
        <v>25</v>
      </c>
      <c r="E128" s="122">
        <f t="shared" si="90"/>
        <v>14.91666667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195</v>
      </c>
      <c r="D129" s="122">
        <f t="shared" si="91"/>
        <v>24</v>
      </c>
      <c r="E129" s="122">
        <f t="shared" si="91"/>
        <v>14.75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185</v>
      </c>
      <c r="D130" s="122">
        <f t="shared" si="92"/>
        <v>19</v>
      </c>
      <c r="E130" s="122">
        <f t="shared" si="92"/>
        <v>13.91666667</v>
      </c>
      <c r="F130" s="5"/>
    </row>
    <row r="131">
      <c r="A131" s="122">
        <f t="shared" ref="A131:E131" si="93">A8</f>
        <v>4</v>
      </c>
      <c r="B131" s="36" t="str">
        <f t="shared" si="93"/>
        <v>Rudy Tatang</v>
      </c>
      <c r="C131" s="122">
        <f t="shared" si="93"/>
        <v>180</v>
      </c>
      <c r="D131" s="122">
        <f t="shared" si="93"/>
        <v>18</v>
      </c>
      <c r="E131" s="122">
        <f t="shared" si="93"/>
        <v>14.4</v>
      </c>
      <c r="F131" s="5"/>
    </row>
    <row r="132">
      <c r="A132" s="122">
        <f t="shared" ref="A132:E132" si="94">A9</f>
        <v>5</v>
      </c>
      <c r="B132" s="36" t="str">
        <f t="shared" si="94"/>
        <v>Jaya Sogata</v>
      </c>
      <c r="C132" s="122">
        <f t="shared" si="94"/>
        <v>180</v>
      </c>
      <c r="D132" s="122">
        <f t="shared" si="94"/>
        <v>18</v>
      </c>
      <c r="E132" s="122">
        <f t="shared" si="94"/>
        <v>13.54545455</v>
      </c>
      <c r="F132" s="5"/>
    </row>
    <row r="133">
      <c r="A133" s="122">
        <f t="shared" ref="A133:E133" si="95">A10</f>
        <v>6</v>
      </c>
      <c r="B133" s="36" t="str">
        <f t="shared" si="95"/>
        <v>Suleman Alidina</v>
      </c>
      <c r="C133" s="122">
        <f t="shared" si="95"/>
        <v>179</v>
      </c>
      <c r="D133" s="122">
        <f t="shared" si="95"/>
        <v>18</v>
      </c>
      <c r="E133" s="122">
        <f t="shared" si="95"/>
        <v>12.78571429</v>
      </c>
      <c r="F133" s="5"/>
    </row>
    <row r="134">
      <c r="A134" s="122">
        <f t="shared" ref="A134:E134" si="96">A11</f>
        <v>7</v>
      </c>
      <c r="B134" s="36" t="str">
        <f t="shared" si="96"/>
        <v>Pavan Akkimsetty</v>
      </c>
      <c r="C134" s="122">
        <f t="shared" si="96"/>
        <v>179</v>
      </c>
      <c r="D134" s="122">
        <f t="shared" si="96"/>
        <v>17</v>
      </c>
      <c r="E134" s="122">
        <f t="shared" si="96"/>
        <v>13.9</v>
      </c>
      <c r="F134" s="5"/>
    </row>
    <row r="135">
      <c r="A135" s="122">
        <f t="shared" ref="A135:E135" si="97">A12</f>
        <v>8</v>
      </c>
      <c r="B135" s="36" t="str">
        <f t="shared" si="97"/>
        <v>Scott Li</v>
      </c>
      <c r="C135" s="122">
        <f t="shared" si="97"/>
        <v>179</v>
      </c>
      <c r="D135" s="122">
        <f t="shared" si="97"/>
        <v>14</v>
      </c>
      <c r="E135" s="122">
        <f t="shared" si="97"/>
        <v>14.3</v>
      </c>
      <c r="F135" s="5"/>
    </row>
    <row r="136">
      <c r="A136" s="122">
        <f t="shared" ref="A136:E136" si="98">A13</f>
        <v>9</v>
      </c>
      <c r="B136" s="36" t="str">
        <f t="shared" si="98"/>
        <v>Ethan Gu</v>
      </c>
      <c r="C136" s="122">
        <f t="shared" si="98"/>
        <v>177</v>
      </c>
      <c r="D136" s="122">
        <f t="shared" si="98"/>
        <v>14</v>
      </c>
      <c r="E136" s="122">
        <f t="shared" si="98"/>
        <v>14.1</v>
      </c>
      <c r="F136" s="5"/>
    </row>
    <row r="137">
      <c r="A137" s="122">
        <f t="shared" ref="A137:E137" si="99">A14</f>
        <v>10</v>
      </c>
      <c r="B137" s="36" t="str">
        <f t="shared" si="99"/>
        <v>Joe Luzzi</v>
      </c>
      <c r="C137" s="122">
        <f t="shared" si="99"/>
        <v>174</v>
      </c>
      <c r="D137" s="122">
        <f t="shared" si="99"/>
        <v>18</v>
      </c>
      <c r="E137" s="122">
        <f t="shared" si="99"/>
        <v>13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ASC"")"),"Coco Yan")</f>
        <v>Coco Yan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IFERROR(__xludf.DUMMYFUNCTION("""COMPUTED_VALUE"""),"Eric Tan")</f>
        <v>Eric Tan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IFERROR(__xludf.DUMMYFUNCTION("""COMPUTED_VALUE"""),"Frank Moon")</f>
        <v>Frank Moon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IFERROR(__xludf.DUMMYFUNCTION("""COMPUTED_VALUE"""),"Suleman Alidina")</f>
        <v>Suleman Alidina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IFERROR(__xludf.DUMMYFUNCTION("""COMPUTED_VALUE"""),"Wayne Liu")</f>
        <v>Wayne Liu</v>
      </c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04/04/26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IFERROR(__xludf.DUMMYFUNCTION("""COMPUTED_VALUE"""),"Pulkit Mathur")</f>
        <v>Pulkit Mathur</v>
      </c>
      <c r="C250" s="132">
        <f>IFERROR(__xludf.DUMMYFUNCTION("""COMPUTED_VALUE"""),7.0)</f>
        <v>7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IFERROR(__xludf.DUMMYFUNCTION("""COMPUTED_VALUE"""),19.0)</f>
        <v>19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IFERROR(__xludf.DUMMYFUNCTION("""COMPUTED_VALUE"""),"Sandeep Kamalon")</f>
        <v>Sandeep Kamalon</v>
      </c>
      <c r="C251" s="132">
        <f>IFERROR(__xludf.DUMMYFUNCTION("""COMPUTED_VALUE"""),5.0)</f>
        <v>5</v>
      </c>
      <c r="D251" s="132">
        <f>IFERROR(__xludf.DUMMYFUNCTION("""COMPUTED_VALUE"""),4.0)</f>
        <v>4</v>
      </c>
      <c r="E251" s="132">
        <f>IFERROR(__xludf.DUMMYFUNCTION("""COMPUTED_VALUE"""),6.0)</f>
        <v>6</v>
      </c>
      <c r="F251" s="132">
        <f>IFERROR(__xludf.DUMMYFUNCTION("""COMPUTED_VALUE"""),15.0)</f>
        <v>15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IFERROR(__xludf.DUMMYFUNCTION("""COMPUTED_VALUE"""),"Rudy Tatang")</f>
        <v>Rudy Tatang</v>
      </c>
      <c r="C252" s="132">
        <f>IFERROR(__xludf.DUMMYFUNCTION("""COMPUTED_VALUE"""),5.0)</f>
        <v>5</v>
      </c>
      <c r="D252" s="132">
        <f>IFERROR(__xludf.DUMMYFUNCTION("""COMPUTED_VALUE"""),6.0)</f>
        <v>6</v>
      </c>
      <c r="E252" s="132">
        <f>IFERROR(__xludf.DUMMYFUNCTION("""COMPUTED_VALUE"""),3.0)</f>
        <v>3</v>
      </c>
      <c r="F252" s="132">
        <f>IFERROR(__xludf.DUMMYFUNCTION("""COMPUTED_VALUE"""),14.0)</f>
        <v>14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IFERROR(__xludf.DUMMYFUNCTION("""COMPUTED_VALUE"""),"Suleman Alidina")</f>
        <v>Suleman Alidina</v>
      </c>
      <c r="C253" s="132">
        <f>IFERROR(__xludf.DUMMYFUNCTION("""COMPUTED_VALUE"""),7.0)</f>
        <v>7</v>
      </c>
      <c r="D253" s="132">
        <f>IFERROR(__xludf.DUMMYFUNCTION("""COMPUTED_VALUE"""),4.0)</f>
        <v>4</v>
      </c>
      <c r="E253" s="132">
        <f>IFERROR(__xludf.DUMMYFUNCTION("""COMPUTED_VALUE"""),3.0)</f>
        <v>3</v>
      </c>
      <c r="F253" s="132">
        <f>IFERROR(__xludf.DUMMYFUNCTION("""COMPUTED_VALUE"""),14.0)</f>
        <v>14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IFERROR(__xludf.DUMMYFUNCTION("""COMPUTED_VALUE"""),"Jaya Sogata")</f>
        <v>Jaya Sogata</v>
      </c>
      <c r="C254" s="135">
        <f>IFERROR(__xludf.DUMMYFUNCTION("""COMPUTED_VALUE"""),4.0)</f>
        <v>4</v>
      </c>
      <c r="D254" s="135">
        <f>IFERROR(__xludf.DUMMYFUNCTION("""COMPUTED_VALUE"""),6.0)</f>
        <v>6</v>
      </c>
      <c r="E254" s="135">
        <f>IFERROR(__xludf.DUMMYFUNCTION("""COMPUTED_VALUE"""),6.0)</f>
        <v>6</v>
      </c>
      <c r="F254" s="135">
        <f>IFERROR(__xludf.DUMMYFUNCTION("""COMPUTED_VALUE"""),16.0)</f>
        <v>16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IFERROR(__xludf.DUMMYFUNCTION("""COMPUTED_VALUE"""),"Joe Luzzi")</f>
        <v>Joe Luzzi</v>
      </c>
      <c r="C255" s="135">
        <f>IFERROR(__xludf.DUMMYFUNCTION("""COMPUTED_VALUE"""),4.0)</f>
        <v>4</v>
      </c>
      <c r="D255" s="135">
        <f>IFERROR(__xludf.DUMMYFUNCTION("""COMPUTED_VALUE"""),4.0)</f>
        <v>4</v>
      </c>
      <c r="E255" s="135">
        <f>IFERROR(__xludf.DUMMYFUNCTION("""COMPUTED_VALUE"""),3.0)</f>
        <v>3</v>
      </c>
      <c r="F255" s="135">
        <f>IFERROR(__xludf.DUMMYFUNCTION("""COMPUTED_VALUE"""),11.0)</f>
        <v>11</v>
      </c>
      <c r="G255" s="135">
        <f>IFERROR(__xludf.DUMMYFUNCTION("""COMPUTED_VALUE"""),0.0)</f>
        <v>0</v>
      </c>
    </row>
    <row r="256">
      <c r="A256" s="133">
        <f>IFERROR(__xludf.DUMMYFUNCTION("""COMPUTED_VALUE"""),2.0)</f>
        <v>2</v>
      </c>
      <c r="B256" s="134" t="str">
        <f>IFERROR(__xludf.DUMMYFUNCTION("""COMPUTED_VALUE"""),"Scott Li")</f>
        <v>Scott Li</v>
      </c>
      <c r="C256" s="135">
        <f>IFERROR(__xludf.DUMMYFUNCTION("""COMPUTED_VALUE"""),6.0)</f>
        <v>6</v>
      </c>
      <c r="D256" s="135">
        <f>IFERROR(__xludf.DUMMYFUNCTION("""COMPUTED_VALUE"""),4.0)</f>
        <v>4</v>
      </c>
      <c r="E256" s="135">
        <f>IFERROR(__xludf.DUMMYFUNCTION("""COMPUTED_VALUE"""),6.0)</f>
        <v>6</v>
      </c>
      <c r="F256" s="135">
        <f>IFERROR(__xludf.DUMMYFUNCTION("""COMPUTED_VALUE"""),16.0)</f>
        <v>16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IFERROR(__xludf.DUMMYFUNCTION("""COMPUTED_VALUE"""),"Ethan Gu")</f>
        <v>Ethan Gu</v>
      </c>
      <c r="C257" s="135">
        <f>IFERROR(__xludf.DUMMYFUNCTION("""COMPUTED_VALUE"""),6.0)</f>
        <v>6</v>
      </c>
      <c r="D257" s="135">
        <f>IFERROR(__xludf.DUMMYFUNCTION("""COMPUTED_VALUE"""),6.0)</f>
        <v>6</v>
      </c>
      <c r="E257" s="135">
        <f>IFERROR(__xludf.DUMMYFUNCTION("""COMPUTED_VALUE"""),3.0)</f>
        <v>3</v>
      </c>
      <c r="F257" s="135">
        <f>IFERROR(__xludf.DUMMYFUNCTION("""COMPUTED_VALUE"""),15.0)</f>
        <v>15</v>
      </c>
      <c r="G257" s="135">
        <f>IFERROR(__xludf.DUMMYFUNCTION("""COMPUTED_VALUE"""),2.0)</f>
        <v>2</v>
      </c>
    </row>
    <row r="258">
      <c r="A258" s="122">
        <f>IFERROR(__xludf.DUMMYFUNCTION("""COMPUTED_VALUE"""),3.0)</f>
        <v>3</v>
      </c>
      <c r="B258" s="36" t="str">
        <f>IFERROR(__xludf.DUMMYFUNCTION("""COMPUTED_VALUE"""),"Frank Moon")</f>
        <v>Frank Moon</v>
      </c>
      <c r="C258" s="132">
        <f>IFERROR(__xludf.DUMMYFUNCTION("""COMPUTED_VALUE"""),1.0)</f>
        <v>1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IFERROR(__xludf.DUMMYFUNCTION("""COMPUTED_VALUE"""),13.0)</f>
        <v>13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IFERROR(__xludf.DUMMYFUNCTION("""COMPUTED_VALUE"""),"Jim Miao")</f>
        <v>Jim Miao</v>
      </c>
      <c r="C259" s="132">
        <f>IFERROR(__xludf.DUMMYFUNCTION("""COMPUTED_VALUE"""),1.0)</f>
        <v>1</v>
      </c>
      <c r="D259" s="132">
        <f>IFERROR(__xludf.DUMMYFUNCTION("""COMPUTED_VALUE"""),3.0)</f>
        <v>3</v>
      </c>
      <c r="E259" s="132">
        <f>IFERROR(__xludf.DUMMYFUNCTION("""COMPUTED_VALUE"""),2.0)</f>
        <v>2</v>
      </c>
      <c r="F259" s="132">
        <f>IFERROR(__xludf.DUMMYFUNCTION("""COMPUTED_VALUE"""),6.0)</f>
        <v>6</v>
      </c>
      <c r="G259" s="132">
        <f>IFERROR(__xludf.DUMMYFUNCTION("""COMPUTED_VALUE"""),0.0)</f>
        <v>0</v>
      </c>
    </row>
    <row r="260">
      <c r="A260" s="122">
        <f>IFERROR(__xludf.DUMMYFUNCTION("""COMPUTED_VALUE"""),3.0)</f>
        <v>3</v>
      </c>
      <c r="B260" s="36" t="str">
        <f>IFERROR(__xludf.DUMMYFUNCTION("""COMPUTED_VALUE"""),"Darren Wong")</f>
        <v>Darren Wong</v>
      </c>
      <c r="C260" s="132">
        <f>IFERROR(__xludf.DUMMYFUNCTION("""COMPUTED_VALUE"""),6.0)</f>
        <v>6</v>
      </c>
      <c r="D260" s="132">
        <f>IFERROR(__xludf.DUMMYFUNCTION("""COMPUTED_VALUE"""),3.0)</f>
        <v>3</v>
      </c>
      <c r="E260" s="132">
        <f>IFERROR(__xludf.DUMMYFUNCTION("""COMPUTED_VALUE"""),6.0)</f>
        <v>6</v>
      </c>
      <c r="F260" s="132">
        <f>IFERROR(__xludf.DUMMYFUNCTION("""COMPUTED_VALUE"""),15.0)</f>
        <v>15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IFERROR(__xludf.DUMMYFUNCTION("""COMPUTED_VALUE"""),"Eric Pan")</f>
        <v>Eric Pan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IFERROR(__xludf.DUMMYFUNCTION("""COMPUTED_VALUE"""),2.0)</f>
        <v>2</v>
      </c>
      <c r="F261" s="132">
        <f>IFERROR(__xludf.DUMMYFUNCTION("""COMPUTED_VALUE"""),14.0)</f>
        <v>14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IFERROR(__xludf.DUMMYFUNCTION("""COMPUTED_VALUE"""),"Ted Shen")</f>
        <v>Ted Shen</v>
      </c>
      <c r="C262" s="135">
        <f>IFERROR(__xludf.DUMMYFUNCTION("""COMPUTED_VALUE"""),6.0)</f>
        <v>6</v>
      </c>
      <c r="D262" s="135">
        <f>IFERROR(__xludf.DUMMYFUNCTION("""COMPUTED_VALUE"""),3.0)</f>
        <v>3</v>
      </c>
      <c r="E262" s="135">
        <f>IFERROR(__xludf.DUMMYFUNCTION("""COMPUTED_VALUE"""),6.0)</f>
        <v>6</v>
      </c>
      <c r="F262" s="135">
        <f>IFERROR(__xludf.DUMMYFUNCTION("""COMPUTED_VALUE"""),15.0)</f>
        <v>15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IFERROR(__xludf.DUMMYFUNCTION("""COMPUTED_VALUE"""),"David Shin")</f>
        <v>David Shin</v>
      </c>
      <c r="C263" s="135">
        <f>IFERROR(__xludf.DUMMYFUNCTION("""COMPUTED_VALUE"""),6.0)</f>
        <v>6</v>
      </c>
      <c r="D263" s="135">
        <f>IFERROR(__xludf.DUMMYFUNCTION("""COMPUTED_VALUE"""),6.0)</f>
        <v>6</v>
      </c>
      <c r="E263" s="135">
        <f>IFERROR(__xludf.DUMMYFUNCTION("""COMPUTED_VALUE"""),4.0)</f>
        <v>4</v>
      </c>
      <c r="F263" s="135">
        <f>IFERROR(__xludf.DUMMYFUNCTION("""COMPUTED_VALUE"""),16.0)</f>
        <v>16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IFERROR(__xludf.DUMMYFUNCTION("""COMPUTED_VALUE"""),"Ruben Ron")</f>
        <v>Ruben Ron</v>
      </c>
      <c r="C264" s="135">
        <f>IFERROR(__xludf.DUMMYFUNCTION("""COMPUTED_VALUE"""),3.0)</f>
        <v>3</v>
      </c>
      <c r="D264" s="135">
        <f>IFERROR(__xludf.DUMMYFUNCTION("""COMPUTED_VALUE"""),6.0)</f>
        <v>6</v>
      </c>
      <c r="E264" s="135">
        <f>IFERROR(__xludf.DUMMYFUNCTION("""COMPUTED_VALUE"""),6.0)</f>
        <v>6</v>
      </c>
      <c r="F264" s="135">
        <f>IFERROR(__xludf.DUMMYFUNCTION("""COMPUTED_VALUE"""),15.0)</f>
        <v>15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IFERROR(__xludf.DUMMYFUNCTION("""COMPUTED_VALUE"""),"Rajasekar Ramasamy")</f>
        <v>Rajasekar Ramasamy</v>
      </c>
      <c r="C265" s="135">
        <f>IFERROR(__xludf.DUMMYFUNCTION("""COMPUTED_VALUE"""),3.0)</f>
        <v>3</v>
      </c>
      <c r="D265" s="135">
        <f>IFERROR(__xludf.DUMMYFUNCTION("""COMPUTED_VALUE"""),3.0)</f>
        <v>3</v>
      </c>
      <c r="E265" s="135">
        <f>IFERROR(__xludf.DUMMYFUNCTION("""COMPUTED_VALUE"""),4.0)</f>
        <v>4</v>
      </c>
      <c r="F265" s="135">
        <f>IFERROR(__xludf.DUMMYFUNCTION("""COMPUTED_VALUE"""),10.0)</f>
        <v>10</v>
      </c>
      <c r="G265" s="135">
        <f>IFERROR(__xludf.DUMMYFUNCTION("""COMPUTED_VALUE"""),0.0)</f>
        <v>0</v>
      </c>
    </row>
    <row r="266">
      <c r="A266" s="122">
        <f>IFERROR(__xludf.DUMMYFUNCTION("""COMPUTED_VALUE"""),5.0)</f>
        <v>5</v>
      </c>
      <c r="B266" s="36" t="str">
        <f>IFERROR(__xludf.DUMMYFUNCTION("""COMPUTED_VALUE"""),"Vinotkumar Nagappan")</f>
        <v>Vinotkumar Nagappan</v>
      </c>
      <c r="C266" s="132">
        <f>IFERROR(__xludf.DUMMYFUNCTION("""COMPUTED_VALUE"""),6.0)</f>
        <v>6</v>
      </c>
      <c r="D266" s="132">
        <f>IFERROR(__xludf.DUMMYFUNCTION("""COMPUTED_VALUE"""),1.0)</f>
        <v>1</v>
      </c>
      <c r="E266" s="132">
        <f>IFERROR(__xludf.DUMMYFUNCTION("""COMPUTED_VALUE"""),6.0)</f>
        <v>6</v>
      </c>
      <c r="F266" s="132">
        <f>IFERROR(__xludf.DUMMYFUNCTION("""COMPUTED_VALUE"""),13.0)</f>
        <v>13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IFERROR(__xludf.DUMMYFUNCTION("""COMPUTED_VALUE"""),"Jordan Tatang")</f>
        <v>Jordan Tatang</v>
      </c>
      <c r="C267" s="132">
        <f>IFERROR(__xludf.DUMMYFUNCTION("""COMPUTED_VALUE"""),6.0)</f>
        <v>6</v>
      </c>
      <c r="D267" s="132">
        <f>IFERROR(__xludf.DUMMYFUNCTION("""COMPUTED_VALUE"""),6.0)</f>
        <v>6</v>
      </c>
      <c r="E267" s="132">
        <f>IFERROR(__xludf.DUMMYFUNCTION("""COMPUTED_VALUE"""),7.0)</f>
        <v>7</v>
      </c>
      <c r="F267" s="132">
        <f>IFERROR(__xludf.DUMMYFUNCTION("""COMPUTED_VALUE"""),19.0)</f>
        <v>19</v>
      </c>
      <c r="G267" s="132">
        <f>IFERROR(__xludf.DUMMYFUNCTION("""COMPUTED_VALUE"""),3.0)</f>
        <v>3</v>
      </c>
    </row>
    <row r="268">
      <c r="A268" s="122">
        <f>IFERROR(__xludf.DUMMYFUNCTION("""COMPUTED_VALUE"""),5.0)</f>
        <v>5</v>
      </c>
      <c r="B268" s="36" t="str">
        <f>IFERROR(__xludf.DUMMYFUNCTION("""COMPUTED_VALUE"""),"Herman Au")</f>
        <v>Herman Au</v>
      </c>
      <c r="C268" s="132">
        <f>IFERROR(__xludf.DUMMYFUNCTION("""COMPUTED_VALUE"""),1.0)</f>
        <v>1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IFERROR(__xludf.DUMMYFUNCTION("""COMPUTED_VALUE"""),13.0)</f>
        <v>13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IFERROR(__xludf.DUMMYFUNCTION("""COMPUTED_VALUE"""),"Wayne Liu")</f>
        <v>Wayne Liu</v>
      </c>
      <c r="C269" s="132">
        <f>IFERROR(__xludf.DUMMYFUNCTION("""COMPUTED_VALUE"""),1.0)</f>
        <v>1</v>
      </c>
      <c r="D269" s="132">
        <f>IFERROR(__xludf.DUMMYFUNCTION("""COMPUTED_VALUE"""),1.0)</f>
        <v>1</v>
      </c>
      <c r="E269" s="132">
        <f>IFERROR(__xludf.DUMMYFUNCTION("""COMPUTED_VALUE"""),7.0)</f>
        <v>7</v>
      </c>
      <c r="F269" s="132">
        <f>IFERROR(__xludf.DUMMYFUNCTION("""COMPUTED_VALUE"""),9.0)</f>
        <v>9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IFERROR(__xludf.DUMMYFUNCTION("""COMPUTED_VALUE"""),"Ramesh Bandaru")</f>
        <v>Ramesh Bandaru</v>
      </c>
      <c r="C270" s="135">
        <f>IFERROR(__xludf.DUMMYFUNCTION("""COMPUTED_VALUE"""),6.0)</f>
        <v>6</v>
      </c>
      <c r="D270" s="135">
        <f>IFERROR(__xludf.DUMMYFUNCTION("""COMPUTED_VALUE"""),7.0)</f>
        <v>7</v>
      </c>
      <c r="E270" s="135">
        <f>IFERROR(__xludf.DUMMYFUNCTION("""COMPUTED_VALUE"""),2.0)</f>
        <v>2</v>
      </c>
      <c r="F270" s="135">
        <f>IFERROR(__xludf.DUMMYFUNCTION("""COMPUTED_VALUE"""),15.0)</f>
        <v>15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IFERROR(__xludf.DUMMYFUNCTION("""COMPUTED_VALUE"""),"Basudev Thoppai Vidyasankar")</f>
        <v>Basudev Thoppai Vidyasankar</v>
      </c>
      <c r="C271" s="135">
        <f>IFERROR(__xludf.DUMMYFUNCTION("""COMPUTED_VALUE"""),6.0)</f>
        <v>6</v>
      </c>
      <c r="D271" s="135">
        <f>IFERROR(__xludf.DUMMYFUNCTION("""COMPUTED_VALUE"""),5.0)</f>
        <v>5</v>
      </c>
      <c r="E271" s="135">
        <f>IFERROR(__xludf.DUMMYFUNCTION("""COMPUTED_VALUE"""),6.0)</f>
        <v>6</v>
      </c>
      <c r="F271" s="135">
        <f>IFERROR(__xludf.DUMMYFUNCTION("""COMPUTED_VALUE"""),17.0)</f>
        <v>17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IFERROR(__xludf.DUMMYFUNCTION("""COMPUTED_VALUE"""),"Elayaraja Thangaraj")</f>
        <v>Elayaraja Thangaraj</v>
      </c>
      <c r="C272" s="135">
        <f>IFERROR(__xludf.DUMMYFUNCTION("""COMPUTED_VALUE"""),3.0)</f>
        <v>3</v>
      </c>
      <c r="D272" s="135">
        <f>IFERROR(__xludf.DUMMYFUNCTION("""COMPUTED_VALUE"""),7.0)</f>
        <v>7</v>
      </c>
      <c r="E272" s="135">
        <f>IFERROR(__xludf.DUMMYFUNCTION("""COMPUTED_VALUE"""),6.0)</f>
        <v>6</v>
      </c>
      <c r="F272" s="135">
        <f>IFERROR(__xludf.DUMMYFUNCTION("""COMPUTED_VALUE"""),16.0)</f>
        <v>16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IFERROR(__xludf.DUMMYFUNCTION("""COMPUTED_VALUE"""),"Tina Hanson")</f>
        <v>Tina Hanson</v>
      </c>
      <c r="C273" s="135">
        <f>IFERROR(__xludf.DUMMYFUNCTION("""COMPUTED_VALUE"""),3.0)</f>
        <v>3</v>
      </c>
      <c r="D273" s="135">
        <f>IFERROR(__xludf.DUMMYFUNCTION("""COMPUTED_VALUE"""),5.0)</f>
        <v>5</v>
      </c>
      <c r="E273" s="135">
        <f>IFERROR(__xludf.DUMMYFUNCTION("""COMPUTED_VALUE"""),2.0)</f>
        <v>2</v>
      </c>
      <c r="F273" s="135">
        <f>IFERROR(__xludf.DUMMYFUNCTION("""COMPUTED_VALUE"""),10.0)</f>
        <v>10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IFERROR(__xludf.DUMMYFUNCTION("""COMPUTED_VALUE"""),"Alex Hou")</f>
        <v>Alex Hou</v>
      </c>
      <c r="C274" s="132">
        <f>IFERROR(__xludf.DUMMYFUNCTION("""COMPUTED_VALUE"""),4.0)</f>
        <v>4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IFERROR(__xludf.DUMMYFUNCTION("""COMPUTED_VALUE"""),16.0)</f>
        <v>16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IFERROR(__xludf.DUMMYFUNCTION("""COMPUTED_VALUE"""),"Chinna Ponnaganti")</f>
        <v>Chinna Ponnaganti</v>
      </c>
      <c r="C275" s="132">
        <f>IFERROR(__xludf.DUMMYFUNCTION("""COMPUTED_VALUE"""),6.0)</f>
        <v>6</v>
      </c>
      <c r="D275" s="132">
        <f>IFERROR(__xludf.DUMMYFUNCTION("""COMPUTED_VALUE"""),3.0)</f>
        <v>3</v>
      </c>
      <c r="E275" s="132">
        <f>IFERROR(__xludf.DUMMYFUNCTION("""COMPUTED_VALUE"""),6.0)</f>
        <v>6</v>
      </c>
      <c r="F275" s="132">
        <f>IFERROR(__xludf.DUMMYFUNCTION("""COMPUTED_VALUE"""),15.0)</f>
        <v>15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IFERROR(__xludf.DUMMYFUNCTION("""COMPUTED_VALUE"""),"Hongyuan Wen")</f>
        <v>Hongyuan Wen</v>
      </c>
      <c r="C276" s="132">
        <f>IFERROR(__xludf.DUMMYFUNCTION("""COMPUTED_VALUE"""),4.0)</f>
        <v>4</v>
      </c>
      <c r="D276" s="132">
        <f>IFERROR(__xludf.DUMMYFUNCTION("""COMPUTED_VALUE"""),3.0)</f>
        <v>3</v>
      </c>
      <c r="E276" s="132">
        <f>IFERROR(__xludf.DUMMYFUNCTION("""COMPUTED_VALUE"""),7.0)</f>
        <v>7</v>
      </c>
      <c r="F276" s="132">
        <f>IFERROR(__xludf.DUMMYFUNCTION("""COMPUTED_VALUE"""),14.0)</f>
        <v>14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IFERROR(__xludf.DUMMYFUNCTION("""COMPUTED_VALUE"""),"Sean Chang")</f>
        <v>Sean Chang</v>
      </c>
      <c r="C277" s="132">
        <f>IFERROR(__xludf.DUMMYFUNCTION("""COMPUTED_VALUE"""),6.0)</f>
        <v>6</v>
      </c>
      <c r="D277" s="132">
        <f>IFERROR(__xludf.DUMMYFUNCTION("""COMPUTED_VALUE"""),6.0)</f>
        <v>6</v>
      </c>
      <c r="E277" s="132">
        <f>IFERROR(__xludf.DUMMYFUNCTION("""COMPUTED_VALUE"""),7.0)</f>
        <v>7</v>
      </c>
      <c r="F277" s="132">
        <f>IFERROR(__xludf.DUMMYFUNCTION("""COMPUTED_VALUE"""),19.0)</f>
        <v>19</v>
      </c>
      <c r="G277" s="132">
        <f>IFERROR(__xludf.DUMMYFUNCTION("""COMPUTED_VALUE"""),3.0)</f>
        <v>3</v>
      </c>
    </row>
    <row r="278">
      <c r="A278" s="133">
        <f>IFERROR(__xludf.DUMMYFUNCTION("""COMPUTED_VALUE"""),8.0)</f>
        <v>8</v>
      </c>
      <c r="B278" s="134" t="str">
        <f>IFERROR(__xludf.DUMMYFUNCTION("""COMPUTED_VALUE"""),"Nicole Ni")</f>
        <v>Nicole Ni</v>
      </c>
      <c r="C278" s="135">
        <f>IFERROR(__xludf.DUMMYFUNCTION("""COMPUTED_VALUE"""),4.0)</f>
        <v>4</v>
      </c>
      <c r="D278" s="135">
        <f>IFERROR(__xludf.DUMMYFUNCTION("""COMPUTED_VALUE"""),3.0)</f>
        <v>3</v>
      </c>
      <c r="E278" s="135">
        <f>IFERROR(__xludf.DUMMYFUNCTION("""COMPUTED_VALUE"""),4.0)</f>
        <v>4</v>
      </c>
      <c r="F278" s="135">
        <f>IFERROR(__xludf.DUMMYFUNCTION("""COMPUTED_VALUE"""),11.0)</f>
        <v>11</v>
      </c>
      <c r="G278" s="135">
        <f>IFERROR(__xludf.DUMMYFUNCTION("""COMPUTED_VALUE"""),0.0)</f>
        <v>0</v>
      </c>
    </row>
    <row r="279">
      <c r="A279" s="133">
        <f>IFERROR(__xludf.DUMMYFUNCTION("""COMPUTED_VALUE"""),8.0)</f>
        <v>8</v>
      </c>
      <c r="B279" s="134" t="str">
        <f>IFERROR(__xludf.DUMMYFUNCTION("""COMPUTED_VALUE"""),"Kumar Palakeel")</f>
        <v>Kumar Palakeel</v>
      </c>
      <c r="C279" s="135">
        <f>IFERROR(__xludf.DUMMYFUNCTION("""COMPUTED_VALUE"""),6.0)</f>
        <v>6</v>
      </c>
      <c r="D279" s="135">
        <f>IFERROR(__xludf.DUMMYFUNCTION("""COMPUTED_VALUE"""),6.0)</f>
        <v>6</v>
      </c>
      <c r="E279" s="135">
        <f>IFERROR(__xludf.DUMMYFUNCTION("""COMPUTED_VALUE"""),4.0)</f>
        <v>4</v>
      </c>
      <c r="F279" s="135">
        <f>IFERROR(__xludf.DUMMYFUNCTION("""COMPUTED_VALUE"""),16.0)</f>
        <v>16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IFERROR(__xludf.DUMMYFUNCTION("""COMPUTED_VALUE"""),"Manuel Rivera")</f>
        <v>Manuel Rivera</v>
      </c>
      <c r="C280" s="135">
        <f>IFERROR(__xludf.DUMMYFUNCTION("""COMPUTED_VALUE"""),4.0)</f>
        <v>4</v>
      </c>
      <c r="D280" s="135">
        <f>IFERROR(__xludf.DUMMYFUNCTION("""COMPUTED_VALUE"""),6.0)</f>
        <v>6</v>
      </c>
      <c r="E280" s="135">
        <f>IFERROR(__xludf.DUMMYFUNCTION("""COMPUTED_VALUE"""),6.0)</f>
        <v>6</v>
      </c>
      <c r="F280" s="135">
        <f>IFERROR(__xludf.DUMMYFUNCTION("""COMPUTED_VALUE"""),16.0)</f>
        <v>16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IFERROR(__xludf.DUMMYFUNCTION("""COMPUTED_VALUE"""),"Coco Yan")</f>
        <v>Coco Yan</v>
      </c>
      <c r="C281" s="135">
        <f>IFERROR(__xludf.DUMMYFUNCTION("""COMPUTED_VALUE"""),6.0)</f>
        <v>6</v>
      </c>
      <c r="D281" s="135">
        <f>IFERROR(__xludf.DUMMYFUNCTION("""COMPUTED_VALUE"""),3.0)</f>
        <v>3</v>
      </c>
      <c r="E281" s="135">
        <f>IFERROR(__xludf.DUMMYFUNCTION("""COMPUTED_VALUE"""),6.0)</f>
        <v>6</v>
      </c>
      <c r="F281" s="135">
        <f>IFERROR(__xludf.DUMMYFUNCTION("""COMPUTED_VALUE"""),15.0)</f>
        <v>15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IFERROR(__xludf.DUMMYFUNCTION("""COMPUTED_VALUE"""),"Matthew Huang")</f>
        <v>Matthew Huang</v>
      </c>
      <c r="C282" s="132">
        <f>IFERROR(__xludf.DUMMYFUNCTION("""COMPUTED_VALUE"""),2.0)</f>
        <v>2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IFERROR(__xludf.DUMMYFUNCTION("""COMPUTED_VALUE"""),14.0)</f>
        <v>14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IFERROR(__xludf.DUMMYFUNCTION("""COMPUTED_VALUE"""),"Manish Anand")</f>
        <v>Manish Anand</v>
      </c>
      <c r="C283" s="132">
        <f>IFERROR(__xludf.DUMMYFUNCTION("""COMPUTED_VALUE"""),6.0)</f>
        <v>6</v>
      </c>
      <c r="D283" s="132">
        <f>IFERROR(__xludf.DUMMYFUNCTION("""COMPUTED_VALUE"""),2.0)</f>
        <v>2</v>
      </c>
      <c r="E283" s="132">
        <f>IFERROR(__xludf.DUMMYFUNCTION("""COMPUTED_VALUE"""),6.0)</f>
        <v>6</v>
      </c>
      <c r="F283" s="132">
        <f>IFERROR(__xludf.DUMMYFUNCTION("""COMPUTED_VALUE"""),14.0)</f>
        <v>14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IFERROR(__xludf.DUMMYFUNCTION("""COMPUTED_VALUE"""),"Mauricio Palacios")</f>
        <v>Mauricio Palacios</v>
      </c>
      <c r="C284" s="132">
        <f>IFERROR(__xludf.DUMMYFUNCTION("""COMPUTED_VALUE"""),6.0)</f>
        <v>6</v>
      </c>
      <c r="D284" s="132">
        <f>IFERROR(__xludf.DUMMYFUNCTION("""COMPUTED_VALUE"""),6.0)</f>
        <v>6</v>
      </c>
      <c r="E284" s="132">
        <f>IFERROR(__xludf.DUMMYFUNCTION("""COMPUTED_VALUE"""),3.0)</f>
        <v>3</v>
      </c>
      <c r="F284" s="132">
        <f>IFERROR(__xludf.DUMMYFUNCTION("""COMPUTED_VALUE"""),15.0)</f>
        <v>15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IFERROR(__xludf.DUMMYFUNCTION("""COMPUTED_VALUE"""),"Lloyd Sagar")</f>
        <v>Lloyd Sagar</v>
      </c>
      <c r="C285" s="132">
        <f>IFERROR(__xludf.DUMMYFUNCTION("""COMPUTED_VALUE"""),2.0)</f>
        <v>2</v>
      </c>
      <c r="D285" s="132">
        <f>IFERROR(__xludf.DUMMYFUNCTION("""COMPUTED_VALUE"""),2.0)</f>
        <v>2</v>
      </c>
      <c r="E285" s="132">
        <f>IFERROR(__xludf.DUMMYFUNCTION("""COMPUTED_VALUE"""),3.0)</f>
        <v>3</v>
      </c>
      <c r="F285" s="132">
        <f>IFERROR(__xludf.DUMMYFUNCTION("""COMPUTED_VALUE"""),7.0)</f>
        <v>7</v>
      </c>
      <c r="G285" s="132">
        <f>IFERROR(__xludf.DUMMYFUNCTION("""COMPUTED_VALUE"""),0.0)</f>
        <v>0</v>
      </c>
    </row>
    <row r="286">
      <c r="A286" s="133">
        <f>IFERROR(__xludf.DUMMYFUNCTION("""COMPUTED_VALUE"""),10.0)</f>
        <v>10</v>
      </c>
      <c r="B286" s="134" t="str">
        <f>IFERROR(__xludf.DUMMYFUNCTION("""COMPUTED_VALUE"""),"Trish Newlin")</f>
        <v>Trish Newlin</v>
      </c>
      <c r="C286" s="135">
        <f>IFERROR(__xludf.DUMMYFUNCTION("""COMPUTED_VALUE"""),3.0)</f>
        <v>3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IFERROR(__xludf.DUMMYFUNCTION("""COMPUTED_VALUE"""),15.0)</f>
        <v>15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IFERROR(__xludf.DUMMYFUNCTION("""COMPUTED_VALUE"""),"Jimmy Awolesi")</f>
        <v>Jimmy Awolesi</v>
      </c>
      <c r="C287" s="135">
        <f>IFERROR(__xludf.DUMMYFUNCTION("""COMPUTED_VALUE"""),6.0)</f>
        <v>6</v>
      </c>
      <c r="D287" s="135">
        <f>IFERROR(__xludf.DUMMYFUNCTION("""COMPUTED_VALUE"""),4.0)</f>
        <v>4</v>
      </c>
      <c r="E287" s="135">
        <f>IFERROR(__xludf.DUMMYFUNCTION("""COMPUTED_VALUE"""),6.0)</f>
        <v>6</v>
      </c>
      <c r="F287" s="135">
        <f>IFERROR(__xludf.DUMMYFUNCTION("""COMPUTED_VALUE"""),16.0)</f>
        <v>16</v>
      </c>
      <c r="G287" s="135">
        <f>IFERROR(__xludf.DUMMYFUNCTION("""COMPUTED_VALUE"""),2.0)</f>
        <v>2</v>
      </c>
    </row>
    <row r="288">
      <c r="A288" s="133">
        <f>IFERROR(__xludf.DUMMYFUNCTION("""COMPUTED_VALUE"""),10.0)</f>
        <v>10</v>
      </c>
      <c r="B288" s="134" t="str">
        <f>IFERROR(__xludf.DUMMYFUNCTION("""COMPUTED_VALUE"""),"Eric Tan")</f>
        <v>Eric Tan</v>
      </c>
      <c r="C288" s="135">
        <f>IFERROR(__xludf.DUMMYFUNCTION("""COMPUTED_VALUE"""),3.0)</f>
        <v>3</v>
      </c>
      <c r="D288" s="135">
        <f>IFERROR(__xludf.DUMMYFUNCTION("""COMPUTED_VALUE"""),4.0)</f>
        <v>4</v>
      </c>
      <c r="E288" s="135">
        <f>IFERROR(__xludf.DUMMYFUNCTION("""COMPUTED_VALUE"""),3.0)</f>
        <v>3</v>
      </c>
      <c r="F288" s="135">
        <f>IFERROR(__xludf.DUMMYFUNCTION("""COMPUTED_VALUE"""),10.0)</f>
        <v>10</v>
      </c>
      <c r="G288" s="135">
        <f>IFERROR(__xludf.DUMMYFUNCTION("""COMPUTED_VALUE"""),0.0)</f>
        <v>0</v>
      </c>
    </row>
    <row r="289">
      <c r="A289" s="133">
        <f>IFERROR(__xludf.DUMMYFUNCTION("""COMPUTED_VALUE"""),10.0)</f>
        <v>10</v>
      </c>
      <c r="B289" s="134" t="str">
        <f>IFERROR(__xludf.DUMMYFUNCTION("""COMPUTED_VALUE"""),"Vinaya Kajla")</f>
        <v>Vinaya Kajla</v>
      </c>
      <c r="C289" s="135">
        <f>IFERROR(__xludf.DUMMYFUNCTION("""COMPUTED_VALUE"""),6.0)</f>
        <v>6</v>
      </c>
      <c r="D289" s="135">
        <f>IFERROR(__xludf.DUMMYFUNCTION("""COMPUTED_VALUE"""),6.0)</f>
        <v>6</v>
      </c>
      <c r="E289" s="135">
        <f>IFERROR(__xludf.DUMMYFUNCTION("""COMPUTED_VALUE"""),3.0)</f>
        <v>3</v>
      </c>
      <c r="F289" s="135">
        <f>IFERROR(__xludf.DUMMYFUNCTION("""COMPUTED_VALUE"""),15.0)</f>
        <v>15</v>
      </c>
      <c r="G289" s="135">
        <f>IFERROR(__xludf.DUMMYFUNCTION("""COMPUTED_VALUE"""),2.0)</f>
        <v>2</v>
      </c>
    </row>
    <row r="290">
      <c r="A290" s="122">
        <f>IFERROR(__xludf.DUMMYFUNCTION("""COMPUTED_VALUE"""),11.0)</f>
        <v>11</v>
      </c>
      <c r="B290" s="36" t="str">
        <f>IFERROR(__xludf.DUMMYFUNCTION("""COMPUTED_VALUE"""),"Sandy Weyant")</f>
        <v>Sandy Weyant</v>
      </c>
      <c r="C290" s="132">
        <f>IFERROR(__xludf.DUMMYFUNCTION("""COMPUTED_VALUE"""),0.0)</f>
        <v>0</v>
      </c>
      <c r="D290" s="132">
        <f>IFERROR(__xludf.DUMMYFUNCTION("""COMPUTED_VALUE"""),7.0)</f>
        <v>7</v>
      </c>
      <c r="E290" s="132">
        <f>IFERROR(__xludf.DUMMYFUNCTION("""COMPUTED_VALUE"""),6.0)</f>
        <v>6</v>
      </c>
      <c r="F290" s="132">
        <f>IFERROR(__xludf.DUMMYFUNCTION("""COMPUTED_VALUE"""),13.0)</f>
        <v>13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IFERROR(__xludf.DUMMYFUNCTION("""COMPUTED_VALUE"""),"Tom Le")</f>
        <v>Tom Le</v>
      </c>
      <c r="C291" s="132">
        <f>IFERROR(__xludf.DUMMYFUNCTION("""COMPUTED_VALUE"""),6.0)</f>
        <v>6</v>
      </c>
      <c r="D291" s="132">
        <f>IFERROR(__xludf.DUMMYFUNCTION("""COMPUTED_VALUE"""),6.0)</f>
        <v>6</v>
      </c>
      <c r="E291" s="132">
        <f>IFERROR(__xludf.DUMMYFUNCTION("""COMPUTED_VALUE"""),6.0)</f>
        <v>6</v>
      </c>
      <c r="F291" s="132">
        <f>IFERROR(__xludf.DUMMYFUNCTION("""COMPUTED_VALUE"""),18.0)</f>
        <v>18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IFERROR(__xludf.DUMMYFUNCTION("""COMPUTED_VALUE"""),"Alejandro Mejia")</f>
        <v>Alejandro Mejia</v>
      </c>
      <c r="C292" s="132">
        <f>IFERROR(__xludf.DUMMYFUNCTION("""COMPUTED_VALUE"""),6.0)</f>
        <v>6</v>
      </c>
      <c r="D292" s="132">
        <f>IFERROR(__xludf.DUMMYFUNCTION("""COMPUTED_VALUE"""),7.0)</f>
        <v>7</v>
      </c>
      <c r="E292" s="132">
        <f>IFERROR(__xludf.DUMMYFUNCTION("""COMPUTED_VALUE"""),1.0)</f>
        <v>1</v>
      </c>
      <c r="F292" s="132">
        <f>IFERROR(__xludf.DUMMYFUNCTION("""COMPUTED_VALUE"""),14.0)</f>
        <v>14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IFERROR(__xludf.DUMMYFUNCTION("""COMPUTED_VALUE"""),"Joyce Zhu")</f>
        <v>Joyce Zhu</v>
      </c>
      <c r="C293" s="132">
        <f>IFERROR(__xludf.DUMMYFUNCTION("""COMPUTED_VALUE"""),0.0)</f>
        <v>0</v>
      </c>
      <c r="D293" s="132">
        <f>IFERROR(__xludf.DUMMYFUNCTION("""COMPUTED_VALUE"""),6.0)</f>
        <v>6</v>
      </c>
      <c r="E293" s="132">
        <f>IFERROR(__xludf.DUMMYFUNCTION("""COMPUTED_VALUE"""),1.0)</f>
        <v>1</v>
      </c>
      <c r="F293" s="132">
        <f>IFERROR(__xludf.DUMMYFUNCTION("""COMPUTED_VALUE"""),7.0)</f>
        <v>7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IFERROR(__xludf.DUMMYFUNCTION("""COMPUTED_VALUE"""),"Balaji Alahari")</f>
        <v>Balaji Alahari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IFERROR(__xludf.DUMMYFUNCTION("""COMPUTED_VALUE"""),"Basudev Thoppai Vidyasankar")</f>
        <v>Basudev Thoppai Vidyasankar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IFERROR(__xludf.DUMMYFUNCTION("""COMPUTED_VALUE"""),"James Phan")</f>
        <v>James Phan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IFERROR(__xludf.DUMMYFUNCTION("""COMPUTED_VALUE"""),"Jaya Sogata")</f>
        <v>Jaya Sogata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 Miao")</f>
        <v>Jim Miao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IFERROR(__xludf.DUMMYFUNCTION("""COMPUTED_VALUE"""),"Jimmy Awolesi")</f>
        <v>Jimmy Awolesi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IFERROR(__xludf.DUMMYFUNCTION("""COMPUTED_VALUE"""),"Joe Luzzi")</f>
        <v>Joe Luzzi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IFERROR(__xludf.DUMMYFUNCTION("""COMPUTED_VALUE"""),"Jonathan Phan")</f>
        <v>Jonathan Phan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IFERROR(__xludf.DUMMYFUNCTION("""COMPUTED_VALUE"""),"Jordan Tatang")</f>
        <v>Jordan Tatang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46116.0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13.0</v>
      </c>
      <c r="E2" s="5"/>
      <c r="F2" s="5"/>
      <c r="R2" s="18"/>
      <c r="AC2" s="22" t="str">
        <f>text(C1-7,"mm/dd/yy")</f>
        <v>03/28/26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188.0</v>
      </c>
      <c r="D5" s="37">
        <v>25.0</v>
      </c>
      <c r="E5" s="40">
        <f t="shared" ref="E5:E79" si="2">if(S5&gt;0,(C5-(V5*9)-(T5*13))/S5,0)</f>
        <v>15.45454545</v>
      </c>
      <c r="F5" s="90">
        <v>3.0</v>
      </c>
      <c r="G5" s="91">
        <v>0.0</v>
      </c>
      <c r="H5" s="92">
        <v>9.0</v>
      </c>
      <c r="I5" s="91">
        <v>0.0</v>
      </c>
      <c r="J5" s="91">
        <v>0.0</v>
      </c>
      <c r="K5" s="91">
        <v>0.0</v>
      </c>
      <c r="L5" s="93">
        <v>9.0</v>
      </c>
      <c r="M5" s="91">
        <v>0.0</v>
      </c>
      <c r="N5" s="37">
        <f t="shared" ref="N5:O5" si="1">C5+L5</f>
        <v>197</v>
      </c>
      <c r="O5" s="37">
        <f t="shared" si="1"/>
        <v>25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11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2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176.0</v>
      </c>
      <c r="D6" s="37">
        <v>21.0</v>
      </c>
      <c r="E6" s="40">
        <f t="shared" si="2"/>
        <v>14.36363636</v>
      </c>
      <c r="F6" s="90">
        <v>1.0</v>
      </c>
      <c r="G6" s="91">
        <v>1.0</v>
      </c>
      <c r="H6" s="92">
        <v>0.0</v>
      </c>
      <c r="I6" s="91">
        <v>7.0</v>
      </c>
      <c r="J6" s="91">
        <v>6.0</v>
      </c>
      <c r="K6" s="91">
        <v>6.0</v>
      </c>
      <c r="L6" s="93">
        <v>19.0</v>
      </c>
      <c r="M6" s="91">
        <v>3.0</v>
      </c>
      <c r="N6" s="37">
        <f t="shared" ref="N6:O6" si="3">C6+L6</f>
        <v>195</v>
      </c>
      <c r="O6" s="37">
        <f t="shared" si="3"/>
        <v>24</v>
      </c>
      <c r="P6" s="49" t="s">
        <v>57</v>
      </c>
      <c r="Q6" s="49" t="s">
        <v>57</v>
      </c>
      <c r="R6" s="49" t="s">
        <v>57</v>
      </c>
      <c r="S6" s="51">
        <f t="shared" si="4"/>
        <v>11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68</v>
      </c>
      <c r="C7" s="37">
        <v>170.0</v>
      </c>
      <c r="D7" s="37">
        <v>18.0</v>
      </c>
      <c r="E7" s="40">
        <f t="shared" si="2"/>
        <v>13.81818182</v>
      </c>
      <c r="F7" s="90">
        <v>1.0</v>
      </c>
      <c r="G7" s="91">
        <v>1.0</v>
      </c>
      <c r="H7" s="92">
        <v>0.0</v>
      </c>
      <c r="I7" s="91">
        <v>5.0</v>
      </c>
      <c r="J7" s="91">
        <v>4.0</v>
      </c>
      <c r="K7" s="91">
        <v>6.0</v>
      </c>
      <c r="L7" s="93">
        <v>15.0</v>
      </c>
      <c r="M7" s="91">
        <v>1.0</v>
      </c>
      <c r="N7" s="37">
        <f t="shared" ref="N7:O7" si="11">C7+L7</f>
        <v>185</v>
      </c>
      <c r="O7" s="37">
        <f t="shared" si="11"/>
        <v>19</v>
      </c>
      <c r="P7" s="49" t="s">
        <v>57</v>
      </c>
      <c r="Q7" s="49" t="s">
        <v>57</v>
      </c>
      <c r="R7" s="49" t="s">
        <v>57</v>
      </c>
      <c r="S7" s="51">
        <f t="shared" si="4"/>
        <v>11</v>
      </c>
      <c r="T7" s="52">
        <f t="shared" si="5"/>
        <v>0</v>
      </c>
      <c r="U7" s="52"/>
      <c r="V7" s="51">
        <f t="shared" si="6"/>
        <v>2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80</v>
      </c>
      <c r="C8" s="37">
        <v>170.0</v>
      </c>
      <c r="D8" s="37">
        <v>17.0</v>
      </c>
      <c r="E8" s="40">
        <f t="shared" si="2"/>
        <v>13.9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179</v>
      </c>
      <c r="O8" s="37">
        <f t="shared" si="13"/>
        <v>17</v>
      </c>
      <c r="P8" s="49" t="s">
        <v>57</v>
      </c>
      <c r="Q8" s="49" t="s">
        <v>57</v>
      </c>
      <c r="R8" s="49" t="s">
        <v>57</v>
      </c>
      <c r="S8" s="51">
        <f t="shared" si="4"/>
        <v>10</v>
      </c>
      <c r="T8" s="52">
        <f t="shared" si="5"/>
        <v>1</v>
      </c>
      <c r="U8" s="52"/>
      <c r="V8" s="51">
        <f t="shared" si="6"/>
        <v>2</v>
      </c>
      <c r="W8" s="52">
        <f t="shared" si="7"/>
        <v>-1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127</v>
      </c>
      <c r="C9" s="37">
        <v>166.0</v>
      </c>
      <c r="D9" s="37">
        <v>17.0</v>
      </c>
      <c r="E9" s="40">
        <f t="shared" si="2"/>
        <v>13.9</v>
      </c>
      <c r="F9" s="90">
        <v>1.0</v>
      </c>
      <c r="G9" s="91">
        <v>1.0</v>
      </c>
      <c r="H9" s="92">
        <v>0.0</v>
      </c>
      <c r="I9" s="91">
        <v>5.0</v>
      </c>
      <c r="J9" s="91">
        <v>6.0</v>
      </c>
      <c r="K9" s="91">
        <v>3.0</v>
      </c>
      <c r="L9" s="93">
        <v>14.0</v>
      </c>
      <c r="M9" s="91">
        <v>1.0</v>
      </c>
      <c r="N9" s="37">
        <f t="shared" ref="N9:O9" si="14">C9+L9</f>
        <v>180</v>
      </c>
      <c r="O9" s="37">
        <f t="shared" si="14"/>
        <v>18</v>
      </c>
      <c r="P9" s="49" t="s">
        <v>57</v>
      </c>
      <c r="Q9" s="49" t="s">
        <v>57</v>
      </c>
      <c r="R9" s="49" t="s">
        <v>57</v>
      </c>
      <c r="S9" s="51">
        <f t="shared" si="4"/>
        <v>10</v>
      </c>
      <c r="T9" s="52">
        <f t="shared" si="5"/>
        <v>0</v>
      </c>
      <c r="U9" s="52"/>
      <c r="V9" s="51">
        <f t="shared" si="6"/>
        <v>3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77</v>
      </c>
      <c r="C10" s="37">
        <v>165.0</v>
      </c>
      <c r="D10" s="37">
        <v>17.0</v>
      </c>
      <c r="E10" s="40">
        <f t="shared" si="2"/>
        <v>12.69230769</v>
      </c>
      <c r="F10" s="90">
        <v>1.0</v>
      </c>
      <c r="G10" s="91">
        <v>1.0</v>
      </c>
      <c r="H10" s="92">
        <v>0.0</v>
      </c>
      <c r="I10" s="91">
        <v>7.0</v>
      </c>
      <c r="J10" s="91">
        <v>4.0</v>
      </c>
      <c r="K10" s="91">
        <v>3.0</v>
      </c>
      <c r="L10" s="93">
        <v>14.0</v>
      </c>
      <c r="M10" s="91">
        <v>1.0</v>
      </c>
      <c r="N10" s="37">
        <f t="shared" ref="N10:O10" si="15">C10+L10</f>
        <v>179</v>
      </c>
      <c r="O10" s="37">
        <f t="shared" si="15"/>
        <v>18</v>
      </c>
      <c r="P10" s="49" t="s">
        <v>57</v>
      </c>
      <c r="Q10" s="49" t="s">
        <v>57</v>
      </c>
      <c r="R10" s="49" t="s">
        <v>57</v>
      </c>
      <c r="S10" s="51">
        <f t="shared" si="4"/>
        <v>13</v>
      </c>
      <c r="T10" s="52">
        <f t="shared" si="5"/>
        <v>0</v>
      </c>
      <c r="U10" s="52"/>
      <c r="V10" s="51">
        <f t="shared" si="6"/>
        <v>0</v>
      </c>
      <c r="W10" s="52">
        <f t="shared" si="7"/>
        <v>8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111</v>
      </c>
      <c r="C11" s="37">
        <v>164.0</v>
      </c>
      <c r="D11" s="37">
        <v>16.0</v>
      </c>
      <c r="E11" s="40">
        <f t="shared" si="2"/>
        <v>13.3</v>
      </c>
      <c r="F11" s="90">
        <v>1.0</v>
      </c>
      <c r="G11" s="91">
        <v>2.0</v>
      </c>
      <c r="H11" s="92">
        <v>0.0</v>
      </c>
      <c r="I11" s="91">
        <v>4.0</v>
      </c>
      <c r="J11" s="91">
        <v>6.0</v>
      </c>
      <c r="K11" s="91">
        <v>6.0</v>
      </c>
      <c r="L11" s="93">
        <v>16.0</v>
      </c>
      <c r="M11" s="91">
        <v>2.0</v>
      </c>
      <c r="N11" s="37">
        <f t="shared" ref="N11:O11" si="16">C11+L11</f>
        <v>180</v>
      </c>
      <c r="O11" s="37">
        <f t="shared" si="16"/>
        <v>18</v>
      </c>
      <c r="P11" s="49" t="s">
        <v>57</v>
      </c>
      <c r="Q11" s="49" t="s">
        <v>57</v>
      </c>
      <c r="R11" s="49" t="s">
        <v>57</v>
      </c>
      <c r="S11" s="51">
        <f t="shared" si="4"/>
        <v>10</v>
      </c>
      <c r="T11" s="52">
        <f t="shared" si="5"/>
        <v>1</v>
      </c>
      <c r="U11" s="52"/>
      <c r="V11" s="51">
        <f t="shared" si="6"/>
        <v>2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103</v>
      </c>
      <c r="C12" s="37">
        <v>163.0</v>
      </c>
      <c r="D12" s="37">
        <v>18.0</v>
      </c>
      <c r="E12" s="40">
        <f t="shared" si="2"/>
        <v>12.83333333</v>
      </c>
      <c r="F12" s="90">
        <v>2.0</v>
      </c>
      <c r="G12" s="91">
        <v>2.0</v>
      </c>
      <c r="H12" s="92">
        <v>0.0</v>
      </c>
      <c r="I12" s="91">
        <v>4.0</v>
      </c>
      <c r="J12" s="91">
        <v>4.0</v>
      </c>
      <c r="K12" s="91">
        <v>3.0</v>
      </c>
      <c r="L12" s="93">
        <v>11.0</v>
      </c>
      <c r="M12" s="91">
        <v>0.0</v>
      </c>
      <c r="N12" s="37">
        <f t="shared" ref="N12:O12" si="17">C12+L12</f>
        <v>174</v>
      </c>
      <c r="O12" s="37">
        <f t="shared" si="17"/>
        <v>18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0</v>
      </c>
      <c r="U12" s="52"/>
      <c r="V12" s="51">
        <f t="shared" si="6"/>
        <v>1</v>
      </c>
      <c r="W12" s="52">
        <f t="shared" si="7"/>
        <v>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93</v>
      </c>
      <c r="C13" s="37">
        <v>163.0</v>
      </c>
      <c r="D13" s="37">
        <v>16.0</v>
      </c>
      <c r="E13" s="40">
        <f t="shared" si="2"/>
        <v>13.2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172</v>
      </c>
      <c r="O13" s="37">
        <f t="shared" si="18"/>
        <v>16</v>
      </c>
      <c r="P13" s="49" t="s">
        <v>57</v>
      </c>
      <c r="Q13" s="49" t="s">
        <v>57</v>
      </c>
      <c r="R13" s="49" t="s">
        <v>57</v>
      </c>
      <c r="S13" s="51">
        <f t="shared" si="4"/>
        <v>10</v>
      </c>
      <c r="T13" s="52">
        <f t="shared" si="5"/>
        <v>1</v>
      </c>
      <c r="U13" s="52"/>
      <c r="V13" s="51">
        <f t="shared" si="6"/>
        <v>2</v>
      </c>
      <c r="W13" s="52">
        <f t="shared" si="7"/>
        <v>2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135</v>
      </c>
      <c r="C14" s="37">
        <v>163.0</v>
      </c>
      <c r="D14" s="37">
        <v>12.0</v>
      </c>
      <c r="E14" s="40">
        <f t="shared" si="2"/>
        <v>14.11111111</v>
      </c>
      <c r="F14" s="90">
        <v>1.0</v>
      </c>
      <c r="G14" s="91">
        <v>2.0</v>
      </c>
      <c r="H14" s="92">
        <v>0.0</v>
      </c>
      <c r="I14" s="91">
        <v>6.0</v>
      </c>
      <c r="J14" s="91">
        <v>4.0</v>
      </c>
      <c r="K14" s="91">
        <v>6.0</v>
      </c>
      <c r="L14" s="93">
        <v>16.0</v>
      </c>
      <c r="M14" s="91">
        <v>2.0</v>
      </c>
      <c r="N14" s="37">
        <f t="shared" ref="N14:O14" si="19">C14+L14</f>
        <v>179</v>
      </c>
      <c r="O14" s="37">
        <f t="shared" si="19"/>
        <v>14</v>
      </c>
      <c r="P14" s="49" t="s">
        <v>57</v>
      </c>
      <c r="Q14" s="49" t="s">
        <v>57</v>
      </c>
      <c r="R14" s="49" t="s">
        <v>57</v>
      </c>
      <c r="S14" s="51">
        <f t="shared" si="4"/>
        <v>9</v>
      </c>
      <c r="T14" s="52">
        <f t="shared" si="5"/>
        <v>0</v>
      </c>
      <c r="U14" s="52"/>
      <c r="V14" s="51">
        <f t="shared" si="6"/>
        <v>4</v>
      </c>
      <c r="W14" s="52">
        <f t="shared" si="7"/>
        <v>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92</v>
      </c>
      <c r="C15" s="37">
        <v>162.0</v>
      </c>
      <c r="D15" s="37">
        <v>12.0</v>
      </c>
      <c r="E15" s="40">
        <f t="shared" si="2"/>
        <v>14</v>
      </c>
      <c r="F15" s="90">
        <v>1.0</v>
      </c>
      <c r="G15" s="91">
        <v>2.0</v>
      </c>
      <c r="H15" s="92">
        <v>0.0</v>
      </c>
      <c r="I15" s="91">
        <v>6.0</v>
      </c>
      <c r="J15" s="91">
        <v>6.0</v>
      </c>
      <c r="K15" s="91">
        <v>3.0</v>
      </c>
      <c r="L15" s="93">
        <v>15.0</v>
      </c>
      <c r="M15" s="91">
        <v>2.0</v>
      </c>
      <c r="N15" s="37">
        <f t="shared" ref="N15:O15" si="20">C15+L15</f>
        <v>177</v>
      </c>
      <c r="O15" s="37">
        <f t="shared" si="20"/>
        <v>14</v>
      </c>
      <c r="P15" s="49" t="s">
        <v>57</v>
      </c>
      <c r="Q15" s="49" t="s">
        <v>57</v>
      </c>
      <c r="R15" s="49" t="s">
        <v>57</v>
      </c>
      <c r="S15" s="51">
        <f t="shared" si="4"/>
        <v>9</v>
      </c>
      <c r="T15" s="52">
        <f t="shared" si="5"/>
        <v>0</v>
      </c>
      <c r="U15" s="52"/>
      <c r="V15" s="51">
        <f t="shared" si="6"/>
        <v>4</v>
      </c>
      <c r="W15" s="52">
        <f t="shared" si="7"/>
        <v>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96</v>
      </c>
      <c r="C16" s="37">
        <v>160.0</v>
      </c>
      <c r="D16" s="37">
        <v>18.0</v>
      </c>
      <c r="E16" s="40">
        <f t="shared" si="2"/>
        <v>12.30769231</v>
      </c>
      <c r="F16" s="90">
        <v>1.0</v>
      </c>
      <c r="G16" s="91">
        <v>3.0</v>
      </c>
      <c r="H16" s="92">
        <v>0.0</v>
      </c>
      <c r="I16" s="91">
        <v>1.0</v>
      </c>
      <c r="J16" s="91">
        <v>6.0</v>
      </c>
      <c r="K16" s="91">
        <v>6.0</v>
      </c>
      <c r="L16" s="93">
        <v>13.0</v>
      </c>
      <c r="M16" s="91">
        <v>2.0</v>
      </c>
      <c r="N16" s="37">
        <f t="shared" ref="N16:O16" si="21">C16+L16</f>
        <v>173</v>
      </c>
      <c r="O16" s="37">
        <f t="shared" si="21"/>
        <v>20</v>
      </c>
      <c r="P16" s="49" t="s">
        <v>57</v>
      </c>
      <c r="Q16" s="49" t="s">
        <v>57</v>
      </c>
      <c r="R16" s="49" t="s">
        <v>57</v>
      </c>
      <c r="S16" s="51">
        <f t="shared" si="4"/>
        <v>13</v>
      </c>
      <c r="T16" s="52">
        <f t="shared" si="5"/>
        <v>0</v>
      </c>
      <c r="U16" s="52"/>
      <c r="V16" s="51">
        <f t="shared" si="6"/>
        <v>0</v>
      </c>
      <c r="W16" s="52">
        <f t="shared" si="7"/>
        <v>-4</v>
      </c>
      <c r="X16" s="35">
        <f t="shared" si="12"/>
        <v>12</v>
      </c>
      <c r="Y16" s="35" t="str">
        <f t="shared" si="8"/>
        <v>Y</v>
      </c>
      <c r="Z16" s="19" t="str">
        <f t="shared" si="9"/>
        <v/>
      </c>
    </row>
    <row r="17">
      <c r="A17" s="35">
        <f t="shared" si="10"/>
        <v>13</v>
      </c>
      <c r="B17" s="36" t="s">
        <v>128</v>
      </c>
      <c r="C17" s="37">
        <v>159.0</v>
      </c>
      <c r="D17" s="37">
        <v>14.0</v>
      </c>
      <c r="E17" s="40">
        <f t="shared" si="2"/>
        <v>13.2</v>
      </c>
      <c r="F17" s="90">
        <v>1.0</v>
      </c>
      <c r="G17" s="91">
        <v>3.0</v>
      </c>
      <c r="H17" s="92">
        <v>0.0</v>
      </c>
      <c r="I17" s="91">
        <v>1.0</v>
      </c>
      <c r="J17" s="91">
        <v>3.0</v>
      </c>
      <c r="K17" s="91">
        <v>2.0</v>
      </c>
      <c r="L17" s="93">
        <v>6.0</v>
      </c>
      <c r="M17" s="91">
        <v>0.0</v>
      </c>
      <c r="N17" s="37">
        <f t="shared" ref="N17:O17" si="22">C17+L17</f>
        <v>165</v>
      </c>
      <c r="O17" s="37">
        <f t="shared" si="22"/>
        <v>14</v>
      </c>
      <c r="P17" s="49" t="s">
        <v>57</v>
      </c>
      <c r="Q17" s="49" t="s">
        <v>57</v>
      </c>
      <c r="R17" s="49" t="s">
        <v>57</v>
      </c>
      <c r="S17" s="51">
        <f t="shared" si="4"/>
        <v>10</v>
      </c>
      <c r="T17" s="52">
        <f t="shared" si="5"/>
        <v>0</v>
      </c>
      <c r="U17" s="52"/>
      <c r="V17" s="51">
        <f t="shared" si="6"/>
        <v>3</v>
      </c>
      <c r="W17" s="52">
        <f t="shared" si="7"/>
        <v>-7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89</v>
      </c>
      <c r="C18" s="37">
        <v>157.0</v>
      </c>
      <c r="D18" s="37">
        <v>15.0</v>
      </c>
      <c r="E18" s="40">
        <f t="shared" si="2"/>
        <v>14</v>
      </c>
      <c r="F18" s="90">
        <v>1.0</v>
      </c>
      <c r="G18" s="91">
        <v>3.0</v>
      </c>
      <c r="H18" s="92">
        <v>0.0</v>
      </c>
      <c r="I18" s="91">
        <v>6.0</v>
      </c>
      <c r="J18" s="91">
        <v>3.0</v>
      </c>
      <c r="K18" s="91">
        <v>6.0</v>
      </c>
      <c r="L18" s="93">
        <v>15.0</v>
      </c>
      <c r="M18" s="91">
        <v>2.0</v>
      </c>
      <c r="N18" s="37">
        <f t="shared" ref="N18:O18" si="23">C18+L18</f>
        <v>172</v>
      </c>
      <c r="O18" s="37">
        <f t="shared" si="23"/>
        <v>17</v>
      </c>
      <c r="P18" s="49" t="s">
        <v>57</v>
      </c>
      <c r="Q18" s="49" t="s">
        <v>57</v>
      </c>
      <c r="R18" s="49" t="s">
        <v>57</v>
      </c>
      <c r="S18" s="51">
        <f t="shared" si="4"/>
        <v>8</v>
      </c>
      <c r="T18" s="52">
        <f t="shared" si="5"/>
        <v>0</v>
      </c>
      <c r="U18" s="52"/>
      <c r="V18" s="51">
        <f t="shared" si="6"/>
        <v>5</v>
      </c>
      <c r="W18" s="52">
        <f t="shared" si="7"/>
        <v>4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114</v>
      </c>
      <c r="C19" s="37">
        <v>155.0</v>
      </c>
      <c r="D19" s="37">
        <v>16.0</v>
      </c>
      <c r="E19" s="40">
        <f t="shared" si="2"/>
        <v>13.75</v>
      </c>
      <c r="F19" s="90">
        <v>1.0</v>
      </c>
      <c r="G19" s="91">
        <v>3.0</v>
      </c>
      <c r="H19" s="92">
        <v>0.0</v>
      </c>
      <c r="I19" s="91">
        <v>6.0</v>
      </c>
      <c r="J19" s="91">
        <v>6.0</v>
      </c>
      <c r="K19" s="91">
        <v>2.0</v>
      </c>
      <c r="L19" s="93">
        <v>14.0</v>
      </c>
      <c r="M19" s="91">
        <v>2.0</v>
      </c>
      <c r="N19" s="37">
        <f t="shared" ref="N19:O19" si="24">C19+L19</f>
        <v>169</v>
      </c>
      <c r="O19" s="37">
        <f t="shared" si="24"/>
        <v>18</v>
      </c>
      <c r="P19" s="49" t="s">
        <v>57</v>
      </c>
      <c r="Q19" s="49" t="s">
        <v>57</v>
      </c>
      <c r="R19" s="49" t="s">
        <v>57</v>
      </c>
      <c r="S19" s="51">
        <f t="shared" si="4"/>
        <v>8</v>
      </c>
      <c r="T19" s="52">
        <f t="shared" si="5"/>
        <v>0</v>
      </c>
      <c r="U19" s="52"/>
      <c r="V19" s="51">
        <f t="shared" si="6"/>
        <v>5</v>
      </c>
      <c r="W19" s="52">
        <f t="shared" si="7"/>
        <v>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108</v>
      </c>
      <c r="C20" s="37">
        <v>154.0</v>
      </c>
      <c r="D20" s="37">
        <v>16.0</v>
      </c>
      <c r="E20" s="40">
        <f t="shared" si="2"/>
        <v>12.36363636</v>
      </c>
      <c r="F20" s="90">
        <v>1.0</v>
      </c>
      <c r="G20" s="91">
        <v>4.0</v>
      </c>
      <c r="H20" s="92">
        <v>0.0</v>
      </c>
      <c r="I20" s="91">
        <v>6.0</v>
      </c>
      <c r="J20" s="91">
        <v>3.0</v>
      </c>
      <c r="K20" s="91">
        <v>6.0</v>
      </c>
      <c r="L20" s="93">
        <v>15.0</v>
      </c>
      <c r="M20" s="91">
        <v>2.0</v>
      </c>
      <c r="N20" s="37">
        <f t="shared" ref="N20:O20" si="25">C20+L20</f>
        <v>169</v>
      </c>
      <c r="O20" s="37">
        <f t="shared" si="25"/>
        <v>18</v>
      </c>
      <c r="P20" s="49" t="s">
        <v>57</v>
      </c>
      <c r="Q20" s="49" t="s">
        <v>57</v>
      </c>
      <c r="R20" s="49" t="s">
        <v>57</v>
      </c>
      <c r="S20" s="51">
        <f t="shared" si="4"/>
        <v>11</v>
      </c>
      <c r="T20" s="52">
        <f t="shared" si="5"/>
        <v>0</v>
      </c>
      <c r="U20" s="52"/>
      <c r="V20" s="51">
        <f t="shared" si="6"/>
        <v>2</v>
      </c>
      <c r="W20" s="52">
        <f t="shared" si="7"/>
        <v>1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94</v>
      </c>
      <c r="C21" s="37">
        <v>153.0</v>
      </c>
      <c r="D21" s="37">
        <v>15.0</v>
      </c>
      <c r="E21" s="40">
        <f t="shared" si="2"/>
        <v>12.27272727</v>
      </c>
      <c r="F21" s="90">
        <v>1.0</v>
      </c>
      <c r="G21" s="91">
        <v>4.0</v>
      </c>
      <c r="H21" s="92">
        <v>0.0</v>
      </c>
      <c r="I21" s="91">
        <v>6.0</v>
      </c>
      <c r="J21" s="91">
        <v>6.0</v>
      </c>
      <c r="K21" s="91">
        <v>4.0</v>
      </c>
      <c r="L21" s="93">
        <v>16.0</v>
      </c>
      <c r="M21" s="91">
        <v>2.0</v>
      </c>
      <c r="N21" s="37">
        <f t="shared" ref="N21:O21" si="26">C21+L21</f>
        <v>169</v>
      </c>
      <c r="O21" s="37">
        <f t="shared" si="26"/>
        <v>17</v>
      </c>
      <c r="P21" s="49" t="s">
        <v>57</v>
      </c>
      <c r="Q21" s="49" t="s">
        <v>57</v>
      </c>
      <c r="R21" s="49" t="s">
        <v>57</v>
      </c>
      <c r="S21" s="51">
        <f t="shared" si="4"/>
        <v>11</v>
      </c>
      <c r="T21" s="52">
        <f t="shared" si="5"/>
        <v>0</v>
      </c>
      <c r="U21" s="52"/>
      <c r="V21" s="51">
        <f t="shared" si="6"/>
        <v>2</v>
      </c>
      <c r="W21" s="52">
        <f t="shared" si="7"/>
        <v>-7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142</v>
      </c>
      <c r="C22" s="37">
        <v>153.0</v>
      </c>
      <c r="D22" s="37">
        <v>15.0</v>
      </c>
      <c r="E22" s="40">
        <f t="shared" si="2"/>
        <v>13</v>
      </c>
      <c r="F22" s="90">
        <v>2.0</v>
      </c>
      <c r="G22" s="91">
        <v>4.0</v>
      </c>
      <c r="H22" s="92">
        <v>0.0</v>
      </c>
      <c r="I22" s="91">
        <v>3.0</v>
      </c>
      <c r="J22" s="91">
        <v>6.0</v>
      </c>
      <c r="K22" s="91">
        <v>6.0</v>
      </c>
      <c r="L22" s="93">
        <v>15.0</v>
      </c>
      <c r="M22" s="91">
        <v>2.0</v>
      </c>
      <c r="N22" s="37">
        <f t="shared" ref="N22:O22" si="27">C22+L22</f>
        <v>168</v>
      </c>
      <c r="O22" s="37">
        <f t="shared" si="27"/>
        <v>17</v>
      </c>
      <c r="P22" s="49" t="s">
        <v>57</v>
      </c>
      <c r="Q22" s="49" t="s">
        <v>57</v>
      </c>
      <c r="R22" s="49" t="s">
        <v>57</v>
      </c>
      <c r="S22" s="51">
        <f t="shared" si="4"/>
        <v>9</v>
      </c>
      <c r="T22" s="52">
        <f t="shared" si="5"/>
        <v>0</v>
      </c>
      <c r="U22" s="52"/>
      <c r="V22" s="51">
        <f t="shared" si="6"/>
        <v>4</v>
      </c>
      <c r="W22" s="52">
        <f t="shared" si="7"/>
        <v>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51</v>
      </c>
      <c r="C23" s="37">
        <v>152.0</v>
      </c>
      <c r="D23" s="37">
        <v>14.0</v>
      </c>
      <c r="E23" s="40">
        <f t="shared" si="2"/>
        <v>16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161</v>
      </c>
      <c r="O23" s="37">
        <f t="shared" si="28"/>
        <v>14</v>
      </c>
      <c r="P23" s="49" t="s">
        <v>57</v>
      </c>
      <c r="Q23" s="49" t="s">
        <v>57</v>
      </c>
      <c r="R23" s="49" t="s">
        <v>57</v>
      </c>
      <c r="S23" s="51">
        <f t="shared" si="4"/>
        <v>5</v>
      </c>
      <c r="T23" s="52">
        <f t="shared" si="5"/>
        <v>0</v>
      </c>
      <c r="U23" s="52"/>
      <c r="V23" s="51">
        <f t="shared" si="6"/>
        <v>8</v>
      </c>
      <c r="W23" s="52">
        <f t="shared" si="7"/>
        <v>9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112</v>
      </c>
      <c r="C24" s="37">
        <v>152.0</v>
      </c>
      <c r="D24" s="37">
        <v>13.0</v>
      </c>
      <c r="E24" s="40">
        <f t="shared" si="2"/>
        <v>12.88888889</v>
      </c>
      <c r="F24" s="90">
        <v>2.0</v>
      </c>
      <c r="G24" s="91">
        <v>4.0</v>
      </c>
      <c r="H24" s="92">
        <v>0.0</v>
      </c>
      <c r="I24" s="91">
        <v>3.0</v>
      </c>
      <c r="J24" s="91">
        <v>3.0</v>
      </c>
      <c r="K24" s="91">
        <v>4.0</v>
      </c>
      <c r="L24" s="93">
        <v>10.0</v>
      </c>
      <c r="M24" s="91">
        <v>0.0</v>
      </c>
      <c r="N24" s="37">
        <f t="shared" ref="N24:O24" si="29">C24+L24</f>
        <v>162</v>
      </c>
      <c r="O24" s="37">
        <f t="shared" si="29"/>
        <v>13</v>
      </c>
      <c r="P24" s="49" t="s">
        <v>57</v>
      </c>
      <c r="Q24" s="49" t="s">
        <v>57</v>
      </c>
      <c r="R24" s="49" t="s">
        <v>57</v>
      </c>
      <c r="S24" s="51">
        <f t="shared" si="4"/>
        <v>9</v>
      </c>
      <c r="T24" s="52">
        <f t="shared" si="5"/>
        <v>0</v>
      </c>
      <c r="U24" s="52"/>
      <c r="V24" s="51">
        <f t="shared" si="6"/>
        <v>4</v>
      </c>
      <c r="W24" s="52">
        <f t="shared" si="7"/>
        <v>3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91</v>
      </c>
      <c r="C25" s="37">
        <v>152.0</v>
      </c>
      <c r="D25" s="37">
        <v>12.0</v>
      </c>
      <c r="E25" s="40">
        <f t="shared" si="2"/>
        <v>14</v>
      </c>
      <c r="F25" s="90">
        <v>1.0</v>
      </c>
      <c r="G25" s="91">
        <v>9.0</v>
      </c>
      <c r="H25" s="92">
        <v>0.0</v>
      </c>
      <c r="I25" s="91">
        <v>2.0</v>
      </c>
      <c r="J25" s="91">
        <v>6.0</v>
      </c>
      <c r="K25" s="91">
        <v>6.0</v>
      </c>
      <c r="L25" s="93">
        <v>14.0</v>
      </c>
      <c r="M25" s="91">
        <v>2.0</v>
      </c>
      <c r="N25" s="37">
        <f t="shared" ref="N25:O25" si="30">C25+L25</f>
        <v>166</v>
      </c>
      <c r="O25" s="37">
        <f t="shared" si="30"/>
        <v>14</v>
      </c>
      <c r="P25" s="49" t="s">
        <v>57</v>
      </c>
      <c r="Q25" s="49" t="s">
        <v>57</v>
      </c>
      <c r="R25" s="49" t="s">
        <v>57</v>
      </c>
      <c r="S25" s="51">
        <f t="shared" si="4"/>
        <v>7</v>
      </c>
      <c r="T25" s="52">
        <f t="shared" si="5"/>
        <v>0</v>
      </c>
      <c r="U25" s="52"/>
      <c r="V25" s="51">
        <f t="shared" si="6"/>
        <v>6</v>
      </c>
      <c r="W25" s="52">
        <f t="shared" si="7"/>
        <v>-6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95</v>
      </c>
      <c r="C26" s="37">
        <v>151.0</v>
      </c>
      <c r="D26" s="37">
        <v>15.0</v>
      </c>
      <c r="E26" s="40">
        <f t="shared" si="2"/>
        <v>12.77777778</v>
      </c>
      <c r="F26" s="90">
        <v>1.0</v>
      </c>
      <c r="G26" s="91">
        <v>9.0</v>
      </c>
      <c r="H26" s="92">
        <v>0.0</v>
      </c>
      <c r="I26" s="91">
        <v>6.0</v>
      </c>
      <c r="J26" s="91">
        <v>2.0</v>
      </c>
      <c r="K26" s="91">
        <v>6.0</v>
      </c>
      <c r="L26" s="93">
        <v>14.0</v>
      </c>
      <c r="M26" s="91">
        <v>2.0</v>
      </c>
      <c r="N26" s="37">
        <f t="shared" ref="N26:O26" si="31">C26+L26</f>
        <v>165</v>
      </c>
      <c r="O26" s="37">
        <f t="shared" si="31"/>
        <v>17</v>
      </c>
      <c r="P26" s="49" t="s">
        <v>57</v>
      </c>
      <c r="Q26" s="49" t="s">
        <v>57</v>
      </c>
      <c r="R26" s="49" t="s">
        <v>57</v>
      </c>
      <c r="S26" s="51">
        <f t="shared" si="4"/>
        <v>9</v>
      </c>
      <c r="T26" s="52">
        <f t="shared" si="5"/>
        <v>0</v>
      </c>
      <c r="U26" s="52"/>
      <c r="V26" s="51">
        <f t="shared" si="6"/>
        <v>4</v>
      </c>
      <c r="W26" s="52">
        <f t="shared" si="7"/>
        <v>3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99</v>
      </c>
      <c r="C27" s="37">
        <v>150.0</v>
      </c>
      <c r="D27" s="37">
        <v>13.0</v>
      </c>
      <c r="E27" s="40">
        <f t="shared" si="2"/>
        <v>12.22222222</v>
      </c>
      <c r="F27" s="90">
        <v>1.0</v>
      </c>
      <c r="G27" s="91">
        <v>9.0</v>
      </c>
      <c r="H27" s="92">
        <v>0.0</v>
      </c>
      <c r="I27" s="91">
        <v>6.0</v>
      </c>
      <c r="J27" s="91">
        <v>6.0</v>
      </c>
      <c r="K27" s="91">
        <v>3.0</v>
      </c>
      <c r="L27" s="93">
        <v>15.0</v>
      </c>
      <c r="M27" s="91">
        <v>2.0</v>
      </c>
      <c r="N27" s="37">
        <f t="shared" ref="N27:O27" si="32">C27+L27</f>
        <v>165</v>
      </c>
      <c r="O27" s="37">
        <f t="shared" si="32"/>
        <v>15</v>
      </c>
      <c r="P27" s="49" t="s">
        <v>57</v>
      </c>
      <c r="Q27" s="49" t="s">
        <v>57</v>
      </c>
      <c r="R27" s="49" t="s">
        <v>57</v>
      </c>
      <c r="S27" s="51">
        <f t="shared" si="4"/>
        <v>9</v>
      </c>
      <c r="T27" s="52">
        <f t="shared" si="5"/>
        <v>1</v>
      </c>
      <c r="U27" s="52"/>
      <c r="V27" s="51">
        <f t="shared" si="6"/>
        <v>3</v>
      </c>
      <c r="W27" s="52">
        <f t="shared" si="7"/>
        <v>-2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137</v>
      </c>
      <c r="C28" s="37">
        <v>146.0</v>
      </c>
      <c r="D28" s="37">
        <v>14.0</v>
      </c>
      <c r="E28" s="40">
        <f t="shared" si="2"/>
        <v>11.9</v>
      </c>
      <c r="F28" s="90">
        <v>1.0</v>
      </c>
      <c r="G28" s="91">
        <v>9.0</v>
      </c>
      <c r="H28" s="92">
        <v>0.0</v>
      </c>
      <c r="I28" s="91">
        <v>2.0</v>
      </c>
      <c r="J28" s="91">
        <v>2.0</v>
      </c>
      <c r="K28" s="91">
        <v>3.0</v>
      </c>
      <c r="L28" s="93">
        <v>7.0</v>
      </c>
      <c r="M28" s="91">
        <v>0.0</v>
      </c>
      <c r="N28" s="37">
        <f t="shared" ref="N28:O28" si="33">C28+L28</f>
        <v>153</v>
      </c>
      <c r="O28" s="37">
        <f t="shared" si="33"/>
        <v>14</v>
      </c>
      <c r="P28" s="49" t="s">
        <v>57</v>
      </c>
      <c r="Q28" s="49" t="s">
        <v>57</v>
      </c>
      <c r="R28" s="49" t="s">
        <v>57</v>
      </c>
      <c r="S28" s="51">
        <f t="shared" si="4"/>
        <v>10</v>
      </c>
      <c r="T28" s="52">
        <f t="shared" si="5"/>
        <v>0</v>
      </c>
      <c r="U28" s="52"/>
      <c r="V28" s="51">
        <f t="shared" si="6"/>
        <v>3</v>
      </c>
      <c r="W28" s="52">
        <f t="shared" si="7"/>
        <v>-4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126</v>
      </c>
      <c r="C29" s="37">
        <v>146.0</v>
      </c>
      <c r="D29" s="37">
        <v>14.0</v>
      </c>
      <c r="E29" s="40">
        <f t="shared" si="2"/>
        <v>12.22222222</v>
      </c>
      <c r="F29" s="90">
        <v>1.0</v>
      </c>
      <c r="G29" s="91">
        <v>5.0</v>
      </c>
      <c r="H29" s="92">
        <v>0.0</v>
      </c>
      <c r="I29" s="91">
        <v>6.0</v>
      </c>
      <c r="J29" s="91">
        <v>1.0</v>
      </c>
      <c r="K29" s="91">
        <v>6.0</v>
      </c>
      <c r="L29" s="93">
        <v>13.0</v>
      </c>
      <c r="M29" s="91">
        <v>1.0</v>
      </c>
      <c r="N29" s="37">
        <f t="shared" ref="N29:O29" si="34">C29+L29</f>
        <v>159</v>
      </c>
      <c r="O29" s="37">
        <f t="shared" si="34"/>
        <v>15</v>
      </c>
      <c r="P29" s="49" t="s">
        <v>57</v>
      </c>
      <c r="Q29" s="49" t="s">
        <v>57</v>
      </c>
      <c r="R29" s="49" t="s">
        <v>57</v>
      </c>
      <c r="S29" s="51">
        <f t="shared" si="4"/>
        <v>9</v>
      </c>
      <c r="T29" s="52">
        <f t="shared" si="5"/>
        <v>0</v>
      </c>
      <c r="U29" s="52"/>
      <c r="V29" s="51">
        <f t="shared" si="6"/>
        <v>4</v>
      </c>
      <c r="W29" s="52">
        <f t="shared" si="7"/>
        <v>15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132</v>
      </c>
      <c r="C30" s="37">
        <v>146.0</v>
      </c>
      <c r="D30" s="37">
        <v>12.0</v>
      </c>
      <c r="E30" s="40">
        <f t="shared" si="2"/>
        <v>13.14285714</v>
      </c>
      <c r="F30" s="90">
        <v>1.0</v>
      </c>
      <c r="G30" s="91">
        <v>5.0</v>
      </c>
      <c r="H30" s="92">
        <v>0.0</v>
      </c>
      <c r="I30" s="91">
        <v>6.0</v>
      </c>
      <c r="J30" s="91">
        <v>6.0</v>
      </c>
      <c r="K30" s="91">
        <v>7.0</v>
      </c>
      <c r="L30" s="93">
        <v>19.0</v>
      </c>
      <c r="M30" s="91">
        <v>3.0</v>
      </c>
      <c r="N30" s="37">
        <f t="shared" ref="N30:O30" si="35">C30+L30</f>
        <v>165</v>
      </c>
      <c r="O30" s="37">
        <f t="shared" si="35"/>
        <v>15</v>
      </c>
      <c r="P30" s="49" t="s">
        <v>57</v>
      </c>
      <c r="Q30" s="49" t="s">
        <v>57</v>
      </c>
      <c r="R30" s="49" t="s">
        <v>57</v>
      </c>
      <c r="S30" s="51">
        <f t="shared" si="4"/>
        <v>7</v>
      </c>
      <c r="T30" s="52">
        <f t="shared" si="5"/>
        <v>0</v>
      </c>
      <c r="U30" s="52"/>
      <c r="V30" s="51">
        <f t="shared" si="6"/>
        <v>6</v>
      </c>
      <c r="W30" s="52">
        <f t="shared" si="7"/>
        <v>6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120</v>
      </c>
      <c r="C31" s="37">
        <v>146.0</v>
      </c>
      <c r="D31" s="37">
        <v>11.0</v>
      </c>
      <c r="E31" s="40">
        <f t="shared" si="2"/>
        <v>14.8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155</v>
      </c>
      <c r="O31" s="37">
        <f t="shared" si="36"/>
        <v>11</v>
      </c>
      <c r="P31" s="49" t="s">
        <v>57</v>
      </c>
      <c r="Q31" s="49" t="s">
        <v>57</v>
      </c>
      <c r="R31" s="49" t="s">
        <v>57</v>
      </c>
      <c r="S31" s="51">
        <f t="shared" si="4"/>
        <v>5</v>
      </c>
      <c r="T31" s="52">
        <f t="shared" si="5"/>
        <v>0</v>
      </c>
      <c r="U31" s="52"/>
      <c r="V31" s="51">
        <f t="shared" si="6"/>
        <v>8</v>
      </c>
      <c r="W31" s="52">
        <f t="shared" si="7"/>
        <v>6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104</v>
      </c>
      <c r="C32" s="37">
        <v>145.0</v>
      </c>
      <c r="D32" s="37">
        <v>13.0</v>
      </c>
      <c r="E32" s="40">
        <f t="shared" si="2"/>
        <v>12.5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154</v>
      </c>
      <c r="O32" s="37">
        <f t="shared" si="37"/>
        <v>13</v>
      </c>
      <c r="P32" s="49" t="s">
        <v>57</v>
      </c>
      <c r="Q32" s="49" t="s">
        <v>57</v>
      </c>
      <c r="R32" s="49" t="s">
        <v>57</v>
      </c>
      <c r="S32" s="51">
        <f t="shared" si="4"/>
        <v>8</v>
      </c>
      <c r="T32" s="52">
        <f t="shared" si="5"/>
        <v>0</v>
      </c>
      <c r="U32" s="52"/>
      <c r="V32" s="51">
        <f t="shared" si="6"/>
        <v>5</v>
      </c>
      <c r="W32" s="52">
        <f t="shared" si="7"/>
        <v>-2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64</v>
      </c>
      <c r="C33" s="37">
        <v>145.0</v>
      </c>
      <c r="D33" s="37">
        <v>13.0</v>
      </c>
      <c r="E33" s="40">
        <f t="shared" si="2"/>
        <v>11.33333333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154</v>
      </c>
      <c r="O33" s="37">
        <f t="shared" si="38"/>
        <v>13</v>
      </c>
      <c r="P33" s="49" t="s">
        <v>57</v>
      </c>
      <c r="Q33" s="49" t="s">
        <v>57</v>
      </c>
      <c r="R33" s="49" t="s">
        <v>57</v>
      </c>
      <c r="S33" s="51">
        <f t="shared" si="4"/>
        <v>12</v>
      </c>
      <c r="T33" s="52">
        <f t="shared" si="5"/>
        <v>0</v>
      </c>
      <c r="U33" s="52"/>
      <c r="V33" s="51">
        <f t="shared" si="6"/>
        <v>1</v>
      </c>
      <c r="W33" s="52">
        <f t="shared" si="7"/>
        <v>-10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117</v>
      </c>
      <c r="C34" s="37">
        <v>145.0</v>
      </c>
      <c r="D34" s="37">
        <v>11.0</v>
      </c>
      <c r="E34" s="40">
        <f t="shared" si="2"/>
        <v>11.4</v>
      </c>
      <c r="F34" s="90">
        <v>2.0</v>
      </c>
      <c r="G34" s="91">
        <v>5.0</v>
      </c>
      <c r="H34" s="92">
        <v>0.0</v>
      </c>
      <c r="I34" s="91">
        <v>1.0</v>
      </c>
      <c r="J34" s="91">
        <v>6.0</v>
      </c>
      <c r="K34" s="91">
        <v>6.0</v>
      </c>
      <c r="L34" s="93">
        <v>13.0</v>
      </c>
      <c r="M34" s="91">
        <v>1.0</v>
      </c>
      <c r="N34" s="37">
        <f t="shared" ref="N34:O34" si="39">C34+L34</f>
        <v>158</v>
      </c>
      <c r="O34" s="37">
        <f t="shared" si="39"/>
        <v>12</v>
      </c>
      <c r="P34" s="49" t="s">
        <v>57</v>
      </c>
      <c r="Q34" s="49" t="s">
        <v>57</v>
      </c>
      <c r="R34" s="49" t="s">
        <v>57</v>
      </c>
      <c r="S34" s="51">
        <f t="shared" si="4"/>
        <v>10</v>
      </c>
      <c r="T34" s="52">
        <f t="shared" si="5"/>
        <v>1</v>
      </c>
      <c r="U34" s="52"/>
      <c r="V34" s="51">
        <f t="shared" si="6"/>
        <v>2</v>
      </c>
      <c r="W34" s="52">
        <f t="shared" si="7"/>
        <v>-6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130</v>
      </c>
      <c r="C35" s="37">
        <v>144.0</v>
      </c>
      <c r="D35" s="37">
        <v>13.0</v>
      </c>
      <c r="E35" s="40">
        <f t="shared" si="2"/>
        <v>11.07692308</v>
      </c>
      <c r="F35" s="90">
        <v>1.0</v>
      </c>
      <c r="G35" s="91">
        <v>5.0</v>
      </c>
      <c r="H35" s="92">
        <v>0.0</v>
      </c>
      <c r="I35" s="91">
        <v>1.0</v>
      </c>
      <c r="J35" s="91">
        <v>1.0</v>
      </c>
      <c r="K35" s="91">
        <v>7.0</v>
      </c>
      <c r="L35" s="93">
        <v>9.0</v>
      </c>
      <c r="M35" s="91">
        <v>1.0</v>
      </c>
      <c r="N35" s="37">
        <f t="shared" ref="N35:O35" si="40">C35+L35</f>
        <v>153</v>
      </c>
      <c r="O35" s="37">
        <f t="shared" si="40"/>
        <v>14</v>
      </c>
      <c r="P35" s="49" t="s">
        <v>57</v>
      </c>
      <c r="Q35" s="49" t="s">
        <v>57</v>
      </c>
      <c r="R35" s="49" t="s">
        <v>57</v>
      </c>
      <c r="S35" s="51">
        <f t="shared" si="4"/>
        <v>13</v>
      </c>
      <c r="T35" s="52">
        <f t="shared" si="5"/>
        <v>0</v>
      </c>
      <c r="U35" s="52"/>
      <c r="V35" s="51">
        <f t="shared" si="6"/>
        <v>0</v>
      </c>
      <c r="W35" s="52">
        <f t="shared" si="7"/>
        <v>8</v>
      </c>
      <c r="X35" s="35">
        <f t="shared" si="12"/>
        <v>31</v>
      </c>
      <c r="Y35" s="35" t="str">
        <f t="shared" si="8"/>
        <v>Y</v>
      </c>
      <c r="Z35" s="19" t="str">
        <f t="shared" si="9"/>
        <v/>
      </c>
    </row>
    <row r="36">
      <c r="A36" s="35">
        <f t="shared" si="10"/>
        <v>32</v>
      </c>
      <c r="B36" s="36" t="s">
        <v>143</v>
      </c>
      <c r="C36" s="37">
        <v>144.0</v>
      </c>
      <c r="D36" s="37">
        <v>12.0</v>
      </c>
      <c r="E36" s="40">
        <f t="shared" si="2"/>
        <v>12.375</v>
      </c>
      <c r="F36" s="90">
        <v>1.0</v>
      </c>
      <c r="G36" s="91">
        <v>6.0</v>
      </c>
      <c r="H36" s="92">
        <v>0.0</v>
      </c>
      <c r="I36" s="91">
        <v>6.0</v>
      </c>
      <c r="J36" s="91">
        <v>7.0</v>
      </c>
      <c r="K36" s="91">
        <v>2.0</v>
      </c>
      <c r="L36" s="93">
        <v>15.0</v>
      </c>
      <c r="M36" s="91">
        <v>2.0</v>
      </c>
      <c r="N36" s="37">
        <f t="shared" ref="N36:O36" si="41">C36+L36</f>
        <v>159</v>
      </c>
      <c r="O36" s="37">
        <f t="shared" si="41"/>
        <v>14</v>
      </c>
      <c r="P36" s="49" t="s">
        <v>57</v>
      </c>
      <c r="Q36" s="49" t="s">
        <v>57</v>
      </c>
      <c r="R36" s="49" t="s">
        <v>57</v>
      </c>
      <c r="S36" s="51">
        <f t="shared" si="4"/>
        <v>8</v>
      </c>
      <c r="T36" s="52">
        <f t="shared" si="5"/>
        <v>0</v>
      </c>
      <c r="U36" s="52"/>
      <c r="V36" s="51">
        <f t="shared" si="6"/>
        <v>5</v>
      </c>
      <c r="W36" s="52">
        <f t="shared" si="7"/>
        <v>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109</v>
      </c>
      <c r="C37" s="37">
        <v>143.0</v>
      </c>
      <c r="D37" s="37">
        <v>12.0</v>
      </c>
      <c r="E37" s="40">
        <f t="shared" si="2"/>
        <v>11.88888889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152</v>
      </c>
      <c r="O37" s="37">
        <f t="shared" si="42"/>
        <v>12</v>
      </c>
      <c r="P37" s="49" t="s">
        <v>57</v>
      </c>
      <c r="Q37" s="49" t="s">
        <v>57</v>
      </c>
      <c r="R37" s="49" t="s">
        <v>57</v>
      </c>
      <c r="S37" s="51">
        <f t="shared" si="4"/>
        <v>9</v>
      </c>
      <c r="T37" s="52">
        <f t="shared" si="5"/>
        <v>0</v>
      </c>
      <c r="U37" s="52"/>
      <c r="V37" s="51">
        <f t="shared" si="6"/>
        <v>4</v>
      </c>
      <c r="W37" s="52">
        <f t="shared" si="7"/>
        <v>-6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90</v>
      </c>
      <c r="C38" s="37">
        <v>143.0</v>
      </c>
      <c r="D38" s="37">
        <v>10.0</v>
      </c>
      <c r="E38" s="40">
        <f t="shared" si="2"/>
        <v>13.33333333</v>
      </c>
      <c r="F38" s="90">
        <v>1.0</v>
      </c>
      <c r="G38" s="91">
        <v>6.0</v>
      </c>
      <c r="H38" s="92">
        <v>0.0</v>
      </c>
      <c r="I38" s="91">
        <v>6.0</v>
      </c>
      <c r="J38" s="91">
        <v>5.0</v>
      </c>
      <c r="K38" s="91">
        <v>6.0</v>
      </c>
      <c r="L38" s="93">
        <v>17.0</v>
      </c>
      <c r="M38" s="91">
        <v>2.0</v>
      </c>
      <c r="N38" s="37">
        <f t="shared" ref="N38:O38" si="43">C38+L38</f>
        <v>160</v>
      </c>
      <c r="O38" s="37">
        <f t="shared" si="43"/>
        <v>12</v>
      </c>
      <c r="P38" s="49" t="s">
        <v>57</v>
      </c>
      <c r="Q38" s="49" t="s">
        <v>57</v>
      </c>
      <c r="R38" s="49" t="s">
        <v>57</v>
      </c>
      <c r="S38" s="51">
        <f t="shared" si="4"/>
        <v>6</v>
      </c>
      <c r="T38" s="52">
        <f t="shared" si="5"/>
        <v>0</v>
      </c>
      <c r="U38" s="52"/>
      <c r="V38" s="51">
        <f t="shared" si="6"/>
        <v>7</v>
      </c>
      <c r="W38" s="52">
        <f t="shared" si="7"/>
        <v>0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97</v>
      </c>
      <c r="C39" s="37">
        <v>143.0</v>
      </c>
      <c r="D39" s="37">
        <v>8.0</v>
      </c>
      <c r="E39" s="40">
        <f t="shared" si="2"/>
        <v>13.33333333</v>
      </c>
      <c r="F39" s="90">
        <v>1.0</v>
      </c>
      <c r="G39" s="91">
        <v>6.0</v>
      </c>
      <c r="H39" s="92">
        <v>0.0</v>
      </c>
      <c r="I39" s="91">
        <v>3.0</v>
      </c>
      <c r="J39" s="91">
        <v>7.0</v>
      </c>
      <c r="K39" s="91">
        <v>6.0</v>
      </c>
      <c r="L39" s="93">
        <v>16.0</v>
      </c>
      <c r="M39" s="91">
        <v>2.0</v>
      </c>
      <c r="N39" s="37">
        <f t="shared" ref="N39:O39" si="44">C39+L39</f>
        <v>159</v>
      </c>
      <c r="O39" s="37">
        <f t="shared" si="44"/>
        <v>10</v>
      </c>
      <c r="P39" s="49" t="s">
        <v>57</v>
      </c>
      <c r="Q39" s="49" t="s">
        <v>57</v>
      </c>
      <c r="R39" s="49" t="s">
        <v>57</v>
      </c>
      <c r="S39" s="51">
        <f t="shared" si="4"/>
        <v>6</v>
      </c>
      <c r="T39" s="52">
        <f t="shared" si="5"/>
        <v>0</v>
      </c>
      <c r="U39" s="52"/>
      <c r="V39" s="51">
        <f t="shared" si="6"/>
        <v>7</v>
      </c>
      <c r="W39" s="52">
        <f t="shared" si="7"/>
        <v>3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115</v>
      </c>
      <c r="C40" s="37">
        <v>141.0</v>
      </c>
      <c r="D40" s="37">
        <v>12.0</v>
      </c>
      <c r="E40" s="40">
        <f t="shared" si="2"/>
        <v>11.4</v>
      </c>
      <c r="F40" s="90">
        <v>1.0</v>
      </c>
      <c r="G40" s="91">
        <v>6.0</v>
      </c>
      <c r="H40" s="92">
        <v>0.0</v>
      </c>
      <c r="I40" s="91">
        <v>3.0</v>
      </c>
      <c r="J40" s="91">
        <v>5.0</v>
      </c>
      <c r="K40" s="91">
        <v>2.0</v>
      </c>
      <c r="L40" s="93">
        <v>10.0</v>
      </c>
      <c r="M40" s="91">
        <v>0.0</v>
      </c>
      <c r="N40" s="37">
        <f t="shared" ref="N40:O40" si="45">C40+L40</f>
        <v>151</v>
      </c>
      <c r="O40" s="37">
        <f t="shared" si="45"/>
        <v>12</v>
      </c>
      <c r="P40" s="49" t="s">
        <v>57</v>
      </c>
      <c r="Q40" s="49" t="s">
        <v>57</v>
      </c>
      <c r="R40" s="49" t="s">
        <v>57</v>
      </c>
      <c r="S40" s="51">
        <f t="shared" si="4"/>
        <v>10</v>
      </c>
      <c r="T40" s="52">
        <f t="shared" si="5"/>
        <v>0</v>
      </c>
      <c r="U40" s="52"/>
      <c r="V40" s="51">
        <f t="shared" si="6"/>
        <v>3</v>
      </c>
      <c r="W40" s="52">
        <f t="shared" si="7"/>
        <v>-5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113</v>
      </c>
      <c r="C41" s="37">
        <v>141.0</v>
      </c>
      <c r="D41" s="37">
        <v>12.0</v>
      </c>
      <c r="E41" s="40">
        <f t="shared" si="2"/>
        <v>13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150</v>
      </c>
      <c r="O41" s="37">
        <f t="shared" si="46"/>
        <v>12</v>
      </c>
      <c r="P41" s="49" t="s">
        <v>57</v>
      </c>
      <c r="Q41" s="49" t="s">
        <v>57</v>
      </c>
      <c r="R41" s="49" t="s">
        <v>57</v>
      </c>
      <c r="S41" s="51">
        <f t="shared" si="4"/>
        <v>6</v>
      </c>
      <c r="T41" s="52">
        <f t="shared" si="5"/>
        <v>0</v>
      </c>
      <c r="U41" s="52"/>
      <c r="V41" s="51">
        <f t="shared" si="6"/>
        <v>7</v>
      </c>
      <c r="W41" s="52">
        <f t="shared" si="7"/>
        <v>7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59</v>
      </c>
      <c r="C42" s="37">
        <v>141.0</v>
      </c>
      <c r="D42" s="37">
        <v>11.0</v>
      </c>
      <c r="E42" s="40">
        <f t="shared" si="2"/>
        <v>11</v>
      </c>
      <c r="F42" s="90">
        <v>1.0</v>
      </c>
      <c r="G42" s="91">
        <v>7.0</v>
      </c>
      <c r="H42" s="92">
        <v>0.0</v>
      </c>
      <c r="I42" s="91">
        <v>4.0</v>
      </c>
      <c r="J42" s="91">
        <v>6.0</v>
      </c>
      <c r="K42" s="91">
        <v>6.0</v>
      </c>
      <c r="L42" s="93">
        <v>16.0</v>
      </c>
      <c r="M42" s="91">
        <v>1.0</v>
      </c>
      <c r="N42" s="37">
        <f t="shared" ref="N42:O42" si="47">C42+L42</f>
        <v>157</v>
      </c>
      <c r="O42" s="37">
        <f t="shared" si="47"/>
        <v>12</v>
      </c>
      <c r="P42" s="49" t="s">
        <v>57</v>
      </c>
      <c r="Q42" s="49" t="s">
        <v>57</v>
      </c>
      <c r="R42" s="49" t="s">
        <v>57</v>
      </c>
      <c r="S42" s="51">
        <f t="shared" si="4"/>
        <v>12</v>
      </c>
      <c r="T42" s="52">
        <f t="shared" si="5"/>
        <v>0</v>
      </c>
      <c r="U42" s="52"/>
      <c r="V42" s="51">
        <f t="shared" si="6"/>
        <v>1</v>
      </c>
      <c r="W42" s="52">
        <f t="shared" si="7"/>
        <v>-8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139</v>
      </c>
      <c r="C43" s="37">
        <v>139.0</v>
      </c>
      <c r="D43" s="37">
        <v>13.0</v>
      </c>
      <c r="E43" s="40">
        <f t="shared" si="2"/>
        <v>11.2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148</v>
      </c>
      <c r="O43" s="37">
        <f t="shared" si="48"/>
        <v>13</v>
      </c>
      <c r="P43" s="49" t="s">
        <v>57</v>
      </c>
      <c r="Q43" s="49" t="s">
        <v>57</v>
      </c>
      <c r="R43" s="49" t="s">
        <v>57</v>
      </c>
      <c r="S43" s="51">
        <f t="shared" si="4"/>
        <v>10</v>
      </c>
      <c r="T43" s="52">
        <f t="shared" si="5"/>
        <v>0</v>
      </c>
      <c r="U43" s="52"/>
      <c r="V43" s="51">
        <f t="shared" si="6"/>
        <v>3</v>
      </c>
      <c r="W43" s="52">
        <f t="shared" si="7"/>
        <v>-10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101</v>
      </c>
      <c r="C44" s="37">
        <v>138.0</v>
      </c>
      <c r="D44" s="37">
        <v>8.0</v>
      </c>
      <c r="E44" s="40">
        <f t="shared" si="2"/>
        <v>11.42857143</v>
      </c>
      <c r="F44" s="90">
        <v>1.0</v>
      </c>
      <c r="G44" s="91">
        <v>7.0</v>
      </c>
      <c r="H44" s="92">
        <v>0.0</v>
      </c>
      <c r="I44" s="91">
        <v>6.0</v>
      </c>
      <c r="J44" s="91">
        <v>3.0</v>
      </c>
      <c r="K44" s="91">
        <v>6.0</v>
      </c>
      <c r="L44" s="93">
        <v>15.0</v>
      </c>
      <c r="M44" s="91">
        <v>1.0</v>
      </c>
      <c r="N44" s="37">
        <f t="shared" ref="N44:O44" si="49">C44+L44</f>
        <v>153</v>
      </c>
      <c r="O44" s="37">
        <f t="shared" si="49"/>
        <v>9</v>
      </c>
      <c r="P44" s="49" t="s">
        <v>57</v>
      </c>
      <c r="Q44" s="49" t="s">
        <v>57</v>
      </c>
      <c r="R44" s="49" t="s">
        <v>57</v>
      </c>
      <c r="S44" s="51">
        <f t="shared" si="4"/>
        <v>7</v>
      </c>
      <c r="T44" s="52">
        <f t="shared" si="5"/>
        <v>1</v>
      </c>
      <c r="U44" s="52"/>
      <c r="V44" s="51">
        <f t="shared" si="6"/>
        <v>5</v>
      </c>
      <c r="W44" s="52">
        <f t="shared" si="7"/>
        <v>-5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118</v>
      </c>
      <c r="C45" s="37">
        <v>137.0</v>
      </c>
      <c r="D45" s="37">
        <v>9.0</v>
      </c>
      <c r="E45" s="40">
        <f t="shared" si="2"/>
        <v>10.81818182</v>
      </c>
      <c r="F45" s="90">
        <v>1.0</v>
      </c>
      <c r="G45" s="91">
        <v>7.0</v>
      </c>
      <c r="H45" s="92">
        <v>0.0</v>
      </c>
      <c r="I45" s="91">
        <v>4.0</v>
      </c>
      <c r="J45" s="91">
        <v>3.0</v>
      </c>
      <c r="K45" s="91">
        <v>7.0</v>
      </c>
      <c r="L45" s="93">
        <v>14.0</v>
      </c>
      <c r="M45" s="91">
        <v>1.0</v>
      </c>
      <c r="N45" s="37">
        <f t="shared" ref="N45:O45" si="50">C45+L45</f>
        <v>151</v>
      </c>
      <c r="O45" s="37">
        <f t="shared" si="50"/>
        <v>10</v>
      </c>
      <c r="P45" s="49" t="s">
        <v>57</v>
      </c>
      <c r="Q45" s="49" t="s">
        <v>57</v>
      </c>
      <c r="R45" s="49" t="s">
        <v>57</v>
      </c>
      <c r="S45" s="51">
        <f t="shared" si="4"/>
        <v>11</v>
      </c>
      <c r="T45" s="52">
        <f t="shared" si="5"/>
        <v>0</v>
      </c>
      <c r="U45" s="52"/>
      <c r="V45" s="51">
        <f t="shared" si="6"/>
        <v>2</v>
      </c>
      <c r="W45" s="52">
        <f t="shared" si="7"/>
        <v>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76</v>
      </c>
      <c r="C46" s="37">
        <v>137.0</v>
      </c>
      <c r="D46" s="37">
        <v>8.0</v>
      </c>
      <c r="E46" s="40">
        <f t="shared" si="2"/>
        <v>11.66666667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146</v>
      </c>
      <c r="O46" s="37">
        <f t="shared" si="51"/>
        <v>8</v>
      </c>
      <c r="P46" s="49" t="s">
        <v>57</v>
      </c>
      <c r="Q46" s="49" t="s">
        <v>57</v>
      </c>
      <c r="R46" s="49" t="s">
        <v>57</v>
      </c>
      <c r="S46" s="51">
        <f t="shared" si="4"/>
        <v>6</v>
      </c>
      <c r="T46" s="52">
        <f t="shared" si="5"/>
        <v>1</v>
      </c>
      <c r="U46" s="52"/>
      <c r="V46" s="51">
        <f t="shared" si="6"/>
        <v>6</v>
      </c>
      <c r="W46" s="52">
        <f t="shared" si="7"/>
        <v>-5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107</v>
      </c>
      <c r="C47" s="37">
        <v>135.0</v>
      </c>
      <c r="D47" s="37">
        <v>11.0</v>
      </c>
      <c r="E47" s="40">
        <f t="shared" si="2"/>
        <v>11.57142857</v>
      </c>
      <c r="F47" s="90">
        <v>1.0</v>
      </c>
      <c r="G47" s="91">
        <v>7.0</v>
      </c>
      <c r="H47" s="92">
        <v>0.0</v>
      </c>
      <c r="I47" s="91">
        <v>6.0</v>
      </c>
      <c r="J47" s="91">
        <v>6.0</v>
      </c>
      <c r="K47" s="91">
        <v>7.0</v>
      </c>
      <c r="L47" s="93">
        <v>19.0</v>
      </c>
      <c r="M47" s="91">
        <v>3.0</v>
      </c>
      <c r="N47" s="37">
        <f t="shared" ref="N47:O47" si="52">C47+L47</f>
        <v>154</v>
      </c>
      <c r="O47" s="37">
        <f t="shared" si="52"/>
        <v>14</v>
      </c>
      <c r="P47" s="49" t="s">
        <v>57</v>
      </c>
      <c r="Q47" s="49" t="s">
        <v>57</v>
      </c>
      <c r="R47" s="49" t="s">
        <v>57</v>
      </c>
      <c r="S47" s="51">
        <f t="shared" si="4"/>
        <v>7</v>
      </c>
      <c r="T47" s="52">
        <f t="shared" si="5"/>
        <v>0</v>
      </c>
      <c r="U47" s="52"/>
      <c r="V47" s="51">
        <f t="shared" si="6"/>
        <v>6</v>
      </c>
      <c r="W47" s="52">
        <f t="shared" si="7"/>
        <v>-2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140</v>
      </c>
      <c r="C48" s="37">
        <v>135.0</v>
      </c>
      <c r="D48" s="37">
        <v>8.0</v>
      </c>
      <c r="E48" s="40">
        <f t="shared" si="2"/>
        <v>11.25</v>
      </c>
      <c r="F48" s="90">
        <v>1.0</v>
      </c>
      <c r="G48" s="91">
        <v>8.0</v>
      </c>
      <c r="H48" s="92">
        <v>0.0</v>
      </c>
      <c r="I48" s="91">
        <v>4.0</v>
      </c>
      <c r="J48" s="91">
        <v>3.0</v>
      </c>
      <c r="K48" s="91">
        <v>4.0</v>
      </c>
      <c r="L48" s="93">
        <v>11.0</v>
      </c>
      <c r="M48" s="91">
        <v>0.0</v>
      </c>
      <c r="N48" s="37">
        <f t="shared" ref="N48:O48" si="53">C48+L48</f>
        <v>146</v>
      </c>
      <c r="O48" s="37">
        <f t="shared" si="53"/>
        <v>8</v>
      </c>
      <c r="P48" s="49" t="s">
        <v>57</v>
      </c>
      <c r="Q48" s="49" t="s">
        <v>57</v>
      </c>
      <c r="R48" s="49" t="s">
        <v>57</v>
      </c>
      <c r="S48" s="51">
        <f t="shared" si="4"/>
        <v>8</v>
      </c>
      <c r="T48" s="52">
        <f t="shared" si="5"/>
        <v>0</v>
      </c>
      <c r="U48" s="52"/>
      <c r="V48" s="51">
        <f t="shared" si="6"/>
        <v>5</v>
      </c>
      <c r="W48" s="52">
        <f t="shared" si="7"/>
        <v>-2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134</v>
      </c>
      <c r="C49" s="37">
        <v>134.0</v>
      </c>
      <c r="D49" s="37">
        <v>11.0</v>
      </c>
      <c r="E49" s="40">
        <f t="shared" si="2"/>
        <v>10.7</v>
      </c>
      <c r="F49" s="90">
        <v>1.0</v>
      </c>
      <c r="G49" s="91">
        <v>8.0</v>
      </c>
      <c r="H49" s="92">
        <v>0.0</v>
      </c>
      <c r="I49" s="91">
        <v>6.0</v>
      </c>
      <c r="J49" s="91">
        <v>6.0</v>
      </c>
      <c r="K49" s="91">
        <v>4.0</v>
      </c>
      <c r="L49" s="93">
        <v>16.0</v>
      </c>
      <c r="M49" s="91">
        <v>2.0</v>
      </c>
      <c r="N49" s="37">
        <f t="shared" ref="N49:O49" si="54">C49+L49</f>
        <v>150</v>
      </c>
      <c r="O49" s="37">
        <f t="shared" si="54"/>
        <v>13</v>
      </c>
      <c r="P49" s="49" t="s">
        <v>57</v>
      </c>
      <c r="Q49" s="49" t="s">
        <v>57</v>
      </c>
      <c r="R49" s="49" t="s">
        <v>57</v>
      </c>
      <c r="S49" s="51">
        <f t="shared" si="4"/>
        <v>10</v>
      </c>
      <c r="T49" s="52">
        <f t="shared" si="5"/>
        <v>0</v>
      </c>
      <c r="U49" s="52"/>
      <c r="V49" s="51">
        <f t="shared" si="6"/>
        <v>3</v>
      </c>
      <c r="W49" s="52">
        <f t="shared" si="7"/>
        <v>2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138</v>
      </c>
      <c r="C50" s="37">
        <v>133.0</v>
      </c>
      <c r="D50" s="37">
        <v>11.0</v>
      </c>
      <c r="E50" s="40">
        <f t="shared" si="2"/>
        <v>10.77777778</v>
      </c>
      <c r="F50" s="90">
        <v>1.0</v>
      </c>
      <c r="G50" s="91">
        <v>8.0</v>
      </c>
      <c r="H50" s="92">
        <v>0.0</v>
      </c>
      <c r="I50" s="91">
        <v>4.0</v>
      </c>
      <c r="J50" s="91">
        <v>6.0</v>
      </c>
      <c r="K50" s="91">
        <v>6.0</v>
      </c>
      <c r="L50" s="93">
        <v>16.0</v>
      </c>
      <c r="M50" s="91">
        <v>2.0</v>
      </c>
      <c r="N50" s="37">
        <f t="shared" ref="N50:O50" si="55">C50+L50</f>
        <v>149</v>
      </c>
      <c r="O50" s="37">
        <f t="shared" si="55"/>
        <v>13</v>
      </c>
      <c r="P50" s="49" t="s">
        <v>57</v>
      </c>
      <c r="Q50" s="49" t="s">
        <v>57</v>
      </c>
      <c r="R50" s="49" t="s">
        <v>57</v>
      </c>
      <c r="S50" s="51">
        <f t="shared" si="4"/>
        <v>9</v>
      </c>
      <c r="T50" s="52">
        <f t="shared" si="5"/>
        <v>0</v>
      </c>
      <c r="U50" s="52"/>
      <c r="V50" s="51">
        <f t="shared" si="6"/>
        <v>4</v>
      </c>
      <c r="W50" s="52">
        <f t="shared" si="7"/>
        <v>-3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110</v>
      </c>
      <c r="C51" s="37">
        <v>132.0</v>
      </c>
      <c r="D51" s="37">
        <v>13.0</v>
      </c>
      <c r="E51" s="40">
        <f t="shared" si="2"/>
        <v>10.15384615</v>
      </c>
      <c r="F51" s="90">
        <v>1.0</v>
      </c>
      <c r="G51" s="91">
        <v>8.0</v>
      </c>
      <c r="H51" s="92">
        <v>0.0</v>
      </c>
      <c r="I51" s="91">
        <v>6.0</v>
      </c>
      <c r="J51" s="91">
        <v>3.0</v>
      </c>
      <c r="K51" s="91">
        <v>6.0</v>
      </c>
      <c r="L51" s="93">
        <v>15.0</v>
      </c>
      <c r="M51" s="91">
        <v>2.0</v>
      </c>
      <c r="N51" s="37">
        <f t="shared" ref="N51:O51" si="56">C51+L51</f>
        <v>147</v>
      </c>
      <c r="O51" s="37">
        <f t="shared" si="56"/>
        <v>15</v>
      </c>
      <c r="P51" s="49" t="s">
        <v>57</v>
      </c>
      <c r="Q51" s="49" t="s">
        <v>57</v>
      </c>
      <c r="R51" s="49" t="s">
        <v>57</v>
      </c>
      <c r="S51" s="51">
        <f t="shared" si="4"/>
        <v>13</v>
      </c>
      <c r="T51" s="52">
        <f t="shared" si="5"/>
        <v>0</v>
      </c>
      <c r="U51" s="52"/>
      <c r="V51" s="51">
        <f t="shared" si="6"/>
        <v>0</v>
      </c>
      <c r="W51" s="52">
        <f t="shared" si="7"/>
        <v>4</v>
      </c>
      <c r="X51" s="35">
        <f t="shared" si="12"/>
        <v>47</v>
      </c>
      <c r="Y51" s="35" t="str">
        <f t="shared" si="8"/>
        <v>Y</v>
      </c>
      <c r="Z51" s="19" t="str">
        <f t="shared" si="9"/>
        <v/>
      </c>
    </row>
    <row r="52">
      <c r="A52" s="35">
        <f t="shared" si="10"/>
        <v>48</v>
      </c>
      <c r="B52" s="36" t="s">
        <v>153</v>
      </c>
      <c r="C52" s="37">
        <v>130.0</v>
      </c>
      <c r="D52" s="37">
        <v>7.0</v>
      </c>
      <c r="E52" s="40">
        <f t="shared" si="2"/>
        <v>12.25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139</v>
      </c>
      <c r="O52" s="37">
        <f t="shared" si="57"/>
        <v>7</v>
      </c>
      <c r="P52" s="49" t="s">
        <v>57</v>
      </c>
      <c r="Q52" s="49" t="s">
        <v>57</v>
      </c>
      <c r="R52" s="49" t="s">
        <v>57</v>
      </c>
      <c r="S52" s="51">
        <f t="shared" si="4"/>
        <v>4</v>
      </c>
      <c r="T52" s="52">
        <f t="shared" si="5"/>
        <v>0</v>
      </c>
      <c r="U52" s="52"/>
      <c r="V52" s="51">
        <f t="shared" si="6"/>
        <v>9</v>
      </c>
      <c r="W52" s="52">
        <f t="shared" si="7"/>
        <v>-3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147</v>
      </c>
      <c r="C53" s="37">
        <v>130.0</v>
      </c>
      <c r="D53" s="37">
        <v>5.0</v>
      </c>
      <c r="E53" s="40">
        <f t="shared" si="2"/>
        <v>11.25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139</v>
      </c>
      <c r="O53" s="37">
        <f t="shared" si="58"/>
        <v>5</v>
      </c>
      <c r="P53" s="49" t="s">
        <v>57</v>
      </c>
      <c r="Q53" s="49" t="s">
        <v>57</v>
      </c>
      <c r="R53" s="49" t="s">
        <v>57</v>
      </c>
      <c r="S53" s="51">
        <f t="shared" si="4"/>
        <v>4</v>
      </c>
      <c r="T53" s="52">
        <f t="shared" si="5"/>
        <v>1</v>
      </c>
      <c r="U53" s="52"/>
      <c r="V53" s="51">
        <f t="shared" si="6"/>
        <v>8</v>
      </c>
      <c r="W53" s="52">
        <f t="shared" si="7"/>
        <v>-3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151</v>
      </c>
      <c r="C54" s="37">
        <v>128.0</v>
      </c>
      <c r="D54" s="37">
        <v>8.0</v>
      </c>
      <c r="E54" s="40">
        <f t="shared" si="2"/>
        <v>9.777777778</v>
      </c>
      <c r="F54" s="90">
        <v>1.0</v>
      </c>
      <c r="G54" s="91">
        <v>10.0</v>
      </c>
      <c r="H54" s="92">
        <v>0.0</v>
      </c>
      <c r="I54" s="91">
        <v>3.0</v>
      </c>
      <c r="J54" s="91">
        <v>6.0</v>
      </c>
      <c r="K54" s="91">
        <v>6.0</v>
      </c>
      <c r="L54" s="93">
        <v>15.0</v>
      </c>
      <c r="M54" s="91">
        <v>2.0</v>
      </c>
      <c r="N54" s="37">
        <f t="shared" ref="N54:O54" si="59">C54+L54</f>
        <v>143</v>
      </c>
      <c r="O54" s="37">
        <f t="shared" si="59"/>
        <v>10</v>
      </c>
      <c r="P54" s="49" t="s">
        <v>57</v>
      </c>
      <c r="Q54" s="49" t="s">
        <v>57</v>
      </c>
      <c r="R54" s="49" t="s">
        <v>57</v>
      </c>
      <c r="S54" s="51">
        <f t="shared" si="4"/>
        <v>9</v>
      </c>
      <c r="T54" s="52">
        <f t="shared" si="5"/>
        <v>1</v>
      </c>
      <c r="U54" s="52"/>
      <c r="V54" s="51">
        <f t="shared" si="6"/>
        <v>3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131</v>
      </c>
      <c r="C55" s="37">
        <v>128.0</v>
      </c>
      <c r="D55" s="37">
        <v>6.0</v>
      </c>
      <c r="E55" s="40">
        <f t="shared" si="2"/>
        <v>11.33333333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137</v>
      </c>
      <c r="O55" s="37">
        <f t="shared" si="60"/>
        <v>6</v>
      </c>
      <c r="P55" s="49" t="s">
        <v>57</v>
      </c>
      <c r="Q55" s="49" t="s">
        <v>57</v>
      </c>
      <c r="R55" s="49" t="s">
        <v>57</v>
      </c>
      <c r="S55" s="51">
        <f t="shared" si="4"/>
        <v>3</v>
      </c>
      <c r="T55" s="52">
        <f t="shared" si="5"/>
        <v>1</v>
      </c>
      <c r="U55" s="52"/>
      <c r="V55" s="51">
        <f t="shared" si="6"/>
        <v>9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129</v>
      </c>
      <c r="C56" s="37">
        <v>126.0</v>
      </c>
      <c r="D56" s="37">
        <v>9.0</v>
      </c>
      <c r="E56" s="40">
        <f t="shared" si="2"/>
        <v>10</v>
      </c>
      <c r="F56" s="90">
        <v>1.0</v>
      </c>
      <c r="G56" s="91">
        <v>10.0</v>
      </c>
      <c r="H56" s="92">
        <v>0.0</v>
      </c>
      <c r="I56" s="91">
        <v>6.0</v>
      </c>
      <c r="J56" s="91">
        <v>4.0</v>
      </c>
      <c r="K56" s="91">
        <v>6.0</v>
      </c>
      <c r="L56" s="93">
        <v>16.0</v>
      </c>
      <c r="M56" s="91">
        <v>2.0</v>
      </c>
      <c r="N56" s="37">
        <f t="shared" ref="N56:O56" si="61">C56+L56</f>
        <v>142</v>
      </c>
      <c r="O56" s="37">
        <f t="shared" si="61"/>
        <v>11</v>
      </c>
      <c r="P56" s="49" t="s">
        <v>57</v>
      </c>
      <c r="Q56" s="49" t="s">
        <v>57</v>
      </c>
      <c r="R56" s="49" t="s">
        <v>57</v>
      </c>
      <c r="S56" s="51">
        <f t="shared" si="4"/>
        <v>9</v>
      </c>
      <c r="T56" s="52">
        <f t="shared" si="5"/>
        <v>0</v>
      </c>
      <c r="U56" s="52"/>
      <c r="V56" s="51">
        <f t="shared" si="6"/>
        <v>4</v>
      </c>
      <c r="W56" s="52">
        <f t="shared" si="7"/>
        <v>0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116</v>
      </c>
      <c r="C57" s="37">
        <v>125.0</v>
      </c>
      <c r="D57" s="37">
        <v>8.0</v>
      </c>
      <c r="E57" s="40">
        <f t="shared" si="2"/>
        <v>9.615384615</v>
      </c>
      <c r="F57" s="90">
        <v>1.0</v>
      </c>
      <c r="G57" s="91">
        <v>10.0</v>
      </c>
      <c r="H57" s="92">
        <v>0.0</v>
      </c>
      <c r="I57" s="91">
        <v>3.0</v>
      </c>
      <c r="J57" s="91">
        <v>4.0</v>
      </c>
      <c r="K57" s="91">
        <v>3.0</v>
      </c>
      <c r="L57" s="93">
        <v>10.0</v>
      </c>
      <c r="M57" s="91">
        <v>0.0</v>
      </c>
      <c r="N57" s="37">
        <f t="shared" ref="N57:O57" si="62">C57+L57</f>
        <v>135</v>
      </c>
      <c r="O57" s="37">
        <f t="shared" si="62"/>
        <v>8</v>
      </c>
      <c r="P57" s="49" t="s">
        <v>57</v>
      </c>
      <c r="Q57" s="49" t="s">
        <v>57</v>
      </c>
      <c r="R57" s="49" t="s">
        <v>57</v>
      </c>
      <c r="S57" s="51">
        <f t="shared" si="4"/>
        <v>13</v>
      </c>
      <c r="T57" s="52">
        <f t="shared" si="5"/>
        <v>0</v>
      </c>
      <c r="U57" s="52"/>
      <c r="V57" s="51">
        <f t="shared" si="6"/>
        <v>0</v>
      </c>
      <c r="W57" s="52">
        <f t="shared" si="7"/>
        <v>0</v>
      </c>
      <c r="X57" s="35">
        <f t="shared" si="12"/>
        <v>53</v>
      </c>
      <c r="Y57" s="35" t="str">
        <f t="shared" si="8"/>
        <v>Y</v>
      </c>
      <c r="Z57" s="19" t="str">
        <f t="shared" si="9"/>
        <v/>
      </c>
    </row>
    <row r="58">
      <c r="A58" s="35">
        <f t="shared" si="10"/>
        <v>54</v>
      </c>
      <c r="B58" s="36" t="s">
        <v>100</v>
      </c>
      <c r="C58" s="37">
        <v>125.0</v>
      </c>
      <c r="D58" s="37">
        <v>6.0</v>
      </c>
      <c r="E58" s="40">
        <f t="shared" si="2"/>
        <v>11.66666667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134</v>
      </c>
      <c r="O58" s="37">
        <f t="shared" si="63"/>
        <v>6</v>
      </c>
      <c r="P58" s="49" t="s">
        <v>57</v>
      </c>
      <c r="Q58" s="49" t="s">
        <v>57</v>
      </c>
      <c r="R58" s="49" t="s">
        <v>57</v>
      </c>
      <c r="S58" s="51">
        <f t="shared" si="4"/>
        <v>3</v>
      </c>
      <c r="T58" s="52">
        <f t="shared" si="5"/>
        <v>0</v>
      </c>
      <c r="U58" s="52"/>
      <c r="V58" s="51">
        <f t="shared" si="6"/>
        <v>10</v>
      </c>
      <c r="W58" s="52">
        <f t="shared" si="7"/>
        <v>1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152</v>
      </c>
      <c r="C59" s="37">
        <v>123.0</v>
      </c>
      <c r="D59" s="37">
        <v>9.0</v>
      </c>
      <c r="E59" s="40">
        <f t="shared" si="2"/>
        <v>9.75</v>
      </c>
      <c r="F59" s="90">
        <v>1.0</v>
      </c>
      <c r="G59" s="91">
        <v>10.0</v>
      </c>
      <c r="H59" s="92">
        <v>0.0</v>
      </c>
      <c r="I59" s="91">
        <v>6.0</v>
      </c>
      <c r="J59" s="91">
        <v>6.0</v>
      </c>
      <c r="K59" s="91">
        <v>3.0</v>
      </c>
      <c r="L59" s="93">
        <v>15.0</v>
      </c>
      <c r="M59" s="91">
        <v>2.0</v>
      </c>
      <c r="N59" s="37">
        <f t="shared" ref="N59:O59" si="64">C59+L59</f>
        <v>138</v>
      </c>
      <c r="O59" s="37">
        <f t="shared" si="64"/>
        <v>11</v>
      </c>
      <c r="P59" s="49" t="s">
        <v>57</v>
      </c>
      <c r="Q59" s="49" t="s">
        <v>57</v>
      </c>
      <c r="R59" s="49" t="s">
        <v>57</v>
      </c>
      <c r="S59" s="51">
        <f t="shared" si="4"/>
        <v>8</v>
      </c>
      <c r="T59" s="52">
        <f t="shared" si="5"/>
        <v>0</v>
      </c>
      <c r="U59" s="52"/>
      <c r="V59" s="51">
        <f t="shared" si="6"/>
        <v>5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145</v>
      </c>
      <c r="C60" s="37">
        <v>121.0</v>
      </c>
      <c r="D60" s="37">
        <v>10.0</v>
      </c>
      <c r="E60" s="40">
        <f t="shared" si="2"/>
        <v>9.444444444</v>
      </c>
      <c r="F60" s="90">
        <v>1.0</v>
      </c>
      <c r="G60" s="91">
        <v>11.0</v>
      </c>
      <c r="H60" s="92">
        <v>0.0</v>
      </c>
      <c r="I60" s="91">
        <v>0.0</v>
      </c>
      <c r="J60" s="91">
        <v>7.0</v>
      </c>
      <c r="K60" s="91">
        <v>6.0</v>
      </c>
      <c r="L60" s="93">
        <v>13.0</v>
      </c>
      <c r="M60" s="91">
        <v>2.0</v>
      </c>
      <c r="N60" s="37">
        <f t="shared" ref="N60:O60" si="65">C60+L60</f>
        <v>134</v>
      </c>
      <c r="O60" s="37">
        <f t="shared" si="65"/>
        <v>12</v>
      </c>
      <c r="P60" s="49" t="s">
        <v>57</v>
      </c>
      <c r="Q60" s="49" t="s">
        <v>57</v>
      </c>
      <c r="R60" s="49" t="s">
        <v>57</v>
      </c>
      <c r="S60" s="51">
        <f t="shared" si="4"/>
        <v>9</v>
      </c>
      <c r="T60" s="52">
        <f t="shared" si="5"/>
        <v>0</v>
      </c>
      <c r="U60" s="52"/>
      <c r="V60" s="51">
        <f t="shared" si="6"/>
        <v>4</v>
      </c>
      <c r="W60" s="52">
        <f t="shared" si="7"/>
        <v>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73</v>
      </c>
      <c r="C61" s="37">
        <v>121.0</v>
      </c>
      <c r="D61" s="37">
        <v>5.0</v>
      </c>
      <c r="E61" s="40">
        <f t="shared" si="2"/>
        <v>10.33333333</v>
      </c>
      <c r="F61" s="90">
        <v>1.0</v>
      </c>
      <c r="G61" s="91">
        <v>11.0</v>
      </c>
      <c r="H61" s="92">
        <v>0.0</v>
      </c>
      <c r="I61" s="91">
        <v>6.0</v>
      </c>
      <c r="J61" s="91">
        <v>6.0</v>
      </c>
      <c r="K61" s="91">
        <v>6.0</v>
      </c>
      <c r="L61" s="93">
        <v>18.0</v>
      </c>
      <c r="M61" s="91">
        <v>2.0</v>
      </c>
      <c r="N61" s="37">
        <f t="shared" ref="N61:O61" si="66">C61+L61</f>
        <v>139</v>
      </c>
      <c r="O61" s="37">
        <f t="shared" si="66"/>
        <v>7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0</v>
      </c>
      <c r="U61" s="52"/>
      <c r="V61" s="51">
        <f t="shared" si="6"/>
        <v>10</v>
      </c>
      <c r="W61" s="52">
        <f t="shared" si="7"/>
        <v>12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136</v>
      </c>
      <c r="C62" s="37">
        <v>119.0</v>
      </c>
      <c r="D62" s="37">
        <v>5.0</v>
      </c>
      <c r="E62" s="40">
        <f t="shared" si="2"/>
        <v>9.333333333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128</v>
      </c>
      <c r="O62" s="37">
        <f t="shared" si="67"/>
        <v>5</v>
      </c>
      <c r="P62" s="49" t="s">
        <v>57</v>
      </c>
      <c r="Q62" s="49" t="s">
        <v>57</v>
      </c>
      <c r="R62" s="49" t="s">
        <v>57</v>
      </c>
      <c r="S62" s="51">
        <f t="shared" si="4"/>
        <v>6</v>
      </c>
      <c r="T62" s="52">
        <f t="shared" si="5"/>
        <v>0</v>
      </c>
      <c r="U62" s="52"/>
      <c r="V62" s="51">
        <f t="shared" si="6"/>
        <v>7</v>
      </c>
      <c r="W62" s="52">
        <f t="shared" si="7"/>
        <v>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146</v>
      </c>
      <c r="C63" s="37">
        <v>119.0</v>
      </c>
      <c r="D63" s="37">
        <v>4.0</v>
      </c>
      <c r="E63" s="40">
        <f t="shared" si="2"/>
        <v>8.333333333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128</v>
      </c>
      <c r="O63" s="37">
        <f t="shared" si="68"/>
        <v>4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1</v>
      </c>
      <c r="U63" s="52"/>
      <c r="V63" s="51">
        <f t="shared" si="6"/>
        <v>9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70</v>
      </c>
      <c r="C64" s="37">
        <v>118.0</v>
      </c>
      <c r="D64" s="37">
        <v>5.0</v>
      </c>
      <c r="E64" s="40">
        <f t="shared" si="2"/>
        <v>8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127</v>
      </c>
      <c r="O64" s="37">
        <f t="shared" si="69"/>
        <v>5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1</v>
      </c>
      <c r="U64" s="52"/>
      <c r="V64" s="51">
        <f t="shared" si="6"/>
        <v>9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125</v>
      </c>
      <c r="C65" s="37">
        <v>118.0</v>
      </c>
      <c r="D65" s="37">
        <v>3.0</v>
      </c>
      <c r="E65" s="40">
        <f t="shared" si="2"/>
        <v>10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127</v>
      </c>
      <c r="O65" s="37">
        <f t="shared" si="70"/>
        <v>3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0</v>
      </c>
      <c r="U65" s="52"/>
      <c r="V65" s="51">
        <f t="shared" si="6"/>
        <v>12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78</v>
      </c>
      <c r="C66" s="37">
        <v>118.0</v>
      </c>
      <c r="D66" s="37">
        <v>2.0</v>
      </c>
      <c r="E66" s="40">
        <f t="shared" si="2"/>
        <v>6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127</v>
      </c>
      <c r="O66" s="37">
        <f t="shared" si="71"/>
        <v>2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1</v>
      </c>
      <c r="U66" s="52"/>
      <c r="V66" s="51">
        <f t="shared" si="6"/>
        <v>11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148</v>
      </c>
      <c r="C67" s="37">
        <v>117.0</v>
      </c>
      <c r="D67" s="37">
        <v>3.0</v>
      </c>
      <c r="E67" s="40">
        <f t="shared" si="2"/>
        <v>9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126</v>
      </c>
      <c r="O67" s="37">
        <f t="shared" si="72"/>
        <v>3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12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149</v>
      </c>
      <c r="C68" s="37">
        <v>116.0</v>
      </c>
      <c r="D68" s="37">
        <v>7.0</v>
      </c>
      <c r="E68" s="40">
        <f t="shared" si="2"/>
        <v>8.833333333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125</v>
      </c>
      <c r="O68" s="37">
        <f t="shared" si="73"/>
        <v>7</v>
      </c>
      <c r="P68" s="49" t="s">
        <v>57</v>
      </c>
      <c r="Q68" s="49" t="s">
        <v>57</v>
      </c>
      <c r="R68" s="49" t="s">
        <v>57</v>
      </c>
      <c r="S68" s="51">
        <f t="shared" si="4"/>
        <v>6</v>
      </c>
      <c r="T68" s="52">
        <f t="shared" si="5"/>
        <v>0</v>
      </c>
      <c r="U68" s="52"/>
      <c r="V68" s="51">
        <f t="shared" si="6"/>
        <v>7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54</v>
      </c>
      <c r="C69" s="37">
        <v>116.0</v>
      </c>
      <c r="D69" s="37">
        <v>2.0</v>
      </c>
      <c r="E69" s="40">
        <f t="shared" si="2"/>
        <v>8.5</v>
      </c>
      <c r="F69" s="90">
        <v>1.0</v>
      </c>
      <c r="G69" s="91">
        <v>11.0</v>
      </c>
      <c r="H69" s="92">
        <v>0.0</v>
      </c>
      <c r="I69" s="91">
        <v>6.0</v>
      </c>
      <c r="J69" s="91">
        <v>7.0</v>
      </c>
      <c r="K69" s="91">
        <v>1.0</v>
      </c>
      <c r="L69" s="93">
        <v>14.0</v>
      </c>
      <c r="M69" s="91">
        <v>2.0</v>
      </c>
      <c r="N69" s="37">
        <f t="shared" ref="N69:O69" si="74">C69+L69</f>
        <v>130</v>
      </c>
      <c r="O69" s="37">
        <f t="shared" si="74"/>
        <v>4</v>
      </c>
      <c r="P69" s="49" t="s">
        <v>57</v>
      </c>
      <c r="Q69" s="49" t="s">
        <v>57</v>
      </c>
      <c r="R69" s="49" t="s">
        <v>57</v>
      </c>
      <c r="S69" s="51">
        <f t="shared" si="4"/>
        <v>2</v>
      </c>
      <c r="T69" s="52">
        <f t="shared" si="5"/>
        <v>0</v>
      </c>
      <c r="U69" s="52"/>
      <c r="V69" s="51">
        <f t="shared" si="6"/>
        <v>11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154</v>
      </c>
      <c r="C70" s="37">
        <v>114.0</v>
      </c>
      <c r="D70" s="37">
        <v>4.0</v>
      </c>
      <c r="E70" s="40">
        <f t="shared" si="2"/>
        <v>8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123</v>
      </c>
      <c r="O70" s="37">
        <f t="shared" si="75"/>
        <v>4</v>
      </c>
      <c r="P70" s="49" t="s">
        <v>57</v>
      </c>
      <c r="Q70" s="49" t="s">
        <v>57</v>
      </c>
      <c r="R70" s="49" t="s">
        <v>57</v>
      </c>
      <c r="S70" s="51">
        <f t="shared" si="4"/>
        <v>3</v>
      </c>
      <c r="T70" s="52">
        <f t="shared" si="5"/>
        <v>0</v>
      </c>
      <c r="U70" s="52"/>
      <c r="V70" s="51">
        <f t="shared" si="6"/>
        <v>10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106</v>
      </c>
      <c r="C71" s="37">
        <v>114.0</v>
      </c>
      <c r="D71" s="37">
        <v>1.0</v>
      </c>
      <c r="E71" s="40">
        <f t="shared" si="2"/>
        <v>6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123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12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112.0</v>
      </c>
      <c r="D72" s="37">
        <v>6.0</v>
      </c>
      <c r="E72" s="40">
        <f t="shared" si="2"/>
        <v>8.375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121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5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133</v>
      </c>
      <c r="C73" s="37">
        <v>110.0</v>
      </c>
      <c r="D73" s="37">
        <v>4.0</v>
      </c>
      <c r="E73" s="40">
        <f t="shared" si="2"/>
        <v>7.833333333</v>
      </c>
      <c r="F73" s="90">
        <v>1.0</v>
      </c>
      <c r="G73" s="91">
        <v>11.0</v>
      </c>
      <c r="H73" s="92">
        <v>0.0</v>
      </c>
      <c r="I73" s="91">
        <v>0.0</v>
      </c>
      <c r="J73" s="91">
        <v>6.0</v>
      </c>
      <c r="K73" s="91">
        <v>1.0</v>
      </c>
      <c r="L73" s="93">
        <v>7.0</v>
      </c>
      <c r="M73" s="91">
        <v>0.0</v>
      </c>
      <c r="N73" s="37">
        <f t="shared" ref="N73:O73" si="78">C73+L73</f>
        <v>117</v>
      </c>
      <c r="O73" s="37">
        <f t="shared" si="78"/>
        <v>4</v>
      </c>
      <c r="P73" s="49" t="s">
        <v>57</v>
      </c>
      <c r="Q73" s="49" t="s">
        <v>57</v>
      </c>
      <c r="R73" s="49" t="s">
        <v>57</v>
      </c>
      <c r="S73" s="51">
        <f t="shared" si="4"/>
        <v>6</v>
      </c>
      <c r="T73" s="52">
        <f t="shared" si="5"/>
        <v>0</v>
      </c>
      <c r="U73" s="52"/>
      <c r="V73" s="51">
        <f t="shared" si="6"/>
        <v>7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124</v>
      </c>
      <c r="C74" s="37">
        <v>110.0</v>
      </c>
      <c r="D74" s="37">
        <v>1.0</v>
      </c>
      <c r="E74" s="40">
        <f t="shared" si="2"/>
        <v>2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119</v>
      </c>
      <c r="O74" s="37">
        <f t="shared" si="79"/>
        <v>1</v>
      </c>
      <c r="P74" s="49" t="s">
        <v>57</v>
      </c>
      <c r="Q74" s="49" t="s">
        <v>57</v>
      </c>
      <c r="R74" s="49" t="s">
        <v>57</v>
      </c>
      <c r="S74" s="51">
        <f t="shared" si="4"/>
        <v>1</v>
      </c>
      <c r="T74" s="52">
        <f t="shared" si="5"/>
        <v>0</v>
      </c>
      <c r="U74" s="52"/>
      <c r="V74" s="51">
        <f t="shared" si="6"/>
        <v>12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141</v>
      </c>
      <c r="C75" s="37">
        <v>108.0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117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13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108.0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117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13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108.0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117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13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108.0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117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12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101.0</v>
      </c>
      <c r="D79" s="37">
        <v>1.0</v>
      </c>
      <c r="E79" s="40">
        <f t="shared" si="2"/>
        <v>5</v>
      </c>
      <c r="F79" s="90">
        <v>5.0</v>
      </c>
      <c r="G79" s="91">
        <v>0.0</v>
      </c>
      <c r="H79" s="92">
        <v>13.0</v>
      </c>
      <c r="I79" s="91">
        <v>0.0</v>
      </c>
      <c r="J79" s="91">
        <v>0.0</v>
      </c>
      <c r="K79" s="91">
        <v>0.0</v>
      </c>
      <c r="L79" s="93">
        <v>13.0</v>
      </c>
      <c r="M79" s="91">
        <v>0.0</v>
      </c>
      <c r="N79" s="37">
        <f t="shared" ref="N79:O79" si="84">C79+L79</f>
        <v>114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1</v>
      </c>
      <c r="U79" s="52"/>
      <c r="V79" s="51">
        <f t="shared" si="6"/>
        <v>7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03/28/26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desc"",0)"),"Suleman Alidina")</f>
        <v>Suleman Alidina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IFERROR(__xludf.DUMMYFUNCTION("""COMPUTED_VALUE"""),3.0)</f>
        <v>3</v>
      </c>
      <c r="F91" s="5"/>
    </row>
    <row r="92">
      <c r="A92" s="5"/>
      <c r="B92" s="36" t="str">
        <f>IFERROR(__xludf.DUMMYFUNCTION("""COMPUTED_VALUE"""),"Vinotkumar Nagappan")</f>
        <v>Vinotkumar Nagappan</v>
      </c>
      <c r="C92" s="122">
        <f>IFERROR(__xludf.DUMMYFUNCTION("""COMPUTED_VALUE"""),20.0)</f>
        <v>20</v>
      </c>
      <c r="D92" s="122">
        <f>IFERROR(__xludf.DUMMYFUNCTION("""COMPUTED_VALUE"""),3.0)</f>
        <v>3</v>
      </c>
      <c r="E92" s="122">
        <f>IFERROR(__xludf.DUMMYFUNCTION("""COMPUTED_VALUE"""),10.0)</f>
        <v>10</v>
      </c>
      <c r="F92" s="5"/>
    </row>
    <row r="93">
      <c r="A93" s="5"/>
      <c r="B93" s="36" t="str">
        <f>IFERROR(__xludf.DUMMYFUNCTION("""COMPUTED_VALUE"""),"Adrian Tay")</f>
        <v>Adrian Tay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IFERROR(__xludf.DUMMYFUNCTION("""COMPUTED_VALUE"""),6.0)</f>
        <v>6</v>
      </c>
      <c r="F93" s="5"/>
    </row>
    <row r="94">
      <c r="A94" s="5"/>
      <c r="B94" s="36" t="str">
        <f>IFERROR(__xludf.DUMMYFUNCTION("""COMPUTED_VALUE"""),"Oscar Bonilla")</f>
        <v>Oscar Bonilla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IFERROR(__xludf.DUMMYFUNCTION("""COMPUTED_VALUE"""),7.0)</f>
        <v>7</v>
      </c>
      <c r="F94" s="5"/>
    </row>
    <row r="95">
      <c r="A95" s="5"/>
      <c r="B95" s="36" t="str">
        <f>IFERROR(__xludf.DUMMYFUNCTION("""COMPUTED_VALUE"""),"Tom Le")</f>
        <v>Tom Le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IFERROR(__xludf.DUMMYFUNCTION("""COMPUTED_VALUE"""),8.0)</f>
        <v>8</v>
      </c>
      <c r="F95" s="5"/>
    </row>
    <row r="96">
      <c r="A96" s="5"/>
      <c r="B96" s="36" t="str">
        <f>IFERROR(__xludf.DUMMYFUNCTION("""COMPUTED_VALUE"""),"Sandeep Kamalon")</f>
        <v>Sandeep Kamalon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IFERROR(__xludf.DUMMYFUNCTION("""COMPUTED_VALUE"""),1.0)</f>
        <v>1</v>
      </c>
      <c r="F96" s="5"/>
    </row>
    <row r="97">
      <c r="A97" s="5"/>
      <c r="B97" s="36" t="str">
        <f>IFERROR(__xludf.DUMMYFUNCTION("""COMPUTED_VALUE"""),"Hongyuan Wen")</f>
        <v>Hongyuan Wen</v>
      </c>
      <c r="C97" s="122">
        <f>IFERROR(__xludf.DUMMYFUNCTION("""COMPUTED_VALUE"""),18.0)</f>
        <v>18</v>
      </c>
      <c r="D97" s="122">
        <f>IFERROR(__xludf.DUMMYFUNCTION("""COMPUTED_VALUE"""),2.0)</f>
        <v>2</v>
      </c>
      <c r="E97" s="122">
        <f>IFERROR(__xludf.DUMMYFUNCTION("""COMPUTED_VALUE"""),11.0)</f>
        <v>11</v>
      </c>
      <c r="F97" s="5"/>
    </row>
    <row r="98">
      <c r="A98" s="5"/>
      <c r="B98" s="36" t="str">
        <f>IFERROR(__xludf.DUMMYFUNCTION("""COMPUTED_VALUE"""),"Wayne Liu")</f>
        <v>Wayne Liu</v>
      </c>
      <c r="C98" s="122">
        <f>IFERROR(__xludf.DUMMYFUNCTION("""COMPUTED_VALUE"""),18.0)</f>
        <v>18</v>
      </c>
      <c r="D98" s="122">
        <f>IFERROR(__xludf.DUMMYFUNCTION("""COMPUTED_VALUE"""),1.0)</f>
        <v>1</v>
      </c>
      <c r="E98" s="122">
        <f>IFERROR(__xludf.DUMMYFUNCTION("""COMPUTED_VALUE"""),10.0)</f>
        <v>10</v>
      </c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10"")"),"Vinotkumar Nagappan")</f>
        <v>Vinotkumar Nagappan</v>
      </c>
      <c r="C110" s="122">
        <f>IFERROR(__xludf.DUMMYFUNCTION("""COMPUTED_VALUE"""),15.0)</f>
        <v>15</v>
      </c>
      <c r="D110" s="122">
        <f t="shared" ref="D110:D119" si="85">VLOOKUP(B110,indirect($AC$2&amp;"!B$5:X$79"),23, false)</f>
        <v>40</v>
      </c>
      <c r="E110" s="122">
        <f t="shared" ref="E110:E119" si="86">VLOOKUP(B110,B$5:X$79,23, false)</f>
        <v>25</v>
      </c>
      <c r="F110" s="122">
        <f t="shared" ref="F110:F119" si="87">VLOOKUP(B110,indirect($AC$2&amp;"!B$5:U$79"),11, false)</f>
        <v>20</v>
      </c>
      <c r="G110" s="122">
        <f t="shared" ref="G110:G119" si="88">VLOOKUP(B110,indirect($AC$2&amp;"!B$5:U$79"),6, false)</f>
        <v>10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IFERROR(__xludf.DUMMYFUNCTION("""COMPUTED_VALUE"""),"Tom Le")</f>
        <v>Tom Le</v>
      </c>
      <c r="C111" s="122">
        <f>IFERROR(__xludf.DUMMYFUNCTION("""COMPUTED_VALUE"""),12.0)</f>
        <v>12</v>
      </c>
      <c r="D111" s="122">
        <f t="shared" si="85"/>
        <v>69</v>
      </c>
      <c r="E111" s="122">
        <f t="shared" si="86"/>
        <v>57</v>
      </c>
      <c r="F111" s="122">
        <f t="shared" si="87"/>
        <v>18</v>
      </c>
      <c r="G111" s="122">
        <f t="shared" si="88"/>
        <v>8</v>
      </c>
      <c r="L111" s="122" t="str">
        <f t="shared" si="89"/>
        <v>ok</v>
      </c>
    </row>
    <row r="112">
      <c r="A112" s="5"/>
      <c r="B112" s="36" t="str">
        <f>IFERROR(__xludf.DUMMYFUNCTION("""COMPUTED_VALUE"""),"Adrian Tay")</f>
        <v>Adrian Tay</v>
      </c>
      <c r="C112" s="122">
        <f>IFERROR(__xludf.DUMMYFUNCTION("""COMPUTED_VALUE"""),9.0)</f>
        <v>9</v>
      </c>
      <c r="D112" s="122">
        <f t="shared" si="85"/>
        <v>28</v>
      </c>
      <c r="E112" s="122">
        <f t="shared" si="86"/>
        <v>19</v>
      </c>
      <c r="F112" s="122">
        <f t="shared" si="87"/>
        <v>18</v>
      </c>
      <c r="G112" s="122">
        <f t="shared" si="88"/>
        <v>6</v>
      </c>
      <c r="L112" s="122" t="str">
        <f t="shared" si="89"/>
        <v>ok</v>
      </c>
    </row>
    <row r="113">
      <c r="A113" s="5"/>
      <c r="B113" s="36" t="str">
        <f>IFERROR(__xludf.DUMMYFUNCTION("""COMPUTED_VALUE"""),"Suleman Alidina")</f>
        <v>Suleman Alidina</v>
      </c>
      <c r="C113" s="122">
        <f>IFERROR(__xludf.DUMMYFUNCTION("""COMPUTED_VALUE"""),8.0)</f>
        <v>8</v>
      </c>
      <c r="D113" s="122">
        <f t="shared" si="85"/>
        <v>14</v>
      </c>
      <c r="E113" s="122">
        <f t="shared" si="86"/>
        <v>6</v>
      </c>
      <c r="F113" s="122">
        <f t="shared" si="87"/>
        <v>20</v>
      </c>
      <c r="G113" s="122">
        <f t="shared" si="88"/>
        <v>3</v>
      </c>
      <c r="L113" s="122" t="str">
        <f t="shared" si="89"/>
        <v>ok</v>
      </c>
    </row>
    <row r="114">
      <c r="A114" s="5"/>
      <c r="B114" s="36" t="str">
        <f>IFERROR(__xludf.DUMMYFUNCTION("""COMPUTED_VALUE"""),"Wayne Liu")</f>
        <v>Wayne Liu</v>
      </c>
      <c r="C114" s="122">
        <f>IFERROR(__xludf.DUMMYFUNCTION("""COMPUTED_VALUE"""),8.0)</f>
        <v>8</v>
      </c>
      <c r="D114" s="122">
        <f t="shared" si="85"/>
        <v>39</v>
      </c>
      <c r="E114" s="122">
        <f t="shared" si="86"/>
        <v>31</v>
      </c>
      <c r="F114" s="122">
        <f t="shared" si="87"/>
        <v>18</v>
      </c>
      <c r="G114" s="122">
        <f t="shared" si="88"/>
        <v>10</v>
      </c>
      <c r="L114" s="122" t="str">
        <f t="shared" si="89"/>
        <v>ok</v>
      </c>
    </row>
    <row r="115">
      <c r="A115" s="5"/>
      <c r="B115" s="36" t="str">
        <f>IFERROR(__xludf.DUMMYFUNCTION("""COMPUTED_VALUE"""),"Hongyuan Wen")</f>
        <v>Hongyuan Wen</v>
      </c>
      <c r="C115" s="122">
        <f>IFERROR(__xludf.DUMMYFUNCTION("""COMPUTED_VALUE"""),8.0)</f>
        <v>8</v>
      </c>
      <c r="D115" s="122">
        <f t="shared" si="85"/>
        <v>49</v>
      </c>
      <c r="E115" s="122">
        <f t="shared" si="86"/>
        <v>41</v>
      </c>
      <c r="F115" s="122">
        <f t="shared" si="87"/>
        <v>18</v>
      </c>
      <c r="G115" s="122">
        <f t="shared" si="88"/>
        <v>11</v>
      </c>
      <c r="L115" s="122" t="str">
        <f t="shared" si="89"/>
        <v>ok</v>
      </c>
    </row>
    <row r="116">
      <c r="A116" s="5"/>
      <c r="B116" s="36" t="str">
        <f>IFERROR(__xludf.DUMMYFUNCTION("""COMPUTED_VALUE"""),"Oscar Bonilla")</f>
        <v>Oscar Bonilla</v>
      </c>
      <c r="C116" s="122">
        <f>IFERROR(__xludf.DUMMYFUNCTION("""COMPUTED_VALUE"""),7.0)</f>
        <v>7</v>
      </c>
      <c r="D116" s="122">
        <f t="shared" si="85"/>
        <v>44</v>
      </c>
      <c r="E116" s="122">
        <f t="shared" si="86"/>
        <v>37</v>
      </c>
      <c r="F116" s="122">
        <f t="shared" si="87"/>
        <v>18</v>
      </c>
      <c r="G116" s="122">
        <f t="shared" si="88"/>
        <v>7</v>
      </c>
      <c r="L116" s="122" t="str">
        <f t="shared" si="89"/>
        <v>ok</v>
      </c>
    </row>
    <row r="117">
      <c r="A117" s="5"/>
      <c r="B117" s="36" t="str">
        <f>IFERROR(__xludf.DUMMYFUNCTION("""COMPUTED_VALUE"""),"Jordan Tatang")</f>
        <v>Jordan Tatang</v>
      </c>
      <c r="C117" s="122">
        <f>IFERROR(__xludf.DUMMYFUNCTION("""COMPUTED_VALUE"""),6.0)</f>
        <v>6</v>
      </c>
      <c r="D117" s="122">
        <f t="shared" si="85"/>
        <v>32</v>
      </c>
      <c r="E117" s="122">
        <f t="shared" si="86"/>
        <v>26</v>
      </c>
      <c r="F117" s="122">
        <f t="shared" si="87"/>
        <v>16</v>
      </c>
      <c r="G117" s="122">
        <f t="shared" si="88"/>
        <v>9</v>
      </c>
      <c r="L117" s="122" t="str">
        <f t="shared" si="89"/>
        <v>ok</v>
      </c>
    </row>
    <row r="118">
      <c r="A118" s="5"/>
      <c r="B118" s="36" t="str">
        <f>IFERROR(__xludf.DUMMYFUNCTION("""COMPUTED_VALUE"""),"Luis Hsu")</f>
        <v>Luis Hsu</v>
      </c>
      <c r="C118" s="122">
        <f>IFERROR(__xludf.DUMMYFUNCTION("""COMPUTED_VALUE"""),6.0)</f>
        <v>6</v>
      </c>
      <c r="D118" s="122">
        <f t="shared" si="85"/>
        <v>33</v>
      </c>
      <c r="E118" s="122">
        <f t="shared" si="86"/>
        <v>27</v>
      </c>
      <c r="F118" s="122">
        <f t="shared" si="87"/>
        <v>17</v>
      </c>
      <c r="G118" s="122">
        <f t="shared" si="88"/>
        <v>9</v>
      </c>
      <c r="L118" s="122" t="str">
        <f t="shared" si="89"/>
        <v>ok</v>
      </c>
    </row>
    <row r="119">
      <c r="A119" s="5"/>
      <c r="B119" s="36" t="str">
        <f>IFERROR(__xludf.DUMMYFUNCTION("""COMPUTED_VALUE"""),"Darren Wong")</f>
        <v>Darren Wong</v>
      </c>
      <c r="C119" s="122">
        <f>IFERROR(__xludf.DUMMYFUNCTION("""COMPUTED_VALUE"""),4.0)</f>
        <v>4</v>
      </c>
      <c r="D119" s="122">
        <f t="shared" si="85"/>
        <v>18</v>
      </c>
      <c r="E119" s="122">
        <f t="shared" si="86"/>
        <v>14</v>
      </c>
      <c r="F119" s="122">
        <f t="shared" si="87"/>
        <v>17</v>
      </c>
      <c r="G119" s="122">
        <f t="shared" si="88"/>
        <v>4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13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188</v>
      </c>
      <c r="D128" s="122">
        <f t="shared" si="90"/>
        <v>25</v>
      </c>
      <c r="E128" s="122">
        <f t="shared" si="90"/>
        <v>15.45454545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176</v>
      </c>
      <c r="D129" s="122">
        <f t="shared" si="91"/>
        <v>21</v>
      </c>
      <c r="E129" s="122">
        <f t="shared" si="91"/>
        <v>14.36363636</v>
      </c>
      <c r="F129" s="5"/>
    </row>
    <row r="130">
      <c r="A130" s="122">
        <f t="shared" ref="A130:E130" si="92">A7</f>
        <v>3</v>
      </c>
      <c r="B130" s="36" t="str">
        <f t="shared" si="92"/>
        <v>Sandeep Kamalon</v>
      </c>
      <c r="C130" s="122">
        <f t="shared" si="92"/>
        <v>170</v>
      </c>
      <c r="D130" s="122">
        <f t="shared" si="92"/>
        <v>18</v>
      </c>
      <c r="E130" s="122">
        <f t="shared" si="92"/>
        <v>13.81818182</v>
      </c>
      <c r="F130" s="5"/>
    </row>
    <row r="131">
      <c r="A131" s="122">
        <f t="shared" ref="A131:E131" si="93">A8</f>
        <v>4</v>
      </c>
      <c r="B131" s="36" t="str">
        <f t="shared" si="93"/>
        <v>Pavan Akkimsetty</v>
      </c>
      <c r="C131" s="122">
        <f t="shared" si="93"/>
        <v>170</v>
      </c>
      <c r="D131" s="122">
        <f t="shared" si="93"/>
        <v>17</v>
      </c>
      <c r="E131" s="122">
        <f t="shared" si="93"/>
        <v>13.9</v>
      </c>
      <c r="F131" s="5"/>
    </row>
    <row r="132">
      <c r="A132" s="122">
        <f t="shared" ref="A132:E132" si="94">A9</f>
        <v>5</v>
      </c>
      <c r="B132" s="36" t="str">
        <f t="shared" si="94"/>
        <v>Rudy Tatang</v>
      </c>
      <c r="C132" s="122">
        <f t="shared" si="94"/>
        <v>166</v>
      </c>
      <c r="D132" s="122">
        <f t="shared" si="94"/>
        <v>17</v>
      </c>
      <c r="E132" s="122">
        <f t="shared" si="94"/>
        <v>13.9</v>
      </c>
      <c r="F132" s="5"/>
    </row>
    <row r="133">
      <c r="A133" s="122">
        <f t="shared" ref="A133:E133" si="95">A10</f>
        <v>6</v>
      </c>
      <c r="B133" s="36" t="str">
        <f t="shared" si="95"/>
        <v>Suleman Alidina</v>
      </c>
      <c r="C133" s="122">
        <f t="shared" si="95"/>
        <v>165</v>
      </c>
      <c r="D133" s="122">
        <f t="shared" si="95"/>
        <v>17</v>
      </c>
      <c r="E133" s="122">
        <f t="shared" si="95"/>
        <v>12.69230769</v>
      </c>
      <c r="F133" s="5"/>
    </row>
    <row r="134">
      <c r="A134" s="122">
        <f t="shared" ref="A134:E134" si="96">A11</f>
        <v>7</v>
      </c>
      <c r="B134" s="36" t="str">
        <f t="shared" si="96"/>
        <v>Jaya Sogata</v>
      </c>
      <c r="C134" s="122">
        <f t="shared" si="96"/>
        <v>164</v>
      </c>
      <c r="D134" s="122">
        <f t="shared" si="96"/>
        <v>16</v>
      </c>
      <c r="E134" s="122">
        <f t="shared" si="96"/>
        <v>13.3</v>
      </c>
      <c r="F134" s="5"/>
    </row>
    <row r="135">
      <c r="A135" s="122">
        <f t="shared" ref="A135:E135" si="97">A12</f>
        <v>8</v>
      </c>
      <c r="B135" s="36" t="str">
        <f t="shared" si="97"/>
        <v>Joe Luzzi</v>
      </c>
      <c r="C135" s="122">
        <f t="shared" si="97"/>
        <v>163</v>
      </c>
      <c r="D135" s="122">
        <f t="shared" si="97"/>
        <v>18</v>
      </c>
      <c r="E135" s="122">
        <f t="shared" si="97"/>
        <v>12.83333333</v>
      </c>
      <c r="F135" s="5"/>
    </row>
    <row r="136">
      <c r="A136" s="122">
        <f t="shared" ref="A136:E136" si="98">A13</f>
        <v>9</v>
      </c>
      <c r="B136" s="36" t="str">
        <f t="shared" si="98"/>
        <v>Erik Hoeckmann</v>
      </c>
      <c r="C136" s="122">
        <f t="shared" si="98"/>
        <v>163</v>
      </c>
      <c r="D136" s="122">
        <f t="shared" si="98"/>
        <v>16</v>
      </c>
      <c r="E136" s="122">
        <f t="shared" si="98"/>
        <v>13.2</v>
      </c>
      <c r="F136" s="5"/>
    </row>
    <row r="137">
      <c r="A137" s="122">
        <f t="shared" ref="A137:E137" si="99">A14</f>
        <v>10</v>
      </c>
      <c r="B137" s="36" t="str">
        <f t="shared" si="99"/>
        <v>Scott Li</v>
      </c>
      <c r="C137" s="122">
        <f t="shared" si="99"/>
        <v>163</v>
      </c>
      <c r="D137" s="122">
        <f t="shared" si="99"/>
        <v>12</v>
      </c>
      <c r="E137" s="122">
        <f t="shared" si="99"/>
        <v>14.11111111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ASC"")"),"Coco Yan")</f>
        <v>Coco Yan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IFERROR(__xludf.DUMMYFUNCTION("""COMPUTED_VALUE"""),"Eric Tan")</f>
        <v>Eric Tan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IFERROR(__xludf.DUMMYFUNCTION("""COMPUTED_VALUE"""),"Frank Moon")</f>
        <v>Frank Moon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IFERROR(__xludf.DUMMYFUNCTION("""COMPUTED_VALUE"""),"Suleman Alidina")</f>
        <v>Suleman Alidina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IFERROR(__xludf.DUMMYFUNCTION("""COMPUTED_VALUE"""),"Wayne Liu")</f>
        <v>Wayne Liu</v>
      </c>
      <c r="C167" s="5"/>
      <c r="D167" s="5"/>
      <c r="E167" s="5"/>
      <c r="F167" s="5"/>
    </row>
    <row r="168">
      <c r="A168" s="122">
        <f t="shared" si="100"/>
        <v>0</v>
      </c>
      <c r="B168" s="36"/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03/28/26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IFERROR(__xludf.DUMMYFUNCTION("""COMPUTED_VALUE"""),"Pulkit Mathur")</f>
        <v>Pulkit Mathur</v>
      </c>
      <c r="C250" s="132">
        <f>IFERROR(__xludf.DUMMYFUNCTION("""COMPUTED_VALUE"""),6.0)</f>
        <v>6</v>
      </c>
      <c r="D250" s="132">
        <f>IFERROR(__xludf.DUMMYFUNCTION("""COMPUTED_VALUE"""),7.0)</f>
        <v>7</v>
      </c>
      <c r="E250" s="132">
        <f>IFERROR(__xludf.DUMMYFUNCTION("""COMPUTED_VALUE"""),4.0)</f>
        <v>4</v>
      </c>
      <c r="F250" s="132">
        <f>IFERROR(__xludf.DUMMYFUNCTION("""COMPUTED_VALUE"""),17.0)</f>
        <v>17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IFERROR(__xludf.DUMMYFUNCTION("""COMPUTED_VALUE"""),"Pavan Akkimsetty")</f>
        <v>Pavan Akkimsetty</v>
      </c>
      <c r="C251" s="132">
        <f>IFERROR(__xludf.DUMMYFUNCTION("""COMPUTED_VALUE"""),4.0)</f>
        <v>4</v>
      </c>
      <c r="D251" s="132">
        <f>IFERROR(__xludf.DUMMYFUNCTION("""COMPUTED_VALUE"""),7.0)</f>
        <v>7</v>
      </c>
      <c r="E251" s="132">
        <f>IFERROR(__xludf.DUMMYFUNCTION("""COMPUTED_VALUE"""),6.0)</f>
        <v>6</v>
      </c>
      <c r="F251" s="132">
        <f>IFERROR(__xludf.DUMMYFUNCTION("""COMPUTED_VALUE"""),17.0)</f>
        <v>17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IFERROR(__xludf.DUMMYFUNCTION("""COMPUTED_VALUE"""),"Rudy Tatang")</f>
        <v>Rudy Tatang</v>
      </c>
      <c r="C252" s="132">
        <f>IFERROR(__xludf.DUMMYFUNCTION("""COMPUTED_VALUE"""),4.0)</f>
        <v>4</v>
      </c>
      <c r="D252" s="132">
        <f>IFERROR(__xludf.DUMMYFUNCTION("""COMPUTED_VALUE"""),6.0)</f>
        <v>6</v>
      </c>
      <c r="E252" s="132">
        <f>IFERROR(__xludf.DUMMYFUNCTION("""COMPUTED_VALUE"""),4.0)</f>
        <v>4</v>
      </c>
      <c r="F252" s="132">
        <f>IFERROR(__xludf.DUMMYFUNCTION("""COMPUTED_VALUE"""),14.0)</f>
        <v>14</v>
      </c>
      <c r="G252" s="132">
        <f>IFERROR(__xludf.DUMMYFUNCTION("""COMPUTED_VALUE"""),0.0)</f>
        <v>0</v>
      </c>
    </row>
    <row r="253">
      <c r="A253" s="122">
        <f>IFERROR(__xludf.DUMMYFUNCTION("""COMPUTED_VALUE"""),1.0)</f>
        <v>1</v>
      </c>
      <c r="B253" s="36" t="str">
        <f>IFERROR(__xludf.DUMMYFUNCTION("""COMPUTED_VALUE"""),"Sandeep Kamalon")</f>
        <v>Sandeep Kamalon</v>
      </c>
      <c r="C253" s="132">
        <f>IFERROR(__xludf.DUMMYFUNCTION("""COMPUTED_VALUE"""),6.0)</f>
        <v>6</v>
      </c>
      <c r="D253" s="132">
        <f>IFERROR(__xludf.DUMMYFUNCTION("""COMPUTED_VALUE"""),6.0)</f>
        <v>6</v>
      </c>
      <c r="E253" s="132">
        <f>IFERROR(__xludf.DUMMYFUNCTION("""COMPUTED_VALUE"""),6.0)</f>
        <v>6</v>
      </c>
      <c r="F253" s="132">
        <f>IFERROR(__xludf.DUMMYFUNCTION("""COMPUTED_VALUE"""),18.0)</f>
        <v>18</v>
      </c>
      <c r="G253" s="132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IFERROR(__xludf.DUMMYFUNCTION("""COMPUTED_VALUE"""),"Jaya Sogata")</f>
        <v>Jaya Sogata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IFERROR(__xludf.DUMMYFUNCTION("""COMPUTED_VALUE"""),3.0)</f>
        <v>3</v>
      </c>
      <c r="F254" s="135">
        <f>IFERROR(__xludf.DUMMYFUNCTION("""COMPUTED_VALUE"""),15.0)</f>
        <v>15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IFERROR(__xludf.DUMMYFUNCTION("""COMPUTED_VALUE"""),"Frank Moon")</f>
        <v>Frank Moon</v>
      </c>
      <c r="C255" s="135">
        <f>IFERROR(__xludf.DUMMYFUNCTION("""COMPUTED_VALUE"""),0.0)</f>
        <v>0</v>
      </c>
      <c r="D255" s="135">
        <f>IFERROR(__xludf.DUMMYFUNCTION("""COMPUTED_VALUE"""),6.0)</f>
        <v>6</v>
      </c>
      <c r="E255" s="135">
        <f>IFERROR(__xludf.DUMMYFUNCTION("""COMPUTED_VALUE"""),6.0)</f>
        <v>6</v>
      </c>
      <c r="F255" s="135">
        <f>IFERROR(__xludf.DUMMYFUNCTION("""COMPUTED_VALUE"""),12.0)</f>
        <v>12</v>
      </c>
      <c r="G255" s="135">
        <f>IFERROR(__xludf.DUMMYFUNCTION("""COMPUTED_VALUE"""),2.0)</f>
        <v>2</v>
      </c>
    </row>
    <row r="256">
      <c r="A256" s="133">
        <f>IFERROR(__xludf.DUMMYFUNCTION("""COMPUTED_VALUE"""),2.0)</f>
        <v>2</v>
      </c>
      <c r="B256" s="134" t="str">
        <f>IFERROR(__xludf.DUMMYFUNCTION("""COMPUTED_VALUE"""),"Joe Luzzi")</f>
        <v>Joe Luzzi</v>
      </c>
      <c r="C256" s="135">
        <f>IFERROR(__xludf.DUMMYFUNCTION("""COMPUTED_VALUE"""),6.0)</f>
        <v>6</v>
      </c>
      <c r="D256" s="135">
        <f>IFERROR(__xludf.DUMMYFUNCTION("""COMPUTED_VALUE"""),3.0)</f>
        <v>3</v>
      </c>
      <c r="E256" s="135">
        <f>IFERROR(__xludf.DUMMYFUNCTION("""COMPUTED_VALUE"""),6.0)</f>
        <v>6</v>
      </c>
      <c r="F256" s="135">
        <f>IFERROR(__xludf.DUMMYFUNCTION("""COMPUTED_VALUE"""),15.0)</f>
        <v>15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IFERROR(__xludf.DUMMYFUNCTION("""COMPUTED_VALUE"""),"David Shin")</f>
        <v>David Shin</v>
      </c>
      <c r="C257" s="135">
        <f>IFERROR(__xludf.DUMMYFUNCTION("""COMPUTED_VALUE"""),0.0)</f>
        <v>0</v>
      </c>
      <c r="D257" s="135">
        <f>IFERROR(__xludf.DUMMYFUNCTION("""COMPUTED_VALUE"""),3.0)</f>
        <v>3</v>
      </c>
      <c r="E257" s="135">
        <f>IFERROR(__xludf.DUMMYFUNCTION("""COMPUTED_VALUE"""),3.0)</f>
        <v>3</v>
      </c>
      <c r="F257" s="135">
        <f>IFERROR(__xludf.DUMMYFUNCTION("""COMPUTED_VALUE"""),6.0)</f>
        <v>6</v>
      </c>
      <c r="G257" s="135">
        <f>IFERROR(__xludf.DUMMYFUNCTION("""COMPUTED_VALUE"""),0.0)</f>
        <v>0</v>
      </c>
    </row>
    <row r="258">
      <c r="A258" s="122">
        <f>IFERROR(__xludf.DUMMYFUNCTION("""COMPUTED_VALUE"""),3.0)</f>
        <v>3</v>
      </c>
      <c r="B258" s="36" t="str">
        <f>IFERROR(__xludf.DUMMYFUNCTION("""COMPUTED_VALUE"""),"Erik Hoeckmann")</f>
        <v>Erik Hoeckmann</v>
      </c>
      <c r="C258" s="132">
        <f>IFERROR(__xludf.DUMMYFUNCTION("""COMPUTED_VALUE"""),7.0)</f>
        <v>7</v>
      </c>
      <c r="D258" s="132">
        <f>IFERROR(__xludf.DUMMYFUNCTION("""COMPUTED_VALUE"""),6.0)</f>
        <v>6</v>
      </c>
      <c r="E258" s="132">
        <f>IFERROR(__xludf.DUMMYFUNCTION("""COMPUTED_VALUE"""),3.0)</f>
        <v>3</v>
      </c>
      <c r="F258" s="132">
        <f>IFERROR(__xludf.DUMMYFUNCTION("""COMPUTED_VALUE"""),16.0)</f>
        <v>16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IFERROR(__xludf.DUMMYFUNCTION("""COMPUTED_VALUE"""),"Ethan Gu")</f>
        <v>Ethan Gu</v>
      </c>
      <c r="C259" s="132">
        <f>IFERROR(__xludf.DUMMYFUNCTION("""COMPUTED_VALUE"""),5.0)</f>
        <v>5</v>
      </c>
      <c r="D259" s="132">
        <f>IFERROR(__xludf.DUMMYFUNCTION("""COMPUTED_VALUE"""),7.0)</f>
        <v>7</v>
      </c>
      <c r="E259" s="132">
        <f>IFERROR(__xludf.DUMMYFUNCTION("""COMPUTED_VALUE"""),3.0)</f>
        <v>3</v>
      </c>
      <c r="F259" s="132">
        <f>IFERROR(__xludf.DUMMYFUNCTION("""COMPUTED_VALUE"""),15.0)</f>
        <v>15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IFERROR(__xludf.DUMMYFUNCTION("""COMPUTED_VALUE"""),"Scott Li")</f>
        <v>Scott Li</v>
      </c>
      <c r="C260" s="132">
        <f>IFERROR(__xludf.DUMMYFUNCTION("""COMPUTED_VALUE"""),5.0)</f>
        <v>5</v>
      </c>
      <c r="D260" s="132">
        <f>IFERROR(__xludf.DUMMYFUNCTION("""COMPUTED_VALUE"""),6.0)</f>
        <v>6</v>
      </c>
      <c r="E260" s="132">
        <f>IFERROR(__xludf.DUMMYFUNCTION("""COMPUTED_VALUE"""),6.0)</f>
        <v>6</v>
      </c>
      <c r="F260" s="132">
        <f>IFERROR(__xludf.DUMMYFUNCTION("""COMPUTED_VALUE"""),17.0)</f>
        <v>17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IFERROR(__xludf.DUMMYFUNCTION("""COMPUTED_VALUE"""),"Suleman Alidina")</f>
        <v>Suleman Alidina</v>
      </c>
      <c r="C261" s="132">
        <f>IFERROR(__xludf.DUMMYFUNCTION("""COMPUTED_VALUE"""),7.0)</f>
        <v>7</v>
      </c>
      <c r="D261" s="132">
        <f>IFERROR(__xludf.DUMMYFUNCTION("""COMPUTED_VALUE"""),7.0)</f>
        <v>7</v>
      </c>
      <c r="E261" s="132">
        <f>IFERROR(__xludf.DUMMYFUNCTION("""COMPUTED_VALUE"""),6.0)</f>
        <v>6</v>
      </c>
      <c r="F261" s="132">
        <f>IFERROR(__xludf.DUMMYFUNCTION("""COMPUTED_VALUE"""),20.0)</f>
        <v>20</v>
      </c>
      <c r="G261" s="132">
        <f>IFERROR(__xludf.DUMMYFUNCTION("""COMPUTED_VALUE"""),3.0)</f>
        <v>3</v>
      </c>
    </row>
    <row r="262">
      <c r="A262" s="133">
        <f>IFERROR(__xludf.DUMMYFUNCTION("""COMPUTED_VALUE"""),4.0)</f>
        <v>4</v>
      </c>
      <c r="B262" s="134" t="str">
        <f>IFERROR(__xludf.DUMMYFUNCTION("""COMPUTED_VALUE"""),"Eric Pan")</f>
        <v>Eric Pan</v>
      </c>
      <c r="C262" s="135">
        <f>IFERROR(__xludf.DUMMYFUNCTION("""COMPUTED_VALUE"""),7.0)</f>
        <v>7</v>
      </c>
      <c r="D262" s="135">
        <f>IFERROR(__xludf.DUMMYFUNCTION("""COMPUTED_VALUE"""),1.0)</f>
        <v>1</v>
      </c>
      <c r="E262" s="135">
        <f>IFERROR(__xludf.DUMMYFUNCTION("""COMPUTED_VALUE"""),6.0)</f>
        <v>6</v>
      </c>
      <c r="F262" s="135">
        <f>IFERROR(__xludf.DUMMYFUNCTION("""COMPUTED_VALUE"""),14.0)</f>
        <v>14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IFERROR(__xludf.DUMMYFUNCTION("""COMPUTED_VALUE"""),"Ted Shen")</f>
        <v>Ted Shen</v>
      </c>
      <c r="C263" s="135">
        <f>IFERROR(__xludf.DUMMYFUNCTION("""COMPUTED_VALUE"""),7.0)</f>
        <v>7</v>
      </c>
      <c r="D263" s="135">
        <f>IFERROR(__xludf.DUMMYFUNCTION("""COMPUTED_VALUE"""),6.0)</f>
        <v>6</v>
      </c>
      <c r="E263" s="135">
        <f>IFERROR(__xludf.DUMMYFUNCTION("""COMPUTED_VALUE"""),0.0)</f>
        <v>0</v>
      </c>
      <c r="F263" s="135">
        <f>IFERROR(__xludf.DUMMYFUNCTION("""COMPUTED_VALUE"""),13.0)</f>
        <v>13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IFERROR(__xludf.DUMMYFUNCTION("""COMPUTED_VALUE"""),"Darren Wong")</f>
        <v>Darren Wong</v>
      </c>
      <c r="C264" s="135">
        <f>IFERROR(__xludf.DUMMYFUNCTION("""COMPUTED_VALUE"""),5.0)</f>
        <v>5</v>
      </c>
      <c r="D264" s="135">
        <f>IFERROR(__xludf.DUMMYFUNCTION("""COMPUTED_VALUE"""),6.0)</f>
        <v>6</v>
      </c>
      <c r="E264" s="135">
        <f>IFERROR(__xludf.DUMMYFUNCTION("""COMPUTED_VALUE"""),6.0)</f>
        <v>6</v>
      </c>
      <c r="F264" s="135">
        <f>IFERROR(__xludf.DUMMYFUNCTION("""COMPUTED_VALUE"""),17.0)</f>
        <v>17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IFERROR(__xludf.DUMMYFUNCTION("""COMPUTED_VALUE"""),"Allen Zhang")</f>
        <v>Allen Zhang</v>
      </c>
      <c r="C265" s="135">
        <f>IFERROR(__xludf.DUMMYFUNCTION("""COMPUTED_VALUE"""),5.0)</f>
        <v>5</v>
      </c>
      <c r="D265" s="135">
        <f>IFERROR(__xludf.DUMMYFUNCTION("""COMPUTED_VALUE"""),1.0)</f>
        <v>1</v>
      </c>
      <c r="E265" s="135">
        <f>IFERROR(__xludf.DUMMYFUNCTION("""COMPUTED_VALUE"""),0.0)</f>
        <v>0</v>
      </c>
      <c r="F265" s="135">
        <f>IFERROR(__xludf.DUMMYFUNCTION("""COMPUTED_VALUE"""),6.0)</f>
        <v>6</v>
      </c>
      <c r="G265" s="135">
        <f>IFERROR(__xludf.DUMMYFUNCTION("""COMPUTED_VALUE"""),0.0)</f>
        <v>0</v>
      </c>
    </row>
    <row r="266">
      <c r="A266" s="122">
        <f>IFERROR(__xludf.DUMMYFUNCTION("""COMPUTED_VALUE"""),5.0)</f>
        <v>5</v>
      </c>
      <c r="B266" s="36" t="str">
        <f>IFERROR(__xludf.DUMMYFUNCTION("""COMPUTED_VALUE"""),"Ruben Ron")</f>
        <v>Ruben Ron</v>
      </c>
      <c r="C266" s="132">
        <f>IFERROR(__xludf.DUMMYFUNCTION("""COMPUTED_VALUE"""),7.0)</f>
        <v>7</v>
      </c>
      <c r="D266" s="132">
        <f>IFERROR(__xludf.DUMMYFUNCTION("""COMPUTED_VALUE"""),3.0)</f>
        <v>3</v>
      </c>
      <c r="E266" s="132">
        <f>IFERROR(__xludf.DUMMYFUNCTION("""COMPUTED_VALUE"""),6.0)</f>
        <v>6</v>
      </c>
      <c r="F266" s="132">
        <f>IFERROR(__xludf.DUMMYFUNCTION("""COMPUTED_VALUE"""),16.0)</f>
        <v>16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IFERROR(__xludf.DUMMYFUNCTION("""COMPUTED_VALUE"""),"Rajasekar Ramasamy")</f>
        <v>Rajasekar Ramasamy</v>
      </c>
      <c r="C267" s="132">
        <f>IFERROR(__xludf.DUMMYFUNCTION("""COMPUTED_VALUE"""),7.0)</f>
        <v>7</v>
      </c>
      <c r="D267" s="132">
        <f>IFERROR(__xludf.DUMMYFUNCTION("""COMPUTED_VALUE"""),6.0)</f>
        <v>6</v>
      </c>
      <c r="E267" s="132">
        <f>IFERROR(__xludf.DUMMYFUNCTION("""COMPUTED_VALUE"""),2.0)</f>
        <v>2</v>
      </c>
      <c r="F267" s="132">
        <f>IFERROR(__xludf.DUMMYFUNCTION("""COMPUTED_VALUE"""),15.0)</f>
        <v>15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IFERROR(__xludf.DUMMYFUNCTION("""COMPUTED_VALUE"""),"Herman Au")</f>
        <v>Herman Au</v>
      </c>
      <c r="C268" s="132">
        <f>IFERROR(__xludf.DUMMYFUNCTION("""COMPUTED_VALUE"""),5.0)</f>
        <v>5</v>
      </c>
      <c r="D268" s="132">
        <f>IFERROR(__xludf.DUMMYFUNCTION("""COMPUTED_VALUE"""),3.0)</f>
        <v>3</v>
      </c>
      <c r="E268" s="132">
        <f>IFERROR(__xludf.DUMMYFUNCTION("""COMPUTED_VALUE"""),2.0)</f>
        <v>2</v>
      </c>
      <c r="F268" s="132">
        <f>IFERROR(__xludf.DUMMYFUNCTION("""COMPUTED_VALUE"""),10.0)</f>
        <v>10</v>
      </c>
      <c r="G268" s="132">
        <f>IFERROR(__xludf.DUMMYFUNCTION("""COMPUTED_VALUE"""),0.0)</f>
        <v>0</v>
      </c>
    </row>
    <row r="269">
      <c r="A269" s="122">
        <f>IFERROR(__xludf.DUMMYFUNCTION("""COMPUTED_VALUE"""),5.0)</f>
        <v>5</v>
      </c>
      <c r="B269" s="36" t="str">
        <f>IFERROR(__xludf.DUMMYFUNCTION("""COMPUTED_VALUE"""),"Manish Anand")</f>
        <v>Manish Anand</v>
      </c>
      <c r="C269" s="132">
        <f>IFERROR(__xludf.DUMMYFUNCTION("""COMPUTED_VALUE"""),5.0)</f>
        <v>5</v>
      </c>
      <c r="D269" s="132">
        <f>IFERROR(__xludf.DUMMYFUNCTION("""COMPUTED_VALUE"""),6.0)</f>
        <v>6</v>
      </c>
      <c r="E269" s="132">
        <f>IFERROR(__xludf.DUMMYFUNCTION("""COMPUTED_VALUE"""),6.0)</f>
        <v>6</v>
      </c>
      <c r="F269" s="132">
        <f>IFERROR(__xludf.DUMMYFUNCTION("""COMPUTED_VALUE"""),17.0)</f>
        <v>17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IFERROR(__xludf.DUMMYFUNCTION("""COMPUTED_VALUE"""),"Lam Bui")</f>
        <v>Lam Bui</v>
      </c>
      <c r="C270" s="135">
        <f>IFERROR(__xludf.DUMMYFUNCTION("""COMPUTED_VALUE"""),4.0)</f>
        <v>4</v>
      </c>
      <c r="D270" s="135">
        <f>IFERROR(__xludf.DUMMYFUNCTION("""COMPUTED_VALUE"""),1.0)</f>
        <v>1</v>
      </c>
      <c r="E270" s="135">
        <f>IFERROR(__xludf.DUMMYFUNCTION("""COMPUTED_VALUE"""),6.0)</f>
        <v>6</v>
      </c>
      <c r="F270" s="135">
        <f>IFERROR(__xludf.DUMMYFUNCTION("""COMPUTED_VALUE"""),11.0)</f>
        <v>11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IFERROR(__xludf.DUMMYFUNCTION("""COMPUTED_VALUE"""),"Adrian Tay")</f>
        <v>Adrian Tay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IFERROR(__xludf.DUMMYFUNCTION("""COMPUTED_VALUE"""),"Naveen Raj")</f>
        <v>Naveen Raj</v>
      </c>
      <c r="C272" s="135">
        <f>IFERROR(__xludf.DUMMYFUNCTION("""COMPUTED_VALUE"""),6.0)</f>
        <v>6</v>
      </c>
      <c r="D272" s="135">
        <f>IFERROR(__xludf.DUMMYFUNCTION("""COMPUTED_VALUE"""),1.0)</f>
        <v>1</v>
      </c>
      <c r="E272" s="135">
        <f>IFERROR(__xludf.DUMMYFUNCTION("""COMPUTED_VALUE"""),0.0)</f>
        <v>0</v>
      </c>
      <c r="F272" s="135">
        <f>IFERROR(__xludf.DUMMYFUNCTION("""COMPUTED_VALUE"""),7.0)</f>
        <v>7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IFERROR(__xludf.DUMMYFUNCTION("""COMPUTED_VALUE"""),"Tina Hanson")</f>
        <v>Tina Hanson</v>
      </c>
      <c r="C273" s="135">
        <f>IFERROR(__xludf.DUMMYFUNCTION("""COMPUTED_VALUE"""),4.0)</f>
        <v>4</v>
      </c>
      <c r="D273" s="135">
        <f>IFERROR(__xludf.DUMMYFUNCTION("""COMPUTED_VALUE"""),6.0)</f>
        <v>6</v>
      </c>
      <c r="E273" s="135">
        <f>IFERROR(__xludf.DUMMYFUNCTION("""COMPUTED_VALUE"""),0.0)</f>
        <v>0</v>
      </c>
      <c r="F273" s="135">
        <f>IFERROR(__xludf.DUMMYFUNCTION("""COMPUTED_VALUE"""),10.0)</f>
        <v>10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IFERROR(__xludf.DUMMYFUNCTION("""COMPUTED_VALUE"""),"Sean Chang")</f>
        <v>Sean Chang</v>
      </c>
      <c r="C274" s="132">
        <f>IFERROR(__xludf.DUMMYFUNCTION("""COMPUTED_VALUE"""),1.0)</f>
        <v>1</v>
      </c>
      <c r="D274" s="132">
        <f>IFERROR(__xludf.DUMMYFUNCTION("""COMPUTED_VALUE"""),2.0)</f>
        <v>2</v>
      </c>
      <c r="E274" s="132">
        <f>IFERROR(__xludf.DUMMYFUNCTION("""COMPUTED_VALUE"""),6.0)</f>
        <v>6</v>
      </c>
      <c r="F274" s="132">
        <f>IFERROR(__xludf.DUMMYFUNCTION("""COMPUTED_VALUE"""),9.0)</f>
        <v>9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IFERROR(__xludf.DUMMYFUNCTION("""COMPUTED_VALUE"""),"Nicole Ni")</f>
        <v>Nicole Ni</v>
      </c>
      <c r="C275" s="132">
        <f>IFERROR(__xludf.DUMMYFUNCTION("""COMPUTED_VALUE"""),1.0)</f>
        <v>1</v>
      </c>
      <c r="D275" s="132">
        <f>IFERROR(__xludf.DUMMYFUNCTION("""COMPUTED_VALUE"""),6.0)</f>
        <v>6</v>
      </c>
      <c r="E275" s="132">
        <f>IFERROR(__xludf.DUMMYFUNCTION("""COMPUTED_VALUE"""),2.0)</f>
        <v>2</v>
      </c>
      <c r="F275" s="132">
        <f>IFERROR(__xludf.DUMMYFUNCTION("""COMPUTED_VALUE"""),9.0)</f>
        <v>9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IFERROR(__xludf.DUMMYFUNCTION("""COMPUTED_VALUE"""),"Manuel Rivera")</f>
        <v>Manuel Rivera</v>
      </c>
      <c r="C276" s="132">
        <f>IFERROR(__xludf.DUMMYFUNCTION("""COMPUTED_VALUE"""),6.0)</f>
        <v>6</v>
      </c>
      <c r="D276" s="132">
        <f>IFERROR(__xludf.DUMMYFUNCTION("""COMPUTED_VALUE"""),2.0)</f>
        <v>2</v>
      </c>
      <c r="E276" s="132">
        <f>IFERROR(__xludf.DUMMYFUNCTION("""COMPUTED_VALUE"""),2.0)</f>
        <v>2</v>
      </c>
      <c r="F276" s="132">
        <f>IFERROR(__xludf.DUMMYFUNCTION("""COMPUTED_VALUE"""),10.0)</f>
        <v>10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IFERROR(__xludf.DUMMYFUNCTION("""COMPUTED_VALUE"""),"Oscar Bonilla")</f>
        <v>Oscar Bonilla</v>
      </c>
      <c r="C277" s="132">
        <f>IFERROR(__xludf.DUMMYFUNCTION("""COMPUTED_VALUE"""),6.0)</f>
        <v>6</v>
      </c>
      <c r="D277" s="132">
        <f>IFERROR(__xludf.DUMMYFUNCTION("""COMPUTED_VALUE"""),6.0)</f>
        <v>6</v>
      </c>
      <c r="E277" s="132">
        <f>IFERROR(__xludf.DUMMYFUNCTION("""COMPUTED_VALUE"""),6.0)</f>
        <v>6</v>
      </c>
      <c r="F277" s="132">
        <f>IFERROR(__xludf.DUMMYFUNCTION("""COMPUTED_VALUE"""),18.0)</f>
        <v>18</v>
      </c>
      <c r="G277" s="132">
        <f>IFERROR(__xludf.DUMMYFUNCTION("""COMPUTED_VALUE"""),3.0)</f>
        <v>3</v>
      </c>
    </row>
    <row r="278">
      <c r="A278" s="133">
        <f>IFERROR(__xludf.DUMMYFUNCTION("""COMPUTED_VALUE"""),8.0)</f>
        <v>8</v>
      </c>
      <c r="B278" s="134" t="str">
        <f>IFERROR(__xludf.DUMMYFUNCTION("""COMPUTED_VALUE"""),"Vinaya Kajla")</f>
        <v>Vinaya Kajla</v>
      </c>
      <c r="C278" s="135">
        <f>IFERROR(__xludf.DUMMYFUNCTION("""COMPUTED_VALUE"""),0.0)</f>
        <v>0</v>
      </c>
      <c r="D278" s="135">
        <f>IFERROR(__xludf.DUMMYFUNCTION("""COMPUTED_VALUE"""),6.0)</f>
        <v>6</v>
      </c>
      <c r="E278" s="135">
        <f>IFERROR(__xludf.DUMMYFUNCTION("""COMPUTED_VALUE"""),1.0)</f>
        <v>1</v>
      </c>
      <c r="F278" s="135">
        <f>IFERROR(__xludf.DUMMYFUNCTION("""COMPUTED_VALUE"""),7.0)</f>
        <v>7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IFERROR(__xludf.DUMMYFUNCTION("""COMPUTED_VALUE"""),"Sanjaye Elayattu")</f>
        <v>Sanjaye Elayattu</v>
      </c>
      <c r="C279" s="135">
        <f>IFERROR(__xludf.DUMMYFUNCTION("""COMPUTED_VALUE"""),6.0)</f>
        <v>6</v>
      </c>
      <c r="D279" s="135">
        <f>IFERROR(__xludf.DUMMYFUNCTION("""COMPUTED_VALUE"""),0.0)</f>
        <v>0</v>
      </c>
      <c r="E279" s="135">
        <f>IFERROR(__xludf.DUMMYFUNCTION("""COMPUTED_VALUE"""),1.0)</f>
        <v>1</v>
      </c>
      <c r="F279" s="135">
        <f>IFERROR(__xludf.DUMMYFUNCTION("""COMPUTED_VALUE"""),7.0)</f>
        <v>7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IFERROR(__xludf.DUMMYFUNCTION("""COMPUTED_VALUE"""),"Joyce Zhu")</f>
        <v>Joyce Zhu</v>
      </c>
      <c r="C280" s="135">
        <f>IFERROR(__xludf.DUMMYFUNCTION("""COMPUTED_VALUE"""),0.0)</f>
        <v>0</v>
      </c>
      <c r="D280" s="135">
        <f>IFERROR(__xludf.DUMMYFUNCTION("""COMPUTED_VALUE"""),0.0)</f>
        <v>0</v>
      </c>
      <c r="E280" s="135">
        <f>IFERROR(__xludf.DUMMYFUNCTION("""COMPUTED_VALUE"""),6.0)</f>
        <v>6</v>
      </c>
      <c r="F280" s="135">
        <f>IFERROR(__xludf.DUMMYFUNCTION("""COMPUTED_VALUE"""),6.0)</f>
        <v>6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IFERROR(__xludf.DUMMYFUNCTION("""COMPUTED_VALUE"""),"Tom Le")</f>
        <v>Tom Le</v>
      </c>
      <c r="C281" s="135">
        <f>IFERROR(__xludf.DUMMYFUNCTION("""COMPUTED_VALUE"""),6.0)</f>
        <v>6</v>
      </c>
      <c r="D281" s="135">
        <f>IFERROR(__xludf.DUMMYFUNCTION("""COMPUTED_VALUE"""),6.0)</f>
        <v>6</v>
      </c>
      <c r="E281" s="135">
        <f>IFERROR(__xludf.DUMMYFUNCTION("""COMPUTED_VALUE"""),6.0)</f>
        <v>6</v>
      </c>
      <c r="F281" s="135">
        <f>IFERROR(__xludf.DUMMYFUNCTION("""COMPUTED_VALUE"""),18.0)</f>
        <v>18</v>
      </c>
      <c r="G281" s="135">
        <f>IFERROR(__xludf.DUMMYFUNCTION("""COMPUTED_VALUE"""),3.0)</f>
        <v>3</v>
      </c>
    </row>
    <row r="282">
      <c r="A282" s="122">
        <f>IFERROR(__xludf.DUMMYFUNCTION("""COMPUTED_VALUE"""),9.0)</f>
        <v>9</v>
      </c>
      <c r="B282" s="36" t="str">
        <f>IFERROR(__xludf.DUMMYFUNCTION("""COMPUTED_VALUE"""),"Jordan Tatang")</f>
        <v>Jordan Tatang</v>
      </c>
      <c r="C282" s="132">
        <f>IFERROR(__xludf.DUMMYFUNCTION("""COMPUTED_VALUE"""),7.0)</f>
        <v>7</v>
      </c>
      <c r="D282" s="132">
        <f>IFERROR(__xludf.DUMMYFUNCTION("""COMPUTED_VALUE"""),6.0)</f>
        <v>6</v>
      </c>
      <c r="E282" s="132">
        <f>IFERROR(__xludf.DUMMYFUNCTION("""COMPUTED_VALUE"""),3.0)</f>
        <v>3</v>
      </c>
      <c r="F282" s="132">
        <f>IFERROR(__xludf.DUMMYFUNCTION("""COMPUTED_VALUE"""),16.0)</f>
        <v>16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IFERROR(__xludf.DUMMYFUNCTION("""COMPUTED_VALUE"""),"Luis Hsu")</f>
        <v>Luis Hsu</v>
      </c>
      <c r="C283" s="132">
        <f>IFERROR(__xludf.DUMMYFUNCTION("""COMPUTED_VALUE"""),5.0)</f>
        <v>5</v>
      </c>
      <c r="D283" s="132">
        <f>IFERROR(__xludf.DUMMYFUNCTION("""COMPUTED_VALUE"""),6.0)</f>
        <v>6</v>
      </c>
      <c r="E283" s="132">
        <f>IFERROR(__xludf.DUMMYFUNCTION("""COMPUTED_VALUE"""),6.0)</f>
        <v>6</v>
      </c>
      <c r="F283" s="132">
        <f>IFERROR(__xludf.DUMMYFUNCTION("""COMPUTED_VALUE"""),17.0)</f>
        <v>17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IFERROR(__xludf.DUMMYFUNCTION("""COMPUTED_VALUE"""),"Basudev Thoppai Vidyasankar")</f>
        <v>Basudev Thoppai Vidyasankar</v>
      </c>
      <c r="C284" s="132">
        <f>IFERROR(__xludf.DUMMYFUNCTION("""COMPUTED_VALUE"""),7.0)</f>
        <v>7</v>
      </c>
      <c r="D284" s="132">
        <f>IFERROR(__xludf.DUMMYFUNCTION("""COMPUTED_VALUE"""),1.0)</f>
        <v>1</v>
      </c>
      <c r="E284" s="132">
        <f>IFERROR(__xludf.DUMMYFUNCTION("""COMPUTED_VALUE"""),6.0)</f>
        <v>6</v>
      </c>
      <c r="F284" s="132">
        <f>IFERROR(__xludf.DUMMYFUNCTION("""COMPUTED_VALUE"""),14.0)</f>
        <v>14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IFERROR(__xludf.DUMMYFUNCTION("""COMPUTED_VALUE"""),"Chinna Ponnaganti")</f>
        <v>Chinna Ponnaganti</v>
      </c>
      <c r="C285" s="132">
        <f>IFERROR(__xludf.DUMMYFUNCTION("""COMPUTED_VALUE"""),5.0)</f>
        <v>5</v>
      </c>
      <c r="D285" s="132">
        <f>IFERROR(__xludf.DUMMYFUNCTION("""COMPUTED_VALUE"""),1.0)</f>
        <v>1</v>
      </c>
      <c r="E285" s="132">
        <f>IFERROR(__xludf.DUMMYFUNCTION("""COMPUTED_VALUE"""),3.0)</f>
        <v>3</v>
      </c>
      <c r="F285" s="132">
        <f>IFERROR(__xludf.DUMMYFUNCTION("""COMPUTED_VALUE"""),9.0)</f>
        <v>9</v>
      </c>
      <c r="G285" s="132">
        <f>IFERROR(__xludf.DUMMYFUNCTION("""COMPUTED_VALUE"""),0.0)</f>
        <v>0</v>
      </c>
    </row>
    <row r="286">
      <c r="A286" s="133">
        <f>IFERROR(__xludf.DUMMYFUNCTION("""COMPUTED_VALUE"""),10.0)</f>
        <v>10</v>
      </c>
      <c r="B286" s="134" t="str">
        <f>IFERROR(__xludf.DUMMYFUNCTION("""COMPUTED_VALUE"""),"Ramesh Bandaru")</f>
        <v>Ramesh Bandaru</v>
      </c>
      <c r="C286" s="135">
        <f>IFERROR(__xludf.DUMMYFUNCTION("""COMPUTED_VALUE"""),3.0)</f>
        <v>3</v>
      </c>
      <c r="D286" s="135">
        <f>IFERROR(__xludf.DUMMYFUNCTION("""COMPUTED_VALUE"""),7.0)</f>
        <v>7</v>
      </c>
      <c r="E286" s="135">
        <f>IFERROR(__xludf.DUMMYFUNCTION("""COMPUTED_VALUE"""),6.0)</f>
        <v>6</v>
      </c>
      <c r="F286" s="135">
        <f>IFERROR(__xludf.DUMMYFUNCTION("""COMPUTED_VALUE"""),16.0)</f>
        <v>16</v>
      </c>
      <c r="G286" s="135">
        <f>IFERROR(__xludf.DUMMYFUNCTION("""COMPUTED_VALUE"""),1.0)</f>
        <v>1</v>
      </c>
    </row>
    <row r="287">
      <c r="A287" s="133">
        <f>IFERROR(__xludf.DUMMYFUNCTION("""COMPUTED_VALUE"""),10.0)</f>
        <v>10</v>
      </c>
      <c r="B287" s="134" t="str">
        <f>IFERROR(__xludf.DUMMYFUNCTION("""COMPUTED_VALUE"""),"Elayaraja Thangaraj")</f>
        <v>Elayaraja Thangaraj</v>
      </c>
      <c r="C287" s="135">
        <f>IFERROR(__xludf.DUMMYFUNCTION("""COMPUTED_VALUE"""),3.0)</f>
        <v>3</v>
      </c>
      <c r="D287" s="135">
        <f>IFERROR(__xludf.DUMMYFUNCTION("""COMPUTED_VALUE"""),6.0)</f>
        <v>6</v>
      </c>
      <c r="E287" s="135">
        <f>IFERROR(__xludf.DUMMYFUNCTION("""COMPUTED_VALUE"""),7.0)</f>
        <v>7</v>
      </c>
      <c r="F287" s="135">
        <f>IFERROR(__xludf.DUMMYFUNCTION("""COMPUTED_VALUE"""),16.0)</f>
        <v>16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IFERROR(__xludf.DUMMYFUNCTION("""COMPUTED_VALUE"""),"Wayne Liu")</f>
        <v>Wayne Liu</v>
      </c>
      <c r="C288" s="135">
        <f>IFERROR(__xludf.DUMMYFUNCTION("""COMPUTED_VALUE"""),6.0)</f>
        <v>6</v>
      </c>
      <c r="D288" s="135">
        <f>IFERROR(__xludf.DUMMYFUNCTION("""COMPUTED_VALUE"""),6.0)</f>
        <v>6</v>
      </c>
      <c r="E288" s="135">
        <f>IFERROR(__xludf.DUMMYFUNCTION("""COMPUTED_VALUE"""),6.0)</f>
        <v>6</v>
      </c>
      <c r="F288" s="135">
        <f>IFERROR(__xludf.DUMMYFUNCTION("""COMPUTED_VALUE"""),18.0)</f>
        <v>18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IFERROR(__xludf.DUMMYFUNCTION("""COMPUTED_VALUE"""),"Vinotkumar Nagappan")</f>
        <v>Vinotkumar Nagappan</v>
      </c>
      <c r="C289" s="135">
        <f>IFERROR(__xludf.DUMMYFUNCTION("""COMPUTED_VALUE"""),6.0)</f>
        <v>6</v>
      </c>
      <c r="D289" s="135">
        <f>IFERROR(__xludf.DUMMYFUNCTION("""COMPUTED_VALUE"""),7.0)</f>
        <v>7</v>
      </c>
      <c r="E289" s="135">
        <f>IFERROR(__xludf.DUMMYFUNCTION("""COMPUTED_VALUE"""),7.0)</f>
        <v>7</v>
      </c>
      <c r="F289" s="135">
        <f>IFERROR(__xludf.DUMMYFUNCTION("""COMPUTED_VALUE"""),20.0)</f>
        <v>20</v>
      </c>
      <c r="G289" s="135">
        <f>IFERROR(__xludf.DUMMYFUNCTION("""COMPUTED_VALUE"""),3.0)</f>
        <v>3</v>
      </c>
    </row>
    <row r="290">
      <c r="A290" s="122">
        <f>IFERROR(__xludf.DUMMYFUNCTION("""COMPUTED_VALUE"""),11.0)</f>
        <v>11</v>
      </c>
      <c r="B290" s="36" t="str">
        <f>IFERROR(__xludf.DUMMYFUNCTION("""COMPUTED_VALUE"""),"Kumar Palakeel")</f>
        <v>Kumar Palakeel</v>
      </c>
      <c r="C290" s="132">
        <f>IFERROR(__xludf.DUMMYFUNCTION("""COMPUTED_VALUE"""),6.0)</f>
        <v>6</v>
      </c>
      <c r="D290" s="132">
        <f>IFERROR(__xludf.DUMMYFUNCTION("""COMPUTED_VALUE"""),2.0)</f>
        <v>2</v>
      </c>
      <c r="E290" s="132">
        <f>IFERROR(__xludf.DUMMYFUNCTION("""COMPUTED_VALUE"""),7.0)</f>
        <v>7</v>
      </c>
      <c r="F290" s="132">
        <f>IFERROR(__xludf.DUMMYFUNCTION("""COMPUTED_VALUE"""),15.0)</f>
        <v>15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IFERROR(__xludf.DUMMYFUNCTION("""COMPUTED_VALUE"""),"Hongyuan Wen")</f>
        <v>Hongyuan Wen</v>
      </c>
      <c r="C291" s="132">
        <f>IFERROR(__xludf.DUMMYFUNCTION("""COMPUTED_VALUE"""),6.0)</f>
        <v>6</v>
      </c>
      <c r="D291" s="132">
        <f>IFERROR(__xludf.DUMMYFUNCTION("""COMPUTED_VALUE"""),6.0)</f>
        <v>6</v>
      </c>
      <c r="E291" s="132">
        <f>IFERROR(__xludf.DUMMYFUNCTION("""COMPUTED_VALUE"""),6.0)</f>
        <v>6</v>
      </c>
      <c r="F291" s="132">
        <f>IFERROR(__xludf.DUMMYFUNCTION("""COMPUTED_VALUE"""),18.0)</f>
        <v>18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IFERROR(__xludf.DUMMYFUNCTION("""COMPUTED_VALUE"""),"Coco Yan")</f>
        <v>Coco Yan</v>
      </c>
      <c r="C292" s="132">
        <f>IFERROR(__xludf.DUMMYFUNCTION("""COMPUTED_VALUE"""),1.0)</f>
        <v>1</v>
      </c>
      <c r="D292" s="132">
        <f>IFERROR(__xludf.DUMMYFUNCTION("""COMPUTED_VALUE"""),6.0)</f>
        <v>6</v>
      </c>
      <c r="E292" s="132">
        <f>IFERROR(__xludf.DUMMYFUNCTION("""COMPUTED_VALUE"""),7.0)</f>
        <v>7</v>
      </c>
      <c r="F292" s="132">
        <f>IFERROR(__xludf.DUMMYFUNCTION("""COMPUTED_VALUE"""),14.0)</f>
        <v>14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IFERROR(__xludf.DUMMYFUNCTION("""COMPUTED_VALUE"""),"Eric Tan")</f>
        <v>Eric Tan</v>
      </c>
      <c r="C293" s="132">
        <f>IFERROR(__xludf.DUMMYFUNCTION("""COMPUTED_VALUE"""),1.0)</f>
        <v>1</v>
      </c>
      <c r="D293" s="132">
        <f>IFERROR(__xludf.DUMMYFUNCTION("""COMPUTED_VALUE"""),2.0)</f>
        <v>2</v>
      </c>
      <c r="E293" s="132">
        <f>IFERROR(__xludf.DUMMYFUNCTION("""COMPUTED_VALUE"""),6.0)</f>
        <v>6</v>
      </c>
      <c r="F293" s="132">
        <f>IFERROR(__xludf.DUMMYFUNCTION("""COMPUTED_VALUE"""),9.0)</f>
        <v>9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IFERROR(__xludf.DUMMYFUNCTION("""COMPUTED_VALUE"""),"Ruben Ron")</f>
        <v>Ruben Ron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IFERROR(__xludf.DUMMYFUNCTION("""COMPUTED_VALUE"""),"Rudy Tatang")</f>
        <v>Rudy Tatang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IFERROR(__xludf.DUMMYFUNCTION("""COMPUTED_VALUE"""),"Sandeep Kamalon")</f>
        <v>Sandeep Kamalon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IFERROR(__xludf.DUMMYFUNCTION("""COMPUTED_VALUE"""),"Sandy Weyant")</f>
        <v>Sandy Weyant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IFERROR(__xludf.DUMMYFUNCTION("""COMPUTED_VALUE"""),"Sanjaye Elayattu")</f>
        <v>Sanjaye Elayattu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46109.0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12.0</v>
      </c>
      <c r="E2" s="5"/>
      <c r="F2" s="5"/>
      <c r="R2" s="18"/>
      <c r="AC2" s="22" t="str">
        <f>text(C1-7,"mm/dd/yy")</f>
        <v>03/21/26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179.0</v>
      </c>
      <c r="D5" s="37">
        <v>25.0</v>
      </c>
      <c r="E5" s="40">
        <f t="shared" ref="E5:E79" si="2">if(S5&gt;0,(C5-(V5*9)-(T5*13))/S5,0)</f>
        <v>15.45454545</v>
      </c>
      <c r="F5" s="90">
        <v>3.0</v>
      </c>
      <c r="G5" s="91">
        <v>0.0</v>
      </c>
      <c r="H5" s="92">
        <v>9.0</v>
      </c>
      <c r="I5" s="91">
        <v>0.0</v>
      </c>
      <c r="J5" s="91">
        <v>0.0</v>
      </c>
      <c r="K5" s="91">
        <v>0.0</v>
      </c>
      <c r="L5" s="93">
        <v>9.0</v>
      </c>
      <c r="M5" s="91">
        <v>0.0</v>
      </c>
      <c r="N5" s="37">
        <f t="shared" ref="N5:O5" si="1">C5+L5</f>
        <v>188</v>
      </c>
      <c r="O5" s="37">
        <f t="shared" si="1"/>
        <v>25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11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1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159.0</v>
      </c>
      <c r="D6" s="37">
        <v>19.0</v>
      </c>
      <c r="E6" s="40">
        <f t="shared" si="2"/>
        <v>14.1</v>
      </c>
      <c r="F6" s="90">
        <v>1.0</v>
      </c>
      <c r="G6" s="91">
        <v>1.0</v>
      </c>
      <c r="H6" s="92">
        <v>0.0</v>
      </c>
      <c r="I6" s="91">
        <v>6.0</v>
      </c>
      <c r="J6" s="91">
        <v>7.0</v>
      </c>
      <c r="K6" s="91">
        <v>4.0</v>
      </c>
      <c r="L6" s="93">
        <v>17.0</v>
      </c>
      <c r="M6" s="91">
        <v>2.0</v>
      </c>
      <c r="N6" s="37">
        <f t="shared" ref="N6:O6" si="3">C6+L6</f>
        <v>176</v>
      </c>
      <c r="O6" s="37">
        <f t="shared" si="3"/>
        <v>21</v>
      </c>
      <c r="P6" s="49" t="s">
        <v>57</v>
      </c>
      <c r="Q6" s="49" t="s">
        <v>57</v>
      </c>
      <c r="R6" s="49" t="s">
        <v>57</v>
      </c>
      <c r="S6" s="51">
        <f t="shared" si="4"/>
        <v>10</v>
      </c>
      <c r="T6" s="52">
        <f t="shared" si="5"/>
        <v>0</v>
      </c>
      <c r="U6" s="52"/>
      <c r="V6" s="51">
        <f t="shared" si="6"/>
        <v>2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80</v>
      </c>
      <c r="C7" s="37">
        <v>153.0</v>
      </c>
      <c r="D7" s="37">
        <v>15.0</v>
      </c>
      <c r="E7" s="40">
        <f t="shared" si="2"/>
        <v>13.1</v>
      </c>
      <c r="F7" s="90">
        <v>1.0</v>
      </c>
      <c r="G7" s="91">
        <v>1.0</v>
      </c>
      <c r="H7" s="92">
        <v>0.0</v>
      </c>
      <c r="I7" s="91">
        <v>4.0</v>
      </c>
      <c r="J7" s="91">
        <v>7.0</v>
      </c>
      <c r="K7" s="91">
        <v>6.0</v>
      </c>
      <c r="L7" s="93">
        <v>17.0</v>
      </c>
      <c r="M7" s="91">
        <v>2.0</v>
      </c>
      <c r="N7" s="37">
        <f t="shared" ref="N7:O7" si="11">C7+L7</f>
        <v>170</v>
      </c>
      <c r="O7" s="37">
        <f t="shared" si="11"/>
        <v>17</v>
      </c>
      <c r="P7" s="49" t="s">
        <v>57</v>
      </c>
      <c r="Q7" s="49" t="s">
        <v>57</v>
      </c>
      <c r="R7" s="49" t="s">
        <v>57</v>
      </c>
      <c r="S7" s="51">
        <f t="shared" si="4"/>
        <v>10</v>
      </c>
      <c r="T7" s="52">
        <f t="shared" si="5"/>
        <v>1</v>
      </c>
      <c r="U7" s="52"/>
      <c r="V7" s="51">
        <f t="shared" si="6"/>
        <v>1</v>
      </c>
      <c r="W7" s="52">
        <f t="shared" si="7"/>
        <v>4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127</v>
      </c>
      <c r="C8" s="37">
        <v>152.0</v>
      </c>
      <c r="D8" s="37">
        <v>17.0</v>
      </c>
      <c r="E8" s="40">
        <f t="shared" si="2"/>
        <v>13.88888889</v>
      </c>
      <c r="F8" s="90">
        <v>1.0</v>
      </c>
      <c r="G8" s="91">
        <v>1.0</v>
      </c>
      <c r="H8" s="92">
        <v>0.0</v>
      </c>
      <c r="I8" s="91">
        <v>4.0</v>
      </c>
      <c r="J8" s="91">
        <v>6.0</v>
      </c>
      <c r="K8" s="91">
        <v>4.0</v>
      </c>
      <c r="L8" s="93">
        <v>14.0</v>
      </c>
      <c r="M8" s="91">
        <v>0.0</v>
      </c>
      <c r="N8" s="37">
        <f t="shared" ref="N8:O8" si="13">C8+L8</f>
        <v>166</v>
      </c>
      <c r="O8" s="37">
        <f t="shared" si="13"/>
        <v>17</v>
      </c>
      <c r="P8" s="49" t="s">
        <v>57</v>
      </c>
      <c r="Q8" s="49" t="s">
        <v>57</v>
      </c>
      <c r="R8" s="49" t="s">
        <v>57</v>
      </c>
      <c r="S8" s="51">
        <f t="shared" si="4"/>
        <v>9</v>
      </c>
      <c r="T8" s="52">
        <f t="shared" si="5"/>
        <v>0</v>
      </c>
      <c r="U8" s="52"/>
      <c r="V8" s="51">
        <f t="shared" si="6"/>
        <v>3</v>
      </c>
      <c r="W8" s="52">
        <f t="shared" si="7"/>
        <v>-1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68</v>
      </c>
      <c r="C9" s="37">
        <v>152.0</v>
      </c>
      <c r="D9" s="37">
        <v>16.0</v>
      </c>
      <c r="E9" s="40">
        <f t="shared" si="2"/>
        <v>13.4</v>
      </c>
      <c r="F9" s="90">
        <v>1.0</v>
      </c>
      <c r="G9" s="91">
        <v>1.0</v>
      </c>
      <c r="H9" s="92">
        <v>0.0</v>
      </c>
      <c r="I9" s="91">
        <v>6.0</v>
      </c>
      <c r="J9" s="91">
        <v>6.0</v>
      </c>
      <c r="K9" s="91">
        <v>6.0</v>
      </c>
      <c r="L9" s="93">
        <v>18.0</v>
      </c>
      <c r="M9" s="91">
        <v>2.0</v>
      </c>
      <c r="N9" s="37">
        <f t="shared" ref="N9:O9" si="14">C9+L9</f>
        <v>170</v>
      </c>
      <c r="O9" s="37">
        <f t="shared" si="14"/>
        <v>18</v>
      </c>
      <c r="P9" s="49" t="s">
        <v>57</v>
      </c>
      <c r="Q9" s="49" t="s">
        <v>57</v>
      </c>
      <c r="R9" s="49" t="s">
        <v>57</v>
      </c>
      <c r="S9" s="51">
        <f t="shared" si="4"/>
        <v>10</v>
      </c>
      <c r="T9" s="52">
        <f t="shared" si="5"/>
        <v>0</v>
      </c>
      <c r="U9" s="52"/>
      <c r="V9" s="51">
        <f t="shared" si="6"/>
        <v>2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128</v>
      </c>
      <c r="C10" s="37">
        <v>150.0</v>
      </c>
      <c r="D10" s="37">
        <v>14.0</v>
      </c>
      <c r="E10" s="40">
        <f t="shared" si="2"/>
        <v>13.66666667</v>
      </c>
      <c r="F10" s="90">
        <v>3.0</v>
      </c>
      <c r="G10" s="91">
        <v>0.0</v>
      </c>
      <c r="H10" s="92">
        <v>9.0</v>
      </c>
      <c r="I10" s="91">
        <v>0.0</v>
      </c>
      <c r="J10" s="91">
        <v>0.0</v>
      </c>
      <c r="K10" s="91">
        <v>0.0</v>
      </c>
      <c r="L10" s="93">
        <v>9.0</v>
      </c>
      <c r="M10" s="91">
        <v>0.0</v>
      </c>
      <c r="N10" s="37">
        <f t="shared" ref="N10:O10" si="15">C10+L10</f>
        <v>159</v>
      </c>
      <c r="O10" s="37">
        <f t="shared" si="15"/>
        <v>14</v>
      </c>
      <c r="P10" s="49" t="s">
        <v>57</v>
      </c>
      <c r="Q10" s="49" t="s">
        <v>57</v>
      </c>
      <c r="R10" s="49" t="s">
        <v>57</v>
      </c>
      <c r="S10" s="51">
        <f t="shared" si="4"/>
        <v>9</v>
      </c>
      <c r="T10" s="52">
        <f t="shared" si="5"/>
        <v>0</v>
      </c>
      <c r="U10" s="52"/>
      <c r="V10" s="51">
        <f t="shared" si="6"/>
        <v>3</v>
      </c>
      <c r="W10" s="52">
        <f t="shared" si="7"/>
        <v>4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111</v>
      </c>
      <c r="C11" s="37">
        <v>149.0</v>
      </c>
      <c r="D11" s="37">
        <v>14.0</v>
      </c>
      <c r="E11" s="40">
        <f t="shared" si="2"/>
        <v>13.11111111</v>
      </c>
      <c r="F11" s="90">
        <v>1.0</v>
      </c>
      <c r="G11" s="91">
        <v>2.0</v>
      </c>
      <c r="H11" s="92">
        <v>0.0</v>
      </c>
      <c r="I11" s="91">
        <v>6.0</v>
      </c>
      <c r="J11" s="91">
        <v>6.0</v>
      </c>
      <c r="K11" s="91">
        <v>3.0</v>
      </c>
      <c r="L11" s="93">
        <v>15.0</v>
      </c>
      <c r="M11" s="91">
        <v>2.0</v>
      </c>
      <c r="N11" s="37">
        <f t="shared" ref="N11:O11" si="16">C11+L11</f>
        <v>164</v>
      </c>
      <c r="O11" s="37">
        <f t="shared" si="16"/>
        <v>16</v>
      </c>
      <c r="P11" s="49" t="s">
        <v>57</v>
      </c>
      <c r="Q11" s="49" t="s">
        <v>57</v>
      </c>
      <c r="R11" s="49" t="s">
        <v>57</v>
      </c>
      <c r="S11" s="51">
        <f t="shared" si="4"/>
        <v>9</v>
      </c>
      <c r="T11" s="52">
        <f t="shared" si="5"/>
        <v>1</v>
      </c>
      <c r="U11" s="52"/>
      <c r="V11" s="51">
        <f t="shared" si="6"/>
        <v>2</v>
      </c>
      <c r="W11" s="52">
        <f t="shared" si="7"/>
        <v>8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96</v>
      </c>
      <c r="C12" s="37">
        <v>148.0</v>
      </c>
      <c r="D12" s="37">
        <v>16.0</v>
      </c>
      <c r="E12" s="40">
        <f t="shared" si="2"/>
        <v>12.33333333</v>
      </c>
      <c r="F12" s="90">
        <v>1.0</v>
      </c>
      <c r="G12" s="91">
        <v>2.0</v>
      </c>
      <c r="H12" s="92">
        <v>0.0</v>
      </c>
      <c r="I12" s="91">
        <v>0.0</v>
      </c>
      <c r="J12" s="91">
        <v>6.0</v>
      </c>
      <c r="K12" s="91">
        <v>6.0</v>
      </c>
      <c r="L12" s="93">
        <v>12.0</v>
      </c>
      <c r="M12" s="91">
        <v>2.0</v>
      </c>
      <c r="N12" s="37">
        <f t="shared" ref="N12:O12" si="17">C12+L12</f>
        <v>160</v>
      </c>
      <c r="O12" s="37">
        <f t="shared" si="17"/>
        <v>18</v>
      </c>
      <c r="P12" s="49" t="s">
        <v>57</v>
      </c>
      <c r="Q12" s="49" t="s">
        <v>57</v>
      </c>
      <c r="R12" s="49" t="s">
        <v>57</v>
      </c>
      <c r="S12" s="51">
        <f t="shared" si="4"/>
        <v>12</v>
      </c>
      <c r="T12" s="52">
        <f t="shared" si="5"/>
        <v>0</v>
      </c>
      <c r="U12" s="52"/>
      <c r="V12" s="51">
        <f t="shared" si="6"/>
        <v>0</v>
      </c>
      <c r="W12" s="52">
        <f t="shared" si="7"/>
        <v>-2</v>
      </c>
      <c r="X12" s="35">
        <f t="shared" si="12"/>
        <v>8</v>
      </c>
      <c r="Y12" s="35" t="str">
        <f t="shared" si="8"/>
        <v>Y</v>
      </c>
      <c r="Z12" s="19" t="str">
        <f t="shared" si="9"/>
        <v/>
      </c>
    </row>
    <row r="13">
      <c r="A13" s="35">
        <f t="shared" si="10"/>
        <v>9</v>
      </c>
      <c r="B13" s="36" t="s">
        <v>103</v>
      </c>
      <c r="C13" s="37">
        <v>148.0</v>
      </c>
      <c r="D13" s="37">
        <v>16.0</v>
      </c>
      <c r="E13" s="40">
        <f t="shared" si="2"/>
        <v>12.63636364</v>
      </c>
      <c r="F13" s="90">
        <v>1.0</v>
      </c>
      <c r="G13" s="91">
        <v>2.0</v>
      </c>
      <c r="H13" s="92">
        <v>0.0</v>
      </c>
      <c r="I13" s="91">
        <v>6.0</v>
      </c>
      <c r="J13" s="91">
        <v>3.0</v>
      </c>
      <c r="K13" s="91">
        <v>6.0</v>
      </c>
      <c r="L13" s="93">
        <v>15.0</v>
      </c>
      <c r="M13" s="91">
        <v>2.0</v>
      </c>
      <c r="N13" s="37">
        <f t="shared" ref="N13:O13" si="18">C13+L13</f>
        <v>163</v>
      </c>
      <c r="O13" s="37">
        <f t="shared" si="18"/>
        <v>18</v>
      </c>
      <c r="P13" s="49" t="s">
        <v>57</v>
      </c>
      <c r="Q13" s="49" t="s">
        <v>57</v>
      </c>
      <c r="R13" s="49" t="s">
        <v>57</v>
      </c>
      <c r="S13" s="51">
        <f t="shared" si="4"/>
        <v>11</v>
      </c>
      <c r="T13" s="52">
        <f t="shared" si="5"/>
        <v>0</v>
      </c>
      <c r="U13" s="52"/>
      <c r="V13" s="51">
        <f t="shared" si="6"/>
        <v>1</v>
      </c>
      <c r="W13" s="52">
        <f t="shared" si="7"/>
        <v>2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94</v>
      </c>
      <c r="C14" s="37">
        <v>147.0</v>
      </c>
      <c r="D14" s="37">
        <v>15.0</v>
      </c>
      <c r="E14" s="40">
        <f t="shared" si="2"/>
        <v>12.9</v>
      </c>
      <c r="F14" s="90">
        <v>1.0</v>
      </c>
      <c r="G14" s="91">
        <v>2.0</v>
      </c>
      <c r="H14" s="92">
        <v>0.0</v>
      </c>
      <c r="I14" s="91">
        <v>0.0</v>
      </c>
      <c r="J14" s="91">
        <v>3.0</v>
      </c>
      <c r="K14" s="91">
        <v>3.0</v>
      </c>
      <c r="L14" s="93">
        <v>6.0</v>
      </c>
      <c r="M14" s="91">
        <v>0.0</v>
      </c>
      <c r="N14" s="37">
        <f t="shared" ref="N14:O14" si="19">C14+L14</f>
        <v>153</v>
      </c>
      <c r="O14" s="37">
        <f t="shared" si="19"/>
        <v>15</v>
      </c>
      <c r="P14" s="49" t="s">
        <v>57</v>
      </c>
      <c r="Q14" s="49" t="s">
        <v>57</v>
      </c>
      <c r="R14" s="49" t="s">
        <v>57</v>
      </c>
      <c r="S14" s="51">
        <f t="shared" si="4"/>
        <v>10</v>
      </c>
      <c r="T14" s="52">
        <f t="shared" si="5"/>
        <v>0</v>
      </c>
      <c r="U14" s="52"/>
      <c r="V14" s="51">
        <f t="shared" si="6"/>
        <v>2</v>
      </c>
      <c r="W14" s="52">
        <f t="shared" si="7"/>
        <v>-1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93</v>
      </c>
      <c r="C15" s="37">
        <v>147.0</v>
      </c>
      <c r="D15" s="37">
        <v>15.0</v>
      </c>
      <c r="E15" s="40">
        <f t="shared" si="2"/>
        <v>12.5</v>
      </c>
      <c r="F15" s="90">
        <v>2.0</v>
      </c>
      <c r="G15" s="91">
        <v>3.0</v>
      </c>
      <c r="H15" s="92">
        <v>0.0</v>
      </c>
      <c r="I15" s="91">
        <v>7.0</v>
      </c>
      <c r="J15" s="91">
        <v>6.0</v>
      </c>
      <c r="K15" s="91">
        <v>3.0</v>
      </c>
      <c r="L15" s="93">
        <v>16.0</v>
      </c>
      <c r="M15" s="91">
        <v>1.0</v>
      </c>
      <c r="N15" s="37">
        <f t="shared" ref="N15:O15" si="20">C15+L15</f>
        <v>163</v>
      </c>
      <c r="O15" s="37">
        <f t="shared" si="20"/>
        <v>16</v>
      </c>
      <c r="P15" s="49" t="s">
        <v>57</v>
      </c>
      <c r="Q15" s="49" t="s">
        <v>57</v>
      </c>
      <c r="R15" s="49" t="s">
        <v>57</v>
      </c>
      <c r="S15" s="51">
        <f t="shared" si="4"/>
        <v>10</v>
      </c>
      <c r="T15" s="52">
        <f t="shared" si="5"/>
        <v>1</v>
      </c>
      <c r="U15" s="52"/>
      <c r="V15" s="51">
        <f t="shared" si="6"/>
        <v>1</v>
      </c>
      <c r="W15" s="52">
        <f t="shared" si="7"/>
        <v>2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92</v>
      </c>
      <c r="C16" s="37">
        <v>147.0</v>
      </c>
      <c r="D16" s="37">
        <v>11.0</v>
      </c>
      <c r="E16" s="40">
        <f t="shared" si="2"/>
        <v>13.875</v>
      </c>
      <c r="F16" s="90">
        <v>1.0</v>
      </c>
      <c r="G16" s="91">
        <v>3.0</v>
      </c>
      <c r="H16" s="92">
        <v>0.0</v>
      </c>
      <c r="I16" s="91">
        <v>5.0</v>
      </c>
      <c r="J16" s="91">
        <v>7.0</v>
      </c>
      <c r="K16" s="91">
        <v>3.0</v>
      </c>
      <c r="L16" s="93">
        <v>15.0</v>
      </c>
      <c r="M16" s="91">
        <v>1.0</v>
      </c>
      <c r="N16" s="37">
        <f t="shared" ref="N16:O16" si="21">C16+L16</f>
        <v>162</v>
      </c>
      <c r="O16" s="37">
        <f t="shared" si="21"/>
        <v>12</v>
      </c>
      <c r="P16" s="49" t="s">
        <v>57</v>
      </c>
      <c r="Q16" s="49" t="s">
        <v>57</v>
      </c>
      <c r="R16" s="49" t="s">
        <v>57</v>
      </c>
      <c r="S16" s="51">
        <f t="shared" si="4"/>
        <v>8</v>
      </c>
      <c r="T16" s="52">
        <f t="shared" si="5"/>
        <v>0</v>
      </c>
      <c r="U16" s="52"/>
      <c r="V16" s="51">
        <f t="shared" si="6"/>
        <v>4</v>
      </c>
      <c r="W16" s="52">
        <f t="shared" si="7"/>
        <v>0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135</v>
      </c>
      <c r="C17" s="37">
        <v>146.0</v>
      </c>
      <c r="D17" s="37">
        <v>11.0</v>
      </c>
      <c r="E17" s="40">
        <f t="shared" si="2"/>
        <v>13.75</v>
      </c>
      <c r="F17" s="90">
        <v>1.0</v>
      </c>
      <c r="G17" s="91">
        <v>3.0</v>
      </c>
      <c r="H17" s="92">
        <v>0.0</v>
      </c>
      <c r="I17" s="91">
        <v>5.0</v>
      </c>
      <c r="J17" s="91">
        <v>6.0</v>
      </c>
      <c r="K17" s="91">
        <v>6.0</v>
      </c>
      <c r="L17" s="93">
        <v>17.0</v>
      </c>
      <c r="M17" s="91">
        <v>1.0</v>
      </c>
      <c r="N17" s="37">
        <f t="shared" ref="N17:O17" si="22">C17+L17</f>
        <v>163</v>
      </c>
      <c r="O17" s="37">
        <f t="shared" si="22"/>
        <v>12</v>
      </c>
      <c r="P17" s="49" t="s">
        <v>57</v>
      </c>
      <c r="Q17" s="49" t="s">
        <v>57</v>
      </c>
      <c r="R17" s="49" t="s">
        <v>57</v>
      </c>
      <c r="S17" s="51">
        <f t="shared" si="4"/>
        <v>8</v>
      </c>
      <c r="T17" s="52">
        <f t="shared" si="5"/>
        <v>0</v>
      </c>
      <c r="U17" s="52"/>
      <c r="V17" s="51">
        <f t="shared" si="6"/>
        <v>4</v>
      </c>
      <c r="W17" s="52">
        <f t="shared" si="7"/>
        <v>3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77</v>
      </c>
      <c r="C18" s="37">
        <v>145.0</v>
      </c>
      <c r="D18" s="37">
        <v>14.0</v>
      </c>
      <c r="E18" s="40">
        <f t="shared" si="2"/>
        <v>12.08333333</v>
      </c>
      <c r="F18" s="90">
        <v>2.0</v>
      </c>
      <c r="G18" s="91">
        <v>3.0</v>
      </c>
      <c r="H18" s="92">
        <v>0.0</v>
      </c>
      <c r="I18" s="91">
        <v>7.0</v>
      </c>
      <c r="J18" s="91">
        <v>7.0</v>
      </c>
      <c r="K18" s="91">
        <v>6.0</v>
      </c>
      <c r="L18" s="93">
        <v>20.0</v>
      </c>
      <c r="M18" s="91">
        <v>3.0</v>
      </c>
      <c r="N18" s="37">
        <f t="shared" ref="N18:O18" si="23">C18+L18</f>
        <v>165</v>
      </c>
      <c r="O18" s="37">
        <f t="shared" si="23"/>
        <v>17</v>
      </c>
      <c r="P18" s="49" t="s">
        <v>57</v>
      </c>
      <c r="Q18" s="49" t="s">
        <v>57</v>
      </c>
      <c r="R18" s="49" t="s">
        <v>57</v>
      </c>
      <c r="S18" s="51">
        <f t="shared" si="4"/>
        <v>12</v>
      </c>
      <c r="T18" s="52">
        <f t="shared" si="5"/>
        <v>0</v>
      </c>
      <c r="U18" s="52"/>
      <c r="V18" s="51">
        <f t="shared" si="6"/>
        <v>0</v>
      </c>
      <c r="W18" s="52">
        <f t="shared" si="7"/>
        <v>-9</v>
      </c>
      <c r="X18" s="35">
        <f t="shared" si="12"/>
        <v>14</v>
      </c>
      <c r="Y18" s="35" t="str">
        <f t="shared" si="8"/>
        <v>Y</v>
      </c>
      <c r="Z18" s="19" t="str">
        <f t="shared" si="9"/>
        <v/>
      </c>
    </row>
    <row r="19">
      <c r="A19" s="35">
        <f t="shared" si="10"/>
        <v>15</v>
      </c>
      <c r="B19" s="36" t="s">
        <v>91</v>
      </c>
      <c r="C19" s="37">
        <v>143.0</v>
      </c>
      <c r="D19" s="37">
        <v>12.0</v>
      </c>
      <c r="E19" s="40">
        <f t="shared" si="2"/>
        <v>14.83333333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152</v>
      </c>
      <c r="O19" s="37">
        <f t="shared" si="24"/>
        <v>12</v>
      </c>
      <c r="P19" s="49" t="s">
        <v>57</v>
      </c>
      <c r="Q19" s="49" t="s">
        <v>57</v>
      </c>
      <c r="R19" s="49" t="s">
        <v>57</v>
      </c>
      <c r="S19" s="51">
        <f t="shared" si="4"/>
        <v>6</v>
      </c>
      <c r="T19" s="52">
        <f t="shared" si="5"/>
        <v>0</v>
      </c>
      <c r="U19" s="52"/>
      <c r="V19" s="51">
        <f t="shared" si="6"/>
        <v>6</v>
      </c>
      <c r="W19" s="52">
        <f t="shared" si="7"/>
        <v>-7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114</v>
      </c>
      <c r="C20" s="37">
        <v>141.0</v>
      </c>
      <c r="D20" s="37">
        <v>14.0</v>
      </c>
      <c r="E20" s="40">
        <f t="shared" si="2"/>
        <v>13.71428571</v>
      </c>
      <c r="F20" s="90">
        <v>1.0</v>
      </c>
      <c r="G20" s="91">
        <v>4.0</v>
      </c>
      <c r="H20" s="92">
        <v>0.0</v>
      </c>
      <c r="I20" s="91">
        <v>7.0</v>
      </c>
      <c r="J20" s="91">
        <v>1.0</v>
      </c>
      <c r="K20" s="91">
        <v>6.0</v>
      </c>
      <c r="L20" s="93">
        <v>14.0</v>
      </c>
      <c r="M20" s="91">
        <v>2.0</v>
      </c>
      <c r="N20" s="37">
        <f t="shared" ref="N20:O20" si="25">C20+L20</f>
        <v>155</v>
      </c>
      <c r="O20" s="37">
        <f t="shared" si="25"/>
        <v>16</v>
      </c>
      <c r="P20" s="49" t="s">
        <v>57</v>
      </c>
      <c r="Q20" s="49" t="s">
        <v>57</v>
      </c>
      <c r="R20" s="49" t="s">
        <v>57</v>
      </c>
      <c r="S20" s="51">
        <f t="shared" si="4"/>
        <v>7</v>
      </c>
      <c r="T20" s="52">
        <f t="shared" si="5"/>
        <v>0</v>
      </c>
      <c r="U20" s="52"/>
      <c r="V20" s="51">
        <f t="shared" si="6"/>
        <v>5</v>
      </c>
      <c r="W20" s="52">
        <f t="shared" si="7"/>
        <v>10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108</v>
      </c>
      <c r="C21" s="37">
        <v>141.0</v>
      </c>
      <c r="D21" s="37">
        <v>14.0</v>
      </c>
      <c r="E21" s="40">
        <f t="shared" si="2"/>
        <v>12.3</v>
      </c>
      <c r="F21" s="90">
        <v>1.0</v>
      </c>
      <c r="G21" s="91">
        <v>4.0</v>
      </c>
      <c r="H21" s="92">
        <v>0.0</v>
      </c>
      <c r="I21" s="91">
        <v>7.0</v>
      </c>
      <c r="J21" s="91">
        <v>6.0</v>
      </c>
      <c r="K21" s="91">
        <v>0.0</v>
      </c>
      <c r="L21" s="93">
        <v>13.0</v>
      </c>
      <c r="M21" s="91">
        <v>2.0</v>
      </c>
      <c r="N21" s="37">
        <f t="shared" ref="N21:O21" si="26">C21+L21</f>
        <v>154</v>
      </c>
      <c r="O21" s="37">
        <f t="shared" si="26"/>
        <v>16</v>
      </c>
      <c r="P21" s="49" t="s">
        <v>57</v>
      </c>
      <c r="Q21" s="49" t="s">
        <v>57</v>
      </c>
      <c r="R21" s="49" t="s">
        <v>57</v>
      </c>
      <c r="S21" s="51">
        <f t="shared" si="4"/>
        <v>10</v>
      </c>
      <c r="T21" s="52">
        <f t="shared" si="5"/>
        <v>0</v>
      </c>
      <c r="U21" s="52"/>
      <c r="V21" s="51">
        <f t="shared" si="6"/>
        <v>2</v>
      </c>
      <c r="W21" s="52">
        <f t="shared" si="7"/>
        <v>0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89</v>
      </c>
      <c r="C22" s="37">
        <v>140.0</v>
      </c>
      <c r="D22" s="37">
        <v>13.0</v>
      </c>
      <c r="E22" s="40">
        <f t="shared" si="2"/>
        <v>13.57142857</v>
      </c>
      <c r="F22" s="90">
        <v>1.0</v>
      </c>
      <c r="G22" s="91">
        <v>4.0</v>
      </c>
      <c r="H22" s="92">
        <v>0.0</v>
      </c>
      <c r="I22" s="91">
        <v>5.0</v>
      </c>
      <c r="J22" s="91">
        <v>6.0</v>
      </c>
      <c r="K22" s="91">
        <v>6.0</v>
      </c>
      <c r="L22" s="93">
        <v>17.0</v>
      </c>
      <c r="M22" s="91">
        <v>2.0</v>
      </c>
      <c r="N22" s="37">
        <f t="shared" ref="N22:O22" si="27">C22+L22</f>
        <v>157</v>
      </c>
      <c r="O22" s="37">
        <f t="shared" si="27"/>
        <v>15</v>
      </c>
      <c r="P22" s="49" t="s">
        <v>57</v>
      </c>
      <c r="Q22" s="49" t="s">
        <v>57</v>
      </c>
      <c r="R22" s="49" t="s">
        <v>57</v>
      </c>
      <c r="S22" s="51">
        <f t="shared" si="4"/>
        <v>7</v>
      </c>
      <c r="T22" s="52">
        <f t="shared" si="5"/>
        <v>0</v>
      </c>
      <c r="U22" s="52"/>
      <c r="V22" s="51">
        <f t="shared" si="6"/>
        <v>5</v>
      </c>
      <c r="W22" s="52">
        <f t="shared" si="7"/>
        <v>3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64</v>
      </c>
      <c r="C23" s="37">
        <v>139.0</v>
      </c>
      <c r="D23" s="37">
        <v>13.0</v>
      </c>
      <c r="E23" s="40">
        <f t="shared" si="2"/>
        <v>11.58333333</v>
      </c>
      <c r="F23" s="90">
        <v>1.0</v>
      </c>
      <c r="G23" s="91">
        <v>4.0</v>
      </c>
      <c r="H23" s="92">
        <v>0.0</v>
      </c>
      <c r="I23" s="91">
        <v>5.0</v>
      </c>
      <c r="J23" s="91">
        <v>1.0</v>
      </c>
      <c r="K23" s="91">
        <v>0.0</v>
      </c>
      <c r="L23" s="93">
        <v>6.0</v>
      </c>
      <c r="M23" s="91">
        <v>0.0</v>
      </c>
      <c r="N23" s="37">
        <f t="shared" ref="N23:O23" si="28">C23+L23</f>
        <v>145</v>
      </c>
      <c r="O23" s="37">
        <f t="shared" si="28"/>
        <v>13</v>
      </c>
      <c r="P23" s="49" t="s">
        <v>57</v>
      </c>
      <c r="Q23" s="49" t="s">
        <v>57</v>
      </c>
      <c r="R23" s="49" t="s">
        <v>57</v>
      </c>
      <c r="S23" s="51">
        <f t="shared" si="4"/>
        <v>12</v>
      </c>
      <c r="T23" s="52">
        <f t="shared" si="5"/>
        <v>0</v>
      </c>
      <c r="U23" s="52"/>
      <c r="V23" s="51">
        <f t="shared" si="6"/>
        <v>0</v>
      </c>
      <c r="W23" s="52">
        <f t="shared" si="7"/>
        <v>1</v>
      </c>
      <c r="X23" s="35">
        <f t="shared" si="12"/>
        <v>19</v>
      </c>
      <c r="Y23" s="35" t="str">
        <f t="shared" si="8"/>
        <v>Y</v>
      </c>
      <c r="Z23" s="19" t="str">
        <f t="shared" si="9"/>
        <v/>
      </c>
    </row>
    <row r="24">
      <c r="A24" s="35">
        <f t="shared" si="10"/>
        <v>20</v>
      </c>
      <c r="B24" s="36" t="s">
        <v>137</v>
      </c>
      <c r="C24" s="37">
        <v>137.0</v>
      </c>
      <c r="D24" s="37">
        <v>14.0</v>
      </c>
      <c r="E24" s="40">
        <f t="shared" si="2"/>
        <v>12.22222222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146</v>
      </c>
      <c r="O24" s="37">
        <f t="shared" si="29"/>
        <v>14</v>
      </c>
      <c r="P24" s="49" t="s">
        <v>57</v>
      </c>
      <c r="Q24" s="49" t="s">
        <v>57</v>
      </c>
      <c r="R24" s="49" t="s">
        <v>57</v>
      </c>
      <c r="S24" s="51">
        <f t="shared" si="4"/>
        <v>9</v>
      </c>
      <c r="T24" s="52">
        <f t="shared" si="5"/>
        <v>0</v>
      </c>
      <c r="U24" s="52"/>
      <c r="V24" s="51">
        <f t="shared" si="6"/>
        <v>3</v>
      </c>
      <c r="W24" s="52">
        <f t="shared" si="7"/>
        <v>7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99</v>
      </c>
      <c r="C25" s="37">
        <v>137.0</v>
      </c>
      <c r="D25" s="37">
        <v>13.0</v>
      </c>
      <c r="E25" s="40">
        <f t="shared" si="2"/>
        <v>12.125</v>
      </c>
      <c r="F25" s="90">
        <v>5.0</v>
      </c>
      <c r="G25" s="91">
        <v>0.0</v>
      </c>
      <c r="H25" s="92">
        <v>13.0</v>
      </c>
      <c r="I25" s="91">
        <v>0.0</v>
      </c>
      <c r="J25" s="91">
        <v>0.0</v>
      </c>
      <c r="K25" s="91">
        <v>0.0</v>
      </c>
      <c r="L25" s="93">
        <v>13.0</v>
      </c>
      <c r="M25" s="91">
        <v>0.0</v>
      </c>
      <c r="N25" s="37">
        <f t="shared" ref="N25:O25" si="30">C25+L25</f>
        <v>150</v>
      </c>
      <c r="O25" s="37">
        <f t="shared" si="30"/>
        <v>13</v>
      </c>
      <c r="P25" s="49" t="s">
        <v>57</v>
      </c>
      <c r="Q25" s="49" t="s">
        <v>57</v>
      </c>
      <c r="R25" s="49" t="s">
        <v>57</v>
      </c>
      <c r="S25" s="51">
        <f t="shared" si="4"/>
        <v>8</v>
      </c>
      <c r="T25" s="52">
        <f t="shared" si="5"/>
        <v>1</v>
      </c>
      <c r="U25" s="52"/>
      <c r="V25" s="51">
        <f t="shared" si="6"/>
        <v>3</v>
      </c>
      <c r="W25" s="52">
        <f t="shared" si="7"/>
        <v>-7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142</v>
      </c>
      <c r="C26" s="37">
        <v>137.0</v>
      </c>
      <c r="D26" s="37">
        <v>13.0</v>
      </c>
      <c r="E26" s="40">
        <f t="shared" si="2"/>
        <v>12.625</v>
      </c>
      <c r="F26" s="90">
        <v>1.0</v>
      </c>
      <c r="G26" s="91">
        <v>5.0</v>
      </c>
      <c r="H26" s="92">
        <v>0.0</v>
      </c>
      <c r="I26" s="91">
        <v>7.0</v>
      </c>
      <c r="J26" s="91">
        <v>3.0</v>
      </c>
      <c r="K26" s="91">
        <v>6.0</v>
      </c>
      <c r="L26" s="93">
        <v>16.0</v>
      </c>
      <c r="M26" s="91">
        <v>2.0</v>
      </c>
      <c r="N26" s="37">
        <f t="shared" ref="N26:O26" si="31">C26+L26</f>
        <v>153</v>
      </c>
      <c r="O26" s="37">
        <f t="shared" si="31"/>
        <v>15</v>
      </c>
      <c r="P26" s="49" t="s">
        <v>57</v>
      </c>
      <c r="Q26" s="49" t="s">
        <v>57</v>
      </c>
      <c r="R26" s="49" t="s">
        <v>57</v>
      </c>
      <c r="S26" s="51">
        <f t="shared" si="4"/>
        <v>8</v>
      </c>
      <c r="T26" s="52">
        <f t="shared" si="5"/>
        <v>0</v>
      </c>
      <c r="U26" s="52"/>
      <c r="V26" s="51">
        <f t="shared" si="6"/>
        <v>4</v>
      </c>
      <c r="W26" s="52">
        <f t="shared" si="7"/>
        <v>6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112</v>
      </c>
      <c r="C27" s="37">
        <v>137.0</v>
      </c>
      <c r="D27" s="37">
        <v>11.0</v>
      </c>
      <c r="E27" s="40">
        <f t="shared" si="2"/>
        <v>12.625</v>
      </c>
      <c r="F27" s="90">
        <v>2.0</v>
      </c>
      <c r="G27" s="91">
        <v>5.0</v>
      </c>
      <c r="H27" s="92">
        <v>0.0</v>
      </c>
      <c r="I27" s="91">
        <v>7.0</v>
      </c>
      <c r="J27" s="91">
        <v>6.0</v>
      </c>
      <c r="K27" s="91">
        <v>2.0</v>
      </c>
      <c r="L27" s="93">
        <v>15.0</v>
      </c>
      <c r="M27" s="91">
        <v>2.0</v>
      </c>
      <c r="N27" s="37">
        <f t="shared" ref="N27:O27" si="32">C27+L27</f>
        <v>152</v>
      </c>
      <c r="O27" s="37">
        <f t="shared" si="32"/>
        <v>13</v>
      </c>
      <c r="P27" s="49" t="s">
        <v>57</v>
      </c>
      <c r="Q27" s="49" t="s">
        <v>57</v>
      </c>
      <c r="R27" s="49" t="s">
        <v>57</v>
      </c>
      <c r="S27" s="51">
        <f t="shared" si="4"/>
        <v>8</v>
      </c>
      <c r="T27" s="52">
        <f t="shared" si="5"/>
        <v>0</v>
      </c>
      <c r="U27" s="52"/>
      <c r="V27" s="51">
        <f t="shared" si="6"/>
        <v>4</v>
      </c>
      <c r="W27" s="52">
        <f t="shared" si="7"/>
        <v>7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117</v>
      </c>
      <c r="C28" s="37">
        <v>135.0</v>
      </c>
      <c r="D28" s="37">
        <v>11.0</v>
      </c>
      <c r="E28" s="40">
        <f t="shared" si="2"/>
        <v>11.55555556</v>
      </c>
      <c r="F28" s="90">
        <v>2.0</v>
      </c>
      <c r="G28" s="91">
        <v>5.0</v>
      </c>
      <c r="H28" s="92">
        <v>0.0</v>
      </c>
      <c r="I28" s="91">
        <v>5.0</v>
      </c>
      <c r="J28" s="91">
        <v>3.0</v>
      </c>
      <c r="K28" s="91">
        <v>2.0</v>
      </c>
      <c r="L28" s="93">
        <v>10.0</v>
      </c>
      <c r="M28" s="91">
        <v>0.0</v>
      </c>
      <c r="N28" s="37">
        <f t="shared" ref="N28:O28" si="33">C28+L28</f>
        <v>145</v>
      </c>
      <c r="O28" s="37">
        <f t="shared" si="33"/>
        <v>11</v>
      </c>
      <c r="P28" s="49" t="s">
        <v>57</v>
      </c>
      <c r="Q28" s="49" t="s">
        <v>57</v>
      </c>
      <c r="R28" s="49" t="s">
        <v>57</v>
      </c>
      <c r="S28" s="51">
        <f t="shared" si="4"/>
        <v>9</v>
      </c>
      <c r="T28" s="52">
        <f t="shared" si="5"/>
        <v>1</v>
      </c>
      <c r="U28" s="52"/>
      <c r="V28" s="51">
        <f t="shared" si="6"/>
        <v>2</v>
      </c>
      <c r="W28" s="52">
        <f t="shared" si="7"/>
        <v>-2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95</v>
      </c>
      <c r="C29" s="37">
        <v>134.0</v>
      </c>
      <c r="D29" s="37">
        <v>13.0</v>
      </c>
      <c r="E29" s="40">
        <f t="shared" si="2"/>
        <v>12.25</v>
      </c>
      <c r="F29" s="90">
        <v>1.0</v>
      </c>
      <c r="G29" s="91">
        <v>5.0</v>
      </c>
      <c r="H29" s="92">
        <v>0.0</v>
      </c>
      <c r="I29" s="91">
        <v>5.0</v>
      </c>
      <c r="J29" s="91">
        <v>6.0</v>
      </c>
      <c r="K29" s="91">
        <v>6.0</v>
      </c>
      <c r="L29" s="93">
        <v>17.0</v>
      </c>
      <c r="M29" s="91">
        <v>2.0</v>
      </c>
      <c r="N29" s="37">
        <f t="shared" ref="N29:O29" si="34">C29+L29</f>
        <v>151</v>
      </c>
      <c r="O29" s="37">
        <f t="shared" si="34"/>
        <v>15</v>
      </c>
      <c r="P29" s="49" t="s">
        <v>57</v>
      </c>
      <c r="Q29" s="49" t="s">
        <v>57</v>
      </c>
      <c r="R29" s="49" t="s">
        <v>57</v>
      </c>
      <c r="S29" s="51">
        <f t="shared" si="4"/>
        <v>8</v>
      </c>
      <c r="T29" s="52">
        <f t="shared" si="5"/>
        <v>0</v>
      </c>
      <c r="U29" s="52"/>
      <c r="V29" s="51">
        <f t="shared" si="6"/>
        <v>4</v>
      </c>
      <c r="W29" s="52">
        <f t="shared" si="7"/>
        <v>-1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104</v>
      </c>
      <c r="C30" s="37">
        <v>134.0</v>
      </c>
      <c r="D30" s="37">
        <v>12.0</v>
      </c>
      <c r="E30" s="40">
        <f t="shared" si="2"/>
        <v>12.25</v>
      </c>
      <c r="F30" s="90">
        <v>2.0</v>
      </c>
      <c r="G30" s="91">
        <v>6.0</v>
      </c>
      <c r="H30" s="92">
        <v>0.0</v>
      </c>
      <c r="I30" s="91">
        <v>4.0</v>
      </c>
      <c r="J30" s="91">
        <v>1.0</v>
      </c>
      <c r="K30" s="91">
        <v>6.0</v>
      </c>
      <c r="L30" s="93">
        <v>11.0</v>
      </c>
      <c r="M30" s="91">
        <v>1.0</v>
      </c>
      <c r="N30" s="37">
        <f t="shared" ref="N30:O30" si="35">C30+L30</f>
        <v>145</v>
      </c>
      <c r="O30" s="37">
        <f t="shared" si="35"/>
        <v>13</v>
      </c>
      <c r="P30" s="49" t="s">
        <v>57</v>
      </c>
      <c r="Q30" s="49" t="s">
        <v>57</v>
      </c>
      <c r="R30" s="49" t="s">
        <v>57</v>
      </c>
      <c r="S30" s="51">
        <f t="shared" si="4"/>
        <v>8</v>
      </c>
      <c r="T30" s="52">
        <f t="shared" si="5"/>
        <v>0</v>
      </c>
      <c r="U30" s="52"/>
      <c r="V30" s="51">
        <f t="shared" si="6"/>
        <v>4</v>
      </c>
      <c r="W30" s="52">
        <f t="shared" si="7"/>
        <v>-7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109</v>
      </c>
      <c r="C31" s="37">
        <v>134.0</v>
      </c>
      <c r="D31" s="37">
        <v>12.0</v>
      </c>
      <c r="E31" s="40">
        <f t="shared" si="2"/>
        <v>11.88888889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143</v>
      </c>
      <c r="O31" s="37">
        <f t="shared" si="36"/>
        <v>12</v>
      </c>
      <c r="P31" s="49" t="s">
        <v>57</v>
      </c>
      <c r="Q31" s="49" t="s">
        <v>57</v>
      </c>
      <c r="R31" s="49" t="s">
        <v>57</v>
      </c>
      <c r="S31" s="51">
        <f t="shared" si="4"/>
        <v>9</v>
      </c>
      <c r="T31" s="52">
        <f t="shared" si="5"/>
        <v>0</v>
      </c>
      <c r="U31" s="52"/>
      <c r="V31" s="51">
        <f t="shared" si="6"/>
        <v>3</v>
      </c>
      <c r="W31" s="52">
        <f t="shared" si="7"/>
        <v>-9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51</v>
      </c>
      <c r="C32" s="37">
        <v>134.0</v>
      </c>
      <c r="D32" s="37">
        <v>11.0</v>
      </c>
      <c r="E32" s="40">
        <f t="shared" si="2"/>
        <v>14.2</v>
      </c>
      <c r="F32" s="90">
        <v>2.0</v>
      </c>
      <c r="G32" s="91">
        <v>6.0</v>
      </c>
      <c r="H32" s="92">
        <v>0.0</v>
      </c>
      <c r="I32" s="91">
        <v>6.0</v>
      </c>
      <c r="J32" s="91">
        <v>6.0</v>
      </c>
      <c r="K32" s="91">
        <v>6.0</v>
      </c>
      <c r="L32" s="93">
        <v>18.0</v>
      </c>
      <c r="M32" s="91">
        <v>3.0</v>
      </c>
      <c r="N32" s="37">
        <f t="shared" ref="N32:O32" si="37">C32+L32</f>
        <v>152</v>
      </c>
      <c r="O32" s="37">
        <f t="shared" si="37"/>
        <v>14</v>
      </c>
      <c r="P32" s="49" t="s">
        <v>57</v>
      </c>
      <c r="Q32" s="49" t="s">
        <v>57</v>
      </c>
      <c r="R32" s="49" t="s">
        <v>57</v>
      </c>
      <c r="S32" s="51">
        <f t="shared" si="4"/>
        <v>5</v>
      </c>
      <c r="T32" s="52">
        <f t="shared" si="5"/>
        <v>0</v>
      </c>
      <c r="U32" s="52"/>
      <c r="V32" s="51">
        <f t="shared" si="6"/>
        <v>7</v>
      </c>
      <c r="W32" s="52">
        <f t="shared" si="7"/>
        <v>6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139</v>
      </c>
      <c r="C33" s="37">
        <v>132.0</v>
      </c>
      <c r="D33" s="37">
        <v>12.0</v>
      </c>
      <c r="E33" s="40">
        <f t="shared" si="2"/>
        <v>11.4</v>
      </c>
      <c r="F33" s="90">
        <v>1.0</v>
      </c>
      <c r="G33" s="91">
        <v>6.0</v>
      </c>
      <c r="H33" s="92">
        <v>0.0</v>
      </c>
      <c r="I33" s="91">
        <v>6.0</v>
      </c>
      <c r="J33" s="91">
        <v>1.0</v>
      </c>
      <c r="K33" s="91">
        <v>0.0</v>
      </c>
      <c r="L33" s="93">
        <v>7.0</v>
      </c>
      <c r="M33" s="91">
        <v>1.0</v>
      </c>
      <c r="N33" s="37">
        <f t="shared" ref="N33:O33" si="38">C33+L33</f>
        <v>139</v>
      </c>
      <c r="O33" s="37">
        <f t="shared" si="38"/>
        <v>13</v>
      </c>
      <c r="P33" s="49" t="s">
        <v>57</v>
      </c>
      <c r="Q33" s="49" t="s">
        <v>57</v>
      </c>
      <c r="R33" s="49" t="s">
        <v>57</v>
      </c>
      <c r="S33" s="51">
        <f t="shared" si="4"/>
        <v>10</v>
      </c>
      <c r="T33" s="52">
        <f t="shared" si="5"/>
        <v>0</v>
      </c>
      <c r="U33" s="52"/>
      <c r="V33" s="51">
        <f t="shared" si="6"/>
        <v>2</v>
      </c>
      <c r="W33" s="52">
        <f t="shared" si="7"/>
        <v>-4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59</v>
      </c>
      <c r="C34" s="37">
        <v>132.0</v>
      </c>
      <c r="D34" s="37">
        <v>11.0</v>
      </c>
      <c r="E34" s="40">
        <f t="shared" si="2"/>
        <v>11.18181818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141</v>
      </c>
      <c r="O34" s="37">
        <f t="shared" si="39"/>
        <v>11</v>
      </c>
      <c r="P34" s="49" t="s">
        <v>57</v>
      </c>
      <c r="Q34" s="49" t="s">
        <v>57</v>
      </c>
      <c r="R34" s="49" t="s">
        <v>57</v>
      </c>
      <c r="S34" s="51">
        <f t="shared" si="4"/>
        <v>11</v>
      </c>
      <c r="T34" s="52">
        <f t="shared" si="5"/>
        <v>0</v>
      </c>
      <c r="U34" s="52"/>
      <c r="V34" s="51">
        <f t="shared" si="6"/>
        <v>1</v>
      </c>
      <c r="W34" s="52">
        <f t="shared" si="7"/>
        <v>-7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115</v>
      </c>
      <c r="C35" s="37">
        <v>131.0</v>
      </c>
      <c r="D35" s="37">
        <v>11.0</v>
      </c>
      <c r="E35" s="40">
        <f t="shared" si="2"/>
        <v>11.55555556</v>
      </c>
      <c r="F35" s="90">
        <v>1.0</v>
      </c>
      <c r="G35" s="91">
        <v>6.0</v>
      </c>
      <c r="H35" s="92">
        <v>0.0</v>
      </c>
      <c r="I35" s="91">
        <v>4.0</v>
      </c>
      <c r="J35" s="91">
        <v>6.0</v>
      </c>
      <c r="K35" s="91">
        <v>0.0</v>
      </c>
      <c r="L35" s="93">
        <v>10.0</v>
      </c>
      <c r="M35" s="91">
        <v>1.0</v>
      </c>
      <c r="N35" s="37">
        <f t="shared" ref="N35:O35" si="40">C35+L35</f>
        <v>141</v>
      </c>
      <c r="O35" s="37">
        <f t="shared" si="40"/>
        <v>12</v>
      </c>
      <c r="P35" s="49" t="s">
        <v>57</v>
      </c>
      <c r="Q35" s="49" t="s">
        <v>57</v>
      </c>
      <c r="R35" s="49" t="s">
        <v>57</v>
      </c>
      <c r="S35" s="51">
        <f t="shared" si="4"/>
        <v>9</v>
      </c>
      <c r="T35" s="52">
        <f t="shared" si="5"/>
        <v>0</v>
      </c>
      <c r="U35" s="52"/>
      <c r="V35" s="51">
        <f t="shared" si="6"/>
        <v>3</v>
      </c>
      <c r="W35" s="52">
        <f t="shared" si="7"/>
        <v>-2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132</v>
      </c>
      <c r="C36" s="37">
        <v>130.0</v>
      </c>
      <c r="D36" s="37">
        <v>10.0</v>
      </c>
      <c r="E36" s="40">
        <f t="shared" si="2"/>
        <v>12.66666667</v>
      </c>
      <c r="F36" s="90">
        <v>1.0</v>
      </c>
      <c r="G36" s="91">
        <v>9.0</v>
      </c>
      <c r="H36" s="92">
        <v>0.0</v>
      </c>
      <c r="I36" s="91">
        <v>7.0</v>
      </c>
      <c r="J36" s="91">
        <v>6.0</v>
      </c>
      <c r="K36" s="91">
        <v>3.0</v>
      </c>
      <c r="L36" s="93">
        <v>16.0</v>
      </c>
      <c r="M36" s="91">
        <v>2.0</v>
      </c>
      <c r="N36" s="37">
        <f t="shared" ref="N36:O36" si="41">C36+L36</f>
        <v>146</v>
      </c>
      <c r="O36" s="37">
        <f t="shared" si="41"/>
        <v>12</v>
      </c>
      <c r="P36" s="49" t="s">
        <v>57</v>
      </c>
      <c r="Q36" s="49" t="s">
        <v>57</v>
      </c>
      <c r="R36" s="49" t="s">
        <v>57</v>
      </c>
      <c r="S36" s="51">
        <f t="shared" si="4"/>
        <v>6</v>
      </c>
      <c r="T36" s="52">
        <f t="shared" si="5"/>
        <v>0</v>
      </c>
      <c r="U36" s="52"/>
      <c r="V36" s="51">
        <f t="shared" si="6"/>
        <v>6</v>
      </c>
      <c r="W36" s="52">
        <f t="shared" si="7"/>
        <v>12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120</v>
      </c>
      <c r="C37" s="37">
        <v>129.0</v>
      </c>
      <c r="D37" s="37">
        <v>9.0</v>
      </c>
      <c r="E37" s="40">
        <f t="shared" si="2"/>
        <v>13.2</v>
      </c>
      <c r="F37" s="90">
        <v>1.0</v>
      </c>
      <c r="G37" s="91">
        <v>9.0</v>
      </c>
      <c r="H37" s="92">
        <v>0.0</v>
      </c>
      <c r="I37" s="91">
        <v>5.0</v>
      </c>
      <c r="J37" s="91">
        <v>6.0</v>
      </c>
      <c r="K37" s="91">
        <v>6.0</v>
      </c>
      <c r="L37" s="93">
        <v>17.0</v>
      </c>
      <c r="M37" s="91">
        <v>2.0</v>
      </c>
      <c r="N37" s="37">
        <f t="shared" ref="N37:O37" si="42">C37+L37</f>
        <v>146</v>
      </c>
      <c r="O37" s="37">
        <f t="shared" si="42"/>
        <v>11</v>
      </c>
      <c r="P37" s="49" t="s">
        <v>57</v>
      </c>
      <c r="Q37" s="49" t="s">
        <v>57</v>
      </c>
      <c r="R37" s="49" t="s">
        <v>57</v>
      </c>
      <c r="S37" s="51">
        <f t="shared" si="4"/>
        <v>5</v>
      </c>
      <c r="T37" s="52">
        <f t="shared" si="5"/>
        <v>0</v>
      </c>
      <c r="U37" s="52"/>
      <c r="V37" s="51">
        <f t="shared" si="6"/>
        <v>7</v>
      </c>
      <c r="W37" s="52">
        <f t="shared" si="7"/>
        <v>6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90</v>
      </c>
      <c r="C38" s="37">
        <v>129.0</v>
      </c>
      <c r="D38" s="37">
        <v>8.0</v>
      </c>
      <c r="E38" s="40">
        <f t="shared" si="2"/>
        <v>13.2</v>
      </c>
      <c r="F38" s="90">
        <v>1.0</v>
      </c>
      <c r="G38" s="91">
        <v>9.0</v>
      </c>
      <c r="H38" s="92">
        <v>0.0</v>
      </c>
      <c r="I38" s="91">
        <v>7.0</v>
      </c>
      <c r="J38" s="91">
        <v>1.0</v>
      </c>
      <c r="K38" s="91">
        <v>6.0</v>
      </c>
      <c r="L38" s="93">
        <v>14.0</v>
      </c>
      <c r="M38" s="91">
        <v>2.0</v>
      </c>
      <c r="N38" s="37">
        <f t="shared" ref="N38:O38" si="43">C38+L38</f>
        <v>143</v>
      </c>
      <c r="O38" s="37">
        <f t="shared" si="43"/>
        <v>10</v>
      </c>
      <c r="P38" s="49" t="s">
        <v>57</v>
      </c>
      <c r="Q38" s="49" t="s">
        <v>57</v>
      </c>
      <c r="R38" s="49" t="s">
        <v>57</v>
      </c>
      <c r="S38" s="51">
        <f t="shared" si="4"/>
        <v>5</v>
      </c>
      <c r="T38" s="52">
        <f t="shared" si="5"/>
        <v>0</v>
      </c>
      <c r="U38" s="52"/>
      <c r="V38" s="51">
        <f t="shared" si="6"/>
        <v>7</v>
      </c>
      <c r="W38" s="52">
        <f t="shared" si="7"/>
        <v>-3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101</v>
      </c>
      <c r="C39" s="37">
        <v>129.0</v>
      </c>
      <c r="D39" s="37">
        <v>8.0</v>
      </c>
      <c r="E39" s="40">
        <f t="shared" si="2"/>
        <v>11.83333333</v>
      </c>
      <c r="F39" s="90">
        <v>1.0</v>
      </c>
      <c r="G39" s="91">
        <v>9.0</v>
      </c>
      <c r="H39" s="92">
        <v>0.0</v>
      </c>
      <c r="I39" s="91">
        <v>5.0</v>
      </c>
      <c r="J39" s="91">
        <v>1.0</v>
      </c>
      <c r="K39" s="91">
        <v>3.0</v>
      </c>
      <c r="L39" s="93">
        <v>9.0</v>
      </c>
      <c r="M39" s="91">
        <v>0.0</v>
      </c>
      <c r="N39" s="37">
        <f t="shared" ref="N39:O39" si="44">C39+L39</f>
        <v>138</v>
      </c>
      <c r="O39" s="37">
        <f t="shared" si="44"/>
        <v>8</v>
      </c>
      <c r="P39" s="49" t="s">
        <v>57</v>
      </c>
      <c r="Q39" s="49" t="s">
        <v>57</v>
      </c>
      <c r="R39" s="49" t="s">
        <v>57</v>
      </c>
      <c r="S39" s="51">
        <f t="shared" si="4"/>
        <v>6</v>
      </c>
      <c r="T39" s="52">
        <f t="shared" si="5"/>
        <v>1</v>
      </c>
      <c r="U39" s="52"/>
      <c r="V39" s="51">
        <f t="shared" si="6"/>
        <v>5</v>
      </c>
      <c r="W39" s="52">
        <f t="shared" si="7"/>
        <v>0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143</v>
      </c>
      <c r="C40" s="37">
        <v>128.0</v>
      </c>
      <c r="D40" s="37">
        <v>11.0</v>
      </c>
      <c r="E40" s="40">
        <f t="shared" si="2"/>
        <v>11.85714286</v>
      </c>
      <c r="F40" s="90">
        <v>1.0</v>
      </c>
      <c r="G40" s="91">
        <v>10.0</v>
      </c>
      <c r="H40" s="92">
        <v>0.0</v>
      </c>
      <c r="I40" s="91">
        <v>3.0</v>
      </c>
      <c r="J40" s="91">
        <v>7.0</v>
      </c>
      <c r="K40" s="91">
        <v>6.0</v>
      </c>
      <c r="L40" s="93">
        <v>16.0</v>
      </c>
      <c r="M40" s="91">
        <v>1.0</v>
      </c>
      <c r="N40" s="37">
        <f t="shared" ref="N40:O40" si="45">C40+L40</f>
        <v>144</v>
      </c>
      <c r="O40" s="37">
        <f t="shared" si="45"/>
        <v>12</v>
      </c>
      <c r="P40" s="49" t="s">
        <v>57</v>
      </c>
      <c r="Q40" s="49" t="s">
        <v>57</v>
      </c>
      <c r="R40" s="49" t="s">
        <v>57</v>
      </c>
      <c r="S40" s="51">
        <f t="shared" si="4"/>
        <v>7</v>
      </c>
      <c r="T40" s="52">
        <f t="shared" si="5"/>
        <v>0</v>
      </c>
      <c r="U40" s="52"/>
      <c r="V40" s="51">
        <f t="shared" si="6"/>
        <v>5</v>
      </c>
      <c r="W40" s="52">
        <f t="shared" si="7"/>
        <v>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76</v>
      </c>
      <c r="C41" s="37">
        <v>128.0</v>
      </c>
      <c r="D41" s="37">
        <v>8.0</v>
      </c>
      <c r="E41" s="40">
        <f t="shared" si="2"/>
        <v>11.66666667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137</v>
      </c>
      <c r="O41" s="37">
        <f t="shared" si="46"/>
        <v>8</v>
      </c>
      <c r="P41" s="49" t="s">
        <v>57</v>
      </c>
      <c r="Q41" s="49" t="s">
        <v>57</v>
      </c>
      <c r="R41" s="49" t="s">
        <v>57</v>
      </c>
      <c r="S41" s="51">
        <f t="shared" si="4"/>
        <v>6</v>
      </c>
      <c r="T41" s="52">
        <f t="shared" si="5"/>
        <v>1</v>
      </c>
      <c r="U41" s="52"/>
      <c r="V41" s="51">
        <f t="shared" si="6"/>
        <v>5</v>
      </c>
      <c r="W41" s="52">
        <f t="shared" si="7"/>
        <v>-1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97</v>
      </c>
      <c r="C42" s="37">
        <v>127.0</v>
      </c>
      <c r="D42" s="37">
        <v>7.0</v>
      </c>
      <c r="E42" s="40">
        <f t="shared" si="2"/>
        <v>12.8</v>
      </c>
      <c r="F42" s="90">
        <v>1.0</v>
      </c>
      <c r="G42" s="91">
        <v>10.0</v>
      </c>
      <c r="H42" s="92">
        <v>0.0</v>
      </c>
      <c r="I42" s="91">
        <v>3.0</v>
      </c>
      <c r="J42" s="91">
        <v>6.0</v>
      </c>
      <c r="K42" s="91">
        <v>7.0</v>
      </c>
      <c r="L42" s="93">
        <v>16.0</v>
      </c>
      <c r="M42" s="91">
        <v>1.0</v>
      </c>
      <c r="N42" s="37">
        <f t="shared" ref="N42:O42" si="47">C42+L42</f>
        <v>143</v>
      </c>
      <c r="O42" s="37">
        <f t="shared" si="47"/>
        <v>8</v>
      </c>
      <c r="P42" s="49" t="s">
        <v>57</v>
      </c>
      <c r="Q42" s="49" t="s">
        <v>57</v>
      </c>
      <c r="R42" s="49" t="s">
        <v>57</v>
      </c>
      <c r="S42" s="51">
        <f t="shared" si="4"/>
        <v>5</v>
      </c>
      <c r="T42" s="52">
        <f t="shared" si="5"/>
        <v>0</v>
      </c>
      <c r="U42" s="52"/>
      <c r="V42" s="51">
        <f t="shared" si="6"/>
        <v>7</v>
      </c>
      <c r="W42" s="52">
        <f t="shared" si="7"/>
        <v>-6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130</v>
      </c>
      <c r="C43" s="37">
        <v>126.0</v>
      </c>
      <c r="D43" s="37">
        <v>12.0</v>
      </c>
      <c r="E43" s="40">
        <f t="shared" si="2"/>
        <v>10.5</v>
      </c>
      <c r="F43" s="90">
        <v>1.0</v>
      </c>
      <c r="G43" s="91">
        <v>10.0</v>
      </c>
      <c r="H43" s="92">
        <v>0.0</v>
      </c>
      <c r="I43" s="91">
        <v>6.0</v>
      </c>
      <c r="J43" s="91">
        <v>6.0</v>
      </c>
      <c r="K43" s="91">
        <v>6.0</v>
      </c>
      <c r="L43" s="93">
        <v>18.0</v>
      </c>
      <c r="M43" s="91">
        <v>1.0</v>
      </c>
      <c r="N43" s="37">
        <f t="shared" ref="N43:O43" si="48">C43+L43</f>
        <v>144</v>
      </c>
      <c r="O43" s="37">
        <f t="shared" si="48"/>
        <v>13</v>
      </c>
      <c r="P43" s="49" t="s">
        <v>57</v>
      </c>
      <c r="Q43" s="49" t="s">
        <v>57</v>
      </c>
      <c r="R43" s="49" t="s">
        <v>57</v>
      </c>
      <c r="S43" s="51">
        <f t="shared" si="4"/>
        <v>12</v>
      </c>
      <c r="T43" s="52">
        <f t="shared" si="5"/>
        <v>0</v>
      </c>
      <c r="U43" s="52"/>
      <c r="V43" s="51">
        <f t="shared" si="6"/>
        <v>0</v>
      </c>
      <c r="W43" s="52">
        <f t="shared" si="7"/>
        <v>3</v>
      </c>
      <c r="X43" s="35">
        <f t="shared" si="12"/>
        <v>39</v>
      </c>
      <c r="Y43" s="35" t="str">
        <f t="shared" si="8"/>
        <v>Y</v>
      </c>
      <c r="Z43" s="19" t="str">
        <f t="shared" si="9"/>
        <v/>
      </c>
    </row>
    <row r="44">
      <c r="A44" s="35">
        <f t="shared" si="10"/>
        <v>40</v>
      </c>
      <c r="B44" s="36" t="s">
        <v>126</v>
      </c>
      <c r="C44" s="37">
        <v>126.0</v>
      </c>
      <c r="D44" s="37">
        <v>11.0</v>
      </c>
      <c r="E44" s="40">
        <f t="shared" si="2"/>
        <v>11.25</v>
      </c>
      <c r="F44" s="90">
        <v>1.0</v>
      </c>
      <c r="G44" s="91">
        <v>10.0</v>
      </c>
      <c r="H44" s="92">
        <v>0.0</v>
      </c>
      <c r="I44" s="91">
        <v>6.0</v>
      </c>
      <c r="J44" s="91">
        <v>7.0</v>
      </c>
      <c r="K44" s="91">
        <v>7.0</v>
      </c>
      <c r="L44" s="93">
        <v>20.0</v>
      </c>
      <c r="M44" s="91">
        <v>3.0</v>
      </c>
      <c r="N44" s="37">
        <f t="shared" ref="N44:O44" si="49">C44+L44</f>
        <v>146</v>
      </c>
      <c r="O44" s="37">
        <f t="shared" si="49"/>
        <v>14</v>
      </c>
      <c r="P44" s="49" t="s">
        <v>57</v>
      </c>
      <c r="Q44" s="49" t="s">
        <v>57</v>
      </c>
      <c r="R44" s="49" t="s">
        <v>57</v>
      </c>
      <c r="S44" s="51">
        <f t="shared" si="4"/>
        <v>8</v>
      </c>
      <c r="T44" s="52">
        <f t="shared" si="5"/>
        <v>0</v>
      </c>
      <c r="U44" s="52"/>
      <c r="V44" s="51">
        <f t="shared" si="6"/>
        <v>4</v>
      </c>
      <c r="W44" s="52">
        <f t="shared" si="7"/>
        <v>-3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107</v>
      </c>
      <c r="C45" s="37">
        <v>126.0</v>
      </c>
      <c r="D45" s="37">
        <v>10.0</v>
      </c>
      <c r="E45" s="40">
        <f t="shared" si="2"/>
        <v>12</v>
      </c>
      <c r="F45" s="90">
        <v>1.0</v>
      </c>
      <c r="G45" s="91">
        <v>7.0</v>
      </c>
      <c r="H45" s="92">
        <v>0.0</v>
      </c>
      <c r="I45" s="91">
        <v>1.0</v>
      </c>
      <c r="J45" s="91">
        <v>2.0</v>
      </c>
      <c r="K45" s="91">
        <v>6.0</v>
      </c>
      <c r="L45" s="93">
        <v>9.0</v>
      </c>
      <c r="M45" s="91">
        <v>1.0</v>
      </c>
      <c r="N45" s="37">
        <f t="shared" ref="N45:O45" si="50">C45+L45</f>
        <v>135</v>
      </c>
      <c r="O45" s="37">
        <f t="shared" si="50"/>
        <v>11</v>
      </c>
      <c r="P45" s="49" t="s">
        <v>57</v>
      </c>
      <c r="Q45" s="49" t="s">
        <v>57</v>
      </c>
      <c r="R45" s="49" t="s">
        <v>57</v>
      </c>
      <c r="S45" s="51">
        <f t="shared" si="4"/>
        <v>6</v>
      </c>
      <c r="T45" s="52">
        <f t="shared" si="5"/>
        <v>0</v>
      </c>
      <c r="U45" s="52"/>
      <c r="V45" s="51">
        <f t="shared" si="6"/>
        <v>6</v>
      </c>
      <c r="W45" s="52">
        <f t="shared" si="7"/>
        <v>-8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140</v>
      </c>
      <c r="C46" s="37">
        <v>126.0</v>
      </c>
      <c r="D46" s="37">
        <v>7.0</v>
      </c>
      <c r="E46" s="40">
        <f t="shared" si="2"/>
        <v>11.57142857</v>
      </c>
      <c r="F46" s="90">
        <v>1.0</v>
      </c>
      <c r="G46" s="91">
        <v>7.0</v>
      </c>
      <c r="H46" s="92">
        <v>0.0</v>
      </c>
      <c r="I46" s="91">
        <v>1.0</v>
      </c>
      <c r="J46" s="91">
        <v>6.0</v>
      </c>
      <c r="K46" s="91">
        <v>2.0</v>
      </c>
      <c r="L46" s="93">
        <v>9.0</v>
      </c>
      <c r="M46" s="91">
        <v>1.0</v>
      </c>
      <c r="N46" s="37">
        <f t="shared" ref="N46:O46" si="51">C46+L46</f>
        <v>135</v>
      </c>
      <c r="O46" s="37">
        <f t="shared" si="51"/>
        <v>8</v>
      </c>
      <c r="P46" s="49" t="s">
        <v>57</v>
      </c>
      <c r="Q46" s="49" t="s">
        <v>57</v>
      </c>
      <c r="R46" s="49" t="s">
        <v>57</v>
      </c>
      <c r="S46" s="51">
        <f t="shared" si="4"/>
        <v>7</v>
      </c>
      <c r="T46" s="52">
        <f t="shared" si="5"/>
        <v>0</v>
      </c>
      <c r="U46" s="52"/>
      <c r="V46" s="51">
        <f t="shared" si="6"/>
        <v>5</v>
      </c>
      <c r="W46" s="52">
        <f t="shared" si="7"/>
        <v>10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138</v>
      </c>
      <c r="C47" s="37">
        <v>123.0</v>
      </c>
      <c r="D47" s="37">
        <v>10.0</v>
      </c>
      <c r="E47" s="40">
        <f t="shared" si="2"/>
        <v>10.875</v>
      </c>
      <c r="F47" s="90">
        <v>2.0</v>
      </c>
      <c r="G47" s="91">
        <v>7.0</v>
      </c>
      <c r="H47" s="92">
        <v>0.0</v>
      </c>
      <c r="I47" s="91">
        <v>6.0</v>
      </c>
      <c r="J47" s="91">
        <v>2.0</v>
      </c>
      <c r="K47" s="91">
        <v>2.0</v>
      </c>
      <c r="L47" s="93">
        <v>10.0</v>
      </c>
      <c r="M47" s="91">
        <v>1.0</v>
      </c>
      <c r="N47" s="37">
        <f t="shared" ref="N47:O47" si="52">C47+L47</f>
        <v>133</v>
      </c>
      <c r="O47" s="37">
        <f t="shared" si="52"/>
        <v>11</v>
      </c>
      <c r="P47" s="49" t="s">
        <v>57</v>
      </c>
      <c r="Q47" s="49" t="s">
        <v>57</v>
      </c>
      <c r="R47" s="49" t="s">
        <v>57</v>
      </c>
      <c r="S47" s="51">
        <f t="shared" si="4"/>
        <v>8</v>
      </c>
      <c r="T47" s="52">
        <f t="shared" si="5"/>
        <v>0</v>
      </c>
      <c r="U47" s="52"/>
      <c r="V47" s="51">
        <f t="shared" si="6"/>
        <v>4</v>
      </c>
      <c r="W47" s="52">
        <f t="shared" si="7"/>
        <v>-3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113</v>
      </c>
      <c r="C48" s="37">
        <v>123.0</v>
      </c>
      <c r="D48" s="37">
        <v>9.0</v>
      </c>
      <c r="E48" s="40">
        <f t="shared" si="2"/>
        <v>11.5</v>
      </c>
      <c r="F48" s="90">
        <v>1.0</v>
      </c>
      <c r="G48" s="91">
        <v>7.0</v>
      </c>
      <c r="H48" s="92">
        <v>0.0</v>
      </c>
      <c r="I48" s="91">
        <v>6.0</v>
      </c>
      <c r="J48" s="91">
        <v>6.0</v>
      </c>
      <c r="K48" s="91">
        <v>6.0</v>
      </c>
      <c r="L48" s="93">
        <v>18.0</v>
      </c>
      <c r="M48" s="91">
        <v>3.0</v>
      </c>
      <c r="N48" s="37">
        <f t="shared" ref="N48:O48" si="53">C48+L48</f>
        <v>141</v>
      </c>
      <c r="O48" s="37">
        <f t="shared" si="53"/>
        <v>12</v>
      </c>
      <c r="P48" s="49" t="s">
        <v>57</v>
      </c>
      <c r="Q48" s="49" t="s">
        <v>57</v>
      </c>
      <c r="R48" s="49" t="s">
        <v>57</v>
      </c>
      <c r="S48" s="51">
        <f t="shared" si="4"/>
        <v>6</v>
      </c>
      <c r="T48" s="52">
        <f t="shared" si="5"/>
        <v>0</v>
      </c>
      <c r="U48" s="52"/>
      <c r="V48" s="51">
        <f t="shared" si="6"/>
        <v>6</v>
      </c>
      <c r="W48" s="52">
        <f t="shared" si="7"/>
        <v>-3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153</v>
      </c>
      <c r="C49" s="37">
        <v>121.0</v>
      </c>
      <c r="D49" s="37">
        <v>7.0</v>
      </c>
      <c r="E49" s="40">
        <f t="shared" si="2"/>
        <v>12.25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130</v>
      </c>
      <c r="O49" s="37">
        <f t="shared" si="54"/>
        <v>7</v>
      </c>
      <c r="P49" s="49" t="s">
        <v>57</v>
      </c>
      <c r="Q49" s="49" t="s">
        <v>57</v>
      </c>
      <c r="R49" s="49" t="s">
        <v>57</v>
      </c>
      <c r="S49" s="51">
        <f t="shared" si="4"/>
        <v>4</v>
      </c>
      <c r="T49" s="52">
        <f t="shared" si="5"/>
        <v>0</v>
      </c>
      <c r="U49" s="52"/>
      <c r="V49" s="51">
        <f t="shared" si="6"/>
        <v>8</v>
      </c>
      <c r="W49" s="52">
        <f t="shared" si="7"/>
        <v>5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147</v>
      </c>
      <c r="C50" s="37">
        <v>121.0</v>
      </c>
      <c r="D50" s="37">
        <v>5.0</v>
      </c>
      <c r="E50" s="40">
        <f t="shared" si="2"/>
        <v>11.25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130</v>
      </c>
      <c r="O50" s="37">
        <f t="shared" si="55"/>
        <v>5</v>
      </c>
      <c r="P50" s="49" t="s">
        <v>57</v>
      </c>
      <c r="Q50" s="49" t="s">
        <v>57</v>
      </c>
      <c r="R50" s="49" t="s">
        <v>57</v>
      </c>
      <c r="S50" s="51">
        <f t="shared" si="4"/>
        <v>4</v>
      </c>
      <c r="T50" s="52">
        <f t="shared" si="5"/>
        <v>1</v>
      </c>
      <c r="U50" s="52"/>
      <c r="V50" s="51">
        <f t="shared" si="6"/>
        <v>7</v>
      </c>
      <c r="W50" s="52">
        <f t="shared" si="7"/>
        <v>-1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134</v>
      </c>
      <c r="C51" s="37">
        <v>119.0</v>
      </c>
      <c r="D51" s="37">
        <v>9.0</v>
      </c>
      <c r="E51" s="40">
        <f t="shared" si="2"/>
        <v>10.22222222</v>
      </c>
      <c r="F51" s="90">
        <v>1.0</v>
      </c>
      <c r="G51" s="91">
        <v>11.0</v>
      </c>
      <c r="H51" s="92">
        <v>0.0</v>
      </c>
      <c r="I51" s="91">
        <v>6.0</v>
      </c>
      <c r="J51" s="91">
        <v>2.0</v>
      </c>
      <c r="K51" s="91">
        <v>7.0</v>
      </c>
      <c r="L51" s="93">
        <v>15.0</v>
      </c>
      <c r="M51" s="91">
        <v>2.0</v>
      </c>
      <c r="N51" s="37">
        <f t="shared" ref="N51:O51" si="56">C51+L51</f>
        <v>134</v>
      </c>
      <c r="O51" s="37">
        <f t="shared" si="56"/>
        <v>11</v>
      </c>
      <c r="P51" s="49" t="s">
        <v>57</v>
      </c>
      <c r="Q51" s="49" t="s">
        <v>57</v>
      </c>
      <c r="R51" s="49" t="s">
        <v>57</v>
      </c>
      <c r="S51" s="51">
        <f t="shared" si="4"/>
        <v>9</v>
      </c>
      <c r="T51" s="52">
        <f t="shared" si="5"/>
        <v>0</v>
      </c>
      <c r="U51" s="52"/>
      <c r="V51" s="51">
        <f t="shared" si="6"/>
        <v>3</v>
      </c>
      <c r="W51" s="52">
        <f t="shared" si="7"/>
        <v>4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151</v>
      </c>
      <c r="C52" s="37">
        <v>119.0</v>
      </c>
      <c r="D52" s="37">
        <v>8.0</v>
      </c>
      <c r="E52" s="40">
        <f t="shared" si="2"/>
        <v>9.875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128</v>
      </c>
      <c r="O52" s="37">
        <f t="shared" si="57"/>
        <v>8</v>
      </c>
      <c r="P52" s="49" t="s">
        <v>57</v>
      </c>
      <c r="Q52" s="49" t="s">
        <v>57</v>
      </c>
      <c r="R52" s="49" t="s">
        <v>57</v>
      </c>
      <c r="S52" s="51">
        <f t="shared" si="4"/>
        <v>8</v>
      </c>
      <c r="T52" s="52">
        <f t="shared" si="5"/>
        <v>1</v>
      </c>
      <c r="U52" s="52"/>
      <c r="V52" s="51">
        <f t="shared" si="6"/>
        <v>3</v>
      </c>
      <c r="W52" s="52">
        <f t="shared" si="7"/>
        <v>-1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118</v>
      </c>
      <c r="C53" s="37">
        <v>119.0</v>
      </c>
      <c r="D53" s="37">
        <v>7.0</v>
      </c>
      <c r="E53" s="40">
        <f t="shared" si="2"/>
        <v>10.1</v>
      </c>
      <c r="F53" s="90">
        <v>1.0</v>
      </c>
      <c r="G53" s="91">
        <v>11.0</v>
      </c>
      <c r="H53" s="92">
        <v>0.0</v>
      </c>
      <c r="I53" s="91">
        <v>6.0</v>
      </c>
      <c r="J53" s="91">
        <v>6.0</v>
      </c>
      <c r="K53" s="91">
        <v>6.0</v>
      </c>
      <c r="L53" s="93">
        <v>18.0</v>
      </c>
      <c r="M53" s="91">
        <v>2.0</v>
      </c>
      <c r="N53" s="37">
        <f t="shared" ref="N53:O53" si="58">C53+L53</f>
        <v>137</v>
      </c>
      <c r="O53" s="37">
        <f t="shared" si="58"/>
        <v>9</v>
      </c>
      <c r="P53" s="49" t="s">
        <v>57</v>
      </c>
      <c r="Q53" s="49" t="s">
        <v>57</v>
      </c>
      <c r="R53" s="49" t="s">
        <v>57</v>
      </c>
      <c r="S53" s="51">
        <f t="shared" si="4"/>
        <v>10</v>
      </c>
      <c r="T53" s="52">
        <f t="shared" si="5"/>
        <v>0</v>
      </c>
      <c r="U53" s="52"/>
      <c r="V53" s="51">
        <f t="shared" si="6"/>
        <v>2</v>
      </c>
      <c r="W53" s="52">
        <f t="shared" si="7"/>
        <v>0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131</v>
      </c>
      <c r="C54" s="37">
        <v>119.0</v>
      </c>
      <c r="D54" s="37">
        <v>6.0</v>
      </c>
      <c r="E54" s="40">
        <f t="shared" si="2"/>
        <v>11.33333333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128</v>
      </c>
      <c r="O54" s="37">
        <f t="shared" si="59"/>
        <v>6</v>
      </c>
      <c r="P54" s="49" t="s">
        <v>57</v>
      </c>
      <c r="Q54" s="49" t="s">
        <v>57</v>
      </c>
      <c r="R54" s="49" t="s">
        <v>57</v>
      </c>
      <c r="S54" s="51">
        <f t="shared" si="4"/>
        <v>3</v>
      </c>
      <c r="T54" s="52">
        <f t="shared" si="5"/>
        <v>1</v>
      </c>
      <c r="U54" s="52"/>
      <c r="V54" s="51">
        <f t="shared" si="6"/>
        <v>8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110</v>
      </c>
      <c r="C55" s="37">
        <v>118.0</v>
      </c>
      <c r="D55" s="37">
        <v>11.0</v>
      </c>
      <c r="E55" s="40">
        <f t="shared" si="2"/>
        <v>9.833333333</v>
      </c>
      <c r="F55" s="90">
        <v>1.0</v>
      </c>
      <c r="G55" s="91">
        <v>11.0</v>
      </c>
      <c r="H55" s="92">
        <v>0.0</v>
      </c>
      <c r="I55" s="91">
        <v>1.0</v>
      </c>
      <c r="J55" s="91">
        <v>6.0</v>
      </c>
      <c r="K55" s="91">
        <v>7.0</v>
      </c>
      <c r="L55" s="93">
        <v>14.0</v>
      </c>
      <c r="M55" s="91">
        <v>2.0</v>
      </c>
      <c r="N55" s="37">
        <f t="shared" ref="N55:O55" si="60">C55+L55</f>
        <v>132</v>
      </c>
      <c r="O55" s="37">
        <f t="shared" si="60"/>
        <v>13</v>
      </c>
      <c r="P55" s="49" t="s">
        <v>57</v>
      </c>
      <c r="Q55" s="49" t="s">
        <v>57</v>
      </c>
      <c r="R55" s="49" t="s">
        <v>57</v>
      </c>
      <c r="S55" s="51">
        <f t="shared" si="4"/>
        <v>12</v>
      </c>
      <c r="T55" s="52">
        <f t="shared" si="5"/>
        <v>0</v>
      </c>
      <c r="U55" s="52"/>
      <c r="V55" s="51">
        <f t="shared" si="6"/>
        <v>0</v>
      </c>
      <c r="W55" s="52">
        <f t="shared" si="7"/>
        <v>-5</v>
      </c>
      <c r="X55" s="35">
        <f t="shared" si="12"/>
        <v>51</v>
      </c>
      <c r="Y55" s="35" t="str">
        <f t="shared" si="8"/>
        <v>Y</v>
      </c>
      <c r="Z55" s="19" t="str">
        <f t="shared" si="9"/>
        <v/>
      </c>
    </row>
    <row r="56">
      <c r="A56" s="35">
        <f t="shared" si="10"/>
        <v>52</v>
      </c>
      <c r="B56" s="36" t="s">
        <v>129</v>
      </c>
      <c r="C56" s="37">
        <v>117.0</v>
      </c>
      <c r="D56" s="37">
        <v>9.0</v>
      </c>
      <c r="E56" s="40">
        <f t="shared" si="2"/>
        <v>10.125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126</v>
      </c>
      <c r="O56" s="37">
        <f t="shared" si="61"/>
        <v>9</v>
      </c>
      <c r="P56" s="49" t="s">
        <v>57</v>
      </c>
      <c r="Q56" s="49" t="s">
        <v>57</v>
      </c>
      <c r="R56" s="49" t="s">
        <v>57</v>
      </c>
      <c r="S56" s="51">
        <f t="shared" si="4"/>
        <v>8</v>
      </c>
      <c r="T56" s="52">
        <f t="shared" si="5"/>
        <v>0</v>
      </c>
      <c r="U56" s="52"/>
      <c r="V56" s="51">
        <f t="shared" si="6"/>
        <v>4</v>
      </c>
      <c r="W56" s="52">
        <f t="shared" si="7"/>
        <v>2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116</v>
      </c>
      <c r="C57" s="37">
        <v>116.0</v>
      </c>
      <c r="D57" s="37">
        <v>8.0</v>
      </c>
      <c r="E57" s="40">
        <f t="shared" si="2"/>
        <v>9.666666667</v>
      </c>
      <c r="F57" s="90">
        <v>1.0</v>
      </c>
      <c r="G57" s="91">
        <v>11.0</v>
      </c>
      <c r="H57" s="92">
        <v>0.0</v>
      </c>
      <c r="I57" s="91">
        <v>1.0</v>
      </c>
      <c r="J57" s="91">
        <v>2.0</v>
      </c>
      <c r="K57" s="91">
        <v>6.0</v>
      </c>
      <c r="L57" s="93">
        <v>9.0</v>
      </c>
      <c r="M57" s="91">
        <v>0.0</v>
      </c>
      <c r="N57" s="37">
        <f t="shared" ref="N57:O57" si="62">C57+L57</f>
        <v>125</v>
      </c>
      <c r="O57" s="37">
        <f t="shared" si="62"/>
        <v>8</v>
      </c>
      <c r="P57" s="49" t="s">
        <v>57</v>
      </c>
      <c r="Q57" s="49" t="s">
        <v>57</v>
      </c>
      <c r="R57" s="49" t="s">
        <v>57</v>
      </c>
      <c r="S57" s="51">
        <f t="shared" si="4"/>
        <v>12</v>
      </c>
      <c r="T57" s="52">
        <f t="shared" si="5"/>
        <v>0</v>
      </c>
      <c r="U57" s="52"/>
      <c r="V57" s="51">
        <f t="shared" si="6"/>
        <v>0</v>
      </c>
      <c r="W57" s="52">
        <f t="shared" si="7"/>
        <v>-10</v>
      </c>
      <c r="X57" s="35">
        <f t="shared" si="12"/>
        <v>53</v>
      </c>
      <c r="Y57" s="35" t="str">
        <f t="shared" si="8"/>
        <v>Y</v>
      </c>
      <c r="Z57" s="19" t="str">
        <f t="shared" si="9"/>
        <v/>
      </c>
    </row>
    <row r="58">
      <c r="A58" s="35">
        <f t="shared" si="10"/>
        <v>54</v>
      </c>
      <c r="B58" s="36" t="s">
        <v>152</v>
      </c>
      <c r="C58" s="37">
        <v>116.0</v>
      </c>
      <c r="D58" s="37">
        <v>8.0</v>
      </c>
      <c r="E58" s="40">
        <f t="shared" si="2"/>
        <v>10.14285714</v>
      </c>
      <c r="F58" s="90">
        <v>1.0</v>
      </c>
      <c r="G58" s="91">
        <v>8.0</v>
      </c>
      <c r="H58" s="92">
        <v>0.0</v>
      </c>
      <c r="I58" s="91">
        <v>0.0</v>
      </c>
      <c r="J58" s="91">
        <v>6.0</v>
      </c>
      <c r="K58" s="91">
        <v>1.0</v>
      </c>
      <c r="L58" s="93">
        <v>7.0</v>
      </c>
      <c r="M58" s="91">
        <v>1.0</v>
      </c>
      <c r="N58" s="37">
        <f t="shared" ref="N58:O58" si="63">C58+L58</f>
        <v>123</v>
      </c>
      <c r="O58" s="37">
        <f t="shared" si="63"/>
        <v>9</v>
      </c>
      <c r="P58" s="49" t="s">
        <v>57</v>
      </c>
      <c r="Q58" s="49" t="s">
        <v>57</v>
      </c>
      <c r="R58" s="49" t="s">
        <v>57</v>
      </c>
      <c r="S58" s="51">
        <f t="shared" si="4"/>
        <v>7</v>
      </c>
      <c r="T58" s="52">
        <f t="shared" si="5"/>
        <v>0</v>
      </c>
      <c r="U58" s="52"/>
      <c r="V58" s="51">
        <f t="shared" si="6"/>
        <v>5</v>
      </c>
      <c r="W58" s="52">
        <f t="shared" si="7"/>
        <v>1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100</v>
      </c>
      <c r="C59" s="37">
        <v>116.0</v>
      </c>
      <c r="D59" s="37">
        <v>6.0</v>
      </c>
      <c r="E59" s="40">
        <f t="shared" si="2"/>
        <v>11.66666667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125</v>
      </c>
      <c r="O59" s="37">
        <f t="shared" si="64"/>
        <v>6</v>
      </c>
      <c r="P59" s="49" t="s">
        <v>57</v>
      </c>
      <c r="Q59" s="49" t="s">
        <v>57</v>
      </c>
      <c r="R59" s="49" t="s">
        <v>57</v>
      </c>
      <c r="S59" s="51">
        <f t="shared" si="4"/>
        <v>3</v>
      </c>
      <c r="T59" s="52">
        <f t="shared" si="5"/>
        <v>0</v>
      </c>
      <c r="U59" s="52"/>
      <c r="V59" s="51">
        <f t="shared" si="6"/>
        <v>9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145</v>
      </c>
      <c r="C60" s="37">
        <v>112.0</v>
      </c>
      <c r="D60" s="37">
        <v>10.0</v>
      </c>
      <c r="E60" s="40">
        <f t="shared" si="2"/>
        <v>9.5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121</v>
      </c>
      <c r="O60" s="37">
        <f t="shared" si="65"/>
        <v>10</v>
      </c>
      <c r="P60" s="49" t="s">
        <v>57</v>
      </c>
      <c r="Q60" s="49" t="s">
        <v>57</v>
      </c>
      <c r="R60" s="49" t="s">
        <v>57</v>
      </c>
      <c r="S60" s="51">
        <f t="shared" si="4"/>
        <v>8</v>
      </c>
      <c r="T60" s="52">
        <f t="shared" si="5"/>
        <v>0</v>
      </c>
      <c r="U60" s="52"/>
      <c r="V60" s="51">
        <f t="shared" si="6"/>
        <v>4</v>
      </c>
      <c r="W60" s="52">
        <f t="shared" si="7"/>
        <v>7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146</v>
      </c>
      <c r="C61" s="37">
        <v>112.0</v>
      </c>
      <c r="D61" s="37">
        <v>3.0</v>
      </c>
      <c r="E61" s="40">
        <f t="shared" si="2"/>
        <v>9</v>
      </c>
      <c r="F61" s="90">
        <v>1.0</v>
      </c>
      <c r="G61" s="91">
        <v>8.0</v>
      </c>
      <c r="H61" s="92">
        <v>0.0</v>
      </c>
      <c r="I61" s="91">
        <v>6.0</v>
      </c>
      <c r="J61" s="91">
        <v>0.0</v>
      </c>
      <c r="K61" s="91">
        <v>1.0</v>
      </c>
      <c r="L61" s="93">
        <v>7.0</v>
      </c>
      <c r="M61" s="91">
        <v>1.0</v>
      </c>
      <c r="N61" s="37">
        <f t="shared" ref="N61:O61" si="66">C61+L61</f>
        <v>119</v>
      </c>
      <c r="O61" s="37">
        <f t="shared" si="66"/>
        <v>4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1</v>
      </c>
      <c r="U61" s="52"/>
      <c r="V61" s="51">
        <f t="shared" si="6"/>
        <v>8</v>
      </c>
      <c r="W61" s="52">
        <f t="shared" si="7"/>
        <v>5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136</v>
      </c>
      <c r="C62" s="37">
        <v>110.0</v>
      </c>
      <c r="D62" s="37">
        <v>5.0</v>
      </c>
      <c r="E62" s="40">
        <f t="shared" si="2"/>
        <v>9.333333333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119</v>
      </c>
      <c r="O62" s="37">
        <f t="shared" si="67"/>
        <v>5</v>
      </c>
      <c r="P62" s="49" t="s">
        <v>57</v>
      </c>
      <c r="Q62" s="49" t="s">
        <v>57</v>
      </c>
      <c r="R62" s="49" t="s">
        <v>57</v>
      </c>
      <c r="S62" s="51">
        <f t="shared" si="4"/>
        <v>6</v>
      </c>
      <c r="T62" s="52">
        <f t="shared" si="5"/>
        <v>0</v>
      </c>
      <c r="U62" s="52"/>
      <c r="V62" s="51">
        <f t="shared" si="6"/>
        <v>6</v>
      </c>
      <c r="W62" s="52">
        <f t="shared" si="7"/>
        <v>-2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70</v>
      </c>
      <c r="C63" s="37">
        <v>109.0</v>
      </c>
      <c r="D63" s="37">
        <v>5.0</v>
      </c>
      <c r="E63" s="40">
        <f t="shared" si="2"/>
        <v>8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118</v>
      </c>
      <c r="O63" s="37">
        <f t="shared" si="68"/>
        <v>5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1</v>
      </c>
      <c r="U63" s="52"/>
      <c r="V63" s="51">
        <f t="shared" si="6"/>
        <v>8</v>
      </c>
      <c r="W63" s="52">
        <f t="shared" si="7"/>
        <v>-2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125</v>
      </c>
      <c r="C64" s="37">
        <v>109.0</v>
      </c>
      <c r="D64" s="37">
        <v>3.0</v>
      </c>
      <c r="E64" s="40">
        <f t="shared" si="2"/>
        <v>10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118</v>
      </c>
      <c r="O64" s="37">
        <f t="shared" si="69"/>
        <v>3</v>
      </c>
      <c r="P64" s="49" t="s">
        <v>57</v>
      </c>
      <c r="Q64" s="49" t="s">
        <v>57</v>
      </c>
      <c r="R64" s="49" t="s">
        <v>57</v>
      </c>
      <c r="S64" s="51">
        <f t="shared" si="4"/>
        <v>1</v>
      </c>
      <c r="T64" s="52">
        <f t="shared" si="5"/>
        <v>0</v>
      </c>
      <c r="U64" s="52"/>
      <c r="V64" s="51">
        <f t="shared" si="6"/>
        <v>11</v>
      </c>
      <c r="W64" s="52">
        <f t="shared" si="7"/>
        <v>-2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78</v>
      </c>
      <c r="C65" s="37">
        <v>109.0</v>
      </c>
      <c r="D65" s="37">
        <v>2.0</v>
      </c>
      <c r="E65" s="40">
        <f t="shared" si="2"/>
        <v>6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118</v>
      </c>
      <c r="O65" s="37">
        <f t="shared" si="70"/>
        <v>2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1</v>
      </c>
      <c r="U65" s="52"/>
      <c r="V65" s="51">
        <f t="shared" si="6"/>
        <v>10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148</v>
      </c>
      <c r="C66" s="37">
        <v>108.0</v>
      </c>
      <c r="D66" s="37">
        <v>3.0</v>
      </c>
      <c r="E66" s="40">
        <f t="shared" si="2"/>
        <v>9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117</v>
      </c>
      <c r="O66" s="37">
        <f t="shared" si="71"/>
        <v>3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11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149</v>
      </c>
      <c r="C67" s="37">
        <v>107.0</v>
      </c>
      <c r="D67" s="37">
        <v>7.0</v>
      </c>
      <c r="E67" s="40">
        <f t="shared" si="2"/>
        <v>8.833333333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116</v>
      </c>
      <c r="O67" s="37">
        <f t="shared" si="72"/>
        <v>7</v>
      </c>
      <c r="P67" s="49" t="s">
        <v>57</v>
      </c>
      <c r="Q67" s="49" t="s">
        <v>57</v>
      </c>
      <c r="R67" s="49" t="s">
        <v>57</v>
      </c>
      <c r="S67" s="51">
        <f t="shared" si="4"/>
        <v>6</v>
      </c>
      <c r="T67" s="52">
        <f t="shared" si="5"/>
        <v>0</v>
      </c>
      <c r="U67" s="52"/>
      <c r="V67" s="51">
        <f t="shared" si="6"/>
        <v>6</v>
      </c>
      <c r="W67" s="52">
        <f t="shared" si="7"/>
        <v>-2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54</v>
      </c>
      <c r="C68" s="37">
        <v>107.0</v>
      </c>
      <c r="D68" s="37">
        <v>2.0</v>
      </c>
      <c r="E68" s="40">
        <f t="shared" si="2"/>
        <v>8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116</v>
      </c>
      <c r="O68" s="37">
        <f t="shared" si="73"/>
        <v>2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11</v>
      </c>
      <c r="W68" s="52">
        <f t="shared" si="7"/>
        <v>7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154</v>
      </c>
      <c r="C69" s="37">
        <v>105.0</v>
      </c>
      <c r="D69" s="37">
        <v>4.0</v>
      </c>
      <c r="E69" s="40">
        <f t="shared" si="2"/>
        <v>8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114</v>
      </c>
      <c r="O69" s="37">
        <f t="shared" si="74"/>
        <v>4</v>
      </c>
      <c r="P69" s="49" t="s">
        <v>57</v>
      </c>
      <c r="Q69" s="49" t="s">
        <v>57</v>
      </c>
      <c r="R69" s="49" t="s">
        <v>57</v>
      </c>
      <c r="S69" s="51">
        <f t="shared" si="4"/>
        <v>3</v>
      </c>
      <c r="T69" s="52">
        <f t="shared" si="5"/>
        <v>0</v>
      </c>
      <c r="U69" s="52"/>
      <c r="V69" s="51">
        <f t="shared" si="6"/>
        <v>9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106</v>
      </c>
      <c r="C70" s="37">
        <v>105.0</v>
      </c>
      <c r="D70" s="37">
        <v>1.0</v>
      </c>
      <c r="E70" s="40">
        <f t="shared" si="2"/>
        <v>6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114</v>
      </c>
      <c r="O70" s="37">
        <f t="shared" si="75"/>
        <v>1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11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133</v>
      </c>
      <c r="C71" s="37">
        <v>104.0</v>
      </c>
      <c r="D71" s="37">
        <v>3.0</v>
      </c>
      <c r="E71" s="40">
        <f t="shared" si="2"/>
        <v>8.2</v>
      </c>
      <c r="F71" s="90">
        <v>1.0</v>
      </c>
      <c r="G71" s="91">
        <v>8.0</v>
      </c>
      <c r="H71" s="92">
        <v>0.0</v>
      </c>
      <c r="I71" s="91">
        <v>0.0</v>
      </c>
      <c r="J71" s="91">
        <v>0.0</v>
      </c>
      <c r="K71" s="91">
        <v>6.0</v>
      </c>
      <c r="L71" s="93">
        <v>6.0</v>
      </c>
      <c r="M71" s="91">
        <v>1.0</v>
      </c>
      <c r="N71" s="37">
        <f t="shared" ref="N71:O71" si="76">C71+L71</f>
        <v>110</v>
      </c>
      <c r="O71" s="37">
        <f t="shared" si="76"/>
        <v>4</v>
      </c>
      <c r="P71" s="49" t="s">
        <v>57</v>
      </c>
      <c r="Q71" s="49" t="s">
        <v>57</v>
      </c>
      <c r="R71" s="49" t="s">
        <v>57</v>
      </c>
      <c r="S71" s="51">
        <f t="shared" si="4"/>
        <v>5</v>
      </c>
      <c r="T71" s="52">
        <f t="shared" si="5"/>
        <v>0</v>
      </c>
      <c r="U71" s="52"/>
      <c r="V71" s="51">
        <f t="shared" si="6"/>
        <v>7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103.0</v>
      </c>
      <c r="D72" s="37">
        <v>6.0</v>
      </c>
      <c r="E72" s="40">
        <f t="shared" si="2"/>
        <v>8.375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112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4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73</v>
      </c>
      <c r="C73" s="37">
        <v>103.0</v>
      </c>
      <c r="D73" s="37">
        <v>2.0</v>
      </c>
      <c r="E73" s="40">
        <f t="shared" si="2"/>
        <v>6.5</v>
      </c>
      <c r="F73" s="90">
        <v>2.0</v>
      </c>
      <c r="G73" s="91">
        <v>8.0</v>
      </c>
      <c r="H73" s="92">
        <v>0.0</v>
      </c>
      <c r="I73" s="91">
        <v>6.0</v>
      </c>
      <c r="J73" s="91">
        <v>6.0</v>
      </c>
      <c r="K73" s="91">
        <v>6.0</v>
      </c>
      <c r="L73" s="93">
        <v>18.0</v>
      </c>
      <c r="M73" s="91">
        <v>3.0</v>
      </c>
      <c r="N73" s="37">
        <f t="shared" ref="N73:O73" si="78">C73+L73</f>
        <v>121</v>
      </c>
      <c r="O73" s="37">
        <f t="shared" si="78"/>
        <v>5</v>
      </c>
      <c r="P73" s="49" t="s">
        <v>57</v>
      </c>
      <c r="Q73" s="49" t="s">
        <v>57</v>
      </c>
      <c r="R73" s="49" t="s">
        <v>57</v>
      </c>
      <c r="S73" s="51">
        <f t="shared" si="4"/>
        <v>2</v>
      </c>
      <c r="T73" s="52">
        <f t="shared" si="5"/>
        <v>0</v>
      </c>
      <c r="U73" s="52"/>
      <c r="V73" s="51">
        <f t="shared" si="6"/>
        <v>10</v>
      </c>
      <c r="W73" s="52">
        <f t="shared" si="7"/>
        <v>-1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124</v>
      </c>
      <c r="C74" s="37">
        <v>101.0</v>
      </c>
      <c r="D74" s="37">
        <v>1.0</v>
      </c>
      <c r="E74" s="40">
        <f t="shared" si="2"/>
        <v>2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110</v>
      </c>
      <c r="O74" s="37">
        <f t="shared" si="79"/>
        <v>1</v>
      </c>
      <c r="P74" s="49" t="s">
        <v>57</v>
      </c>
      <c r="Q74" s="49" t="s">
        <v>57</v>
      </c>
      <c r="R74" s="49" t="s">
        <v>57</v>
      </c>
      <c r="S74" s="51">
        <f t="shared" si="4"/>
        <v>1</v>
      </c>
      <c r="T74" s="52">
        <f t="shared" si="5"/>
        <v>0</v>
      </c>
      <c r="U74" s="52"/>
      <c r="V74" s="51">
        <f t="shared" si="6"/>
        <v>11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141</v>
      </c>
      <c r="C75" s="37">
        <v>99.0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108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12</v>
      </c>
      <c r="W75" s="52">
        <f t="shared" si="7"/>
        <v>-1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99.0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108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12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99.0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108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12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99.0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108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11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92.0</v>
      </c>
      <c r="D79" s="37">
        <v>1.0</v>
      </c>
      <c r="E79" s="40">
        <f t="shared" si="2"/>
        <v>5.8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101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0</v>
      </c>
      <c r="U79" s="52"/>
      <c r="V79" s="51">
        <f t="shared" si="6"/>
        <v>7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03/21/26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desc"",0)"),"Jaya Sogata")</f>
        <v>Jaya Sogata</v>
      </c>
      <c r="C91" s="122">
        <f>IFERROR(__xludf.DUMMYFUNCTION("""COMPUTED_VALUE"""),21.0)</f>
        <v>21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IFERROR(__xludf.DUMMYFUNCTION("""COMPUTED_VALUE"""),"Pavan Akkimsetty")</f>
        <v>Pavan Akkimsetty</v>
      </c>
      <c r="C92" s="122">
        <f>IFERROR(__xludf.DUMMYFUNCTION("""COMPUTED_VALUE"""),19.0)</f>
        <v>19</v>
      </c>
      <c r="D92" s="122">
        <f>IFERROR(__xludf.DUMMYFUNCTION("""COMPUTED_VALUE"""),2.0)</f>
        <v>2</v>
      </c>
      <c r="E92" s="122">
        <f>IFERROR(__xludf.DUMMYFUNCTION("""COMPUTED_VALUE"""),9.0)</f>
        <v>9</v>
      </c>
      <c r="F92" s="5"/>
    </row>
    <row r="93">
      <c r="A93" s="5"/>
      <c r="B93" s="36" t="str">
        <f>IFERROR(__xludf.DUMMYFUNCTION("""COMPUTED_VALUE"""),"Erik Hoeckmann")</f>
        <v>Erik Hoeckmann</v>
      </c>
      <c r="C93" s="122">
        <f>IFERROR(__xludf.DUMMYFUNCTION("""COMPUTED_VALUE"""),19.0)</f>
        <v>19</v>
      </c>
      <c r="D93" s="122">
        <f>IFERROR(__xludf.DUMMYFUNCTION("""COMPUTED_VALUE"""),1.0)</f>
        <v>1</v>
      </c>
      <c r="E93" s="122">
        <f>IFERROR(__xludf.DUMMYFUNCTION("""COMPUTED_VALUE"""),2.0)</f>
        <v>2</v>
      </c>
      <c r="F93" s="5"/>
    </row>
    <row r="94">
      <c r="A94" s="5"/>
      <c r="B94" s="36" t="str">
        <f>IFERROR(__xludf.DUMMYFUNCTION("""COMPUTED_VALUE"""),"Eric Pan")</f>
        <v>Eric Pan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IFERROR(__xludf.DUMMYFUNCTION("""COMPUTED_VALUE"""),4.0)</f>
        <v>4</v>
      </c>
      <c r="F94" s="5"/>
    </row>
    <row r="95">
      <c r="A95" s="5"/>
      <c r="B95" s="36" t="str">
        <f>IFERROR(__xludf.DUMMYFUNCTION("""COMPUTED_VALUE"""),"Adrian Tay")</f>
        <v>Adrian Tay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IFERROR(__xludf.DUMMYFUNCTION("""COMPUTED_VALUE"""),6.0)</f>
        <v>6</v>
      </c>
      <c r="F95" s="5"/>
    </row>
    <row r="96">
      <c r="A96" s="5"/>
      <c r="B96" s="36" t="str">
        <f>IFERROR(__xludf.DUMMYFUNCTION("""COMPUTED_VALUE"""),"Jordan Tatang")</f>
        <v>Jordan Tatang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IFERROR(__xludf.DUMMYFUNCTION("""COMPUTED_VALUE"""),8.0)</f>
        <v>8</v>
      </c>
      <c r="F96" s="5"/>
    </row>
    <row r="97">
      <c r="A97" s="5"/>
      <c r="B97" s="36" t="str">
        <f>IFERROR(__xludf.DUMMYFUNCTION("""COMPUTED_VALUE"""),"Nicole Ni")</f>
        <v>Nicole Ni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IFERROR(__xludf.DUMMYFUNCTION("""COMPUTED_VALUE"""),10.0)</f>
        <v>10</v>
      </c>
      <c r="F97" s="5"/>
    </row>
    <row r="98">
      <c r="A98" s="5"/>
      <c r="B98" s="36" t="str">
        <f>IFERROR(__xludf.DUMMYFUNCTION("""COMPUTED_VALUE"""),"Jim Miao")</f>
        <v>Jim Miao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IFERROR(__xludf.DUMMYFUNCTION("""COMPUTED_VALUE"""),9.0)</f>
        <v>9</v>
      </c>
      <c r="F98" s="5"/>
    </row>
    <row r="99">
      <c r="A99" s="5"/>
      <c r="B99" s="36" t="str">
        <f>IFERROR(__xludf.DUMMYFUNCTION("""COMPUTED_VALUE"""),"Ethan Gu")</f>
        <v>Ethan Gu</v>
      </c>
      <c r="C99" s="122">
        <f>IFERROR(__xludf.DUMMYFUNCTION("""COMPUTED_VALUE"""),18.0)</f>
        <v>18</v>
      </c>
      <c r="D99" s="122">
        <f>IFERROR(__xludf.DUMMYFUNCTION("""COMPUTED_VALUE"""),1.0)</f>
        <v>1</v>
      </c>
      <c r="E99" s="122">
        <f>IFERROR(__xludf.DUMMYFUNCTION("""COMPUTED_VALUE"""),2.0)</f>
        <v>2</v>
      </c>
      <c r="F99" s="5"/>
    </row>
    <row r="100">
      <c r="A100" s="5"/>
      <c r="B100" s="36" t="str">
        <f>IFERROR(__xludf.DUMMYFUNCTION("""COMPUTED_VALUE"""),"Scott Li")</f>
        <v>Scott Li</v>
      </c>
      <c r="C100" s="122">
        <f>IFERROR(__xludf.DUMMYFUNCTION("""COMPUTED_VALUE"""),18.0)</f>
        <v>18</v>
      </c>
      <c r="D100" s="122">
        <f>IFERROR(__xludf.DUMMYFUNCTION("""COMPUTED_VALUE"""),1.0)</f>
        <v>1</v>
      </c>
      <c r="E100" s="122">
        <f>IFERROR(__xludf.DUMMYFUNCTION("""COMPUTED_VALUE"""),2.0)</f>
        <v>2</v>
      </c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10"")"),"Jordan Tatang")</f>
        <v>Jordan Tatang</v>
      </c>
      <c r="C110" s="122">
        <f>IFERROR(__xludf.DUMMYFUNCTION("""COMPUTED_VALUE"""),12.0)</f>
        <v>12</v>
      </c>
      <c r="D110" s="122">
        <f t="shared" ref="D110:D119" si="85">VLOOKUP(B110,indirect($AC$2&amp;"!B$5:X$79"),23, false)</f>
        <v>44</v>
      </c>
      <c r="E110" s="122">
        <f t="shared" ref="E110:E119" si="86">VLOOKUP(B110,B$5:X$79,23, false)</f>
        <v>32</v>
      </c>
      <c r="F110" s="122">
        <f t="shared" ref="F110:F119" si="87">VLOOKUP(B110,indirect($AC$2&amp;"!B$5:U$79"),11, false)</f>
        <v>18</v>
      </c>
      <c r="G110" s="122">
        <f t="shared" ref="G110:G119" si="88">VLOOKUP(B110,indirect($AC$2&amp;"!B$5:U$79"),6, false)</f>
        <v>8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IFERROR(__xludf.DUMMYFUNCTION("""COMPUTED_VALUE"""),"Eric Pan")</f>
        <v>Eric Pan</v>
      </c>
      <c r="C111" s="122">
        <f>IFERROR(__xludf.DUMMYFUNCTION("""COMPUTED_VALUE"""),10.0)</f>
        <v>10</v>
      </c>
      <c r="D111" s="122">
        <f t="shared" si="85"/>
        <v>26</v>
      </c>
      <c r="E111" s="122">
        <f t="shared" si="86"/>
        <v>16</v>
      </c>
      <c r="F111" s="122">
        <f t="shared" si="87"/>
        <v>18</v>
      </c>
      <c r="G111" s="122">
        <f t="shared" si="88"/>
        <v>4</v>
      </c>
      <c r="L111" s="122" t="str">
        <f t="shared" si="89"/>
        <v>ok</v>
      </c>
    </row>
    <row r="112">
      <c r="A112" s="5"/>
      <c r="B112" s="36" t="str">
        <f>IFERROR(__xludf.DUMMYFUNCTION("""COMPUTED_VALUE"""),"Nicole Ni")</f>
        <v>Nicole Ni</v>
      </c>
      <c r="C112" s="122">
        <f>IFERROR(__xludf.DUMMYFUNCTION("""COMPUTED_VALUE"""),10.0)</f>
        <v>10</v>
      </c>
      <c r="D112" s="122">
        <f t="shared" si="85"/>
        <v>52</v>
      </c>
      <c r="E112" s="122">
        <f t="shared" si="86"/>
        <v>42</v>
      </c>
      <c r="F112" s="122">
        <f t="shared" si="87"/>
        <v>18</v>
      </c>
      <c r="G112" s="122">
        <f t="shared" si="88"/>
        <v>10</v>
      </c>
      <c r="L112" s="122" t="str">
        <f t="shared" si="89"/>
        <v>ok</v>
      </c>
    </row>
    <row r="113">
      <c r="A113" s="5"/>
      <c r="B113" s="36" t="str">
        <f>IFERROR(__xludf.DUMMYFUNCTION("""COMPUTED_VALUE"""),"Jaya Sogata")</f>
        <v>Jaya Sogata</v>
      </c>
      <c r="C113" s="122">
        <f>IFERROR(__xludf.DUMMYFUNCTION("""COMPUTED_VALUE"""),8.0)</f>
        <v>8</v>
      </c>
      <c r="D113" s="122">
        <f t="shared" si="85"/>
        <v>15</v>
      </c>
      <c r="E113" s="122">
        <f t="shared" si="86"/>
        <v>7</v>
      </c>
      <c r="F113" s="122">
        <f t="shared" si="87"/>
        <v>21</v>
      </c>
      <c r="G113" s="122">
        <f t="shared" si="88"/>
        <v>2</v>
      </c>
      <c r="L113" s="122" t="str">
        <f t="shared" si="89"/>
        <v>ok</v>
      </c>
    </row>
    <row r="114">
      <c r="A114" s="5"/>
      <c r="B114" s="36" t="str">
        <f>IFERROR(__xludf.DUMMYFUNCTION("""COMPUTED_VALUE"""),"Lloyd Sagar")</f>
        <v>Lloyd Sagar</v>
      </c>
      <c r="C114" s="122">
        <f>IFERROR(__xludf.DUMMYFUNCTION("""COMPUTED_VALUE"""),7.0)</f>
        <v>7</v>
      </c>
      <c r="D114" s="122">
        <f t="shared" si="85"/>
        <v>27</v>
      </c>
      <c r="E114" s="122">
        <f t="shared" si="86"/>
        <v>20</v>
      </c>
      <c r="F114" s="122">
        <f t="shared" si="87"/>
        <v>15</v>
      </c>
      <c r="G114" s="122">
        <f t="shared" si="88"/>
        <v>5</v>
      </c>
      <c r="L114" s="122" t="str">
        <f t="shared" si="89"/>
        <v>ok</v>
      </c>
    </row>
    <row r="115">
      <c r="A115" s="5"/>
      <c r="B115" s="36" t="str">
        <f>IFERROR(__xludf.DUMMYFUNCTION("""COMPUTED_VALUE"""),"Rajasekar Ramasamy")</f>
        <v>Rajasekar Ramasamy</v>
      </c>
      <c r="C115" s="122">
        <f>IFERROR(__xludf.DUMMYFUNCTION("""COMPUTED_VALUE"""),7.0)</f>
        <v>7</v>
      </c>
      <c r="D115" s="122">
        <f t="shared" si="85"/>
        <v>30</v>
      </c>
      <c r="E115" s="122">
        <f t="shared" si="86"/>
        <v>23</v>
      </c>
      <c r="F115" s="122">
        <f t="shared" si="87"/>
        <v>17</v>
      </c>
      <c r="G115" s="122">
        <f t="shared" si="88"/>
        <v>5</v>
      </c>
      <c r="L115" s="122" t="str">
        <f t="shared" si="89"/>
        <v>ok</v>
      </c>
    </row>
    <row r="116">
      <c r="A116" s="5"/>
      <c r="B116" s="36" t="str">
        <f>IFERROR(__xludf.DUMMYFUNCTION("""COMPUTED_VALUE"""),"Sandy Weyant")</f>
        <v>Sandy Weyant</v>
      </c>
      <c r="C116" s="122">
        <f>IFERROR(__xludf.DUMMYFUNCTION("""COMPUTED_VALUE"""),7.0)</f>
        <v>7</v>
      </c>
      <c r="D116" s="122">
        <f t="shared" si="85"/>
        <v>63</v>
      </c>
      <c r="E116" s="122">
        <f t="shared" si="86"/>
        <v>56</v>
      </c>
      <c r="F116" s="122">
        <f t="shared" si="87"/>
        <v>15</v>
      </c>
      <c r="G116" s="122">
        <f t="shared" si="88"/>
        <v>11</v>
      </c>
      <c r="L116" s="122" t="str">
        <f t="shared" si="89"/>
        <v>ok</v>
      </c>
    </row>
    <row r="117">
      <c r="A117" s="5"/>
      <c r="B117" s="36" t="str">
        <f>IFERROR(__xludf.DUMMYFUNCTION("""COMPUTED_VALUE"""),"Alejandro Mejia")</f>
        <v>Alejandro Mejia</v>
      </c>
      <c r="C117" s="122">
        <f>IFERROR(__xludf.DUMMYFUNCTION("""COMPUTED_VALUE"""),7.0)</f>
        <v>7</v>
      </c>
      <c r="D117" s="122">
        <f t="shared" si="85"/>
        <v>71</v>
      </c>
      <c r="E117" s="122">
        <f t="shared" si="86"/>
        <v>64</v>
      </c>
      <c r="F117" s="122">
        <f t="shared" si="87"/>
        <v>17</v>
      </c>
      <c r="G117" s="122">
        <f t="shared" si="88"/>
        <v>11</v>
      </c>
      <c r="L117" s="122" t="str">
        <f t="shared" si="89"/>
        <v>ok</v>
      </c>
    </row>
    <row r="118">
      <c r="A118" s="5"/>
      <c r="B118" s="36" t="str">
        <f>IFERROR(__xludf.DUMMYFUNCTION("""COMPUTED_VALUE"""),"Ruben Ron")</f>
        <v>Ruben Ron</v>
      </c>
      <c r="C118" s="122">
        <f>IFERROR(__xludf.DUMMYFUNCTION("""COMPUTED_VALUE"""),6.0)</f>
        <v>6</v>
      </c>
      <c r="D118" s="122">
        <f t="shared" si="85"/>
        <v>28</v>
      </c>
      <c r="E118" s="122">
        <f t="shared" si="86"/>
        <v>22</v>
      </c>
      <c r="F118" s="122">
        <f t="shared" si="87"/>
        <v>16</v>
      </c>
      <c r="G118" s="122">
        <f t="shared" si="88"/>
        <v>5</v>
      </c>
      <c r="L118" s="122" t="str">
        <f t="shared" si="89"/>
        <v>ok</v>
      </c>
    </row>
    <row r="119">
      <c r="A119" s="5"/>
      <c r="B119" s="36" t="str">
        <f>IFERROR(__xludf.DUMMYFUNCTION("""COMPUTED_VALUE"""),"Adrian Tay")</f>
        <v>Adrian Tay</v>
      </c>
      <c r="C119" s="122">
        <f>IFERROR(__xludf.DUMMYFUNCTION("""COMPUTED_VALUE"""),6.0)</f>
        <v>6</v>
      </c>
      <c r="D119" s="122">
        <f t="shared" si="85"/>
        <v>34</v>
      </c>
      <c r="E119" s="122">
        <f t="shared" si="86"/>
        <v>28</v>
      </c>
      <c r="F119" s="122">
        <f t="shared" si="87"/>
        <v>18</v>
      </c>
      <c r="G119" s="122">
        <f t="shared" si="88"/>
        <v>6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12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179</v>
      </c>
      <c r="D128" s="122">
        <f t="shared" si="90"/>
        <v>25</v>
      </c>
      <c r="E128" s="122">
        <f t="shared" si="90"/>
        <v>15.45454545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159</v>
      </c>
      <c r="D129" s="122">
        <f t="shared" si="91"/>
        <v>19</v>
      </c>
      <c r="E129" s="122">
        <f t="shared" si="91"/>
        <v>14.1</v>
      </c>
      <c r="F129" s="5"/>
    </row>
    <row r="130">
      <c r="A130" s="122">
        <f t="shared" ref="A130:E130" si="92">A7</f>
        <v>3</v>
      </c>
      <c r="B130" s="36" t="str">
        <f t="shared" si="92"/>
        <v>Pavan Akkimsetty</v>
      </c>
      <c r="C130" s="122">
        <f t="shared" si="92"/>
        <v>153</v>
      </c>
      <c r="D130" s="122">
        <f t="shared" si="92"/>
        <v>15</v>
      </c>
      <c r="E130" s="122">
        <f t="shared" si="92"/>
        <v>13.1</v>
      </c>
      <c r="F130" s="5"/>
    </row>
    <row r="131">
      <c r="A131" s="122">
        <f t="shared" ref="A131:E131" si="93">A8</f>
        <v>4</v>
      </c>
      <c r="B131" s="36" t="str">
        <f t="shared" si="93"/>
        <v>Rudy Tatang</v>
      </c>
      <c r="C131" s="122">
        <f t="shared" si="93"/>
        <v>152</v>
      </c>
      <c r="D131" s="122">
        <f t="shared" si="93"/>
        <v>17</v>
      </c>
      <c r="E131" s="122">
        <f t="shared" si="93"/>
        <v>13.88888889</v>
      </c>
      <c r="F131" s="5"/>
    </row>
    <row r="132">
      <c r="A132" s="122">
        <f t="shared" ref="A132:E132" si="94">A9</f>
        <v>5</v>
      </c>
      <c r="B132" s="36" t="str">
        <f t="shared" si="94"/>
        <v>Sandeep Kamalon</v>
      </c>
      <c r="C132" s="122">
        <f t="shared" si="94"/>
        <v>152</v>
      </c>
      <c r="D132" s="122">
        <f t="shared" si="94"/>
        <v>16</v>
      </c>
      <c r="E132" s="122">
        <f t="shared" si="94"/>
        <v>13.4</v>
      </c>
      <c r="F132" s="5"/>
    </row>
    <row r="133">
      <c r="A133" s="122">
        <f t="shared" ref="A133:E133" si="95">A10</f>
        <v>6</v>
      </c>
      <c r="B133" s="36" t="str">
        <f t="shared" si="95"/>
        <v>Jim Miao</v>
      </c>
      <c r="C133" s="122">
        <f t="shared" si="95"/>
        <v>150</v>
      </c>
      <c r="D133" s="122">
        <f t="shared" si="95"/>
        <v>14</v>
      </c>
      <c r="E133" s="122">
        <f t="shared" si="95"/>
        <v>13.66666667</v>
      </c>
      <c r="F133" s="5"/>
    </row>
    <row r="134">
      <c r="A134" s="122">
        <f t="shared" ref="A134:E134" si="96">A11</f>
        <v>7</v>
      </c>
      <c r="B134" s="36" t="str">
        <f t="shared" si="96"/>
        <v>Jaya Sogata</v>
      </c>
      <c r="C134" s="122">
        <f t="shared" si="96"/>
        <v>149</v>
      </c>
      <c r="D134" s="122">
        <f t="shared" si="96"/>
        <v>14</v>
      </c>
      <c r="E134" s="122">
        <f t="shared" si="96"/>
        <v>13.11111111</v>
      </c>
      <c r="F134" s="5"/>
    </row>
    <row r="135">
      <c r="A135" s="122">
        <f t="shared" ref="A135:E135" si="97">A12</f>
        <v>8</v>
      </c>
      <c r="B135" s="36" t="str">
        <f t="shared" si="97"/>
        <v>Frank Moon</v>
      </c>
      <c r="C135" s="122">
        <f t="shared" si="97"/>
        <v>148</v>
      </c>
      <c r="D135" s="122">
        <f t="shared" si="97"/>
        <v>16</v>
      </c>
      <c r="E135" s="122">
        <f t="shared" si="97"/>
        <v>12.33333333</v>
      </c>
      <c r="F135" s="5"/>
    </row>
    <row r="136">
      <c r="A136" s="122">
        <f t="shared" ref="A136:E136" si="98">A13</f>
        <v>9</v>
      </c>
      <c r="B136" s="36" t="str">
        <f t="shared" si="98"/>
        <v>Joe Luzzi</v>
      </c>
      <c r="C136" s="122">
        <f t="shared" si="98"/>
        <v>148</v>
      </c>
      <c r="D136" s="122">
        <f t="shared" si="98"/>
        <v>16</v>
      </c>
      <c r="E136" s="122">
        <f t="shared" si="98"/>
        <v>12.63636364</v>
      </c>
      <c r="F136" s="5"/>
    </row>
    <row r="137">
      <c r="A137" s="122">
        <f t="shared" ref="A137:E137" si="99">A14</f>
        <v>10</v>
      </c>
      <c r="B137" s="36" t="str">
        <f t="shared" si="99"/>
        <v>David Shin</v>
      </c>
      <c r="C137" s="122">
        <f t="shared" si="99"/>
        <v>147</v>
      </c>
      <c r="D137" s="122">
        <f t="shared" si="99"/>
        <v>15</v>
      </c>
      <c r="E137" s="122">
        <f t="shared" si="99"/>
        <v>12.9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ASC"")"),"Allen Zhang")</f>
        <v>Allen Zhang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IFERROR(__xludf.DUMMYFUNCTION("""COMPUTED_VALUE"""),"Coco Yan")</f>
        <v>Coco Yan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IFERROR(__xludf.DUMMYFUNCTION("""COMPUTED_VALUE"""),"Eric Tan")</f>
        <v>Eric Tan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IFERROR(__xludf.DUMMYFUNCTION("""COMPUTED_VALUE"""),"Frank Moon")</f>
        <v>Frank Moon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IFERROR(__xludf.DUMMYFUNCTION("""COMPUTED_VALUE"""),"Suleman Alidina")</f>
        <v>Suleman Alidina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IFERROR(__xludf.DUMMYFUNCTION("""COMPUTED_VALUE"""),"Wayne Liu")</f>
        <v>Wayne Liu</v>
      </c>
      <c r="C168" s="5"/>
      <c r="D168" s="5"/>
      <c r="E168" s="5"/>
      <c r="F168" s="5"/>
    </row>
    <row r="169">
      <c r="A169" s="122">
        <f t="shared" si="100"/>
        <v>0</v>
      </c>
      <c r="B169" s="36"/>
      <c r="C169" s="5"/>
      <c r="D169" s="5"/>
      <c r="E169" s="5"/>
      <c r="F169" s="5"/>
    </row>
    <row r="170">
      <c r="A170" s="122">
        <f t="shared" si="100"/>
        <v>0</v>
      </c>
      <c r="B170" s="36"/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03/21/26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IFERROR(__xludf.DUMMYFUNCTION("""COMPUTED_VALUE"""),4.0)</f>
        <v>4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IFERROR(__xludf.DUMMYFUNCTION("""COMPUTED_VALUE"""),16.0)</f>
        <v>16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IFERROR(__xludf.DUMMYFUNCTION("""COMPUTED_VALUE"""),6.0)</f>
        <v>6</v>
      </c>
      <c r="D251" s="132">
        <f>IFERROR(__xludf.DUMMYFUNCTION("""COMPUTED_VALUE"""),6.0)</f>
        <v>6</v>
      </c>
      <c r="E251" s="132">
        <f>IFERROR(__xludf.DUMMYFUNCTION("""COMPUTED_VALUE"""),2.0)</f>
        <v>2</v>
      </c>
      <c r="F251" s="132">
        <f>IFERROR(__xludf.DUMMYFUNCTION("""COMPUTED_VALUE"""),14.0)</f>
        <v>14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IFERROR(__xludf.DUMMYFUNCTION("""COMPUTED_VALUE"""),4.0)</f>
        <v>4</v>
      </c>
      <c r="D252" s="132">
        <f>IFERROR(__xludf.DUMMYFUNCTION("""COMPUTED_VALUE"""),0.0)</f>
        <v>0</v>
      </c>
      <c r="E252" s="132">
        <f>IFERROR(__xludf.DUMMYFUNCTION("""COMPUTED_VALUE"""),2.0)</f>
        <v>2</v>
      </c>
      <c r="F252" s="132">
        <f>IFERROR(__xludf.DUMMYFUNCTION("""COMPUTED_VALUE"""),6.0)</f>
        <v>6</v>
      </c>
      <c r="G252" s="132">
        <f>IFERROR(__xludf.DUMMYFUNCTION("""COMPUTED_VALUE"""),0.0)</f>
        <v>0</v>
      </c>
    </row>
    <row r="253">
      <c r="A253" s="122">
        <f>IFERROR(__xludf.DUMMYFUNCTION("""COMPUTED_VALUE"""),1.0)</f>
        <v>1</v>
      </c>
      <c r="B253" s="36" t="str">
        <f>IFERROR(__xludf.DUMMYFUNCTION("""COMPUTED_VALUE"""),"Frank Moon")</f>
        <v>Frank Moon</v>
      </c>
      <c r="C253" s="132">
        <f>IFERROR(__xludf.DUMMYFUNCTION("""COMPUTED_VALUE"""),6.0)</f>
        <v>6</v>
      </c>
      <c r="D253" s="132">
        <f>IFERROR(__xludf.DUMMYFUNCTION("""COMPUTED_VALUE"""),0.0)</f>
        <v>0</v>
      </c>
      <c r="E253" s="132">
        <f>IFERROR(__xludf.DUMMYFUNCTION("""COMPUTED_VALUE"""),6.0)</f>
        <v>6</v>
      </c>
      <c r="F253" s="132">
        <f>IFERROR(__xludf.DUMMYFUNCTION("""COMPUTED_VALUE"""),12.0)</f>
        <v>12</v>
      </c>
      <c r="G253" s="132">
        <f>IFERROR(__xludf.DUMMYFUNCTION("""COMPUTED_VALUE"""),2.0)</f>
        <v>2</v>
      </c>
    </row>
    <row r="254">
      <c r="A254" s="133">
        <f>IFERROR(__xludf.DUMMYFUNCTION("""COMPUTED_VALUE"""),2.0)</f>
        <v>2</v>
      </c>
      <c r="B254" s="134" t="str">
        <f>IFERROR(__xludf.DUMMYFUNCTION("""COMPUTED_VALUE"""),"Ethan Gu")</f>
        <v>Ethan Gu</v>
      </c>
      <c r="C254" s="135">
        <f>IFERROR(__xludf.DUMMYFUNCTION("""COMPUTED_VALUE"""),7.0)</f>
        <v>7</v>
      </c>
      <c r="D254" s="135">
        <f>IFERROR(__xludf.DUMMYFUNCTION("""COMPUTED_VALUE"""),6.0)</f>
        <v>6</v>
      </c>
      <c r="E254" s="135">
        <f>IFERROR(__xludf.DUMMYFUNCTION("""COMPUTED_VALUE"""),5.0)</f>
        <v>5</v>
      </c>
      <c r="F254" s="135">
        <f>IFERROR(__xludf.DUMMYFUNCTION("""COMPUTED_VALUE"""),18.0)</f>
        <v>18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IFERROR(__xludf.DUMMYFUNCTION("""COMPUTED_VALUE"""),"Erik Hoeckmann")</f>
        <v>Erik Hoeckmann</v>
      </c>
      <c r="C255" s="135">
        <f>IFERROR(__xludf.DUMMYFUNCTION("""COMPUTED_VALUE"""),6.0)</f>
        <v>6</v>
      </c>
      <c r="D255" s="135">
        <f>IFERROR(__xludf.DUMMYFUNCTION("""COMPUTED_VALUE"""),6.0)</f>
        <v>6</v>
      </c>
      <c r="E255" s="135">
        <f>IFERROR(__xludf.DUMMYFUNCTION("""COMPUTED_VALUE"""),7.0)</f>
        <v>7</v>
      </c>
      <c r="F255" s="135">
        <f>IFERROR(__xludf.DUMMYFUNCTION("""COMPUTED_VALUE"""),19.0)</f>
        <v>19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IFERROR(__xludf.DUMMYFUNCTION("""COMPUTED_VALUE"""),"Jaya Sogata")</f>
        <v>Jaya Sogata</v>
      </c>
      <c r="C256" s="135">
        <f>IFERROR(__xludf.DUMMYFUNCTION("""COMPUTED_VALUE"""),7.0)</f>
        <v>7</v>
      </c>
      <c r="D256" s="135">
        <f>IFERROR(__xludf.DUMMYFUNCTION("""COMPUTED_VALUE"""),7.0)</f>
        <v>7</v>
      </c>
      <c r="E256" s="135">
        <f>IFERROR(__xludf.DUMMYFUNCTION("""COMPUTED_VALUE"""),7.0)</f>
        <v>7</v>
      </c>
      <c r="F256" s="135">
        <f>IFERROR(__xludf.DUMMYFUNCTION("""COMPUTED_VALUE"""),21.0)</f>
        <v>21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IFERROR(__xludf.DUMMYFUNCTION("""COMPUTED_VALUE"""),"Scott Li")</f>
        <v>Scott Li</v>
      </c>
      <c r="C257" s="135">
        <f>IFERROR(__xludf.DUMMYFUNCTION("""COMPUTED_VALUE"""),6.0)</f>
        <v>6</v>
      </c>
      <c r="D257" s="135">
        <f>IFERROR(__xludf.DUMMYFUNCTION("""COMPUTED_VALUE"""),7.0)</f>
        <v>7</v>
      </c>
      <c r="E257" s="135">
        <f>IFERROR(__xludf.DUMMYFUNCTION("""COMPUTED_VALUE"""),5.0)</f>
        <v>5</v>
      </c>
      <c r="F257" s="135">
        <f>IFERROR(__xludf.DUMMYFUNCTION("""COMPUTED_VALUE"""),18.0)</f>
        <v>18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IFERROR(__xludf.DUMMYFUNCTION("""COMPUTED_VALUE"""),"Ted Shen")</f>
        <v>Ted Shen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IFERROR(__xludf.DUMMYFUNCTION("""COMPUTED_VALUE"""),2.0)</f>
        <v>2</v>
      </c>
      <c r="F258" s="132">
        <f>IFERROR(__xludf.DUMMYFUNCTION("""COMPUTED_VALUE"""),14.0)</f>
        <v>14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IFERROR(__xludf.DUMMYFUNCTION("""COMPUTED_VALUE"""),"Cid Macaraeg")</f>
        <v>Cid Macaraeg</v>
      </c>
      <c r="C259" s="132">
        <f>IFERROR(__xludf.DUMMYFUNCTION("""COMPUTED_VALUE"""),4.0)</f>
        <v>4</v>
      </c>
      <c r="D259" s="132">
        <f>IFERROR(__xludf.DUMMYFUNCTION("""COMPUTED_VALUE"""),2.0)</f>
        <v>2</v>
      </c>
      <c r="E259" s="132">
        <f>IFERROR(__xludf.DUMMYFUNCTION("""COMPUTED_VALUE"""),2.0)</f>
        <v>2</v>
      </c>
      <c r="F259" s="132">
        <f>IFERROR(__xludf.DUMMYFUNCTION("""COMPUTED_VALUE"""),8.0)</f>
        <v>8</v>
      </c>
      <c r="G259" s="132">
        <f>IFERROR(__xludf.DUMMYFUNCTION("""COMPUTED_VALUE"""),0.0)</f>
        <v>0</v>
      </c>
    </row>
    <row r="260">
      <c r="A260" s="122">
        <f>IFERROR(__xludf.DUMMYFUNCTION("""COMPUTED_VALUE"""),3.0)</f>
        <v>3</v>
      </c>
      <c r="B260" s="36" t="str">
        <f>IFERROR(__xludf.DUMMYFUNCTION("""COMPUTED_VALUE"""),"Allen Zhang")</f>
        <v>Allen Zhang</v>
      </c>
      <c r="C260" s="132">
        <f>IFERROR(__xludf.DUMMYFUNCTION("""COMPUTED_VALUE"""),6.0)</f>
        <v>6</v>
      </c>
      <c r="D260" s="132">
        <f>IFERROR(__xludf.DUMMYFUNCTION("""COMPUTED_VALUE"""),2.0)</f>
        <v>2</v>
      </c>
      <c r="E260" s="132">
        <f>IFERROR(__xludf.DUMMYFUNCTION("""COMPUTED_VALUE"""),6.0)</f>
        <v>6</v>
      </c>
      <c r="F260" s="132">
        <f>IFERROR(__xludf.DUMMYFUNCTION("""COMPUTED_VALUE"""),14.0)</f>
        <v>14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IFERROR(__xludf.DUMMYFUNCTION("""COMPUTED_VALUE"""),"Darren Wong")</f>
        <v>Darren Wong</v>
      </c>
      <c r="C261" s="132">
        <f>IFERROR(__xludf.DUMMYFUNCTION("""COMPUTED_VALUE"""),4.0)</f>
        <v>4</v>
      </c>
      <c r="D261" s="132">
        <f>IFERROR(__xludf.DUMMYFUNCTION("""COMPUTED_VALUE"""),6.0)</f>
        <v>6</v>
      </c>
      <c r="E261" s="132">
        <f>IFERROR(__xludf.DUMMYFUNCTION("""COMPUTED_VALUE"""),6.0)</f>
        <v>6</v>
      </c>
      <c r="F261" s="132">
        <f>IFERROR(__xludf.DUMMYFUNCTION("""COMPUTED_VALUE"""),16.0)</f>
        <v>16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IFERROR(__xludf.DUMMYFUNCTION("""COMPUTED_VALUE"""),"Herman Au")</f>
        <v>Herman Au</v>
      </c>
      <c r="C262" s="135">
        <f>IFERROR(__xludf.DUMMYFUNCTION("""COMPUTED_VALUE"""),4.0)</f>
        <v>4</v>
      </c>
      <c r="D262" s="135">
        <f>IFERROR(__xludf.DUMMYFUNCTION("""COMPUTED_VALUE"""),1.0)</f>
        <v>1</v>
      </c>
      <c r="E262" s="135">
        <f>IFERROR(__xludf.DUMMYFUNCTION("""COMPUTED_VALUE"""),6.0)</f>
        <v>6</v>
      </c>
      <c r="F262" s="135">
        <f>IFERROR(__xludf.DUMMYFUNCTION("""COMPUTED_VALUE"""),11.0)</f>
        <v>11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IFERROR(__xludf.DUMMYFUNCTION("""COMPUTED_VALUE"""),"Alex Hou")</f>
        <v>Alex Hou</v>
      </c>
      <c r="C263" s="135">
        <f>IFERROR(__xludf.DUMMYFUNCTION("""COMPUTED_VALUE"""),6.0)</f>
        <v>6</v>
      </c>
      <c r="D263" s="135">
        <f>IFERROR(__xludf.DUMMYFUNCTION("""COMPUTED_VALUE"""),1.0)</f>
        <v>1</v>
      </c>
      <c r="E263" s="135">
        <f>IFERROR(__xludf.DUMMYFUNCTION("""COMPUTED_VALUE"""),1.0)</f>
        <v>1</v>
      </c>
      <c r="F263" s="135">
        <f>IFERROR(__xludf.DUMMYFUNCTION("""COMPUTED_VALUE"""),8.0)</f>
        <v>8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IFERROR(__xludf.DUMMYFUNCTION("""COMPUTED_VALUE"""),"Manish Anand")</f>
        <v>Manish Anand</v>
      </c>
      <c r="C264" s="135">
        <f>IFERROR(__xludf.DUMMYFUNCTION("""COMPUTED_VALUE"""),4.0)</f>
        <v>4</v>
      </c>
      <c r="D264" s="135">
        <f>IFERROR(__xludf.DUMMYFUNCTION("""COMPUTED_VALUE"""),6.0)</f>
        <v>6</v>
      </c>
      <c r="E264" s="135">
        <f>IFERROR(__xludf.DUMMYFUNCTION("""COMPUTED_VALUE"""),1.0)</f>
        <v>1</v>
      </c>
      <c r="F264" s="135">
        <f>IFERROR(__xludf.DUMMYFUNCTION("""COMPUTED_VALUE"""),11.0)</f>
        <v>11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IFERROR(__xludf.DUMMYFUNCTION("""COMPUTED_VALUE"""),"Eric Pan")</f>
        <v>Eric Pan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IFERROR(__xludf.DUMMYFUNCTION("""COMPUTED_VALUE"""),6.0)</f>
        <v>6</v>
      </c>
      <c r="F265" s="135">
        <f>IFERROR(__xludf.DUMMYFUNCTION("""COMPUTED_VALUE"""),18.0)</f>
        <v>18</v>
      </c>
      <c r="G265" s="135">
        <f>IFERROR(__xludf.DUMMYFUNCTION("""COMPUTED_VALUE"""),3.0)</f>
        <v>3</v>
      </c>
    </row>
    <row r="266">
      <c r="A266" s="122">
        <f>IFERROR(__xludf.DUMMYFUNCTION("""COMPUTED_VALUE"""),5.0)</f>
        <v>5</v>
      </c>
      <c r="B266" s="36" t="str">
        <f>IFERROR(__xludf.DUMMYFUNCTION("""COMPUTED_VALUE"""),"Lloyd Sagar")</f>
        <v>Lloyd Sagar</v>
      </c>
      <c r="C266" s="132">
        <f>IFERROR(__xludf.DUMMYFUNCTION("""COMPUTED_VALUE"""),7.0)</f>
        <v>7</v>
      </c>
      <c r="D266" s="132">
        <f>IFERROR(__xludf.DUMMYFUNCTION("""COMPUTED_VALUE"""),2.0)</f>
        <v>2</v>
      </c>
      <c r="E266" s="132">
        <f>IFERROR(__xludf.DUMMYFUNCTION("""COMPUTED_VALUE"""),6.0)</f>
        <v>6</v>
      </c>
      <c r="F266" s="132">
        <f>IFERROR(__xludf.DUMMYFUNCTION("""COMPUTED_VALUE"""),15.0)</f>
        <v>15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IFERROR(__xludf.DUMMYFUNCTION("""COMPUTED_VALUE"""),"Ruben Ron")</f>
        <v>Ruben Ron</v>
      </c>
      <c r="C267" s="132">
        <f>IFERROR(__xludf.DUMMYFUNCTION("""COMPUTED_VALUE"""),7.0)</f>
        <v>7</v>
      </c>
      <c r="D267" s="132">
        <f>IFERROR(__xludf.DUMMYFUNCTION("""COMPUTED_VALUE"""),6.0)</f>
        <v>6</v>
      </c>
      <c r="E267" s="132">
        <f>IFERROR(__xludf.DUMMYFUNCTION("""COMPUTED_VALUE"""),3.0)</f>
        <v>3</v>
      </c>
      <c r="F267" s="132">
        <f>IFERROR(__xludf.DUMMYFUNCTION("""COMPUTED_VALUE"""),16.0)</f>
        <v>16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IFERROR(__xludf.DUMMYFUNCTION("""COMPUTED_VALUE"""),"Tina Hanson")</f>
        <v>Tina Hanson</v>
      </c>
      <c r="C268" s="132">
        <f>IFERROR(__xludf.DUMMYFUNCTION("""COMPUTED_VALUE"""),5.0)</f>
        <v>5</v>
      </c>
      <c r="D268" s="132">
        <f>IFERROR(__xludf.DUMMYFUNCTION("""COMPUTED_VALUE"""),2.0)</f>
        <v>2</v>
      </c>
      <c r="E268" s="132">
        <f>IFERROR(__xludf.DUMMYFUNCTION("""COMPUTED_VALUE"""),3.0)</f>
        <v>3</v>
      </c>
      <c r="F268" s="132">
        <f>IFERROR(__xludf.DUMMYFUNCTION("""COMPUTED_VALUE"""),10.0)</f>
        <v>10</v>
      </c>
      <c r="G268" s="132">
        <f>IFERROR(__xludf.DUMMYFUNCTION("""COMPUTED_VALUE"""),0.0)</f>
        <v>0</v>
      </c>
    </row>
    <row r="269">
      <c r="A269" s="122">
        <f>IFERROR(__xludf.DUMMYFUNCTION("""COMPUTED_VALUE"""),5.0)</f>
        <v>5</v>
      </c>
      <c r="B269" s="36" t="str">
        <f>IFERROR(__xludf.DUMMYFUNCTION("""COMPUTED_VALUE"""),"Rajasekar Ramasamy")</f>
        <v>Rajasekar Ramasamy</v>
      </c>
      <c r="C269" s="132">
        <f>IFERROR(__xludf.DUMMYFUNCTION("""COMPUTED_VALUE"""),5.0)</f>
        <v>5</v>
      </c>
      <c r="D269" s="132">
        <f>IFERROR(__xludf.DUMMYFUNCTION("""COMPUTED_VALUE"""),6.0)</f>
        <v>6</v>
      </c>
      <c r="E269" s="132">
        <f>IFERROR(__xludf.DUMMYFUNCTION("""COMPUTED_VALUE"""),6.0)</f>
        <v>6</v>
      </c>
      <c r="F269" s="132">
        <f>IFERROR(__xludf.DUMMYFUNCTION("""COMPUTED_VALUE"""),17.0)</f>
        <v>17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IFERROR(__xludf.DUMMYFUNCTION("""COMPUTED_VALUE"""),"Sean Chang")</f>
        <v>Sean Chang</v>
      </c>
      <c r="C270" s="135">
        <f>IFERROR(__xludf.DUMMYFUNCTION("""COMPUTED_VALUE"""),2.0)</f>
        <v>2</v>
      </c>
      <c r="D270" s="135">
        <f>IFERROR(__xludf.DUMMYFUNCTION("""COMPUTED_VALUE"""),6.0)</f>
        <v>6</v>
      </c>
      <c r="E270" s="135">
        <f>IFERROR(__xludf.DUMMYFUNCTION("""COMPUTED_VALUE"""),1.0)</f>
        <v>1</v>
      </c>
      <c r="F270" s="135">
        <f>IFERROR(__xludf.DUMMYFUNCTION("""COMPUTED_VALUE"""),9.0)</f>
        <v>9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IFERROR(__xludf.DUMMYFUNCTION("""COMPUTED_VALUE"""),"Adrian Tay")</f>
        <v>Adrian Tay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IFERROR(__xludf.DUMMYFUNCTION("""COMPUTED_VALUE"""),"Art Hui")</f>
        <v>Art Hui</v>
      </c>
      <c r="C272" s="135">
        <f>IFERROR(__xludf.DUMMYFUNCTION("""COMPUTED_VALUE"""),2.0)</f>
        <v>2</v>
      </c>
      <c r="D272" s="135">
        <f>IFERROR(__xludf.DUMMYFUNCTION("""COMPUTED_VALUE"""),4.0)</f>
        <v>4</v>
      </c>
      <c r="E272" s="135">
        <f>IFERROR(__xludf.DUMMYFUNCTION("""COMPUTED_VALUE"""),6.0)</f>
        <v>6</v>
      </c>
      <c r="F272" s="135">
        <f>IFERROR(__xludf.DUMMYFUNCTION("""COMPUTED_VALUE"""),12.0)</f>
        <v>12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IFERROR(__xludf.DUMMYFUNCTION("""COMPUTED_VALUE"""),"Vinotkumar Nagappan")</f>
        <v>Vinotkumar Nagappan</v>
      </c>
      <c r="C273" s="135">
        <f>IFERROR(__xludf.DUMMYFUNCTION("""COMPUTED_VALUE"""),6.0)</f>
        <v>6</v>
      </c>
      <c r="D273" s="135">
        <f>IFERROR(__xludf.DUMMYFUNCTION("""COMPUTED_VALUE"""),4.0)</f>
        <v>4</v>
      </c>
      <c r="E273" s="135">
        <f>IFERROR(__xludf.DUMMYFUNCTION("""COMPUTED_VALUE"""),1.0)</f>
        <v>1</v>
      </c>
      <c r="F273" s="135">
        <f>IFERROR(__xludf.DUMMYFUNCTION("""COMPUTED_VALUE"""),11.0)</f>
        <v>11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IFERROR(__xludf.DUMMYFUNCTION("""COMPUTED_VALUE"""),"Ramesh Bandaru")</f>
        <v>Ramesh Bandaru</v>
      </c>
      <c r="C274" s="132">
        <f>IFERROR(__xludf.DUMMYFUNCTION("""COMPUTED_VALUE"""),6.0)</f>
        <v>6</v>
      </c>
      <c r="D274" s="132">
        <f>IFERROR(__xludf.DUMMYFUNCTION("""COMPUTED_VALUE"""),6.0)</f>
        <v>6</v>
      </c>
      <c r="E274" s="132">
        <f>IFERROR(__xludf.DUMMYFUNCTION("""COMPUTED_VALUE"""),1.0)</f>
        <v>1</v>
      </c>
      <c r="F274" s="132">
        <f>IFERROR(__xludf.DUMMYFUNCTION("""COMPUTED_VALUE"""),13.0)</f>
        <v>13</v>
      </c>
      <c r="G274" s="132">
        <f>IFERROR(__xludf.DUMMYFUNCTION("""COMPUTED_VALUE"""),2.0)</f>
        <v>2</v>
      </c>
    </row>
    <row r="275">
      <c r="A275" s="122">
        <f>IFERROR(__xludf.DUMMYFUNCTION("""COMPUTED_VALUE"""),7.0)</f>
        <v>7</v>
      </c>
      <c r="B275" s="36" t="str">
        <f>IFERROR(__xludf.DUMMYFUNCTION("""COMPUTED_VALUE"""),"Luis Hsu")</f>
        <v>Luis Hsu</v>
      </c>
      <c r="C275" s="132">
        <f>IFERROR(__xludf.DUMMYFUNCTION("""COMPUTED_VALUE"""),2.0)</f>
        <v>2</v>
      </c>
      <c r="D275" s="132">
        <f>IFERROR(__xludf.DUMMYFUNCTION("""COMPUTED_VALUE"""),6.0)</f>
        <v>6</v>
      </c>
      <c r="E275" s="132">
        <f>IFERROR(__xludf.DUMMYFUNCTION("""COMPUTED_VALUE"""),6.0)</f>
        <v>6</v>
      </c>
      <c r="F275" s="132">
        <f>IFERROR(__xludf.DUMMYFUNCTION("""COMPUTED_VALUE"""),14.0)</f>
        <v>14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IFERROR(__xludf.DUMMYFUNCTION("""COMPUTED_VALUE"""),"Wayne Liu")</f>
        <v>Wayne Liu</v>
      </c>
      <c r="C276" s="132">
        <f>IFERROR(__xludf.DUMMYFUNCTION("""COMPUTED_VALUE"""),6.0)</f>
        <v>6</v>
      </c>
      <c r="D276" s="132">
        <f>IFERROR(__xludf.DUMMYFUNCTION("""COMPUTED_VALUE"""),1.0)</f>
        <v>1</v>
      </c>
      <c r="E276" s="132">
        <f>IFERROR(__xludf.DUMMYFUNCTION("""COMPUTED_VALUE"""),6.0)</f>
        <v>6</v>
      </c>
      <c r="F276" s="132">
        <f>IFERROR(__xludf.DUMMYFUNCTION("""COMPUTED_VALUE"""),13.0)</f>
        <v>13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IFERROR(__xludf.DUMMYFUNCTION("""COMPUTED_VALUE"""),"Eric Tan")</f>
        <v>Eric Tan</v>
      </c>
      <c r="C277" s="132">
        <f>IFERROR(__xludf.DUMMYFUNCTION("""COMPUTED_VALUE"""),2.0)</f>
        <v>2</v>
      </c>
      <c r="D277" s="132">
        <f>IFERROR(__xludf.DUMMYFUNCTION("""COMPUTED_VALUE"""),1.0)</f>
        <v>1</v>
      </c>
      <c r="E277" s="132">
        <f>IFERROR(__xludf.DUMMYFUNCTION("""COMPUTED_VALUE"""),1.0)</f>
        <v>1</v>
      </c>
      <c r="F277" s="132">
        <f>IFERROR(__xludf.DUMMYFUNCTION("""COMPUTED_VALUE"""),4.0)</f>
        <v>4</v>
      </c>
      <c r="G277" s="132">
        <f>IFERROR(__xludf.DUMMYFUNCTION("""COMPUTED_VALUE"""),0.0)</f>
        <v>0</v>
      </c>
    </row>
    <row r="278">
      <c r="A278" s="133">
        <f>IFERROR(__xludf.DUMMYFUNCTION("""COMPUTED_VALUE"""),8.0)</f>
        <v>8</v>
      </c>
      <c r="B278" s="134" t="str">
        <f>IFERROR(__xludf.DUMMYFUNCTION("""COMPUTED_VALUE"""),"Jordan Tatang")</f>
        <v>Jordan Tatang</v>
      </c>
      <c r="C278" s="135">
        <f>IFERROR(__xludf.DUMMYFUNCTION("""COMPUTED_VALUE"""),6.0)</f>
        <v>6</v>
      </c>
      <c r="D278" s="135">
        <f>IFERROR(__xludf.DUMMYFUNCTION("""COMPUTED_VALUE"""),6.0)</f>
        <v>6</v>
      </c>
      <c r="E278" s="135">
        <f>IFERROR(__xludf.DUMMYFUNCTION("""COMPUTED_VALUE"""),6.0)</f>
        <v>6</v>
      </c>
      <c r="F278" s="135">
        <f>IFERROR(__xludf.DUMMYFUNCTION("""COMPUTED_VALUE"""),18.0)</f>
        <v>18</v>
      </c>
      <c r="G278" s="135">
        <f>IFERROR(__xludf.DUMMYFUNCTION("""COMPUTED_VALUE"""),3.0)</f>
        <v>3</v>
      </c>
    </row>
    <row r="279">
      <c r="A279" s="133">
        <f>IFERROR(__xludf.DUMMYFUNCTION("""COMPUTED_VALUE"""),8.0)</f>
        <v>8</v>
      </c>
      <c r="B279" s="134" t="str">
        <f>IFERROR(__xludf.DUMMYFUNCTION("""COMPUTED_VALUE"""),"Coco Yan")</f>
        <v>Coco Yan</v>
      </c>
      <c r="C279" s="135">
        <f>IFERROR(__xludf.DUMMYFUNCTION("""COMPUTED_VALUE"""),6.0)</f>
        <v>6</v>
      </c>
      <c r="D279" s="135">
        <f>IFERROR(__xludf.DUMMYFUNCTION("""COMPUTED_VALUE"""),0.0)</f>
        <v>0</v>
      </c>
      <c r="E279" s="135">
        <f>IFERROR(__xludf.DUMMYFUNCTION("""COMPUTED_VALUE"""),2.0)</f>
        <v>2</v>
      </c>
      <c r="F279" s="135">
        <f>IFERROR(__xludf.DUMMYFUNCTION("""COMPUTED_VALUE"""),8.0)</f>
        <v>8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IFERROR(__xludf.DUMMYFUNCTION("""COMPUTED_VALUE"""),"Hongyuan Wen")</f>
        <v>Hongyuan Wen</v>
      </c>
      <c r="C280" s="135">
        <f>IFERROR(__xludf.DUMMYFUNCTION("""COMPUTED_VALUE"""),4.0)</f>
        <v>4</v>
      </c>
      <c r="D280" s="135">
        <f>IFERROR(__xludf.DUMMYFUNCTION("""COMPUTED_VALUE"""),0.0)</f>
        <v>0</v>
      </c>
      <c r="E280" s="135">
        <f>IFERROR(__xludf.DUMMYFUNCTION("""COMPUTED_VALUE"""),6.0)</f>
        <v>6</v>
      </c>
      <c r="F280" s="135">
        <f>IFERROR(__xludf.DUMMYFUNCTION("""COMPUTED_VALUE"""),10.0)</f>
        <v>10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IFERROR(__xludf.DUMMYFUNCTION("""COMPUTED_VALUE"""),"Troy Wong")</f>
        <v>Troy Wong</v>
      </c>
      <c r="C281" s="135">
        <f>IFERROR(__xludf.DUMMYFUNCTION("""COMPUTED_VALUE"""),4.0)</f>
        <v>4</v>
      </c>
      <c r="D281" s="135">
        <f>IFERROR(__xludf.DUMMYFUNCTION("""COMPUTED_VALUE"""),6.0)</f>
        <v>6</v>
      </c>
      <c r="E281" s="135">
        <f>IFERROR(__xludf.DUMMYFUNCTION("""COMPUTED_VALUE"""),2.0)</f>
        <v>2</v>
      </c>
      <c r="F281" s="135">
        <f>IFERROR(__xludf.DUMMYFUNCTION("""COMPUTED_VALUE"""),12.0)</f>
        <v>12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IFERROR(__xludf.DUMMYFUNCTION("""COMPUTED_VALUE"""),"Pavan Akkimsetty")</f>
        <v>Pavan Akkimsetty</v>
      </c>
      <c r="C282" s="132">
        <f>IFERROR(__xludf.DUMMYFUNCTION("""COMPUTED_VALUE"""),6.0)</f>
        <v>6</v>
      </c>
      <c r="D282" s="132">
        <f>IFERROR(__xludf.DUMMYFUNCTION("""COMPUTED_VALUE"""),6.0)</f>
        <v>6</v>
      </c>
      <c r="E282" s="132">
        <f>IFERROR(__xludf.DUMMYFUNCTION("""COMPUTED_VALUE"""),7.0)</f>
        <v>7</v>
      </c>
      <c r="F282" s="132">
        <f>IFERROR(__xludf.DUMMYFUNCTION("""COMPUTED_VALUE"""),19.0)</f>
        <v>19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IFERROR(__xludf.DUMMYFUNCTION("""COMPUTED_VALUE"""),"David Shin")</f>
        <v>David Shin</v>
      </c>
      <c r="C283" s="132">
        <f>IFERROR(__xludf.DUMMYFUNCTION("""COMPUTED_VALUE"""),6.0)</f>
        <v>6</v>
      </c>
      <c r="D283" s="132">
        <f>IFERROR(__xludf.DUMMYFUNCTION("""COMPUTED_VALUE"""),3.0)</f>
        <v>3</v>
      </c>
      <c r="E283" s="132">
        <f>IFERROR(__xludf.DUMMYFUNCTION("""COMPUTED_VALUE"""),5.0)</f>
        <v>5</v>
      </c>
      <c r="F283" s="132">
        <f>IFERROR(__xludf.DUMMYFUNCTION("""COMPUTED_VALUE"""),14.0)</f>
        <v>14</v>
      </c>
      <c r="G283" s="132">
        <f>IFERROR(__xludf.DUMMYFUNCTION("""COMPUTED_VALUE"""),0.0)</f>
        <v>0</v>
      </c>
    </row>
    <row r="284">
      <c r="A284" s="122">
        <f>IFERROR(__xludf.DUMMYFUNCTION("""COMPUTED_VALUE"""),9.0)</f>
        <v>9</v>
      </c>
      <c r="B284" s="36" t="str">
        <f>IFERROR(__xludf.DUMMYFUNCTION("""COMPUTED_VALUE"""),"Jim Miao")</f>
        <v>Jim Miao</v>
      </c>
      <c r="C284" s="132">
        <f>IFERROR(__xludf.DUMMYFUNCTION("""COMPUTED_VALUE"""),7.0)</f>
        <v>7</v>
      </c>
      <c r="D284" s="132">
        <f>IFERROR(__xludf.DUMMYFUNCTION("""COMPUTED_VALUE"""),6.0)</f>
        <v>6</v>
      </c>
      <c r="E284" s="132">
        <f>IFERROR(__xludf.DUMMYFUNCTION("""COMPUTED_VALUE"""),5.0)</f>
        <v>5</v>
      </c>
      <c r="F284" s="132">
        <f>IFERROR(__xludf.DUMMYFUNCTION("""COMPUTED_VALUE"""),18.0)</f>
        <v>18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IFERROR(__xludf.DUMMYFUNCTION("""COMPUTED_VALUE"""),"Joe Luzzi")</f>
        <v>Joe Luzzi</v>
      </c>
      <c r="C285" s="132">
        <f>IFERROR(__xludf.DUMMYFUNCTION("""COMPUTED_VALUE"""),7.0)</f>
        <v>7</v>
      </c>
      <c r="D285" s="132">
        <f>IFERROR(__xludf.DUMMYFUNCTION("""COMPUTED_VALUE"""),3.0)</f>
        <v>3</v>
      </c>
      <c r="E285" s="132">
        <f>IFERROR(__xludf.DUMMYFUNCTION("""COMPUTED_VALUE"""),7.0)</f>
        <v>7</v>
      </c>
      <c r="F285" s="132">
        <f>IFERROR(__xludf.DUMMYFUNCTION("""COMPUTED_VALUE"""),17.0)</f>
        <v>17</v>
      </c>
      <c r="G285" s="132">
        <f>IFERROR(__xludf.DUMMYFUNCTION("""COMPUTED_VALUE"""),2.0)</f>
        <v>2</v>
      </c>
    </row>
    <row r="286">
      <c r="A286" s="133">
        <f>IFERROR(__xludf.DUMMYFUNCTION("""COMPUTED_VALUE"""),10.0)</f>
        <v>10</v>
      </c>
      <c r="B286" s="134" t="str">
        <f>IFERROR(__xludf.DUMMYFUNCTION("""COMPUTED_VALUE"""),"Kumar Palakeel")</f>
        <v>Kumar Palakeel</v>
      </c>
      <c r="C286" s="135">
        <f>IFERROR(__xludf.DUMMYFUNCTION("""COMPUTED_VALUE"""),6.0)</f>
        <v>6</v>
      </c>
      <c r="D286" s="135">
        <f>IFERROR(__xludf.DUMMYFUNCTION("""COMPUTED_VALUE"""),2.0)</f>
        <v>2</v>
      </c>
      <c r="E286" s="135">
        <f>IFERROR(__xludf.DUMMYFUNCTION("""COMPUTED_VALUE"""),3.0)</f>
        <v>3</v>
      </c>
      <c r="F286" s="135">
        <f>IFERROR(__xludf.DUMMYFUNCTION("""COMPUTED_VALUE"""),11.0)</f>
        <v>11</v>
      </c>
      <c r="G286" s="135">
        <f>IFERROR(__xludf.DUMMYFUNCTION("""COMPUTED_VALUE"""),1.0)</f>
        <v>1</v>
      </c>
    </row>
    <row r="287">
      <c r="A287" s="133">
        <f>IFERROR(__xludf.DUMMYFUNCTION("""COMPUTED_VALUE"""),10.0)</f>
        <v>10</v>
      </c>
      <c r="B287" s="134" t="str">
        <f>IFERROR(__xludf.DUMMYFUNCTION("""COMPUTED_VALUE"""),"Nicole Ni")</f>
        <v>Nicole Ni</v>
      </c>
      <c r="C287" s="135">
        <f>IFERROR(__xludf.DUMMYFUNCTION("""COMPUTED_VALUE"""),6.0)</f>
        <v>6</v>
      </c>
      <c r="D287" s="135">
        <f>IFERROR(__xludf.DUMMYFUNCTION("""COMPUTED_VALUE"""),6.0)</f>
        <v>6</v>
      </c>
      <c r="E287" s="135">
        <f>IFERROR(__xludf.DUMMYFUNCTION("""COMPUTED_VALUE"""),6.0)</f>
        <v>6</v>
      </c>
      <c r="F287" s="135">
        <f>IFERROR(__xludf.DUMMYFUNCTION("""COMPUTED_VALUE"""),18.0)</f>
        <v>18</v>
      </c>
      <c r="G287" s="135">
        <f>IFERROR(__xludf.DUMMYFUNCTION("""COMPUTED_VALUE"""),3.0)</f>
        <v>3</v>
      </c>
    </row>
    <row r="288">
      <c r="A288" s="133">
        <f>IFERROR(__xludf.DUMMYFUNCTION("""COMPUTED_VALUE"""),10.0)</f>
        <v>10</v>
      </c>
      <c r="B288" s="134" t="str">
        <f>IFERROR(__xludf.DUMMYFUNCTION("""COMPUTED_VALUE"""),"Jimmy Awolesi")</f>
        <v>Jimmy Awolesi</v>
      </c>
      <c r="C288" s="135">
        <f>IFERROR(__xludf.DUMMYFUNCTION("""COMPUTED_VALUE"""),4.0)</f>
        <v>4</v>
      </c>
      <c r="D288" s="135">
        <f>IFERROR(__xludf.DUMMYFUNCTION("""COMPUTED_VALUE"""),2.0)</f>
        <v>2</v>
      </c>
      <c r="E288" s="135">
        <f>IFERROR(__xludf.DUMMYFUNCTION("""COMPUTED_VALUE"""),6.0)</f>
        <v>6</v>
      </c>
      <c r="F288" s="135">
        <f>IFERROR(__xludf.DUMMYFUNCTION("""COMPUTED_VALUE"""),12.0)</f>
        <v>12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IFERROR(__xludf.DUMMYFUNCTION("""COMPUTED_VALUE"""),"Vinaya Kajla")</f>
        <v>Vinaya Kajla</v>
      </c>
      <c r="C289" s="135">
        <f>IFERROR(__xludf.DUMMYFUNCTION("""COMPUTED_VALUE"""),4.0)</f>
        <v>4</v>
      </c>
      <c r="D289" s="135">
        <f>IFERROR(__xludf.DUMMYFUNCTION("""COMPUTED_VALUE"""),6.0)</f>
        <v>6</v>
      </c>
      <c r="E289" s="135">
        <f>IFERROR(__xludf.DUMMYFUNCTION("""COMPUTED_VALUE"""),3.0)</f>
        <v>3</v>
      </c>
      <c r="F289" s="135">
        <f>IFERROR(__xludf.DUMMYFUNCTION("""COMPUTED_VALUE"""),13.0)</f>
        <v>13</v>
      </c>
      <c r="G289" s="135">
        <f>IFERROR(__xludf.DUMMYFUNCTION("""COMPUTED_VALUE"""),1.0)</f>
        <v>1</v>
      </c>
    </row>
    <row r="290">
      <c r="A290" s="122">
        <f>IFERROR(__xludf.DUMMYFUNCTION("""COMPUTED_VALUE"""),11.0)</f>
        <v>11</v>
      </c>
      <c r="B290" s="36" t="str">
        <f>IFERROR(__xludf.DUMMYFUNCTION("""COMPUTED_VALUE"""),"Lenin Belangonda ")</f>
        <v>Lenin Belangonda </v>
      </c>
      <c r="C290" s="132">
        <f>IFERROR(__xludf.DUMMYFUNCTION("""COMPUTED_VALUE"""),2.0)</f>
        <v>2</v>
      </c>
      <c r="D290" s="132">
        <f>IFERROR(__xludf.DUMMYFUNCTION("""COMPUTED_VALUE"""),1.0)</f>
        <v>1</v>
      </c>
      <c r="E290" s="132">
        <f>IFERROR(__xludf.DUMMYFUNCTION("""COMPUTED_VALUE"""),5.0)</f>
        <v>5</v>
      </c>
      <c r="F290" s="132">
        <f>IFERROR(__xludf.DUMMYFUNCTION("""COMPUTED_VALUE"""),8.0)</f>
        <v>8</v>
      </c>
      <c r="G290" s="132">
        <f>IFERROR(__xludf.DUMMYFUNCTION("""COMPUTED_VALUE"""),0.0)</f>
        <v>0</v>
      </c>
    </row>
    <row r="291">
      <c r="A291" s="122">
        <f>IFERROR(__xludf.DUMMYFUNCTION("""COMPUTED_VALUE"""),11.0)</f>
        <v>11</v>
      </c>
      <c r="B291" s="36" t="str">
        <f>IFERROR(__xludf.DUMMYFUNCTION("""COMPUTED_VALUE"""),"Sanjaye Elayattu")</f>
        <v>Sanjaye Elayattu</v>
      </c>
      <c r="C291" s="132">
        <f>IFERROR(__xludf.DUMMYFUNCTION("""COMPUTED_VALUE"""),6.0)</f>
        <v>6</v>
      </c>
      <c r="D291" s="132">
        <f>IFERROR(__xludf.DUMMYFUNCTION("""COMPUTED_VALUE"""),1.0)</f>
        <v>1</v>
      </c>
      <c r="E291" s="132">
        <f>IFERROR(__xludf.DUMMYFUNCTION("""COMPUTED_VALUE"""),7.0)</f>
        <v>7</v>
      </c>
      <c r="F291" s="132">
        <f>IFERROR(__xludf.DUMMYFUNCTION("""COMPUTED_VALUE"""),14.0)</f>
        <v>14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IFERROR(__xludf.DUMMYFUNCTION("""COMPUTED_VALUE"""),"Sandy Weyant")</f>
        <v>Sandy Weyant</v>
      </c>
      <c r="C292" s="132">
        <f>IFERROR(__xludf.DUMMYFUNCTION("""COMPUTED_VALUE"""),2.0)</f>
        <v>2</v>
      </c>
      <c r="D292" s="132">
        <f>IFERROR(__xludf.DUMMYFUNCTION("""COMPUTED_VALUE"""),6.0)</f>
        <v>6</v>
      </c>
      <c r="E292" s="132">
        <f>IFERROR(__xludf.DUMMYFUNCTION("""COMPUTED_VALUE"""),7.0)</f>
        <v>7</v>
      </c>
      <c r="F292" s="132">
        <f>IFERROR(__xludf.DUMMYFUNCTION("""COMPUTED_VALUE"""),15.0)</f>
        <v>15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IFERROR(__xludf.DUMMYFUNCTION("""COMPUTED_VALUE"""),"Alejandro Mejia")</f>
        <v>Alejandro Mejia</v>
      </c>
      <c r="C293" s="132">
        <f>IFERROR(__xludf.DUMMYFUNCTION("""COMPUTED_VALUE"""),6.0)</f>
        <v>6</v>
      </c>
      <c r="D293" s="132">
        <f>IFERROR(__xludf.DUMMYFUNCTION("""COMPUTED_VALUE"""),6.0)</f>
        <v>6</v>
      </c>
      <c r="E293" s="132">
        <f>IFERROR(__xludf.DUMMYFUNCTION("""COMPUTED_VALUE"""),5.0)</f>
        <v>5</v>
      </c>
      <c r="F293" s="132">
        <f>IFERROR(__xludf.DUMMYFUNCTION("""COMPUTED_VALUE"""),17.0)</f>
        <v>17</v>
      </c>
      <c r="G293" s="132">
        <f>IFERROR(__xludf.DUMMYFUNCTION("""COMPUTED_VALUE"""),2.0)</f>
        <v>2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IFERROR(__xludf.DUMMYFUNCTION("""COMPUTED_VALUE"""),"Art Hui")</f>
        <v>Art Hui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IFERROR(__xludf.DUMMYFUNCTION("""COMPUTED_VALUE"""),"Balaji Alahari")</f>
        <v>Balaji Alahari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IFERROR(__xludf.DUMMYFUNCTION("""COMPUTED_VALUE"""),"Basudev Thoppai Vidyasankar")</f>
        <v>Basudev Thoppai Vidyasankar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IFERROR(__xludf.DUMMYFUNCTION("""COMPUTED_VALUE"""),"Erik Hoeckmann")</f>
        <v>Erik Hoeckmann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IFERROR(__xludf.DUMMYFUNCTION("""COMPUTED_VALUE"""),"Ethan Gu")</f>
        <v>Ethan Gu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IFERROR(__xludf.DUMMYFUNCTION("""COMPUTED_VALUE"""),"Frank Moon")</f>
        <v>Frank Moon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IFERROR(__xludf.DUMMYFUNCTION("""COMPUTED_VALUE"""),"Herman Au")</f>
        <v>Herman Au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IFERROR(__xludf.DUMMYFUNCTION("""COMPUTED_VALUE"""),"Hongyuan Wen")</f>
        <v>Hongyuan Wen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IFERROR(__xludf.DUMMYFUNCTION("""COMPUTED_VALUE"""),"James Phan")</f>
        <v>James Phan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IFERROR(__xludf.DUMMYFUNCTION("""COMPUTED_VALUE"""),"Jaya Sogata")</f>
        <v>Jaya Sogata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 Miao")</f>
        <v>Jim Miao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IFERROR(__xludf.DUMMYFUNCTION("""COMPUTED_VALUE"""),"Jimmy Awolesi")</f>
        <v>Jimmy Awolesi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IFERROR(__xludf.DUMMYFUNCTION("""COMPUTED_VALUE"""),"Joe Luzzi")</f>
        <v>Joe Luzzi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IFERROR(__xludf.DUMMYFUNCTION("""COMPUTED_VALUE"""),"Jonathan Phan")</f>
        <v>Jonathan Phan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IFERROR(__xludf.DUMMYFUNCTION("""COMPUTED_VALUE"""),"Jordan Tatang")</f>
        <v>Jordan Tatang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IFERROR(__xludf.DUMMYFUNCTION("""COMPUTED_VALUE"""),"Lenin Belangonda ")</f>
        <v>Lenin Belangonda 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IFERROR(__xludf.DUMMYFUNCTION("""COMPUTED_VALUE"""),"Lloyd Sagar")</f>
        <v>Lloyd Sagar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IFERROR(__xludf.DUMMYFUNCTION("""COMPUTED_VALUE"""),"Luis Hsu")</f>
        <v>Luis Hsu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IFERROR(__xludf.DUMMYFUNCTION("""COMPUTED_VALUE"""),"Manish Anand")</f>
        <v>Manish Anand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IFERROR(__xludf.DUMMYFUNCTION("""COMPUTED_VALUE"""),"Manuel Rivera")</f>
        <v>Manuel Rivera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IFERROR(__xludf.DUMMYFUNCTION("""COMPUTED_VALUE"""),"Matthew Huang")</f>
        <v>Matthew Huang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IFERROR(__xludf.DUMMYFUNCTION("""COMPUTED_VALUE"""),"Mauricio Palacios")</f>
        <v>Mauricio Palacios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IFERROR(__xludf.DUMMYFUNCTION("""COMPUTED_VALUE"""),"Naveen Raj")</f>
        <v>Naveen Raj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IFERROR(__xludf.DUMMYFUNCTION("""COMPUTED_VALUE"""),"Nicole Ni")</f>
        <v>Nicole Ni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IFERROR(__xludf.DUMMYFUNCTION("""COMPUTED_VALUE"""),"Oscar Bonilla")</f>
        <v>Oscar Bonilla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IFERROR(__xludf.DUMMYFUNCTION("""COMPUTED_VALUE"""),"Pavan Akkimsetty")</f>
        <v>Pavan Akkimsetty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IFERROR(__xludf.DUMMYFUNCTION("""COMPUTED_VALUE"""),"Pulkit Mathur")</f>
        <v>Pulkit Mathur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IFERROR(__xludf.DUMMYFUNCTION("""COMPUTED_VALUE"""),"Rajasekar Ramasamy")</f>
        <v>Rajasekar Ramasamy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IFERROR(__xludf.DUMMYFUNCTION("""COMPUTED_VALUE"""),"Ramesh Bandaru")</f>
        <v>Ramesh Bandaru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IFERROR(__xludf.DUMMYFUNCTION("""COMPUTED_VALUE"""),"Scott Li")</f>
        <v>Scott Li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IFERROR(__xludf.DUMMYFUNCTION("""COMPUTED_VALUE"""),"Sean Chang")</f>
        <v>Sean Chang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IFERROR(__xludf.DUMMYFUNCTION("""COMPUTED_VALUE"""),"Suleman Alidina")</f>
        <v>Suleman Alidina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IFERROR(__xludf.DUMMYFUNCTION("""COMPUTED_VALUE"""),"Ted Shen")</f>
        <v>Ted Shen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IFERROR(__xludf.DUMMYFUNCTION("""COMPUTED_VALUE"""),"Tina Hanson")</f>
        <v>Tina Hanson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9.88"/>
    <col customWidth="1" min="4" max="4" width="8.1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46102.0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11.0</v>
      </c>
      <c r="E2" s="5"/>
      <c r="F2" s="5"/>
      <c r="R2" s="18"/>
      <c r="AC2" s="22" t="str">
        <f>text(C1-7,"mm/dd/yy")</f>
        <v>03/14/26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163.0</v>
      </c>
      <c r="D5" s="37">
        <v>23.0</v>
      </c>
      <c r="E5" s="40">
        <f t="shared" ref="E5:E79" si="2">if(S5&gt;0,(C5-(V5*9)-(T5*13))/S5,0)</f>
        <v>14.81818182</v>
      </c>
      <c r="F5" s="90">
        <v>1.0</v>
      </c>
      <c r="G5" s="91">
        <v>1.0</v>
      </c>
      <c r="H5" s="92">
        <v>0.0</v>
      </c>
      <c r="I5" s="91">
        <v>4.0</v>
      </c>
      <c r="J5" s="91">
        <v>6.0</v>
      </c>
      <c r="K5" s="91">
        <v>6.0</v>
      </c>
      <c r="L5" s="93">
        <v>16.0</v>
      </c>
      <c r="M5" s="91">
        <v>2.0</v>
      </c>
      <c r="N5" s="37">
        <f t="shared" ref="N5:O5" si="1">C5+L5</f>
        <v>179</v>
      </c>
      <c r="O5" s="37">
        <f t="shared" si="1"/>
        <v>25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11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63</v>
      </c>
      <c r="C6" s="37">
        <v>145.0</v>
      </c>
      <c r="D6" s="37">
        <v>17.0</v>
      </c>
      <c r="E6" s="40">
        <f t="shared" si="2"/>
        <v>14.11111111</v>
      </c>
      <c r="F6" s="90">
        <v>2.0</v>
      </c>
      <c r="G6" s="91">
        <v>1.0</v>
      </c>
      <c r="H6" s="92">
        <v>0.0</v>
      </c>
      <c r="I6" s="91">
        <v>6.0</v>
      </c>
      <c r="J6" s="91">
        <v>6.0</v>
      </c>
      <c r="K6" s="91">
        <v>2.0</v>
      </c>
      <c r="L6" s="93">
        <v>14.0</v>
      </c>
      <c r="M6" s="91">
        <v>2.0</v>
      </c>
      <c r="N6" s="37">
        <f t="shared" ref="N6:O6" si="3">C6+L6</f>
        <v>159</v>
      </c>
      <c r="O6" s="37">
        <f t="shared" si="3"/>
        <v>19</v>
      </c>
      <c r="P6" s="49" t="s">
        <v>57</v>
      </c>
      <c r="Q6" s="49" t="s">
        <v>57</v>
      </c>
      <c r="R6" s="49" t="s">
        <v>57</v>
      </c>
      <c r="S6" s="51">
        <f t="shared" si="4"/>
        <v>9</v>
      </c>
      <c r="T6" s="52">
        <f t="shared" si="5"/>
        <v>0</v>
      </c>
      <c r="U6" s="52"/>
      <c r="V6" s="51">
        <f t="shared" si="6"/>
        <v>2</v>
      </c>
      <c r="W6" s="52">
        <f t="shared" si="7"/>
        <v>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127</v>
      </c>
      <c r="C7" s="37">
        <v>143.0</v>
      </c>
      <c r="D7" s="37">
        <v>17.0</v>
      </c>
      <c r="E7" s="40">
        <f t="shared" si="2"/>
        <v>14.5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152</v>
      </c>
      <c r="O7" s="37">
        <f t="shared" si="11"/>
        <v>17</v>
      </c>
      <c r="P7" s="49" t="s">
        <v>57</v>
      </c>
      <c r="Q7" s="49" t="s">
        <v>57</v>
      </c>
      <c r="R7" s="49" t="s">
        <v>57</v>
      </c>
      <c r="S7" s="51">
        <f t="shared" si="4"/>
        <v>8</v>
      </c>
      <c r="T7" s="52">
        <f t="shared" si="5"/>
        <v>0</v>
      </c>
      <c r="U7" s="52"/>
      <c r="V7" s="51">
        <f t="shared" si="6"/>
        <v>3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143.0</v>
      </c>
      <c r="D8" s="37">
        <v>16.0</v>
      </c>
      <c r="E8" s="40">
        <f t="shared" si="2"/>
        <v>13.88888889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152</v>
      </c>
      <c r="O8" s="37">
        <f t="shared" si="13"/>
        <v>16</v>
      </c>
      <c r="P8" s="49" t="s">
        <v>57</v>
      </c>
      <c r="Q8" s="49" t="s">
        <v>57</v>
      </c>
      <c r="R8" s="49" t="s">
        <v>57</v>
      </c>
      <c r="S8" s="51">
        <f t="shared" si="4"/>
        <v>9</v>
      </c>
      <c r="T8" s="52">
        <f t="shared" si="5"/>
        <v>0</v>
      </c>
      <c r="U8" s="52"/>
      <c r="V8" s="51">
        <f t="shared" si="6"/>
        <v>2</v>
      </c>
      <c r="W8" s="52">
        <f t="shared" si="7"/>
        <v>-2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77</v>
      </c>
      <c r="C9" s="37">
        <v>139.0</v>
      </c>
      <c r="D9" s="37">
        <v>14.0</v>
      </c>
      <c r="E9" s="40">
        <f t="shared" si="2"/>
        <v>12.63636364</v>
      </c>
      <c r="F9" s="90">
        <v>2.0</v>
      </c>
      <c r="G9" s="91">
        <v>1.0</v>
      </c>
      <c r="H9" s="92">
        <v>0.0</v>
      </c>
      <c r="I9" s="91">
        <v>4.0</v>
      </c>
      <c r="J9" s="91">
        <v>0.0</v>
      </c>
      <c r="K9" s="91">
        <v>2.0</v>
      </c>
      <c r="L9" s="93">
        <v>6.0</v>
      </c>
      <c r="M9" s="91">
        <v>0.0</v>
      </c>
      <c r="N9" s="37">
        <f t="shared" ref="N9:O9" si="14">C9+L9</f>
        <v>145</v>
      </c>
      <c r="O9" s="37">
        <f t="shared" si="14"/>
        <v>14</v>
      </c>
      <c r="P9" s="49" t="s">
        <v>57</v>
      </c>
      <c r="Q9" s="49" t="s">
        <v>57</v>
      </c>
      <c r="R9" s="49" t="s">
        <v>57</v>
      </c>
      <c r="S9" s="51">
        <f t="shared" si="4"/>
        <v>11</v>
      </c>
      <c r="T9" s="52">
        <f t="shared" si="5"/>
        <v>0</v>
      </c>
      <c r="U9" s="52"/>
      <c r="V9" s="51">
        <f t="shared" si="6"/>
        <v>0</v>
      </c>
      <c r="W9" s="52">
        <f t="shared" si="7"/>
        <v>-1</v>
      </c>
      <c r="X9" s="35">
        <f t="shared" si="12"/>
        <v>5</v>
      </c>
      <c r="Y9" s="35" t="str">
        <f t="shared" si="8"/>
        <v>Y</v>
      </c>
      <c r="Z9" s="19" t="str">
        <f t="shared" si="9"/>
        <v/>
      </c>
    </row>
    <row r="10">
      <c r="A10" s="35">
        <f t="shared" si="10"/>
        <v>6</v>
      </c>
      <c r="B10" s="36" t="s">
        <v>96</v>
      </c>
      <c r="C10" s="37">
        <v>136.0</v>
      </c>
      <c r="D10" s="37">
        <v>14.0</v>
      </c>
      <c r="E10" s="40">
        <f t="shared" si="2"/>
        <v>12.36363636</v>
      </c>
      <c r="F10" s="90">
        <v>1.0</v>
      </c>
      <c r="G10" s="91">
        <v>1.0</v>
      </c>
      <c r="H10" s="92">
        <v>0.0</v>
      </c>
      <c r="I10" s="91">
        <v>6.0</v>
      </c>
      <c r="J10" s="91">
        <v>0.0</v>
      </c>
      <c r="K10" s="91">
        <v>6.0</v>
      </c>
      <c r="L10" s="93">
        <v>12.0</v>
      </c>
      <c r="M10" s="91">
        <v>2.0</v>
      </c>
      <c r="N10" s="37">
        <f t="shared" ref="N10:O10" si="15">C10+L10</f>
        <v>148</v>
      </c>
      <c r="O10" s="37">
        <f t="shared" si="15"/>
        <v>16</v>
      </c>
      <c r="P10" s="49" t="s">
        <v>57</v>
      </c>
      <c r="Q10" s="49" t="s">
        <v>57</v>
      </c>
      <c r="R10" s="49" t="s">
        <v>57</v>
      </c>
      <c r="S10" s="51">
        <f t="shared" si="4"/>
        <v>11</v>
      </c>
      <c r="T10" s="52">
        <f t="shared" si="5"/>
        <v>0</v>
      </c>
      <c r="U10" s="52"/>
      <c r="V10" s="51">
        <f t="shared" si="6"/>
        <v>0</v>
      </c>
      <c r="W10" s="52">
        <f t="shared" si="7"/>
        <v>6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80</v>
      </c>
      <c r="C11" s="37">
        <v>134.0</v>
      </c>
      <c r="D11" s="37">
        <v>13.0</v>
      </c>
      <c r="E11" s="40">
        <f t="shared" si="2"/>
        <v>12.44444444</v>
      </c>
      <c r="F11" s="90">
        <v>1.0</v>
      </c>
      <c r="G11" s="91">
        <v>9.0</v>
      </c>
      <c r="H11" s="92">
        <v>0.0</v>
      </c>
      <c r="I11" s="91">
        <v>6.0</v>
      </c>
      <c r="J11" s="91">
        <v>6.0</v>
      </c>
      <c r="K11" s="91">
        <v>7.0</v>
      </c>
      <c r="L11" s="93">
        <v>19.0</v>
      </c>
      <c r="M11" s="91">
        <v>2.0</v>
      </c>
      <c r="N11" s="37">
        <f t="shared" ref="N11:O11" si="16">C11+L11</f>
        <v>153</v>
      </c>
      <c r="O11" s="37">
        <f t="shared" si="16"/>
        <v>15</v>
      </c>
      <c r="P11" s="49" t="s">
        <v>57</v>
      </c>
      <c r="Q11" s="49" t="s">
        <v>57</v>
      </c>
      <c r="R11" s="49" t="s">
        <v>57</v>
      </c>
      <c r="S11" s="51">
        <f t="shared" si="4"/>
        <v>9</v>
      </c>
      <c r="T11" s="52">
        <f t="shared" si="5"/>
        <v>1</v>
      </c>
      <c r="U11" s="52"/>
      <c r="V11" s="51">
        <f t="shared" si="6"/>
        <v>1</v>
      </c>
      <c r="W11" s="52">
        <f t="shared" si="7"/>
        <v>0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91</v>
      </c>
      <c r="C12" s="37">
        <v>134.0</v>
      </c>
      <c r="D12" s="37">
        <v>12.0</v>
      </c>
      <c r="E12" s="40">
        <f t="shared" si="2"/>
        <v>14.83333333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143</v>
      </c>
      <c r="O12" s="37">
        <f t="shared" si="17"/>
        <v>12</v>
      </c>
      <c r="P12" s="49" t="s">
        <v>57</v>
      </c>
      <c r="Q12" s="49" t="s">
        <v>57</v>
      </c>
      <c r="R12" s="49" t="s">
        <v>57</v>
      </c>
      <c r="S12" s="51">
        <f t="shared" si="4"/>
        <v>6</v>
      </c>
      <c r="T12" s="52">
        <f t="shared" si="5"/>
        <v>0</v>
      </c>
      <c r="U12" s="52"/>
      <c r="V12" s="51">
        <f t="shared" si="6"/>
        <v>5</v>
      </c>
      <c r="W12" s="52">
        <f t="shared" si="7"/>
        <v>-2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94</v>
      </c>
      <c r="C13" s="37">
        <v>133.0</v>
      </c>
      <c r="D13" s="37">
        <v>15.0</v>
      </c>
      <c r="E13" s="40">
        <f t="shared" si="2"/>
        <v>12.77777778</v>
      </c>
      <c r="F13" s="90">
        <v>1.0</v>
      </c>
      <c r="G13" s="91">
        <v>9.0</v>
      </c>
      <c r="H13" s="92">
        <v>0.0</v>
      </c>
      <c r="I13" s="91">
        <v>6.0</v>
      </c>
      <c r="J13" s="91">
        <v>3.0</v>
      </c>
      <c r="K13" s="91">
        <v>5.0</v>
      </c>
      <c r="L13" s="93">
        <v>14.0</v>
      </c>
      <c r="M13" s="91">
        <v>0.0</v>
      </c>
      <c r="N13" s="37">
        <f t="shared" ref="N13:O13" si="18">C13+L13</f>
        <v>147</v>
      </c>
      <c r="O13" s="37">
        <f t="shared" si="18"/>
        <v>15</v>
      </c>
      <c r="P13" s="49" t="s">
        <v>57</v>
      </c>
      <c r="Q13" s="49" t="s">
        <v>57</v>
      </c>
      <c r="R13" s="49" t="s">
        <v>57</v>
      </c>
      <c r="S13" s="51">
        <f t="shared" si="4"/>
        <v>9</v>
      </c>
      <c r="T13" s="52">
        <f t="shared" si="5"/>
        <v>0</v>
      </c>
      <c r="U13" s="52"/>
      <c r="V13" s="51">
        <f t="shared" si="6"/>
        <v>2</v>
      </c>
      <c r="W13" s="52">
        <f t="shared" si="7"/>
        <v>-1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128</v>
      </c>
      <c r="C14" s="37">
        <v>132.0</v>
      </c>
      <c r="D14" s="37">
        <v>12.0</v>
      </c>
      <c r="E14" s="40">
        <f t="shared" si="2"/>
        <v>12.66666667</v>
      </c>
      <c r="F14" s="90">
        <v>1.0</v>
      </c>
      <c r="G14" s="91">
        <v>9.0</v>
      </c>
      <c r="H14" s="92">
        <v>0.0</v>
      </c>
      <c r="I14" s="91">
        <v>7.0</v>
      </c>
      <c r="J14" s="91">
        <v>6.0</v>
      </c>
      <c r="K14" s="91">
        <v>5.0</v>
      </c>
      <c r="L14" s="93">
        <v>18.0</v>
      </c>
      <c r="M14" s="91">
        <v>2.0</v>
      </c>
      <c r="N14" s="37">
        <f t="shared" ref="N14:O14" si="19">C14+L14</f>
        <v>150</v>
      </c>
      <c r="O14" s="37">
        <f t="shared" si="19"/>
        <v>14</v>
      </c>
      <c r="P14" s="49" t="s">
        <v>57</v>
      </c>
      <c r="Q14" s="49" t="s">
        <v>57</v>
      </c>
      <c r="R14" s="49" t="s">
        <v>57</v>
      </c>
      <c r="S14" s="51">
        <f t="shared" si="4"/>
        <v>9</v>
      </c>
      <c r="T14" s="52">
        <f t="shared" si="5"/>
        <v>0</v>
      </c>
      <c r="U14" s="52"/>
      <c r="V14" s="51">
        <f t="shared" si="6"/>
        <v>2</v>
      </c>
      <c r="W14" s="52">
        <f t="shared" si="7"/>
        <v>-1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103</v>
      </c>
      <c r="C15" s="37">
        <v>131.0</v>
      </c>
      <c r="D15" s="37">
        <v>14.0</v>
      </c>
      <c r="E15" s="40">
        <f t="shared" si="2"/>
        <v>12.2</v>
      </c>
      <c r="F15" s="90">
        <v>1.0</v>
      </c>
      <c r="G15" s="91">
        <v>9.0</v>
      </c>
      <c r="H15" s="92">
        <v>0.0</v>
      </c>
      <c r="I15" s="91">
        <v>7.0</v>
      </c>
      <c r="J15" s="91">
        <v>3.0</v>
      </c>
      <c r="K15" s="91">
        <v>7.0</v>
      </c>
      <c r="L15" s="93">
        <v>17.0</v>
      </c>
      <c r="M15" s="91">
        <v>2.0</v>
      </c>
      <c r="N15" s="37">
        <f t="shared" ref="N15:O15" si="20">C15+L15</f>
        <v>148</v>
      </c>
      <c r="O15" s="37">
        <f t="shared" si="20"/>
        <v>16</v>
      </c>
      <c r="P15" s="49" t="s">
        <v>57</v>
      </c>
      <c r="Q15" s="49" t="s">
        <v>57</v>
      </c>
      <c r="R15" s="49" t="s">
        <v>57</v>
      </c>
      <c r="S15" s="51">
        <f t="shared" si="4"/>
        <v>10</v>
      </c>
      <c r="T15" s="52">
        <f t="shared" si="5"/>
        <v>0</v>
      </c>
      <c r="U15" s="52"/>
      <c r="V15" s="51">
        <f t="shared" si="6"/>
        <v>1</v>
      </c>
      <c r="W15" s="52">
        <f t="shared" si="7"/>
        <v>-1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92</v>
      </c>
      <c r="C16" s="37">
        <v>129.0</v>
      </c>
      <c r="D16" s="37">
        <v>10.0</v>
      </c>
      <c r="E16" s="40">
        <f t="shared" si="2"/>
        <v>13.28571429</v>
      </c>
      <c r="F16" s="90">
        <v>1.0</v>
      </c>
      <c r="G16" s="91">
        <v>2.0</v>
      </c>
      <c r="H16" s="92">
        <v>0.0</v>
      </c>
      <c r="I16" s="91">
        <v>7.0</v>
      </c>
      <c r="J16" s="91">
        <v>6.0</v>
      </c>
      <c r="K16" s="91">
        <v>5.0</v>
      </c>
      <c r="L16" s="93">
        <v>18.0</v>
      </c>
      <c r="M16" s="91">
        <v>1.0</v>
      </c>
      <c r="N16" s="37">
        <f t="shared" ref="N16:O16" si="21">C16+L16</f>
        <v>147</v>
      </c>
      <c r="O16" s="37">
        <f t="shared" si="21"/>
        <v>11</v>
      </c>
      <c r="P16" s="49" t="s">
        <v>57</v>
      </c>
      <c r="Q16" s="49" t="s">
        <v>57</v>
      </c>
      <c r="R16" s="49" t="s">
        <v>57</v>
      </c>
      <c r="S16" s="51">
        <f t="shared" si="4"/>
        <v>7</v>
      </c>
      <c r="T16" s="52">
        <f t="shared" si="5"/>
        <v>0</v>
      </c>
      <c r="U16" s="52"/>
      <c r="V16" s="51">
        <f t="shared" si="6"/>
        <v>4</v>
      </c>
      <c r="W16" s="52">
        <f t="shared" si="7"/>
        <v>2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93</v>
      </c>
      <c r="C17" s="37">
        <v>128.0</v>
      </c>
      <c r="D17" s="37">
        <v>14.0</v>
      </c>
      <c r="E17" s="40">
        <f t="shared" si="2"/>
        <v>11.77777778</v>
      </c>
      <c r="F17" s="90">
        <v>2.0</v>
      </c>
      <c r="G17" s="91">
        <v>2.0</v>
      </c>
      <c r="H17" s="92">
        <v>0.0</v>
      </c>
      <c r="I17" s="91">
        <v>6.0</v>
      </c>
      <c r="J17" s="91">
        <v>6.0</v>
      </c>
      <c r="K17" s="91">
        <v>7.0</v>
      </c>
      <c r="L17" s="93">
        <v>19.0</v>
      </c>
      <c r="M17" s="91">
        <v>1.0</v>
      </c>
      <c r="N17" s="37">
        <f t="shared" ref="N17:O17" si="22">C17+L17</f>
        <v>147</v>
      </c>
      <c r="O17" s="37">
        <f t="shared" si="22"/>
        <v>15</v>
      </c>
      <c r="P17" s="49" t="s">
        <v>57</v>
      </c>
      <c r="Q17" s="49" t="s">
        <v>57</v>
      </c>
      <c r="R17" s="49" t="s">
        <v>57</v>
      </c>
      <c r="S17" s="51">
        <f t="shared" si="4"/>
        <v>9</v>
      </c>
      <c r="T17" s="52">
        <f t="shared" si="5"/>
        <v>1</v>
      </c>
      <c r="U17" s="52"/>
      <c r="V17" s="51">
        <f t="shared" si="6"/>
        <v>1</v>
      </c>
      <c r="W17" s="52">
        <f t="shared" si="7"/>
        <v>4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99</v>
      </c>
      <c r="C18" s="37">
        <v>128.0</v>
      </c>
      <c r="D18" s="37">
        <v>13.0</v>
      </c>
      <c r="E18" s="40">
        <f t="shared" si="2"/>
        <v>12.625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137</v>
      </c>
      <c r="O18" s="37">
        <f t="shared" si="23"/>
        <v>13</v>
      </c>
      <c r="P18" s="49" t="s">
        <v>57</v>
      </c>
      <c r="Q18" s="49" t="s">
        <v>57</v>
      </c>
      <c r="R18" s="49" t="s">
        <v>57</v>
      </c>
      <c r="S18" s="51">
        <f t="shared" si="4"/>
        <v>8</v>
      </c>
      <c r="T18" s="52">
        <f t="shared" si="5"/>
        <v>0</v>
      </c>
      <c r="U18" s="52"/>
      <c r="V18" s="51">
        <f t="shared" si="6"/>
        <v>3</v>
      </c>
      <c r="W18" s="52">
        <f t="shared" si="7"/>
        <v>2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111</v>
      </c>
      <c r="C19" s="37">
        <v>128.0</v>
      </c>
      <c r="D19" s="37">
        <v>11.0</v>
      </c>
      <c r="E19" s="40">
        <f t="shared" si="2"/>
        <v>12.125</v>
      </c>
      <c r="F19" s="90">
        <v>1.0</v>
      </c>
      <c r="G19" s="91">
        <v>2.0</v>
      </c>
      <c r="H19" s="92">
        <v>0.0</v>
      </c>
      <c r="I19" s="91">
        <v>7.0</v>
      </c>
      <c r="J19" s="91">
        <v>7.0</v>
      </c>
      <c r="K19" s="91">
        <v>7.0</v>
      </c>
      <c r="L19" s="93">
        <v>21.0</v>
      </c>
      <c r="M19" s="91">
        <v>3.0</v>
      </c>
      <c r="N19" s="37">
        <f t="shared" ref="N19:O19" si="24">C19+L19</f>
        <v>149</v>
      </c>
      <c r="O19" s="37">
        <f t="shared" si="24"/>
        <v>14</v>
      </c>
      <c r="P19" s="49" t="s">
        <v>57</v>
      </c>
      <c r="Q19" s="49" t="s">
        <v>57</v>
      </c>
      <c r="R19" s="49" t="s">
        <v>57</v>
      </c>
      <c r="S19" s="51">
        <f t="shared" si="4"/>
        <v>8</v>
      </c>
      <c r="T19" s="52">
        <f t="shared" si="5"/>
        <v>1</v>
      </c>
      <c r="U19" s="52"/>
      <c r="V19" s="51">
        <f t="shared" si="6"/>
        <v>2</v>
      </c>
      <c r="W19" s="52">
        <f t="shared" si="7"/>
        <v>-2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135</v>
      </c>
      <c r="C20" s="37">
        <v>128.0</v>
      </c>
      <c r="D20" s="37">
        <v>10.0</v>
      </c>
      <c r="E20" s="40">
        <f t="shared" si="2"/>
        <v>13.14285714</v>
      </c>
      <c r="F20" s="90">
        <v>1.0</v>
      </c>
      <c r="G20" s="91">
        <v>2.0</v>
      </c>
      <c r="H20" s="92">
        <v>0.0</v>
      </c>
      <c r="I20" s="91">
        <v>6.0</v>
      </c>
      <c r="J20" s="91">
        <v>7.0</v>
      </c>
      <c r="K20" s="91">
        <v>5.0</v>
      </c>
      <c r="L20" s="93">
        <v>18.0</v>
      </c>
      <c r="M20" s="91">
        <v>1.0</v>
      </c>
      <c r="N20" s="37">
        <f t="shared" ref="N20:O20" si="25">C20+L20</f>
        <v>146</v>
      </c>
      <c r="O20" s="37">
        <f t="shared" si="25"/>
        <v>11</v>
      </c>
      <c r="P20" s="49" t="s">
        <v>57</v>
      </c>
      <c r="Q20" s="49" t="s">
        <v>57</v>
      </c>
      <c r="R20" s="49" t="s">
        <v>57</v>
      </c>
      <c r="S20" s="51">
        <f t="shared" si="4"/>
        <v>7</v>
      </c>
      <c r="T20" s="52">
        <f t="shared" si="5"/>
        <v>0</v>
      </c>
      <c r="U20" s="52"/>
      <c r="V20" s="51">
        <f t="shared" si="6"/>
        <v>4</v>
      </c>
      <c r="W20" s="52">
        <f t="shared" si="7"/>
        <v>12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108</v>
      </c>
      <c r="C21" s="37">
        <v>127.0</v>
      </c>
      <c r="D21" s="37">
        <v>12.0</v>
      </c>
      <c r="E21" s="40">
        <f t="shared" si="2"/>
        <v>12.11111111</v>
      </c>
      <c r="F21" s="90">
        <v>1.0</v>
      </c>
      <c r="G21" s="91">
        <v>3.0</v>
      </c>
      <c r="H21" s="92">
        <v>0.0</v>
      </c>
      <c r="I21" s="91">
        <v>6.0</v>
      </c>
      <c r="J21" s="91">
        <v>6.0</v>
      </c>
      <c r="K21" s="91">
        <v>2.0</v>
      </c>
      <c r="L21" s="93">
        <v>14.0</v>
      </c>
      <c r="M21" s="91">
        <v>2.0</v>
      </c>
      <c r="N21" s="37">
        <f t="shared" ref="N21:O21" si="26">C21+L21</f>
        <v>141</v>
      </c>
      <c r="O21" s="37">
        <f t="shared" si="26"/>
        <v>14</v>
      </c>
      <c r="P21" s="49" t="s">
        <v>57</v>
      </c>
      <c r="Q21" s="49" t="s">
        <v>57</v>
      </c>
      <c r="R21" s="49" t="s">
        <v>57</v>
      </c>
      <c r="S21" s="51">
        <f t="shared" si="4"/>
        <v>9</v>
      </c>
      <c r="T21" s="52">
        <f t="shared" si="5"/>
        <v>0</v>
      </c>
      <c r="U21" s="52"/>
      <c r="V21" s="51">
        <f t="shared" si="6"/>
        <v>2</v>
      </c>
      <c r="W21" s="52">
        <f t="shared" si="7"/>
        <v>-6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109</v>
      </c>
      <c r="C22" s="37">
        <v>126.0</v>
      </c>
      <c r="D22" s="37">
        <v>12.0</v>
      </c>
      <c r="E22" s="40">
        <f t="shared" si="2"/>
        <v>12</v>
      </c>
      <c r="F22" s="90">
        <v>1.0</v>
      </c>
      <c r="G22" s="91">
        <v>3.0</v>
      </c>
      <c r="H22" s="92">
        <v>0.0</v>
      </c>
      <c r="I22" s="91">
        <v>4.0</v>
      </c>
      <c r="J22" s="91">
        <v>2.0</v>
      </c>
      <c r="K22" s="91">
        <v>2.0</v>
      </c>
      <c r="L22" s="93">
        <v>8.0</v>
      </c>
      <c r="M22" s="91">
        <v>0.0</v>
      </c>
      <c r="N22" s="37">
        <f t="shared" ref="N22:O22" si="27">C22+L22</f>
        <v>134</v>
      </c>
      <c r="O22" s="37">
        <f t="shared" si="27"/>
        <v>12</v>
      </c>
      <c r="P22" s="49" t="s">
        <v>57</v>
      </c>
      <c r="Q22" s="49" t="s">
        <v>57</v>
      </c>
      <c r="R22" s="49" t="s">
        <v>57</v>
      </c>
      <c r="S22" s="51">
        <f t="shared" si="4"/>
        <v>9</v>
      </c>
      <c r="T22" s="52">
        <f t="shared" si="5"/>
        <v>0</v>
      </c>
      <c r="U22" s="52"/>
      <c r="V22" s="51">
        <f t="shared" si="6"/>
        <v>2</v>
      </c>
      <c r="W22" s="52">
        <f t="shared" si="7"/>
        <v>2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104</v>
      </c>
      <c r="C23" s="37">
        <v>125.0</v>
      </c>
      <c r="D23" s="37">
        <v>12.0</v>
      </c>
      <c r="E23" s="40">
        <f t="shared" si="2"/>
        <v>12.71428571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134</v>
      </c>
      <c r="O23" s="37">
        <f t="shared" si="28"/>
        <v>12</v>
      </c>
      <c r="P23" s="49" t="s">
        <v>57</v>
      </c>
      <c r="Q23" s="49" t="s">
        <v>57</v>
      </c>
      <c r="R23" s="49" t="s">
        <v>57</v>
      </c>
      <c r="S23" s="51">
        <f t="shared" si="4"/>
        <v>7</v>
      </c>
      <c r="T23" s="52">
        <f t="shared" si="5"/>
        <v>0</v>
      </c>
      <c r="U23" s="52"/>
      <c r="V23" s="51">
        <f t="shared" si="6"/>
        <v>4</v>
      </c>
      <c r="W23" s="52">
        <f t="shared" si="7"/>
        <v>-4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64</v>
      </c>
      <c r="C24" s="37">
        <v>125.0</v>
      </c>
      <c r="D24" s="37">
        <v>11.0</v>
      </c>
      <c r="E24" s="40">
        <f t="shared" si="2"/>
        <v>11.36363636</v>
      </c>
      <c r="F24" s="90">
        <v>1.0</v>
      </c>
      <c r="G24" s="91">
        <v>3.0</v>
      </c>
      <c r="H24" s="92">
        <v>0.0</v>
      </c>
      <c r="I24" s="91">
        <v>6.0</v>
      </c>
      <c r="J24" s="91">
        <v>2.0</v>
      </c>
      <c r="K24" s="91">
        <v>6.0</v>
      </c>
      <c r="L24" s="93">
        <v>14.0</v>
      </c>
      <c r="M24" s="91">
        <v>2.0</v>
      </c>
      <c r="N24" s="37">
        <f t="shared" ref="N24:O24" si="29">C24+L24</f>
        <v>139</v>
      </c>
      <c r="O24" s="37">
        <f t="shared" si="29"/>
        <v>13</v>
      </c>
      <c r="P24" s="49" t="s">
        <v>57</v>
      </c>
      <c r="Q24" s="49" t="s">
        <v>57</v>
      </c>
      <c r="R24" s="49" t="s">
        <v>57</v>
      </c>
      <c r="S24" s="51">
        <f t="shared" si="4"/>
        <v>11</v>
      </c>
      <c r="T24" s="52">
        <f t="shared" si="5"/>
        <v>0</v>
      </c>
      <c r="U24" s="52"/>
      <c r="V24" s="51">
        <f t="shared" si="6"/>
        <v>0</v>
      </c>
      <c r="W24" s="52">
        <f t="shared" si="7"/>
        <v>5</v>
      </c>
      <c r="X24" s="35">
        <f t="shared" si="12"/>
        <v>20</v>
      </c>
      <c r="Y24" s="35" t="str">
        <f t="shared" si="8"/>
        <v>Y</v>
      </c>
      <c r="Z24" s="19" t="str">
        <f t="shared" si="9"/>
        <v/>
      </c>
    </row>
    <row r="25">
      <c r="A25" s="35">
        <f t="shared" si="10"/>
        <v>21</v>
      </c>
      <c r="B25" s="36" t="s">
        <v>89</v>
      </c>
      <c r="C25" s="37">
        <v>124.0</v>
      </c>
      <c r="D25" s="37">
        <v>11.0</v>
      </c>
      <c r="E25" s="40">
        <f t="shared" si="2"/>
        <v>13.16666667</v>
      </c>
      <c r="F25" s="90">
        <v>1.0</v>
      </c>
      <c r="G25" s="91">
        <v>3.0</v>
      </c>
      <c r="H25" s="92">
        <v>0.0</v>
      </c>
      <c r="I25" s="91">
        <v>4.0</v>
      </c>
      <c r="J25" s="91">
        <v>6.0</v>
      </c>
      <c r="K25" s="91">
        <v>6.0</v>
      </c>
      <c r="L25" s="93">
        <v>16.0</v>
      </c>
      <c r="M25" s="91">
        <v>2.0</v>
      </c>
      <c r="N25" s="37">
        <f t="shared" ref="N25:O25" si="30">C25+L25</f>
        <v>140</v>
      </c>
      <c r="O25" s="37">
        <f t="shared" si="30"/>
        <v>13</v>
      </c>
      <c r="P25" s="49" t="s">
        <v>57</v>
      </c>
      <c r="Q25" s="49" t="s">
        <v>57</v>
      </c>
      <c r="R25" s="49" t="s">
        <v>57</v>
      </c>
      <c r="S25" s="51">
        <f t="shared" si="4"/>
        <v>6</v>
      </c>
      <c r="T25" s="52">
        <f t="shared" si="5"/>
        <v>0</v>
      </c>
      <c r="U25" s="52"/>
      <c r="V25" s="51">
        <f t="shared" si="6"/>
        <v>5</v>
      </c>
      <c r="W25" s="52">
        <f t="shared" si="7"/>
        <v>-3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117</v>
      </c>
      <c r="C26" s="37">
        <v>124.0</v>
      </c>
      <c r="D26" s="37">
        <v>10.0</v>
      </c>
      <c r="E26" s="40">
        <f t="shared" si="2"/>
        <v>11.625</v>
      </c>
      <c r="F26" s="90">
        <v>2.0</v>
      </c>
      <c r="G26" s="91">
        <v>4.0</v>
      </c>
      <c r="H26" s="92">
        <v>0.0</v>
      </c>
      <c r="I26" s="91">
        <v>4.0</v>
      </c>
      <c r="J26" s="91">
        <v>1.0</v>
      </c>
      <c r="K26" s="91">
        <v>6.0</v>
      </c>
      <c r="L26" s="93">
        <v>11.0</v>
      </c>
      <c r="M26" s="91">
        <v>1.0</v>
      </c>
      <c r="N26" s="37">
        <f t="shared" ref="N26:O26" si="31">C26+L26</f>
        <v>135</v>
      </c>
      <c r="O26" s="37">
        <f t="shared" si="31"/>
        <v>11</v>
      </c>
      <c r="P26" s="49" t="s">
        <v>57</v>
      </c>
      <c r="Q26" s="49" t="s">
        <v>57</v>
      </c>
      <c r="R26" s="49" t="s">
        <v>57</v>
      </c>
      <c r="S26" s="51">
        <f t="shared" si="4"/>
        <v>8</v>
      </c>
      <c r="T26" s="52">
        <f t="shared" si="5"/>
        <v>1</v>
      </c>
      <c r="U26" s="52"/>
      <c r="V26" s="51">
        <f t="shared" si="6"/>
        <v>2</v>
      </c>
      <c r="W26" s="52">
        <f t="shared" si="7"/>
        <v>-1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59</v>
      </c>
      <c r="C27" s="37">
        <v>124.0</v>
      </c>
      <c r="D27" s="37">
        <v>10.0</v>
      </c>
      <c r="E27" s="40">
        <f t="shared" si="2"/>
        <v>11.27272727</v>
      </c>
      <c r="F27" s="90">
        <v>1.0</v>
      </c>
      <c r="G27" s="91">
        <v>4.0</v>
      </c>
      <c r="H27" s="92">
        <v>0.0</v>
      </c>
      <c r="I27" s="91">
        <v>6.0</v>
      </c>
      <c r="J27" s="91">
        <v>1.0</v>
      </c>
      <c r="K27" s="91">
        <v>1.0</v>
      </c>
      <c r="L27" s="93">
        <v>8.0</v>
      </c>
      <c r="M27" s="91">
        <v>1.0</v>
      </c>
      <c r="N27" s="37">
        <f t="shared" ref="N27:O27" si="32">C27+L27</f>
        <v>132</v>
      </c>
      <c r="O27" s="37">
        <f t="shared" si="32"/>
        <v>11</v>
      </c>
      <c r="P27" s="49" t="s">
        <v>57</v>
      </c>
      <c r="Q27" s="49" t="s">
        <v>57</v>
      </c>
      <c r="R27" s="49" t="s">
        <v>57</v>
      </c>
      <c r="S27" s="51">
        <f t="shared" si="4"/>
        <v>11</v>
      </c>
      <c r="T27" s="52">
        <f t="shared" si="5"/>
        <v>0</v>
      </c>
      <c r="U27" s="52"/>
      <c r="V27" s="51">
        <f t="shared" si="6"/>
        <v>0</v>
      </c>
      <c r="W27" s="52">
        <f t="shared" si="7"/>
        <v>3</v>
      </c>
      <c r="X27" s="35">
        <f t="shared" si="12"/>
        <v>23</v>
      </c>
      <c r="Y27" s="35" t="str">
        <f t="shared" si="8"/>
        <v>Y</v>
      </c>
      <c r="Z27" s="19" t="str">
        <f t="shared" si="9"/>
        <v/>
      </c>
    </row>
    <row r="28">
      <c r="A28" s="35">
        <f t="shared" si="10"/>
        <v>24</v>
      </c>
      <c r="B28" s="36" t="s">
        <v>95</v>
      </c>
      <c r="C28" s="37">
        <v>123.0</v>
      </c>
      <c r="D28" s="37">
        <v>12.0</v>
      </c>
      <c r="E28" s="40">
        <f t="shared" si="2"/>
        <v>12.42857143</v>
      </c>
      <c r="F28" s="90">
        <v>1.0</v>
      </c>
      <c r="G28" s="91">
        <v>4.0</v>
      </c>
      <c r="H28" s="92">
        <v>0.0</v>
      </c>
      <c r="I28" s="91">
        <v>4.0</v>
      </c>
      <c r="J28" s="91">
        <v>6.0</v>
      </c>
      <c r="K28" s="91">
        <v>1.0</v>
      </c>
      <c r="L28" s="93">
        <v>11.0</v>
      </c>
      <c r="M28" s="91">
        <v>1.0</v>
      </c>
      <c r="N28" s="37">
        <f t="shared" ref="N28:O28" si="33">C28+L28</f>
        <v>134</v>
      </c>
      <c r="O28" s="37">
        <f t="shared" si="33"/>
        <v>13</v>
      </c>
      <c r="P28" s="49" t="s">
        <v>57</v>
      </c>
      <c r="Q28" s="49" t="s">
        <v>57</v>
      </c>
      <c r="R28" s="49" t="s">
        <v>57</v>
      </c>
      <c r="S28" s="51">
        <f t="shared" si="4"/>
        <v>7</v>
      </c>
      <c r="T28" s="52">
        <f t="shared" si="5"/>
        <v>0</v>
      </c>
      <c r="U28" s="52"/>
      <c r="V28" s="51">
        <f t="shared" si="6"/>
        <v>4</v>
      </c>
      <c r="W28" s="52">
        <f t="shared" si="7"/>
        <v>13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139</v>
      </c>
      <c r="C29" s="37">
        <v>123.0</v>
      </c>
      <c r="D29" s="37">
        <v>12.0</v>
      </c>
      <c r="E29" s="40">
        <f t="shared" si="2"/>
        <v>11.66666667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132</v>
      </c>
      <c r="O29" s="37">
        <f t="shared" si="34"/>
        <v>12</v>
      </c>
      <c r="P29" s="49" t="s">
        <v>57</v>
      </c>
      <c r="Q29" s="49" t="s">
        <v>57</v>
      </c>
      <c r="R29" s="49" t="s">
        <v>57</v>
      </c>
      <c r="S29" s="51">
        <f t="shared" si="4"/>
        <v>9</v>
      </c>
      <c r="T29" s="52">
        <f t="shared" si="5"/>
        <v>0</v>
      </c>
      <c r="U29" s="52"/>
      <c r="V29" s="51">
        <f t="shared" si="6"/>
        <v>2</v>
      </c>
      <c r="W29" s="52">
        <f t="shared" si="7"/>
        <v>6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114</v>
      </c>
      <c r="C30" s="37">
        <v>123.0</v>
      </c>
      <c r="D30" s="37">
        <v>11.0</v>
      </c>
      <c r="E30" s="40">
        <f t="shared" si="2"/>
        <v>13</v>
      </c>
      <c r="F30" s="90">
        <v>2.0</v>
      </c>
      <c r="G30" s="91">
        <v>4.0</v>
      </c>
      <c r="H30" s="92">
        <v>0.0</v>
      </c>
      <c r="I30" s="91">
        <v>6.0</v>
      </c>
      <c r="J30" s="91">
        <v>6.0</v>
      </c>
      <c r="K30" s="91">
        <v>6.0</v>
      </c>
      <c r="L30" s="93">
        <v>18.0</v>
      </c>
      <c r="M30" s="91">
        <v>3.0</v>
      </c>
      <c r="N30" s="37">
        <f t="shared" ref="N30:O30" si="35">C30+L30</f>
        <v>141</v>
      </c>
      <c r="O30" s="37">
        <f t="shared" si="35"/>
        <v>14</v>
      </c>
      <c r="P30" s="49" t="s">
        <v>57</v>
      </c>
      <c r="Q30" s="49" t="s">
        <v>57</v>
      </c>
      <c r="R30" s="49" t="s">
        <v>57</v>
      </c>
      <c r="S30" s="51">
        <f t="shared" si="4"/>
        <v>6</v>
      </c>
      <c r="T30" s="52">
        <f t="shared" si="5"/>
        <v>0</v>
      </c>
      <c r="U30" s="52"/>
      <c r="V30" s="51">
        <f t="shared" si="6"/>
        <v>5</v>
      </c>
      <c r="W30" s="52">
        <f t="shared" si="7"/>
        <v>-7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137</v>
      </c>
      <c r="C31" s="37">
        <v>122.0</v>
      </c>
      <c r="D31" s="37">
        <v>12.0</v>
      </c>
      <c r="E31" s="40">
        <f t="shared" si="2"/>
        <v>11.55555556</v>
      </c>
      <c r="F31" s="90">
        <v>1.0</v>
      </c>
      <c r="G31" s="91">
        <v>5.0</v>
      </c>
      <c r="H31" s="92">
        <v>0.0</v>
      </c>
      <c r="I31" s="91">
        <v>7.0</v>
      </c>
      <c r="J31" s="91">
        <v>2.0</v>
      </c>
      <c r="K31" s="91">
        <v>6.0</v>
      </c>
      <c r="L31" s="93">
        <v>15.0</v>
      </c>
      <c r="M31" s="91">
        <v>2.0</v>
      </c>
      <c r="N31" s="37">
        <f t="shared" ref="N31:O31" si="36">C31+L31</f>
        <v>137</v>
      </c>
      <c r="O31" s="37">
        <f t="shared" si="36"/>
        <v>14</v>
      </c>
      <c r="P31" s="49" t="s">
        <v>57</v>
      </c>
      <c r="Q31" s="49" t="s">
        <v>57</v>
      </c>
      <c r="R31" s="49" t="s">
        <v>57</v>
      </c>
      <c r="S31" s="51">
        <f t="shared" si="4"/>
        <v>9</v>
      </c>
      <c r="T31" s="52">
        <f t="shared" si="5"/>
        <v>0</v>
      </c>
      <c r="U31" s="52"/>
      <c r="V31" s="51">
        <f t="shared" si="6"/>
        <v>2</v>
      </c>
      <c r="W31" s="52">
        <f t="shared" si="7"/>
        <v>3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142</v>
      </c>
      <c r="C32" s="37">
        <v>121.0</v>
      </c>
      <c r="D32" s="37">
        <v>11.0</v>
      </c>
      <c r="E32" s="40">
        <f t="shared" si="2"/>
        <v>12.14285714</v>
      </c>
      <c r="F32" s="90">
        <v>2.0</v>
      </c>
      <c r="G32" s="91">
        <v>5.0</v>
      </c>
      <c r="H32" s="92">
        <v>0.0</v>
      </c>
      <c r="I32" s="91">
        <v>7.0</v>
      </c>
      <c r="J32" s="91">
        <v>6.0</v>
      </c>
      <c r="K32" s="91">
        <v>3.0</v>
      </c>
      <c r="L32" s="93">
        <v>16.0</v>
      </c>
      <c r="M32" s="91">
        <v>2.0</v>
      </c>
      <c r="N32" s="37">
        <f t="shared" ref="N32:O32" si="37">C32+L32</f>
        <v>137</v>
      </c>
      <c r="O32" s="37">
        <f t="shared" si="37"/>
        <v>13</v>
      </c>
      <c r="P32" s="49" t="s">
        <v>57</v>
      </c>
      <c r="Q32" s="49" t="s">
        <v>57</v>
      </c>
      <c r="R32" s="49" t="s">
        <v>57</v>
      </c>
      <c r="S32" s="51">
        <f t="shared" si="4"/>
        <v>7</v>
      </c>
      <c r="T32" s="52">
        <f t="shared" si="5"/>
        <v>0</v>
      </c>
      <c r="U32" s="52"/>
      <c r="V32" s="51">
        <f t="shared" si="6"/>
        <v>4</v>
      </c>
      <c r="W32" s="52">
        <f t="shared" si="7"/>
        <v>11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115</v>
      </c>
      <c r="C33" s="37">
        <v>121.0</v>
      </c>
      <c r="D33" s="37">
        <v>11.0</v>
      </c>
      <c r="E33" s="40">
        <f t="shared" si="2"/>
        <v>11.75</v>
      </c>
      <c r="F33" s="90">
        <v>1.0</v>
      </c>
      <c r="G33" s="91">
        <v>5.0</v>
      </c>
      <c r="H33" s="92">
        <v>0.0</v>
      </c>
      <c r="I33" s="91">
        <v>5.0</v>
      </c>
      <c r="J33" s="91">
        <v>2.0</v>
      </c>
      <c r="K33" s="91">
        <v>3.0</v>
      </c>
      <c r="L33" s="93">
        <v>10.0</v>
      </c>
      <c r="M33" s="91">
        <v>0.0</v>
      </c>
      <c r="N33" s="37">
        <f t="shared" ref="N33:O33" si="38">C33+L33</f>
        <v>131</v>
      </c>
      <c r="O33" s="37">
        <f t="shared" si="38"/>
        <v>11</v>
      </c>
      <c r="P33" s="49" t="s">
        <v>57</v>
      </c>
      <c r="Q33" s="49" t="s">
        <v>57</v>
      </c>
      <c r="R33" s="49" t="s">
        <v>57</v>
      </c>
      <c r="S33" s="51">
        <f t="shared" si="4"/>
        <v>8</v>
      </c>
      <c r="T33" s="52">
        <f t="shared" si="5"/>
        <v>0</v>
      </c>
      <c r="U33" s="52"/>
      <c r="V33" s="51">
        <f t="shared" si="6"/>
        <v>3</v>
      </c>
      <c r="W33" s="52">
        <f t="shared" si="7"/>
        <v>3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112</v>
      </c>
      <c r="C34" s="37">
        <v>120.0</v>
      </c>
      <c r="D34" s="37">
        <v>9.0</v>
      </c>
      <c r="E34" s="40">
        <f t="shared" si="2"/>
        <v>12</v>
      </c>
      <c r="F34" s="90">
        <v>2.0</v>
      </c>
      <c r="G34" s="91">
        <v>5.0</v>
      </c>
      <c r="H34" s="92">
        <v>0.0</v>
      </c>
      <c r="I34" s="91">
        <v>5.0</v>
      </c>
      <c r="J34" s="91">
        <v>6.0</v>
      </c>
      <c r="K34" s="91">
        <v>6.0</v>
      </c>
      <c r="L34" s="93">
        <v>17.0</v>
      </c>
      <c r="M34" s="91">
        <v>2.0</v>
      </c>
      <c r="N34" s="37">
        <f t="shared" ref="N34:O34" si="39">C34+L34</f>
        <v>137</v>
      </c>
      <c r="O34" s="37">
        <f t="shared" si="39"/>
        <v>11</v>
      </c>
      <c r="P34" s="49" t="s">
        <v>57</v>
      </c>
      <c r="Q34" s="49" t="s">
        <v>57</v>
      </c>
      <c r="R34" s="49" t="s">
        <v>57</v>
      </c>
      <c r="S34" s="51">
        <f t="shared" si="4"/>
        <v>7</v>
      </c>
      <c r="T34" s="52">
        <f t="shared" si="5"/>
        <v>0</v>
      </c>
      <c r="U34" s="52"/>
      <c r="V34" s="51">
        <f t="shared" si="6"/>
        <v>4</v>
      </c>
      <c r="W34" s="52">
        <f t="shared" si="7"/>
        <v>-7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90</v>
      </c>
      <c r="C35" s="37">
        <v>120.0</v>
      </c>
      <c r="D35" s="37">
        <v>8.0</v>
      </c>
      <c r="E35" s="40">
        <f t="shared" si="2"/>
        <v>14.25</v>
      </c>
      <c r="F35" s="90">
        <v>3.0</v>
      </c>
      <c r="G35" s="91">
        <v>0.0</v>
      </c>
      <c r="H35" s="92">
        <v>9.0</v>
      </c>
      <c r="I35" s="91">
        <v>0.0</v>
      </c>
      <c r="J35" s="91">
        <v>0.0</v>
      </c>
      <c r="K35" s="91">
        <v>0.0</v>
      </c>
      <c r="L35" s="93">
        <v>9.0</v>
      </c>
      <c r="M35" s="91">
        <v>0.0</v>
      </c>
      <c r="N35" s="37">
        <f t="shared" ref="N35:O35" si="40">C35+L35</f>
        <v>129</v>
      </c>
      <c r="O35" s="37">
        <f t="shared" si="40"/>
        <v>8</v>
      </c>
      <c r="P35" s="49" t="s">
        <v>57</v>
      </c>
      <c r="Q35" s="49" t="s">
        <v>57</v>
      </c>
      <c r="R35" s="49" t="s">
        <v>57</v>
      </c>
      <c r="S35" s="51">
        <f t="shared" si="4"/>
        <v>4</v>
      </c>
      <c r="T35" s="52">
        <f t="shared" si="5"/>
        <v>0</v>
      </c>
      <c r="U35" s="52"/>
      <c r="V35" s="51">
        <f t="shared" si="6"/>
        <v>7</v>
      </c>
      <c r="W35" s="52">
        <f t="shared" si="7"/>
        <v>-7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97</v>
      </c>
      <c r="C36" s="37">
        <v>118.0</v>
      </c>
      <c r="D36" s="37">
        <v>7.0</v>
      </c>
      <c r="E36" s="40">
        <f t="shared" si="2"/>
        <v>13.75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127</v>
      </c>
      <c r="O36" s="37">
        <f t="shared" si="41"/>
        <v>7</v>
      </c>
      <c r="P36" s="49" t="s">
        <v>57</v>
      </c>
      <c r="Q36" s="49" t="s">
        <v>57</v>
      </c>
      <c r="R36" s="49" t="s">
        <v>57</v>
      </c>
      <c r="S36" s="51">
        <f t="shared" si="4"/>
        <v>4</v>
      </c>
      <c r="T36" s="52">
        <f t="shared" si="5"/>
        <v>0</v>
      </c>
      <c r="U36" s="52"/>
      <c r="V36" s="51">
        <f t="shared" si="6"/>
        <v>7</v>
      </c>
      <c r="W36" s="52">
        <f t="shared" si="7"/>
        <v>-5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107</v>
      </c>
      <c r="C37" s="37">
        <v>117.0</v>
      </c>
      <c r="D37" s="37">
        <v>9.0</v>
      </c>
      <c r="E37" s="40">
        <f t="shared" si="2"/>
        <v>12.6</v>
      </c>
      <c r="F37" s="90">
        <v>1.0</v>
      </c>
      <c r="G37" s="91">
        <v>6.0</v>
      </c>
      <c r="H37" s="92">
        <v>0.0</v>
      </c>
      <c r="I37" s="91">
        <v>2.0</v>
      </c>
      <c r="J37" s="91">
        <v>6.0</v>
      </c>
      <c r="K37" s="91">
        <v>1.0</v>
      </c>
      <c r="L37" s="93">
        <v>9.0</v>
      </c>
      <c r="M37" s="91">
        <v>1.0</v>
      </c>
      <c r="N37" s="37">
        <f t="shared" ref="N37:O37" si="42">C37+L37</f>
        <v>126</v>
      </c>
      <c r="O37" s="37">
        <f t="shared" si="42"/>
        <v>10</v>
      </c>
      <c r="P37" s="49" t="s">
        <v>57</v>
      </c>
      <c r="Q37" s="49" t="s">
        <v>57</v>
      </c>
      <c r="R37" s="49" t="s">
        <v>57</v>
      </c>
      <c r="S37" s="51">
        <f t="shared" si="4"/>
        <v>5</v>
      </c>
      <c r="T37" s="52">
        <f t="shared" si="5"/>
        <v>0</v>
      </c>
      <c r="U37" s="52"/>
      <c r="V37" s="51">
        <f t="shared" si="6"/>
        <v>6</v>
      </c>
      <c r="W37" s="52">
        <f t="shared" si="7"/>
        <v>-4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51</v>
      </c>
      <c r="C38" s="37">
        <v>116.0</v>
      </c>
      <c r="D38" s="37">
        <v>8.0</v>
      </c>
      <c r="E38" s="40">
        <f t="shared" si="2"/>
        <v>13.25</v>
      </c>
      <c r="F38" s="90">
        <v>2.0</v>
      </c>
      <c r="G38" s="91">
        <v>6.0</v>
      </c>
      <c r="H38" s="92">
        <v>0.0</v>
      </c>
      <c r="I38" s="91">
        <v>6.0</v>
      </c>
      <c r="J38" s="91">
        <v>6.0</v>
      </c>
      <c r="K38" s="91">
        <v>6.0</v>
      </c>
      <c r="L38" s="93">
        <v>18.0</v>
      </c>
      <c r="M38" s="91">
        <v>3.0</v>
      </c>
      <c r="N38" s="37">
        <f t="shared" ref="N38:O38" si="43">C38+L38</f>
        <v>134</v>
      </c>
      <c r="O38" s="37">
        <f t="shared" si="43"/>
        <v>11</v>
      </c>
      <c r="P38" s="49" t="s">
        <v>57</v>
      </c>
      <c r="Q38" s="49" t="s">
        <v>57</v>
      </c>
      <c r="R38" s="49" t="s">
        <v>57</v>
      </c>
      <c r="S38" s="51">
        <f t="shared" si="4"/>
        <v>4</v>
      </c>
      <c r="T38" s="52">
        <f t="shared" si="5"/>
        <v>0</v>
      </c>
      <c r="U38" s="52"/>
      <c r="V38" s="51">
        <f t="shared" si="6"/>
        <v>7</v>
      </c>
      <c r="W38" s="52">
        <f t="shared" si="7"/>
        <v>-1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101</v>
      </c>
      <c r="C39" s="37">
        <v>116.0</v>
      </c>
      <c r="D39" s="37">
        <v>8.0</v>
      </c>
      <c r="E39" s="40">
        <f t="shared" si="2"/>
        <v>11.6</v>
      </c>
      <c r="F39" s="90">
        <v>5.0</v>
      </c>
      <c r="G39" s="91">
        <v>0.0</v>
      </c>
      <c r="H39" s="92">
        <v>13.0</v>
      </c>
      <c r="I39" s="91">
        <v>0.0</v>
      </c>
      <c r="J39" s="91">
        <v>0.0</v>
      </c>
      <c r="K39" s="91">
        <v>0.0</v>
      </c>
      <c r="L39" s="93">
        <v>13.0</v>
      </c>
      <c r="M39" s="91">
        <v>0.0</v>
      </c>
      <c r="N39" s="37">
        <f t="shared" ref="N39:O39" si="44">C39+L39</f>
        <v>129</v>
      </c>
      <c r="O39" s="37">
        <f t="shared" si="44"/>
        <v>8</v>
      </c>
      <c r="P39" s="49" t="s">
        <v>57</v>
      </c>
      <c r="Q39" s="49" t="s">
        <v>57</v>
      </c>
      <c r="R39" s="49" t="s">
        <v>57</v>
      </c>
      <c r="S39" s="51">
        <f t="shared" si="4"/>
        <v>5</v>
      </c>
      <c r="T39" s="52">
        <f t="shared" si="5"/>
        <v>1</v>
      </c>
      <c r="U39" s="52"/>
      <c r="V39" s="51">
        <f t="shared" si="6"/>
        <v>5</v>
      </c>
      <c r="W39" s="52">
        <f t="shared" si="7"/>
        <v>-1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76</v>
      </c>
      <c r="C40" s="37">
        <v>116.0</v>
      </c>
      <c r="D40" s="37">
        <v>7.0</v>
      </c>
      <c r="E40" s="40">
        <f t="shared" si="2"/>
        <v>11.16666667</v>
      </c>
      <c r="F40" s="90">
        <v>1.0</v>
      </c>
      <c r="G40" s="91">
        <v>6.0</v>
      </c>
      <c r="H40" s="92">
        <v>0.0</v>
      </c>
      <c r="I40" s="91">
        <v>2.0</v>
      </c>
      <c r="J40" s="91">
        <v>4.0</v>
      </c>
      <c r="K40" s="91">
        <v>6.0</v>
      </c>
      <c r="L40" s="93">
        <v>12.0</v>
      </c>
      <c r="M40" s="91">
        <v>1.0</v>
      </c>
      <c r="N40" s="37">
        <f t="shared" ref="N40:O40" si="45">C40+L40</f>
        <v>128</v>
      </c>
      <c r="O40" s="37">
        <f t="shared" si="45"/>
        <v>8</v>
      </c>
      <c r="P40" s="49" t="s">
        <v>57</v>
      </c>
      <c r="Q40" s="49" t="s">
        <v>57</v>
      </c>
      <c r="R40" s="49" t="s">
        <v>57</v>
      </c>
      <c r="S40" s="51">
        <f t="shared" si="4"/>
        <v>6</v>
      </c>
      <c r="T40" s="52">
        <f t="shared" si="5"/>
        <v>1</v>
      </c>
      <c r="U40" s="52"/>
      <c r="V40" s="51">
        <f t="shared" si="6"/>
        <v>4</v>
      </c>
      <c r="W40" s="52">
        <f t="shared" si="7"/>
        <v>-1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126</v>
      </c>
      <c r="C41" s="37">
        <v>115.0</v>
      </c>
      <c r="D41" s="37">
        <v>10.0</v>
      </c>
      <c r="E41" s="40">
        <f t="shared" si="2"/>
        <v>11.28571429</v>
      </c>
      <c r="F41" s="90">
        <v>1.0</v>
      </c>
      <c r="G41" s="91">
        <v>6.0</v>
      </c>
      <c r="H41" s="92">
        <v>0.0</v>
      </c>
      <c r="I41" s="91">
        <v>6.0</v>
      </c>
      <c r="J41" s="91">
        <v>4.0</v>
      </c>
      <c r="K41" s="91">
        <v>1.0</v>
      </c>
      <c r="L41" s="93">
        <v>11.0</v>
      </c>
      <c r="M41" s="91">
        <v>1.0</v>
      </c>
      <c r="N41" s="37">
        <f t="shared" ref="N41:O41" si="46">C41+L41</f>
        <v>126</v>
      </c>
      <c r="O41" s="37">
        <f t="shared" si="46"/>
        <v>11</v>
      </c>
      <c r="P41" s="49" t="s">
        <v>57</v>
      </c>
      <c r="Q41" s="49" t="s">
        <v>57</v>
      </c>
      <c r="R41" s="49" t="s">
        <v>57</v>
      </c>
      <c r="S41" s="51">
        <f t="shared" si="4"/>
        <v>7</v>
      </c>
      <c r="T41" s="52">
        <f t="shared" si="5"/>
        <v>0</v>
      </c>
      <c r="U41" s="52"/>
      <c r="V41" s="51">
        <f t="shared" si="6"/>
        <v>4</v>
      </c>
      <c r="W41" s="52">
        <f t="shared" si="7"/>
        <v>-1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143</v>
      </c>
      <c r="C42" s="37">
        <v>115.0</v>
      </c>
      <c r="D42" s="37">
        <v>9.0</v>
      </c>
      <c r="E42" s="40">
        <f t="shared" si="2"/>
        <v>11.66666667</v>
      </c>
      <c r="F42" s="90">
        <v>1.0</v>
      </c>
      <c r="G42" s="91">
        <v>7.0</v>
      </c>
      <c r="H42" s="92">
        <v>0.0</v>
      </c>
      <c r="I42" s="91">
        <v>6.0</v>
      </c>
      <c r="J42" s="91">
        <v>6.0</v>
      </c>
      <c r="K42" s="91">
        <v>1.0</v>
      </c>
      <c r="L42" s="93">
        <v>13.0</v>
      </c>
      <c r="M42" s="91">
        <v>2.0</v>
      </c>
      <c r="N42" s="37">
        <f t="shared" ref="N42:O42" si="47">C42+L42</f>
        <v>128</v>
      </c>
      <c r="O42" s="37">
        <f t="shared" si="47"/>
        <v>11</v>
      </c>
      <c r="P42" s="49" t="s">
        <v>57</v>
      </c>
      <c r="Q42" s="49" t="s">
        <v>57</v>
      </c>
      <c r="R42" s="49" t="s">
        <v>57</v>
      </c>
      <c r="S42" s="51">
        <f t="shared" si="4"/>
        <v>6</v>
      </c>
      <c r="T42" s="52">
        <f t="shared" si="5"/>
        <v>0</v>
      </c>
      <c r="U42" s="52"/>
      <c r="V42" s="51">
        <f t="shared" si="6"/>
        <v>5</v>
      </c>
      <c r="W42" s="52">
        <f t="shared" si="7"/>
        <v>3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120</v>
      </c>
      <c r="C43" s="37">
        <v>115.0</v>
      </c>
      <c r="D43" s="37">
        <v>7.0</v>
      </c>
      <c r="E43" s="40">
        <f t="shared" si="2"/>
        <v>13</v>
      </c>
      <c r="F43" s="90">
        <v>1.0</v>
      </c>
      <c r="G43" s="91">
        <v>7.0</v>
      </c>
      <c r="H43" s="92">
        <v>0.0</v>
      </c>
      <c r="I43" s="91">
        <v>2.0</v>
      </c>
      <c r="J43" s="91">
        <v>6.0</v>
      </c>
      <c r="K43" s="91">
        <v>6.0</v>
      </c>
      <c r="L43" s="93">
        <v>14.0</v>
      </c>
      <c r="M43" s="91">
        <v>2.0</v>
      </c>
      <c r="N43" s="37">
        <f t="shared" ref="N43:O43" si="48">C43+L43</f>
        <v>129</v>
      </c>
      <c r="O43" s="37">
        <f t="shared" si="48"/>
        <v>9</v>
      </c>
      <c r="P43" s="49" t="s">
        <v>57</v>
      </c>
      <c r="Q43" s="49" t="s">
        <v>57</v>
      </c>
      <c r="R43" s="49" t="s">
        <v>57</v>
      </c>
      <c r="S43" s="51">
        <f t="shared" si="4"/>
        <v>4</v>
      </c>
      <c r="T43" s="52">
        <f t="shared" si="5"/>
        <v>0</v>
      </c>
      <c r="U43" s="52"/>
      <c r="V43" s="51">
        <f t="shared" si="6"/>
        <v>7</v>
      </c>
      <c r="W43" s="52">
        <f t="shared" si="7"/>
        <v>-1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138</v>
      </c>
      <c r="C44" s="37">
        <v>114.0</v>
      </c>
      <c r="D44" s="37">
        <v>10.0</v>
      </c>
      <c r="E44" s="40">
        <f t="shared" si="2"/>
        <v>11.14285714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123</v>
      </c>
      <c r="O44" s="37">
        <f t="shared" si="49"/>
        <v>10</v>
      </c>
      <c r="P44" s="49" t="s">
        <v>57</v>
      </c>
      <c r="Q44" s="49" t="s">
        <v>57</v>
      </c>
      <c r="R44" s="49" t="s">
        <v>57</v>
      </c>
      <c r="S44" s="51">
        <f t="shared" si="4"/>
        <v>7</v>
      </c>
      <c r="T44" s="52">
        <f t="shared" si="5"/>
        <v>0</v>
      </c>
      <c r="U44" s="52"/>
      <c r="V44" s="51">
        <f t="shared" si="6"/>
        <v>4</v>
      </c>
      <c r="W44" s="52">
        <f t="shared" si="7"/>
        <v>3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113</v>
      </c>
      <c r="C45" s="37">
        <v>114.0</v>
      </c>
      <c r="D45" s="37">
        <v>9.0</v>
      </c>
      <c r="E45" s="40">
        <f t="shared" si="2"/>
        <v>12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123</v>
      </c>
      <c r="O45" s="37">
        <f t="shared" si="50"/>
        <v>9</v>
      </c>
      <c r="P45" s="49" t="s">
        <v>57</v>
      </c>
      <c r="Q45" s="49" t="s">
        <v>57</v>
      </c>
      <c r="R45" s="49" t="s">
        <v>57</v>
      </c>
      <c r="S45" s="51">
        <f t="shared" si="4"/>
        <v>5</v>
      </c>
      <c r="T45" s="52">
        <f t="shared" si="5"/>
        <v>0</v>
      </c>
      <c r="U45" s="52"/>
      <c r="V45" s="51">
        <f t="shared" si="6"/>
        <v>6</v>
      </c>
      <c r="W45" s="52">
        <f t="shared" si="7"/>
        <v>10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130</v>
      </c>
      <c r="C46" s="37">
        <v>113.0</v>
      </c>
      <c r="D46" s="37">
        <v>10.0</v>
      </c>
      <c r="E46" s="40">
        <f t="shared" si="2"/>
        <v>10.27272727</v>
      </c>
      <c r="F46" s="90">
        <v>1.0</v>
      </c>
      <c r="G46" s="91">
        <v>7.0</v>
      </c>
      <c r="H46" s="92">
        <v>0.0</v>
      </c>
      <c r="I46" s="91">
        <v>6.0</v>
      </c>
      <c r="J46" s="91">
        <v>1.0</v>
      </c>
      <c r="K46" s="91">
        <v>6.0</v>
      </c>
      <c r="L46" s="93">
        <v>13.0</v>
      </c>
      <c r="M46" s="91">
        <v>2.0</v>
      </c>
      <c r="N46" s="37">
        <f t="shared" ref="N46:O46" si="51">C46+L46</f>
        <v>126</v>
      </c>
      <c r="O46" s="37">
        <f t="shared" si="51"/>
        <v>12</v>
      </c>
      <c r="P46" s="49" t="s">
        <v>57</v>
      </c>
      <c r="Q46" s="49" t="s">
        <v>57</v>
      </c>
      <c r="R46" s="49" t="s">
        <v>57</v>
      </c>
      <c r="S46" s="51">
        <f t="shared" si="4"/>
        <v>11</v>
      </c>
      <c r="T46" s="52">
        <f t="shared" si="5"/>
        <v>0</v>
      </c>
      <c r="U46" s="52"/>
      <c r="V46" s="51">
        <f t="shared" si="6"/>
        <v>0</v>
      </c>
      <c r="W46" s="52">
        <f t="shared" si="7"/>
        <v>-20</v>
      </c>
      <c r="X46" s="35">
        <f t="shared" si="12"/>
        <v>42</v>
      </c>
      <c r="Y46" s="35" t="str">
        <f t="shared" si="8"/>
        <v>Y</v>
      </c>
      <c r="Z46" s="19" t="str">
        <f t="shared" si="9"/>
        <v/>
      </c>
    </row>
    <row r="47">
      <c r="A47" s="35">
        <f t="shared" si="10"/>
        <v>43</v>
      </c>
      <c r="B47" s="36" t="s">
        <v>116</v>
      </c>
      <c r="C47" s="37">
        <v>112.0</v>
      </c>
      <c r="D47" s="37">
        <v>8.0</v>
      </c>
      <c r="E47" s="40">
        <f t="shared" si="2"/>
        <v>10.18181818</v>
      </c>
      <c r="F47" s="90">
        <v>1.0</v>
      </c>
      <c r="G47" s="91">
        <v>7.0</v>
      </c>
      <c r="H47" s="92">
        <v>0.0</v>
      </c>
      <c r="I47" s="91">
        <v>2.0</v>
      </c>
      <c r="J47" s="91">
        <v>1.0</v>
      </c>
      <c r="K47" s="91">
        <v>1.0</v>
      </c>
      <c r="L47" s="93">
        <v>4.0</v>
      </c>
      <c r="M47" s="91">
        <v>0.0</v>
      </c>
      <c r="N47" s="37">
        <f t="shared" ref="N47:O47" si="52">C47+L47</f>
        <v>116</v>
      </c>
      <c r="O47" s="37">
        <f t="shared" si="52"/>
        <v>8</v>
      </c>
      <c r="P47" s="49" t="s">
        <v>57</v>
      </c>
      <c r="Q47" s="49" t="s">
        <v>57</v>
      </c>
      <c r="R47" s="49" t="s">
        <v>57</v>
      </c>
      <c r="S47" s="51">
        <f t="shared" si="4"/>
        <v>11</v>
      </c>
      <c r="T47" s="52">
        <f t="shared" si="5"/>
        <v>0</v>
      </c>
      <c r="U47" s="52"/>
      <c r="V47" s="51">
        <f t="shared" si="6"/>
        <v>0</v>
      </c>
      <c r="W47" s="52">
        <f t="shared" si="7"/>
        <v>4</v>
      </c>
      <c r="X47" s="35">
        <f t="shared" si="12"/>
        <v>43</v>
      </c>
      <c r="Y47" s="35" t="str">
        <f t="shared" si="8"/>
        <v>Y</v>
      </c>
      <c r="Z47" s="19" t="str">
        <f t="shared" si="9"/>
        <v/>
      </c>
    </row>
    <row r="48">
      <c r="A48" s="35">
        <f t="shared" si="10"/>
        <v>44</v>
      </c>
      <c r="B48" s="36" t="s">
        <v>132</v>
      </c>
      <c r="C48" s="37">
        <v>112.0</v>
      </c>
      <c r="D48" s="37">
        <v>7.0</v>
      </c>
      <c r="E48" s="40">
        <f t="shared" si="2"/>
        <v>11.6</v>
      </c>
      <c r="F48" s="90">
        <v>1.0</v>
      </c>
      <c r="G48" s="91">
        <v>8.0</v>
      </c>
      <c r="H48" s="92">
        <v>0.0</v>
      </c>
      <c r="I48" s="91">
        <v>6.0</v>
      </c>
      <c r="J48" s="91">
        <v>6.0</v>
      </c>
      <c r="K48" s="91">
        <v>6.0</v>
      </c>
      <c r="L48" s="93">
        <v>18.0</v>
      </c>
      <c r="M48" s="91">
        <v>3.0</v>
      </c>
      <c r="N48" s="37">
        <f t="shared" ref="N48:O48" si="53">C48+L48</f>
        <v>130</v>
      </c>
      <c r="O48" s="37">
        <f t="shared" si="53"/>
        <v>10</v>
      </c>
      <c r="P48" s="49" t="s">
        <v>57</v>
      </c>
      <c r="Q48" s="49" t="s">
        <v>57</v>
      </c>
      <c r="R48" s="49" t="s">
        <v>57</v>
      </c>
      <c r="S48" s="51">
        <f t="shared" si="4"/>
        <v>5</v>
      </c>
      <c r="T48" s="52">
        <f t="shared" si="5"/>
        <v>0</v>
      </c>
      <c r="U48" s="52"/>
      <c r="V48" s="51">
        <f t="shared" si="6"/>
        <v>6</v>
      </c>
      <c r="W48" s="52">
        <f t="shared" si="7"/>
        <v>-4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147</v>
      </c>
      <c r="C49" s="37">
        <v>112.0</v>
      </c>
      <c r="D49" s="37">
        <v>5.0</v>
      </c>
      <c r="E49" s="40">
        <f t="shared" si="2"/>
        <v>11.25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121</v>
      </c>
      <c r="O49" s="37">
        <f t="shared" si="54"/>
        <v>5</v>
      </c>
      <c r="P49" s="49" t="s">
        <v>57</v>
      </c>
      <c r="Q49" s="49" t="s">
        <v>57</v>
      </c>
      <c r="R49" s="49" t="s">
        <v>57</v>
      </c>
      <c r="S49" s="51">
        <f t="shared" si="4"/>
        <v>4</v>
      </c>
      <c r="T49" s="52">
        <f t="shared" si="5"/>
        <v>1</v>
      </c>
      <c r="U49" s="52"/>
      <c r="V49" s="51">
        <f t="shared" si="6"/>
        <v>6</v>
      </c>
      <c r="W49" s="52">
        <f t="shared" si="7"/>
        <v>-3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110</v>
      </c>
      <c r="C50" s="37">
        <v>110.0</v>
      </c>
      <c r="D50" s="37">
        <v>10.0</v>
      </c>
      <c r="E50" s="40">
        <f t="shared" si="2"/>
        <v>10</v>
      </c>
      <c r="F50" s="90">
        <v>2.0</v>
      </c>
      <c r="G50" s="91">
        <v>8.0</v>
      </c>
      <c r="H50" s="92">
        <v>0.0</v>
      </c>
      <c r="I50" s="91">
        <v>6.0</v>
      </c>
      <c r="J50" s="91">
        <v>0.0</v>
      </c>
      <c r="K50" s="91">
        <v>2.0</v>
      </c>
      <c r="L50" s="93">
        <v>8.0</v>
      </c>
      <c r="M50" s="91">
        <v>1.0</v>
      </c>
      <c r="N50" s="37">
        <f t="shared" ref="N50:O50" si="55">C50+L50</f>
        <v>118</v>
      </c>
      <c r="O50" s="37">
        <f t="shared" si="55"/>
        <v>11</v>
      </c>
      <c r="P50" s="49" t="s">
        <v>57</v>
      </c>
      <c r="Q50" s="49" t="s">
        <v>57</v>
      </c>
      <c r="R50" s="49" t="s">
        <v>57</v>
      </c>
      <c r="S50" s="51">
        <f t="shared" si="4"/>
        <v>11</v>
      </c>
      <c r="T50" s="52">
        <f t="shared" si="5"/>
        <v>0</v>
      </c>
      <c r="U50" s="52"/>
      <c r="V50" s="51">
        <f t="shared" si="6"/>
        <v>0</v>
      </c>
      <c r="W50" s="52">
        <f t="shared" si="7"/>
        <v>3</v>
      </c>
      <c r="X50" s="35">
        <f t="shared" si="12"/>
        <v>46</v>
      </c>
      <c r="Y50" s="35" t="str">
        <f t="shared" si="8"/>
        <v>Y</v>
      </c>
      <c r="Z50" s="19" t="str">
        <f t="shared" si="9"/>
        <v/>
      </c>
    </row>
    <row r="51">
      <c r="A51" s="35">
        <f t="shared" si="10"/>
        <v>47</v>
      </c>
      <c r="B51" s="36" t="s">
        <v>151</v>
      </c>
      <c r="C51" s="37">
        <v>110.0</v>
      </c>
      <c r="D51" s="37">
        <v>8.0</v>
      </c>
      <c r="E51" s="40">
        <f t="shared" si="2"/>
        <v>9.875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119</v>
      </c>
      <c r="O51" s="37">
        <f t="shared" si="56"/>
        <v>8</v>
      </c>
      <c r="P51" s="49" t="s">
        <v>57</v>
      </c>
      <c r="Q51" s="49" t="s">
        <v>57</v>
      </c>
      <c r="R51" s="49" t="s">
        <v>57</v>
      </c>
      <c r="S51" s="51">
        <f t="shared" si="4"/>
        <v>8</v>
      </c>
      <c r="T51" s="52">
        <f t="shared" si="5"/>
        <v>1</v>
      </c>
      <c r="U51" s="52"/>
      <c r="V51" s="51">
        <f t="shared" si="6"/>
        <v>2</v>
      </c>
      <c r="W51" s="52">
        <f t="shared" si="7"/>
        <v>-3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131</v>
      </c>
      <c r="C52" s="37">
        <v>110.0</v>
      </c>
      <c r="D52" s="37">
        <v>6.0</v>
      </c>
      <c r="E52" s="40">
        <f t="shared" si="2"/>
        <v>11.33333333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119</v>
      </c>
      <c r="O52" s="37">
        <f t="shared" si="57"/>
        <v>6</v>
      </c>
      <c r="P52" s="49" t="s">
        <v>57</v>
      </c>
      <c r="Q52" s="49" t="s">
        <v>57</v>
      </c>
      <c r="R52" s="49" t="s">
        <v>57</v>
      </c>
      <c r="S52" s="51">
        <f t="shared" si="4"/>
        <v>3</v>
      </c>
      <c r="T52" s="52">
        <f t="shared" si="5"/>
        <v>1</v>
      </c>
      <c r="U52" s="52"/>
      <c r="V52" s="51">
        <f t="shared" si="6"/>
        <v>7</v>
      </c>
      <c r="W52" s="52">
        <f t="shared" si="7"/>
        <v>-3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118</v>
      </c>
      <c r="C53" s="37">
        <v>109.0</v>
      </c>
      <c r="D53" s="37">
        <v>6.0</v>
      </c>
      <c r="E53" s="40">
        <f t="shared" si="2"/>
        <v>10.11111111</v>
      </c>
      <c r="F53" s="90">
        <v>2.0</v>
      </c>
      <c r="G53" s="91">
        <v>8.0</v>
      </c>
      <c r="H53" s="92">
        <v>0.0</v>
      </c>
      <c r="I53" s="91">
        <v>4.0</v>
      </c>
      <c r="J53" s="91">
        <v>0.0</v>
      </c>
      <c r="K53" s="91">
        <v>6.0</v>
      </c>
      <c r="L53" s="93">
        <v>10.0</v>
      </c>
      <c r="M53" s="91">
        <v>1.0</v>
      </c>
      <c r="N53" s="37">
        <f t="shared" ref="N53:O53" si="58">C53+L53</f>
        <v>119</v>
      </c>
      <c r="O53" s="37">
        <f t="shared" si="58"/>
        <v>7</v>
      </c>
      <c r="P53" s="49" t="s">
        <v>57</v>
      </c>
      <c r="Q53" s="49" t="s">
        <v>57</v>
      </c>
      <c r="R53" s="49" t="s">
        <v>57</v>
      </c>
      <c r="S53" s="51">
        <f t="shared" si="4"/>
        <v>9</v>
      </c>
      <c r="T53" s="52">
        <f t="shared" si="5"/>
        <v>0</v>
      </c>
      <c r="U53" s="52"/>
      <c r="V53" s="51">
        <f t="shared" si="6"/>
        <v>2</v>
      </c>
      <c r="W53" s="52">
        <f t="shared" si="7"/>
        <v>4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153</v>
      </c>
      <c r="C54" s="37">
        <v>109.0</v>
      </c>
      <c r="D54" s="37">
        <v>6.0</v>
      </c>
      <c r="E54" s="40">
        <f t="shared" si="2"/>
        <v>11.5</v>
      </c>
      <c r="F54" s="90">
        <v>2.0</v>
      </c>
      <c r="G54" s="91">
        <v>8.0</v>
      </c>
      <c r="H54" s="92">
        <v>0.0</v>
      </c>
      <c r="I54" s="91">
        <v>4.0</v>
      </c>
      <c r="J54" s="91">
        <v>6.0</v>
      </c>
      <c r="K54" s="91">
        <v>2.0</v>
      </c>
      <c r="L54" s="93">
        <v>12.0</v>
      </c>
      <c r="M54" s="91">
        <v>1.0</v>
      </c>
      <c r="N54" s="37">
        <f t="shared" ref="N54:O54" si="59">C54+L54</f>
        <v>121</v>
      </c>
      <c r="O54" s="37">
        <f t="shared" si="59"/>
        <v>7</v>
      </c>
      <c r="P54" s="49" t="s">
        <v>57</v>
      </c>
      <c r="Q54" s="49" t="s">
        <v>57</v>
      </c>
      <c r="R54" s="49" t="s">
        <v>57</v>
      </c>
      <c r="S54" s="51">
        <f t="shared" si="4"/>
        <v>4</v>
      </c>
      <c r="T54" s="52">
        <f t="shared" si="5"/>
        <v>0</v>
      </c>
      <c r="U54" s="52"/>
      <c r="V54" s="51">
        <f t="shared" si="6"/>
        <v>7</v>
      </c>
      <c r="W54" s="52">
        <f t="shared" si="7"/>
        <v>10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134</v>
      </c>
      <c r="C55" s="37">
        <v>108.0</v>
      </c>
      <c r="D55" s="37">
        <v>8.0</v>
      </c>
      <c r="E55" s="40">
        <f t="shared" si="2"/>
        <v>10.125</v>
      </c>
      <c r="F55" s="90">
        <v>1.0</v>
      </c>
      <c r="G55" s="91">
        <v>10.0</v>
      </c>
      <c r="H55" s="92">
        <v>0.0</v>
      </c>
      <c r="I55" s="91">
        <v>6.0</v>
      </c>
      <c r="J55" s="91">
        <v>2.0</v>
      </c>
      <c r="K55" s="91">
        <v>3.0</v>
      </c>
      <c r="L55" s="93">
        <v>11.0</v>
      </c>
      <c r="M55" s="91">
        <v>1.0</v>
      </c>
      <c r="N55" s="37">
        <f t="shared" ref="N55:O55" si="60">C55+L55</f>
        <v>119</v>
      </c>
      <c r="O55" s="37">
        <f t="shared" si="60"/>
        <v>9</v>
      </c>
      <c r="P55" s="49" t="s">
        <v>57</v>
      </c>
      <c r="Q55" s="49" t="s">
        <v>57</v>
      </c>
      <c r="R55" s="49" t="s">
        <v>57</v>
      </c>
      <c r="S55" s="51">
        <f t="shared" si="4"/>
        <v>8</v>
      </c>
      <c r="T55" s="52">
        <f t="shared" si="5"/>
        <v>0</v>
      </c>
      <c r="U55" s="52"/>
      <c r="V55" s="51">
        <f t="shared" si="6"/>
        <v>3</v>
      </c>
      <c r="W55" s="52">
        <f t="shared" si="7"/>
        <v>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140</v>
      </c>
      <c r="C56" s="37">
        <v>108.0</v>
      </c>
      <c r="D56" s="37">
        <v>4.0</v>
      </c>
      <c r="E56" s="40">
        <f t="shared" si="2"/>
        <v>10.5</v>
      </c>
      <c r="F56" s="90">
        <v>1.0</v>
      </c>
      <c r="G56" s="91">
        <v>10.0</v>
      </c>
      <c r="H56" s="92">
        <v>0.0</v>
      </c>
      <c r="I56" s="91">
        <v>6.0</v>
      </c>
      <c r="J56" s="91">
        <v>6.0</v>
      </c>
      <c r="K56" s="91">
        <v>6.0</v>
      </c>
      <c r="L56" s="93">
        <v>18.0</v>
      </c>
      <c r="M56" s="91">
        <v>3.0</v>
      </c>
      <c r="N56" s="37">
        <f t="shared" ref="N56:O56" si="61">C56+L56</f>
        <v>126</v>
      </c>
      <c r="O56" s="37">
        <f t="shared" si="61"/>
        <v>7</v>
      </c>
      <c r="P56" s="49" t="s">
        <v>57</v>
      </c>
      <c r="Q56" s="49" t="s">
        <v>57</v>
      </c>
      <c r="R56" s="49" t="s">
        <v>57</v>
      </c>
      <c r="S56" s="51">
        <f t="shared" si="4"/>
        <v>6</v>
      </c>
      <c r="T56" s="52">
        <f t="shared" si="5"/>
        <v>0</v>
      </c>
      <c r="U56" s="52"/>
      <c r="V56" s="51">
        <f t="shared" si="6"/>
        <v>5</v>
      </c>
      <c r="W56" s="52">
        <f t="shared" si="7"/>
        <v>-4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100</v>
      </c>
      <c r="C57" s="37">
        <v>107.0</v>
      </c>
      <c r="D57" s="37">
        <v>6.0</v>
      </c>
      <c r="E57" s="40">
        <f t="shared" si="2"/>
        <v>11.66666667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116</v>
      </c>
      <c r="O57" s="37">
        <f t="shared" si="62"/>
        <v>6</v>
      </c>
      <c r="P57" s="49" t="s">
        <v>57</v>
      </c>
      <c r="Q57" s="49" t="s">
        <v>57</v>
      </c>
      <c r="R57" s="49" t="s">
        <v>57</v>
      </c>
      <c r="S57" s="51">
        <f t="shared" si="4"/>
        <v>3</v>
      </c>
      <c r="T57" s="52">
        <f t="shared" si="5"/>
        <v>0</v>
      </c>
      <c r="U57" s="52"/>
      <c r="V57" s="51">
        <f t="shared" si="6"/>
        <v>8</v>
      </c>
      <c r="W57" s="52">
        <f t="shared" si="7"/>
        <v>-3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129</v>
      </c>
      <c r="C58" s="37">
        <v>105.0</v>
      </c>
      <c r="D58" s="37">
        <v>8.0</v>
      </c>
      <c r="E58" s="40">
        <f t="shared" si="2"/>
        <v>9.75</v>
      </c>
      <c r="F58" s="90">
        <v>1.0</v>
      </c>
      <c r="G58" s="91">
        <v>10.0</v>
      </c>
      <c r="H58" s="92">
        <v>0.0</v>
      </c>
      <c r="I58" s="91">
        <v>4.0</v>
      </c>
      <c r="J58" s="91">
        <v>2.0</v>
      </c>
      <c r="K58" s="91">
        <v>6.0</v>
      </c>
      <c r="L58" s="93">
        <v>12.0</v>
      </c>
      <c r="M58" s="91">
        <v>1.0</v>
      </c>
      <c r="N58" s="37">
        <f t="shared" ref="N58:O58" si="63">C58+L58</f>
        <v>117</v>
      </c>
      <c r="O58" s="37">
        <f t="shared" si="63"/>
        <v>9</v>
      </c>
      <c r="P58" s="49" t="s">
        <v>57</v>
      </c>
      <c r="Q58" s="49" t="s">
        <v>57</v>
      </c>
      <c r="R58" s="49" t="s">
        <v>57</v>
      </c>
      <c r="S58" s="51">
        <f t="shared" si="4"/>
        <v>8</v>
      </c>
      <c r="T58" s="52">
        <f t="shared" si="5"/>
        <v>0</v>
      </c>
      <c r="U58" s="52"/>
      <c r="V58" s="51">
        <f t="shared" si="6"/>
        <v>3</v>
      </c>
      <c r="W58" s="52">
        <f t="shared" si="7"/>
        <v>-8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152</v>
      </c>
      <c r="C59" s="37">
        <v>103.0</v>
      </c>
      <c r="D59" s="37">
        <v>7.0</v>
      </c>
      <c r="E59" s="40">
        <f t="shared" si="2"/>
        <v>9.666666667</v>
      </c>
      <c r="F59" s="90">
        <v>1.0</v>
      </c>
      <c r="G59" s="91">
        <v>10.0</v>
      </c>
      <c r="H59" s="92">
        <v>0.0</v>
      </c>
      <c r="I59" s="91">
        <v>4.0</v>
      </c>
      <c r="J59" s="91">
        <v>6.0</v>
      </c>
      <c r="K59" s="91">
        <v>3.0</v>
      </c>
      <c r="L59" s="93">
        <v>13.0</v>
      </c>
      <c r="M59" s="91">
        <v>1.0</v>
      </c>
      <c r="N59" s="37">
        <f t="shared" ref="N59:O59" si="64">C59+L59</f>
        <v>116</v>
      </c>
      <c r="O59" s="37">
        <f t="shared" si="64"/>
        <v>8</v>
      </c>
      <c r="P59" s="49" t="s">
        <v>57</v>
      </c>
      <c r="Q59" s="49" t="s">
        <v>57</v>
      </c>
      <c r="R59" s="49" t="s">
        <v>57</v>
      </c>
      <c r="S59" s="51">
        <f t="shared" si="4"/>
        <v>6</v>
      </c>
      <c r="T59" s="52">
        <f t="shared" si="5"/>
        <v>0</v>
      </c>
      <c r="U59" s="52"/>
      <c r="V59" s="51">
        <f t="shared" si="6"/>
        <v>5</v>
      </c>
      <c r="W59" s="52">
        <f t="shared" si="7"/>
        <v>-1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136</v>
      </c>
      <c r="C60" s="37">
        <v>102.0</v>
      </c>
      <c r="D60" s="37">
        <v>5.0</v>
      </c>
      <c r="E60" s="40">
        <f t="shared" si="2"/>
        <v>9.5</v>
      </c>
      <c r="F60" s="90">
        <v>2.0</v>
      </c>
      <c r="G60" s="91">
        <v>11.0</v>
      </c>
      <c r="H60" s="92">
        <v>0.0</v>
      </c>
      <c r="I60" s="91">
        <v>2.0</v>
      </c>
      <c r="J60" s="91">
        <v>1.0</v>
      </c>
      <c r="K60" s="91">
        <v>5.0</v>
      </c>
      <c r="L60" s="93">
        <v>8.0</v>
      </c>
      <c r="M60" s="91">
        <v>0.0</v>
      </c>
      <c r="N60" s="37">
        <f t="shared" ref="N60:O60" si="65">C60+L60</f>
        <v>110</v>
      </c>
      <c r="O60" s="37">
        <f t="shared" si="65"/>
        <v>5</v>
      </c>
      <c r="P60" s="49" t="s">
        <v>57</v>
      </c>
      <c r="Q60" s="49" t="s">
        <v>57</v>
      </c>
      <c r="R60" s="49" t="s">
        <v>57</v>
      </c>
      <c r="S60" s="51">
        <f t="shared" si="4"/>
        <v>6</v>
      </c>
      <c r="T60" s="52">
        <f t="shared" si="5"/>
        <v>0</v>
      </c>
      <c r="U60" s="52"/>
      <c r="V60" s="51">
        <f t="shared" si="6"/>
        <v>5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70</v>
      </c>
      <c r="C61" s="37">
        <v>100.0</v>
      </c>
      <c r="D61" s="37">
        <v>5.0</v>
      </c>
      <c r="E61" s="40">
        <f t="shared" si="2"/>
        <v>8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109</v>
      </c>
      <c r="O61" s="37">
        <f t="shared" si="66"/>
        <v>5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1</v>
      </c>
      <c r="U61" s="52"/>
      <c r="V61" s="51">
        <f t="shared" si="6"/>
        <v>7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125</v>
      </c>
      <c r="C62" s="37">
        <v>100.0</v>
      </c>
      <c r="D62" s="37">
        <v>3.0</v>
      </c>
      <c r="E62" s="40">
        <f t="shared" si="2"/>
        <v>10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109</v>
      </c>
      <c r="O62" s="37">
        <f t="shared" si="67"/>
        <v>3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0</v>
      </c>
      <c r="U62" s="52"/>
      <c r="V62" s="51">
        <f t="shared" si="6"/>
        <v>10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78</v>
      </c>
      <c r="C63" s="37">
        <v>100.0</v>
      </c>
      <c r="D63" s="37">
        <v>2.0</v>
      </c>
      <c r="E63" s="40">
        <f t="shared" si="2"/>
        <v>6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109</v>
      </c>
      <c r="O63" s="37">
        <f t="shared" si="68"/>
        <v>2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1</v>
      </c>
      <c r="U63" s="52"/>
      <c r="V63" s="51">
        <f t="shared" si="6"/>
        <v>9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148</v>
      </c>
      <c r="C64" s="37">
        <v>99.0</v>
      </c>
      <c r="D64" s="37">
        <v>3.0</v>
      </c>
      <c r="E64" s="40">
        <f t="shared" si="2"/>
        <v>9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108</v>
      </c>
      <c r="O64" s="37">
        <f t="shared" si="69"/>
        <v>3</v>
      </c>
      <c r="P64" s="49" t="s">
        <v>57</v>
      </c>
      <c r="Q64" s="49" t="s">
        <v>57</v>
      </c>
      <c r="R64" s="49" t="s">
        <v>57</v>
      </c>
      <c r="S64" s="51">
        <f t="shared" si="4"/>
        <v>1</v>
      </c>
      <c r="T64" s="52">
        <f t="shared" si="5"/>
        <v>0</v>
      </c>
      <c r="U64" s="52"/>
      <c r="V64" s="51">
        <f t="shared" si="6"/>
        <v>10</v>
      </c>
      <c r="W64" s="52">
        <f t="shared" si="7"/>
        <v>-1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149</v>
      </c>
      <c r="C65" s="37">
        <v>98.0</v>
      </c>
      <c r="D65" s="37">
        <v>7.0</v>
      </c>
      <c r="E65" s="40">
        <f t="shared" si="2"/>
        <v>8.833333333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107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4"/>
        <v>6</v>
      </c>
      <c r="T65" s="52">
        <f t="shared" si="5"/>
        <v>0</v>
      </c>
      <c r="U65" s="52"/>
      <c r="V65" s="51">
        <f t="shared" si="6"/>
        <v>5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146</v>
      </c>
      <c r="C66" s="37">
        <v>98.0</v>
      </c>
      <c r="D66" s="37">
        <v>1.0</v>
      </c>
      <c r="E66" s="40">
        <f t="shared" si="2"/>
        <v>6.5</v>
      </c>
      <c r="F66" s="90">
        <v>2.0</v>
      </c>
      <c r="G66" s="91">
        <v>11.0</v>
      </c>
      <c r="H66" s="92">
        <v>0.0</v>
      </c>
      <c r="I66" s="91">
        <v>6.0</v>
      </c>
      <c r="J66" s="91">
        <v>1.0</v>
      </c>
      <c r="K66" s="91">
        <v>7.0</v>
      </c>
      <c r="L66" s="93">
        <v>14.0</v>
      </c>
      <c r="M66" s="91">
        <v>2.0</v>
      </c>
      <c r="N66" s="37">
        <f t="shared" ref="N66:O66" si="71">C66+L66</f>
        <v>112</v>
      </c>
      <c r="O66" s="37">
        <f t="shared" si="71"/>
        <v>3</v>
      </c>
      <c r="P66" s="49" t="s">
        <v>57</v>
      </c>
      <c r="Q66" s="49" t="s">
        <v>57</v>
      </c>
      <c r="R66" s="49" t="s">
        <v>57</v>
      </c>
      <c r="S66" s="51">
        <f t="shared" si="4"/>
        <v>2</v>
      </c>
      <c r="T66" s="52">
        <f t="shared" si="5"/>
        <v>1</v>
      </c>
      <c r="U66" s="52"/>
      <c r="V66" s="51">
        <f t="shared" si="6"/>
        <v>8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145</v>
      </c>
      <c r="C67" s="37">
        <v>97.0</v>
      </c>
      <c r="D67" s="37">
        <v>8.0</v>
      </c>
      <c r="E67" s="40">
        <f t="shared" si="2"/>
        <v>8.75</v>
      </c>
      <c r="F67" s="90">
        <v>1.0</v>
      </c>
      <c r="G67" s="91">
        <v>11.0</v>
      </c>
      <c r="H67" s="92">
        <v>0.0</v>
      </c>
      <c r="I67" s="91">
        <v>2.0</v>
      </c>
      <c r="J67" s="91">
        <v>6.0</v>
      </c>
      <c r="K67" s="91">
        <v>7.0</v>
      </c>
      <c r="L67" s="93">
        <v>15.0</v>
      </c>
      <c r="M67" s="91">
        <v>2.0</v>
      </c>
      <c r="N67" s="37">
        <f t="shared" ref="N67:O67" si="72">C67+L67</f>
        <v>112</v>
      </c>
      <c r="O67" s="37">
        <f t="shared" si="72"/>
        <v>10</v>
      </c>
      <c r="P67" s="49" t="s">
        <v>57</v>
      </c>
      <c r="Q67" s="49" t="s">
        <v>57</v>
      </c>
      <c r="R67" s="49" t="s">
        <v>57</v>
      </c>
      <c r="S67" s="51">
        <f t="shared" si="4"/>
        <v>8</v>
      </c>
      <c r="T67" s="52">
        <f t="shared" si="5"/>
        <v>0</v>
      </c>
      <c r="U67" s="52"/>
      <c r="V67" s="51">
        <f t="shared" si="6"/>
        <v>3</v>
      </c>
      <c r="W67" s="52">
        <f t="shared" si="7"/>
        <v>0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154</v>
      </c>
      <c r="C68" s="37">
        <v>96.0</v>
      </c>
      <c r="D68" s="37">
        <v>4.0</v>
      </c>
      <c r="E68" s="40">
        <f t="shared" si="2"/>
        <v>8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105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3</v>
      </c>
      <c r="T68" s="52">
        <f t="shared" si="5"/>
        <v>0</v>
      </c>
      <c r="U68" s="52"/>
      <c r="V68" s="51">
        <f t="shared" si="6"/>
        <v>8</v>
      </c>
      <c r="W68" s="52">
        <f t="shared" si="7"/>
        <v>0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106</v>
      </c>
      <c r="C69" s="37">
        <v>96.0</v>
      </c>
      <c r="D69" s="37">
        <v>1.0</v>
      </c>
      <c r="E69" s="40">
        <f t="shared" si="2"/>
        <v>6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105</v>
      </c>
      <c r="O69" s="37">
        <f t="shared" si="74"/>
        <v>1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10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133</v>
      </c>
      <c r="C70" s="37">
        <v>95.0</v>
      </c>
      <c r="D70" s="37">
        <v>3.0</v>
      </c>
      <c r="E70" s="40">
        <f t="shared" si="2"/>
        <v>8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104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4</v>
      </c>
      <c r="T70" s="52">
        <f t="shared" si="5"/>
        <v>0</v>
      </c>
      <c r="U70" s="52"/>
      <c r="V70" s="51">
        <f t="shared" si="6"/>
        <v>7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144</v>
      </c>
      <c r="C71" s="37">
        <v>94.0</v>
      </c>
      <c r="D71" s="37">
        <v>6.0</v>
      </c>
      <c r="E71" s="40">
        <f t="shared" si="2"/>
        <v>8.375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103</v>
      </c>
      <c r="O71" s="37">
        <f t="shared" si="76"/>
        <v>6</v>
      </c>
      <c r="P71" s="49" t="s">
        <v>57</v>
      </c>
      <c r="Q71" s="49" t="s">
        <v>57</v>
      </c>
      <c r="R71" s="49" t="s">
        <v>57</v>
      </c>
      <c r="S71" s="51">
        <f t="shared" si="4"/>
        <v>8</v>
      </c>
      <c r="T71" s="52">
        <f t="shared" si="5"/>
        <v>0</v>
      </c>
      <c r="U71" s="52"/>
      <c r="V71" s="51">
        <f t="shared" si="6"/>
        <v>3</v>
      </c>
      <c r="W71" s="52">
        <f t="shared" si="7"/>
        <v>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73</v>
      </c>
      <c r="C72" s="37">
        <v>94.0</v>
      </c>
      <c r="D72" s="37">
        <v>2.0</v>
      </c>
      <c r="E72" s="40">
        <f t="shared" si="2"/>
        <v>4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103</v>
      </c>
      <c r="O72" s="37">
        <f t="shared" si="77"/>
        <v>2</v>
      </c>
      <c r="P72" s="49" t="s">
        <v>57</v>
      </c>
      <c r="Q72" s="49" t="s">
        <v>57</v>
      </c>
      <c r="R72" s="49" t="s">
        <v>57</v>
      </c>
      <c r="S72" s="51">
        <f t="shared" si="4"/>
        <v>1</v>
      </c>
      <c r="T72" s="52">
        <f t="shared" si="5"/>
        <v>0</v>
      </c>
      <c r="U72" s="52"/>
      <c r="V72" s="51">
        <f t="shared" si="6"/>
        <v>10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124</v>
      </c>
      <c r="C73" s="37">
        <v>92.0</v>
      </c>
      <c r="D73" s="37">
        <v>1.0</v>
      </c>
      <c r="E73" s="40">
        <f t="shared" si="2"/>
        <v>2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101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10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141</v>
      </c>
      <c r="C74" s="37">
        <v>90.0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99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11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54</v>
      </c>
      <c r="C75" s="37">
        <v>90.0</v>
      </c>
      <c r="D75" s="37">
        <v>0.0</v>
      </c>
      <c r="E75" s="40">
        <f t="shared" si="2"/>
        <v>0</v>
      </c>
      <c r="F75" s="90">
        <v>1.0</v>
      </c>
      <c r="G75" s="91">
        <v>11.0</v>
      </c>
      <c r="H75" s="92">
        <v>0.0</v>
      </c>
      <c r="I75" s="91">
        <v>6.0</v>
      </c>
      <c r="J75" s="91">
        <v>6.0</v>
      </c>
      <c r="K75" s="91">
        <v>5.0</v>
      </c>
      <c r="L75" s="93">
        <v>17.0</v>
      </c>
      <c r="M75" s="91">
        <v>2.0</v>
      </c>
      <c r="N75" s="37">
        <f t="shared" ref="N75:O75" si="80">C75+L75</f>
        <v>107</v>
      </c>
      <c r="O75" s="37">
        <f t="shared" si="80"/>
        <v>2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10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90.0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99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11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90.0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99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11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90.0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99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10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83.0</v>
      </c>
      <c r="D79" s="37">
        <v>1.0</v>
      </c>
      <c r="E79" s="40">
        <f t="shared" si="2"/>
        <v>5.8</v>
      </c>
      <c r="F79" s="90">
        <v>4.0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92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0</v>
      </c>
      <c r="U79" s="52"/>
      <c r="V79" s="51">
        <f t="shared" si="6"/>
        <v>6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03/14/26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desc"",0)"),"Scott Li")</f>
        <v>Scott Li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IFERROR(__xludf.DUMMYFUNCTION("""COMPUTED_VALUE"""),5.0)</f>
        <v>5</v>
      </c>
      <c r="F91" s="5"/>
    </row>
    <row r="92">
      <c r="A92" s="5"/>
      <c r="B92" s="36" t="str">
        <f>IFERROR(__xludf.DUMMYFUNCTION("""COMPUTED_VALUE"""),"Troy Wong")</f>
        <v>Troy Wong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IFERROR(__xludf.DUMMYFUNCTION("""COMPUTED_VALUE"""),8.0)</f>
        <v>8</v>
      </c>
      <c r="F92" s="5"/>
    </row>
    <row r="93">
      <c r="A93" s="5"/>
      <c r="B93" s="36" t="str">
        <f>IFERROR(__xludf.DUMMYFUNCTION("""COMPUTED_VALUE"""),"Pulkit Mathur")</f>
        <v>Pulkit Mathur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IFERROR(__xludf.DUMMYFUNCTION("""COMPUTED_VALUE"""),1.0)</f>
        <v>1</v>
      </c>
      <c r="F93" s="5"/>
    </row>
    <row r="94">
      <c r="A94" s="5"/>
      <c r="B94" s="36" t="str">
        <f>IFERROR(__xludf.DUMMYFUNCTION("""COMPUTED_VALUE"""),"Rudy Tatang")</f>
        <v>Rudy Tatang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IFERROR(__xludf.DUMMYFUNCTION("""COMPUTED_VALUE"""),2.0)</f>
        <v>2</v>
      </c>
      <c r="F94" s="5"/>
    </row>
    <row r="95">
      <c r="A95" s="5"/>
      <c r="B95" s="36" t="str">
        <f>IFERROR(__xludf.DUMMYFUNCTION("""COMPUTED_VALUE"""),"Frank Moon")</f>
        <v>Frank Moon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IFERROR(__xludf.DUMMYFUNCTION("""COMPUTED_VALUE"""),3.0)</f>
        <v>3</v>
      </c>
      <c r="F95" s="5"/>
    </row>
    <row r="96">
      <c r="A96" s="5"/>
      <c r="B96" s="36" t="str">
        <f>IFERROR(__xludf.DUMMYFUNCTION("""COMPUTED_VALUE"""),"Oscar Bonilla")</f>
        <v>Oscar Bonilla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IFERROR(__xludf.DUMMYFUNCTION("""COMPUTED_VALUE"""),7.0)</f>
        <v>7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10"")"),"Manish Anand")</f>
        <v>Manish Anand</v>
      </c>
      <c r="C110" s="122">
        <f>IFERROR(__xludf.DUMMYFUNCTION("""COMPUTED_VALUE"""),13.0)</f>
        <v>13</v>
      </c>
      <c r="D110" s="122">
        <f t="shared" ref="D110:D119" si="85">VLOOKUP(B110,indirect($AC$2&amp;"!B$5:X$79"),23, false)</f>
        <v>37</v>
      </c>
      <c r="E110" s="122">
        <f t="shared" ref="E110:E119" si="86">VLOOKUP(B110,B$5:X$79,23, false)</f>
        <v>24</v>
      </c>
      <c r="F110" s="122">
        <f t="shared" ref="F110:F119" si="87">VLOOKUP(B110,indirect($AC$2&amp;"!B$5:U$79"),11, false)</f>
        <v>17</v>
      </c>
      <c r="G110" s="122">
        <f t="shared" ref="G110:G119" si="88">VLOOKUP(B110,indirect($AC$2&amp;"!B$5:U$79"),6, false)</f>
        <v>9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IFERROR(__xludf.DUMMYFUNCTION("""COMPUTED_VALUE"""),"Scott Li")</f>
        <v>Scott Li</v>
      </c>
      <c r="C111" s="122">
        <f>IFERROR(__xludf.DUMMYFUNCTION("""COMPUTED_VALUE"""),12.0)</f>
        <v>12</v>
      </c>
      <c r="D111" s="122">
        <f t="shared" si="85"/>
        <v>28</v>
      </c>
      <c r="E111" s="122">
        <f t="shared" si="86"/>
        <v>16</v>
      </c>
      <c r="F111" s="122">
        <f t="shared" si="87"/>
        <v>19</v>
      </c>
      <c r="G111" s="122">
        <f t="shared" si="88"/>
        <v>5</v>
      </c>
      <c r="L111" s="122" t="str">
        <f t="shared" si="89"/>
        <v>ok</v>
      </c>
    </row>
    <row r="112">
      <c r="A112" s="5"/>
      <c r="B112" s="36" t="str">
        <f>IFERROR(__xludf.DUMMYFUNCTION("""COMPUTED_VALUE"""),"Ruben Ron")</f>
        <v>Ruben Ron</v>
      </c>
      <c r="C112" s="122">
        <f>IFERROR(__xludf.DUMMYFUNCTION("""COMPUTED_VALUE"""),11.0)</f>
        <v>11</v>
      </c>
      <c r="D112" s="122">
        <f t="shared" si="85"/>
        <v>39</v>
      </c>
      <c r="E112" s="122">
        <f t="shared" si="86"/>
        <v>28</v>
      </c>
      <c r="F112" s="122">
        <f t="shared" si="87"/>
        <v>16</v>
      </c>
      <c r="G112" s="122">
        <f t="shared" si="88"/>
        <v>6</v>
      </c>
      <c r="L112" s="122" t="str">
        <f t="shared" si="89"/>
        <v>ok</v>
      </c>
    </row>
    <row r="113">
      <c r="A113" s="5"/>
      <c r="B113" s="36" t="str">
        <f>IFERROR(__xludf.DUMMYFUNCTION("""COMPUTED_VALUE"""),"Oscar Bonilla")</f>
        <v>Oscar Bonilla</v>
      </c>
      <c r="C113" s="122">
        <f>IFERROR(__xludf.DUMMYFUNCTION("""COMPUTED_VALUE"""),10.0)</f>
        <v>10</v>
      </c>
      <c r="D113" s="122">
        <f t="shared" si="85"/>
        <v>51</v>
      </c>
      <c r="E113" s="122">
        <f t="shared" si="86"/>
        <v>41</v>
      </c>
      <c r="F113" s="122">
        <f t="shared" si="87"/>
        <v>18</v>
      </c>
      <c r="G113" s="122">
        <f t="shared" si="88"/>
        <v>7</v>
      </c>
      <c r="L113" s="122" t="str">
        <f t="shared" si="89"/>
        <v>ok</v>
      </c>
    </row>
    <row r="114">
      <c r="A114" s="5"/>
      <c r="B114" s="36" t="str">
        <f>IFERROR(__xludf.DUMMYFUNCTION("""COMPUTED_VALUE"""),"Troy Wong")</f>
        <v>Troy Wong</v>
      </c>
      <c r="C114" s="122">
        <f>IFERROR(__xludf.DUMMYFUNCTION("""COMPUTED_VALUE"""),10.0)</f>
        <v>10</v>
      </c>
      <c r="D114" s="122">
        <f t="shared" si="85"/>
        <v>60</v>
      </c>
      <c r="E114" s="122">
        <f t="shared" si="86"/>
        <v>50</v>
      </c>
      <c r="F114" s="122">
        <f t="shared" si="87"/>
        <v>19</v>
      </c>
      <c r="G114" s="122">
        <f t="shared" si="88"/>
        <v>8</v>
      </c>
      <c r="L114" s="122" t="str">
        <f t="shared" si="89"/>
        <v>ok</v>
      </c>
    </row>
    <row r="115">
      <c r="A115" s="5"/>
      <c r="B115" s="36" t="str">
        <f>IFERROR(__xludf.DUMMYFUNCTION("""COMPUTED_VALUE"""),"Frank Moon")</f>
        <v>Frank Moon</v>
      </c>
      <c r="C115" s="122">
        <f>IFERROR(__xludf.DUMMYFUNCTION("""COMPUTED_VALUE"""),6.0)</f>
        <v>6</v>
      </c>
      <c r="D115" s="122">
        <f t="shared" si="85"/>
        <v>12</v>
      </c>
      <c r="E115" s="122">
        <f t="shared" si="86"/>
        <v>6</v>
      </c>
      <c r="F115" s="122">
        <f t="shared" si="87"/>
        <v>18</v>
      </c>
      <c r="G115" s="122">
        <f t="shared" si="88"/>
        <v>3</v>
      </c>
      <c r="L115" s="122" t="str">
        <f t="shared" si="89"/>
        <v>ok</v>
      </c>
    </row>
    <row r="116">
      <c r="A116" s="5"/>
      <c r="B116" s="36" t="str">
        <f>IFERROR(__xludf.DUMMYFUNCTION("""COMPUTED_VALUE"""),"Naveen Raj")</f>
        <v>Naveen Raj</v>
      </c>
      <c r="C116" s="122">
        <f>IFERROR(__xludf.DUMMYFUNCTION("""COMPUTED_VALUE"""),6.0)</f>
        <v>6</v>
      </c>
      <c r="D116" s="122">
        <f t="shared" si="85"/>
        <v>31</v>
      </c>
      <c r="E116" s="122">
        <f t="shared" si="86"/>
        <v>25</v>
      </c>
      <c r="F116" s="122">
        <f t="shared" si="87"/>
        <v>16</v>
      </c>
      <c r="G116" s="122">
        <f t="shared" si="88"/>
        <v>9</v>
      </c>
      <c r="L116" s="122" t="str">
        <f t="shared" si="89"/>
        <v>ok</v>
      </c>
    </row>
    <row r="117">
      <c r="A117" s="5"/>
      <c r="B117" s="36" t="str">
        <f>IFERROR(__xludf.DUMMYFUNCTION("""COMPUTED_VALUE"""),"Allen Zhang")</f>
        <v>Allen Zhang</v>
      </c>
      <c r="C117" s="122">
        <f>IFERROR(__xludf.DUMMYFUNCTION("""COMPUTED_VALUE"""),5.0)</f>
        <v>5</v>
      </c>
      <c r="D117" s="122">
        <f t="shared" si="85"/>
        <v>25</v>
      </c>
      <c r="E117" s="122">
        <f t="shared" si="86"/>
        <v>20</v>
      </c>
      <c r="F117" s="122">
        <f t="shared" si="87"/>
        <v>15</v>
      </c>
      <c r="G117" s="122">
        <f t="shared" si="88"/>
        <v>5</v>
      </c>
      <c r="L117" s="122" t="str">
        <f t="shared" si="89"/>
        <v>ok</v>
      </c>
    </row>
    <row r="118">
      <c r="A118" s="5"/>
      <c r="B118" s="36" t="str">
        <f>IFERROR(__xludf.DUMMYFUNCTION("""COMPUTED_VALUE"""),"Erik Hoeckmann")</f>
        <v>Erik Hoeckmann</v>
      </c>
      <c r="C118" s="122">
        <f>IFERROR(__xludf.DUMMYFUNCTION("""COMPUTED_VALUE"""),4.0)</f>
        <v>4</v>
      </c>
      <c r="D118" s="122">
        <f t="shared" si="85"/>
        <v>17</v>
      </c>
      <c r="E118" s="122">
        <f t="shared" si="86"/>
        <v>13</v>
      </c>
      <c r="F118" s="122">
        <f t="shared" si="87"/>
        <v>13</v>
      </c>
      <c r="G118" s="122">
        <f t="shared" si="88"/>
        <v>4</v>
      </c>
      <c r="L118" s="122" t="str">
        <f t="shared" si="89"/>
        <v>ok</v>
      </c>
    </row>
    <row r="119">
      <c r="A119" s="5"/>
      <c r="B119" s="36" t="str">
        <f>IFERROR(__xludf.DUMMYFUNCTION("""COMPUTED_VALUE"""),"Eric Tan")</f>
        <v>Eric Tan</v>
      </c>
      <c r="C119" s="122">
        <f>IFERROR(__xludf.DUMMYFUNCTION("""COMPUTED_VALUE"""),4.0)</f>
        <v>4</v>
      </c>
      <c r="D119" s="122">
        <f t="shared" si="85"/>
        <v>47</v>
      </c>
      <c r="E119" s="122">
        <f t="shared" si="86"/>
        <v>43</v>
      </c>
      <c r="F119" s="122">
        <f t="shared" si="87"/>
        <v>13</v>
      </c>
      <c r="G119" s="122">
        <f t="shared" si="88"/>
        <v>7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11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163</v>
      </c>
      <c r="D128" s="122">
        <f t="shared" si="90"/>
        <v>23</v>
      </c>
      <c r="E128" s="122">
        <f t="shared" si="90"/>
        <v>14.81818182</v>
      </c>
      <c r="F128" s="5"/>
    </row>
    <row r="129">
      <c r="A129" s="122">
        <f t="shared" ref="A129:E129" si="91">A6</f>
        <v>2</v>
      </c>
      <c r="B129" s="36" t="str">
        <f t="shared" si="91"/>
        <v>Pulkit Mathur</v>
      </c>
      <c r="C129" s="122">
        <f t="shared" si="91"/>
        <v>145</v>
      </c>
      <c r="D129" s="122">
        <f t="shared" si="91"/>
        <v>17</v>
      </c>
      <c r="E129" s="122">
        <f t="shared" si="91"/>
        <v>14.11111111</v>
      </c>
      <c r="F129" s="5"/>
    </row>
    <row r="130">
      <c r="A130" s="122">
        <f t="shared" ref="A130:E130" si="92">A7</f>
        <v>3</v>
      </c>
      <c r="B130" s="36" t="str">
        <f t="shared" si="92"/>
        <v>Rudy Tatang</v>
      </c>
      <c r="C130" s="122">
        <f t="shared" si="92"/>
        <v>143</v>
      </c>
      <c r="D130" s="122">
        <f t="shared" si="92"/>
        <v>17</v>
      </c>
      <c r="E130" s="122">
        <f t="shared" si="92"/>
        <v>14.5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143</v>
      </c>
      <c r="D131" s="122">
        <f t="shared" si="93"/>
        <v>16</v>
      </c>
      <c r="E131" s="122">
        <f t="shared" si="93"/>
        <v>13.88888889</v>
      </c>
      <c r="F131" s="5"/>
    </row>
    <row r="132">
      <c r="A132" s="122">
        <f t="shared" ref="A132:E132" si="94">A9</f>
        <v>5</v>
      </c>
      <c r="B132" s="36" t="str">
        <f t="shared" si="94"/>
        <v>Suleman Alidina</v>
      </c>
      <c r="C132" s="122">
        <f t="shared" si="94"/>
        <v>139</v>
      </c>
      <c r="D132" s="122">
        <f t="shared" si="94"/>
        <v>14</v>
      </c>
      <c r="E132" s="122">
        <f t="shared" si="94"/>
        <v>12.63636364</v>
      </c>
      <c r="F132" s="5"/>
    </row>
    <row r="133">
      <c r="A133" s="122">
        <f t="shared" ref="A133:E133" si="95">A10</f>
        <v>6</v>
      </c>
      <c r="B133" s="36" t="str">
        <f t="shared" si="95"/>
        <v>Frank Moon</v>
      </c>
      <c r="C133" s="122">
        <f t="shared" si="95"/>
        <v>136</v>
      </c>
      <c r="D133" s="122">
        <f t="shared" si="95"/>
        <v>14</v>
      </c>
      <c r="E133" s="122">
        <f t="shared" si="95"/>
        <v>12.36363636</v>
      </c>
      <c r="F133" s="5"/>
    </row>
    <row r="134">
      <c r="A134" s="122">
        <f t="shared" ref="A134:E134" si="96">A11</f>
        <v>7</v>
      </c>
      <c r="B134" s="36" t="str">
        <f t="shared" si="96"/>
        <v>Pavan Akkimsetty</v>
      </c>
      <c r="C134" s="122">
        <f t="shared" si="96"/>
        <v>134</v>
      </c>
      <c r="D134" s="122">
        <f t="shared" si="96"/>
        <v>13</v>
      </c>
      <c r="E134" s="122">
        <f t="shared" si="96"/>
        <v>12.44444444</v>
      </c>
      <c r="F134" s="5"/>
    </row>
    <row r="135">
      <c r="A135" s="122">
        <f t="shared" ref="A135:E135" si="97">A12</f>
        <v>8</v>
      </c>
      <c r="B135" s="36" t="str">
        <f t="shared" si="97"/>
        <v>Matthew Huang</v>
      </c>
      <c r="C135" s="122">
        <f t="shared" si="97"/>
        <v>134</v>
      </c>
      <c r="D135" s="122">
        <f t="shared" si="97"/>
        <v>12</v>
      </c>
      <c r="E135" s="122">
        <f t="shared" si="97"/>
        <v>14.83333333</v>
      </c>
      <c r="F135" s="5"/>
    </row>
    <row r="136">
      <c r="A136" s="122">
        <f t="shared" ref="A136:E136" si="98">A13</f>
        <v>9</v>
      </c>
      <c r="B136" s="36" t="str">
        <f t="shared" si="98"/>
        <v>David Shin</v>
      </c>
      <c r="C136" s="122">
        <f t="shared" si="98"/>
        <v>133</v>
      </c>
      <c r="D136" s="122">
        <f t="shared" si="98"/>
        <v>15</v>
      </c>
      <c r="E136" s="122">
        <f t="shared" si="98"/>
        <v>12.77777778</v>
      </c>
      <c r="F136" s="5"/>
    </row>
    <row r="137">
      <c r="A137" s="122">
        <f t="shared" ref="A137:E137" si="99">A14</f>
        <v>10</v>
      </c>
      <c r="B137" s="36" t="str">
        <f t="shared" si="99"/>
        <v>Jim Miao</v>
      </c>
      <c r="C137" s="122">
        <f t="shared" si="99"/>
        <v>132</v>
      </c>
      <c r="D137" s="122">
        <f t="shared" si="99"/>
        <v>12</v>
      </c>
      <c r="E137" s="122">
        <f t="shared" si="99"/>
        <v>12.66666667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IFERROR(__xludf.DUMMYFUNCTION("""COMPUTED_VALUE"""),"Wayne Liu")</f>
        <v>Wayne Liu</v>
      </c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03/14/26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IFERROR(__xludf.DUMMYFUNCTION("""COMPUTED_VALUE"""),0.0)</f>
        <v>0</v>
      </c>
      <c r="D250" s="132">
        <f>IFERROR(__xludf.DUMMYFUNCTION("""COMPUTED_VALUE"""),4.0)</f>
        <v>4</v>
      </c>
      <c r="E250" s="132">
        <f>IFERROR(__xludf.DUMMYFUNCTION("""COMPUTED_VALUE"""),6.0)</f>
        <v>6</v>
      </c>
      <c r="F250" s="132">
        <f>IFERROR(__xludf.DUMMYFUNCTION("""COMPUTED_VALUE"""),10.0)</f>
        <v>10</v>
      </c>
      <c r="G250" s="132">
        <f>IFERROR(__xludf.DUMMYFUNCTION("""COMPUTED_VALUE"""),1.0)</f>
        <v>1</v>
      </c>
    </row>
    <row r="251">
      <c r="A251" s="122">
        <f>IFERROR(__xludf.DUMMYFUNCTION("""COMPUTED_VALUE"""),1.0)</f>
        <v>1</v>
      </c>
      <c r="B251" s="36" t="str">
        <f>IFERROR(__xludf.DUMMYFUNCTION("""COMPUTED_VALUE"""),"Sandeep Kamalon")</f>
        <v>Sandeep Kamalon</v>
      </c>
      <c r="C251" s="132">
        <f>IFERROR(__xludf.DUMMYFUNCTION("""COMPUTED_VALUE"""),0.0)</f>
        <v>0</v>
      </c>
      <c r="D251" s="132">
        <f>IFERROR(__xludf.DUMMYFUNCTION("""COMPUTED_VALUE"""),6.0)</f>
        <v>6</v>
      </c>
      <c r="E251" s="132">
        <f>IFERROR(__xludf.DUMMYFUNCTION("""COMPUTED_VALUE"""),3.0)</f>
        <v>3</v>
      </c>
      <c r="F251" s="132">
        <f>IFERROR(__xludf.DUMMYFUNCTION("""COMPUTED_VALUE"""),9.0)</f>
        <v>9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IFERROR(__xludf.DUMMYFUNCTION("""COMPUTED_VALUE"""),"Pulkit Mathur")</f>
        <v>Pulkit Mathur</v>
      </c>
      <c r="C252" s="132">
        <f>IFERROR(__xludf.DUMMYFUNCTION("""COMPUTED_VALUE"""),6.0)</f>
        <v>6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IFERROR(__xludf.DUMMYFUNCTION("""COMPUTED_VALUE"""),18.0)</f>
        <v>18</v>
      </c>
      <c r="G252" s="132">
        <f>IFERROR(__xludf.DUMMYFUNCTION("""COMPUTED_VALUE"""),3.0)</f>
        <v>3</v>
      </c>
    </row>
    <row r="253">
      <c r="A253" s="122">
        <f>IFERROR(__xludf.DUMMYFUNCTION("""COMPUTED_VALUE"""),1.0)</f>
        <v>1</v>
      </c>
      <c r="B253" s="36" t="str">
        <f>IFERROR(__xludf.DUMMYFUNCTION("""COMPUTED_VALUE"""),"Suleman Alidina")</f>
        <v>Suleman Alidina</v>
      </c>
      <c r="C253" s="132">
        <f>IFERROR(__xludf.DUMMYFUNCTION("""COMPUTED_VALUE"""),6.0)</f>
        <v>6</v>
      </c>
      <c r="D253" s="132">
        <f>IFERROR(__xludf.DUMMYFUNCTION("""COMPUTED_VALUE"""),4.0)</f>
        <v>4</v>
      </c>
      <c r="E253" s="132">
        <f>IFERROR(__xludf.DUMMYFUNCTION("""COMPUTED_VALUE"""),3.0)</f>
        <v>3</v>
      </c>
      <c r="F253" s="132">
        <f>IFERROR(__xludf.DUMMYFUNCTION("""COMPUTED_VALUE"""),13.0)</f>
        <v>13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IFERROR(__xludf.DUMMYFUNCTION("""COMPUTED_VALUE"""),"Rudy Tatang")</f>
        <v>Rudy Tatang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IFERROR(__xludf.DUMMYFUNCTION("""COMPUTED_VALUE"""),6.0)</f>
        <v>6</v>
      </c>
      <c r="F254" s="135">
        <f>IFERROR(__xludf.DUMMYFUNCTION("""COMPUTED_VALUE"""),18.0)</f>
        <v>18</v>
      </c>
      <c r="G254" s="135">
        <f>IFERROR(__xludf.DUMMYFUNCTION("""COMPUTED_VALUE"""),3.0)</f>
        <v>3</v>
      </c>
    </row>
    <row r="255">
      <c r="A255" s="133">
        <f>IFERROR(__xludf.DUMMYFUNCTION("""COMPUTED_VALUE"""),2.0)</f>
        <v>2</v>
      </c>
      <c r="B255" s="134" t="str">
        <f>IFERROR(__xludf.DUMMYFUNCTION("""COMPUTED_VALUE"""),"Pavan Akkimsetty")</f>
        <v>Pavan Akkimsetty</v>
      </c>
      <c r="C255" s="135">
        <f>IFERROR(__xludf.DUMMYFUNCTION("""COMPUTED_VALUE"""),2.0)</f>
        <v>2</v>
      </c>
      <c r="D255" s="135">
        <f>IFERROR(__xludf.DUMMYFUNCTION("""COMPUTED_VALUE"""),6.0)</f>
        <v>6</v>
      </c>
      <c r="E255" s="135">
        <f>IFERROR(__xludf.DUMMYFUNCTION("""COMPUTED_VALUE"""),2.0)</f>
        <v>2</v>
      </c>
      <c r="F255" s="135">
        <f>IFERROR(__xludf.DUMMYFUNCTION("""COMPUTED_VALUE"""),10.0)</f>
        <v>10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IFERROR(__xludf.DUMMYFUNCTION("""COMPUTED_VALUE"""),"David Shin")</f>
        <v>David Shin</v>
      </c>
      <c r="C256" s="135">
        <f>IFERROR(__xludf.DUMMYFUNCTION("""COMPUTED_VALUE"""),2.0)</f>
        <v>2</v>
      </c>
      <c r="D256" s="135">
        <f>IFERROR(__xludf.DUMMYFUNCTION("""COMPUTED_VALUE"""),2.0)</f>
        <v>2</v>
      </c>
      <c r="E256" s="135">
        <f>IFERROR(__xludf.DUMMYFUNCTION("""COMPUTED_VALUE"""),6.0)</f>
        <v>6</v>
      </c>
      <c r="F256" s="135">
        <f>IFERROR(__xludf.DUMMYFUNCTION("""COMPUTED_VALUE"""),10.0)</f>
        <v>10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IFERROR(__xludf.DUMMYFUNCTION("""COMPUTED_VALUE"""),"Joe Luzzi")</f>
        <v>Joe Luzzi</v>
      </c>
      <c r="C257" s="135">
        <f>IFERROR(__xludf.DUMMYFUNCTION("""COMPUTED_VALUE"""),6.0)</f>
        <v>6</v>
      </c>
      <c r="D257" s="135">
        <f>IFERROR(__xludf.DUMMYFUNCTION("""COMPUTED_VALUE"""),2.0)</f>
        <v>2</v>
      </c>
      <c r="E257" s="135">
        <f>IFERROR(__xludf.DUMMYFUNCTION("""COMPUTED_VALUE"""),2.0)</f>
        <v>2</v>
      </c>
      <c r="F257" s="135">
        <f>IFERROR(__xludf.DUMMYFUNCTION("""COMPUTED_VALUE"""),10.0)</f>
        <v>10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IFERROR(__xludf.DUMMYFUNCTION("""COMPUTED_VALUE"""),"Frank Moon")</f>
        <v>Frank Moon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IFERROR(__xludf.DUMMYFUNCTION("""COMPUTED_VALUE"""),18.0)</f>
        <v>18</v>
      </c>
      <c r="G258" s="132">
        <f>IFERROR(__xludf.DUMMYFUNCTION("""COMPUTED_VALUE"""),3.0)</f>
        <v>3</v>
      </c>
    </row>
    <row r="259">
      <c r="A259" s="122">
        <f>IFERROR(__xludf.DUMMYFUNCTION("""COMPUTED_VALUE"""),3.0)</f>
        <v>3</v>
      </c>
      <c r="B259" s="36" t="str">
        <f>IFERROR(__xludf.DUMMYFUNCTION("""COMPUTED_VALUE"""),"Jaya Sogata")</f>
        <v>Jaya Sogata</v>
      </c>
      <c r="C259" s="132">
        <f>IFERROR(__xludf.DUMMYFUNCTION("""COMPUTED_VALUE"""),6.0)</f>
        <v>6</v>
      </c>
      <c r="D259" s="132">
        <f>IFERROR(__xludf.DUMMYFUNCTION("""COMPUTED_VALUE"""),3.0)</f>
        <v>3</v>
      </c>
      <c r="E259" s="132">
        <f>IFERROR(__xludf.DUMMYFUNCTION("""COMPUTED_VALUE"""),2.0)</f>
        <v>2</v>
      </c>
      <c r="F259" s="132">
        <f>IFERROR(__xludf.DUMMYFUNCTION("""COMPUTED_VALUE"""),11.0)</f>
        <v>11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IFERROR(__xludf.DUMMYFUNCTION("""COMPUTED_VALUE"""),"Ethan Gu")</f>
        <v>Ethan Gu</v>
      </c>
      <c r="C260" s="132">
        <f>IFERROR(__xludf.DUMMYFUNCTION("""COMPUTED_VALUE"""),4.0)</f>
        <v>4</v>
      </c>
      <c r="D260" s="132">
        <f>IFERROR(__xludf.DUMMYFUNCTION("""COMPUTED_VALUE"""),6.0)</f>
        <v>6</v>
      </c>
      <c r="E260" s="132">
        <f>IFERROR(__xludf.DUMMYFUNCTION("""COMPUTED_VALUE"""),2.0)</f>
        <v>2</v>
      </c>
      <c r="F260" s="132">
        <f>IFERROR(__xludf.DUMMYFUNCTION("""COMPUTED_VALUE"""),12.0)</f>
        <v>12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IFERROR(__xludf.DUMMYFUNCTION("""COMPUTED_VALUE"""),"Mauricio Palacios")</f>
        <v>Mauricio Palacios</v>
      </c>
      <c r="C261" s="132">
        <f>IFERROR(__xludf.DUMMYFUNCTION("""COMPUTED_VALUE"""),4.0)</f>
        <v>4</v>
      </c>
      <c r="D261" s="132">
        <f>IFERROR(__xludf.DUMMYFUNCTION("""COMPUTED_VALUE"""),3.0)</f>
        <v>3</v>
      </c>
      <c r="E261" s="132">
        <f>IFERROR(__xludf.DUMMYFUNCTION("""COMPUTED_VALUE"""),6.0)</f>
        <v>6</v>
      </c>
      <c r="F261" s="132">
        <f>IFERROR(__xludf.DUMMYFUNCTION("""COMPUTED_VALUE"""),13.0)</f>
        <v>13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IFERROR(__xludf.DUMMYFUNCTION("""COMPUTED_VALUE"""),"Erik Hoeckmann")</f>
        <v>Erik Hoeckmann</v>
      </c>
      <c r="C262" s="135">
        <f>IFERROR(__xludf.DUMMYFUNCTION("""COMPUTED_VALUE"""),6.0)</f>
        <v>6</v>
      </c>
      <c r="D262" s="135">
        <f>IFERROR(__xludf.DUMMYFUNCTION("""COMPUTED_VALUE"""),1.0)</f>
        <v>1</v>
      </c>
      <c r="E262" s="135">
        <f>IFERROR(__xludf.DUMMYFUNCTION("""COMPUTED_VALUE"""),6.0)</f>
        <v>6</v>
      </c>
      <c r="F262" s="135">
        <f>IFERROR(__xludf.DUMMYFUNCTION("""COMPUTED_VALUE"""),13.0)</f>
        <v>13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IFERROR(__xludf.DUMMYFUNCTION("""COMPUTED_VALUE"""),"Cid Macaraeg")</f>
        <v>Cid Macaraeg</v>
      </c>
      <c r="C263" s="135">
        <f>IFERROR(__xludf.DUMMYFUNCTION("""COMPUTED_VALUE"""),1.0)</f>
        <v>1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IFERROR(__xludf.DUMMYFUNCTION("""COMPUTED_VALUE"""),13.0)</f>
        <v>13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IFERROR(__xludf.DUMMYFUNCTION("""COMPUTED_VALUE"""),"Herman Au")</f>
        <v>Herman Au</v>
      </c>
      <c r="C264" s="135">
        <f>IFERROR(__xludf.DUMMYFUNCTION("""COMPUTED_VALUE"""),6.0)</f>
        <v>6</v>
      </c>
      <c r="D264" s="135">
        <f>IFERROR(__xludf.DUMMYFUNCTION("""COMPUTED_VALUE"""),6.0)</f>
        <v>6</v>
      </c>
      <c r="E264" s="135">
        <f>IFERROR(__xludf.DUMMYFUNCTION("""COMPUTED_VALUE"""),0.0)</f>
        <v>0</v>
      </c>
      <c r="F264" s="135">
        <f>IFERROR(__xludf.DUMMYFUNCTION("""COMPUTED_VALUE"""),12.0)</f>
        <v>12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IFERROR(__xludf.DUMMYFUNCTION("""COMPUTED_VALUE"""),"Wayne Liu")</f>
        <v>Wayne Liu</v>
      </c>
      <c r="C265" s="135">
        <f>IFERROR(__xludf.DUMMYFUNCTION("""COMPUTED_VALUE"""),1.0)</f>
        <v>1</v>
      </c>
      <c r="D265" s="135">
        <f>IFERROR(__xludf.DUMMYFUNCTION("""COMPUTED_VALUE"""),1.0)</f>
        <v>1</v>
      </c>
      <c r="E265" s="135">
        <f>IFERROR(__xludf.DUMMYFUNCTION("""COMPUTED_VALUE"""),0.0)</f>
        <v>0</v>
      </c>
      <c r="F265" s="135">
        <f>IFERROR(__xludf.DUMMYFUNCTION("""COMPUTED_VALUE"""),2.0)</f>
        <v>2</v>
      </c>
      <c r="G265" s="135">
        <f>IFERROR(__xludf.DUMMYFUNCTION("""COMPUTED_VALUE"""),0.0)</f>
        <v>0</v>
      </c>
    </row>
    <row r="266">
      <c r="A266" s="122">
        <f>IFERROR(__xludf.DUMMYFUNCTION("""COMPUTED_VALUE"""),5.0)</f>
        <v>5</v>
      </c>
      <c r="B266" s="36" t="str">
        <f>IFERROR(__xludf.DUMMYFUNCTION("""COMPUTED_VALUE"""),"Allen Zhang")</f>
        <v>Allen Zhang</v>
      </c>
      <c r="C266" s="132">
        <f>IFERROR(__xludf.DUMMYFUNCTION("""COMPUTED_VALUE"""),6.0)</f>
        <v>6</v>
      </c>
      <c r="D266" s="132">
        <f>IFERROR(__xludf.DUMMYFUNCTION("""COMPUTED_VALUE"""),5.0)</f>
        <v>5</v>
      </c>
      <c r="E266" s="132">
        <f>IFERROR(__xludf.DUMMYFUNCTION("""COMPUTED_VALUE"""),4.0)</f>
        <v>4</v>
      </c>
      <c r="F266" s="132">
        <f>IFERROR(__xludf.DUMMYFUNCTION("""COMPUTED_VALUE"""),15.0)</f>
        <v>15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IFERROR(__xludf.DUMMYFUNCTION("""COMPUTED_VALUE"""),"Alex Hou")</f>
        <v>Alex Hou</v>
      </c>
      <c r="C267" s="132">
        <f>IFERROR(__xludf.DUMMYFUNCTION("""COMPUTED_VALUE"""),4.0)</f>
        <v>4</v>
      </c>
      <c r="D267" s="132">
        <f>IFERROR(__xludf.DUMMYFUNCTION("""COMPUTED_VALUE"""),5.0)</f>
        <v>5</v>
      </c>
      <c r="E267" s="132">
        <f>IFERROR(__xludf.DUMMYFUNCTION("""COMPUTED_VALUE"""),6.0)</f>
        <v>6</v>
      </c>
      <c r="F267" s="132">
        <f>IFERROR(__xludf.DUMMYFUNCTION("""COMPUTED_VALUE"""),15.0)</f>
        <v>15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IFERROR(__xludf.DUMMYFUNCTION("""COMPUTED_VALUE"""),"Scott Li")</f>
        <v>Scott Li</v>
      </c>
      <c r="C268" s="132">
        <f>IFERROR(__xludf.DUMMYFUNCTION("""COMPUTED_VALUE"""),6.0)</f>
        <v>6</v>
      </c>
      <c r="D268" s="132">
        <f>IFERROR(__xludf.DUMMYFUNCTION("""COMPUTED_VALUE"""),7.0)</f>
        <v>7</v>
      </c>
      <c r="E268" s="132">
        <f>IFERROR(__xludf.DUMMYFUNCTION("""COMPUTED_VALUE"""),6.0)</f>
        <v>6</v>
      </c>
      <c r="F268" s="132">
        <f>IFERROR(__xludf.DUMMYFUNCTION("""COMPUTED_VALUE"""),19.0)</f>
        <v>19</v>
      </c>
      <c r="G268" s="132">
        <f>IFERROR(__xludf.DUMMYFUNCTION("""COMPUTED_VALUE"""),3.0)</f>
        <v>3</v>
      </c>
    </row>
    <row r="269">
      <c r="A269" s="122">
        <f>IFERROR(__xludf.DUMMYFUNCTION("""COMPUTED_VALUE"""),5.0)</f>
        <v>5</v>
      </c>
      <c r="B269" s="36" t="str">
        <f>IFERROR(__xludf.DUMMYFUNCTION("""COMPUTED_VALUE"""),"Lloyd Sagar")</f>
        <v>Lloyd Sagar</v>
      </c>
      <c r="C269" s="132">
        <f>IFERROR(__xludf.DUMMYFUNCTION("""COMPUTED_VALUE"""),4.0)</f>
        <v>4</v>
      </c>
      <c r="D269" s="132">
        <f>IFERROR(__xludf.DUMMYFUNCTION("""COMPUTED_VALUE"""),7.0)</f>
        <v>7</v>
      </c>
      <c r="E269" s="132">
        <f>IFERROR(__xludf.DUMMYFUNCTION("""COMPUTED_VALUE"""),4.0)</f>
        <v>4</v>
      </c>
      <c r="F269" s="132">
        <f>IFERROR(__xludf.DUMMYFUNCTION("""COMPUTED_VALUE"""),15.0)</f>
        <v>15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IFERROR(__xludf.DUMMYFUNCTION("""COMPUTED_VALUE"""),"Ruben Ron")</f>
        <v>Ruben Ron</v>
      </c>
      <c r="C270" s="135">
        <f>IFERROR(__xludf.DUMMYFUNCTION("""COMPUTED_VALUE"""),6.0)</f>
        <v>6</v>
      </c>
      <c r="D270" s="135">
        <f>IFERROR(__xludf.DUMMYFUNCTION("""COMPUTED_VALUE"""),4.0)</f>
        <v>4</v>
      </c>
      <c r="E270" s="135">
        <f>IFERROR(__xludf.DUMMYFUNCTION("""COMPUTED_VALUE"""),6.0)</f>
        <v>6</v>
      </c>
      <c r="F270" s="135">
        <f>IFERROR(__xludf.DUMMYFUNCTION("""COMPUTED_VALUE"""),16.0)</f>
        <v>16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IFERROR(__xludf.DUMMYFUNCTION("""COMPUTED_VALUE"""),"Ramesh Bandaru")</f>
        <v>Ramesh Bandaru</v>
      </c>
      <c r="C271" s="135">
        <f>IFERROR(__xludf.DUMMYFUNCTION("""COMPUTED_VALUE"""),0.0)</f>
        <v>0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IFERROR(__xludf.DUMMYFUNCTION("""COMPUTED_VALUE"""),12.0)</f>
        <v>12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IFERROR(__xludf.DUMMYFUNCTION("""COMPUTED_VALUE"""),"Manuel Rivera")</f>
        <v>Manuel Rivera</v>
      </c>
      <c r="C272" s="135">
        <f>IFERROR(__xludf.DUMMYFUNCTION("""COMPUTED_VALUE"""),6.0)</f>
        <v>6</v>
      </c>
      <c r="D272" s="135">
        <f>IFERROR(__xludf.DUMMYFUNCTION("""COMPUTED_VALUE"""),6.0)</f>
        <v>6</v>
      </c>
      <c r="E272" s="135">
        <f>IFERROR(__xludf.DUMMYFUNCTION("""COMPUTED_VALUE"""),1.0)</f>
        <v>1</v>
      </c>
      <c r="F272" s="135">
        <f>IFERROR(__xludf.DUMMYFUNCTION("""COMPUTED_VALUE"""),13.0)</f>
        <v>13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IFERROR(__xludf.DUMMYFUNCTION("""COMPUTED_VALUE"""),"Jimmy Awolesi")</f>
        <v>Jimmy Awolesi</v>
      </c>
      <c r="C273" s="135">
        <f>IFERROR(__xludf.DUMMYFUNCTION("""COMPUTED_VALUE"""),0.0)</f>
        <v>0</v>
      </c>
      <c r="D273" s="135">
        <f>IFERROR(__xludf.DUMMYFUNCTION("""COMPUTED_VALUE"""),4.0)</f>
        <v>4</v>
      </c>
      <c r="E273" s="135">
        <f>IFERROR(__xludf.DUMMYFUNCTION("""COMPUTED_VALUE"""),1.0)</f>
        <v>1</v>
      </c>
      <c r="F273" s="135">
        <f>IFERROR(__xludf.DUMMYFUNCTION("""COMPUTED_VALUE"""),5.0)</f>
        <v>5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IFERROR(__xludf.DUMMYFUNCTION("""COMPUTED_VALUE"""),"Eric Tan")</f>
        <v>Eric Tan</v>
      </c>
      <c r="C274" s="132">
        <f>IFERROR(__xludf.DUMMYFUNCTION("""COMPUTED_VALUE"""),6.0)</f>
        <v>6</v>
      </c>
      <c r="D274" s="132">
        <f>IFERROR(__xludf.DUMMYFUNCTION("""COMPUTED_VALUE"""),4.0)</f>
        <v>4</v>
      </c>
      <c r="E274" s="132">
        <f>IFERROR(__xludf.DUMMYFUNCTION("""COMPUTED_VALUE"""),3.0)</f>
        <v>3</v>
      </c>
      <c r="F274" s="132">
        <f>IFERROR(__xludf.DUMMYFUNCTION("""COMPUTED_VALUE"""),13.0)</f>
        <v>13</v>
      </c>
      <c r="G274" s="132">
        <f>IFERROR(__xludf.DUMMYFUNCTION("""COMPUTED_VALUE"""),1.0)</f>
        <v>1</v>
      </c>
    </row>
    <row r="275">
      <c r="A275" s="122">
        <f>IFERROR(__xludf.DUMMYFUNCTION("""COMPUTED_VALUE"""),7.0)</f>
        <v>7</v>
      </c>
      <c r="B275" s="36" t="str">
        <f>IFERROR(__xludf.DUMMYFUNCTION("""COMPUTED_VALUE"""),"Coco Yan")</f>
        <v>Coco Yan</v>
      </c>
      <c r="C275" s="132">
        <f>IFERROR(__xludf.DUMMYFUNCTION("""COMPUTED_VALUE"""),3.0)</f>
        <v>3</v>
      </c>
      <c r="D275" s="132">
        <f>IFERROR(__xludf.DUMMYFUNCTION("""COMPUTED_VALUE"""),6.0)</f>
        <v>6</v>
      </c>
      <c r="E275" s="132">
        <f>IFERROR(__xludf.DUMMYFUNCTION("""COMPUTED_VALUE"""),3.0)</f>
        <v>3</v>
      </c>
      <c r="F275" s="132">
        <f>IFERROR(__xludf.DUMMYFUNCTION("""COMPUTED_VALUE"""),12.0)</f>
        <v>12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IFERROR(__xludf.DUMMYFUNCTION("""COMPUTED_VALUE"""),"Oscar Bonilla")</f>
        <v>Oscar Bonilla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IFERROR(__xludf.DUMMYFUNCTION("""COMPUTED_VALUE"""),6.0)</f>
        <v>6</v>
      </c>
      <c r="F276" s="132">
        <f>IFERROR(__xludf.DUMMYFUNCTION("""COMPUTED_VALUE"""),18.0)</f>
        <v>18</v>
      </c>
      <c r="G276" s="132">
        <f>IFERROR(__xludf.DUMMYFUNCTION("""COMPUTED_VALUE"""),3.0)</f>
        <v>3</v>
      </c>
    </row>
    <row r="277">
      <c r="A277" s="122">
        <f>IFERROR(__xludf.DUMMYFUNCTION("""COMPUTED_VALUE"""),7.0)</f>
        <v>7</v>
      </c>
      <c r="B277" s="36" t="str">
        <f>IFERROR(__xludf.DUMMYFUNCTION("""COMPUTED_VALUE"""),"Kumar Palakeel")</f>
        <v>Kumar Palakeel</v>
      </c>
      <c r="C277" s="132">
        <f>IFERROR(__xludf.DUMMYFUNCTION("""COMPUTED_VALUE"""),3.0)</f>
        <v>3</v>
      </c>
      <c r="D277" s="132">
        <f>IFERROR(__xludf.DUMMYFUNCTION("""COMPUTED_VALUE"""),4.0)</f>
        <v>4</v>
      </c>
      <c r="E277" s="132">
        <f>IFERROR(__xludf.DUMMYFUNCTION("""COMPUTED_VALUE"""),6.0)</f>
        <v>6</v>
      </c>
      <c r="F277" s="132">
        <f>IFERROR(__xludf.DUMMYFUNCTION("""COMPUTED_VALUE"""),13.0)</f>
        <v>13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IFERROR(__xludf.DUMMYFUNCTION("""COMPUTED_VALUE"""),"Hongyuan Wen")</f>
        <v>Hongyuan Wen</v>
      </c>
      <c r="C278" s="135">
        <f>IFERROR(__xludf.DUMMYFUNCTION("""COMPUTED_VALUE"""),5.0)</f>
        <v>5</v>
      </c>
      <c r="D278" s="135">
        <f>IFERROR(__xludf.DUMMYFUNCTION("""COMPUTED_VALUE"""),3.0)</f>
        <v>3</v>
      </c>
      <c r="E278" s="135">
        <f>IFERROR(__xludf.DUMMYFUNCTION("""COMPUTED_VALUE"""),6.0)</f>
        <v>6</v>
      </c>
      <c r="F278" s="135">
        <f>IFERROR(__xludf.DUMMYFUNCTION("""COMPUTED_VALUE"""),14.0)</f>
        <v>14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IFERROR(__xludf.DUMMYFUNCTION("""COMPUTED_VALUE"""),"Troy Wong")</f>
        <v>Troy Wong</v>
      </c>
      <c r="C279" s="135">
        <f>IFERROR(__xludf.DUMMYFUNCTION("""COMPUTED_VALUE"""),7.0)</f>
        <v>7</v>
      </c>
      <c r="D279" s="135">
        <f>IFERROR(__xludf.DUMMYFUNCTION("""COMPUTED_VALUE"""),6.0)</f>
        <v>6</v>
      </c>
      <c r="E279" s="135">
        <f>IFERROR(__xludf.DUMMYFUNCTION("""COMPUTED_VALUE"""),6.0)</f>
        <v>6</v>
      </c>
      <c r="F279" s="135">
        <f>IFERROR(__xludf.DUMMYFUNCTION("""COMPUTED_VALUE"""),19.0)</f>
        <v>19</v>
      </c>
      <c r="G279" s="135">
        <f>IFERROR(__xludf.DUMMYFUNCTION("""COMPUTED_VALUE"""),3.0)</f>
        <v>3</v>
      </c>
    </row>
    <row r="280">
      <c r="A280" s="133">
        <f>IFERROR(__xludf.DUMMYFUNCTION("""COMPUTED_VALUE"""),8.0)</f>
        <v>8</v>
      </c>
      <c r="B280" s="134" t="str">
        <f>IFERROR(__xludf.DUMMYFUNCTION("""COMPUTED_VALUE"""),"Sandy Weyant")</f>
        <v>Sandy Weyant</v>
      </c>
      <c r="C280" s="135">
        <f>IFERROR(__xludf.DUMMYFUNCTION("""COMPUTED_VALUE"""),7.0)</f>
        <v>7</v>
      </c>
      <c r="D280" s="135">
        <f>IFERROR(__xludf.DUMMYFUNCTION("""COMPUTED_VALUE"""),3.0)</f>
        <v>3</v>
      </c>
      <c r="E280" s="135">
        <f>IFERROR(__xludf.DUMMYFUNCTION("""COMPUTED_VALUE"""),0.0)</f>
        <v>0</v>
      </c>
      <c r="F280" s="135">
        <f>IFERROR(__xludf.DUMMYFUNCTION("""COMPUTED_VALUE"""),10.0)</f>
        <v>10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IFERROR(__xludf.DUMMYFUNCTION("""COMPUTED_VALUE"""),"Ranjith Doraiswamy")</f>
        <v>Ranjith Doraiswamy</v>
      </c>
      <c r="C281" s="135">
        <f>IFERROR(__xludf.DUMMYFUNCTION("""COMPUTED_VALUE"""),5.0)</f>
        <v>5</v>
      </c>
      <c r="D281" s="135">
        <f>IFERROR(__xludf.DUMMYFUNCTION("""COMPUTED_VALUE"""),6.0)</f>
        <v>6</v>
      </c>
      <c r="E281" s="135">
        <f>IFERROR(__xludf.DUMMYFUNCTION("""COMPUTED_VALUE"""),0.0)</f>
        <v>0</v>
      </c>
      <c r="F281" s="135">
        <f>IFERROR(__xludf.DUMMYFUNCTION("""COMPUTED_VALUE"""),11.0)</f>
        <v>11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IFERROR(__xludf.DUMMYFUNCTION("""COMPUTED_VALUE"""),"Naveen Raj")</f>
        <v>Naveen Raj</v>
      </c>
      <c r="C282" s="132">
        <f>IFERROR(__xludf.DUMMYFUNCTION("""COMPUTED_VALUE"""),6.0)</f>
        <v>6</v>
      </c>
      <c r="D282" s="132">
        <f>IFERROR(__xludf.DUMMYFUNCTION("""COMPUTED_VALUE"""),3.0)</f>
        <v>3</v>
      </c>
      <c r="E282" s="132">
        <f>IFERROR(__xludf.DUMMYFUNCTION("""COMPUTED_VALUE"""),7.0)</f>
        <v>7</v>
      </c>
      <c r="F282" s="132">
        <f>IFERROR(__xludf.DUMMYFUNCTION("""COMPUTED_VALUE"""),16.0)</f>
        <v>16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IFERROR(__xludf.DUMMYFUNCTION("""COMPUTED_VALUE"""),"Tina Hanson")</f>
        <v>Tina Hanson</v>
      </c>
      <c r="C283" s="132">
        <f>IFERROR(__xludf.DUMMYFUNCTION("""COMPUTED_VALUE"""),1.0)</f>
        <v>1</v>
      </c>
      <c r="D283" s="132">
        <f>IFERROR(__xludf.DUMMYFUNCTION("""COMPUTED_VALUE"""),6.0)</f>
        <v>6</v>
      </c>
      <c r="E283" s="132">
        <f>IFERROR(__xludf.DUMMYFUNCTION("""COMPUTED_VALUE"""),7.0)</f>
        <v>7</v>
      </c>
      <c r="F283" s="132">
        <f>IFERROR(__xludf.DUMMYFUNCTION("""COMPUTED_VALUE"""),14.0)</f>
        <v>14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IFERROR(__xludf.DUMMYFUNCTION("""COMPUTED_VALUE"""),"Chinna Ponnaganti")</f>
        <v>Chinna Ponnaganti</v>
      </c>
      <c r="C284" s="132">
        <f>IFERROR(__xludf.DUMMYFUNCTION("""COMPUTED_VALUE"""),1.0)</f>
        <v>1</v>
      </c>
      <c r="D284" s="132">
        <f>IFERROR(__xludf.DUMMYFUNCTION("""COMPUTED_VALUE"""),3.0)</f>
        <v>3</v>
      </c>
      <c r="E284" s="132">
        <f>IFERROR(__xludf.DUMMYFUNCTION("""COMPUTED_VALUE"""),5.0)</f>
        <v>5</v>
      </c>
      <c r="F284" s="132">
        <f>IFERROR(__xludf.DUMMYFUNCTION("""COMPUTED_VALUE"""),9.0)</f>
        <v>9</v>
      </c>
      <c r="G284" s="132">
        <f>IFERROR(__xludf.DUMMYFUNCTION("""COMPUTED_VALUE"""),0.0)</f>
        <v>0</v>
      </c>
    </row>
    <row r="285">
      <c r="A285" s="122">
        <f>IFERROR(__xludf.DUMMYFUNCTION("""COMPUTED_VALUE"""),9.0)</f>
        <v>9</v>
      </c>
      <c r="B285" s="36" t="str">
        <f>IFERROR(__xludf.DUMMYFUNCTION("""COMPUTED_VALUE"""),"Manish Anand")</f>
        <v>Manish Anand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IFERROR(__xludf.DUMMYFUNCTION("""COMPUTED_VALUE"""),5.0)</f>
        <v>5</v>
      </c>
      <c r="F285" s="132">
        <f>IFERROR(__xludf.DUMMYFUNCTION("""COMPUTED_VALUE"""),17.0)</f>
        <v>17</v>
      </c>
      <c r="G285" s="132">
        <f>IFERROR(__xludf.DUMMYFUNCTION("""COMPUTED_VALUE"""),2.0)</f>
        <v>2</v>
      </c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IFERROR(__xludf.DUMMYFUNCTION("""COMPUTED_VALUE"""),"Ruben Ron")</f>
        <v>Ruben Ron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IFERROR(__xludf.DUMMYFUNCTION("""COMPUTED_VALUE"""),"Rudy Tatang")</f>
        <v>Rudy Tatang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IFERROR(__xludf.DUMMYFUNCTION("""COMPUTED_VALUE"""),"Sandeep Kamalon")</f>
        <v>Sandeep Kamalon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IFERROR(__xludf.DUMMYFUNCTION("""COMPUTED_VALUE"""),"Sandy Weyant")</f>
        <v>Sandy Weyant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IFERROR(__xludf.DUMMYFUNCTION("""COMPUTED_VALUE"""),"Sanjaye Elayattu")</f>
        <v>Sanjaye Elayattu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46095.0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10.0</v>
      </c>
      <c r="E2" s="5"/>
      <c r="F2" s="5"/>
      <c r="R2" s="18"/>
      <c r="AC2" s="22" t="str">
        <f>text(C1-7,"mm/dd/yy")</f>
        <v>03/07/26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153.0</v>
      </c>
      <c r="D5" s="37">
        <v>22.0</v>
      </c>
      <c r="E5" s="40">
        <f t="shared" ref="E5:E79" si="2">if(S5&gt;0,(C5-(V5*9)-(T5*13))/S5,0)</f>
        <v>15.3</v>
      </c>
      <c r="F5" s="90">
        <v>1.0</v>
      </c>
      <c r="G5" s="91">
        <v>1.0</v>
      </c>
      <c r="H5" s="92">
        <v>0.0</v>
      </c>
      <c r="I5" s="91">
        <v>0.0</v>
      </c>
      <c r="J5" s="91">
        <v>4.0</v>
      </c>
      <c r="K5" s="91">
        <v>6.0</v>
      </c>
      <c r="L5" s="93">
        <v>10.0</v>
      </c>
      <c r="M5" s="91">
        <v>1.0</v>
      </c>
      <c r="N5" s="37">
        <f t="shared" ref="N5:O5" si="1">C5+L5</f>
        <v>163</v>
      </c>
      <c r="O5" s="37">
        <f t="shared" si="1"/>
        <v>23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10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68</v>
      </c>
      <c r="C6" s="37">
        <v>134.0</v>
      </c>
      <c r="D6" s="37">
        <v>15.0</v>
      </c>
      <c r="E6" s="40">
        <f t="shared" si="2"/>
        <v>13.88888889</v>
      </c>
      <c r="F6" s="90">
        <v>1.0</v>
      </c>
      <c r="G6" s="91">
        <v>1.0</v>
      </c>
      <c r="H6" s="92">
        <v>0.0</v>
      </c>
      <c r="I6" s="91">
        <v>0.0</v>
      </c>
      <c r="J6" s="91">
        <v>6.0</v>
      </c>
      <c r="K6" s="91">
        <v>3.0</v>
      </c>
      <c r="L6" s="93">
        <v>9.0</v>
      </c>
      <c r="M6" s="91">
        <v>1.0</v>
      </c>
      <c r="N6" s="37">
        <f t="shared" ref="N6:O6" si="3">C6+L6</f>
        <v>143</v>
      </c>
      <c r="O6" s="37">
        <f t="shared" si="3"/>
        <v>16</v>
      </c>
      <c r="P6" s="49" t="s">
        <v>57</v>
      </c>
      <c r="Q6" s="49" t="s">
        <v>57</v>
      </c>
      <c r="R6" s="49" t="s">
        <v>57</v>
      </c>
      <c r="S6" s="51">
        <f t="shared" si="4"/>
        <v>9</v>
      </c>
      <c r="T6" s="52">
        <f t="shared" si="5"/>
        <v>0</v>
      </c>
      <c r="U6" s="52"/>
      <c r="V6" s="51">
        <f t="shared" si="6"/>
        <v>1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63</v>
      </c>
      <c r="C7" s="37">
        <v>127.0</v>
      </c>
      <c r="D7" s="37">
        <v>14.0</v>
      </c>
      <c r="E7" s="40">
        <f t="shared" si="2"/>
        <v>13.625</v>
      </c>
      <c r="F7" s="90">
        <v>1.0</v>
      </c>
      <c r="G7" s="91">
        <v>1.0</v>
      </c>
      <c r="H7" s="92">
        <v>0.0</v>
      </c>
      <c r="I7" s="91">
        <v>6.0</v>
      </c>
      <c r="J7" s="91">
        <v>6.0</v>
      </c>
      <c r="K7" s="91">
        <v>6.0</v>
      </c>
      <c r="L7" s="93">
        <v>18.0</v>
      </c>
      <c r="M7" s="91">
        <v>3.0</v>
      </c>
      <c r="N7" s="37">
        <f t="shared" ref="N7:O7" si="11">C7+L7</f>
        <v>145</v>
      </c>
      <c r="O7" s="37">
        <f t="shared" si="11"/>
        <v>17</v>
      </c>
      <c r="P7" s="49" t="s">
        <v>57</v>
      </c>
      <c r="Q7" s="49" t="s">
        <v>57</v>
      </c>
      <c r="R7" s="49" t="s">
        <v>57</v>
      </c>
      <c r="S7" s="51">
        <f t="shared" si="4"/>
        <v>8</v>
      </c>
      <c r="T7" s="52">
        <f t="shared" si="5"/>
        <v>0</v>
      </c>
      <c r="U7" s="52"/>
      <c r="V7" s="51">
        <f t="shared" si="6"/>
        <v>2</v>
      </c>
      <c r="W7" s="52">
        <f t="shared" si="7"/>
        <v>6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126.0</v>
      </c>
      <c r="D8" s="37">
        <v>13.0</v>
      </c>
      <c r="E8" s="40">
        <f t="shared" si="2"/>
        <v>12.6</v>
      </c>
      <c r="F8" s="90">
        <v>1.0</v>
      </c>
      <c r="G8" s="91">
        <v>1.0</v>
      </c>
      <c r="H8" s="92">
        <v>0.0</v>
      </c>
      <c r="I8" s="91">
        <v>6.0</v>
      </c>
      <c r="J8" s="91">
        <v>4.0</v>
      </c>
      <c r="K8" s="91">
        <v>3.0</v>
      </c>
      <c r="L8" s="93">
        <v>13.0</v>
      </c>
      <c r="M8" s="91">
        <v>1.0</v>
      </c>
      <c r="N8" s="37">
        <f t="shared" ref="N8:O8" si="13">C8+L8</f>
        <v>139</v>
      </c>
      <c r="O8" s="37">
        <f t="shared" si="13"/>
        <v>14</v>
      </c>
      <c r="P8" s="49" t="s">
        <v>57</v>
      </c>
      <c r="Q8" s="49" t="s">
        <v>57</v>
      </c>
      <c r="R8" s="49" t="s">
        <v>57</v>
      </c>
      <c r="S8" s="51">
        <f t="shared" si="4"/>
        <v>10</v>
      </c>
      <c r="T8" s="52">
        <f t="shared" si="5"/>
        <v>0</v>
      </c>
      <c r="U8" s="52"/>
      <c r="V8" s="51">
        <f t="shared" si="6"/>
        <v>0</v>
      </c>
      <c r="W8" s="52">
        <f t="shared" si="7"/>
        <v>0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127</v>
      </c>
      <c r="C9" s="37">
        <v>125.0</v>
      </c>
      <c r="D9" s="37">
        <v>14.0</v>
      </c>
      <c r="E9" s="40">
        <f t="shared" si="2"/>
        <v>13.375</v>
      </c>
      <c r="F9" s="90">
        <v>1.0</v>
      </c>
      <c r="G9" s="91">
        <v>2.0</v>
      </c>
      <c r="H9" s="92">
        <v>0.0</v>
      </c>
      <c r="I9" s="91">
        <v>6.0</v>
      </c>
      <c r="J9" s="91">
        <v>6.0</v>
      </c>
      <c r="K9" s="91">
        <v>6.0</v>
      </c>
      <c r="L9" s="93">
        <v>18.0</v>
      </c>
      <c r="M9" s="91">
        <v>3.0</v>
      </c>
      <c r="N9" s="37">
        <f t="shared" ref="N9:O9" si="14">C9+L9</f>
        <v>143</v>
      </c>
      <c r="O9" s="37">
        <f t="shared" si="14"/>
        <v>17</v>
      </c>
      <c r="P9" s="49" t="s">
        <v>57</v>
      </c>
      <c r="Q9" s="49" t="s">
        <v>57</v>
      </c>
      <c r="R9" s="49" t="s">
        <v>57</v>
      </c>
      <c r="S9" s="51">
        <f t="shared" si="4"/>
        <v>8</v>
      </c>
      <c r="T9" s="52">
        <f t="shared" si="5"/>
        <v>0</v>
      </c>
      <c r="U9" s="52"/>
      <c r="V9" s="51">
        <f t="shared" si="6"/>
        <v>2</v>
      </c>
      <c r="W9" s="52">
        <f t="shared" si="7"/>
        <v>-2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91</v>
      </c>
      <c r="C10" s="37">
        <v>125.0</v>
      </c>
      <c r="D10" s="37">
        <v>12.0</v>
      </c>
      <c r="E10" s="40">
        <f t="shared" si="2"/>
        <v>14.83333333</v>
      </c>
      <c r="F10" s="90">
        <v>3.0</v>
      </c>
      <c r="G10" s="91">
        <v>0.0</v>
      </c>
      <c r="H10" s="92">
        <v>9.0</v>
      </c>
      <c r="I10" s="91">
        <v>0.0</v>
      </c>
      <c r="J10" s="91">
        <v>0.0</v>
      </c>
      <c r="K10" s="91">
        <v>0.0</v>
      </c>
      <c r="L10" s="93">
        <v>9.0</v>
      </c>
      <c r="M10" s="91">
        <v>0.0</v>
      </c>
      <c r="N10" s="37">
        <f t="shared" ref="N10:O10" si="15">C10+L10</f>
        <v>134</v>
      </c>
      <c r="O10" s="37">
        <f t="shared" si="15"/>
        <v>12</v>
      </c>
      <c r="P10" s="49" t="s">
        <v>57</v>
      </c>
      <c r="Q10" s="49" t="s">
        <v>57</v>
      </c>
      <c r="R10" s="49" t="s">
        <v>57</v>
      </c>
      <c r="S10" s="51">
        <f t="shared" si="4"/>
        <v>6</v>
      </c>
      <c r="T10" s="52">
        <f t="shared" si="5"/>
        <v>0</v>
      </c>
      <c r="U10" s="52"/>
      <c r="V10" s="51">
        <f t="shared" si="6"/>
        <v>4</v>
      </c>
      <c r="W10" s="52">
        <f t="shared" si="7"/>
        <v>6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80</v>
      </c>
      <c r="C11" s="37">
        <v>124.0</v>
      </c>
      <c r="D11" s="37">
        <v>12.0</v>
      </c>
      <c r="E11" s="40">
        <f t="shared" si="2"/>
        <v>12.75</v>
      </c>
      <c r="F11" s="90">
        <v>1.0</v>
      </c>
      <c r="G11" s="91">
        <v>2.0</v>
      </c>
      <c r="H11" s="92">
        <v>0.0</v>
      </c>
      <c r="I11" s="91">
        <v>2.0</v>
      </c>
      <c r="J11" s="91">
        <v>6.0</v>
      </c>
      <c r="K11" s="91">
        <v>2.0</v>
      </c>
      <c r="L11" s="93">
        <v>10.0</v>
      </c>
      <c r="M11" s="91">
        <v>1.0</v>
      </c>
      <c r="N11" s="37">
        <f t="shared" ref="N11:O11" si="16">C11+L11</f>
        <v>134</v>
      </c>
      <c r="O11" s="37">
        <f t="shared" si="16"/>
        <v>13</v>
      </c>
      <c r="P11" s="49" t="s">
        <v>57</v>
      </c>
      <c r="Q11" s="49" t="s">
        <v>57</v>
      </c>
      <c r="R11" s="49" t="s">
        <v>57</v>
      </c>
      <c r="S11" s="51">
        <f t="shared" si="4"/>
        <v>8</v>
      </c>
      <c r="T11" s="52">
        <f t="shared" si="5"/>
        <v>1</v>
      </c>
      <c r="U11" s="52"/>
      <c r="V11" s="51">
        <f t="shared" si="6"/>
        <v>1</v>
      </c>
      <c r="W11" s="52">
        <f t="shared" si="7"/>
        <v>3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94</v>
      </c>
      <c r="C12" s="37">
        <v>123.0</v>
      </c>
      <c r="D12" s="37">
        <v>14.0</v>
      </c>
      <c r="E12" s="40">
        <f t="shared" si="2"/>
        <v>13.125</v>
      </c>
      <c r="F12" s="90">
        <v>1.0</v>
      </c>
      <c r="G12" s="91">
        <v>2.0</v>
      </c>
      <c r="H12" s="92">
        <v>0.0</v>
      </c>
      <c r="I12" s="91">
        <v>2.0</v>
      </c>
      <c r="J12" s="91">
        <v>2.0</v>
      </c>
      <c r="K12" s="91">
        <v>6.0</v>
      </c>
      <c r="L12" s="93">
        <v>10.0</v>
      </c>
      <c r="M12" s="91">
        <v>1.0</v>
      </c>
      <c r="N12" s="37">
        <f t="shared" ref="N12:O12" si="17">C12+L12</f>
        <v>133</v>
      </c>
      <c r="O12" s="37">
        <f t="shared" si="17"/>
        <v>15</v>
      </c>
      <c r="P12" s="49" t="s">
        <v>57</v>
      </c>
      <c r="Q12" s="49" t="s">
        <v>57</v>
      </c>
      <c r="R12" s="49" t="s">
        <v>57</v>
      </c>
      <c r="S12" s="51">
        <f t="shared" si="4"/>
        <v>8</v>
      </c>
      <c r="T12" s="52">
        <f t="shared" si="5"/>
        <v>0</v>
      </c>
      <c r="U12" s="52"/>
      <c r="V12" s="51">
        <f t="shared" si="6"/>
        <v>2</v>
      </c>
      <c r="W12" s="52">
        <f t="shared" si="7"/>
        <v>-3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128</v>
      </c>
      <c r="C13" s="37">
        <v>123.0</v>
      </c>
      <c r="D13" s="37">
        <v>12.0</v>
      </c>
      <c r="E13" s="40">
        <f t="shared" si="2"/>
        <v>13.125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132</v>
      </c>
      <c r="O13" s="37">
        <f t="shared" si="18"/>
        <v>12</v>
      </c>
      <c r="P13" s="49" t="s">
        <v>57</v>
      </c>
      <c r="Q13" s="49" t="s">
        <v>57</v>
      </c>
      <c r="R13" s="49" t="s">
        <v>57</v>
      </c>
      <c r="S13" s="51">
        <f t="shared" si="4"/>
        <v>8</v>
      </c>
      <c r="T13" s="52">
        <f t="shared" si="5"/>
        <v>0</v>
      </c>
      <c r="U13" s="52"/>
      <c r="V13" s="51">
        <f t="shared" si="6"/>
        <v>2</v>
      </c>
      <c r="W13" s="52">
        <f t="shared" si="7"/>
        <v>-3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103</v>
      </c>
      <c r="C14" s="37">
        <v>121.0</v>
      </c>
      <c r="D14" s="37">
        <v>13.0</v>
      </c>
      <c r="E14" s="40">
        <f t="shared" si="2"/>
        <v>12.44444444</v>
      </c>
      <c r="F14" s="90">
        <v>1.0</v>
      </c>
      <c r="G14" s="91">
        <v>2.0</v>
      </c>
      <c r="H14" s="92">
        <v>0.0</v>
      </c>
      <c r="I14" s="91">
        <v>6.0</v>
      </c>
      <c r="J14" s="91">
        <v>2.0</v>
      </c>
      <c r="K14" s="91">
        <v>2.0</v>
      </c>
      <c r="L14" s="93">
        <v>10.0</v>
      </c>
      <c r="M14" s="91">
        <v>1.0</v>
      </c>
      <c r="N14" s="37">
        <f t="shared" ref="N14:O14" si="19">C14+L14</f>
        <v>131</v>
      </c>
      <c r="O14" s="37">
        <f t="shared" si="19"/>
        <v>14</v>
      </c>
      <c r="P14" s="49" t="s">
        <v>57</v>
      </c>
      <c r="Q14" s="49" t="s">
        <v>57</v>
      </c>
      <c r="R14" s="49" t="s">
        <v>57</v>
      </c>
      <c r="S14" s="51">
        <f t="shared" si="4"/>
        <v>9</v>
      </c>
      <c r="T14" s="52">
        <f t="shared" si="5"/>
        <v>0</v>
      </c>
      <c r="U14" s="52"/>
      <c r="V14" s="51">
        <f t="shared" si="6"/>
        <v>1</v>
      </c>
      <c r="W14" s="52">
        <f t="shared" si="7"/>
        <v>-3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108</v>
      </c>
      <c r="C15" s="37">
        <v>118.0</v>
      </c>
      <c r="D15" s="37">
        <v>12.0</v>
      </c>
      <c r="E15" s="40">
        <f t="shared" si="2"/>
        <v>12.5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127</v>
      </c>
      <c r="O15" s="37">
        <f t="shared" si="20"/>
        <v>12</v>
      </c>
      <c r="P15" s="49" t="s">
        <v>57</v>
      </c>
      <c r="Q15" s="49" t="s">
        <v>57</v>
      </c>
      <c r="R15" s="49" t="s">
        <v>57</v>
      </c>
      <c r="S15" s="51">
        <f t="shared" si="4"/>
        <v>8</v>
      </c>
      <c r="T15" s="52">
        <f t="shared" si="5"/>
        <v>0</v>
      </c>
      <c r="U15" s="52"/>
      <c r="V15" s="51">
        <f t="shared" si="6"/>
        <v>2</v>
      </c>
      <c r="W15" s="52">
        <f t="shared" si="7"/>
        <v>3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96</v>
      </c>
      <c r="C16" s="37">
        <v>118.0</v>
      </c>
      <c r="D16" s="37">
        <v>11.0</v>
      </c>
      <c r="E16" s="40">
        <f t="shared" si="2"/>
        <v>11.8</v>
      </c>
      <c r="F16" s="90">
        <v>1.0</v>
      </c>
      <c r="G16" s="91">
        <v>3.0</v>
      </c>
      <c r="H16" s="92">
        <v>0.0</v>
      </c>
      <c r="I16" s="91">
        <v>6.0</v>
      </c>
      <c r="J16" s="91">
        <v>6.0</v>
      </c>
      <c r="K16" s="91">
        <v>6.0</v>
      </c>
      <c r="L16" s="93">
        <v>18.0</v>
      </c>
      <c r="M16" s="91">
        <v>3.0</v>
      </c>
      <c r="N16" s="37">
        <f t="shared" ref="N16:O16" si="21">C16+L16</f>
        <v>136</v>
      </c>
      <c r="O16" s="37">
        <f t="shared" si="21"/>
        <v>14</v>
      </c>
      <c r="P16" s="49" t="s">
        <v>57</v>
      </c>
      <c r="Q16" s="49" t="s">
        <v>57</v>
      </c>
      <c r="R16" s="49" t="s">
        <v>57</v>
      </c>
      <c r="S16" s="51">
        <f t="shared" si="4"/>
        <v>10</v>
      </c>
      <c r="T16" s="52">
        <f t="shared" si="5"/>
        <v>0</v>
      </c>
      <c r="U16" s="52"/>
      <c r="V16" s="51">
        <f t="shared" si="6"/>
        <v>0</v>
      </c>
      <c r="W16" s="52">
        <f t="shared" si="7"/>
        <v>3</v>
      </c>
      <c r="X16" s="35">
        <f t="shared" si="12"/>
        <v>12</v>
      </c>
      <c r="Y16" s="35" t="str">
        <f t="shared" si="8"/>
        <v>Y</v>
      </c>
      <c r="Z16" s="19" t="str">
        <f t="shared" si="9"/>
        <v/>
      </c>
    </row>
    <row r="17">
      <c r="A17" s="35">
        <f t="shared" si="10"/>
        <v>13</v>
      </c>
      <c r="B17" s="36" t="s">
        <v>111</v>
      </c>
      <c r="C17" s="37">
        <v>117.0</v>
      </c>
      <c r="D17" s="37">
        <v>10.0</v>
      </c>
      <c r="E17" s="40">
        <f t="shared" si="2"/>
        <v>12.28571429</v>
      </c>
      <c r="F17" s="90">
        <v>1.0</v>
      </c>
      <c r="G17" s="91">
        <v>3.0</v>
      </c>
      <c r="H17" s="92">
        <v>0.0</v>
      </c>
      <c r="I17" s="91">
        <v>6.0</v>
      </c>
      <c r="J17" s="91">
        <v>3.0</v>
      </c>
      <c r="K17" s="91">
        <v>2.0</v>
      </c>
      <c r="L17" s="93">
        <v>11.0</v>
      </c>
      <c r="M17" s="91">
        <v>1.0</v>
      </c>
      <c r="N17" s="37">
        <f t="shared" ref="N17:O17" si="22">C17+L17</f>
        <v>128</v>
      </c>
      <c r="O17" s="37">
        <f t="shared" si="22"/>
        <v>11</v>
      </c>
      <c r="P17" s="49" t="s">
        <v>57</v>
      </c>
      <c r="Q17" s="49" t="s">
        <v>57</v>
      </c>
      <c r="R17" s="49" t="s">
        <v>57</v>
      </c>
      <c r="S17" s="51">
        <f t="shared" si="4"/>
        <v>7</v>
      </c>
      <c r="T17" s="52">
        <f t="shared" si="5"/>
        <v>1</v>
      </c>
      <c r="U17" s="52"/>
      <c r="V17" s="51">
        <f t="shared" si="6"/>
        <v>2</v>
      </c>
      <c r="W17" s="52">
        <f t="shared" si="7"/>
        <v>-5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92</v>
      </c>
      <c r="C18" s="37">
        <v>117.0</v>
      </c>
      <c r="D18" s="37">
        <v>9.0</v>
      </c>
      <c r="E18" s="40">
        <f t="shared" si="2"/>
        <v>13.5</v>
      </c>
      <c r="F18" s="90">
        <v>1.0</v>
      </c>
      <c r="G18" s="91">
        <v>3.0</v>
      </c>
      <c r="H18" s="92">
        <v>0.0</v>
      </c>
      <c r="I18" s="91">
        <v>4.0</v>
      </c>
      <c r="J18" s="91">
        <v>6.0</v>
      </c>
      <c r="K18" s="91">
        <v>2.0</v>
      </c>
      <c r="L18" s="93">
        <v>12.0</v>
      </c>
      <c r="M18" s="91">
        <v>1.0</v>
      </c>
      <c r="N18" s="37">
        <f t="shared" ref="N18:O18" si="23">C18+L18</f>
        <v>129</v>
      </c>
      <c r="O18" s="37">
        <f t="shared" si="23"/>
        <v>10</v>
      </c>
      <c r="P18" s="49" t="s">
        <v>57</v>
      </c>
      <c r="Q18" s="49" t="s">
        <v>57</v>
      </c>
      <c r="R18" s="49" t="s">
        <v>57</v>
      </c>
      <c r="S18" s="51">
        <f t="shared" si="4"/>
        <v>6</v>
      </c>
      <c r="T18" s="52">
        <f t="shared" si="5"/>
        <v>0</v>
      </c>
      <c r="U18" s="52"/>
      <c r="V18" s="51">
        <f t="shared" si="6"/>
        <v>4</v>
      </c>
      <c r="W18" s="52">
        <f t="shared" si="7"/>
        <v>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104</v>
      </c>
      <c r="C19" s="37">
        <v>116.0</v>
      </c>
      <c r="D19" s="37">
        <v>12.0</v>
      </c>
      <c r="E19" s="40">
        <f t="shared" si="2"/>
        <v>12.71428571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125</v>
      </c>
      <c r="O19" s="37">
        <f t="shared" si="24"/>
        <v>12</v>
      </c>
      <c r="P19" s="49" t="s">
        <v>57</v>
      </c>
      <c r="Q19" s="49" t="s">
        <v>57</v>
      </c>
      <c r="R19" s="49" t="s">
        <v>57</v>
      </c>
      <c r="S19" s="51">
        <f t="shared" si="4"/>
        <v>7</v>
      </c>
      <c r="T19" s="52">
        <f t="shared" si="5"/>
        <v>0</v>
      </c>
      <c r="U19" s="52"/>
      <c r="V19" s="51">
        <f t="shared" si="6"/>
        <v>3</v>
      </c>
      <c r="W19" s="52">
        <f t="shared" si="7"/>
        <v>7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99</v>
      </c>
      <c r="C20" s="37">
        <v>115.0</v>
      </c>
      <c r="D20" s="37">
        <v>12.0</v>
      </c>
      <c r="E20" s="40">
        <f t="shared" si="2"/>
        <v>12.125</v>
      </c>
      <c r="F20" s="90">
        <v>2.0</v>
      </c>
      <c r="G20" s="91">
        <v>3.0</v>
      </c>
      <c r="H20" s="92">
        <v>0.0</v>
      </c>
      <c r="I20" s="91">
        <v>4.0</v>
      </c>
      <c r="J20" s="91">
        <v>3.0</v>
      </c>
      <c r="K20" s="91">
        <v>6.0</v>
      </c>
      <c r="L20" s="93">
        <v>13.0</v>
      </c>
      <c r="M20" s="91">
        <v>1.0</v>
      </c>
      <c r="N20" s="37">
        <f t="shared" ref="N20:O20" si="25">C20+L20</f>
        <v>128</v>
      </c>
      <c r="O20" s="37">
        <f t="shared" si="25"/>
        <v>13</v>
      </c>
      <c r="P20" s="49" t="s">
        <v>57</v>
      </c>
      <c r="Q20" s="49" t="s">
        <v>57</v>
      </c>
      <c r="R20" s="49" t="s">
        <v>57</v>
      </c>
      <c r="S20" s="51">
        <f t="shared" si="4"/>
        <v>8</v>
      </c>
      <c r="T20" s="52">
        <f t="shared" si="5"/>
        <v>0</v>
      </c>
      <c r="U20" s="52"/>
      <c r="V20" s="51">
        <f t="shared" si="6"/>
        <v>2</v>
      </c>
      <c r="W20" s="52">
        <f t="shared" si="7"/>
        <v>0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93</v>
      </c>
      <c r="C21" s="37">
        <v>115.0</v>
      </c>
      <c r="D21" s="37">
        <v>12.0</v>
      </c>
      <c r="E21" s="40">
        <f t="shared" si="2"/>
        <v>11.625</v>
      </c>
      <c r="F21" s="90">
        <v>2.0</v>
      </c>
      <c r="G21" s="91">
        <v>4.0</v>
      </c>
      <c r="H21" s="92">
        <v>0.0</v>
      </c>
      <c r="I21" s="91">
        <v>6.0</v>
      </c>
      <c r="J21" s="91">
        <v>1.0</v>
      </c>
      <c r="K21" s="91">
        <v>6.0</v>
      </c>
      <c r="L21" s="93">
        <v>13.0</v>
      </c>
      <c r="M21" s="91">
        <v>2.0</v>
      </c>
      <c r="N21" s="37">
        <f t="shared" ref="N21:O21" si="26">C21+L21</f>
        <v>128</v>
      </c>
      <c r="O21" s="37">
        <f t="shared" si="26"/>
        <v>14</v>
      </c>
      <c r="P21" s="49" t="s">
        <v>57</v>
      </c>
      <c r="Q21" s="49" t="s">
        <v>57</v>
      </c>
      <c r="R21" s="49" t="s">
        <v>57</v>
      </c>
      <c r="S21" s="51">
        <f t="shared" si="4"/>
        <v>8</v>
      </c>
      <c r="T21" s="52">
        <f t="shared" si="5"/>
        <v>1</v>
      </c>
      <c r="U21" s="52"/>
      <c r="V21" s="51">
        <f t="shared" si="6"/>
        <v>1</v>
      </c>
      <c r="W21" s="52">
        <f t="shared" si="7"/>
        <v>15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89</v>
      </c>
      <c r="C22" s="37">
        <v>115.0</v>
      </c>
      <c r="D22" s="37">
        <v>11.0</v>
      </c>
      <c r="E22" s="40">
        <f t="shared" si="2"/>
        <v>14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124</v>
      </c>
      <c r="O22" s="37">
        <f t="shared" si="27"/>
        <v>11</v>
      </c>
      <c r="P22" s="49" t="s">
        <v>57</v>
      </c>
      <c r="Q22" s="49" t="s">
        <v>57</v>
      </c>
      <c r="R22" s="49" t="s">
        <v>57</v>
      </c>
      <c r="S22" s="51">
        <f t="shared" si="4"/>
        <v>5</v>
      </c>
      <c r="T22" s="52">
        <f t="shared" si="5"/>
        <v>0</v>
      </c>
      <c r="U22" s="52"/>
      <c r="V22" s="51">
        <f t="shared" si="6"/>
        <v>5</v>
      </c>
      <c r="W22" s="52">
        <f t="shared" si="7"/>
        <v>-7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114</v>
      </c>
      <c r="C23" s="37">
        <v>114.0</v>
      </c>
      <c r="D23" s="37">
        <v>11.0</v>
      </c>
      <c r="E23" s="40">
        <f t="shared" si="2"/>
        <v>13.8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123</v>
      </c>
      <c r="O23" s="37">
        <f t="shared" si="28"/>
        <v>11</v>
      </c>
      <c r="P23" s="49" t="s">
        <v>57</v>
      </c>
      <c r="Q23" s="49" t="s">
        <v>57</v>
      </c>
      <c r="R23" s="49" t="s">
        <v>57</v>
      </c>
      <c r="S23" s="51">
        <f t="shared" si="4"/>
        <v>5</v>
      </c>
      <c r="T23" s="52">
        <f t="shared" si="5"/>
        <v>0</v>
      </c>
      <c r="U23" s="52"/>
      <c r="V23" s="51">
        <f t="shared" si="6"/>
        <v>5</v>
      </c>
      <c r="W23" s="52">
        <f t="shared" si="7"/>
        <v>-6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109</v>
      </c>
      <c r="C24" s="37">
        <v>113.0</v>
      </c>
      <c r="D24" s="37">
        <v>10.0</v>
      </c>
      <c r="E24" s="40">
        <f t="shared" si="2"/>
        <v>11.875</v>
      </c>
      <c r="F24" s="90">
        <v>1.0</v>
      </c>
      <c r="G24" s="91">
        <v>4.0</v>
      </c>
      <c r="H24" s="92">
        <v>0.0</v>
      </c>
      <c r="I24" s="91">
        <v>1.0</v>
      </c>
      <c r="J24" s="91">
        <v>6.0</v>
      </c>
      <c r="K24" s="91">
        <v>6.0</v>
      </c>
      <c r="L24" s="93">
        <v>13.0</v>
      </c>
      <c r="M24" s="91">
        <v>2.0</v>
      </c>
      <c r="N24" s="37">
        <f t="shared" ref="N24:O24" si="29">C24+L24</f>
        <v>126</v>
      </c>
      <c r="O24" s="37">
        <f t="shared" si="29"/>
        <v>12</v>
      </c>
      <c r="P24" s="49" t="s">
        <v>57</v>
      </c>
      <c r="Q24" s="49" t="s">
        <v>57</v>
      </c>
      <c r="R24" s="49" t="s">
        <v>57</v>
      </c>
      <c r="S24" s="51">
        <f t="shared" si="4"/>
        <v>8</v>
      </c>
      <c r="T24" s="52">
        <f t="shared" si="5"/>
        <v>0</v>
      </c>
      <c r="U24" s="52"/>
      <c r="V24" s="51">
        <f t="shared" si="6"/>
        <v>2</v>
      </c>
      <c r="W24" s="52">
        <f t="shared" si="7"/>
        <v>11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117</v>
      </c>
      <c r="C25" s="37">
        <v>112.0</v>
      </c>
      <c r="D25" s="37">
        <v>8.0</v>
      </c>
      <c r="E25" s="40">
        <f t="shared" si="2"/>
        <v>11.57142857</v>
      </c>
      <c r="F25" s="90">
        <v>2.0</v>
      </c>
      <c r="G25" s="91">
        <v>4.0</v>
      </c>
      <c r="H25" s="92">
        <v>0.0</v>
      </c>
      <c r="I25" s="91">
        <v>6.0</v>
      </c>
      <c r="J25" s="91">
        <v>6.0</v>
      </c>
      <c r="K25" s="91">
        <v>0.0</v>
      </c>
      <c r="L25" s="93">
        <v>12.0</v>
      </c>
      <c r="M25" s="91">
        <v>2.0</v>
      </c>
      <c r="N25" s="37">
        <f t="shared" ref="N25:O25" si="30">C25+L25</f>
        <v>124</v>
      </c>
      <c r="O25" s="37">
        <f t="shared" si="30"/>
        <v>10</v>
      </c>
      <c r="P25" s="49" t="s">
        <v>57</v>
      </c>
      <c r="Q25" s="49" t="s">
        <v>57</v>
      </c>
      <c r="R25" s="49" t="s">
        <v>57</v>
      </c>
      <c r="S25" s="51">
        <f t="shared" si="4"/>
        <v>7</v>
      </c>
      <c r="T25" s="52">
        <f t="shared" si="5"/>
        <v>1</v>
      </c>
      <c r="U25" s="52"/>
      <c r="V25" s="51">
        <f t="shared" si="6"/>
        <v>2</v>
      </c>
      <c r="W25" s="52">
        <f t="shared" si="7"/>
        <v>-3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130</v>
      </c>
      <c r="C26" s="37">
        <v>111.0</v>
      </c>
      <c r="D26" s="37">
        <v>10.0</v>
      </c>
      <c r="E26" s="40">
        <f t="shared" si="2"/>
        <v>11.1</v>
      </c>
      <c r="F26" s="90">
        <v>1.0</v>
      </c>
      <c r="G26" s="91">
        <v>4.0</v>
      </c>
      <c r="H26" s="92">
        <v>0.0</v>
      </c>
      <c r="I26" s="91">
        <v>1.0</v>
      </c>
      <c r="J26" s="91">
        <v>1.0</v>
      </c>
      <c r="K26" s="91">
        <v>0.0</v>
      </c>
      <c r="L26" s="93">
        <v>2.0</v>
      </c>
      <c r="M26" s="91">
        <v>0.0</v>
      </c>
      <c r="N26" s="37">
        <f t="shared" ref="N26:O26" si="31">C26+L26</f>
        <v>113</v>
      </c>
      <c r="O26" s="37">
        <f t="shared" si="31"/>
        <v>10</v>
      </c>
      <c r="P26" s="49" t="s">
        <v>57</v>
      </c>
      <c r="Q26" s="49" t="s">
        <v>57</v>
      </c>
      <c r="R26" s="49" t="s">
        <v>57</v>
      </c>
      <c r="S26" s="51">
        <f t="shared" si="4"/>
        <v>10</v>
      </c>
      <c r="T26" s="52">
        <f t="shared" si="5"/>
        <v>0</v>
      </c>
      <c r="U26" s="52"/>
      <c r="V26" s="51">
        <f t="shared" si="6"/>
        <v>0</v>
      </c>
      <c r="W26" s="52">
        <f t="shared" si="7"/>
        <v>5</v>
      </c>
      <c r="X26" s="35">
        <f t="shared" si="12"/>
        <v>22</v>
      </c>
      <c r="Y26" s="35" t="str">
        <f t="shared" si="8"/>
        <v>Y</v>
      </c>
      <c r="Z26" s="19" t="str">
        <f t="shared" si="9"/>
        <v/>
      </c>
    </row>
    <row r="27">
      <c r="A27" s="35">
        <f t="shared" si="10"/>
        <v>23</v>
      </c>
      <c r="B27" s="36" t="s">
        <v>112</v>
      </c>
      <c r="C27" s="37">
        <v>111.0</v>
      </c>
      <c r="D27" s="37">
        <v>9.0</v>
      </c>
      <c r="E27" s="40">
        <f t="shared" si="2"/>
        <v>12.5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120</v>
      </c>
      <c r="O27" s="37">
        <f t="shared" si="32"/>
        <v>9</v>
      </c>
      <c r="P27" s="49" t="s">
        <v>57</v>
      </c>
      <c r="Q27" s="49" t="s">
        <v>57</v>
      </c>
      <c r="R27" s="49" t="s">
        <v>57</v>
      </c>
      <c r="S27" s="51">
        <f t="shared" si="4"/>
        <v>6</v>
      </c>
      <c r="T27" s="52">
        <f t="shared" si="5"/>
        <v>0</v>
      </c>
      <c r="U27" s="52"/>
      <c r="V27" s="51">
        <f t="shared" si="6"/>
        <v>4</v>
      </c>
      <c r="W27" s="52">
        <f t="shared" si="7"/>
        <v>-4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90</v>
      </c>
      <c r="C28" s="37">
        <v>111.0</v>
      </c>
      <c r="D28" s="37">
        <v>8.0</v>
      </c>
      <c r="E28" s="40">
        <f t="shared" si="2"/>
        <v>14.25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120</v>
      </c>
      <c r="O28" s="37">
        <f t="shared" si="33"/>
        <v>8</v>
      </c>
      <c r="P28" s="49" t="s">
        <v>57</v>
      </c>
      <c r="Q28" s="49" t="s">
        <v>57</v>
      </c>
      <c r="R28" s="49" t="s">
        <v>57</v>
      </c>
      <c r="S28" s="51">
        <f t="shared" si="4"/>
        <v>4</v>
      </c>
      <c r="T28" s="52">
        <f t="shared" si="5"/>
        <v>0</v>
      </c>
      <c r="U28" s="52"/>
      <c r="V28" s="51">
        <f t="shared" si="6"/>
        <v>6</v>
      </c>
      <c r="W28" s="52">
        <f t="shared" si="7"/>
        <v>-4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64</v>
      </c>
      <c r="C29" s="37">
        <v>110.0</v>
      </c>
      <c r="D29" s="37">
        <v>10.0</v>
      </c>
      <c r="E29" s="40">
        <f t="shared" si="2"/>
        <v>11</v>
      </c>
      <c r="F29" s="90">
        <v>1.0</v>
      </c>
      <c r="G29" s="91">
        <v>5.0</v>
      </c>
      <c r="H29" s="92">
        <v>0.0</v>
      </c>
      <c r="I29" s="91">
        <v>6.0</v>
      </c>
      <c r="J29" s="91">
        <v>5.0</v>
      </c>
      <c r="K29" s="91">
        <v>4.0</v>
      </c>
      <c r="L29" s="93">
        <v>15.0</v>
      </c>
      <c r="M29" s="91">
        <v>1.0</v>
      </c>
      <c r="N29" s="37">
        <f t="shared" ref="N29:O29" si="34">C29+L29</f>
        <v>125</v>
      </c>
      <c r="O29" s="37">
        <f t="shared" si="34"/>
        <v>11</v>
      </c>
      <c r="P29" s="49" t="s">
        <v>57</v>
      </c>
      <c r="Q29" s="49" t="s">
        <v>57</v>
      </c>
      <c r="R29" s="49" t="s">
        <v>57</v>
      </c>
      <c r="S29" s="51">
        <f t="shared" si="4"/>
        <v>10</v>
      </c>
      <c r="T29" s="52">
        <f t="shared" si="5"/>
        <v>0</v>
      </c>
      <c r="U29" s="52"/>
      <c r="V29" s="51">
        <f t="shared" si="6"/>
        <v>0</v>
      </c>
      <c r="W29" s="52">
        <f t="shared" si="7"/>
        <v>5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59</v>
      </c>
      <c r="C30" s="37">
        <v>109.0</v>
      </c>
      <c r="D30" s="37">
        <v>9.0</v>
      </c>
      <c r="E30" s="40">
        <f t="shared" si="2"/>
        <v>10.9</v>
      </c>
      <c r="F30" s="90">
        <v>1.0</v>
      </c>
      <c r="G30" s="91">
        <v>5.0</v>
      </c>
      <c r="H30" s="92">
        <v>0.0</v>
      </c>
      <c r="I30" s="91">
        <v>4.0</v>
      </c>
      <c r="J30" s="91">
        <v>5.0</v>
      </c>
      <c r="K30" s="91">
        <v>6.0</v>
      </c>
      <c r="L30" s="93">
        <v>15.0</v>
      </c>
      <c r="M30" s="91">
        <v>1.0</v>
      </c>
      <c r="N30" s="37">
        <f t="shared" ref="N30:O30" si="35">C30+L30</f>
        <v>124</v>
      </c>
      <c r="O30" s="37">
        <f t="shared" si="35"/>
        <v>10</v>
      </c>
      <c r="P30" s="49" t="s">
        <v>57</v>
      </c>
      <c r="Q30" s="49" t="s">
        <v>57</v>
      </c>
      <c r="R30" s="49" t="s">
        <v>57</v>
      </c>
      <c r="S30" s="51">
        <f t="shared" si="4"/>
        <v>10</v>
      </c>
      <c r="T30" s="52">
        <f t="shared" si="5"/>
        <v>0</v>
      </c>
      <c r="U30" s="52"/>
      <c r="V30" s="51">
        <f t="shared" si="6"/>
        <v>0</v>
      </c>
      <c r="W30" s="52">
        <f t="shared" si="7"/>
        <v>-2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97</v>
      </c>
      <c r="C31" s="37">
        <v>109.0</v>
      </c>
      <c r="D31" s="37">
        <v>7.0</v>
      </c>
      <c r="E31" s="40">
        <f t="shared" si="2"/>
        <v>13.75</v>
      </c>
      <c r="F31" s="90">
        <v>3.0</v>
      </c>
      <c r="G31" s="91">
        <v>0.0</v>
      </c>
      <c r="H31" s="92">
        <v>9.0</v>
      </c>
      <c r="I31" s="91">
        <v>0.0</v>
      </c>
      <c r="J31" s="91">
        <v>0.0</v>
      </c>
      <c r="K31" s="91">
        <v>0.0</v>
      </c>
      <c r="L31" s="93">
        <v>9.0</v>
      </c>
      <c r="M31" s="91">
        <v>0.0</v>
      </c>
      <c r="N31" s="37">
        <f t="shared" ref="N31:O31" si="36">C31+L31</f>
        <v>118</v>
      </c>
      <c r="O31" s="37">
        <f t="shared" si="36"/>
        <v>7</v>
      </c>
      <c r="P31" s="49" t="s">
        <v>57</v>
      </c>
      <c r="Q31" s="49" t="s">
        <v>57</v>
      </c>
      <c r="R31" s="49" t="s">
        <v>57</v>
      </c>
      <c r="S31" s="51">
        <f t="shared" si="4"/>
        <v>4</v>
      </c>
      <c r="T31" s="52">
        <f t="shared" si="5"/>
        <v>0</v>
      </c>
      <c r="U31" s="52"/>
      <c r="V31" s="51">
        <f t="shared" si="6"/>
        <v>6</v>
      </c>
      <c r="W31" s="52">
        <f t="shared" si="7"/>
        <v>-6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135</v>
      </c>
      <c r="C32" s="37">
        <v>109.0</v>
      </c>
      <c r="D32" s="37">
        <v>7.0</v>
      </c>
      <c r="E32" s="40">
        <f t="shared" si="2"/>
        <v>12.16666667</v>
      </c>
      <c r="F32" s="90">
        <v>1.0</v>
      </c>
      <c r="G32" s="91">
        <v>5.0</v>
      </c>
      <c r="H32" s="92">
        <v>0.0</v>
      </c>
      <c r="I32" s="91">
        <v>6.0</v>
      </c>
      <c r="J32" s="91">
        <v>7.0</v>
      </c>
      <c r="K32" s="91">
        <v>6.0</v>
      </c>
      <c r="L32" s="93">
        <v>19.0</v>
      </c>
      <c r="M32" s="91">
        <v>3.0</v>
      </c>
      <c r="N32" s="37">
        <f t="shared" ref="N32:O32" si="37">C32+L32</f>
        <v>128</v>
      </c>
      <c r="O32" s="37">
        <f t="shared" si="37"/>
        <v>10</v>
      </c>
      <c r="P32" s="49" t="s">
        <v>57</v>
      </c>
      <c r="Q32" s="49" t="s">
        <v>57</v>
      </c>
      <c r="R32" s="49" t="s">
        <v>57</v>
      </c>
      <c r="S32" s="51">
        <f t="shared" si="4"/>
        <v>6</v>
      </c>
      <c r="T32" s="52">
        <f t="shared" si="5"/>
        <v>0</v>
      </c>
      <c r="U32" s="52"/>
      <c r="V32" s="51">
        <f t="shared" si="6"/>
        <v>4</v>
      </c>
      <c r="W32" s="52">
        <f t="shared" si="7"/>
        <v>13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107</v>
      </c>
      <c r="C33" s="37">
        <v>108.0</v>
      </c>
      <c r="D33" s="37">
        <v>9.0</v>
      </c>
      <c r="E33" s="40">
        <f t="shared" si="2"/>
        <v>13.5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117</v>
      </c>
      <c r="O33" s="37">
        <f t="shared" si="38"/>
        <v>9</v>
      </c>
      <c r="P33" s="49" t="s">
        <v>57</v>
      </c>
      <c r="Q33" s="49" t="s">
        <v>57</v>
      </c>
      <c r="R33" s="49" t="s">
        <v>57</v>
      </c>
      <c r="S33" s="51">
        <f t="shared" si="4"/>
        <v>4</v>
      </c>
      <c r="T33" s="52">
        <f t="shared" si="5"/>
        <v>0</v>
      </c>
      <c r="U33" s="52"/>
      <c r="V33" s="51">
        <f t="shared" si="6"/>
        <v>6</v>
      </c>
      <c r="W33" s="52">
        <f t="shared" si="7"/>
        <v>18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137</v>
      </c>
      <c r="C34" s="37">
        <v>107.0</v>
      </c>
      <c r="D34" s="37">
        <v>11.0</v>
      </c>
      <c r="E34" s="40">
        <f t="shared" si="2"/>
        <v>11.125</v>
      </c>
      <c r="F34" s="90">
        <v>1.0</v>
      </c>
      <c r="G34" s="91">
        <v>5.0</v>
      </c>
      <c r="H34" s="92">
        <v>0.0</v>
      </c>
      <c r="I34" s="91">
        <v>4.0</v>
      </c>
      <c r="J34" s="91">
        <v>7.0</v>
      </c>
      <c r="K34" s="91">
        <v>4.0</v>
      </c>
      <c r="L34" s="93">
        <v>15.0</v>
      </c>
      <c r="M34" s="91">
        <v>1.0</v>
      </c>
      <c r="N34" s="37">
        <f t="shared" ref="N34:O34" si="39">C34+L34</f>
        <v>122</v>
      </c>
      <c r="O34" s="37">
        <f t="shared" si="39"/>
        <v>12</v>
      </c>
      <c r="P34" s="49" t="s">
        <v>57</v>
      </c>
      <c r="Q34" s="49" t="s">
        <v>57</v>
      </c>
      <c r="R34" s="49" t="s">
        <v>57</v>
      </c>
      <c r="S34" s="51">
        <f t="shared" si="4"/>
        <v>8</v>
      </c>
      <c r="T34" s="52">
        <f t="shared" si="5"/>
        <v>0</v>
      </c>
      <c r="U34" s="52"/>
      <c r="V34" s="51">
        <f t="shared" si="6"/>
        <v>2</v>
      </c>
      <c r="W34" s="52">
        <f t="shared" si="7"/>
        <v>-4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139</v>
      </c>
      <c r="C35" s="37">
        <v>107.0</v>
      </c>
      <c r="D35" s="37">
        <v>10.0</v>
      </c>
      <c r="E35" s="40">
        <f t="shared" si="2"/>
        <v>10.88888889</v>
      </c>
      <c r="F35" s="90">
        <v>1.0</v>
      </c>
      <c r="G35" s="91">
        <v>9.0</v>
      </c>
      <c r="H35" s="92">
        <v>0.0</v>
      </c>
      <c r="I35" s="91">
        <v>6.0</v>
      </c>
      <c r="J35" s="91">
        <v>3.0</v>
      </c>
      <c r="K35" s="91">
        <v>7.0</v>
      </c>
      <c r="L35" s="93">
        <v>16.0</v>
      </c>
      <c r="M35" s="91">
        <v>2.0</v>
      </c>
      <c r="N35" s="37">
        <f t="shared" ref="N35:O35" si="40">C35+L35</f>
        <v>123</v>
      </c>
      <c r="O35" s="37">
        <f t="shared" si="40"/>
        <v>12</v>
      </c>
      <c r="P35" s="49" t="s">
        <v>57</v>
      </c>
      <c r="Q35" s="49" t="s">
        <v>57</v>
      </c>
      <c r="R35" s="49" t="s">
        <v>57</v>
      </c>
      <c r="S35" s="51">
        <f t="shared" si="4"/>
        <v>9</v>
      </c>
      <c r="T35" s="52">
        <f t="shared" si="5"/>
        <v>0</v>
      </c>
      <c r="U35" s="52"/>
      <c r="V35" s="51">
        <f t="shared" si="6"/>
        <v>1</v>
      </c>
      <c r="W35" s="52">
        <f t="shared" si="7"/>
        <v>11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115</v>
      </c>
      <c r="C36" s="37">
        <v>107.0</v>
      </c>
      <c r="D36" s="37">
        <v>9.0</v>
      </c>
      <c r="E36" s="40">
        <f t="shared" si="2"/>
        <v>11.42857143</v>
      </c>
      <c r="F36" s="90">
        <v>1.0</v>
      </c>
      <c r="G36" s="91">
        <v>9.0</v>
      </c>
      <c r="H36" s="92">
        <v>0.0</v>
      </c>
      <c r="I36" s="91">
        <v>1.0</v>
      </c>
      <c r="J36" s="91">
        <v>6.0</v>
      </c>
      <c r="K36" s="91">
        <v>7.0</v>
      </c>
      <c r="L36" s="93">
        <v>14.0</v>
      </c>
      <c r="M36" s="91">
        <v>2.0</v>
      </c>
      <c r="N36" s="37">
        <f t="shared" ref="N36:O36" si="41">C36+L36</f>
        <v>121</v>
      </c>
      <c r="O36" s="37">
        <f t="shared" si="41"/>
        <v>11</v>
      </c>
      <c r="P36" s="49" t="s">
        <v>57</v>
      </c>
      <c r="Q36" s="49" t="s">
        <v>57</v>
      </c>
      <c r="R36" s="49" t="s">
        <v>57</v>
      </c>
      <c r="S36" s="51">
        <f t="shared" si="4"/>
        <v>7</v>
      </c>
      <c r="T36" s="52">
        <f t="shared" si="5"/>
        <v>0</v>
      </c>
      <c r="U36" s="52"/>
      <c r="V36" s="51">
        <f t="shared" si="6"/>
        <v>3</v>
      </c>
      <c r="W36" s="52">
        <f t="shared" si="7"/>
        <v>5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51</v>
      </c>
      <c r="C37" s="37">
        <v>107.0</v>
      </c>
      <c r="D37" s="37">
        <v>8.0</v>
      </c>
      <c r="E37" s="40">
        <f t="shared" si="2"/>
        <v>14.66666667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116</v>
      </c>
      <c r="O37" s="37">
        <f t="shared" si="42"/>
        <v>8</v>
      </c>
      <c r="P37" s="49" t="s">
        <v>57</v>
      </c>
      <c r="Q37" s="49" t="s">
        <v>57</v>
      </c>
      <c r="R37" s="49" t="s">
        <v>57</v>
      </c>
      <c r="S37" s="51">
        <f t="shared" si="4"/>
        <v>3</v>
      </c>
      <c r="T37" s="52">
        <f t="shared" si="5"/>
        <v>0</v>
      </c>
      <c r="U37" s="52"/>
      <c r="V37" s="51">
        <f t="shared" si="6"/>
        <v>7</v>
      </c>
      <c r="W37" s="52">
        <f t="shared" si="7"/>
        <v>-10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101</v>
      </c>
      <c r="C38" s="37">
        <v>107.0</v>
      </c>
      <c r="D38" s="37">
        <v>8.0</v>
      </c>
      <c r="E38" s="40">
        <f t="shared" si="2"/>
        <v>12.4</v>
      </c>
      <c r="F38" s="90">
        <v>1.0</v>
      </c>
      <c r="G38" s="91">
        <v>9.0</v>
      </c>
      <c r="H38" s="92">
        <v>0.0</v>
      </c>
      <c r="I38" s="91">
        <v>1.0</v>
      </c>
      <c r="J38" s="91">
        <v>3.0</v>
      </c>
      <c r="K38" s="91">
        <v>5.0</v>
      </c>
      <c r="L38" s="93">
        <v>9.0</v>
      </c>
      <c r="M38" s="91">
        <v>0.0</v>
      </c>
      <c r="N38" s="37">
        <f t="shared" ref="N38:O38" si="43">C38+L38</f>
        <v>116</v>
      </c>
      <c r="O38" s="37">
        <f t="shared" si="43"/>
        <v>8</v>
      </c>
      <c r="P38" s="49" t="s">
        <v>57</v>
      </c>
      <c r="Q38" s="49" t="s">
        <v>57</v>
      </c>
      <c r="R38" s="49" t="s">
        <v>57</v>
      </c>
      <c r="S38" s="51">
        <f t="shared" si="4"/>
        <v>5</v>
      </c>
      <c r="T38" s="52">
        <f t="shared" si="5"/>
        <v>0</v>
      </c>
      <c r="U38" s="52"/>
      <c r="V38" s="51">
        <f t="shared" si="6"/>
        <v>5</v>
      </c>
      <c r="W38" s="52">
        <f t="shared" si="7"/>
        <v>0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76</v>
      </c>
      <c r="C39" s="37">
        <v>107.0</v>
      </c>
      <c r="D39" s="37">
        <v>7.0</v>
      </c>
      <c r="E39" s="40">
        <f t="shared" si="2"/>
        <v>11.6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116</v>
      </c>
      <c r="O39" s="37">
        <f t="shared" si="44"/>
        <v>7</v>
      </c>
      <c r="P39" s="49" t="s">
        <v>57</v>
      </c>
      <c r="Q39" s="49" t="s">
        <v>57</v>
      </c>
      <c r="R39" s="49" t="s">
        <v>57</v>
      </c>
      <c r="S39" s="51">
        <f t="shared" si="4"/>
        <v>5</v>
      </c>
      <c r="T39" s="52">
        <f t="shared" si="5"/>
        <v>1</v>
      </c>
      <c r="U39" s="52"/>
      <c r="V39" s="51">
        <f t="shared" si="6"/>
        <v>4</v>
      </c>
      <c r="W39" s="52">
        <f t="shared" si="7"/>
        <v>-10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126</v>
      </c>
      <c r="C40" s="37">
        <v>106.0</v>
      </c>
      <c r="D40" s="37">
        <v>10.0</v>
      </c>
      <c r="E40" s="40">
        <f t="shared" si="2"/>
        <v>11.66666667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115</v>
      </c>
      <c r="O40" s="37">
        <f t="shared" si="45"/>
        <v>10</v>
      </c>
      <c r="P40" s="49" t="s">
        <v>57</v>
      </c>
      <c r="Q40" s="49" t="s">
        <v>57</v>
      </c>
      <c r="R40" s="49" t="s">
        <v>57</v>
      </c>
      <c r="S40" s="51">
        <f t="shared" si="4"/>
        <v>6</v>
      </c>
      <c r="T40" s="52">
        <f t="shared" si="5"/>
        <v>0</v>
      </c>
      <c r="U40" s="52"/>
      <c r="V40" s="51">
        <f t="shared" si="6"/>
        <v>4</v>
      </c>
      <c r="W40" s="52">
        <f t="shared" si="7"/>
        <v>2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95</v>
      </c>
      <c r="C41" s="37">
        <v>106.0</v>
      </c>
      <c r="D41" s="37">
        <v>10.0</v>
      </c>
      <c r="E41" s="40">
        <f t="shared" si="2"/>
        <v>11.66666667</v>
      </c>
      <c r="F41" s="90">
        <v>1.0</v>
      </c>
      <c r="G41" s="91">
        <v>9.0</v>
      </c>
      <c r="H41" s="92">
        <v>0.0</v>
      </c>
      <c r="I41" s="91">
        <v>6.0</v>
      </c>
      <c r="J41" s="91">
        <v>6.0</v>
      </c>
      <c r="K41" s="91">
        <v>5.0</v>
      </c>
      <c r="L41" s="93">
        <v>17.0</v>
      </c>
      <c r="M41" s="91">
        <v>2.0</v>
      </c>
      <c r="N41" s="37">
        <f t="shared" ref="N41:O41" si="46">C41+L41</f>
        <v>123</v>
      </c>
      <c r="O41" s="37">
        <f t="shared" si="46"/>
        <v>12</v>
      </c>
      <c r="P41" s="49" t="s">
        <v>57</v>
      </c>
      <c r="Q41" s="49" t="s">
        <v>57</v>
      </c>
      <c r="R41" s="49" t="s">
        <v>57</v>
      </c>
      <c r="S41" s="51">
        <f t="shared" si="4"/>
        <v>6</v>
      </c>
      <c r="T41" s="52">
        <f t="shared" si="5"/>
        <v>0</v>
      </c>
      <c r="U41" s="52"/>
      <c r="V41" s="51">
        <f t="shared" si="6"/>
        <v>4</v>
      </c>
      <c r="W41" s="52">
        <f t="shared" si="7"/>
        <v>6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120</v>
      </c>
      <c r="C42" s="37">
        <v>106.0</v>
      </c>
      <c r="D42" s="37">
        <v>7.0</v>
      </c>
      <c r="E42" s="40">
        <f t="shared" si="2"/>
        <v>14.33333333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115</v>
      </c>
      <c r="O42" s="37">
        <f t="shared" si="47"/>
        <v>7</v>
      </c>
      <c r="P42" s="49" t="s">
        <v>57</v>
      </c>
      <c r="Q42" s="49" t="s">
        <v>57</v>
      </c>
      <c r="R42" s="49" t="s">
        <v>57</v>
      </c>
      <c r="S42" s="51">
        <f t="shared" si="4"/>
        <v>3</v>
      </c>
      <c r="T42" s="52">
        <f t="shared" si="5"/>
        <v>0</v>
      </c>
      <c r="U42" s="52"/>
      <c r="V42" s="51">
        <f t="shared" si="6"/>
        <v>7</v>
      </c>
      <c r="W42" s="52">
        <f t="shared" si="7"/>
        <v>-10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142</v>
      </c>
      <c r="C43" s="37">
        <v>105.0</v>
      </c>
      <c r="D43" s="37">
        <v>9.0</v>
      </c>
      <c r="E43" s="40">
        <f t="shared" si="2"/>
        <v>11.5</v>
      </c>
      <c r="F43" s="90">
        <v>2.0</v>
      </c>
      <c r="G43" s="91">
        <v>6.0</v>
      </c>
      <c r="H43" s="92">
        <v>0.0</v>
      </c>
      <c r="I43" s="91">
        <v>6.0</v>
      </c>
      <c r="J43" s="91">
        <v>4.0</v>
      </c>
      <c r="K43" s="91">
        <v>6.0</v>
      </c>
      <c r="L43" s="93">
        <v>16.0</v>
      </c>
      <c r="M43" s="91">
        <v>2.0</v>
      </c>
      <c r="N43" s="37">
        <f t="shared" ref="N43:O43" si="48">C43+L43</f>
        <v>121</v>
      </c>
      <c r="O43" s="37">
        <f t="shared" si="48"/>
        <v>11</v>
      </c>
      <c r="P43" s="49" t="s">
        <v>57</v>
      </c>
      <c r="Q43" s="49" t="s">
        <v>57</v>
      </c>
      <c r="R43" s="49" t="s">
        <v>57</v>
      </c>
      <c r="S43" s="51">
        <f t="shared" si="4"/>
        <v>6</v>
      </c>
      <c r="T43" s="52">
        <f t="shared" si="5"/>
        <v>0</v>
      </c>
      <c r="U43" s="52"/>
      <c r="V43" s="51">
        <f t="shared" si="6"/>
        <v>4</v>
      </c>
      <c r="W43" s="52">
        <f t="shared" si="7"/>
        <v>-10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132</v>
      </c>
      <c r="C44" s="37">
        <v>103.0</v>
      </c>
      <c r="D44" s="37">
        <v>7.0</v>
      </c>
      <c r="E44" s="40">
        <f t="shared" si="2"/>
        <v>12.25</v>
      </c>
      <c r="F44" s="90">
        <v>4.0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112</v>
      </c>
      <c r="O44" s="37">
        <f t="shared" si="49"/>
        <v>7</v>
      </c>
      <c r="P44" s="49" t="s">
        <v>57</v>
      </c>
      <c r="Q44" s="49" t="s">
        <v>57</v>
      </c>
      <c r="R44" s="49" t="s">
        <v>57</v>
      </c>
      <c r="S44" s="51">
        <f t="shared" si="4"/>
        <v>4</v>
      </c>
      <c r="T44" s="52">
        <f t="shared" si="5"/>
        <v>0</v>
      </c>
      <c r="U44" s="52"/>
      <c r="V44" s="51">
        <f t="shared" si="6"/>
        <v>6</v>
      </c>
      <c r="W44" s="52">
        <f t="shared" si="7"/>
        <v>-7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143</v>
      </c>
      <c r="C45" s="37">
        <v>103.0</v>
      </c>
      <c r="D45" s="37">
        <v>7.0</v>
      </c>
      <c r="E45" s="40">
        <f t="shared" si="2"/>
        <v>11.6</v>
      </c>
      <c r="F45" s="90">
        <v>1.0</v>
      </c>
      <c r="G45" s="91">
        <v>6.0</v>
      </c>
      <c r="H45" s="92">
        <v>0.0</v>
      </c>
      <c r="I45" s="91">
        <v>0.0</v>
      </c>
      <c r="J45" s="91">
        <v>6.0</v>
      </c>
      <c r="K45" s="91">
        <v>6.0</v>
      </c>
      <c r="L45" s="93">
        <v>12.0</v>
      </c>
      <c r="M45" s="91">
        <v>2.0</v>
      </c>
      <c r="N45" s="37">
        <f t="shared" ref="N45:O45" si="50">C45+L45</f>
        <v>115</v>
      </c>
      <c r="O45" s="37">
        <f t="shared" si="50"/>
        <v>9</v>
      </c>
      <c r="P45" s="49" t="s">
        <v>57</v>
      </c>
      <c r="Q45" s="49" t="s">
        <v>57</v>
      </c>
      <c r="R45" s="49" t="s">
        <v>57</v>
      </c>
      <c r="S45" s="51">
        <f t="shared" si="4"/>
        <v>5</v>
      </c>
      <c r="T45" s="52">
        <f t="shared" si="5"/>
        <v>0</v>
      </c>
      <c r="U45" s="52"/>
      <c r="V45" s="51">
        <f t="shared" si="6"/>
        <v>5</v>
      </c>
      <c r="W45" s="52">
        <f t="shared" si="7"/>
        <v>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147</v>
      </c>
      <c r="C46" s="37">
        <v>103.0</v>
      </c>
      <c r="D46" s="37">
        <v>5.0</v>
      </c>
      <c r="E46" s="40">
        <f t="shared" si="2"/>
        <v>11.25</v>
      </c>
      <c r="F46" s="90">
        <v>4.0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112</v>
      </c>
      <c r="O46" s="37">
        <f t="shared" si="51"/>
        <v>5</v>
      </c>
      <c r="P46" s="49" t="s">
        <v>57</v>
      </c>
      <c r="Q46" s="49" t="s">
        <v>57</v>
      </c>
      <c r="R46" s="49" t="s">
        <v>57</v>
      </c>
      <c r="S46" s="51">
        <f t="shared" si="4"/>
        <v>4</v>
      </c>
      <c r="T46" s="52">
        <f t="shared" si="5"/>
        <v>1</v>
      </c>
      <c r="U46" s="52"/>
      <c r="V46" s="51">
        <f t="shared" si="6"/>
        <v>5</v>
      </c>
      <c r="W46" s="52">
        <f t="shared" si="7"/>
        <v>-7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138</v>
      </c>
      <c r="C47" s="37">
        <v>101.0</v>
      </c>
      <c r="D47" s="37">
        <v>8.0</v>
      </c>
      <c r="E47" s="40">
        <f t="shared" si="2"/>
        <v>10.57142857</v>
      </c>
      <c r="F47" s="90">
        <v>2.0</v>
      </c>
      <c r="G47" s="91">
        <v>6.0</v>
      </c>
      <c r="H47" s="92">
        <v>0.0</v>
      </c>
      <c r="I47" s="91">
        <v>6.0</v>
      </c>
      <c r="J47" s="91">
        <v>6.0</v>
      </c>
      <c r="K47" s="91">
        <v>1.0</v>
      </c>
      <c r="L47" s="93">
        <v>13.0</v>
      </c>
      <c r="M47" s="91">
        <v>2.0</v>
      </c>
      <c r="N47" s="37">
        <f t="shared" ref="N47:O47" si="52">C47+L47</f>
        <v>114</v>
      </c>
      <c r="O47" s="37">
        <f t="shared" si="52"/>
        <v>10</v>
      </c>
      <c r="P47" s="49" t="s">
        <v>57</v>
      </c>
      <c r="Q47" s="49" t="s">
        <v>57</v>
      </c>
      <c r="R47" s="49" t="s">
        <v>57</v>
      </c>
      <c r="S47" s="51">
        <f t="shared" si="4"/>
        <v>7</v>
      </c>
      <c r="T47" s="52">
        <f t="shared" si="5"/>
        <v>0</v>
      </c>
      <c r="U47" s="52"/>
      <c r="V47" s="51">
        <f t="shared" si="6"/>
        <v>3</v>
      </c>
      <c r="W47" s="52">
        <f t="shared" si="7"/>
        <v>-4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151</v>
      </c>
      <c r="C48" s="37">
        <v>101.0</v>
      </c>
      <c r="D48" s="37">
        <v>8.0</v>
      </c>
      <c r="E48" s="40">
        <f t="shared" si="2"/>
        <v>9.875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110</v>
      </c>
      <c r="O48" s="37">
        <f t="shared" si="53"/>
        <v>8</v>
      </c>
      <c r="P48" s="49" t="s">
        <v>57</v>
      </c>
      <c r="Q48" s="49" t="s">
        <v>57</v>
      </c>
      <c r="R48" s="49" t="s">
        <v>57</v>
      </c>
      <c r="S48" s="51">
        <f t="shared" si="4"/>
        <v>8</v>
      </c>
      <c r="T48" s="52">
        <f t="shared" si="5"/>
        <v>1</v>
      </c>
      <c r="U48" s="52"/>
      <c r="V48" s="51">
        <f t="shared" si="6"/>
        <v>1</v>
      </c>
      <c r="W48" s="52">
        <f t="shared" si="7"/>
        <v>4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131</v>
      </c>
      <c r="C49" s="37">
        <v>101.0</v>
      </c>
      <c r="D49" s="37">
        <v>6.0</v>
      </c>
      <c r="E49" s="40">
        <f t="shared" si="2"/>
        <v>11.33333333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110</v>
      </c>
      <c r="O49" s="37">
        <f t="shared" si="54"/>
        <v>6</v>
      </c>
      <c r="P49" s="49" t="s">
        <v>57</v>
      </c>
      <c r="Q49" s="49" t="s">
        <v>57</v>
      </c>
      <c r="R49" s="49" t="s">
        <v>57</v>
      </c>
      <c r="S49" s="51">
        <f t="shared" si="4"/>
        <v>3</v>
      </c>
      <c r="T49" s="52">
        <f t="shared" si="5"/>
        <v>1</v>
      </c>
      <c r="U49" s="52"/>
      <c r="V49" s="51">
        <f t="shared" si="6"/>
        <v>6</v>
      </c>
      <c r="W49" s="52">
        <f t="shared" si="7"/>
        <v>-5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129</v>
      </c>
      <c r="C50" s="37">
        <v>100.0</v>
      </c>
      <c r="D50" s="37">
        <v>8.0</v>
      </c>
      <c r="E50" s="40">
        <f t="shared" si="2"/>
        <v>10.42857143</v>
      </c>
      <c r="F50" s="90">
        <v>1.0</v>
      </c>
      <c r="G50" s="91">
        <v>6.0</v>
      </c>
      <c r="H50" s="92">
        <v>0.0</v>
      </c>
      <c r="I50" s="91">
        <v>0.0</v>
      </c>
      <c r="J50" s="91">
        <v>4.0</v>
      </c>
      <c r="K50" s="91">
        <v>1.0</v>
      </c>
      <c r="L50" s="93">
        <v>5.0</v>
      </c>
      <c r="M50" s="91">
        <v>0.0</v>
      </c>
      <c r="N50" s="37">
        <f t="shared" ref="N50:O50" si="55">C50+L50</f>
        <v>105</v>
      </c>
      <c r="O50" s="37">
        <f t="shared" si="55"/>
        <v>8</v>
      </c>
      <c r="P50" s="49" t="s">
        <v>57</v>
      </c>
      <c r="Q50" s="49" t="s">
        <v>57</v>
      </c>
      <c r="R50" s="49" t="s">
        <v>57</v>
      </c>
      <c r="S50" s="51">
        <f t="shared" si="4"/>
        <v>7</v>
      </c>
      <c r="T50" s="52">
        <f t="shared" si="5"/>
        <v>0</v>
      </c>
      <c r="U50" s="52"/>
      <c r="V50" s="51">
        <f t="shared" si="6"/>
        <v>3</v>
      </c>
      <c r="W50" s="52">
        <f t="shared" si="7"/>
        <v>-1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116</v>
      </c>
      <c r="C51" s="37">
        <v>99.0</v>
      </c>
      <c r="D51" s="37">
        <v>7.0</v>
      </c>
      <c r="E51" s="40">
        <f t="shared" si="2"/>
        <v>9.9</v>
      </c>
      <c r="F51" s="90">
        <v>1.0</v>
      </c>
      <c r="G51" s="91">
        <v>7.0</v>
      </c>
      <c r="H51" s="92">
        <v>0.0</v>
      </c>
      <c r="I51" s="91">
        <v>6.0</v>
      </c>
      <c r="J51" s="91">
        <v>4.0</v>
      </c>
      <c r="K51" s="91">
        <v>3.0</v>
      </c>
      <c r="L51" s="93">
        <v>13.0</v>
      </c>
      <c r="M51" s="91">
        <v>1.0</v>
      </c>
      <c r="N51" s="37">
        <f t="shared" ref="N51:O51" si="56">C51+L51</f>
        <v>112</v>
      </c>
      <c r="O51" s="37">
        <f t="shared" si="56"/>
        <v>8</v>
      </c>
      <c r="P51" s="49" t="s">
        <v>57</v>
      </c>
      <c r="Q51" s="49" t="s">
        <v>57</v>
      </c>
      <c r="R51" s="49" t="s">
        <v>57</v>
      </c>
      <c r="S51" s="51">
        <f t="shared" si="4"/>
        <v>10</v>
      </c>
      <c r="T51" s="52">
        <f t="shared" si="5"/>
        <v>0</v>
      </c>
      <c r="U51" s="52"/>
      <c r="V51" s="51">
        <f t="shared" si="6"/>
        <v>0</v>
      </c>
      <c r="W51" s="52">
        <f t="shared" si="7"/>
        <v>5</v>
      </c>
      <c r="X51" s="35">
        <f t="shared" si="12"/>
        <v>47</v>
      </c>
      <c r="Y51" s="35" t="str">
        <f t="shared" si="8"/>
        <v>Y</v>
      </c>
      <c r="Z51" s="19" t="str">
        <f t="shared" si="9"/>
        <v/>
      </c>
    </row>
    <row r="52">
      <c r="A52" s="35">
        <f t="shared" si="10"/>
        <v>48</v>
      </c>
      <c r="B52" s="36" t="s">
        <v>140</v>
      </c>
      <c r="C52" s="37">
        <v>99.0</v>
      </c>
      <c r="D52" s="37">
        <v>4.0</v>
      </c>
      <c r="E52" s="40">
        <f t="shared" si="2"/>
        <v>10.8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108</v>
      </c>
      <c r="O52" s="37">
        <f t="shared" si="57"/>
        <v>4</v>
      </c>
      <c r="P52" s="49" t="s">
        <v>57</v>
      </c>
      <c r="Q52" s="49" t="s">
        <v>57</v>
      </c>
      <c r="R52" s="49" t="s">
        <v>57</v>
      </c>
      <c r="S52" s="51">
        <f t="shared" si="4"/>
        <v>5</v>
      </c>
      <c r="T52" s="52">
        <f t="shared" si="5"/>
        <v>0</v>
      </c>
      <c r="U52" s="52"/>
      <c r="V52" s="51">
        <f t="shared" si="6"/>
        <v>5</v>
      </c>
      <c r="W52" s="52">
        <f t="shared" si="7"/>
        <v>-4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110</v>
      </c>
      <c r="C53" s="37">
        <v>98.0</v>
      </c>
      <c r="D53" s="37">
        <v>9.0</v>
      </c>
      <c r="E53" s="40">
        <f t="shared" si="2"/>
        <v>9.8</v>
      </c>
      <c r="F53" s="90">
        <v>1.0</v>
      </c>
      <c r="G53" s="91">
        <v>7.0</v>
      </c>
      <c r="H53" s="92">
        <v>0.0</v>
      </c>
      <c r="I53" s="91">
        <v>3.0</v>
      </c>
      <c r="J53" s="91">
        <v>6.0</v>
      </c>
      <c r="K53" s="91">
        <v>3.0</v>
      </c>
      <c r="L53" s="93">
        <v>12.0</v>
      </c>
      <c r="M53" s="91">
        <v>1.0</v>
      </c>
      <c r="N53" s="37">
        <f t="shared" ref="N53:O53" si="58">C53+L53</f>
        <v>110</v>
      </c>
      <c r="O53" s="37">
        <f t="shared" si="58"/>
        <v>10</v>
      </c>
      <c r="P53" s="49" t="s">
        <v>57</v>
      </c>
      <c r="Q53" s="49" t="s">
        <v>57</v>
      </c>
      <c r="R53" s="49" t="s">
        <v>57</v>
      </c>
      <c r="S53" s="51">
        <f t="shared" si="4"/>
        <v>10</v>
      </c>
      <c r="T53" s="52">
        <f t="shared" si="5"/>
        <v>0</v>
      </c>
      <c r="U53" s="52"/>
      <c r="V53" s="51">
        <f t="shared" si="6"/>
        <v>0</v>
      </c>
      <c r="W53" s="52">
        <f t="shared" si="7"/>
        <v>-13</v>
      </c>
      <c r="X53" s="35">
        <f t="shared" si="12"/>
        <v>49</v>
      </c>
      <c r="Y53" s="35" t="str">
        <f t="shared" si="8"/>
        <v>Y</v>
      </c>
      <c r="Z53" s="19" t="str">
        <f t="shared" si="9"/>
        <v/>
      </c>
    </row>
    <row r="54">
      <c r="A54" s="35">
        <f t="shared" si="10"/>
        <v>50</v>
      </c>
      <c r="B54" s="36" t="s">
        <v>100</v>
      </c>
      <c r="C54" s="37">
        <v>98.0</v>
      </c>
      <c r="D54" s="37">
        <v>6.0</v>
      </c>
      <c r="E54" s="40">
        <f t="shared" si="2"/>
        <v>11.66666667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107</v>
      </c>
      <c r="O54" s="37">
        <f t="shared" si="59"/>
        <v>6</v>
      </c>
      <c r="P54" s="49" t="s">
        <v>57</v>
      </c>
      <c r="Q54" s="49" t="s">
        <v>57</v>
      </c>
      <c r="R54" s="49" t="s">
        <v>57</v>
      </c>
      <c r="S54" s="51">
        <f t="shared" si="4"/>
        <v>3</v>
      </c>
      <c r="T54" s="52">
        <f t="shared" si="5"/>
        <v>0</v>
      </c>
      <c r="U54" s="52"/>
      <c r="V54" s="51">
        <f t="shared" si="6"/>
        <v>7</v>
      </c>
      <c r="W54" s="52">
        <f t="shared" si="7"/>
        <v>-4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113</v>
      </c>
      <c r="C55" s="37">
        <v>96.0</v>
      </c>
      <c r="D55" s="37">
        <v>6.0</v>
      </c>
      <c r="E55" s="40">
        <f t="shared" si="2"/>
        <v>10.2</v>
      </c>
      <c r="F55" s="90">
        <v>1.0</v>
      </c>
      <c r="G55" s="91">
        <v>7.0</v>
      </c>
      <c r="H55" s="92">
        <v>0.0</v>
      </c>
      <c r="I55" s="91">
        <v>6.0</v>
      </c>
      <c r="J55" s="91">
        <v>6.0</v>
      </c>
      <c r="K55" s="91">
        <v>6.0</v>
      </c>
      <c r="L55" s="93">
        <v>18.0</v>
      </c>
      <c r="M55" s="91">
        <v>3.0</v>
      </c>
      <c r="N55" s="37">
        <f t="shared" ref="N55:O55" si="60">C55+L55</f>
        <v>114</v>
      </c>
      <c r="O55" s="37">
        <f t="shared" si="60"/>
        <v>9</v>
      </c>
      <c r="P55" s="49" t="s">
        <v>57</v>
      </c>
      <c r="Q55" s="49" t="s">
        <v>57</v>
      </c>
      <c r="R55" s="49" t="s">
        <v>57</v>
      </c>
      <c r="S55" s="51">
        <f t="shared" si="4"/>
        <v>5</v>
      </c>
      <c r="T55" s="52">
        <f t="shared" si="5"/>
        <v>0</v>
      </c>
      <c r="U55" s="52"/>
      <c r="V55" s="51">
        <f t="shared" si="6"/>
        <v>5</v>
      </c>
      <c r="W55" s="52">
        <f t="shared" si="7"/>
        <v>-1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134</v>
      </c>
      <c r="C56" s="37">
        <v>95.0</v>
      </c>
      <c r="D56" s="37">
        <v>7.0</v>
      </c>
      <c r="E56" s="40">
        <f t="shared" si="2"/>
        <v>9.714285714</v>
      </c>
      <c r="F56" s="90">
        <v>1.0</v>
      </c>
      <c r="G56" s="91">
        <v>7.0</v>
      </c>
      <c r="H56" s="92">
        <v>0.0</v>
      </c>
      <c r="I56" s="91">
        <v>3.0</v>
      </c>
      <c r="J56" s="91">
        <v>4.0</v>
      </c>
      <c r="K56" s="91">
        <v>6.0</v>
      </c>
      <c r="L56" s="93">
        <v>13.0</v>
      </c>
      <c r="M56" s="91">
        <v>1.0</v>
      </c>
      <c r="N56" s="37">
        <f t="shared" ref="N56:O56" si="61">C56+L56</f>
        <v>108</v>
      </c>
      <c r="O56" s="37">
        <f t="shared" si="61"/>
        <v>8</v>
      </c>
      <c r="P56" s="49" t="s">
        <v>57</v>
      </c>
      <c r="Q56" s="49" t="s">
        <v>57</v>
      </c>
      <c r="R56" s="49" t="s">
        <v>57</v>
      </c>
      <c r="S56" s="51">
        <f t="shared" si="4"/>
        <v>7</v>
      </c>
      <c r="T56" s="52">
        <f t="shared" si="5"/>
        <v>0</v>
      </c>
      <c r="U56" s="52"/>
      <c r="V56" s="51">
        <f t="shared" si="6"/>
        <v>3</v>
      </c>
      <c r="W56" s="52">
        <f t="shared" si="7"/>
        <v>-1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118</v>
      </c>
      <c r="C57" s="37">
        <v>95.0</v>
      </c>
      <c r="D57" s="37">
        <v>5.0</v>
      </c>
      <c r="E57" s="40">
        <f t="shared" si="2"/>
        <v>9.625</v>
      </c>
      <c r="F57" s="90">
        <v>1.0</v>
      </c>
      <c r="G57" s="91">
        <v>8.0</v>
      </c>
      <c r="H57" s="92">
        <v>0.0</v>
      </c>
      <c r="I57" s="91">
        <v>5.0</v>
      </c>
      <c r="J57" s="91">
        <v>3.0</v>
      </c>
      <c r="K57" s="91">
        <v>6.0</v>
      </c>
      <c r="L57" s="93">
        <v>14.0</v>
      </c>
      <c r="M57" s="91">
        <v>1.0</v>
      </c>
      <c r="N57" s="37">
        <f t="shared" ref="N57:O57" si="62">C57+L57</f>
        <v>109</v>
      </c>
      <c r="O57" s="37">
        <f t="shared" si="62"/>
        <v>6</v>
      </c>
      <c r="P57" s="49" t="s">
        <v>57</v>
      </c>
      <c r="Q57" s="49" t="s">
        <v>57</v>
      </c>
      <c r="R57" s="49" t="s">
        <v>57</v>
      </c>
      <c r="S57" s="51">
        <f t="shared" si="4"/>
        <v>8</v>
      </c>
      <c r="T57" s="52">
        <f t="shared" si="5"/>
        <v>0</v>
      </c>
      <c r="U57" s="52"/>
      <c r="V57" s="51">
        <f t="shared" si="6"/>
        <v>2</v>
      </c>
      <c r="W57" s="52">
        <f t="shared" si="7"/>
        <v>0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152</v>
      </c>
      <c r="C58" s="37">
        <v>94.0</v>
      </c>
      <c r="D58" s="37">
        <v>7.0</v>
      </c>
      <c r="E58" s="40">
        <f t="shared" si="2"/>
        <v>9.8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103</v>
      </c>
      <c r="O58" s="37">
        <f t="shared" si="63"/>
        <v>7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5</v>
      </c>
      <c r="W58" s="52">
        <f t="shared" si="7"/>
        <v>0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136</v>
      </c>
      <c r="C59" s="37">
        <v>93.0</v>
      </c>
      <c r="D59" s="37">
        <v>5.0</v>
      </c>
      <c r="E59" s="40">
        <f t="shared" si="2"/>
        <v>9.6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102</v>
      </c>
      <c r="O59" s="37">
        <f t="shared" si="64"/>
        <v>5</v>
      </c>
      <c r="P59" s="49" t="s">
        <v>57</v>
      </c>
      <c r="Q59" s="49" t="s">
        <v>57</v>
      </c>
      <c r="R59" s="49" t="s">
        <v>57</v>
      </c>
      <c r="S59" s="51">
        <f t="shared" si="4"/>
        <v>5</v>
      </c>
      <c r="T59" s="52">
        <f t="shared" si="5"/>
        <v>0</v>
      </c>
      <c r="U59" s="52"/>
      <c r="V59" s="51">
        <f t="shared" si="6"/>
        <v>5</v>
      </c>
      <c r="W59" s="52">
        <f t="shared" si="7"/>
        <v>3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70</v>
      </c>
      <c r="C60" s="37">
        <v>91.0</v>
      </c>
      <c r="D60" s="37">
        <v>5.0</v>
      </c>
      <c r="E60" s="40">
        <f t="shared" si="2"/>
        <v>8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100</v>
      </c>
      <c r="O60" s="37">
        <f t="shared" si="65"/>
        <v>5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1</v>
      </c>
      <c r="U60" s="52"/>
      <c r="V60" s="51">
        <f t="shared" si="6"/>
        <v>6</v>
      </c>
      <c r="W60" s="52">
        <f t="shared" si="7"/>
        <v>-1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125</v>
      </c>
      <c r="C61" s="37">
        <v>91.0</v>
      </c>
      <c r="D61" s="37">
        <v>3.0</v>
      </c>
      <c r="E61" s="40">
        <f t="shared" si="2"/>
        <v>10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100</v>
      </c>
      <c r="O61" s="37">
        <f t="shared" si="66"/>
        <v>3</v>
      </c>
      <c r="P61" s="49" t="s">
        <v>57</v>
      </c>
      <c r="Q61" s="49" t="s">
        <v>57</v>
      </c>
      <c r="R61" s="49" t="s">
        <v>57</v>
      </c>
      <c r="S61" s="51">
        <f t="shared" si="4"/>
        <v>1</v>
      </c>
      <c r="T61" s="52">
        <f t="shared" si="5"/>
        <v>0</v>
      </c>
      <c r="U61" s="52"/>
      <c r="V61" s="51">
        <f t="shared" si="6"/>
        <v>9</v>
      </c>
      <c r="W61" s="52">
        <f t="shared" si="7"/>
        <v>-1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78</v>
      </c>
      <c r="C62" s="37">
        <v>91.0</v>
      </c>
      <c r="D62" s="37">
        <v>2.0</v>
      </c>
      <c r="E62" s="40">
        <f t="shared" si="2"/>
        <v>6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100</v>
      </c>
      <c r="O62" s="37">
        <f t="shared" si="67"/>
        <v>2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1</v>
      </c>
      <c r="U62" s="52"/>
      <c r="V62" s="51">
        <f t="shared" si="6"/>
        <v>8</v>
      </c>
      <c r="W62" s="52">
        <f t="shared" si="7"/>
        <v>-1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148</v>
      </c>
      <c r="C63" s="37">
        <v>90.0</v>
      </c>
      <c r="D63" s="37">
        <v>3.0</v>
      </c>
      <c r="E63" s="40">
        <f t="shared" si="2"/>
        <v>9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99</v>
      </c>
      <c r="O63" s="37">
        <f t="shared" si="68"/>
        <v>3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9</v>
      </c>
      <c r="W63" s="52">
        <f t="shared" si="7"/>
        <v>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153</v>
      </c>
      <c r="C64" s="37">
        <v>90.0</v>
      </c>
      <c r="D64" s="37">
        <v>3.0</v>
      </c>
      <c r="E64" s="40">
        <f t="shared" si="2"/>
        <v>9</v>
      </c>
      <c r="F64" s="90">
        <v>2.0</v>
      </c>
      <c r="G64" s="91">
        <v>8.0</v>
      </c>
      <c r="H64" s="92">
        <v>0.0</v>
      </c>
      <c r="I64" s="91">
        <v>7.0</v>
      </c>
      <c r="J64" s="91">
        <v>6.0</v>
      </c>
      <c r="K64" s="91">
        <v>6.0</v>
      </c>
      <c r="L64" s="93">
        <v>19.0</v>
      </c>
      <c r="M64" s="91">
        <v>3.0</v>
      </c>
      <c r="N64" s="37">
        <f t="shared" ref="N64:O64" si="69">C64+L64</f>
        <v>109</v>
      </c>
      <c r="O64" s="37">
        <f t="shared" si="69"/>
        <v>6</v>
      </c>
      <c r="P64" s="49" t="s">
        <v>57</v>
      </c>
      <c r="Q64" s="49" t="s">
        <v>57</v>
      </c>
      <c r="R64" s="49" t="s">
        <v>57</v>
      </c>
      <c r="S64" s="51">
        <f t="shared" si="4"/>
        <v>3</v>
      </c>
      <c r="T64" s="52">
        <f t="shared" si="5"/>
        <v>0</v>
      </c>
      <c r="U64" s="52"/>
      <c r="V64" s="51">
        <f t="shared" si="6"/>
        <v>7</v>
      </c>
      <c r="W64" s="52">
        <f t="shared" si="7"/>
        <v>8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149</v>
      </c>
      <c r="C65" s="37">
        <v>89.0</v>
      </c>
      <c r="D65" s="37">
        <v>7.0</v>
      </c>
      <c r="E65" s="40">
        <f t="shared" si="2"/>
        <v>8.833333333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98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4"/>
        <v>6</v>
      </c>
      <c r="T65" s="52">
        <f t="shared" si="5"/>
        <v>0</v>
      </c>
      <c r="U65" s="52"/>
      <c r="V65" s="51">
        <f t="shared" si="6"/>
        <v>4</v>
      </c>
      <c r="W65" s="52">
        <f t="shared" si="7"/>
        <v>-1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146</v>
      </c>
      <c r="C66" s="37">
        <v>89.0</v>
      </c>
      <c r="D66" s="37">
        <v>1.0</v>
      </c>
      <c r="E66" s="40">
        <f t="shared" si="2"/>
        <v>4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98</v>
      </c>
      <c r="O66" s="37">
        <f t="shared" si="71"/>
        <v>1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1</v>
      </c>
      <c r="U66" s="52"/>
      <c r="V66" s="51">
        <f t="shared" si="6"/>
        <v>8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145</v>
      </c>
      <c r="C67" s="37">
        <v>87.0</v>
      </c>
      <c r="D67" s="37">
        <v>7.0</v>
      </c>
      <c r="E67" s="40">
        <f t="shared" si="2"/>
        <v>8.571428571</v>
      </c>
      <c r="F67" s="90">
        <v>1.0</v>
      </c>
      <c r="G67" s="91">
        <v>8.0</v>
      </c>
      <c r="H67" s="92">
        <v>0.0</v>
      </c>
      <c r="I67" s="91">
        <v>7.0</v>
      </c>
      <c r="J67" s="91">
        <v>3.0</v>
      </c>
      <c r="K67" s="91">
        <v>0.0</v>
      </c>
      <c r="L67" s="93">
        <v>10.0</v>
      </c>
      <c r="M67" s="91">
        <v>1.0</v>
      </c>
      <c r="N67" s="37">
        <f t="shared" ref="N67:O67" si="72">C67+L67</f>
        <v>97</v>
      </c>
      <c r="O67" s="37">
        <f t="shared" si="72"/>
        <v>8</v>
      </c>
      <c r="P67" s="49" t="s">
        <v>57</v>
      </c>
      <c r="Q67" s="49" t="s">
        <v>57</v>
      </c>
      <c r="R67" s="49" t="s">
        <v>57</v>
      </c>
      <c r="S67" s="51">
        <f t="shared" si="4"/>
        <v>7</v>
      </c>
      <c r="T67" s="52">
        <f t="shared" si="5"/>
        <v>0</v>
      </c>
      <c r="U67" s="52"/>
      <c r="V67" s="51">
        <f t="shared" si="6"/>
        <v>3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154</v>
      </c>
      <c r="C68" s="37">
        <v>87.0</v>
      </c>
      <c r="D68" s="37">
        <v>4.0</v>
      </c>
      <c r="E68" s="40">
        <f t="shared" si="2"/>
        <v>8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96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3</v>
      </c>
      <c r="T68" s="52">
        <f t="shared" si="5"/>
        <v>0</v>
      </c>
      <c r="U68" s="52"/>
      <c r="V68" s="51">
        <f t="shared" si="6"/>
        <v>7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106</v>
      </c>
      <c r="C69" s="37">
        <v>87.0</v>
      </c>
      <c r="D69" s="37">
        <v>1.0</v>
      </c>
      <c r="E69" s="40">
        <f t="shared" si="2"/>
        <v>6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96</v>
      </c>
      <c r="O69" s="37">
        <f t="shared" si="74"/>
        <v>1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9</v>
      </c>
      <c r="W69" s="52">
        <f t="shared" si="7"/>
        <v>-1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133</v>
      </c>
      <c r="C70" s="37">
        <v>86.0</v>
      </c>
      <c r="D70" s="37">
        <v>3.0</v>
      </c>
      <c r="E70" s="40">
        <f t="shared" si="2"/>
        <v>8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95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4</v>
      </c>
      <c r="T70" s="52">
        <f t="shared" si="5"/>
        <v>0</v>
      </c>
      <c r="U70" s="52"/>
      <c r="V70" s="51">
        <f t="shared" si="6"/>
        <v>6</v>
      </c>
      <c r="W70" s="52">
        <f t="shared" si="7"/>
        <v>0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73</v>
      </c>
      <c r="C71" s="37">
        <v>85.0</v>
      </c>
      <c r="D71" s="37">
        <v>2.0</v>
      </c>
      <c r="E71" s="40">
        <f t="shared" si="2"/>
        <v>4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94</v>
      </c>
      <c r="O71" s="37">
        <f t="shared" si="76"/>
        <v>2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9</v>
      </c>
      <c r="W71" s="52">
        <f t="shared" si="7"/>
        <v>-2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83.0</v>
      </c>
      <c r="D72" s="37">
        <v>5.0</v>
      </c>
      <c r="E72" s="40">
        <f t="shared" si="2"/>
        <v>8.125</v>
      </c>
      <c r="F72" s="90">
        <v>1.0</v>
      </c>
      <c r="G72" s="91">
        <v>8.0</v>
      </c>
      <c r="H72" s="92">
        <v>0.0</v>
      </c>
      <c r="I72" s="91">
        <v>5.0</v>
      </c>
      <c r="J72" s="91">
        <v>6.0</v>
      </c>
      <c r="K72" s="91">
        <v>0.0</v>
      </c>
      <c r="L72" s="93">
        <v>11.0</v>
      </c>
      <c r="M72" s="91">
        <v>1.0</v>
      </c>
      <c r="N72" s="37">
        <f t="shared" ref="N72:O72" si="77">C72+L72</f>
        <v>94</v>
      </c>
      <c r="O72" s="37">
        <f t="shared" si="77"/>
        <v>6</v>
      </c>
      <c r="P72" s="49" t="s">
        <v>57</v>
      </c>
      <c r="Q72" s="49" t="s">
        <v>57</v>
      </c>
      <c r="R72" s="49" t="s">
        <v>57</v>
      </c>
      <c r="S72" s="51">
        <f t="shared" si="4"/>
        <v>8</v>
      </c>
      <c r="T72" s="52">
        <f t="shared" si="5"/>
        <v>0</v>
      </c>
      <c r="U72" s="52"/>
      <c r="V72" s="51">
        <f t="shared" si="6"/>
        <v>2</v>
      </c>
      <c r="W72" s="52">
        <f t="shared" si="7"/>
        <v>6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124</v>
      </c>
      <c r="C73" s="37">
        <v>83.0</v>
      </c>
      <c r="D73" s="37">
        <v>1.0</v>
      </c>
      <c r="E73" s="40">
        <f t="shared" si="2"/>
        <v>2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92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9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141</v>
      </c>
      <c r="C74" s="37">
        <v>81.0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90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10</v>
      </c>
      <c r="W74" s="52">
        <f t="shared" si="7"/>
        <v>-1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54</v>
      </c>
      <c r="C75" s="37">
        <v>81.0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90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10</v>
      </c>
      <c r="W75" s="52">
        <f t="shared" si="7"/>
        <v>-1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81.0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90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10</v>
      </c>
      <c r="W76" s="52">
        <f t="shared" si="7"/>
        <v>-1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81.0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90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10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81.0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90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1</v>
      </c>
      <c r="T78" s="52">
        <f t="shared" si="5"/>
        <v>0</v>
      </c>
      <c r="U78" s="52"/>
      <c r="V78" s="51">
        <f t="shared" si="6"/>
        <v>9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74.0</v>
      </c>
      <c r="D79" s="37">
        <v>1.0</v>
      </c>
      <c r="E79" s="40">
        <f t="shared" si="2"/>
        <v>5.8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83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0</v>
      </c>
      <c r="U79" s="52"/>
      <c r="V79" s="51">
        <f t="shared" si="6"/>
        <v>5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03/07/26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desc"",0)"),"Pulkit Mathur")</f>
        <v>Pulkit Mathur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IFERROR(__xludf.DUMMYFUNCTION("""COMPUTED_VALUE"""),"Erik Hoeckmann")</f>
        <v>Erik Hoeckmann</v>
      </c>
      <c r="C92" s="122">
        <f>IFERROR(__xludf.DUMMYFUNCTION("""COMPUTED_VALUE"""),20.0)</f>
        <v>20</v>
      </c>
      <c r="D92" s="122">
        <f>IFERROR(__xludf.DUMMYFUNCTION("""COMPUTED_VALUE"""),3.0)</f>
        <v>3</v>
      </c>
      <c r="E92" s="122">
        <f>IFERROR(__xludf.DUMMYFUNCTION("""COMPUTED_VALUE"""),5.0)</f>
        <v>5</v>
      </c>
      <c r="F92" s="5"/>
    </row>
    <row r="93">
      <c r="A93" s="5"/>
      <c r="B93" s="36" t="str">
        <f>IFERROR(__xludf.DUMMYFUNCTION("""COMPUTED_VALUE"""),"Matthew Huang")</f>
        <v>Matthew Huang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IFERROR(__xludf.DUMMYFUNCTION("""COMPUTED_VALUE"""),3.0)</f>
        <v>3</v>
      </c>
      <c r="F93" s="5"/>
    </row>
    <row r="94">
      <c r="A94" s="5"/>
      <c r="B94" s="36" t="str">
        <f>IFERROR(__xludf.DUMMYFUNCTION("""COMPUTED_VALUE"""),"Sean Chang")</f>
        <v>Sean Chang</v>
      </c>
      <c r="C94" s="122">
        <f>IFERROR(__xludf.DUMMYFUNCTION("""COMPUTED_VALUE"""),19.0)</f>
        <v>19</v>
      </c>
      <c r="D94" s="122">
        <f>IFERROR(__xludf.DUMMYFUNCTION("""COMPUTED_VALUE"""),3.0)</f>
        <v>3</v>
      </c>
      <c r="E94" s="122">
        <f>IFERROR(__xludf.DUMMYFUNCTION("""COMPUTED_VALUE"""),7.0)</f>
        <v>7</v>
      </c>
      <c r="F94" s="5"/>
    </row>
    <row r="95">
      <c r="A95" s="5"/>
      <c r="B95" s="36" t="str">
        <f>IFERROR(__xludf.DUMMYFUNCTION("""COMPUTED_VALUE"""),"Andrew Yao")</f>
        <v>Andrew Yao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IFERROR(__xludf.DUMMYFUNCTION("""COMPUTED_VALUE"""),1.0)</f>
        <v>1</v>
      </c>
      <c r="F95" s="5"/>
    </row>
    <row r="96">
      <c r="A96" s="5"/>
      <c r="B96" s="36" t="str">
        <f>IFERROR(__xludf.DUMMYFUNCTION("""COMPUTED_VALUE"""),"Lam Bui")</f>
        <v>Lam Bui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IFERROR(__xludf.DUMMYFUNCTION("""COMPUTED_VALUE"""),4.0)</f>
        <v>4</v>
      </c>
      <c r="F96" s="5"/>
    </row>
    <row r="97">
      <c r="A97" s="5"/>
      <c r="B97" s="36" t="str">
        <f>IFERROR(__xludf.DUMMYFUNCTION("""COMPUTED_VALUE"""),"Troy Wong")</f>
        <v>Troy Wong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IFERROR(__xludf.DUMMYFUNCTION("""COMPUTED_VALUE"""),8.0)</f>
        <v>8</v>
      </c>
      <c r="F97" s="5"/>
    </row>
    <row r="98">
      <c r="A98" s="5"/>
      <c r="B98" s="36" t="str">
        <f>IFERROR(__xludf.DUMMYFUNCTION("""COMPUTED_VALUE"""),"Cid Macaraeg")</f>
        <v>Cid Macaraeg</v>
      </c>
      <c r="C98" s="122">
        <f>IFERROR(__xludf.DUMMYFUNCTION("""COMPUTED_VALUE"""),18.0)</f>
        <v>18</v>
      </c>
      <c r="D98" s="122">
        <f>IFERROR(__xludf.DUMMYFUNCTION("""COMPUTED_VALUE"""),1.0)</f>
        <v>1</v>
      </c>
      <c r="E98" s="122">
        <f>IFERROR(__xludf.DUMMYFUNCTION("""COMPUTED_VALUE"""),5.0)</f>
        <v>5</v>
      </c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10"")"),"Sean Chang")</f>
        <v>Sean Chang</v>
      </c>
      <c r="C110" s="122">
        <f>IFERROR(__xludf.DUMMYFUNCTION("""COMPUTED_VALUE"""),18.0)</f>
        <v>18</v>
      </c>
      <c r="D110" s="122">
        <f t="shared" ref="D110:D119" si="85">VLOOKUP(B110,indirect($AC$2&amp;"!B$5:X$79"),23, false)</f>
        <v>47</v>
      </c>
      <c r="E110" s="122">
        <f t="shared" ref="E110:E119" si="86">VLOOKUP(B110,B$5:X$79,23, false)</f>
        <v>29</v>
      </c>
      <c r="F110" s="122">
        <f t="shared" ref="F110:F119" si="87">VLOOKUP(B110,indirect($AC$2&amp;"!B$5:U$79"),11, false)</f>
        <v>19</v>
      </c>
      <c r="G110" s="122">
        <f t="shared" ref="G110:G119" si="88">VLOOKUP(B110,indirect($AC$2&amp;"!B$5:U$79"),6, false)</f>
        <v>7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IFERROR(__xludf.DUMMYFUNCTION("""COMPUTED_VALUE"""),"Erik Hoeckmann")</f>
        <v>Erik Hoeckmann</v>
      </c>
      <c r="C111" s="122">
        <f>IFERROR(__xludf.DUMMYFUNCTION("""COMPUTED_VALUE"""),15.0)</f>
        <v>15</v>
      </c>
      <c r="D111" s="122">
        <f t="shared" si="85"/>
        <v>32</v>
      </c>
      <c r="E111" s="122">
        <f t="shared" si="86"/>
        <v>17</v>
      </c>
      <c r="F111" s="122">
        <f t="shared" si="87"/>
        <v>20</v>
      </c>
      <c r="G111" s="122">
        <f t="shared" si="88"/>
        <v>5</v>
      </c>
      <c r="L111" s="122" t="str">
        <f t="shared" si="89"/>
        <v>ok</v>
      </c>
    </row>
    <row r="112">
      <c r="A112" s="5"/>
      <c r="B112" s="36" t="str">
        <f>IFERROR(__xludf.DUMMYFUNCTION("""COMPUTED_VALUE"""),"Scott Li")</f>
        <v>Scott Li</v>
      </c>
      <c r="C112" s="122">
        <f>IFERROR(__xludf.DUMMYFUNCTION("""COMPUTED_VALUE"""),13.0)</f>
        <v>13</v>
      </c>
      <c r="D112" s="122">
        <f t="shared" si="85"/>
        <v>41</v>
      </c>
      <c r="E112" s="122">
        <f t="shared" si="86"/>
        <v>28</v>
      </c>
      <c r="F112" s="122">
        <f t="shared" si="87"/>
        <v>17</v>
      </c>
      <c r="G112" s="122">
        <f t="shared" si="88"/>
        <v>6</v>
      </c>
      <c r="L112" s="122" t="str">
        <f t="shared" si="89"/>
        <v>ok</v>
      </c>
    </row>
    <row r="113">
      <c r="A113" s="5"/>
      <c r="B113" s="36" t="str">
        <f>IFERROR(__xludf.DUMMYFUNCTION("""COMPUTED_VALUE"""),"Cid Macaraeg")</f>
        <v>Cid Macaraeg</v>
      </c>
      <c r="C113" s="122">
        <f>IFERROR(__xludf.DUMMYFUNCTION("""COMPUTED_VALUE"""),11.0)</f>
        <v>11</v>
      </c>
      <c r="D113" s="122">
        <f t="shared" si="85"/>
        <v>31</v>
      </c>
      <c r="E113" s="122">
        <f t="shared" si="86"/>
        <v>20</v>
      </c>
      <c r="F113" s="122">
        <f t="shared" si="87"/>
        <v>18</v>
      </c>
      <c r="G113" s="122">
        <f t="shared" si="88"/>
        <v>5</v>
      </c>
      <c r="L113" s="122" t="str">
        <f t="shared" si="89"/>
        <v>ok</v>
      </c>
    </row>
    <row r="114">
      <c r="A114" s="5"/>
      <c r="B114" s="36" t="str">
        <f>IFERROR(__xludf.DUMMYFUNCTION("""COMPUTED_VALUE"""),"Naveen Raj")</f>
        <v>Naveen Raj</v>
      </c>
      <c r="C114" s="122">
        <f>IFERROR(__xludf.DUMMYFUNCTION("""COMPUTED_VALUE"""),11.0)</f>
        <v>11</v>
      </c>
      <c r="D114" s="122">
        <f t="shared" si="85"/>
        <v>42</v>
      </c>
      <c r="E114" s="122">
        <f t="shared" si="86"/>
        <v>31</v>
      </c>
      <c r="F114" s="122">
        <f t="shared" si="87"/>
        <v>16</v>
      </c>
      <c r="G114" s="122">
        <f t="shared" si="88"/>
        <v>6</v>
      </c>
      <c r="L114" s="122" t="str">
        <f t="shared" si="89"/>
        <v>ok</v>
      </c>
    </row>
    <row r="115">
      <c r="A115" s="5"/>
      <c r="B115" s="36" t="str">
        <f>IFERROR(__xludf.DUMMYFUNCTION("""COMPUTED_VALUE"""),"Ramesh Bandaru")</f>
        <v>Ramesh Bandaru</v>
      </c>
      <c r="C115" s="122">
        <f>IFERROR(__xludf.DUMMYFUNCTION("""COMPUTED_VALUE"""),8.0)</f>
        <v>8</v>
      </c>
      <c r="D115" s="122">
        <f t="shared" si="85"/>
        <v>49</v>
      </c>
      <c r="E115" s="122">
        <f t="shared" si="86"/>
        <v>41</v>
      </c>
      <c r="F115" s="122">
        <f t="shared" si="87"/>
        <v>15</v>
      </c>
      <c r="G115" s="122">
        <f t="shared" si="88"/>
        <v>7</v>
      </c>
      <c r="L115" s="122" t="str">
        <f t="shared" si="89"/>
        <v>ok</v>
      </c>
    </row>
    <row r="116">
      <c r="A116" s="5"/>
      <c r="B116" s="36" t="str">
        <f>IFERROR(__xludf.DUMMYFUNCTION("""COMPUTED_VALUE"""),"Troy Wong")</f>
        <v>Troy Wong</v>
      </c>
      <c r="C116" s="122">
        <f>IFERROR(__xludf.DUMMYFUNCTION("""COMPUTED_VALUE"""),8.0)</f>
        <v>8</v>
      </c>
      <c r="D116" s="122">
        <f t="shared" si="85"/>
        <v>68</v>
      </c>
      <c r="E116" s="122">
        <f t="shared" si="86"/>
        <v>60</v>
      </c>
      <c r="F116" s="122">
        <f t="shared" si="87"/>
        <v>18</v>
      </c>
      <c r="G116" s="122">
        <f t="shared" si="88"/>
        <v>8</v>
      </c>
      <c r="L116" s="122" t="str">
        <f t="shared" si="89"/>
        <v>ok</v>
      </c>
    </row>
    <row r="117">
      <c r="A117" s="5"/>
      <c r="B117" s="36" t="str">
        <f>IFERROR(__xludf.DUMMYFUNCTION("""COMPUTED_VALUE"""),"Lam Bui")</f>
        <v>Lam Bui</v>
      </c>
      <c r="C117" s="122">
        <f>IFERROR(__xludf.DUMMYFUNCTION("""COMPUTED_VALUE"""),7.0)</f>
        <v>7</v>
      </c>
      <c r="D117" s="122">
        <f t="shared" si="85"/>
        <v>22</v>
      </c>
      <c r="E117" s="122">
        <f t="shared" si="86"/>
        <v>15</v>
      </c>
      <c r="F117" s="122">
        <f t="shared" si="87"/>
        <v>18</v>
      </c>
      <c r="G117" s="122">
        <f t="shared" si="88"/>
        <v>4</v>
      </c>
      <c r="L117" s="122" t="str">
        <f t="shared" si="89"/>
        <v>ok</v>
      </c>
    </row>
    <row r="118">
      <c r="A118" s="5"/>
      <c r="B118" s="36" t="str">
        <f>IFERROR(__xludf.DUMMYFUNCTION("""COMPUTED_VALUE"""),"Pulkit Mathur")</f>
        <v>Pulkit Mathur</v>
      </c>
      <c r="C118" s="122">
        <f>IFERROR(__xludf.DUMMYFUNCTION("""COMPUTED_VALUE"""),6.0)</f>
        <v>6</v>
      </c>
      <c r="D118" s="122">
        <f t="shared" si="85"/>
        <v>9</v>
      </c>
      <c r="E118" s="122">
        <f t="shared" si="86"/>
        <v>3</v>
      </c>
      <c r="F118" s="122">
        <f t="shared" si="87"/>
        <v>20</v>
      </c>
      <c r="G118" s="122">
        <f t="shared" si="88"/>
        <v>2</v>
      </c>
      <c r="L118" s="122" t="str">
        <f t="shared" si="89"/>
        <v>ok</v>
      </c>
    </row>
    <row r="119">
      <c r="A119" s="5"/>
      <c r="B119" s="36" t="str">
        <f>IFERROR(__xludf.DUMMYFUNCTION("""COMPUTED_VALUE"""),"Matthew Huang")</f>
        <v>Matthew Huang</v>
      </c>
      <c r="C119" s="122">
        <f>IFERROR(__xludf.DUMMYFUNCTION("""COMPUTED_VALUE"""),6.0)</f>
        <v>6</v>
      </c>
      <c r="D119" s="122">
        <f t="shared" si="85"/>
        <v>12</v>
      </c>
      <c r="E119" s="122">
        <f t="shared" si="86"/>
        <v>6</v>
      </c>
      <c r="F119" s="122">
        <f t="shared" si="87"/>
        <v>19</v>
      </c>
      <c r="G119" s="122">
        <f t="shared" si="88"/>
        <v>3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10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153</v>
      </c>
      <c r="D128" s="122">
        <f t="shared" si="90"/>
        <v>22</v>
      </c>
      <c r="E128" s="122">
        <f t="shared" si="90"/>
        <v>15.3</v>
      </c>
      <c r="F128" s="5"/>
    </row>
    <row r="129">
      <c r="A129" s="122">
        <f t="shared" ref="A129:E129" si="91">A6</f>
        <v>2</v>
      </c>
      <c r="B129" s="36" t="str">
        <f t="shared" si="91"/>
        <v>Sandeep Kamalon</v>
      </c>
      <c r="C129" s="122">
        <f t="shared" si="91"/>
        <v>134</v>
      </c>
      <c r="D129" s="122">
        <f t="shared" si="91"/>
        <v>15</v>
      </c>
      <c r="E129" s="122">
        <f t="shared" si="91"/>
        <v>13.88888889</v>
      </c>
      <c r="F129" s="5"/>
    </row>
    <row r="130">
      <c r="A130" s="122">
        <f t="shared" ref="A130:E130" si="92">A7</f>
        <v>3</v>
      </c>
      <c r="B130" s="36" t="str">
        <f t="shared" si="92"/>
        <v>Pulkit Mathur</v>
      </c>
      <c r="C130" s="122">
        <f t="shared" si="92"/>
        <v>127</v>
      </c>
      <c r="D130" s="122">
        <f t="shared" si="92"/>
        <v>14</v>
      </c>
      <c r="E130" s="122">
        <f t="shared" si="92"/>
        <v>13.625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126</v>
      </c>
      <c r="D131" s="122">
        <f t="shared" si="93"/>
        <v>13</v>
      </c>
      <c r="E131" s="122">
        <f t="shared" si="93"/>
        <v>12.6</v>
      </c>
      <c r="F131" s="5"/>
    </row>
    <row r="132">
      <c r="A132" s="122">
        <f t="shared" ref="A132:E132" si="94">A9</f>
        <v>5</v>
      </c>
      <c r="B132" s="36" t="str">
        <f t="shared" si="94"/>
        <v>Rudy Tatang</v>
      </c>
      <c r="C132" s="122">
        <f t="shared" si="94"/>
        <v>125</v>
      </c>
      <c r="D132" s="122">
        <f t="shared" si="94"/>
        <v>14</v>
      </c>
      <c r="E132" s="122">
        <f t="shared" si="94"/>
        <v>13.375</v>
      </c>
      <c r="F132" s="5"/>
    </row>
    <row r="133">
      <c r="A133" s="122">
        <f t="shared" ref="A133:E133" si="95">A10</f>
        <v>6</v>
      </c>
      <c r="B133" s="36" t="str">
        <f t="shared" si="95"/>
        <v>Matthew Huang</v>
      </c>
      <c r="C133" s="122">
        <f t="shared" si="95"/>
        <v>125</v>
      </c>
      <c r="D133" s="122">
        <f t="shared" si="95"/>
        <v>12</v>
      </c>
      <c r="E133" s="122">
        <f t="shared" si="95"/>
        <v>14.83333333</v>
      </c>
      <c r="F133" s="5"/>
    </row>
    <row r="134">
      <c r="A134" s="122">
        <f t="shared" ref="A134:E134" si="96">A11</f>
        <v>7</v>
      </c>
      <c r="B134" s="36" t="str">
        <f t="shared" si="96"/>
        <v>Pavan Akkimsetty</v>
      </c>
      <c r="C134" s="122">
        <f t="shared" si="96"/>
        <v>124</v>
      </c>
      <c r="D134" s="122">
        <f t="shared" si="96"/>
        <v>12</v>
      </c>
      <c r="E134" s="122">
        <f t="shared" si="96"/>
        <v>12.75</v>
      </c>
      <c r="F134" s="5"/>
    </row>
    <row r="135">
      <c r="A135" s="122">
        <f t="shared" ref="A135:E135" si="97">A12</f>
        <v>8</v>
      </c>
      <c r="B135" s="36" t="str">
        <f t="shared" si="97"/>
        <v>David Shin</v>
      </c>
      <c r="C135" s="122">
        <f t="shared" si="97"/>
        <v>123</v>
      </c>
      <c r="D135" s="122">
        <f t="shared" si="97"/>
        <v>14</v>
      </c>
      <c r="E135" s="122">
        <f t="shared" si="97"/>
        <v>13.125</v>
      </c>
      <c r="F135" s="5"/>
    </row>
    <row r="136">
      <c r="A136" s="122">
        <f t="shared" ref="A136:E136" si="98">A13</f>
        <v>9</v>
      </c>
      <c r="B136" s="36" t="str">
        <f t="shared" si="98"/>
        <v>Jim Miao</v>
      </c>
      <c r="C136" s="122">
        <f t="shared" si="98"/>
        <v>123</v>
      </c>
      <c r="D136" s="122">
        <f t="shared" si="98"/>
        <v>12</v>
      </c>
      <c r="E136" s="122">
        <f t="shared" si="98"/>
        <v>13.125</v>
      </c>
      <c r="F136" s="5"/>
    </row>
    <row r="137">
      <c r="A137" s="122">
        <f t="shared" ref="A137:E137" si="99">A14</f>
        <v>10</v>
      </c>
      <c r="B137" s="36" t="str">
        <f t="shared" si="99"/>
        <v>Joe Luzzi</v>
      </c>
      <c r="C137" s="122">
        <f t="shared" si="99"/>
        <v>121</v>
      </c>
      <c r="D137" s="122">
        <f t="shared" si="99"/>
        <v>13</v>
      </c>
      <c r="E137" s="122">
        <f t="shared" si="99"/>
        <v>12.44444444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IFERROR(__xludf.DUMMYFUNCTION("""COMPUTED_VALUE"""),"Wayne Liu")</f>
        <v>Wayne Liu</v>
      </c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03/07/26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IFERROR(__xludf.DUMMYFUNCTION("""COMPUTED_VALUE"""),18.0)</f>
        <v>18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IFERROR(__xludf.DUMMYFUNCTION("""COMPUTED_VALUE"""),"Sandeep Kamalon")</f>
        <v>Sandeep Kamalon</v>
      </c>
      <c r="C251" s="132">
        <f>IFERROR(__xludf.DUMMYFUNCTION("""COMPUTED_VALUE"""),6.0)</f>
        <v>6</v>
      </c>
      <c r="D251" s="132">
        <f>IFERROR(__xludf.DUMMYFUNCTION("""COMPUTED_VALUE"""),1.0)</f>
        <v>1</v>
      </c>
      <c r="E251" s="132">
        <f>IFERROR(__xludf.DUMMYFUNCTION("""COMPUTED_VALUE"""),3.0)</f>
        <v>3</v>
      </c>
      <c r="F251" s="132">
        <f>IFERROR(__xludf.DUMMYFUNCTION("""COMPUTED_VALUE"""),10.0)</f>
        <v>10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IFERROR(__xludf.DUMMYFUNCTION("""COMPUTED_VALUE"""),1.0)</f>
        <v>1</v>
      </c>
      <c r="D252" s="132">
        <f>IFERROR(__xludf.DUMMYFUNCTION("""COMPUTED_VALUE"""),6.0)</f>
        <v>6</v>
      </c>
      <c r="E252" s="132">
        <f>IFERROR(__xludf.DUMMYFUNCTION("""COMPUTED_VALUE"""),3.0)</f>
        <v>3</v>
      </c>
      <c r="F252" s="132">
        <f>IFERROR(__xludf.DUMMYFUNCTION("""COMPUTED_VALUE"""),10.0)</f>
        <v>10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IFERROR(__xludf.DUMMYFUNCTION("""COMPUTED_VALUE"""),"David Shin")</f>
        <v>David Shin</v>
      </c>
      <c r="C253" s="132">
        <f>IFERROR(__xludf.DUMMYFUNCTION("""COMPUTED_VALUE"""),1.0)</f>
        <v>1</v>
      </c>
      <c r="D253" s="132">
        <f>IFERROR(__xludf.DUMMYFUNCTION("""COMPUTED_VALUE"""),1.0)</f>
        <v>1</v>
      </c>
      <c r="E253" s="132">
        <f>IFERROR(__xludf.DUMMYFUNCTION("""COMPUTED_VALUE"""),6.0)</f>
        <v>6</v>
      </c>
      <c r="F253" s="132">
        <f>IFERROR(__xludf.DUMMYFUNCTION("""COMPUTED_VALUE"""),8.0)</f>
        <v>8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IFERROR(__xludf.DUMMYFUNCTION("""COMPUTED_VALUE"""),"Jim Miao")</f>
        <v>Jim Miao</v>
      </c>
      <c r="C254" s="135">
        <f>IFERROR(__xludf.DUMMYFUNCTION("""COMPUTED_VALUE"""),1.0)</f>
        <v>1</v>
      </c>
      <c r="D254" s="135">
        <f>IFERROR(__xludf.DUMMYFUNCTION("""COMPUTED_VALUE"""),6.0)</f>
        <v>6</v>
      </c>
      <c r="E254" s="135">
        <f>IFERROR(__xludf.DUMMYFUNCTION("""COMPUTED_VALUE"""),7.0)</f>
        <v>7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IFERROR(__xludf.DUMMYFUNCTION("""COMPUTED_VALUE"""),"Joe Luzzi")</f>
        <v>Joe Luzzi</v>
      </c>
      <c r="C255" s="135">
        <f>IFERROR(__xludf.DUMMYFUNCTION("""COMPUTED_VALUE"""),1.0)</f>
        <v>1</v>
      </c>
      <c r="D255" s="135">
        <f>IFERROR(__xludf.DUMMYFUNCTION("""COMPUTED_VALUE"""),7.0)</f>
        <v>7</v>
      </c>
      <c r="E255" s="135">
        <f>IFERROR(__xludf.DUMMYFUNCTION("""COMPUTED_VALUE"""),5.0)</f>
        <v>5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IFERROR(__xludf.DUMMYFUNCTION("""COMPUTED_VALUE"""),"Pulkit Mathur")</f>
        <v>Pulkit Mathur</v>
      </c>
      <c r="C256" s="135">
        <f>IFERROR(__xludf.DUMMYFUNCTION("""COMPUTED_VALUE"""),6.0)</f>
        <v>6</v>
      </c>
      <c r="D256" s="135">
        <f>IFERROR(__xludf.DUMMYFUNCTION("""COMPUTED_VALUE"""),7.0)</f>
        <v>7</v>
      </c>
      <c r="E256" s="135">
        <f>IFERROR(__xludf.DUMMYFUNCTION("""COMPUTED_VALUE"""),7.0)</f>
        <v>7</v>
      </c>
      <c r="F256" s="135">
        <f>IFERROR(__xludf.DUMMYFUNCTION("""COMPUTED_VALUE"""),20.0)</f>
        <v>20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IFERROR(__xludf.DUMMYFUNCTION("""COMPUTED_VALUE"""),"Pavan Akkimsetty")</f>
        <v>Pavan Akkimsetty</v>
      </c>
      <c r="C257" s="135">
        <f>IFERROR(__xludf.DUMMYFUNCTION("""COMPUTED_VALUE"""),6.0)</f>
        <v>6</v>
      </c>
      <c r="D257" s="135">
        <f>IFERROR(__xludf.DUMMYFUNCTION("""COMPUTED_VALUE"""),6.0)</f>
        <v>6</v>
      </c>
      <c r="E257" s="135">
        <f>IFERROR(__xludf.DUMMYFUNCTION("""COMPUTED_VALUE"""),5.0)</f>
        <v>5</v>
      </c>
      <c r="F257" s="135">
        <f>IFERROR(__xludf.DUMMYFUNCTION("""COMPUTED_VALUE"""),17.0)</f>
        <v>17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IFERROR(__xludf.DUMMYFUNCTION("""COMPUTED_VALUE"""),"Matthew Huang")</f>
        <v>Matthew Huang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IFERROR(__xludf.DUMMYFUNCTION("""COMPUTED_VALUE"""),7.0)</f>
        <v>7</v>
      </c>
      <c r="F258" s="132">
        <f>IFERROR(__xludf.DUMMYFUNCTION("""COMPUTED_VALUE"""),19.0)</f>
        <v>19</v>
      </c>
      <c r="G258" s="132">
        <f>IFERROR(__xludf.DUMMYFUNCTION("""COMPUTED_VALUE"""),3.0)</f>
        <v>3</v>
      </c>
    </row>
    <row r="259">
      <c r="A259" s="122">
        <f>IFERROR(__xludf.DUMMYFUNCTION("""COMPUTED_VALUE"""),3.0)</f>
        <v>3</v>
      </c>
      <c r="B259" s="36" t="str">
        <f>IFERROR(__xludf.DUMMYFUNCTION("""COMPUTED_VALUE"""),"Ted Shen")</f>
        <v>Ted Shen</v>
      </c>
      <c r="C259" s="132">
        <f>IFERROR(__xludf.DUMMYFUNCTION("""COMPUTED_VALUE"""),2.0)</f>
        <v>2</v>
      </c>
      <c r="D259" s="132">
        <f>IFERROR(__xludf.DUMMYFUNCTION("""COMPUTED_VALUE"""),6.0)</f>
        <v>6</v>
      </c>
      <c r="E259" s="132">
        <f>IFERROR(__xludf.DUMMYFUNCTION("""COMPUTED_VALUE"""),5.0)</f>
        <v>5</v>
      </c>
      <c r="F259" s="132">
        <f>IFERROR(__xludf.DUMMYFUNCTION("""COMPUTED_VALUE"""),13.0)</f>
        <v>13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IFERROR(__xludf.DUMMYFUNCTION("""COMPUTED_VALUE"""),"Frank Moon")</f>
        <v>Frank Moon</v>
      </c>
      <c r="C260" s="132">
        <f>IFERROR(__xludf.DUMMYFUNCTION("""COMPUTED_VALUE"""),6.0)</f>
        <v>6</v>
      </c>
      <c r="D260" s="132">
        <f>IFERROR(__xludf.DUMMYFUNCTION("""COMPUTED_VALUE"""),2.0)</f>
        <v>2</v>
      </c>
      <c r="E260" s="132">
        <f>IFERROR(__xludf.DUMMYFUNCTION("""COMPUTED_VALUE"""),5.0)</f>
        <v>5</v>
      </c>
      <c r="F260" s="132">
        <f>IFERROR(__xludf.DUMMYFUNCTION("""COMPUTED_VALUE"""),13.0)</f>
        <v>13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IFERROR(__xludf.DUMMYFUNCTION("""COMPUTED_VALUE"""),"Mauricio Palacios")</f>
        <v>Mauricio Palacios</v>
      </c>
      <c r="C261" s="132">
        <f>IFERROR(__xludf.DUMMYFUNCTION("""COMPUTED_VALUE"""),2.0)</f>
        <v>2</v>
      </c>
      <c r="D261" s="132">
        <f>IFERROR(__xludf.DUMMYFUNCTION("""COMPUTED_VALUE"""),2.0)</f>
        <v>2</v>
      </c>
      <c r="E261" s="132">
        <f>IFERROR(__xludf.DUMMYFUNCTION("""COMPUTED_VALUE"""),7.0)</f>
        <v>7</v>
      </c>
      <c r="F261" s="132">
        <f>IFERROR(__xludf.DUMMYFUNCTION("""COMPUTED_VALUE"""),11.0)</f>
        <v>11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IFERROR(__xludf.DUMMYFUNCTION("""COMPUTED_VALUE"""),"Ethan Gu")</f>
        <v>Ethan Gu</v>
      </c>
      <c r="C262" s="135">
        <f>IFERROR(__xludf.DUMMYFUNCTION("""COMPUTED_VALUE"""),4.0)</f>
        <v>4</v>
      </c>
      <c r="D262" s="135">
        <f>IFERROR(__xludf.DUMMYFUNCTION("""COMPUTED_VALUE"""),6.0)</f>
        <v>6</v>
      </c>
      <c r="E262" s="135">
        <f>IFERROR(__xludf.DUMMYFUNCTION("""COMPUTED_VALUE"""),3.0)</f>
        <v>3</v>
      </c>
      <c r="F262" s="135">
        <f>IFERROR(__xludf.DUMMYFUNCTION("""COMPUTED_VALUE"""),13.0)</f>
        <v>13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IFERROR(__xludf.DUMMYFUNCTION("""COMPUTED_VALUE"""),"Lam Bui")</f>
        <v>Lam Bui</v>
      </c>
      <c r="C263" s="135">
        <f>IFERROR(__xludf.DUMMYFUNCTION("""COMPUTED_VALUE"""),6.0)</f>
        <v>6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IFERROR(__xludf.DUMMYFUNCTION("""COMPUTED_VALUE"""),18.0)</f>
        <v>18</v>
      </c>
      <c r="G263" s="135">
        <f>IFERROR(__xludf.DUMMYFUNCTION("""COMPUTED_VALUE"""),3.0)</f>
        <v>3</v>
      </c>
    </row>
    <row r="264">
      <c r="A264" s="133">
        <f>IFERROR(__xludf.DUMMYFUNCTION("""COMPUTED_VALUE"""),4.0)</f>
        <v>4</v>
      </c>
      <c r="B264" s="134" t="str">
        <f>IFERROR(__xludf.DUMMYFUNCTION("""COMPUTED_VALUE"""),"Alex Hou")</f>
        <v>Alex Hou</v>
      </c>
      <c r="C264" s="135">
        <f>IFERROR(__xludf.DUMMYFUNCTION("""COMPUTED_VALUE"""),4.0)</f>
        <v>4</v>
      </c>
      <c r="D264" s="135">
        <f>IFERROR(__xludf.DUMMYFUNCTION("""COMPUTED_VALUE"""),1.0)</f>
        <v>1</v>
      </c>
      <c r="E264" s="135">
        <f>IFERROR(__xludf.DUMMYFUNCTION("""COMPUTED_VALUE"""),6.0)</f>
        <v>6</v>
      </c>
      <c r="F264" s="135">
        <f>IFERROR(__xludf.DUMMYFUNCTION("""COMPUTED_VALUE"""),11.0)</f>
        <v>11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IFERROR(__xludf.DUMMYFUNCTION("""COMPUTED_VALUE"""),"Lloyd Sagar")</f>
        <v>Lloyd Sagar</v>
      </c>
      <c r="C265" s="135">
        <f>IFERROR(__xludf.DUMMYFUNCTION("""COMPUTED_VALUE"""),6.0)</f>
        <v>6</v>
      </c>
      <c r="D265" s="135">
        <f>IFERROR(__xludf.DUMMYFUNCTION("""COMPUTED_VALUE"""),1.0)</f>
        <v>1</v>
      </c>
      <c r="E265" s="135">
        <f>IFERROR(__xludf.DUMMYFUNCTION("""COMPUTED_VALUE"""),3.0)</f>
        <v>3</v>
      </c>
      <c r="F265" s="135">
        <f>IFERROR(__xludf.DUMMYFUNCTION("""COMPUTED_VALUE"""),10.0)</f>
        <v>10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IFERROR(__xludf.DUMMYFUNCTION("""COMPUTED_VALUE"""),"Wayne Liu")</f>
        <v>Wayne Liu</v>
      </c>
      <c r="C266" s="132">
        <f>IFERROR(__xludf.DUMMYFUNCTION("""COMPUTED_VALUE"""),6.0)</f>
        <v>6</v>
      </c>
      <c r="D266" s="132">
        <f>IFERROR(__xludf.DUMMYFUNCTION("""COMPUTED_VALUE"""),1.0)</f>
        <v>1</v>
      </c>
      <c r="E266" s="132">
        <f>IFERROR(__xludf.DUMMYFUNCTION("""COMPUTED_VALUE"""),7.0)</f>
        <v>7</v>
      </c>
      <c r="F266" s="132">
        <f>IFERROR(__xludf.DUMMYFUNCTION("""COMPUTED_VALUE"""),14.0)</f>
        <v>14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IFERROR(__xludf.DUMMYFUNCTION("""COMPUTED_VALUE"""),"Allen Zhang")</f>
        <v>Allen Zhang</v>
      </c>
      <c r="C267" s="132">
        <f>IFERROR(__xludf.DUMMYFUNCTION("""COMPUTED_VALUE"""),7.0)</f>
        <v>7</v>
      </c>
      <c r="D267" s="132">
        <f>IFERROR(__xludf.DUMMYFUNCTION("""COMPUTED_VALUE"""),1.0)</f>
        <v>1</v>
      </c>
      <c r="E267" s="132">
        <f>IFERROR(__xludf.DUMMYFUNCTION("""COMPUTED_VALUE"""),6.0)</f>
        <v>6</v>
      </c>
      <c r="F267" s="132">
        <f>IFERROR(__xludf.DUMMYFUNCTION("""COMPUTED_VALUE"""),14.0)</f>
        <v>14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IFERROR(__xludf.DUMMYFUNCTION("""COMPUTED_VALUE"""),"Cid Macaraeg")</f>
        <v>Cid Macaraeg</v>
      </c>
      <c r="C268" s="132">
        <f>IFERROR(__xludf.DUMMYFUNCTION("""COMPUTED_VALUE"""),6.0)</f>
        <v>6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IFERROR(__xludf.DUMMYFUNCTION("""COMPUTED_VALUE"""),18.0)</f>
        <v>18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IFERROR(__xludf.DUMMYFUNCTION("""COMPUTED_VALUE"""),"Erik Hoeckmann")</f>
        <v>Erik Hoeckmann</v>
      </c>
      <c r="C269" s="132">
        <f>IFERROR(__xludf.DUMMYFUNCTION("""COMPUTED_VALUE"""),7.0)</f>
        <v>7</v>
      </c>
      <c r="D269" s="132">
        <f>IFERROR(__xludf.DUMMYFUNCTION("""COMPUTED_VALUE"""),6.0)</f>
        <v>6</v>
      </c>
      <c r="E269" s="132">
        <f>IFERROR(__xludf.DUMMYFUNCTION("""COMPUTED_VALUE"""),7.0)</f>
        <v>7</v>
      </c>
      <c r="F269" s="132">
        <f>IFERROR(__xludf.DUMMYFUNCTION("""COMPUTED_VALUE"""),20.0)</f>
        <v>20</v>
      </c>
      <c r="G269" s="132">
        <f>IFERROR(__xludf.DUMMYFUNCTION("""COMPUTED_VALUE"""),3.0)</f>
        <v>3</v>
      </c>
    </row>
    <row r="270">
      <c r="A270" s="133">
        <f>IFERROR(__xludf.DUMMYFUNCTION("""COMPUTED_VALUE"""),6.0)</f>
        <v>6</v>
      </c>
      <c r="B270" s="134" t="str">
        <f>IFERROR(__xludf.DUMMYFUNCTION("""COMPUTED_VALUE"""),"Scott Li")</f>
        <v>Scott Li</v>
      </c>
      <c r="C270" s="135">
        <f>IFERROR(__xludf.DUMMYFUNCTION("""COMPUTED_VALUE"""),6.0)</f>
        <v>6</v>
      </c>
      <c r="D270" s="135">
        <f>IFERROR(__xludf.DUMMYFUNCTION("""COMPUTED_VALUE"""),5.0)</f>
        <v>5</v>
      </c>
      <c r="E270" s="135">
        <f>IFERROR(__xludf.DUMMYFUNCTION("""COMPUTED_VALUE"""),6.0)</f>
        <v>6</v>
      </c>
      <c r="F270" s="135">
        <f>IFERROR(__xludf.DUMMYFUNCTION("""COMPUTED_VALUE"""),17.0)</f>
        <v>17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IFERROR(__xludf.DUMMYFUNCTION("""COMPUTED_VALUE"""),"Naveen Raj")</f>
        <v>Naveen Raj</v>
      </c>
      <c r="C271" s="135">
        <f>IFERROR(__xludf.DUMMYFUNCTION("""COMPUTED_VALUE"""),3.0)</f>
        <v>3</v>
      </c>
      <c r="D271" s="135">
        <f>IFERROR(__xludf.DUMMYFUNCTION("""COMPUTED_VALUE"""),7.0)</f>
        <v>7</v>
      </c>
      <c r="E271" s="135">
        <f>IFERROR(__xludf.DUMMYFUNCTION("""COMPUTED_VALUE"""),6.0)</f>
        <v>6</v>
      </c>
      <c r="F271" s="135">
        <f>IFERROR(__xludf.DUMMYFUNCTION("""COMPUTED_VALUE"""),16.0)</f>
        <v>16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IFERROR(__xludf.DUMMYFUNCTION("""COMPUTED_VALUE"""),"Manish Anand")</f>
        <v>Manish Anand</v>
      </c>
      <c r="C272" s="135">
        <f>IFERROR(__xludf.DUMMYFUNCTION("""COMPUTED_VALUE"""),6.0)</f>
        <v>6</v>
      </c>
      <c r="D272" s="135">
        <f>IFERROR(__xludf.DUMMYFUNCTION("""COMPUTED_VALUE"""),7.0)</f>
        <v>7</v>
      </c>
      <c r="E272" s="135">
        <f>IFERROR(__xludf.DUMMYFUNCTION("""COMPUTED_VALUE"""),3.0)</f>
        <v>3</v>
      </c>
      <c r="F272" s="135">
        <f>IFERROR(__xludf.DUMMYFUNCTION("""COMPUTED_VALUE"""),16.0)</f>
        <v>16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IFERROR(__xludf.DUMMYFUNCTION("""COMPUTED_VALUE"""),"Jimmy Awolesi")</f>
        <v>Jimmy Awolesi</v>
      </c>
      <c r="C273" s="135">
        <f>IFERROR(__xludf.DUMMYFUNCTION("""COMPUTED_VALUE"""),3.0)</f>
        <v>3</v>
      </c>
      <c r="D273" s="135">
        <f>IFERROR(__xludf.DUMMYFUNCTION("""COMPUTED_VALUE"""),5.0)</f>
        <v>5</v>
      </c>
      <c r="E273" s="135">
        <f>IFERROR(__xludf.DUMMYFUNCTION("""COMPUTED_VALUE"""),3.0)</f>
        <v>3</v>
      </c>
      <c r="F273" s="135">
        <f>IFERROR(__xludf.DUMMYFUNCTION("""COMPUTED_VALUE"""),11.0)</f>
        <v>11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IFERROR(__xludf.DUMMYFUNCTION("""COMPUTED_VALUE"""),"Sean Chang")</f>
        <v>Sean Chang</v>
      </c>
      <c r="C274" s="132">
        <f>IFERROR(__xludf.DUMMYFUNCTION("""COMPUTED_VALUE"""),7.0)</f>
        <v>7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IFERROR(__xludf.DUMMYFUNCTION("""COMPUTED_VALUE"""),19.0)</f>
        <v>19</v>
      </c>
      <c r="G274" s="132">
        <f>IFERROR(__xludf.DUMMYFUNCTION("""COMPUTED_VALUE"""),3.0)</f>
        <v>3</v>
      </c>
    </row>
    <row r="275">
      <c r="A275" s="122">
        <f>IFERROR(__xludf.DUMMYFUNCTION("""COMPUTED_VALUE"""),7.0)</f>
        <v>7</v>
      </c>
      <c r="B275" s="36" t="str">
        <f>IFERROR(__xludf.DUMMYFUNCTION("""COMPUTED_VALUE"""),"Trish Newlin")</f>
        <v>Trish Newlin</v>
      </c>
      <c r="C275" s="132">
        <f>IFERROR(__xludf.DUMMYFUNCTION("""COMPUTED_VALUE"""),5.0)</f>
        <v>5</v>
      </c>
      <c r="D275" s="132">
        <f>IFERROR(__xludf.DUMMYFUNCTION("""COMPUTED_VALUE"""),6.0)</f>
        <v>6</v>
      </c>
      <c r="E275" s="132">
        <f>IFERROR(__xludf.DUMMYFUNCTION("""COMPUTED_VALUE"""),2.0)</f>
        <v>2</v>
      </c>
      <c r="F275" s="132">
        <f>IFERROR(__xludf.DUMMYFUNCTION("""COMPUTED_VALUE"""),13.0)</f>
        <v>13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IFERROR(__xludf.DUMMYFUNCTION("""COMPUTED_VALUE"""),"Ramesh Bandaru")</f>
        <v>Ramesh Bandaru</v>
      </c>
      <c r="C276" s="132">
        <f>IFERROR(__xludf.DUMMYFUNCTION("""COMPUTED_VALUE"""),5.0)</f>
        <v>5</v>
      </c>
      <c r="D276" s="132">
        <f>IFERROR(__xludf.DUMMYFUNCTION("""COMPUTED_VALUE"""),4.0)</f>
        <v>4</v>
      </c>
      <c r="E276" s="132">
        <f>IFERROR(__xludf.DUMMYFUNCTION("""COMPUTED_VALUE"""),6.0)</f>
        <v>6</v>
      </c>
      <c r="F276" s="132">
        <f>IFERROR(__xludf.DUMMYFUNCTION("""COMPUTED_VALUE"""),15.0)</f>
        <v>15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IFERROR(__xludf.DUMMYFUNCTION("""COMPUTED_VALUE"""),"Eric Tan")</f>
        <v>Eric Tan</v>
      </c>
      <c r="C277" s="132">
        <f>IFERROR(__xludf.DUMMYFUNCTION("""COMPUTED_VALUE"""),7.0)</f>
        <v>7</v>
      </c>
      <c r="D277" s="132">
        <f>IFERROR(__xludf.DUMMYFUNCTION("""COMPUTED_VALUE"""),4.0)</f>
        <v>4</v>
      </c>
      <c r="E277" s="132">
        <f>IFERROR(__xludf.DUMMYFUNCTION("""COMPUTED_VALUE"""),2.0)</f>
        <v>2</v>
      </c>
      <c r="F277" s="132">
        <f>IFERROR(__xludf.DUMMYFUNCTION("""COMPUTED_VALUE"""),13.0)</f>
        <v>13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IFERROR(__xludf.DUMMYFUNCTION("""COMPUTED_VALUE"""),"Lenin Belangonda ")</f>
        <v>Lenin Belangonda </v>
      </c>
      <c r="C278" s="135">
        <f>IFERROR(__xludf.DUMMYFUNCTION("""COMPUTED_VALUE"""),6.0)</f>
        <v>6</v>
      </c>
      <c r="D278" s="135">
        <f>IFERROR(__xludf.DUMMYFUNCTION("""COMPUTED_VALUE"""),4.0)</f>
        <v>4</v>
      </c>
      <c r="E278" s="135">
        <f>IFERROR(__xludf.DUMMYFUNCTION("""COMPUTED_VALUE"""),2.0)</f>
        <v>2</v>
      </c>
      <c r="F278" s="135">
        <f>IFERROR(__xludf.DUMMYFUNCTION("""COMPUTED_VALUE"""),12.0)</f>
        <v>12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IFERROR(__xludf.DUMMYFUNCTION("""COMPUTED_VALUE"""),"Joyce Zhu")</f>
        <v>Joyce Zhu</v>
      </c>
      <c r="C279" s="135">
        <f>IFERROR(__xludf.DUMMYFUNCTION("""COMPUTED_VALUE"""),2.0)</f>
        <v>2</v>
      </c>
      <c r="D279" s="135">
        <f>IFERROR(__xludf.DUMMYFUNCTION("""COMPUTED_VALUE"""),6.0)</f>
        <v>6</v>
      </c>
      <c r="E279" s="135">
        <f>IFERROR(__xludf.DUMMYFUNCTION("""COMPUTED_VALUE"""),2.0)</f>
        <v>2</v>
      </c>
      <c r="F279" s="135">
        <f>IFERROR(__xludf.DUMMYFUNCTION("""COMPUTED_VALUE"""),10.0)</f>
        <v>10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IFERROR(__xludf.DUMMYFUNCTION("""COMPUTED_VALUE"""),"Troy Wong")</f>
        <v>Troy Wong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IFERROR(__xludf.DUMMYFUNCTION("""COMPUTED_VALUE"""),6.0)</f>
        <v>6</v>
      </c>
      <c r="F280" s="135">
        <f>IFERROR(__xludf.DUMMYFUNCTION("""COMPUTED_VALUE"""),18.0)</f>
        <v>18</v>
      </c>
      <c r="G280" s="135">
        <f>IFERROR(__xludf.DUMMYFUNCTION("""COMPUTED_VALUE"""),3.0)</f>
        <v>3</v>
      </c>
    </row>
    <row r="281">
      <c r="A281" s="133">
        <f>IFERROR(__xludf.DUMMYFUNCTION("""COMPUTED_VALUE"""),8.0)</f>
        <v>8</v>
      </c>
      <c r="B281" s="134" t="str">
        <f>IFERROR(__xludf.DUMMYFUNCTION("""COMPUTED_VALUE"""),"Ranjith Doraiswamy")</f>
        <v>Ranjith Doraiswamy</v>
      </c>
      <c r="C281" s="135">
        <f>IFERROR(__xludf.DUMMYFUNCTION("""COMPUTED_VALUE"""),2.0)</f>
        <v>2</v>
      </c>
      <c r="D281" s="135">
        <f>IFERROR(__xludf.DUMMYFUNCTION("""COMPUTED_VALUE"""),4.0)</f>
        <v>4</v>
      </c>
      <c r="E281" s="135">
        <f>IFERROR(__xludf.DUMMYFUNCTION("""COMPUTED_VALUE"""),6.0)</f>
        <v>6</v>
      </c>
      <c r="F281" s="135">
        <f>IFERROR(__xludf.DUMMYFUNCTION("""COMPUTED_VALUE"""),12.0)</f>
        <v>12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IFERROR(__xludf.DUMMYFUNCTION("""COMPUTED_VALUE"""),"Chinna Ponnaganti")</f>
        <v>Chinna Ponnaganti</v>
      </c>
      <c r="C282" s="132">
        <f>IFERROR(__xludf.DUMMYFUNCTION("""COMPUTED_VALUE"""),1.0)</f>
        <v>1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IFERROR(__xludf.DUMMYFUNCTION("""COMPUTED_VALUE"""),13.0)</f>
        <v>13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IFERROR(__xludf.DUMMYFUNCTION("""COMPUTED_VALUE"""),"Coco Yan")</f>
        <v>Coco Yan</v>
      </c>
      <c r="C283" s="132">
        <f>IFERROR(__xludf.DUMMYFUNCTION("""COMPUTED_VALUE"""),1.0)</f>
        <v>1</v>
      </c>
      <c r="D283" s="132">
        <f>IFERROR(__xludf.DUMMYFUNCTION("""COMPUTED_VALUE"""),2.0)</f>
        <v>2</v>
      </c>
      <c r="E283" s="132">
        <f>IFERROR(__xludf.DUMMYFUNCTION("""COMPUTED_VALUE"""),2.0)</f>
        <v>2</v>
      </c>
      <c r="F283" s="132">
        <f>IFERROR(__xludf.DUMMYFUNCTION("""COMPUTED_VALUE"""),5.0)</f>
        <v>5</v>
      </c>
      <c r="G283" s="132">
        <f>IFERROR(__xludf.DUMMYFUNCTION("""COMPUTED_VALUE"""),0.0)</f>
        <v>0</v>
      </c>
    </row>
    <row r="284">
      <c r="A284" s="122">
        <f>IFERROR(__xludf.DUMMYFUNCTION("""COMPUTED_VALUE"""),9.0)</f>
        <v>9</v>
      </c>
      <c r="B284" s="36" t="str">
        <f>IFERROR(__xludf.DUMMYFUNCTION("""COMPUTED_VALUE"""),"Tina Hanson")</f>
        <v>Tina Hanson</v>
      </c>
      <c r="C284" s="132">
        <f>IFERROR(__xludf.DUMMYFUNCTION("""COMPUTED_VALUE"""),6.0)</f>
        <v>6</v>
      </c>
      <c r="D284" s="132">
        <f>IFERROR(__xludf.DUMMYFUNCTION("""COMPUTED_VALUE"""),2.0)</f>
        <v>2</v>
      </c>
      <c r="E284" s="132">
        <f>IFERROR(__xludf.DUMMYFUNCTION("""COMPUTED_VALUE"""),6.0)</f>
        <v>6</v>
      </c>
      <c r="F284" s="132">
        <f>IFERROR(__xludf.DUMMYFUNCTION("""COMPUTED_VALUE"""),14.0)</f>
        <v>14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IFERROR(__xludf.DUMMYFUNCTION("""COMPUTED_VALUE"""),"Vinotkumar Nagappan")</f>
        <v>Vinotkumar Nagappan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IFERROR(__xludf.DUMMYFUNCTION("""COMPUTED_VALUE"""),2.0)</f>
        <v>2</v>
      </c>
      <c r="F285" s="132">
        <f>IFERROR(__xludf.DUMMYFUNCTION("""COMPUTED_VALUE"""),14.0)</f>
        <v>14</v>
      </c>
      <c r="G285" s="132">
        <f>IFERROR(__xludf.DUMMYFUNCTION("""COMPUTED_VALUE"""),2.0)</f>
        <v>2</v>
      </c>
    </row>
    <row r="286">
      <c r="A286" s="133"/>
      <c r="B286" s="134"/>
      <c r="C286" s="135"/>
      <c r="D286" s="135"/>
      <c r="E286" s="135"/>
      <c r="F286" s="135"/>
      <c r="G286" s="135"/>
    </row>
    <row r="287">
      <c r="A287" s="133"/>
      <c r="B287" s="134"/>
      <c r="C287" s="135"/>
      <c r="D287" s="135"/>
      <c r="E287" s="135"/>
      <c r="F287" s="135"/>
      <c r="G287" s="135"/>
    </row>
    <row r="288">
      <c r="A288" s="133"/>
      <c r="B288" s="134"/>
      <c r="C288" s="135"/>
      <c r="D288" s="135"/>
      <c r="E288" s="135"/>
      <c r="F288" s="135"/>
      <c r="G288" s="135"/>
    </row>
    <row r="289">
      <c r="A289" s="133"/>
      <c r="B289" s="134"/>
      <c r="C289" s="135"/>
      <c r="D289" s="135"/>
      <c r="E289" s="135"/>
      <c r="F289" s="135"/>
      <c r="G289" s="135"/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IFERROR(__xludf.DUMMYFUNCTION("""COMPUTED_VALUE"""),"Ruben Ron")</f>
        <v>Ruben Ron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IFERROR(__xludf.DUMMYFUNCTION("""COMPUTED_VALUE"""),"Rudy Tatang")</f>
        <v>Rudy Tatang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IFERROR(__xludf.DUMMYFUNCTION("""COMPUTED_VALUE"""),"Sandeep Kamalon")</f>
        <v>Sandeep Kamalon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IFERROR(__xludf.DUMMYFUNCTION("""COMPUTED_VALUE"""),"Sandy Weyant")</f>
        <v>Sandy Weyant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IFERROR(__xludf.DUMMYFUNCTION("""COMPUTED_VALUE"""),"Sanjaye Elayattu")</f>
        <v>Sanjaye Elayattu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IFERROR(__xludf.DUMMYFUNCTION("""COMPUTED_VALUE"""),"Trish Newlin")</f>
        <v>Trish Newlin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IFERROR(__xludf.DUMMYFUNCTION("""COMPUTED_VALUE"""),"Troy Wong")</f>
        <v>Troy Wong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46088.0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9.0</v>
      </c>
      <c r="E2" s="5"/>
      <c r="F2" s="5"/>
      <c r="R2" s="18"/>
      <c r="AC2" s="22" t="str">
        <f>text(C1-7,"mm/dd/yy")</f>
        <v>02/28/26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135.0</v>
      </c>
      <c r="D5" s="37">
        <v>19.0</v>
      </c>
      <c r="E5" s="40">
        <f t="shared" ref="E5:E79" si="2">if(S5&gt;0,(C5-(V5*9)-(T5*13))/S5,0)</f>
        <v>15</v>
      </c>
      <c r="F5" s="90">
        <v>1.0</v>
      </c>
      <c r="G5" s="91">
        <v>1.0</v>
      </c>
      <c r="H5" s="92">
        <v>0.0</v>
      </c>
      <c r="I5" s="91">
        <v>6.0</v>
      </c>
      <c r="J5" s="91">
        <v>6.0</v>
      </c>
      <c r="K5" s="91">
        <v>6.0</v>
      </c>
      <c r="L5" s="93">
        <v>18.0</v>
      </c>
      <c r="M5" s="91">
        <v>3.0</v>
      </c>
      <c r="N5" s="37">
        <f t="shared" ref="N5:O5" si="1">C5+L5</f>
        <v>153</v>
      </c>
      <c r="O5" s="37">
        <f t="shared" si="1"/>
        <v>22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9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68</v>
      </c>
      <c r="C6" s="37">
        <v>124.0</v>
      </c>
      <c r="D6" s="37">
        <v>14.0</v>
      </c>
      <c r="E6" s="40">
        <f t="shared" si="2"/>
        <v>14.375</v>
      </c>
      <c r="F6" s="90">
        <v>1.0</v>
      </c>
      <c r="G6" s="91">
        <v>1.0</v>
      </c>
      <c r="H6" s="92">
        <v>0.0</v>
      </c>
      <c r="I6" s="91">
        <v>6.0</v>
      </c>
      <c r="J6" s="91">
        <v>1.0</v>
      </c>
      <c r="K6" s="91">
        <v>3.0</v>
      </c>
      <c r="L6" s="93">
        <v>10.0</v>
      </c>
      <c r="M6" s="91">
        <v>1.0</v>
      </c>
      <c r="N6" s="37">
        <f t="shared" ref="N6:O6" si="3">C6+L6</f>
        <v>134</v>
      </c>
      <c r="O6" s="37">
        <f t="shared" si="3"/>
        <v>15</v>
      </c>
      <c r="P6" s="49" t="s">
        <v>57</v>
      </c>
      <c r="Q6" s="49" t="s">
        <v>57</v>
      </c>
      <c r="R6" s="49" t="s">
        <v>57</v>
      </c>
      <c r="S6" s="51">
        <f t="shared" si="4"/>
        <v>8</v>
      </c>
      <c r="T6" s="52">
        <f t="shared" si="5"/>
        <v>0</v>
      </c>
      <c r="U6" s="52"/>
      <c r="V6" s="51">
        <f t="shared" si="6"/>
        <v>1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127</v>
      </c>
      <c r="C7" s="37">
        <v>116.0</v>
      </c>
      <c r="D7" s="37">
        <v>14.0</v>
      </c>
      <c r="E7" s="40">
        <f t="shared" si="2"/>
        <v>14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125</v>
      </c>
      <c r="O7" s="37">
        <f t="shared" si="11"/>
        <v>14</v>
      </c>
      <c r="P7" s="49" t="s">
        <v>57</v>
      </c>
      <c r="Q7" s="49" t="s">
        <v>57</v>
      </c>
      <c r="R7" s="49" t="s">
        <v>57</v>
      </c>
      <c r="S7" s="51">
        <f t="shared" si="4"/>
        <v>7</v>
      </c>
      <c r="T7" s="52">
        <f t="shared" si="5"/>
        <v>0</v>
      </c>
      <c r="U7" s="52"/>
      <c r="V7" s="51">
        <f t="shared" si="6"/>
        <v>2</v>
      </c>
      <c r="W7" s="52">
        <f t="shared" si="7"/>
        <v>2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116.0</v>
      </c>
      <c r="D8" s="37">
        <v>12.0</v>
      </c>
      <c r="E8" s="40">
        <f t="shared" si="2"/>
        <v>12.88888889</v>
      </c>
      <c r="F8" s="90">
        <v>1.0</v>
      </c>
      <c r="G8" s="91">
        <v>1.0</v>
      </c>
      <c r="H8" s="92">
        <v>0.0</v>
      </c>
      <c r="I8" s="91">
        <v>1.0</v>
      </c>
      <c r="J8" s="91">
        <v>6.0</v>
      </c>
      <c r="K8" s="91">
        <v>3.0</v>
      </c>
      <c r="L8" s="93">
        <v>10.0</v>
      </c>
      <c r="M8" s="91">
        <v>1.0</v>
      </c>
      <c r="N8" s="37">
        <f t="shared" ref="N8:O8" si="13">C8+L8</f>
        <v>126</v>
      </c>
      <c r="O8" s="37">
        <f t="shared" si="13"/>
        <v>13</v>
      </c>
      <c r="P8" s="49" t="s">
        <v>57</v>
      </c>
      <c r="Q8" s="49" t="s">
        <v>57</v>
      </c>
      <c r="R8" s="49" t="s">
        <v>57</v>
      </c>
      <c r="S8" s="51">
        <f t="shared" si="4"/>
        <v>9</v>
      </c>
      <c r="T8" s="52">
        <f t="shared" si="5"/>
        <v>0</v>
      </c>
      <c r="U8" s="52"/>
      <c r="V8" s="51">
        <f t="shared" si="6"/>
        <v>0</v>
      </c>
      <c r="W8" s="52">
        <f t="shared" si="7"/>
        <v>-1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94</v>
      </c>
      <c r="C9" s="37">
        <v>115.0</v>
      </c>
      <c r="D9" s="37">
        <v>13.0</v>
      </c>
      <c r="E9" s="40">
        <f t="shared" si="2"/>
        <v>13.85714286</v>
      </c>
      <c r="F9" s="90">
        <v>1.0</v>
      </c>
      <c r="G9" s="91">
        <v>1.0</v>
      </c>
      <c r="H9" s="92">
        <v>0.0</v>
      </c>
      <c r="I9" s="91">
        <v>1.0</v>
      </c>
      <c r="J9" s="91">
        <v>1.0</v>
      </c>
      <c r="K9" s="91">
        <v>6.0</v>
      </c>
      <c r="L9" s="93">
        <v>8.0</v>
      </c>
      <c r="M9" s="91">
        <v>1.0</v>
      </c>
      <c r="N9" s="37">
        <f t="shared" ref="N9:O9" si="14">C9+L9</f>
        <v>123</v>
      </c>
      <c r="O9" s="37">
        <f t="shared" si="14"/>
        <v>14</v>
      </c>
      <c r="P9" s="49" t="s">
        <v>57</v>
      </c>
      <c r="Q9" s="49" t="s">
        <v>57</v>
      </c>
      <c r="R9" s="49" t="s">
        <v>57</v>
      </c>
      <c r="S9" s="51">
        <f t="shared" si="4"/>
        <v>7</v>
      </c>
      <c r="T9" s="52">
        <f t="shared" si="5"/>
        <v>0</v>
      </c>
      <c r="U9" s="52"/>
      <c r="V9" s="51">
        <f t="shared" si="6"/>
        <v>2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128</v>
      </c>
      <c r="C10" s="37">
        <v>109.0</v>
      </c>
      <c r="D10" s="37">
        <v>11.0</v>
      </c>
      <c r="E10" s="40">
        <f t="shared" si="2"/>
        <v>12.5</v>
      </c>
      <c r="F10" s="90">
        <v>1.0</v>
      </c>
      <c r="G10" s="91">
        <v>2.0</v>
      </c>
      <c r="H10" s="92">
        <v>0.0</v>
      </c>
      <c r="I10" s="91">
        <v>1.0</v>
      </c>
      <c r="J10" s="91">
        <v>6.0</v>
      </c>
      <c r="K10" s="91">
        <v>7.0</v>
      </c>
      <c r="L10" s="93">
        <v>14.0</v>
      </c>
      <c r="M10" s="91">
        <v>1.0</v>
      </c>
      <c r="N10" s="37">
        <f t="shared" ref="N10:O10" si="15">C10+L10</f>
        <v>123</v>
      </c>
      <c r="O10" s="37">
        <f t="shared" si="15"/>
        <v>12</v>
      </c>
      <c r="P10" s="49" t="s">
        <v>57</v>
      </c>
      <c r="Q10" s="49" t="s">
        <v>57</v>
      </c>
      <c r="R10" s="49" t="s">
        <v>57</v>
      </c>
      <c r="S10" s="51">
        <f t="shared" si="4"/>
        <v>8</v>
      </c>
      <c r="T10" s="52">
        <f t="shared" si="5"/>
        <v>0</v>
      </c>
      <c r="U10" s="52"/>
      <c r="V10" s="51">
        <f t="shared" si="6"/>
        <v>1</v>
      </c>
      <c r="W10" s="52">
        <f t="shared" si="7"/>
        <v>8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103</v>
      </c>
      <c r="C11" s="37">
        <v>108.0</v>
      </c>
      <c r="D11" s="37">
        <v>12.0</v>
      </c>
      <c r="E11" s="40">
        <f t="shared" si="2"/>
        <v>12.375</v>
      </c>
      <c r="F11" s="90">
        <v>2.0</v>
      </c>
      <c r="G11" s="91">
        <v>2.0</v>
      </c>
      <c r="H11" s="92">
        <v>0.0</v>
      </c>
      <c r="I11" s="91">
        <v>1.0</v>
      </c>
      <c r="J11" s="91">
        <v>7.0</v>
      </c>
      <c r="K11" s="91">
        <v>5.0</v>
      </c>
      <c r="L11" s="93">
        <v>13.0</v>
      </c>
      <c r="M11" s="91">
        <v>1.0</v>
      </c>
      <c r="N11" s="37">
        <f t="shared" ref="N11:O11" si="16">C11+L11</f>
        <v>121</v>
      </c>
      <c r="O11" s="37">
        <f t="shared" si="16"/>
        <v>13</v>
      </c>
      <c r="P11" s="49" t="s">
        <v>57</v>
      </c>
      <c r="Q11" s="49" t="s">
        <v>57</v>
      </c>
      <c r="R11" s="49" t="s">
        <v>57</v>
      </c>
      <c r="S11" s="51">
        <f t="shared" si="4"/>
        <v>8</v>
      </c>
      <c r="T11" s="52">
        <f t="shared" si="5"/>
        <v>0</v>
      </c>
      <c r="U11" s="52"/>
      <c r="V11" s="51">
        <f t="shared" si="6"/>
        <v>1</v>
      </c>
      <c r="W11" s="52">
        <f t="shared" si="7"/>
        <v>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111</v>
      </c>
      <c r="C12" s="37">
        <v>108.0</v>
      </c>
      <c r="D12" s="37">
        <v>10.0</v>
      </c>
      <c r="E12" s="40">
        <f t="shared" si="2"/>
        <v>12.83333333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117</v>
      </c>
      <c r="O12" s="37">
        <f t="shared" si="17"/>
        <v>10</v>
      </c>
      <c r="P12" s="49" t="s">
        <v>57</v>
      </c>
      <c r="Q12" s="49" t="s">
        <v>57</v>
      </c>
      <c r="R12" s="49" t="s">
        <v>57</v>
      </c>
      <c r="S12" s="51">
        <f t="shared" si="4"/>
        <v>6</v>
      </c>
      <c r="T12" s="52">
        <f t="shared" si="5"/>
        <v>1</v>
      </c>
      <c r="U12" s="52"/>
      <c r="V12" s="51">
        <f t="shared" si="6"/>
        <v>2</v>
      </c>
      <c r="W12" s="52">
        <f t="shared" si="7"/>
        <v>2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63</v>
      </c>
      <c r="C13" s="37">
        <v>107.0</v>
      </c>
      <c r="D13" s="37">
        <v>11.0</v>
      </c>
      <c r="E13" s="40">
        <f t="shared" si="2"/>
        <v>12.71428571</v>
      </c>
      <c r="F13" s="90">
        <v>1.0</v>
      </c>
      <c r="G13" s="91">
        <v>2.0</v>
      </c>
      <c r="H13" s="92">
        <v>0.0</v>
      </c>
      <c r="I13" s="91">
        <v>6.0</v>
      </c>
      <c r="J13" s="91">
        <v>7.0</v>
      </c>
      <c r="K13" s="91">
        <v>7.0</v>
      </c>
      <c r="L13" s="93">
        <v>20.0</v>
      </c>
      <c r="M13" s="91">
        <v>3.0</v>
      </c>
      <c r="N13" s="37">
        <f t="shared" ref="N13:O13" si="18">C13+L13</f>
        <v>127</v>
      </c>
      <c r="O13" s="37">
        <f t="shared" si="18"/>
        <v>14</v>
      </c>
      <c r="P13" s="49" t="s">
        <v>57</v>
      </c>
      <c r="Q13" s="49" t="s">
        <v>57</v>
      </c>
      <c r="R13" s="49" t="s">
        <v>57</v>
      </c>
      <c r="S13" s="51">
        <f t="shared" si="4"/>
        <v>7</v>
      </c>
      <c r="T13" s="52">
        <f t="shared" si="5"/>
        <v>0</v>
      </c>
      <c r="U13" s="52"/>
      <c r="V13" s="51">
        <f t="shared" si="6"/>
        <v>2</v>
      </c>
      <c r="W13" s="52">
        <f t="shared" si="7"/>
        <v>-3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80</v>
      </c>
      <c r="C14" s="37">
        <v>107.0</v>
      </c>
      <c r="D14" s="37">
        <v>11.0</v>
      </c>
      <c r="E14" s="40">
        <f t="shared" si="2"/>
        <v>12.14285714</v>
      </c>
      <c r="F14" s="90">
        <v>1.0</v>
      </c>
      <c r="G14" s="91">
        <v>2.0</v>
      </c>
      <c r="H14" s="92">
        <v>0.0</v>
      </c>
      <c r="I14" s="91">
        <v>6.0</v>
      </c>
      <c r="J14" s="91">
        <v>6.0</v>
      </c>
      <c r="K14" s="91">
        <v>5.0</v>
      </c>
      <c r="L14" s="93">
        <v>17.0</v>
      </c>
      <c r="M14" s="91">
        <v>1.0</v>
      </c>
      <c r="N14" s="37">
        <f t="shared" ref="N14:O14" si="19">C14+L14</f>
        <v>124</v>
      </c>
      <c r="O14" s="37">
        <f t="shared" si="19"/>
        <v>12</v>
      </c>
      <c r="P14" s="49" t="s">
        <v>57</v>
      </c>
      <c r="Q14" s="49" t="s">
        <v>57</v>
      </c>
      <c r="R14" s="49" t="s">
        <v>57</v>
      </c>
      <c r="S14" s="51">
        <f t="shared" si="4"/>
        <v>7</v>
      </c>
      <c r="T14" s="52">
        <f t="shared" si="5"/>
        <v>1</v>
      </c>
      <c r="U14" s="52"/>
      <c r="V14" s="51">
        <f t="shared" si="6"/>
        <v>1</v>
      </c>
      <c r="W14" s="52">
        <f t="shared" si="7"/>
        <v>8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89</v>
      </c>
      <c r="C15" s="37">
        <v>106.0</v>
      </c>
      <c r="D15" s="37">
        <v>11.0</v>
      </c>
      <c r="E15" s="40">
        <f t="shared" si="2"/>
        <v>14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115</v>
      </c>
      <c r="O15" s="37">
        <f t="shared" si="20"/>
        <v>11</v>
      </c>
      <c r="P15" s="49" t="s">
        <v>57</v>
      </c>
      <c r="Q15" s="49" t="s">
        <v>57</v>
      </c>
      <c r="R15" s="49" t="s">
        <v>57</v>
      </c>
      <c r="S15" s="51">
        <f t="shared" si="4"/>
        <v>5</v>
      </c>
      <c r="T15" s="52">
        <f t="shared" si="5"/>
        <v>0</v>
      </c>
      <c r="U15" s="52"/>
      <c r="V15" s="51">
        <f t="shared" si="6"/>
        <v>4</v>
      </c>
      <c r="W15" s="52">
        <f t="shared" si="7"/>
        <v>0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91</v>
      </c>
      <c r="C16" s="37">
        <v>106.0</v>
      </c>
      <c r="D16" s="37">
        <v>9.0</v>
      </c>
      <c r="E16" s="40">
        <f t="shared" si="2"/>
        <v>13.16666667</v>
      </c>
      <c r="F16" s="90">
        <v>1.0</v>
      </c>
      <c r="G16" s="91">
        <v>3.0</v>
      </c>
      <c r="H16" s="92">
        <v>0.0</v>
      </c>
      <c r="I16" s="91">
        <v>6.0</v>
      </c>
      <c r="J16" s="91">
        <v>6.0</v>
      </c>
      <c r="K16" s="91">
        <v>7.0</v>
      </c>
      <c r="L16" s="93">
        <v>19.0</v>
      </c>
      <c r="M16" s="91">
        <v>3.0</v>
      </c>
      <c r="N16" s="37">
        <f t="shared" ref="N16:O16" si="21">C16+L16</f>
        <v>125</v>
      </c>
      <c r="O16" s="37">
        <f t="shared" si="21"/>
        <v>12</v>
      </c>
      <c r="P16" s="49" t="s">
        <v>57</v>
      </c>
      <c r="Q16" s="49" t="s">
        <v>57</v>
      </c>
      <c r="R16" s="49" t="s">
        <v>57</v>
      </c>
      <c r="S16" s="51">
        <f t="shared" si="4"/>
        <v>6</v>
      </c>
      <c r="T16" s="52">
        <f t="shared" si="5"/>
        <v>0</v>
      </c>
      <c r="U16" s="52"/>
      <c r="V16" s="51">
        <f t="shared" si="6"/>
        <v>3</v>
      </c>
      <c r="W16" s="52">
        <f t="shared" si="7"/>
        <v>-5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114</v>
      </c>
      <c r="C17" s="37">
        <v>105.0</v>
      </c>
      <c r="D17" s="37">
        <v>11.0</v>
      </c>
      <c r="E17" s="40">
        <f t="shared" si="2"/>
        <v>13.8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114</v>
      </c>
      <c r="O17" s="37">
        <f t="shared" si="22"/>
        <v>11</v>
      </c>
      <c r="P17" s="49" t="s">
        <v>57</v>
      </c>
      <c r="Q17" s="49" t="s">
        <v>57</v>
      </c>
      <c r="R17" s="49" t="s">
        <v>57</v>
      </c>
      <c r="S17" s="51">
        <f t="shared" si="4"/>
        <v>5</v>
      </c>
      <c r="T17" s="52">
        <f t="shared" si="5"/>
        <v>0</v>
      </c>
      <c r="U17" s="52"/>
      <c r="V17" s="51">
        <f t="shared" si="6"/>
        <v>4</v>
      </c>
      <c r="W17" s="52">
        <f t="shared" si="7"/>
        <v>-5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108</v>
      </c>
      <c r="C18" s="37">
        <v>105.0</v>
      </c>
      <c r="D18" s="37">
        <v>11.0</v>
      </c>
      <c r="E18" s="40">
        <f t="shared" si="2"/>
        <v>12</v>
      </c>
      <c r="F18" s="90">
        <v>1.0</v>
      </c>
      <c r="G18" s="91">
        <v>3.0</v>
      </c>
      <c r="H18" s="92">
        <v>0.0</v>
      </c>
      <c r="I18" s="91">
        <v>2.0</v>
      </c>
      <c r="J18" s="91">
        <v>6.0</v>
      </c>
      <c r="K18" s="91">
        <v>5.0</v>
      </c>
      <c r="L18" s="93">
        <v>13.0</v>
      </c>
      <c r="M18" s="91">
        <v>1.0</v>
      </c>
      <c r="N18" s="37">
        <f t="shared" ref="N18:O18" si="23">C18+L18</f>
        <v>118</v>
      </c>
      <c r="O18" s="37">
        <f t="shared" si="23"/>
        <v>12</v>
      </c>
      <c r="P18" s="49" t="s">
        <v>57</v>
      </c>
      <c r="Q18" s="49" t="s">
        <v>57</v>
      </c>
      <c r="R18" s="49" t="s">
        <v>57</v>
      </c>
      <c r="S18" s="51">
        <f t="shared" si="4"/>
        <v>8</v>
      </c>
      <c r="T18" s="52">
        <f t="shared" si="5"/>
        <v>0</v>
      </c>
      <c r="U18" s="52"/>
      <c r="V18" s="51">
        <f t="shared" si="6"/>
        <v>1</v>
      </c>
      <c r="W18" s="52">
        <f t="shared" si="7"/>
        <v>-1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96</v>
      </c>
      <c r="C19" s="37">
        <v>105.0</v>
      </c>
      <c r="D19" s="37">
        <v>10.0</v>
      </c>
      <c r="E19" s="40">
        <f t="shared" si="2"/>
        <v>11.66666667</v>
      </c>
      <c r="F19" s="90">
        <v>1.0</v>
      </c>
      <c r="G19" s="91">
        <v>3.0</v>
      </c>
      <c r="H19" s="92">
        <v>0.0</v>
      </c>
      <c r="I19" s="91">
        <v>6.0</v>
      </c>
      <c r="J19" s="91">
        <v>2.0</v>
      </c>
      <c r="K19" s="91">
        <v>5.0</v>
      </c>
      <c r="L19" s="93">
        <v>13.0</v>
      </c>
      <c r="M19" s="91">
        <v>1.0</v>
      </c>
      <c r="N19" s="37">
        <f t="shared" ref="N19:O19" si="24">C19+L19</f>
        <v>118</v>
      </c>
      <c r="O19" s="37">
        <f t="shared" si="24"/>
        <v>11</v>
      </c>
      <c r="P19" s="49" t="s">
        <v>57</v>
      </c>
      <c r="Q19" s="49" t="s">
        <v>57</v>
      </c>
      <c r="R19" s="49" t="s">
        <v>57</v>
      </c>
      <c r="S19" s="51">
        <f t="shared" si="4"/>
        <v>9</v>
      </c>
      <c r="T19" s="52">
        <f t="shared" si="5"/>
        <v>0</v>
      </c>
      <c r="U19" s="52"/>
      <c r="V19" s="51">
        <f t="shared" si="6"/>
        <v>0</v>
      </c>
      <c r="W19" s="52">
        <f t="shared" si="7"/>
        <v>0</v>
      </c>
      <c r="X19" s="35">
        <f t="shared" si="12"/>
        <v>15</v>
      </c>
      <c r="Y19" s="35" t="str">
        <f t="shared" si="8"/>
        <v>Y</v>
      </c>
      <c r="Z19" s="19" t="str">
        <f t="shared" si="9"/>
        <v/>
      </c>
    </row>
    <row r="20">
      <c r="A20" s="35">
        <f t="shared" si="10"/>
        <v>16</v>
      </c>
      <c r="B20" s="36" t="s">
        <v>99</v>
      </c>
      <c r="C20" s="37">
        <v>104.0</v>
      </c>
      <c r="D20" s="37">
        <v>11.0</v>
      </c>
      <c r="E20" s="40">
        <f t="shared" si="2"/>
        <v>12.28571429</v>
      </c>
      <c r="F20" s="90">
        <v>2.0</v>
      </c>
      <c r="G20" s="91">
        <v>3.0</v>
      </c>
      <c r="H20" s="92">
        <v>0.0</v>
      </c>
      <c r="I20" s="91">
        <v>2.0</v>
      </c>
      <c r="J20" s="91">
        <v>2.0</v>
      </c>
      <c r="K20" s="91">
        <v>7.0</v>
      </c>
      <c r="L20" s="93">
        <v>11.0</v>
      </c>
      <c r="M20" s="91">
        <v>1.0</v>
      </c>
      <c r="N20" s="37">
        <f t="shared" ref="N20:O20" si="25">C20+L20</f>
        <v>115</v>
      </c>
      <c r="O20" s="37">
        <f t="shared" si="25"/>
        <v>12</v>
      </c>
      <c r="P20" s="49" t="s">
        <v>57</v>
      </c>
      <c r="Q20" s="49" t="s">
        <v>57</v>
      </c>
      <c r="R20" s="49" t="s">
        <v>57</v>
      </c>
      <c r="S20" s="51">
        <f t="shared" si="4"/>
        <v>7</v>
      </c>
      <c r="T20" s="52">
        <f t="shared" si="5"/>
        <v>0</v>
      </c>
      <c r="U20" s="52"/>
      <c r="V20" s="51">
        <f t="shared" si="6"/>
        <v>2</v>
      </c>
      <c r="W20" s="52">
        <f t="shared" si="7"/>
        <v>8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92</v>
      </c>
      <c r="C21" s="37">
        <v>104.0</v>
      </c>
      <c r="D21" s="37">
        <v>8.0</v>
      </c>
      <c r="E21" s="40">
        <f t="shared" si="2"/>
        <v>13.6</v>
      </c>
      <c r="F21" s="90">
        <v>1.0</v>
      </c>
      <c r="G21" s="91">
        <v>4.0</v>
      </c>
      <c r="H21" s="92">
        <v>0.0</v>
      </c>
      <c r="I21" s="91">
        <v>4.0</v>
      </c>
      <c r="J21" s="91">
        <v>6.0</v>
      </c>
      <c r="K21" s="91">
        <v>3.0</v>
      </c>
      <c r="L21" s="93">
        <v>13.0</v>
      </c>
      <c r="M21" s="91">
        <v>1.0</v>
      </c>
      <c r="N21" s="37">
        <f t="shared" ref="N21:O21" si="26">C21+L21</f>
        <v>117</v>
      </c>
      <c r="O21" s="37">
        <f t="shared" si="26"/>
        <v>9</v>
      </c>
      <c r="P21" s="49" t="s">
        <v>57</v>
      </c>
      <c r="Q21" s="49" t="s">
        <v>57</v>
      </c>
      <c r="R21" s="49" t="s">
        <v>57</v>
      </c>
      <c r="S21" s="51">
        <f t="shared" si="4"/>
        <v>5</v>
      </c>
      <c r="T21" s="52">
        <f t="shared" si="5"/>
        <v>0</v>
      </c>
      <c r="U21" s="52"/>
      <c r="V21" s="51">
        <f t="shared" si="6"/>
        <v>4</v>
      </c>
      <c r="W21" s="52">
        <f t="shared" si="7"/>
        <v>2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117</v>
      </c>
      <c r="C22" s="37">
        <v>103.0</v>
      </c>
      <c r="D22" s="37">
        <v>8.0</v>
      </c>
      <c r="E22" s="40">
        <f t="shared" si="2"/>
        <v>12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112</v>
      </c>
      <c r="O22" s="37">
        <f t="shared" si="27"/>
        <v>8</v>
      </c>
      <c r="P22" s="49" t="s">
        <v>57</v>
      </c>
      <c r="Q22" s="49" t="s">
        <v>57</v>
      </c>
      <c r="R22" s="49" t="s">
        <v>57</v>
      </c>
      <c r="S22" s="51">
        <f t="shared" si="4"/>
        <v>6</v>
      </c>
      <c r="T22" s="52">
        <f t="shared" si="5"/>
        <v>1</v>
      </c>
      <c r="U22" s="52"/>
      <c r="V22" s="51">
        <f t="shared" si="6"/>
        <v>2</v>
      </c>
      <c r="W22" s="52">
        <f t="shared" si="7"/>
        <v>-1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112</v>
      </c>
      <c r="C23" s="37">
        <v>102.0</v>
      </c>
      <c r="D23" s="37">
        <v>9.0</v>
      </c>
      <c r="E23" s="40">
        <f t="shared" si="2"/>
        <v>12.5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111</v>
      </c>
      <c r="O23" s="37">
        <f t="shared" si="28"/>
        <v>9</v>
      </c>
      <c r="P23" s="49" t="s">
        <v>57</v>
      </c>
      <c r="Q23" s="49" t="s">
        <v>57</v>
      </c>
      <c r="R23" s="49" t="s">
        <v>57</v>
      </c>
      <c r="S23" s="51">
        <f t="shared" si="4"/>
        <v>6</v>
      </c>
      <c r="T23" s="52">
        <f t="shared" si="5"/>
        <v>0</v>
      </c>
      <c r="U23" s="52"/>
      <c r="V23" s="51">
        <f t="shared" si="6"/>
        <v>3</v>
      </c>
      <c r="W23" s="52">
        <f t="shared" si="7"/>
        <v>2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90</v>
      </c>
      <c r="C24" s="37">
        <v>102.0</v>
      </c>
      <c r="D24" s="37">
        <v>8.0</v>
      </c>
      <c r="E24" s="40">
        <f t="shared" si="2"/>
        <v>14.25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111</v>
      </c>
      <c r="O24" s="37">
        <f t="shared" si="29"/>
        <v>8</v>
      </c>
      <c r="P24" s="49" t="s">
        <v>57</v>
      </c>
      <c r="Q24" s="49" t="s">
        <v>57</v>
      </c>
      <c r="R24" s="49" t="s">
        <v>57</v>
      </c>
      <c r="S24" s="51">
        <f t="shared" si="4"/>
        <v>4</v>
      </c>
      <c r="T24" s="52">
        <f t="shared" si="5"/>
        <v>0</v>
      </c>
      <c r="U24" s="52"/>
      <c r="V24" s="51">
        <f t="shared" si="6"/>
        <v>5</v>
      </c>
      <c r="W24" s="52">
        <f t="shared" si="7"/>
        <v>9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97</v>
      </c>
      <c r="C25" s="37">
        <v>100.0</v>
      </c>
      <c r="D25" s="37">
        <v>7.0</v>
      </c>
      <c r="E25" s="40">
        <f t="shared" si="2"/>
        <v>13.75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109</v>
      </c>
      <c r="O25" s="37">
        <f t="shared" si="30"/>
        <v>7</v>
      </c>
      <c r="P25" s="49" t="s">
        <v>57</v>
      </c>
      <c r="Q25" s="49" t="s">
        <v>57</v>
      </c>
      <c r="R25" s="49" t="s">
        <v>57</v>
      </c>
      <c r="S25" s="51">
        <f t="shared" si="4"/>
        <v>4</v>
      </c>
      <c r="T25" s="52">
        <f t="shared" si="5"/>
        <v>0</v>
      </c>
      <c r="U25" s="52"/>
      <c r="V25" s="51">
        <f t="shared" si="6"/>
        <v>5</v>
      </c>
      <c r="W25" s="52">
        <f t="shared" si="7"/>
        <v>5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104</v>
      </c>
      <c r="C26" s="37">
        <v>98.0</v>
      </c>
      <c r="D26" s="37">
        <v>9.0</v>
      </c>
      <c r="E26" s="40">
        <f t="shared" si="2"/>
        <v>11.42857143</v>
      </c>
      <c r="F26" s="90">
        <v>2.0</v>
      </c>
      <c r="G26" s="91">
        <v>4.0</v>
      </c>
      <c r="H26" s="92">
        <v>0.0</v>
      </c>
      <c r="I26" s="91">
        <v>6.0</v>
      </c>
      <c r="J26" s="91">
        <v>6.0</v>
      </c>
      <c r="K26" s="91">
        <v>6.0</v>
      </c>
      <c r="L26" s="93">
        <v>18.0</v>
      </c>
      <c r="M26" s="91">
        <v>3.0</v>
      </c>
      <c r="N26" s="37">
        <f t="shared" ref="N26:O26" si="31">C26+L26</f>
        <v>116</v>
      </c>
      <c r="O26" s="37">
        <f t="shared" si="31"/>
        <v>12</v>
      </c>
      <c r="P26" s="49" t="s">
        <v>57</v>
      </c>
      <c r="Q26" s="49" t="s">
        <v>57</v>
      </c>
      <c r="R26" s="49" t="s">
        <v>57</v>
      </c>
      <c r="S26" s="51">
        <f t="shared" si="4"/>
        <v>7</v>
      </c>
      <c r="T26" s="52">
        <f t="shared" si="5"/>
        <v>0</v>
      </c>
      <c r="U26" s="52"/>
      <c r="V26" s="51">
        <f t="shared" si="6"/>
        <v>2</v>
      </c>
      <c r="W26" s="52">
        <f t="shared" si="7"/>
        <v>-10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51</v>
      </c>
      <c r="C27" s="37">
        <v>98.0</v>
      </c>
      <c r="D27" s="37">
        <v>8.0</v>
      </c>
      <c r="E27" s="40">
        <f t="shared" si="2"/>
        <v>14.66666667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107</v>
      </c>
      <c r="O27" s="37">
        <f t="shared" si="32"/>
        <v>8</v>
      </c>
      <c r="P27" s="49" t="s">
        <v>57</v>
      </c>
      <c r="Q27" s="49" t="s">
        <v>57</v>
      </c>
      <c r="R27" s="49" t="s">
        <v>57</v>
      </c>
      <c r="S27" s="51">
        <f t="shared" si="4"/>
        <v>3</v>
      </c>
      <c r="T27" s="52">
        <f t="shared" si="5"/>
        <v>0</v>
      </c>
      <c r="U27" s="52"/>
      <c r="V27" s="51">
        <f t="shared" si="6"/>
        <v>6</v>
      </c>
      <c r="W27" s="52">
        <f t="shared" si="7"/>
        <v>-7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59</v>
      </c>
      <c r="C28" s="37">
        <v>98.0</v>
      </c>
      <c r="D28" s="37">
        <v>8.0</v>
      </c>
      <c r="E28" s="40">
        <f t="shared" si="2"/>
        <v>10.88888889</v>
      </c>
      <c r="F28" s="90">
        <v>1.0</v>
      </c>
      <c r="G28" s="91">
        <v>4.0</v>
      </c>
      <c r="H28" s="92">
        <v>0.0</v>
      </c>
      <c r="I28" s="91">
        <v>4.0</v>
      </c>
      <c r="J28" s="91">
        <v>1.0</v>
      </c>
      <c r="K28" s="91">
        <v>6.0</v>
      </c>
      <c r="L28" s="93">
        <v>11.0</v>
      </c>
      <c r="M28" s="91">
        <v>1.0</v>
      </c>
      <c r="N28" s="37">
        <f t="shared" ref="N28:O28" si="33">C28+L28</f>
        <v>109</v>
      </c>
      <c r="O28" s="37">
        <f t="shared" si="33"/>
        <v>9</v>
      </c>
      <c r="P28" s="49" t="s">
        <v>57</v>
      </c>
      <c r="Q28" s="49" t="s">
        <v>57</v>
      </c>
      <c r="R28" s="49" t="s">
        <v>57</v>
      </c>
      <c r="S28" s="51">
        <f t="shared" si="4"/>
        <v>9</v>
      </c>
      <c r="T28" s="52">
        <f t="shared" si="5"/>
        <v>0</v>
      </c>
      <c r="U28" s="52"/>
      <c r="V28" s="51">
        <f t="shared" si="6"/>
        <v>0</v>
      </c>
      <c r="W28" s="52">
        <f t="shared" si="7"/>
        <v>-1</v>
      </c>
      <c r="X28" s="35">
        <f t="shared" si="12"/>
        <v>24</v>
      </c>
      <c r="Y28" s="35" t="str">
        <f t="shared" si="8"/>
        <v>Y</v>
      </c>
      <c r="Z28" s="19" t="str">
        <f t="shared" si="9"/>
        <v/>
      </c>
    </row>
    <row r="29">
      <c r="A29" s="35">
        <f t="shared" si="10"/>
        <v>25</v>
      </c>
      <c r="B29" s="36" t="s">
        <v>76</v>
      </c>
      <c r="C29" s="37">
        <v>98.0</v>
      </c>
      <c r="D29" s="37">
        <v>7.0</v>
      </c>
      <c r="E29" s="40">
        <f t="shared" si="2"/>
        <v>11.6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107</v>
      </c>
      <c r="O29" s="37">
        <f t="shared" si="34"/>
        <v>7</v>
      </c>
      <c r="P29" s="49" t="s">
        <v>57</v>
      </c>
      <c r="Q29" s="49" t="s">
        <v>57</v>
      </c>
      <c r="R29" s="49" t="s">
        <v>57</v>
      </c>
      <c r="S29" s="51">
        <f t="shared" si="4"/>
        <v>5</v>
      </c>
      <c r="T29" s="52">
        <f t="shared" si="5"/>
        <v>1</v>
      </c>
      <c r="U29" s="52"/>
      <c r="V29" s="51">
        <f t="shared" si="6"/>
        <v>3</v>
      </c>
      <c r="W29" s="52">
        <f t="shared" si="7"/>
        <v>10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137</v>
      </c>
      <c r="C30" s="37">
        <v>97.0</v>
      </c>
      <c r="D30" s="37">
        <v>10.0</v>
      </c>
      <c r="E30" s="40">
        <f t="shared" si="2"/>
        <v>11.28571429</v>
      </c>
      <c r="F30" s="90">
        <v>1.0</v>
      </c>
      <c r="G30" s="91">
        <v>4.0</v>
      </c>
      <c r="H30" s="92">
        <v>0.0</v>
      </c>
      <c r="I30" s="91">
        <v>6.0</v>
      </c>
      <c r="J30" s="91">
        <v>1.0</v>
      </c>
      <c r="K30" s="91">
        <v>3.0</v>
      </c>
      <c r="L30" s="93">
        <v>10.0</v>
      </c>
      <c r="M30" s="91">
        <v>1.0</v>
      </c>
      <c r="N30" s="37">
        <f t="shared" ref="N30:O30" si="35">C30+L30</f>
        <v>107</v>
      </c>
      <c r="O30" s="37">
        <f t="shared" si="35"/>
        <v>11</v>
      </c>
      <c r="P30" s="49" t="s">
        <v>57</v>
      </c>
      <c r="Q30" s="49" t="s">
        <v>57</v>
      </c>
      <c r="R30" s="49" t="s">
        <v>57</v>
      </c>
      <c r="S30" s="51">
        <f t="shared" si="4"/>
        <v>7</v>
      </c>
      <c r="T30" s="52">
        <f t="shared" si="5"/>
        <v>0</v>
      </c>
      <c r="U30" s="52"/>
      <c r="V30" s="51">
        <f t="shared" si="6"/>
        <v>2</v>
      </c>
      <c r="W30" s="52">
        <f t="shared" si="7"/>
        <v>6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130</v>
      </c>
      <c r="C31" s="37">
        <v>97.0</v>
      </c>
      <c r="D31" s="37">
        <v>9.0</v>
      </c>
      <c r="E31" s="40">
        <f t="shared" si="2"/>
        <v>10.77777778</v>
      </c>
      <c r="F31" s="90">
        <v>1.0</v>
      </c>
      <c r="G31" s="91">
        <v>5.0</v>
      </c>
      <c r="H31" s="92">
        <v>0.0</v>
      </c>
      <c r="I31" s="91">
        <v>6.0</v>
      </c>
      <c r="J31" s="91">
        <v>1.0</v>
      </c>
      <c r="K31" s="91">
        <v>7.0</v>
      </c>
      <c r="L31" s="93">
        <v>14.0</v>
      </c>
      <c r="M31" s="91">
        <v>1.0</v>
      </c>
      <c r="N31" s="37">
        <f t="shared" ref="N31:O31" si="36">C31+L31</f>
        <v>111</v>
      </c>
      <c r="O31" s="37">
        <f t="shared" si="36"/>
        <v>10</v>
      </c>
      <c r="P31" s="49" t="s">
        <v>57</v>
      </c>
      <c r="Q31" s="49" t="s">
        <v>57</v>
      </c>
      <c r="R31" s="49" t="s">
        <v>57</v>
      </c>
      <c r="S31" s="51">
        <f t="shared" si="4"/>
        <v>9</v>
      </c>
      <c r="T31" s="52">
        <f t="shared" si="5"/>
        <v>0</v>
      </c>
      <c r="U31" s="52"/>
      <c r="V31" s="51">
        <f t="shared" si="6"/>
        <v>0</v>
      </c>
      <c r="W31" s="52">
        <f t="shared" si="7"/>
        <v>12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120</v>
      </c>
      <c r="C32" s="37">
        <v>97.0</v>
      </c>
      <c r="D32" s="37">
        <v>7.0</v>
      </c>
      <c r="E32" s="40">
        <f t="shared" si="2"/>
        <v>14.33333333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106</v>
      </c>
      <c r="O32" s="37">
        <f t="shared" si="37"/>
        <v>7</v>
      </c>
      <c r="P32" s="49" t="s">
        <v>57</v>
      </c>
      <c r="Q32" s="49" t="s">
        <v>57</v>
      </c>
      <c r="R32" s="49" t="s">
        <v>57</v>
      </c>
      <c r="S32" s="51">
        <f t="shared" si="4"/>
        <v>3</v>
      </c>
      <c r="T32" s="52">
        <f t="shared" si="5"/>
        <v>0</v>
      </c>
      <c r="U32" s="52"/>
      <c r="V32" s="51">
        <f t="shared" si="6"/>
        <v>6</v>
      </c>
      <c r="W32" s="52">
        <f t="shared" si="7"/>
        <v>-8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142</v>
      </c>
      <c r="C33" s="37">
        <v>96.0</v>
      </c>
      <c r="D33" s="37">
        <v>9.0</v>
      </c>
      <c r="E33" s="40">
        <f t="shared" si="2"/>
        <v>12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105</v>
      </c>
      <c r="O33" s="37">
        <f t="shared" si="38"/>
        <v>9</v>
      </c>
      <c r="P33" s="49" t="s">
        <v>57</v>
      </c>
      <c r="Q33" s="49" t="s">
        <v>57</v>
      </c>
      <c r="R33" s="49" t="s">
        <v>57</v>
      </c>
      <c r="S33" s="51">
        <f t="shared" si="4"/>
        <v>5</v>
      </c>
      <c r="T33" s="52">
        <f t="shared" si="5"/>
        <v>0</v>
      </c>
      <c r="U33" s="52"/>
      <c r="V33" s="51">
        <f t="shared" si="6"/>
        <v>4</v>
      </c>
      <c r="W33" s="52">
        <f t="shared" si="7"/>
        <v>9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64</v>
      </c>
      <c r="C34" s="37">
        <v>96.0</v>
      </c>
      <c r="D34" s="37">
        <v>9.0</v>
      </c>
      <c r="E34" s="40">
        <f t="shared" si="2"/>
        <v>10.66666667</v>
      </c>
      <c r="F34" s="90">
        <v>1.0</v>
      </c>
      <c r="G34" s="91">
        <v>5.0</v>
      </c>
      <c r="H34" s="92">
        <v>0.0</v>
      </c>
      <c r="I34" s="91">
        <v>7.0</v>
      </c>
      <c r="J34" s="91">
        <v>1.0</v>
      </c>
      <c r="K34" s="91">
        <v>6.0</v>
      </c>
      <c r="L34" s="93">
        <v>14.0</v>
      </c>
      <c r="M34" s="91">
        <v>1.0</v>
      </c>
      <c r="N34" s="37">
        <f t="shared" ref="N34:O34" si="39">C34+L34</f>
        <v>110</v>
      </c>
      <c r="O34" s="37">
        <f t="shared" si="39"/>
        <v>10</v>
      </c>
      <c r="P34" s="49" t="s">
        <v>57</v>
      </c>
      <c r="Q34" s="49" t="s">
        <v>57</v>
      </c>
      <c r="R34" s="49" t="s">
        <v>57</v>
      </c>
      <c r="S34" s="51">
        <f t="shared" si="4"/>
        <v>9</v>
      </c>
      <c r="T34" s="52">
        <f t="shared" si="5"/>
        <v>0</v>
      </c>
      <c r="U34" s="52"/>
      <c r="V34" s="51">
        <f t="shared" si="6"/>
        <v>0</v>
      </c>
      <c r="W34" s="52">
        <f t="shared" si="7"/>
        <v>-3</v>
      </c>
      <c r="X34" s="35">
        <f t="shared" si="12"/>
        <v>30</v>
      </c>
      <c r="Y34" s="35" t="str">
        <f t="shared" si="8"/>
        <v>Y</v>
      </c>
      <c r="Z34" s="19" t="str">
        <f t="shared" si="9"/>
        <v/>
      </c>
    </row>
    <row r="35">
      <c r="A35" s="35">
        <f t="shared" si="10"/>
        <v>31</v>
      </c>
      <c r="B35" s="36" t="s">
        <v>109</v>
      </c>
      <c r="C35" s="37">
        <v>95.0</v>
      </c>
      <c r="D35" s="37">
        <v>9.0</v>
      </c>
      <c r="E35" s="40">
        <f t="shared" si="2"/>
        <v>11</v>
      </c>
      <c r="F35" s="90">
        <v>1.0</v>
      </c>
      <c r="G35" s="91">
        <v>5.0</v>
      </c>
      <c r="H35" s="92">
        <v>0.0</v>
      </c>
      <c r="I35" s="91">
        <v>6.0</v>
      </c>
      <c r="J35" s="91">
        <v>6.0</v>
      </c>
      <c r="K35" s="91">
        <v>6.0</v>
      </c>
      <c r="L35" s="93">
        <v>18.0</v>
      </c>
      <c r="M35" s="91">
        <v>1.0</v>
      </c>
      <c r="N35" s="37">
        <f t="shared" ref="N35:O35" si="40">C35+L35</f>
        <v>113</v>
      </c>
      <c r="O35" s="37">
        <f t="shared" si="40"/>
        <v>10</v>
      </c>
      <c r="P35" s="49" t="s">
        <v>57</v>
      </c>
      <c r="Q35" s="49" t="s">
        <v>57</v>
      </c>
      <c r="R35" s="49" t="s">
        <v>57</v>
      </c>
      <c r="S35" s="51">
        <f t="shared" si="4"/>
        <v>7</v>
      </c>
      <c r="T35" s="52">
        <f t="shared" si="5"/>
        <v>0</v>
      </c>
      <c r="U35" s="52"/>
      <c r="V35" s="51">
        <f t="shared" si="6"/>
        <v>2</v>
      </c>
      <c r="W35" s="52">
        <f t="shared" si="7"/>
        <v>-9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93</v>
      </c>
      <c r="C36" s="37">
        <v>95.0</v>
      </c>
      <c r="D36" s="37">
        <v>9.0</v>
      </c>
      <c r="E36" s="40">
        <f t="shared" si="2"/>
        <v>10.42857143</v>
      </c>
      <c r="F36" s="90">
        <v>2.0</v>
      </c>
      <c r="G36" s="91">
        <v>5.0</v>
      </c>
      <c r="H36" s="92">
        <v>0.0</v>
      </c>
      <c r="I36" s="91">
        <v>7.0</v>
      </c>
      <c r="J36" s="91">
        <v>6.0</v>
      </c>
      <c r="K36" s="91">
        <v>7.0</v>
      </c>
      <c r="L36" s="93">
        <v>20.0</v>
      </c>
      <c r="M36" s="91">
        <v>3.0</v>
      </c>
      <c r="N36" s="37">
        <f t="shared" ref="N36:O36" si="41">C36+L36</f>
        <v>115</v>
      </c>
      <c r="O36" s="37">
        <f t="shared" si="41"/>
        <v>12</v>
      </c>
      <c r="P36" s="49" t="s">
        <v>57</v>
      </c>
      <c r="Q36" s="49" t="s">
        <v>57</v>
      </c>
      <c r="R36" s="49" t="s">
        <v>57</v>
      </c>
      <c r="S36" s="51">
        <f t="shared" si="4"/>
        <v>7</v>
      </c>
      <c r="T36" s="52">
        <f t="shared" si="5"/>
        <v>1</v>
      </c>
      <c r="U36" s="52"/>
      <c r="V36" s="51">
        <f t="shared" si="6"/>
        <v>1</v>
      </c>
      <c r="W36" s="52">
        <f t="shared" si="7"/>
        <v>2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132</v>
      </c>
      <c r="C37" s="37">
        <v>94.0</v>
      </c>
      <c r="D37" s="37">
        <v>7.0</v>
      </c>
      <c r="E37" s="40">
        <f t="shared" si="2"/>
        <v>12.25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103</v>
      </c>
      <c r="O37" s="37">
        <f t="shared" si="42"/>
        <v>7</v>
      </c>
      <c r="P37" s="49" t="s">
        <v>57</v>
      </c>
      <c r="Q37" s="49" t="s">
        <v>57</v>
      </c>
      <c r="R37" s="49" t="s">
        <v>57</v>
      </c>
      <c r="S37" s="51">
        <f t="shared" si="4"/>
        <v>4</v>
      </c>
      <c r="T37" s="52">
        <f t="shared" si="5"/>
        <v>0</v>
      </c>
      <c r="U37" s="52"/>
      <c r="V37" s="51">
        <f t="shared" si="6"/>
        <v>5</v>
      </c>
      <c r="W37" s="52">
        <f t="shared" si="7"/>
        <v>-8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101</v>
      </c>
      <c r="C38" s="37">
        <v>94.0</v>
      </c>
      <c r="D38" s="37">
        <v>6.0</v>
      </c>
      <c r="E38" s="40">
        <f t="shared" si="2"/>
        <v>12.25</v>
      </c>
      <c r="F38" s="90">
        <v>1.0</v>
      </c>
      <c r="G38" s="91">
        <v>9.0</v>
      </c>
      <c r="H38" s="92">
        <v>0.0</v>
      </c>
      <c r="I38" s="91">
        <v>1.0</v>
      </c>
      <c r="J38" s="91">
        <v>6.0</v>
      </c>
      <c r="K38" s="91">
        <v>6.0</v>
      </c>
      <c r="L38" s="93">
        <v>13.0</v>
      </c>
      <c r="M38" s="91">
        <v>2.0</v>
      </c>
      <c r="N38" s="37">
        <f t="shared" ref="N38:O38" si="43">C38+L38</f>
        <v>107</v>
      </c>
      <c r="O38" s="37">
        <f t="shared" si="43"/>
        <v>8</v>
      </c>
      <c r="P38" s="49" t="s">
        <v>57</v>
      </c>
      <c r="Q38" s="49" t="s">
        <v>57</v>
      </c>
      <c r="R38" s="49" t="s">
        <v>57</v>
      </c>
      <c r="S38" s="51">
        <f t="shared" si="4"/>
        <v>4</v>
      </c>
      <c r="T38" s="52">
        <f t="shared" si="5"/>
        <v>0</v>
      </c>
      <c r="U38" s="52"/>
      <c r="V38" s="51">
        <f t="shared" si="6"/>
        <v>5</v>
      </c>
      <c r="W38" s="52">
        <f t="shared" si="7"/>
        <v>12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147</v>
      </c>
      <c r="C39" s="37">
        <v>94.0</v>
      </c>
      <c r="D39" s="37">
        <v>5.0</v>
      </c>
      <c r="E39" s="40">
        <f t="shared" si="2"/>
        <v>11.25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103</v>
      </c>
      <c r="O39" s="37">
        <f t="shared" si="44"/>
        <v>5</v>
      </c>
      <c r="P39" s="49" t="s">
        <v>57</v>
      </c>
      <c r="Q39" s="49" t="s">
        <v>57</v>
      </c>
      <c r="R39" s="49" t="s">
        <v>57</v>
      </c>
      <c r="S39" s="51">
        <f t="shared" si="4"/>
        <v>4</v>
      </c>
      <c r="T39" s="52">
        <f t="shared" si="5"/>
        <v>1</v>
      </c>
      <c r="U39" s="52"/>
      <c r="V39" s="51">
        <f t="shared" si="6"/>
        <v>4</v>
      </c>
      <c r="W39" s="52">
        <f t="shared" si="7"/>
        <v>1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110</v>
      </c>
      <c r="C40" s="37">
        <v>93.0</v>
      </c>
      <c r="D40" s="37">
        <v>9.0</v>
      </c>
      <c r="E40" s="40">
        <f t="shared" si="2"/>
        <v>10.33333333</v>
      </c>
      <c r="F40" s="90">
        <v>1.0</v>
      </c>
      <c r="G40" s="91">
        <v>9.0</v>
      </c>
      <c r="H40" s="92">
        <v>0.0</v>
      </c>
      <c r="I40" s="91">
        <v>1.0</v>
      </c>
      <c r="J40" s="91">
        <v>2.0</v>
      </c>
      <c r="K40" s="91">
        <v>2.0</v>
      </c>
      <c r="L40" s="93">
        <v>5.0</v>
      </c>
      <c r="M40" s="91">
        <v>0.0</v>
      </c>
      <c r="N40" s="37">
        <f t="shared" ref="N40:O40" si="45">C40+L40</f>
        <v>98</v>
      </c>
      <c r="O40" s="37">
        <f t="shared" si="45"/>
        <v>9</v>
      </c>
      <c r="P40" s="49" t="s">
        <v>57</v>
      </c>
      <c r="Q40" s="49" t="s">
        <v>57</v>
      </c>
      <c r="R40" s="49" t="s">
        <v>57</v>
      </c>
      <c r="S40" s="51">
        <f t="shared" si="4"/>
        <v>9</v>
      </c>
      <c r="T40" s="52">
        <f t="shared" si="5"/>
        <v>0</v>
      </c>
      <c r="U40" s="52"/>
      <c r="V40" s="51">
        <f t="shared" si="6"/>
        <v>0</v>
      </c>
      <c r="W40" s="52">
        <f t="shared" si="7"/>
        <v>11</v>
      </c>
      <c r="X40" s="35">
        <f t="shared" si="12"/>
        <v>36</v>
      </c>
      <c r="Y40" s="35" t="str">
        <f t="shared" si="8"/>
        <v>Y</v>
      </c>
      <c r="Z40" s="19" t="str">
        <f t="shared" si="9"/>
        <v/>
      </c>
    </row>
    <row r="41">
      <c r="A41" s="35">
        <f t="shared" si="10"/>
        <v>37</v>
      </c>
      <c r="B41" s="36" t="s">
        <v>115</v>
      </c>
      <c r="C41" s="37">
        <v>93.0</v>
      </c>
      <c r="D41" s="37">
        <v>7.0</v>
      </c>
      <c r="E41" s="40">
        <f t="shared" si="2"/>
        <v>11</v>
      </c>
      <c r="F41" s="90">
        <v>1.0</v>
      </c>
      <c r="G41" s="91">
        <v>9.0</v>
      </c>
      <c r="H41" s="92">
        <v>0.0</v>
      </c>
      <c r="I41" s="91">
        <v>6.0</v>
      </c>
      <c r="J41" s="91">
        <v>2.0</v>
      </c>
      <c r="K41" s="91">
        <v>6.0</v>
      </c>
      <c r="L41" s="93">
        <v>14.0</v>
      </c>
      <c r="M41" s="91">
        <v>2.0</v>
      </c>
      <c r="N41" s="37">
        <f t="shared" ref="N41:O41" si="46">C41+L41</f>
        <v>107</v>
      </c>
      <c r="O41" s="37">
        <f t="shared" si="46"/>
        <v>9</v>
      </c>
      <c r="P41" s="49" t="s">
        <v>57</v>
      </c>
      <c r="Q41" s="49" t="s">
        <v>57</v>
      </c>
      <c r="R41" s="49" t="s">
        <v>57</v>
      </c>
      <c r="S41" s="51">
        <f t="shared" si="4"/>
        <v>6</v>
      </c>
      <c r="T41" s="52">
        <f t="shared" si="5"/>
        <v>0</v>
      </c>
      <c r="U41" s="52"/>
      <c r="V41" s="51">
        <f t="shared" si="6"/>
        <v>3</v>
      </c>
      <c r="W41" s="52">
        <f t="shared" si="7"/>
        <v>-9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126</v>
      </c>
      <c r="C42" s="37">
        <v>92.0</v>
      </c>
      <c r="D42" s="37">
        <v>8.0</v>
      </c>
      <c r="E42" s="40">
        <f t="shared" si="2"/>
        <v>10.83333333</v>
      </c>
      <c r="F42" s="90">
        <v>1.0</v>
      </c>
      <c r="G42" s="91">
        <v>9.0</v>
      </c>
      <c r="H42" s="92">
        <v>0.0</v>
      </c>
      <c r="I42" s="91">
        <v>6.0</v>
      </c>
      <c r="J42" s="91">
        <v>6.0</v>
      </c>
      <c r="K42" s="91">
        <v>2.0</v>
      </c>
      <c r="L42" s="93">
        <v>14.0</v>
      </c>
      <c r="M42" s="91">
        <v>2.0</v>
      </c>
      <c r="N42" s="37">
        <f t="shared" ref="N42:O42" si="47">C42+L42</f>
        <v>106</v>
      </c>
      <c r="O42" s="37">
        <f t="shared" si="47"/>
        <v>10</v>
      </c>
      <c r="P42" s="49" t="s">
        <v>57</v>
      </c>
      <c r="Q42" s="49" t="s">
        <v>57</v>
      </c>
      <c r="R42" s="49" t="s">
        <v>57</v>
      </c>
      <c r="S42" s="51">
        <f t="shared" si="4"/>
        <v>6</v>
      </c>
      <c r="T42" s="52">
        <f t="shared" si="5"/>
        <v>0</v>
      </c>
      <c r="U42" s="52"/>
      <c r="V42" s="51">
        <f t="shared" si="6"/>
        <v>3</v>
      </c>
      <c r="W42" s="52">
        <f t="shared" si="7"/>
        <v>6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138</v>
      </c>
      <c r="C43" s="37">
        <v>92.0</v>
      </c>
      <c r="D43" s="37">
        <v>8.0</v>
      </c>
      <c r="E43" s="40">
        <f t="shared" si="2"/>
        <v>10.83333333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101</v>
      </c>
      <c r="O43" s="37">
        <f t="shared" si="48"/>
        <v>8</v>
      </c>
      <c r="P43" s="49" t="s">
        <v>57</v>
      </c>
      <c r="Q43" s="49" t="s">
        <v>57</v>
      </c>
      <c r="R43" s="49" t="s">
        <v>57</v>
      </c>
      <c r="S43" s="51">
        <f t="shared" si="4"/>
        <v>6</v>
      </c>
      <c r="T43" s="52">
        <f t="shared" si="5"/>
        <v>0</v>
      </c>
      <c r="U43" s="52"/>
      <c r="V43" s="51">
        <f t="shared" si="6"/>
        <v>3</v>
      </c>
      <c r="W43" s="52">
        <f t="shared" si="7"/>
        <v>10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131</v>
      </c>
      <c r="C44" s="37">
        <v>92.0</v>
      </c>
      <c r="D44" s="37">
        <v>6.0</v>
      </c>
      <c r="E44" s="40">
        <f t="shared" si="2"/>
        <v>11.33333333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101</v>
      </c>
      <c r="O44" s="37">
        <f t="shared" si="49"/>
        <v>6</v>
      </c>
      <c r="P44" s="49" t="s">
        <v>57</v>
      </c>
      <c r="Q44" s="49" t="s">
        <v>57</v>
      </c>
      <c r="R44" s="49" t="s">
        <v>57</v>
      </c>
      <c r="S44" s="51">
        <f t="shared" si="4"/>
        <v>3</v>
      </c>
      <c r="T44" s="52">
        <f t="shared" si="5"/>
        <v>1</v>
      </c>
      <c r="U44" s="52"/>
      <c r="V44" s="51">
        <f t="shared" si="6"/>
        <v>5</v>
      </c>
      <c r="W44" s="52">
        <f t="shared" si="7"/>
        <v>-10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135</v>
      </c>
      <c r="C45" s="37">
        <v>92.0</v>
      </c>
      <c r="D45" s="37">
        <v>5.0</v>
      </c>
      <c r="E45" s="40">
        <f t="shared" si="2"/>
        <v>11.2</v>
      </c>
      <c r="F45" s="90">
        <v>1.0</v>
      </c>
      <c r="G45" s="91">
        <v>6.0</v>
      </c>
      <c r="H45" s="92">
        <v>0.0</v>
      </c>
      <c r="I45" s="91">
        <v>6.0</v>
      </c>
      <c r="J45" s="91">
        <v>5.0</v>
      </c>
      <c r="K45" s="91">
        <v>6.0</v>
      </c>
      <c r="L45" s="93">
        <v>17.0</v>
      </c>
      <c r="M45" s="91">
        <v>2.0</v>
      </c>
      <c r="N45" s="37">
        <f t="shared" ref="N45:O45" si="50">C45+L45</f>
        <v>109</v>
      </c>
      <c r="O45" s="37">
        <f t="shared" si="50"/>
        <v>7</v>
      </c>
      <c r="P45" s="49" t="s">
        <v>57</v>
      </c>
      <c r="Q45" s="49" t="s">
        <v>57</v>
      </c>
      <c r="R45" s="49" t="s">
        <v>57</v>
      </c>
      <c r="S45" s="51">
        <f t="shared" si="4"/>
        <v>5</v>
      </c>
      <c r="T45" s="52">
        <f t="shared" si="5"/>
        <v>0</v>
      </c>
      <c r="U45" s="52"/>
      <c r="V45" s="51">
        <f t="shared" si="6"/>
        <v>4</v>
      </c>
      <c r="W45" s="52">
        <f t="shared" si="7"/>
        <v>1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139</v>
      </c>
      <c r="C46" s="37">
        <v>91.0</v>
      </c>
      <c r="D46" s="37">
        <v>8.0</v>
      </c>
      <c r="E46" s="40">
        <f t="shared" si="2"/>
        <v>10.25</v>
      </c>
      <c r="F46" s="90">
        <v>1.0</v>
      </c>
      <c r="G46" s="91">
        <v>6.0</v>
      </c>
      <c r="H46" s="92">
        <v>0.0</v>
      </c>
      <c r="I46" s="91">
        <v>3.0</v>
      </c>
      <c r="J46" s="91">
        <v>7.0</v>
      </c>
      <c r="K46" s="91">
        <v>6.0</v>
      </c>
      <c r="L46" s="93">
        <v>16.0</v>
      </c>
      <c r="M46" s="91">
        <v>2.0</v>
      </c>
      <c r="N46" s="37">
        <f t="shared" ref="N46:O46" si="51">C46+L46</f>
        <v>107</v>
      </c>
      <c r="O46" s="37">
        <f t="shared" si="51"/>
        <v>10</v>
      </c>
      <c r="P46" s="49" t="s">
        <v>57</v>
      </c>
      <c r="Q46" s="49" t="s">
        <v>57</v>
      </c>
      <c r="R46" s="49" t="s">
        <v>57</v>
      </c>
      <c r="S46" s="51">
        <f t="shared" si="4"/>
        <v>8</v>
      </c>
      <c r="T46" s="52">
        <f t="shared" si="5"/>
        <v>0</v>
      </c>
      <c r="U46" s="52"/>
      <c r="V46" s="51">
        <f t="shared" si="6"/>
        <v>1</v>
      </c>
      <c r="W46" s="52">
        <f t="shared" si="7"/>
        <v>-11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95</v>
      </c>
      <c r="C47" s="37">
        <v>90.0</v>
      </c>
      <c r="D47" s="37">
        <v>8.0</v>
      </c>
      <c r="E47" s="40">
        <f t="shared" si="2"/>
        <v>10.8</v>
      </c>
      <c r="F47" s="90">
        <v>1.0</v>
      </c>
      <c r="G47" s="91">
        <v>6.0</v>
      </c>
      <c r="H47" s="92">
        <v>0.0</v>
      </c>
      <c r="I47" s="91">
        <v>6.0</v>
      </c>
      <c r="J47" s="91">
        <v>7.0</v>
      </c>
      <c r="K47" s="91">
        <v>3.0</v>
      </c>
      <c r="L47" s="93">
        <v>16.0</v>
      </c>
      <c r="M47" s="91">
        <v>2.0</v>
      </c>
      <c r="N47" s="37">
        <f t="shared" ref="N47:O47" si="52">C47+L47</f>
        <v>106</v>
      </c>
      <c r="O47" s="37">
        <f t="shared" si="52"/>
        <v>10</v>
      </c>
      <c r="P47" s="49" t="s">
        <v>57</v>
      </c>
      <c r="Q47" s="49" t="s">
        <v>57</v>
      </c>
      <c r="R47" s="49" t="s">
        <v>57</v>
      </c>
      <c r="S47" s="51">
        <f t="shared" si="4"/>
        <v>5</v>
      </c>
      <c r="T47" s="52">
        <f t="shared" si="5"/>
        <v>0</v>
      </c>
      <c r="U47" s="52"/>
      <c r="V47" s="51">
        <f t="shared" si="6"/>
        <v>4</v>
      </c>
      <c r="W47" s="52">
        <f t="shared" si="7"/>
        <v>-10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140</v>
      </c>
      <c r="C48" s="37">
        <v>90.0</v>
      </c>
      <c r="D48" s="37">
        <v>4.0</v>
      </c>
      <c r="E48" s="40">
        <f t="shared" si="2"/>
        <v>10.8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99</v>
      </c>
      <c r="O48" s="37">
        <f t="shared" si="53"/>
        <v>4</v>
      </c>
      <c r="P48" s="49" t="s">
        <v>57</v>
      </c>
      <c r="Q48" s="49" t="s">
        <v>57</v>
      </c>
      <c r="R48" s="49" t="s">
        <v>57</v>
      </c>
      <c r="S48" s="51">
        <f t="shared" si="4"/>
        <v>5</v>
      </c>
      <c r="T48" s="52">
        <f t="shared" si="5"/>
        <v>0</v>
      </c>
      <c r="U48" s="52"/>
      <c r="V48" s="51">
        <f t="shared" si="6"/>
        <v>4</v>
      </c>
      <c r="W48" s="52">
        <f t="shared" si="7"/>
        <v>-7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129</v>
      </c>
      <c r="C49" s="37">
        <v>89.0</v>
      </c>
      <c r="D49" s="37">
        <v>8.0</v>
      </c>
      <c r="E49" s="40">
        <f t="shared" si="2"/>
        <v>10.33333333</v>
      </c>
      <c r="F49" s="90">
        <v>1.0</v>
      </c>
      <c r="G49" s="91">
        <v>6.0</v>
      </c>
      <c r="H49" s="92">
        <v>0.0</v>
      </c>
      <c r="I49" s="91">
        <v>3.0</v>
      </c>
      <c r="J49" s="91">
        <v>5.0</v>
      </c>
      <c r="K49" s="91">
        <v>3.0</v>
      </c>
      <c r="L49" s="93">
        <v>11.0</v>
      </c>
      <c r="M49" s="91">
        <v>0.0</v>
      </c>
      <c r="N49" s="37">
        <f t="shared" ref="N49:O49" si="54">C49+L49</f>
        <v>100</v>
      </c>
      <c r="O49" s="37">
        <f t="shared" si="54"/>
        <v>8</v>
      </c>
      <c r="P49" s="49" t="s">
        <v>57</v>
      </c>
      <c r="Q49" s="49" t="s">
        <v>57</v>
      </c>
      <c r="R49" s="49" t="s">
        <v>57</v>
      </c>
      <c r="S49" s="51">
        <f t="shared" si="4"/>
        <v>6</v>
      </c>
      <c r="T49" s="52">
        <f t="shared" si="5"/>
        <v>0</v>
      </c>
      <c r="U49" s="52"/>
      <c r="V49" s="51">
        <f t="shared" si="6"/>
        <v>3</v>
      </c>
      <c r="W49" s="52">
        <f t="shared" si="7"/>
        <v>6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100</v>
      </c>
      <c r="C50" s="37">
        <v>89.0</v>
      </c>
      <c r="D50" s="37">
        <v>6.0</v>
      </c>
      <c r="E50" s="40">
        <f t="shared" si="2"/>
        <v>11.66666667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98</v>
      </c>
      <c r="O50" s="37">
        <f t="shared" si="55"/>
        <v>6</v>
      </c>
      <c r="P50" s="49" t="s">
        <v>57</v>
      </c>
      <c r="Q50" s="49" t="s">
        <v>57</v>
      </c>
      <c r="R50" s="49" t="s">
        <v>57</v>
      </c>
      <c r="S50" s="51">
        <f t="shared" si="4"/>
        <v>3</v>
      </c>
      <c r="T50" s="52">
        <f t="shared" si="5"/>
        <v>0</v>
      </c>
      <c r="U50" s="52"/>
      <c r="V50" s="51">
        <f t="shared" si="6"/>
        <v>6</v>
      </c>
      <c r="W50" s="52">
        <f t="shared" si="7"/>
        <v>-6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107</v>
      </c>
      <c r="C51" s="37">
        <v>89.0</v>
      </c>
      <c r="D51" s="37">
        <v>6.0</v>
      </c>
      <c r="E51" s="40">
        <f t="shared" si="2"/>
        <v>11</v>
      </c>
      <c r="F51" s="90">
        <v>1.0</v>
      </c>
      <c r="G51" s="91">
        <v>7.0</v>
      </c>
      <c r="H51" s="92">
        <v>0.0</v>
      </c>
      <c r="I51" s="91">
        <v>7.0</v>
      </c>
      <c r="J51" s="91">
        <v>6.0</v>
      </c>
      <c r="K51" s="91">
        <v>6.0</v>
      </c>
      <c r="L51" s="93">
        <v>19.0</v>
      </c>
      <c r="M51" s="91">
        <v>3.0</v>
      </c>
      <c r="N51" s="37">
        <f t="shared" ref="N51:O51" si="56">C51+L51</f>
        <v>108</v>
      </c>
      <c r="O51" s="37">
        <f t="shared" si="56"/>
        <v>9</v>
      </c>
      <c r="P51" s="49" t="s">
        <v>57</v>
      </c>
      <c r="Q51" s="49" t="s">
        <v>57</v>
      </c>
      <c r="R51" s="49" t="s">
        <v>57</v>
      </c>
      <c r="S51" s="51">
        <f t="shared" si="4"/>
        <v>4</v>
      </c>
      <c r="T51" s="52">
        <f t="shared" si="5"/>
        <v>0</v>
      </c>
      <c r="U51" s="52"/>
      <c r="V51" s="51">
        <f t="shared" si="6"/>
        <v>5</v>
      </c>
      <c r="W51" s="52">
        <f t="shared" si="7"/>
        <v>-6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151</v>
      </c>
      <c r="C52" s="37">
        <v>88.0</v>
      </c>
      <c r="D52" s="37">
        <v>7.0</v>
      </c>
      <c r="E52" s="40">
        <f t="shared" si="2"/>
        <v>9.375</v>
      </c>
      <c r="F52" s="90">
        <v>1.0</v>
      </c>
      <c r="G52" s="91">
        <v>7.0</v>
      </c>
      <c r="H52" s="92">
        <v>0.0</v>
      </c>
      <c r="I52" s="91">
        <v>5.0</v>
      </c>
      <c r="J52" s="91">
        <v>6.0</v>
      </c>
      <c r="K52" s="91">
        <v>2.0</v>
      </c>
      <c r="L52" s="93">
        <v>13.0</v>
      </c>
      <c r="M52" s="91">
        <v>1.0</v>
      </c>
      <c r="N52" s="37">
        <f t="shared" ref="N52:O52" si="57">C52+L52</f>
        <v>101</v>
      </c>
      <c r="O52" s="37">
        <f t="shared" si="57"/>
        <v>8</v>
      </c>
      <c r="P52" s="49" t="s">
        <v>57</v>
      </c>
      <c r="Q52" s="49" t="s">
        <v>57</v>
      </c>
      <c r="R52" s="49" t="s">
        <v>57</v>
      </c>
      <c r="S52" s="51">
        <f t="shared" si="4"/>
        <v>8</v>
      </c>
      <c r="T52" s="52">
        <f t="shared" si="5"/>
        <v>1</v>
      </c>
      <c r="U52" s="52"/>
      <c r="V52" s="51">
        <f t="shared" si="6"/>
        <v>0</v>
      </c>
      <c r="W52" s="52">
        <f t="shared" si="7"/>
        <v>4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143</v>
      </c>
      <c r="C53" s="37">
        <v>88.0</v>
      </c>
      <c r="D53" s="37">
        <v>6.0</v>
      </c>
      <c r="E53" s="40">
        <f t="shared" si="2"/>
        <v>10.75</v>
      </c>
      <c r="F53" s="90">
        <v>1.0</v>
      </c>
      <c r="G53" s="91">
        <v>7.0</v>
      </c>
      <c r="H53" s="92">
        <v>0.0</v>
      </c>
      <c r="I53" s="91">
        <v>5.0</v>
      </c>
      <c r="J53" s="91">
        <v>4.0</v>
      </c>
      <c r="K53" s="91">
        <v>6.0</v>
      </c>
      <c r="L53" s="93">
        <v>15.0</v>
      </c>
      <c r="M53" s="91">
        <v>1.0</v>
      </c>
      <c r="N53" s="37">
        <f t="shared" ref="N53:O53" si="58">C53+L53</f>
        <v>103</v>
      </c>
      <c r="O53" s="37">
        <f t="shared" si="58"/>
        <v>7</v>
      </c>
      <c r="P53" s="49" t="s">
        <v>57</v>
      </c>
      <c r="Q53" s="49" t="s">
        <v>57</v>
      </c>
      <c r="R53" s="49" t="s">
        <v>57</v>
      </c>
      <c r="S53" s="51">
        <f t="shared" si="4"/>
        <v>4</v>
      </c>
      <c r="T53" s="52">
        <f t="shared" si="5"/>
        <v>0</v>
      </c>
      <c r="U53" s="52"/>
      <c r="V53" s="51">
        <f t="shared" si="6"/>
        <v>5</v>
      </c>
      <c r="W53" s="52">
        <f t="shared" si="7"/>
        <v>-6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113</v>
      </c>
      <c r="C54" s="37">
        <v>87.0</v>
      </c>
      <c r="D54" s="37">
        <v>6.0</v>
      </c>
      <c r="E54" s="40">
        <f t="shared" si="2"/>
        <v>10.5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96</v>
      </c>
      <c r="O54" s="37">
        <f t="shared" si="59"/>
        <v>6</v>
      </c>
      <c r="P54" s="49" t="s">
        <v>57</v>
      </c>
      <c r="Q54" s="49" t="s">
        <v>57</v>
      </c>
      <c r="R54" s="49" t="s">
        <v>57</v>
      </c>
      <c r="S54" s="51">
        <f t="shared" si="4"/>
        <v>4</v>
      </c>
      <c r="T54" s="52">
        <f t="shared" si="5"/>
        <v>0</v>
      </c>
      <c r="U54" s="52"/>
      <c r="V54" s="51">
        <f t="shared" si="6"/>
        <v>5</v>
      </c>
      <c r="W54" s="52">
        <f t="shared" si="7"/>
        <v>-2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134</v>
      </c>
      <c r="C55" s="37">
        <v>86.0</v>
      </c>
      <c r="D55" s="37">
        <v>7.0</v>
      </c>
      <c r="E55" s="40">
        <f t="shared" si="2"/>
        <v>9.833333333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95</v>
      </c>
      <c r="O55" s="37">
        <f t="shared" si="60"/>
        <v>7</v>
      </c>
      <c r="P55" s="49" t="s">
        <v>57</v>
      </c>
      <c r="Q55" s="49" t="s">
        <v>57</v>
      </c>
      <c r="R55" s="49" t="s">
        <v>57</v>
      </c>
      <c r="S55" s="51">
        <f t="shared" si="4"/>
        <v>6</v>
      </c>
      <c r="T55" s="52">
        <f t="shared" si="5"/>
        <v>0</v>
      </c>
      <c r="U55" s="52"/>
      <c r="V55" s="51">
        <f t="shared" si="6"/>
        <v>3</v>
      </c>
      <c r="W55" s="52">
        <f t="shared" si="7"/>
        <v>10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116</v>
      </c>
      <c r="C56" s="37">
        <v>86.0</v>
      </c>
      <c r="D56" s="37">
        <v>6.0</v>
      </c>
      <c r="E56" s="40">
        <f t="shared" si="2"/>
        <v>9.555555556</v>
      </c>
      <c r="F56" s="90">
        <v>1.0</v>
      </c>
      <c r="G56" s="91">
        <v>7.0</v>
      </c>
      <c r="H56" s="92">
        <v>0.0</v>
      </c>
      <c r="I56" s="91">
        <v>7.0</v>
      </c>
      <c r="J56" s="91">
        <v>4.0</v>
      </c>
      <c r="K56" s="91">
        <v>2.0</v>
      </c>
      <c r="L56" s="93">
        <v>13.0</v>
      </c>
      <c r="M56" s="91">
        <v>1.0</v>
      </c>
      <c r="N56" s="37">
        <f t="shared" ref="N56:O56" si="61">C56+L56</f>
        <v>99</v>
      </c>
      <c r="O56" s="37">
        <f t="shared" si="61"/>
        <v>7</v>
      </c>
      <c r="P56" s="49" t="s">
        <v>57</v>
      </c>
      <c r="Q56" s="49" t="s">
        <v>57</v>
      </c>
      <c r="R56" s="49" t="s">
        <v>57</v>
      </c>
      <c r="S56" s="51">
        <f t="shared" si="4"/>
        <v>9</v>
      </c>
      <c r="T56" s="52">
        <f t="shared" si="5"/>
        <v>0</v>
      </c>
      <c r="U56" s="52"/>
      <c r="V56" s="51">
        <f t="shared" si="6"/>
        <v>0</v>
      </c>
      <c r="W56" s="52">
        <f t="shared" si="7"/>
        <v>5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118</v>
      </c>
      <c r="C57" s="37">
        <v>86.0</v>
      </c>
      <c r="D57" s="37">
        <v>5.0</v>
      </c>
      <c r="E57" s="40">
        <f t="shared" si="2"/>
        <v>9.714285714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95</v>
      </c>
      <c r="O57" s="37">
        <f t="shared" si="62"/>
        <v>5</v>
      </c>
      <c r="P57" s="49" t="s">
        <v>57</v>
      </c>
      <c r="Q57" s="49" t="s">
        <v>57</v>
      </c>
      <c r="R57" s="49" t="s">
        <v>57</v>
      </c>
      <c r="S57" s="51">
        <f t="shared" si="4"/>
        <v>7</v>
      </c>
      <c r="T57" s="52">
        <f t="shared" si="5"/>
        <v>0</v>
      </c>
      <c r="U57" s="52"/>
      <c r="V57" s="51">
        <f t="shared" si="6"/>
        <v>2</v>
      </c>
      <c r="W57" s="52">
        <f t="shared" si="7"/>
        <v>-8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152</v>
      </c>
      <c r="C58" s="37">
        <v>85.0</v>
      </c>
      <c r="D58" s="37">
        <v>7.0</v>
      </c>
      <c r="E58" s="40">
        <f t="shared" si="2"/>
        <v>9.8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94</v>
      </c>
      <c r="O58" s="37">
        <f t="shared" si="63"/>
        <v>7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4</v>
      </c>
      <c r="W58" s="52">
        <f t="shared" si="7"/>
        <v>-4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70</v>
      </c>
      <c r="C59" s="37">
        <v>82.0</v>
      </c>
      <c r="D59" s="37">
        <v>5.0</v>
      </c>
      <c r="E59" s="40">
        <f t="shared" si="2"/>
        <v>8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91</v>
      </c>
      <c r="O59" s="37">
        <f t="shared" si="64"/>
        <v>5</v>
      </c>
      <c r="P59" s="49" t="s">
        <v>57</v>
      </c>
      <c r="Q59" s="49" t="s">
        <v>57</v>
      </c>
      <c r="R59" s="49" t="s">
        <v>57</v>
      </c>
      <c r="S59" s="51">
        <f t="shared" si="4"/>
        <v>3</v>
      </c>
      <c r="T59" s="52">
        <f t="shared" si="5"/>
        <v>1</v>
      </c>
      <c r="U59" s="52"/>
      <c r="V59" s="51">
        <f t="shared" si="6"/>
        <v>5</v>
      </c>
      <c r="W59" s="52">
        <f t="shared" si="7"/>
        <v>-2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125</v>
      </c>
      <c r="C60" s="37">
        <v>82.0</v>
      </c>
      <c r="D60" s="37">
        <v>3.0</v>
      </c>
      <c r="E60" s="40">
        <f t="shared" si="2"/>
        <v>10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91</v>
      </c>
      <c r="O60" s="37">
        <f t="shared" si="65"/>
        <v>3</v>
      </c>
      <c r="P60" s="49" t="s">
        <v>57</v>
      </c>
      <c r="Q60" s="49" t="s">
        <v>57</v>
      </c>
      <c r="R60" s="49" t="s">
        <v>57</v>
      </c>
      <c r="S60" s="51">
        <f t="shared" si="4"/>
        <v>1</v>
      </c>
      <c r="T60" s="52">
        <f t="shared" si="5"/>
        <v>0</v>
      </c>
      <c r="U60" s="52"/>
      <c r="V60" s="51">
        <f t="shared" si="6"/>
        <v>8</v>
      </c>
      <c r="W60" s="52">
        <f t="shared" si="7"/>
        <v>-2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78</v>
      </c>
      <c r="C61" s="37">
        <v>82.0</v>
      </c>
      <c r="D61" s="37">
        <v>2.0</v>
      </c>
      <c r="E61" s="40">
        <f t="shared" si="2"/>
        <v>6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91</v>
      </c>
      <c r="O61" s="37">
        <f t="shared" si="66"/>
        <v>2</v>
      </c>
      <c r="P61" s="49" t="s">
        <v>57</v>
      </c>
      <c r="Q61" s="49" t="s">
        <v>57</v>
      </c>
      <c r="R61" s="49" t="s">
        <v>57</v>
      </c>
      <c r="S61" s="51">
        <f t="shared" si="4"/>
        <v>1</v>
      </c>
      <c r="T61" s="52">
        <f t="shared" si="5"/>
        <v>1</v>
      </c>
      <c r="U61" s="52"/>
      <c r="V61" s="51">
        <f t="shared" si="6"/>
        <v>7</v>
      </c>
      <c r="W61" s="52">
        <f t="shared" si="7"/>
        <v>-2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136</v>
      </c>
      <c r="C62" s="37">
        <v>81.0</v>
      </c>
      <c r="D62" s="37">
        <v>4.0</v>
      </c>
      <c r="E62" s="40">
        <f t="shared" si="2"/>
        <v>9</v>
      </c>
      <c r="F62" s="90">
        <v>1.0</v>
      </c>
      <c r="G62" s="91">
        <v>8.0</v>
      </c>
      <c r="H62" s="92">
        <v>0.0</v>
      </c>
      <c r="I62" s="91">
        <v>6.0</v>
      </c>
      <c r="J62" s="91">
        <v>4.0</v>
      </c>
      <c r="K62" s="91">
        <v>2.0</v>
      </c>
      <c r="L62" s="93">
        <v>12.0</v>
      </c>
      <c r="M62" s="91">
        <v>1.0</v>
      </c>
      <c r="N62" s="37">
        <f t="shared" ref="N62:O62" si="67">C62+L62</f>
        <v>93</v>
      </c>
      <c r="O62" s="37">
        <f t="shared" si="67"/>
        <v>5</v>
      </c>
      <c r="P62" s="49" t="s">
        <v>57</v>
      </c>
      <c r="Q62" s="49" t="s">
        <v>57</v>
      </c>
      <c r="R62" s="49" t="s">
        <v>57</v>
      </c>
      <c r="S62" s="51">
        <f t="shared" si="4"/>
        <v>5</v>
      </c>
      <c r="T62" s="52">
        <f t="shared" si="5"/>
        <v>0</v>
      </c>
      <c r="U62" s="52"/>
      <c r="V62" s="51">
        <f t="shared" si="6"/>
        <v>4</v>
      </c>
      <c r="W62" s="52">
        <f t="shared" si="7"/>
        <v>8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148</v>
      </c>
      <c r="C63" s="37">
        <v>81.0</v>
      </c>
      <c r="D63" s="37">
        <v>3.0</v>
      </c>
      <c r="E63" s="40">
        <f t="shared" si="2"/>
        <v>9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90</v>
      </c>
      <c r="O63" s="37">
        <f t="shared" si="68"/>
        <v>3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8</v>
      </c>
      <c r="W63" s="52">
        <f t="shared" si="7"/>
        <v>-1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149</v>
      </c>
      <c r="C64" s="37">
        <v>80.0</v>
      </c>
      <c r="D64" s="37">
        <v>7.0</v>
      </c>
      <c r="E64" s="40">
        <f t="shared" si="2"/>
        <v>8.833333333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89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si="4"/>
        <v>6</v>
      </c>
      <c r="T64" s="52">
        <f t="shared" si="5"/>
        <v>0</v>
      </c>
      <c r="U64" s="52"/>
      <c r="V64" s="51">
        <f t="shared" si="6"/>
        <v>3</v>
      </c>
      <c r="W64" s="52">
        <f t="shared" si="7"/>
        <v>-4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146</v>
      </c>
      <c r="C65" s="37">
        <v>80.0</v>
      </c>
      <c r="D65" s="37">
        <v>1.0</v>
      </c>
      <c r="E65" s="40">
        <f t="shared" si="2"/>
        <v>4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89</v>
      </c>
      <c r="O65" s="37">
        <f t="shared" si="70"/>
        <v>1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1</v>
      </c>
      <c r="U65" s="52"/>
      <c r="V65" s="51">
        <f t="shared" si="6"/>
        <v>7</v>
      </c>
      <c r="W65" s="52">
        <f t="shared" si="7"/>
        <v>-2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145</v>
      </c>
      <c r="C66" s="37">
        <v>78.0</v>
      </c>
      <c r="D66" s="37">
        <v>7.0</v>
      </c>
      <c r="E66" s="40">
        <f t="shared" si="2"/>
        <v>8.5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87</v>
      </c>
      <c r="O66" s="37">
        <f t="shared" si="71"/>
        <v>7</v>
      </c>
      <c r="P66" s="49" t="s">
        <v>57</v>
      </c>
      <c r="Q66" s="49" t="s">
        <v>57</v>
      </c>
      <c r="R66" s="49" t="s">
        <v>57</v>
      </c>
      <c r="S66" s="51">
        <f t="shared" si="4"/>
        <v>6</v>
      </c>
      <c r="T66" s="52">
        <f t="shared" si="5"/>
        <v>0</v>
      </c>
      <c r="U66" s="52"/>
      <c r="V66" s="51">
        <f t="shared" si="6"/>
        <v>3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154</v>
      </c>
      <c r="C67" s="37">
        <v>78.0</v>
      </c>
      <c r="D67" s="37">
        <v>4.0</v>
      </c>
      <c r="E67" s="40">
        <f t="shared" si="2"/>
        <v>8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87</v>
      </c>
      <c r="O67" s="37">
        <f t="shared" si="72"/>
        <v>4</v>
      </c>
      <c r="P67" s="49" t="s">
        <v>57</v>
      </c>
      <c r="Q67" s="49" t="s">
        <v>57</v>
      </c>
      <c r="R67" s="49" t="s">
        <v>57</v>
      </c>
      <c r="S67" s="51">
        <f t="shared" si="4"/>
        <v>3</v>
      </c>
      <c r="T67" s="52">
        <f t="shared" si="5"/>
        <v>0</v>
      </c>
      <c r="U67" s="52"/>
      <c r="V67" s="51">
        <f t="shared" si="6"/>
        <v>6</v>
      </c>
      <c r="W67" s="52">
        <f t="shared" si="7"/>
        <v>-1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106</v>
      </c>
      <c r="C68" s="37">
        <v>78.0</v>
      </c>
      <c r="D68" s="37">
        <v>1.0</v>
      </c>
      <c r="E68" s="40">
        <f t="shared" si="2"/>
        <v>6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87</v>
      </c>
      <c r="O68" s="37">
        <f t="shared" si="73"/>
        <v>1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8</v>
      </c>
      <c r="W68" s="52">
        <f t="shared" si="7"/>
        <v>-1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73</v>
      </c>
      <c r="C69" s="37">
        <v>76.0</v>
      </c>
      <c r="D69" s="37">
        <v>2.0</v>
      </c>
      <c r="E69" s="40">
        <f t="shared" si="2"/>
        <v>4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85</v>
      </c>
      <c r="O69" s="37">
        <f t="shared" si="74"/>
        <v>2</v>
      </c>
      <c r="P69" s="49" t="s">
        <v>57</v>
      </c>
      <c r="Q69" s="49" t="s">
        <v>57</v>
      </c>
      <c r="R69" s="49" t="s">
        <v>57</v>
      </c>
      <c r="S69" s="51">
        <f t="shared" si="4"/>
        <v>1</v>
      </c>
      <c r="T69" s="52">
        <f t="shared" si="5"/>
        <v>0</v>
      </c>
      <c r="U69" s="52"/>
      <c r="V69" s="51">
        <f t="shared" si="6"/>
        <v>8</v>
      </c>
      <c r="W69" s="52">
        <f t="shared" si="7"/>
        <v>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133</v>
      </c>
      <c r="C70" s="37">
        <v>76.0</v>
      </c>
      <c r="D70" s="37">
        <v>2.0</v>
      </c>
      <c r="E70" s="40">
        <f t="shared" si="2"/>
        <v>7.75</v>
      </c>
      <c r="F70" s="90">
        <v>1.0</v>
      </c>
      <c r="G70" s="91">
        <v>8.0</v>
      </c>
      <c r="H70" s="92">
        <v>0.0</v>
      </c>
      <c r="I70" s="91">
        <v>2.0</v>
      </c>
      <c r="J70" s="91">
        <v>6.0</v>
      </c>
      <c r="K70" s="91">
        <v>2.0</v>
      </c>
      <c r="L70" s="93">
        <v>10.0</v>
      </c>
      <c r="M70" s="91">
        <v>1.0</v>
      </c>
      <c r="N70" s="37">
        <f t="shared" ref="N70:O70" si="75">C70+L70</f>
        <v>86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4</v>
      </c>
      <c r="T70" s="52">
        <f t="shared" si="5"/>
        <v>0</v>
      </c>
      <c r="U70" s="52"/>
      <c r="V70" s="51">
        <f t="shared" si="6"/>
        <v>5</v>
      </c>
      <c r="W70" s="52">
        <f t="shared" si="7"/>
        <v>-2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124</v>
      </c>
      <c r="C71" s="37">
        <v>74.0</v>
      </c>
      <c r="D71" s="37">
        <v>1.0</v>
      </c>
      <c r="E71" s="40">
        <f t="shared" si="2"/>
        <v>2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83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8</v>
      </c>
      <c r="W71" s="52">
        <f t="shared" si="7"/>
        <v>0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153</v>
      </c>
      <c r="C72" s="37">
        <v>72.0</v>
      </c>
      <c r="D72" s="37">
        <v>0.0</v>
      </c>
      <c r="E72" s="40">
        <f t="shared" si="2"/>
        <v>4.5</v>
      </c>
      <c r="F72" s="90">
        <v>1.0</v>
      </c>
      <c r="G72" s="91">
        <v>8.0</v>
      </c>
      <c r="H72" s="92">
        <v>0.0</v>
      </c>
      <c r="I72" s="91">
        <v>6.0</v>
      </c>
      <c r="J72" s="91">
        <v>6.0</v>
      </c>
      <c r="K72" s="91">
        <v>6.0</v>
      </c>
      <c r="L72" s="93">
        <v>18.0</v>
      </c>
      <c r="M72" s="91">
        <v>3.0</v>
      </c>
      <c r="N72" s="37">
        <f t="shared" ref="N72:O72" si="77">C72+L72</f>
        <v>90</v>
      </c>
      <c r="O72" s="37">
        <f t="shared" si="77"/>
        <v>3</v>
      </c>
      <c r="P72" s="49" t="s">
        <v>57</v>
      </c>
      <c r="Q72" s="49" t="s">
        <v>57</v>
      </c>
      <c r="R72" s="49" t="s">
        <v>57</v>
      </c>
      <c r="S72" s="51">
        <f t="shared" si="4"/>
        <v>2</v>
      </c>
      <c r="T72" s="52">
        <f t="shared" si="5"/>
        <v>0</v>
      </c>
      <c r="U72" s="52"/>
      <c r="V72" s="51">
        <f t="shared" si="6"/>
        <v>7</v>
      </c>
      <c r="W72" s="52">
        <f t="shared" si="7"/>
        <v>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141</v>
      </c>
      <c r="C73" s="37">
        <v>72.0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81</v>
      </c>
      <c r="O73" s="37">
        <f t="shared" si="78"/>
        <v>0</v>
      </c>
      <c r="P73" s="49" t="s">
        <v>57</v>
      </c>
      <c r="Q73" s="49" t="s">
        <v>57</v>
      </c>
      <c r="R73" s="49" t="s">
        <v>57</v>
      </c>
      <c r="S73" s="51">
        <f t="shared" si="4"/>
        <v>0</v>
      </c>
      <c r="T73" s="52">
        <f t="shared" si="5"/>
        <v>0</v>
      </c>
      <c r="U73" s="52"/>
      <c r="V73" s="51">
        <f t="shared" si="6"/>
        <v>9</v>
      </c>
      <c r="W73" s="52">
        <f t="shared" si="7"/>
        <v>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54</v>
      </c>
      <c r="C74" s="37">
        <v>72.0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81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9</v>
      </c>
      <c r="W74" s="52">
        <f t="shared" si="7"/>
        <v>1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105</v>
      </c>
      <c r="C75" s="37">
        <v>72.0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81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9</v>
      </c>
      <c r="W75" s="52">
        <f t="shared" si="7"/>
        <v>1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150</v>
      </c>
      <c r="C76" s="37">
        <v>72.0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81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9</v>
      </c>
      <c r="W76" s="52">
        <f t="shared" si="7"/>
        <v>1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72.0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81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1</v>
      </c>
      <c r="T77" s="52">
        <f t="shared" si="5"/>
        <v>0</v>
      </c>
      <c r="U77" s="52"/>
      <c r="V77" s="51">
        <f t="shared" si="6"/>
        <v>8</v>
      </c>
      <c r="W77" s="52">
        <f t="shared" si="7"/>
        <v>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144</v>
      </c>
      <c r="C78" s="37">
        <v>71.0</v>
      </c>
      <c r="D78" s="37">
        <v>4.0</v>
      </c>
      <c r="E78" s="40">
        <f t="shared" si="2"/>
        <v>7.571428571</v>
      </c>
      <c r="F78" s="90">
        <v>1.0</v>
      </c>
      <c r="G78" s="91">
        <v>8.0</v>
      </c>
      <c r="H78" s="92">
        <v>0.0</v>
      </c>
      <c r="I78" s="91">
        <v>2.0</v>
      </c>
      <c r="J78" s="91">
        <v>4.0</v>
      </c>
      <c r="K78" s="91">
        <v>6.0</v>
      </c>
      <c r="L78" s="93">
        <v>12.0</v>
      </c>
      <c r="M78" s="91">
        <v>1.0</v>
      </c>
      <c r="N78" s="37">
        <f t="shared" ref="N78:O78" si="83">C78+L78</f>
        <v>83</v>
      </c>
      <c r="O78" s="37">
        <f t="shared" si="83"/>
        <v>5</v>
      </c>
      <c r="P78" s="49" t="s">
        <v>57</v>
      </c>
      <c r="Q78" s="49" t="s">
        <v>57</v>
      </c>
      <c r="R78" s="49" t="s">
        <v>57</v>
      </c>
      <c r="S78" s="51">
        <f t="shared" si="4"/>
        <v>7</v>
      </c>
      <c r="T78" s="52">
        <f t="shared" si="5"/>
        <v>0</v>
      </c>
      <c r="U78" s="52"/>
      <c r="V78" s="51">
        <f t="shared" si="6"/>
        <v>2</v>
      </c>
      <c r="W78" s="52">
        <f t="shared" si="7"/>
        <v>-6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65.0</v>
      </c>
      <c r="D79" s="37">
        <v>1.0</v>
      </c>
      <c r="E79" s="40">
        <f t="shared" si="2"/>
        <v>5.8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74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0</v>
      </c>
      <c r="U79" s="52"/>
      <c r="V79" s="51">
        <f t="shared" si="6"/>
        <v>4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02/28/26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desc"",0)"),"Pavan Akkimsetty")</f>
        <v>Pavan Akkimsetty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IFERROR(__xludf.DUMMYFUNCTION("""COMPUTED_VALUE"""),3.0)</f>
        <v>3</v>
      </c>
      <c r="F91" s="5"/>
    </row>
    <row r="92">
      <c r="A92" s="5"/>
      <c r="B92" s="36" t="str">
        <f>IFERROR(__xludf.DUMMYFUNCTION("""COMPUTED_VALUE"""),"Mauricio Palacios")</f>
        <v>Mauricio Palacios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IFERROR(__xludf.DUMMYFUNCTION("""COMPUTED_VALUE"""),4.0)</f>
        <v>4</v>
      </c>
      <c r="F92" s="5"/>
    </row>
    <row r="93">
      <c r="A93" s="5"/>
      <c r="B93" s="36" t="str">
        <f>IFERROR(__xludf.DUMMYFUNCTION("""COMPUTED_VALUE"""),"Rudy Tatang")</f>
        <v>Rudy Tatang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IFERROR(__xludf.DUMMYFUNCTION("""COMPUTED_VALUE"""),1.0)</f>
        <v>1</v>
      </c>
      <c r="F93" s="5"/>
    </row>
    <row r="94">
      <c r="A94" s="5"/>
      <c r="B94" s="36" t="str">
        <f>IFERROR(__xludf.DUMMYFUNCTION("""COMPUTED_VALUE"""),"Sandeep Kamalon")</f>
        <v>Sandeep Kamalon</v>
      </c>
      <c r="C94" s="122">
        <f>IFERROR(__xludf.DUMMYFUNCTION("""COMPUTED_VALUE"""),18.0)</f>
        <v>18</v>
      </c>
      <c r="D94" s="122">
        <f>IFERROR(__xludf.DUMMYFUNCTION("""COMPUTED_VALUE"""),2.0)</f>
        <v>2</v>
      </c>
      <c r="E94" s="122">
        <f>IFERROR(__xludf.DUMMYFUNCTION("""COMPUTED_VALUE"""),9.0)</f>
        <v>9</v>
      </c>
      <c r="F94" s="5"/>
    </row>
    <row r="95">
      <c r="A95" s="5"/>
      <c r="B95" s="36" t="str">
        <f>IFERROR(__xludf.DUMMYFUNCTION("""COMPUTED_VALUE"""),"Basudev Thoppai Vidyasankar")</f>
        <v>Basudev Thoppai Vidyasankar</v>
      </c>
      <c r="C95" s="122">
        <f>IFERROR(__xludf.DUMMYFUNCTION("""COMPUTED_VALUE"""),18.0)</f>
        <v>18</v>
      </c>
      <c r="D95" s="122">
        <f>IFERROR(__xludf.DUMMYFUNCTION("""COMPUTED_VALUE"""),2.0)</f>
        <v>2</v>
      </c>
      <c r="E95" s="122">
        <f>IFERROR(__xludf.DUMMYFUNCTION("""COMPUTED_VALUE"""),5.0)</f>
        <v>5</v>
      </c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10"")"),"Wayne Liu")</f>
        <v>Wayne Liu</v>
      </c>
      <c r="C110" s="122">
        <f>IFERROR(__xludf.DUMMYFUNCTION("""COMPUTED_VALUE"""),12.0)</f>
        <v>12</v>
      </c>
      <c r="D110" s="122">
        <f t="shared" ref="D110:D119" si="85">VLOOKUP(B110,indirect($AC$2&amp;"!B$5:X$79"),23, false)</f>
        <v>39</v>
      </c>
      <c r="E110" s="122">
        <f t="shared" ref="E110:E119" si="86">VLOOKUP(B110,B$5:X$79,23, false)</f>
        <v>27</v>
      </c>
      <c r="F110" s="122">
        <f t="shared" ref="F110:F119" si="87">VLOOKUP(B110,indirect($AC$2&amp;"!B$5:U$79"),11, false)</f>
        <v>17</v>
      </c>
      <c r="G110" s="122">
        <f t="shared" ref="G110:G119" si="88">VLOOKUP(B110,indirect($AC$2&amp;"!B$5:U$79"),6, false)</f>
        <v>6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IFERROR(__xludf.DUMMYFUNCTION("""COMPUTED_VALUE"""),"Chinna Ponnaganti")</f>
        <v>Chinna Ponnaganti</v>
      </c>
      <c r="C111" s="122">
        <f>IFERROR(__xludf.DUMMYFUNCTION("""COMPUTED_VALUE"""),12.0)</f>
        <v>12</v>
      </c>
      <c r="D111" s="122">
        <f t="shared" si="85"/>
        <v>46</v>
      </c>
      <c r="E111" s="122">
        <f t="shared" si="86"/>
        <v>34</v>
      </c>
      <c r="F111" s="122">
        <f t="shared" si="87"/>
        <v>15</v>
      </c>
      <c r="G111" s="122">
        <f t="shared" si="88"/>
        <v>10</v>
      </c>
      <c r="L111" s="122" t="str">
        <f t="shared" si="89"/>
        <v>ok</v>
      </c>
    </row>
    <row r="112">
      <c r="A112" s="5"/>
      <c r="B112" s="36" t="str">
        <f>IFERROR(__xludf.DUMMYFUNCTION("""COMPUTED_VALUE"""),"Coco Yan")</f>
        <v>Coco Yan</v>
      </c>
      <c r="C112" s="122">
        <f>IFERROR(__xludf.DUMMYFUNCTION("""COMPUTED_VALUE"""),11.0)</f>
        <v>11</v>
      </c>
      <c r="D112" s="122">
        <f t="shared" si="85"/>
        <v>47</v>
      </c>
      <c r="E112" s="122">
        <f t="shared" si="86"/>
        <v>36</v>
      </c>
      <c r="F112" s="122">
        <f t="shared" si="87"/>
        <v>15</v>
      </c>
      <c r="G112" s="122">
        <f t="shared" si="88"/>
        <v>10</v>
      </c>
      <c r="L112" s="122" t="str">
        <f t="shared" si="89"/>
        <v>ok</v>
      </c>
    </row>
    <row r="113">
      <c r="A113" s="5"/>
      <c r="B113" s="36" t="str">
        <f>IFERROR(__xludf.DUMMYFUNCTION("""COMPUTED_VALUE"""),"Art Hui")</f>
        <v>Art Hui</v>
      </c>
      <c r="C113" s="122">
        <f>IFERROR(__xludf.DUMMYFUNCTION("""COMPUTED_VALUE"""),10.0)</f>
        <v>10</v>
      </c>
      <c r="D113" s="122">
        <f t="shared" si="85"/>
        <v>35</v>
      </c>
      <c r="E113" s="122">
        <f t="shared" si="86"/>
        <v>25</v>
      </c>
      <c r="F113" s="122">
        <f t="shared" si="87"/>
        <v>17</v>
      </c>
      <c r="G113" s="122">
        <f t="shared" si="88"/>
        <v>6</v>
      </c>
      <c r="L113" s="122" t="str">
        <f t="shared" si="89"/>
        <v>ok</v>
      </c>
    </row>
    <row r="114">
      <c r="A114" s="5"/>
      <c r="B114" s="36" t="str">
        <f>IFERROR(__xludf.DUMMYFUNCTION("""COMPUTED_VALUE"""),"Manuel Rivera")</f>
        <v>Manuel Rivera</v>
      </c>
      <c r="C114" s="122">
        <f>IFERROR(__xludf.DUMMYFUNCTION("""COMPUTED_VALUE"""),10.0)</f>
        <v>10</v>
      </c>
      <c r="D114" s="122">
        <f t="shared" si="85"/>
        <v>49</v>
      </c>
      <c r="E114" s="122">
        <f t="shared" si="86"/>
        <v>39</v>
      </c>
      <c r="F114" s="122">
        <f t="shared" si="87"/>
        <v>15</v>
      </c>
      <c r="G114" s="122">
        <f t="shared" si="88"/>
        <v>7</v>
      </c>
      <c r="L114" s="122" t="str">
        <f t="shared" si="89"/>
        <v>ok</v>
      </c>
    </row>
    <row r="115">
      <c r="A115" s="5"/>
      <c r="B115" s="36" t="str">
        <f>IFERROR(__xludf.DUMMYFUNCTION("""COMPUTED_VALUE"""),"Kumar Palakeel")</f>
        <v>Kumar Palakeel</v>
      </c>
      <c r="C115" s="122">
        <f>IFERROR(__xludf.DUMMYFUNCTION("""COMPUTED_VALUE"""),10.0)</f>
        <v>10</v>
      </c>
      <c r="D115" s="122">
        <f t="shared" si="85"/>
        <v>61</v>
      </c>
      <c r="E115" s="122">
        <f t="shared" si="86"/>
        <v>51</v>
      </c>
      <c r="F115" s="122">
        <f t="shared" si="87"/>
        <v>17</v>
      </c>
      <c r="G115" s="122">
        <f t="shared" si="88"/>
        <v>8</v>
      </c>
      <c r="L115" s="122" t="str">
        <f t="shared" si="89"/>
        <v>ok</v>
      </c>
    </row>
    <row r="116">
      <c r="A116" s="5"/>
      <c r="B116" s="36" t="str">
        <f>IFERROR(__xludf.DUMMYFUNCTION("""COMPUTED_VALUE"""),"Basudev Thoppai Vidyasankar")</f>
        <v>Basudev Thoppai Vidyasankar</v>
      </c>
      <c r="C116" s="122">
        <f>IFERROR(__xludf.DUMMYFUNCTION("""COMPUTED_VALUE"""),9.0)</f>
        <v>9</v>
      </c>
      <c r="D116" s="122">
        <f t="shared" si="85"/>
        <v>29</v>
      </c>
      <c r="E116" s="122">
        <f t="shared" si="86"/>
        <v>20</v>
      </c>
      <c r="F116" s="122">
        <f t="shared" si="87"/>
        <v>18</v>
      </c>
      <c r="G116" s="122">
        <f t="shared" si="88"/>
        <v>5</v>
      </c>
      <c r="L116" s="122" t="str">
        <f t="shared" si="89"/>
        <v>ok</v>
      </c>
    </row>
    <row r="117">
      <c r="A117" s="5"/>
      <c r="B117" s="36" t="str">
        <f>IFERROR(__xludf.DUMMYFUNCTION("""COMPUTED_VALUE"""),"Ruben Ron")</f>
        <v>Ruben Ron</v>
      </c>
      <c r="C117" s="122">
        <f>IFERROR(__xludf.DUMMYFUNCTION("""COMPUTED_VALUE"""),9.0)</f>
        <v>9</v>
      </c>
      <c r="D117" s="122">
        <f t="shared" si="85"/>
        <v>38</v>
      </c>
      <c r="E117" s="122">
        <f t="shared" si="86"/>
        <v>29</v>
      </c>
      <c r="F117" s="122">
        <f t="shared" si="87"/>
        <v>16</v>
      </c>
      <c r="G117" s="122">
        <f t="shared" si="88"/>
        <v>6</v>
      </c>
      <c r="L117" s="122" t="str">
        <f t="shared" si="89"/>
        <v>ok</v>
      </c>
    </row>
    <row r="118">
      <c r="A118" s="5"/>
      <c r="B118" s="36" t="str">
        <f>IFERROR(__xludf.DUMMYFUNCTION("""COMPUTED_VALUE"""),"Jim Miao")</f>
        <v>Jim Miao</v>
      </c>
      <c r="C118" s="122">
        <f>IFERROR(__xludf.DUMMYFUNCTION("""COMPUTED_VALUE"""),8.0)</f>
        <v>8</v>
      </c>
      <c r="D118" s="122">
        <f t="shared" si="85"/>
        <v>14</v>
      </c>
      <c r="E118" s="122">
        <f t="shared" si="86"/>
        <v>6</v>
      </c>
      <c r="F118" s="122">
        <f t="shared" si="87"/>
        <v>17</v>
      </c>
      <c r="G118" s="122">
        <f t="shared" si="88"/>
        <v>2</v>
      </c>
      <c r="L118" s="122" t="str">
        <f t="shared" si="89"/>
        <v>ok</v>
      </c>
    </row>
    <row r="119">
      <c r="A119" s="5"/>
      <c r="B119" s="36" t="str">
        <f>IFERROR(__xludf.DUMMYFUNCTION("""COMPUTED_VALUE"""),"Pavan Akkimsetty")</f>
        <v>Pavan Akkimsetty</v>
      </c>
      <c r="C119" s="122">
        <f>IFERROR(__xludf.DUMMYFUNCTION("""COMPUTED_VALUE"""),8.0)</f>
        <v>8</v>
      </c>
      <c r="D119" s="122">
        <f t="shared" si="85"/>
        <v>18</v>
      </c>
      <c r="E119" s="122">
        <f t="shared" si="86"/>
        <v>10</v>
      </c>
      <c r="F119" s="122">
        <f t="shared" si="87"/>
        <v>19</v>
      </c>
      <c r="G119" s="122">
        <f t="shared" si="88"/>
        <v>3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9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135</v>
      </c>
      <c r="D128" s="122">
        <f t="shared" si="90"/>
        <v>19</v>
      </c>
      <c r="E128" s="122">
        <f t="shared" si="90"/>
        <v>15</v>
      </c>
      <c r="F128" s="5"/>
    </row>
    <row r="129">
      <c r="A129" s="122">
        <f t="shared" ref="A129:E129" si="91">A6</f>
        <v>2</v>
      </c>
      <c r="B129" s="36" t="str">
        <f t="shared" si="91"/>
        <v>Sandeep Kamalon</v>
      </c>
      <c r="C129" s="122">
        <f t="shared" si="91"/>
        <v>124</v>
      </c>
      <c r="D129" s="122">
        <f t="shared" si="91"/>
        <v>14</v>
      </c>
      <c r="E129" s="122">
        <f t="shared" si="91"/>
        <v>14.375</v>
      </c>
      <c r="F129" s="5"/>
    </row>
    <row r="130">
      <c r="A130" s="122">
        <f t="shared" ref="A130:E130" si="92">A7</f>
        <v>3</v>
      </c>
      <c r="B130" s="36" t="str">
        <f t="shared" si="92"/>
        <v>Rudy Tatang</v>
      </c>
      <c r="C130" s="122">
        <f t="shared" si="92"/>
        <v>116</v>
      </c>
      <c r="D130" s="122">
        <f t="shared" si="92"/>
        <v>14</v>
      </c>
      <c r="E130" s="122">
        <f t="shared" si="92"/>
        <v>14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116</v>
      </c>
      <c r="D131" s="122">
        <f t="shared" si="93"/>
        <v>12</v>
      </c>
      <c r="E131" s="122">
        <f t="shared" si="93"/>
        <v>12.88888889</v>
      </c>
      <c r="F131" s="5"/>
    </row>
    <row r="132">
      <c r="A132" s="122">
        <f t="shared" ref="A132:E132" si="94">A9</f>
        <v>5</v>
      </c>
      <c r="B132" s="36" t="str">
        <f t="shared" si="94"/>
        <v>David Shin</v>
      </c>
      <c r="C132" s="122">
        <f t="shared" si="94"/>
        <v>115</v>
      </c>
      <c r="D132" s="122">
        <f t="shared" si="94"/>
        <v>13</v>
      </c>
      <c r="E132" s="122">
        <f t="shared" si="94"/>
        <v>13.85714286</v>
      </c>
      <c r="F132" s="5"/>
    </row>
    <row r="133">
      <c r="A133" s="122">
        <f t="shared" ref="A133:E133" si="95">A10</f>
        <v>6</v>
      </c>
      <c r="B133" s="36" t="str">
        <f t="shared" si="95"/>
        <v>Jim Miao</v>
      </c>
      <c r="C133" s="122">
        <f t="shared" si="95"/>
        <v>109</v>
      </c>
      <c r="D133" s="122">
        <f t="shared" si="95"/>
        <v>11</v>
      </c>
      <c r="E133" s="122">
        <f t="shared" si="95"/>
        <v>12.5</v>
      </c>
      <c r="F133" s="5"/>
    </row>
    <row r="134">
      <c r="A134" s="122">
        <f t="shared" ref="A134:E134" si="96">A11</f>
        <v>7</v>
      </c>
      <c r="B134" s="36" t="str">
        <f t="shared" si="96"/>
        <v>Joe Luzzi</v>
      </c>
      <c r="C134" s="122">
        <f t="shared" si="96"/>
        <v>108</v>
      </c>
      <c r="D134" s="122">
        <f t="shared" si="96"/>
        <v>12</v>
      </c>
      <c r="E134" s="122">
        <f t="shared" si="96"/>
        <v>12.375</v>
      </c>
      <c r="F134" s="5"/>
    </row>
    <row r="135">
      <c r="A135" s="122">
        <f t="shared" ref="A135:E135" si="97">A12</f>
        <v>8</v>
      </c>
      <c r="B135" s="36" t="str">
        <f t="shared" si="97"/>
        <v>Jaya Sogata</v>
      </c>
      <c r="C135" s="122">
        <f t="shared" si="97"/>
        <v>108</v>
      </c>
      <c r="D135" s="122">
        <f t="shared" si="97"/>
        <v>10</v>
      </c>
      <c r="E135" s="122">
        <f t="shared" si="97"/>
        <v>12.83333333</v>
      </c>
      <c r="F135" s="5"/>
    </row>
    <row r="136">
      <c r="A136" s="122">
        <f t="shared" ref="A136:E136" si="98">A13</f>
        <v>9</v>
      </c>
      <c r="B136" s="36" t="str">
        <f t="shared" si="98"/>
        <v>Pulkit Mathur</v>
      </c>
      <c r="C136" s="122">
        <f t="shared" si="98"/>
        <v>107</v>
      </c>
      <c r="D136" s="122">
        <f t="shared" si="98"/>
        <v>11</v>
      </c>
      <c r="E136" s="122">
        <f t="shared" si="98"/>
        <v>12.71428571</v>
      </c>
      <c r="F136" s="5"/>
    </row>
    <row r="137">
      <c r="A137" s="122">
        <f t="shared" ref="A137:E137" si="99">A14</f>
        <v>10</v>
      </c>
      <c r="B137" s="36" t="str">
        <f t="shared" si="99"/>
        <v>Pavan Akkimsetty</v>
      </c>
      <c r="C137" s="122">
        <f t="shared" si="99"/>
        <v>107</v>
      </c>
      <c r="D137" s="122">
        <f t="shared" si="99"/>
        <v>11</v>
      </c>
      <c r="E137" s="122">
        <f t="shared" si="99"/>
        <v>12.14285714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IFERROR(__xludf.DUMMYFUNCTION("""COMPUTED_VALUE"""),"Wayne Liu")</f>
        <v>Wayne Liu</v>
      </c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02/28/26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IFERROR(__xludf.DUMMYFUNCTION("""COMPUTED_VALUE"""),"Rudy Tatang")</f>
        <v>Rudy Tatang</v>
      </c>
      <c r="C250" s="132">
        <f>IFERROR(__xludf.DUMMYFUNCTION("""COMPUTED_VALUE"""),6.0)</f>
        <v>6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IFERROR(__xludf.DUMMYFUNCTION("""COMPUTED_VALUE"""),18.0)</f>
        <v>18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IFERROR(__xludf.DUMMYFUNCTION("""COMPUTED_VALUE"""),"Pulkit Mathur")</f>
        <v>Pulkit Mathur</v>
      </c>
      <c r="C251" s="132">
        <f>IFERROR(__xludf.DUMMYFUNCTION("""COMPUTED_VALUE"""),1.0)</f>
        <v>1</v>
      </c>
      <c r="D251" s="132">
        <f>IFERROR(__xludf.DUMMYFUNCTION("""COMPUTED_VALUE"""),3.0)</f>
        <v>3</v>
      </c>
      <c r="E251" s="132">
        <f>IFERROR(__xludf.DUMMYFUNCTION("""COMPUTED_VALUE"""),6.0)</f>
        <v>6</v>
      </c>
      <c r="F251" s="132">
        <f>IFERROR(__xludf.DUMMYFUNCTION("""COMPUTED_VALUE"""),10.0)</f>
        <v>10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IFERROR(__xludf.DUMMYFUNCTION("""COMPUTED_VALUE"""),"Joe Luzzi")</f>
        <v>Joe Luzzi</v>
      </c>
      <c r="C252" s="132">
        <f>IFERROR(__xludf.DUMMYFUNCTION("""COMPUTED_VALUE"""),6.0)</f>
        <v>6</v>
      </c>
      <c r="D252" s="132">
        <f>IFERROR(__xludf.DUMMYFUNCTION("""COMPUTED_VALUE"""),3.0)</f>
        <v>3</v>
      </c>
      <c r="E252" s="132">
        <f>IFERROR(__xludf.DUMMYFUNCTION("""COMPUTED_VALUE"""),4.0)</f>
        <v>4</v>
      </c>
      <c r="F252" s="132">
        <f>IFERROR(__xludf.DUMMYFUNCTION("""COMPUTED_VALUE"""),13.0)</f>
        <v>13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IFERROR(__xludf.DUMMYFUNCTION("""COMPUTED_VALUE"""),"Darren Wong")</f>
        <v>Darren Wong</v>
      </c>
      <c r="C253" s="132">
        <f>IFERROR(__xludf.DUMMYFUNCTION("""COMPUTED_VALUE"""),1.0)</f>
        <v>1</v>
      </c>
      <c r="D253" s="132">
        <f>IFERROR(__xludf.DUMMYFUNCTION("""COMPUTED_VALUE"""),6.0)</f>
        <v>6</v>
      </c>
      <c r="E253" s="132">
        <f>IFERROR(__xludf.DUMMYFUNCTION("""COMPUTED_VALUE"""),4.0)</f>
        <v>4</v>
      </c>
      <c r="F253" s="132">
        <f>IFERROR(__xludf.DUMMYFUNCTION("""COMPUTED_VALUE"""),11.0)</f>
        <v>11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IFERROR(__xludf.DUMMYFUNCTION("""COMPUTED_VALUE"""),"Lam Bui")</f>
        <v>Lam Bui</v>
      </c>
      <c r="C254" s="135">
        <f>IFERROR(__xludf.DUMMYFUNCTION("""COMPUTED_VALUE"""),5.0)</f>
        <v>5</v>
      </c>
      <c r="D254" s="135">
        <f>IFERROR(__xludf.DUMMYFUNCTION("""COMPUTED_VALUE"""),0.0)</f>
        <v>0</v>
      </c>
      <c r="E254" s="135">
        <f>IFERROR(__xludf.DUMMYFUNCTION("""COMPUTED_VALUE"""),0.0)</f>
        <v>0</v>
      </c>
      <c r="F254" s="135">
        <f>IFERROR(__xludf.DUMMYFUNCTION("""COMPUTED_VALUE"""),5.0)</f>
        <v>5</v>
      </c>
      <c r="G254" s="135">
        <f>IFERROR(__xludf.DUMMYFUNCTION("""COMPUTED_VALUE"""),0.0)</f>
        <v>0</v>
      </c>
    </row>
    <row r="255">
      <c r="A255" s="133">
        <f>IFERROR(__xludf.DUMMYFUNCTION("""COMPUTED_VALUE"""),2.0)</f>
        <v>2</v>
      </c>
      <c r="B255" s="134" t="str">
        <f>IFERROR(__xludf.DUMMYFUNCTION("""COMPUTED_VALUE"""),"Ted Shen")</f>
        <v>Ted Shen</v>
      </c>
      <c r="C255" s="135">
        <f>IFERROR(__xludf.DUMMYFUNCTION("""COMPUTED_VALUE"""),7.0)</f>
        <v>7</v>
      </c>
      <c r="D255" s="135">
        <f>IFERROR(__xludf.DUMMYFUNCTION("""COMPUTED_VALUE"""),0.0)</f>
        <v>0</v>
      </c>
      <c r="E255" s="135">
        <f>IFERROR(__xludf.DUMMYFUNCTION("""COMPUTED_VALUE"""),6.0)</f>
        <v>6</v>
      </c>
      <c r="F255" s="135">
        <f>IFERROR(__xludf.DUMMYFUNCTION("""COMPUTED_VALUE"""),13.0)</f>
        <v>13</v>
      </c>
      <c r="G255" s="135">
        <f>IFERROR(__xludf.DUMMYFUNCTION("""COMPUTED_VALUE"""),2.0)</f>
        <v>2</v>
      </c>
    </row>
    <row r="256">
      <c r="A256" s="133">
        <f>IFERROR(__xludf.DUMMYFUNCTION("""COMPUTED_VALUE"""),2.0)</f>
        <v>2</v>
      </c>
      <c r="B256" s="134" t="str">
        <f>IFERROR(__xludf.DUMMYFUNCTION("""COMPUTED_VALUE"""),"Jim Miao")</f>
        <v>Jim Miao</v>
      </c>
      <c r="C256" s="135">
        <f>IFERROR(__xludf.DUMMYFUNCTION("""COMPUTED_VALUE"""),5.0)</f>
        <v>5</v>
      </c>
      <c r="D256" s="135">
        <f>IFERROR(__xludf.DUMMYFUNCTION("""COMPUTED_VALUE"""),6.0)</f>
        <v>6</v>
      </c>
      <c r="E256" s="135">
        <f>IFERROR(__xludf.DUMMYFUNCTION("""COMPUTED_VALUE"""),6.0)</f>
        <v>6</v>
      </c>
      <c r="F256" s="135">
        <f>IFERROR(__xludf.DUMMYFUNCTION("""COMPUTED_VALUE"""),17.0)</f>
        <v>17</v>
      </c>
      <c r="G256" s="135">
        <f>IFERROR(__xludf.DUMMYFUNCTION("""COMPUTED_VALUE"""),2.0)</f>
        <v>2</v>
      </c>
    </row>
    <row r="257">
      <c r="A257" s="133">
        <f>IFERROR(__xludf.DUMMYFUNCTION("""COMPUTED_VALUE"""),2.0)</f>
        <v>2</v>
      </c>
      <c r="B257" s="134" t="str">
        <f>IFERROR(__xludf.DUMMYFUNCTION("""COMPUTED_VALUE"""),"Frank Moon")</f>
        <v>Frank Moon</v>
      </c>
      <c r="C257" s="135">
        <f>IFERROR(__xludf.DUMMYFUNCTION("""COMPUTED_VALUE"""),7.0)</f>
        <v>7</v>
      </c>
      <c r="D257" s="135">
        <f>IFERROR(__xludf.DUMMYFUNCTION("""COMPUTED_VALUE"""),6.0)</f>
        <v>6</v>
      </c>
      <c r="E257" s="135">
        <f>IFERROR(__xludf.DUMMYFUNCTION("""COMPUTED_VALUE"""),0.0)</f>
        <v>0</v>
      </c>
      <c r="F257" s="135">
        <f>IFERROR(__xludf.DUMMYFUNCTION("""COMPUTED_VALUE"""),13.0)</f>
        <v>13</v>
      </c>
      <c r="G257" s="135">
        <f>IFERROR(__xludf.DUMMYFUNCTION("""COMPUTED_VALUE"""),2.0)</f>
        <v>2</v>
      </c>
    </row>
    <row r="258">
      <c r="A258" s="122">
        <f>IFERROR(__xludf.DUMMYFUNCTION("""COMPUTED_VALUE"""),3.0)</f>
        <v>3</v>
      </c>
      <c r="B258" s="36" t="str">
        <f>IFERROR(__xludf.DUMMYFUNCTION("""COMPUTED_VALUE"""),"Herman Au")</f>
        <v>Herman Au</v>
      </c>
      <c r="C258" s="132">
        <f>IFERROR(__xludf.DUMMYFUNCTION("""COMPUTED_VALUE"""),4.0)</f>
        <v>4</v>
      </c>
      <c r="D258" s="132">
        <f>IFERROR(__xludf.DUMMYFUNCTION("""COMPUTED_VALUE"""),7.0)</f>
        <v>7</v>
      </c>
      <c r="E258" s="132">
        <f>IFERROR(__xludf.DUMMYFUNCTION("""COMPUTED_VALUE"""),3.0)</f>
        <v>3</v>
      </c>
      <c r="F258" s="132">
        <f>IFERROR(__xludf.DUMMYFUNCTION("""COMPUTED_VALUE"""),14.0)</f>
        <v>14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IFERROR(__xludf.DUMMYFUNCTION("""COMPUTED_VALUE"""),"Pavan Akkimsetty")</f>
        <v>Pavan Akkimsetty</v>
      </c>
      <c r="C259" s="132">
        <f>IFERROR(__xludf.DUMMYFUNCTION("""COMPUTED_VALUE"""),6.0)</f>
        <v>6</v>
      </c>
      <c r="D259" s="132">
        <f>IFERROR(__xludf.DUMMYFUNCTION("""COMPUTED_VALUE"""),7.0)</f>
        <v>7</v>
      </c>
      <c r="E259" s="132">
        <f>IFERROR(__xludf.DUMMYFUNCTION("""COMPUTED_VALUE"""),6.0)</f>
        <v>6</v>
      </c>
      <c r="F259" s="132">
        <f>IFERROR(__xludf.DUMMYFUNCTION("""COMPUTED_VALUE"""),19.0)</f>
        <v>19</v>
      </c>
      <c r="G259" s="132">
        <f>IFERROR(__xludf.DUMMYFUNCTION("""COMPUTED_VALUE"""),3.0)</f>
        <v>3</v>
      </c>
    </row>
    <row r="260">
      <c r="A260" s="122">
        <f>IFERROR(__xludf.DUMMYFUNCTION("""COMPUTED_VALUE"""),3.0)</f>
        <v>3</v>
      </c>
      <c r="B260" s="36" t="str">
        <f>IFERROR(__xludf.DUMMYFUNCTION("""COMPUTED_VALUE"""),"Ethan Gu")</f>
        <v>Ethan Gu</v>
      </c>
      <c r="C260" s="132">
        <f>IFERROR(__xludf.DUMMYFUNCTION("""COMPUTED_VALUE"""),4.0)</f>
        <v>4</v>
      </c>
      <c r="D260" s="132">
        <f>IFERROR(__xludf.DUMMYFUNCTION("""COMPUTED_VALUE"""),6.0)</f>
        <v>6</v>
      </c>
      <c r="E260" s="132">
        <f>IFERROR(__xludf.DUMMYFUNCTION("""COMPUTED_VALUE"""),6.0)</f>
        <v>6</v>
      </c>
      <c r="F260" s="132">
        <f>IFERROR(__xludf.DUMMYFUNCTION("""COMPUTED_VALUE"""),16.0)</f>
        <v>16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IFERROR(__xludf.DUMMYFUNCTION("""COMPUTED_VALUE"""),"Rajasekar Ramasamy")</f>
        <v>Rajasekar Ramasamy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IFERROR(__xludf.DUMMYFUNCTION("""COMPUTED_VALUE"""),3.0)</f>
        <v>3</v>
      </c>
      <c r="F261" s="132">
        <f>IFERROR(__xludf.DUMMYFUNCTION("""COMPUTED_VALUE"""),15.0)</f>
        <v>15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IFERROR(__xludf.DUMMYFUNCTION("""COMPUTED_VALUE"""),"Alex Hou")</f>
        <v>Alex Hou</v>
      </c>
      <c r="C262" s="135">
        <f>IFERROR(__xludf.DUMMYFUNCTION("""COMPUTED_VALUE"""),5.0)</f>
        <v>5</v>
      </c>
      <c r="D262" s="135">
        <f>IFERROR(__xludf.DUMMYFUNCTION("""COMPUTED_VALUE"""),6.0)</f>
        <v>6</v>
      </c>
      <c r="E262" s="135">
        <f>IFERROR(__xludf.DUMMYFUNCTION("""COMPUTED_VALUE"""),1.0)</f>
        <v>1</v>
      </c>
      <c r="F262" s="135">
        <f>IFERROR(__xludf.DUMMYFUNCTION("""COMPUTED_VALUE"""),12.0)</f>
        <v>12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IFERROR(__xludf.DUMMYFUNCTION("""COMPUTED_VALUE"""),"Mauricio Palacios")</f>
        <v>Mauricio Palacios</v>
      </c>
      <c r="C263" s="135">
        <f>IFERROR(__xludf.DUMMYFUNCTION("""COMPUTED_VALUE"""),7.0)</f>
        <v>7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IFERROR(__xludf.DUMMYFUNCTION("""COMPUTED_VALUE"""),19.0)</f>
        <v>19</v>
      </c>
      <c r="G263" s="135">
        <f>IFERROR(__xludf.DUMMYFUNCTION("""COMPUTED_VALUE"""),3.0)</f>
        <v>3</v>
      </c>
    </row>
    <row r="264">
      <c r="A264" s="133">
        <f>IFERROR(__xludf.DUMMYFUNCTION("""COMPUTED_VALUE"""),4.0)</f>
        <v>4</v>
      </c>
      <c r="B264" s="134" t="str">
        <f>IFERROR(__xludf.DUMMYFUNCTION("""COMPUTED_VALUE"""),"Elayaraja Thangaraj")</f>
        <v>Elayaraja Thangaraj</v>
      </c>
      <c r="C264" s="135">
        <f>IFERROR(__xludf.DUMMYFUNCTION("""COMPUTED_VALUE"""),5.0)</f>
        <v>5</v>
      </c>
      <c r="D264" s="135">
        <f>IFERROR(__xludf.DUMMYFUNCTION("""COMPUTED_VALUE"""),4.0)</f>
        <v>4</v>
      </c>
      <c r="E264" s="135">
        <f>IFERROR(__xludf.DUMMYFUNCTION("""COMPUTED_VALUE"""),6.0)</f>
        <v>6</v>
      </c>
      <c r="F264" s="135">
        <f>IFERROR(__xludf.DUMMYFUNCTION("""COMPUTED_VALUE"""),15.0)</f>
        <v>15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IFERROR(__xludf.DUMMYFUNCTION("""COMPUTED_VALUE"""),"Allen Zhang")</f>
        <v>Allen Zhang</v>
      </c>
      <c r="C265" s="135">
        <f>IFERROR(__xludf.DUMMYFUNCTION("""COMPUTED_VALUE"""),7.0)</f>
        <v>7</v>
      </c>
      <c r="D265" s="135">
        <f>IFERROR(__xludf.DUMMYFUNCTION("""COMPUTED_VALUE"""),4.0)</f>
        <v>4</v>
      </c>
      <c r="E265" s="135">
        <f>IFERROR(__xludf.DUMMYFUNCTION("""COMPUTED_VALUE"""),1.0)</f>
        <v>1</v>
      </c>
      <c r="F265" s="135">
        <f>IFERROR(__xludf.DUMMYFUNCTION("""COMPUTED_VALUE"""),12.0)</f>
        <v>12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IFERROR(__xludf.DUMMYFUNCTION("""COMPUTED_VALUE"""),"Basudev Thoppai Vidyasankar")</f>
        <v>Basudev Thoppai Vidyasankar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IFERROR(__xludf.DUMMYFUNCTION("""COMPUTED_VALUE"""),18.0)</f>
        <v>18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IFERROR(__xludf.DUMMYFUNCTION("""COMPUTED_VALUE"""),"Naveen Raj")</f>
        <v>Naveen Raj</v>
      </c>
      <c r="C267" s="132">
        <f>IFERROR(__xludf.DUMMYFUNCTION("""COMPUTED_VALUE"""),6.0)</f>
        <v>6</v>
      </c>
      <c r="D267" s="132">
        <f>IFERROR(__xludf.DUMMYFUNCTION("""COMPUTED_VALUE"""),1.0)</f>
        <v>1</v>
      </c>
      <c r="E267" s="132">
        <f>IFERROR(__xludf.DUMMYFUNCTION("""COMPUTED_VALUE"""),2.0)</f>
        <v>2</v>
      </c>
      <c r="F267" s="132">
        <f>IFERROR(__xludf.DUMMYFUNCTION("""COMPUTED_VALUE"""),9.0)</f>
        <v>9</v>
      </c>
      <c r="G267" s="132">
        <f>IFERROR(__xludf.DUMMYFUNCTION("""COMPUTED_VALUE"""),0.0)</f>
        <v>0</v>
      </c>
    </row>
    <row r="268">
      <c r="A268" s="122">
        <f>IFERROR(__xludf.DUMMYFUNCTION("""COMPUTED_VALUE"""),5.0)</f>
        <v>5</v>
      </c>
      <c r="B268" s="36" t="str">
        <f>IFERROR(__xludf.DUMMYFUNCTION("""COMPUTED_VALUE"""),"Lloyd Sagar")</f>
        <v>Lloyd Sagar</v>
      </c>
      <c r="C268" s="132">
        <f>IFERROR(__xludf.DUMMYFUNCTION("""COMPUTED_VALUE"""),7.0)</f>
        <v>7</v>
      </c>
      <c r="D268" s="132">
        <f>IFERROR(__xludf.DUMMYFUNCTION("""COMPUTED_VALUE"""),6.0)</f>
        <v>6</v>
      </c>
      <c r="E268" s="132">
        <f>IFERROR(__xludf.DUMMYFUNCTION("""COMPUTED_VALUE"""),2.0)</f>
        <v>2</v>
      </c>
      <c r="F268" s="132">
        <f>IFERROR(__xludf.DUMMYFUNCTION("""COMPUTED_VALUE"""),15.0)</f>
        <v>15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IFERROR(__xludf.DUMMYFUNCTION("""COMPUTED_VALUE"""),"Erik Hoeckmann")</f>
        <v>Erik Hoeckmann</v>
      </c>
      <c r="C269" s="132">
        <f>IFERROR(__xludf.DUMMYFUNCTION("""COMPUTED_VALUE"""),7.0)</f>
        <v>7</v>
      </c>
      <c r="D269" s="132">
        <f>IFERROR(__xludf.DUMMYFUNCTION("""COMPUTED_VALUE"""),1.0)</f>
        <v>1</v>
      </c>
      <c r="E269" s="132">
        <f>IFERROR(__xludf.DUMMYFUNCTION("""COMPUTED_VALUE"""),6.0)</f>
        <v>6</v>
      </c>
      <c r="F269" s="132">
        <f>IFERROR(__xludf.DUMMYFUNCTION("""COMPUTED_VALUE"""),14.0)</f>
        <v>14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IFERROR(__xludf.DUMMYFUNCTION("""COMPUTED_VALUE"""),"Art Hui")</f>
        <v>Art Hui</v>
      </c>
      <c r="C270" s="135">
        <f>IFERROR(__xludf.DUMMYFUNCTION("""COMPUTED_VALUE"""),5.0)</f>
        <v>5</v>
      </c>
      <c r="D270" s="135">
        <f>IFERROR(__xludf.DUMMYFUNCTION("""COMPUTED_VALUE"""),6.0)</f>
        <v>6</v>
      </c>
      <c r="E270" s="135">
        <f>IFERROR(__xludf.DUMMYFUNCTION("""COMPUTED_VALUE"""),6.0)</f>
        <v>6</v>
      </c>
      <c r="F270" s="135">
        <f>IFERROR(__xludf.DUMMYFUNCTION("""COMPUTED_VALUE"""),17.0)</f>
        <v>17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IFERROR(__xludf.DUMMYFUNCTION("""COMPUTED_VALUE"""),"Ruben Ron")</f>
        <v>Ruben Ron</v>
      </c>
      <c r="C271" s="135">
        <f>IFERROR(__xludf.DUMMYFUNCTION("""COMPUTED_VALUE"""),7.0)</f>
        <v>7</v>
      </c>
      <c r="D271" s="135">
        <f>IFERROR(__xludf.DUMMYFUNCTION("""COMPUTED_VALUE"""),6.0)</f>
        <v>6</v>
      </c>
      <c r="E271" s="135">
        <f>IFERROR(__xludf.DUMMYFUNCTION("""COMPUTED_VALUE"""),3.0)</f>
        <v>3</v>
      </c>
      <c r="F271" s="135">
        <f>IFERROR(__xludf.DUMMYFUNCTION("""COMPUTED_VALUE"""),16.0)</f>
        <v>16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IFERROR(__xludf.DUMMYFUNCTION("""COMPUTED_VALUE"""),"Wayne Liu")</f>
        <v>Wayne Liu</v>
      </c>
      <c r="C272" s="135">
        <f>IFERROR(__xludf.DUMMYFUNCTION("""COMPUTED_VALUE"""),7.0)</f>
        <v>7</v>
      </c>
      <c r="D272" s="135">
        <f>IFERROR(__xludf.DUMMYFUNCTION("""COMPUTED_VALUE"""),4.0)</f>
        <v>4</v>
      </c>
      <c r="E272" s="135">
        <f>IFERROR(__xludf.DUMMYFUNCTION("""COMPUTED_VALUE"""),6.0)</f>
        <v>6</v>
      </c>
      <c r="F272" s="135">
        <f>IFERROR(__xludf.DUMMYFUNCTION("""COMPUTED_VALUE"""),17.0)</f>
        <v>17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IFERROR(__xludf.DUMMYFUNCTION("""COMPUTED_VALUE"""),"Scott Li")</f>
        <v>Scott Li</v>
      </c>
      <c r="C273" s="135">
        <f>IFERROR(__xludf.DUMMYFUNCTION("""COMPUTED_VALUE"""),5.0)</f>
        <v>5</v>
      </c>
      <c r="D273" s="135">
        <f>IFERROR(__xludf.DUMMYFUNCTION("""COMPUTED_VALUE"""),4.0)</f>
        <v>4</v>
      </c>
      <c r="E273" s="135">
        <f>IFERROR(__xludf.DUMMYFUNCTION("""COMPUTED_VALUE"""),3.0)</f>
        <v>3</v>
      </c>
      <c r="F273" s="135">
        <f>IFERROR(__xludf.DUMMYFUNCTION("""COMPUTED_VALUE"""),12.0)</f>
        <v>12</v>
      </c>
      <c r="G273" s="135">
        <f>IFERROR(__xludf.DUMMYFUNCTION("""COMPUTED_VALUE"""),0.0)</f>
        <v>0</v>
      </c>
    </row>
    <row r="274">
      <c r="A274" s="122">
        <f>IFERROR(__xludf.DUMMYFUNCTION("""COMPUTED_VALUE"""),7.0)</f>
        <v>7</v>
      </c>
      <c r="B274" s="36" t="str">
        <f>IFERROR(__xludf.DUMMYFUNCTION("""COMPUTED_VALUE"""),"Manuel Rivera")</f>
        <v>Manuel Rivera</v>
      </c>
      <c r="C274" s="132">
        <f>IFERROR(__xludf.DUMMYFUNCTION("""COMPUTED_VALUE"""),3.0)</f>
        <v>3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IFERROR(__xludf.DUMMYFUNCTION("""COMPUTED_VALUE"""),15.0)</f>
        <v>15</v>
      </c>
      <c r="G274" s="132">
        <f>IFERROR(__xludf.DUMMYFUNCTION("""COMPUTED_VALUE"""),2.0)</f>
        <v>2</v>
      </c>
    </row>
    <row r="275">
      <c r="A275" s="122">
        <f>IFERROR(__xludf.DUMMYFUNCTION("""COMPUTED_VALUE"""),7.0)</f>
        <v>7</v>
      </c>
      <c r="B275" s="36" t="str">
        <f>IFERROR(__xludf.DUMMYFUNCTION("""COMPUTED_VALUE"""),"Jimmy Awolesi")</f>
        <v>Jimmy Awolesi</v>
      </c>
      <c r="C275" s="132">
        <f>IFERROR(__xludf.DUMMYFUNCTION("""COMPUTED_VALUE"""),6.0)</f>
        <v>6</v>
      </c>
      <c r="D275" s="132">
        <f>IFERROR(__xludf.DUMMYFUNCTION("""COMPUTED_VALUE"""),2.0)</f>
        <v>2</v>
      </c>
      <c r="E275" s="132">
        <f>IFERROR(__xludf.DUMMYFUNCTION("""COMPUTED_VALUE"""),6.0)</f>
        <v>6</v>
      </c>
      <c r="F275" s="132">
        <f>IFERROR(__xludf.DUMMYFUNCTION("""COMPUTED_VALUE"""),14.0)</f>
        <v>14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IFERROR(__xludf.DUMMYFUNCTION("""COMPUTED_VALUE"""),"Trish Newlin")</f>
        <v>Trish Newlin</v>
      </c>
      <c r="C276" s="132">
        <f>IFERROR(__xludf.DUMMYFUNCTION("""COMPUTED_VALUE"""),6.0)</f>
        <v>6</v>
      </c>
      <c r="D276" s="132">
        <f>IFERROR(__xludf.DUMMYFUNCTION("""COMPUTED_VALUE"""),6.0)</f>
        <v>6</v>
      </c>
      <c r="E276" s="132">
        <f>IFERROR(__xludf.DUMMYFUNCTION("""COMPUTED_VALUE"""),3.0)</f>
        <v>3</v>
      </c>
      <c r="F276" s="132">
        <f>IFERROR(__xludf.DUMMYFUNCTION("""COMPUTED_VALUE"""),15.0)</f>
        <v>15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IFERROR(__xludf.DUMMYFUNCTION("""COMPUTED_VALUE"""),"Saravanan Veerapandian")</f>
        <v>Saravanan Veerapandian</v>
      </c>
      <c r="C277" s="132">
        <f>IFERROR(__xludf.DUMMYFUNCTION("""COMPUTED_VALUE"""),3.0)</f>
        <v>3</v>
      </c>
      <c r="D277" s="132">
        <f>IFERROR(__xludf.DUMMYFUNCTION("""COMPUTED_VALUE"""),2.0)</f>
        <v>2</v>
      </c>
      <c r="E277" s="132">
        <f>IFERROR(__xludf.DUMMYFUNCTION("""COMPUTED_VALUE"""),3.0)</f>
        <v>3</v>
      </c>
      <c r="F277" s="132">
        <f>IFERROR(__xludf.DUMMYFUNCTION("""COMPUTED_VALUE"""),8.0)</f>
        <v>8</v>
      </c>
      <c r="G277" s="132">
        <f>IFERROR(__xludf.DUMMYFUNCTION("""COMPUTED_VALUE"""),0.0)</f>
        <v>0</v>
      </c>
    </row>
    <row r="278">
      <c r="A278" s="133">
        <f>IFERROR(__xludf.DUMMYFUNCTION("""COMPUTED_VALUE"""),8.0)</f>
        <v>8</v>
      </c>
      <c r="B278" s="134" t="str">
        <f>IFERROR(__xludf.DUMMYFUNCTION("""COMPUTED_VALUE"""),"Eric Tan")</f>
        <v>Eric Tan</v>
      </c>
      <c r="C278" s="135">
        <f>IFERROR(__xludf.DUMMYFUNCTION("""COMPUTED_VALUE"""),6.0)</f>
        <v>6</v>
      </c>
      <c r="D278" s="135">
        <f>IFERROR(__xludf.DUMMYFUNCTION("""COMPUTED_VALUE"""),1.0)</f>
        <v>1</v>
      </c>
      <c r="E278" s="135">
        <f>IFERROR(__xludf.DUMMYFUNCTION("""COMPUTED_VALUE"""),7.0)</f>
        <v>7</v>
      </c>
      <c r="F278" s="135">
        <f>IFERROR(__xludf.DUMMYFUNCTION("""COMPUTED_VALUE"""),14.0)</f>
        <v>14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IFERROR(__xludf.DUMMYFUNCTION("""COMPUTED_VALUE"""),"Kumar Palakeel")</f>
        <v>Kumar Palakeel</v>
      </c>
      <c r="C279" s="135">
        <f>IFERROR(__xludf.DUMMYFUNCTION("""COMPUTED_VALUE"""),6.0)</f>
        <v>6</v>
      </c>
      <c r="D279" s="135">
        <f>IFERROR(__xludf.DUMMYFUNCTION("""COMPUTED_VALUE"""),6.0)</f>
        <v>6</v>
      </c>
      <c r="E279" s="135">
        <f>IFERROR(__xludf.DUMMYFUNCTION("""COMPUTED_VALUE"""),5.0)</f>
        <v>5</v>
      </c>
      <c r="F279" s="135">
        <f>IFERROR(__xludf.DUMMYFUNCTION("""COMPUTED_VALUE"""),17.0)</f>
        <v>17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IFERROR(__xludf.DUMMYFUNCTION("""COMPUTED_VALUE"""),"Lenin Belangonda ")</f>
        <v>Lenin Belangonda </v>
      </c>
      <c r="C280" s="135">
        <f>IFERROR(__xludf.DUMMYFUNCTION("""COMPUTED_VALUE"""),2.0)</f>
        <v>2</v>
      </c>
      <c r="D280" s="135">
        <f>IFERROR(__xludf.DUMMYFUNCTION("""COMPUTED_VALUE"""),6.0)</f>
        <v>6</v>
      </c>
      <c r="E280" s="135">
        <f>IFERROR(__xludf.DUMMYFUNCTION("""COMPUTED_VALUE"""),7.0)</f>
        <v>7</v>
      </c>
      <c r="F280" s="135">
        <f>IFERROR(__xludf.DUMMYFUNCTION("""COMPUTED_VALUE"""),15.0)</f>
        <v>15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IFERROR(__xludf.DUMMYFUNCTION("""COMPUTED_VALUE"""),"Ranjith Doraiswamy")</f>
        <v>Ranjith Doraiswamy</v>
      </c>
      <c r="C281" s="135">
        <f>IFERROR(__xludf.DUMMYFUNCTION("""COMPUTED_VALUE"""),2.0)</f>
        <v>2</v>
      </c>
      <c r="D281" s="135">
        <f>IFERROR(__xludf.DUMMYFUNCTION("""COMPUTED_VALUE"""),1.0)</f>
        <v>1</v>
      </c>
      <c r="E281" s="135">
        <f>IFERROR(__xludf.DUMMYFUNCTION("""COMPUTED_VALUE"""),5.0)</f>
        <v>5</v>
      </c>
      <c r="F281" s="135">
        <f>IFERROR(__xludf.DUMMYFUNCTION("""COMPUTED_VALUE"""),8.0)</f>
        <v>8</v>
      </c>
      <c r="G281" s="135">
        <f>IFERROR(__xludf.DUMMYFUNCTION("""COMPUTED_VALUE"""),0.0)</f>
        <v>0</v>
      </c>
    </row>
    <row r="282">
      <c r="A282" s="122">
        <f>IFERROR(__xludf.DUMMYFUNCTION("""COMPUTED_VALUE"""),9.0)</f>
        <v>9</v>
      </c>
      <c r="B282" s="36" t="str">
        <f>IFERROR(__xludf.DUMMYFUNCTION("""COMPUTED_VALUE"""),"Andrew Yao")</f>
        <v>Andrew Yao</v>
      </c>
      <c r="C282" s="132">
        <f>IFERROR(__xludf.DUMMYFUNCTION("""COMPUTED_VALUE"""),7.0)</f>
        <v>7</v>
      </c>
      <c r="D282" s="132">
        <f>IFERROR(__xludf.DUMMYFUNCTION("""COMPUTED_VALUE"""),3.0)</f>
        <v>3</v>
      </c>
      <c r="E282" s="132">
        <f>IFERROR(__xludf.DUMMYFUNCTION("""COMPUTED_VALUE"""),6.0)</f>
        <v>6</v>
      </c>
      <c r="F282" s="132">
        <f>IFERROR(__xludf.DUMMYFUNCTION("""COMPUTED_VALUE"""),16.0)</f>
        <v>16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IFERROR(__xludf.DUMMYFUNCTION("""COMPUTED_VALUE"""),"Sandeep Kamalon")</f>
        <v>Sandeep Kamalon</v>
      </c>
      <c r="C283" s="132">
        <f>IFERROR(__xludf.DUMMYFUNCTION("""COMPUTED_VALUE"""),6.0)</f>
        <v>6</v>
      </c>
      <c r="D283" s="132">
        <f>IFERROR(__xludf.DUMMYFUNCTION("""COMPUTED_VALUE"""),6.0)</f>
        <v>6</v>
      </c>
      <c r="E283" s="132">
        <f>IFERROR(__xludf.DUMMYFUNCTION("""COMPUTED_VALUE"""),6.0)</f>
        <v>6</v>
      </c>
      <c r="F283" s="132">
        <f>IFERROR(__xludf.DUMMYFUNCTION("""COMPUTED_VALUE"""),18.0)</f>
        <v>18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IFERROR(__xludf.DUMMYFUNCTION("""COMPUTED_VALUE"""),"Suleman Alidina")</f>
        <v>Suleman Alidina</v>
      </c>
      <c r="C284" s="132">
        <f>IFERROR(__xludf.DUMMYFUNCTION("""COMPUTED_VALUE"""),6.0)</f>
        <v>6</v>
      </c>
      <c r="D284" s="132">
        <f>IFERROR(__xludf.DUMMYFUNCTION("""COMPUTED_VALUE"""),3.0)</f>
        <v>3</v>
      </c>
      <c r="E284" s="132">
        <f>IFERROR(__xludf.DUMMYFUNCTION("""COMPUTED_VALUE"""),1.0)</f>
        <v>1</v>
      </c>
      <c r="F284" s="132">
        <f>IFERROR(__xludf.DUMMYFUNCTION("""COMPUTED_VALUE"""),10.0)</f>
        <v>10</v>
      </c>
      <c r="G284" s="132">
        <f>IFERROR(__xludf.DUMMYFUNCTION("""COMPUTED_VALUE"""),0.0)</f>
        <v>0</v>
      </c>
    </row>
    <row r="285">
      <c r="A285" s="122">
        <f>IFERROR(__xludf.DUMMYFUNCTION("""COMPUTED_VALUE"""),9.0)</f>
        <v>9</v>
      </c>
      <c r="B285" s="36" t="str">
        <f>IFERROR(__xludf.DUMMYFUNCTION("""COMPUTED_VALUE"""),"David Shin")</f>
        <v>David Shin</v>
      </c>
      <c r="C285" s="132">
        <f>IFERROR(__xludf.DUMMYFUNCTION("""COMPUTED_VALUE"""),7.0)</f>
        <v>7</v>
      </c>
      <c r="D285" s="132">
        <f>IFERROR(__xludf.DUMMYFUNCTION("""COMPUTED_VALUE"""),6.0)</f>
        <v>6</v>
      </c>
      <c r="E285" s="132">
        <f>IFERROR(__xludf.DUMMYFUNCTION("""COMPUTED_VALUE"""),1.0)</f>
        <v>1</v>
      </c>
      <c r="F285" s="132">
        <f>IFERROR(__xludf.DUMMYFUNCTION("""COMPUTED_VALUE"""),14.0)</f>
        <v>14</v>
      </c>
      <c r="G285" s="132">
        <f>IFERROR(__xludf.DUMMYFUNCTION("""COMPUTED_VALUE"""),2.0)</f>
        <v>2</v>
      </c>
    </row>
    <row r="286">
      <c r="A286" s="133">
        <f>IFERROR(__xludf.DUMMYFUNCTION("""COMPUTED_VALUE"""),10.0)</f>
        <v>10</v>
      </c>
      <c r="B286" s="134" t="str">
        <f>IFERROR(__xludf.DUMMYFUNCTION("""COMPUTED_VALUE"""),"Vinotkumar Nagappan")</f>
        <v>Vinotkumar Nagappan</v>
      </c>
      <c r="C286" s="135">
        <f>IFERROR(__xludf.DUMMYFUNCTION("""COMPUTED_VALUE"""),6.0)</f>
        <v>6</v>
      </c>
      <c r="D286" s="135">
        <f>IFERROR(__xludf.DUMMYFUNCTION("""COMPUTED_VALUE"""),1.0)</f>
        <v>1</v>
      </c>
      <c r="E286" s="135">
        <f>IFERROR(__xludf.DUMMYFUNCTION("""COMPUTED_VALUE"""),6.0)</f>
        <v>6</v>
      </c>
      <c r="F286" s="135">
        <f>IFERROR(__xludf.DUMMYFUNCTION("""COMPUTED_VALUE"""),13.0)</f>
        <v>13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IFERROR(__xludf.DUMMYFUNCTION("""COMPUTED_VALUE"""),"Hongyuan Wen")</f>
        <v>Hongyuan Wen</v>
      </c>
      <c r="C287" s="135">
        <f>IFERROR(__xludf.DUMMYFUNCTION("""COMPUTED_VALUE"""),3.0)</f>
        <v>3</v>
      </c>
      <c r="D287" s="135">
        <f>IFERROR(__xludf.DUMMYFUNCTION("""COMPUTED_VALUE"""),1.0)</f>
        <v>1</v>
      </c>
      <c r="E287" s="135">
        <f>IFERROR(__xludf.DUMMYFUNCTION("""COMPUTED_VALUE"""),3.0)</f>
        <v>3</v>
      </c>
      <c r="F287" s="135">
        <f>IFERROR(__xludf.DUMMYFUNCTION("""COMPUTED_VALUE"""),7.0)</f>
        <v>7</v>
      </c>
      <c r="G287" s="135">
        <f>IFERROR(__xludf.DUMMYFUNCTION("""COMPUTED_VALUE"""),0.0)</f>
        <v>0</v>
      </c>
    </row>
    <row r="288">
      <c r="A288" s="133">
        <f>IFERROR(__xludf.DUMMYFUNCTION("""COMPUTED_VALUE"""),10.0)</f>
        <v>10</v>
      </c>
      <c r="B288" s="134" t="str">
        <f>IFERROR(__xludf.DUMMYFUNCTION("""COMPUTED_VALUE"""),"Chinna Ponnaganti")</f>
        <v>Chinna Ponnaganti</v>
      </c>
      <c r="C288" s="135">
        <f>IFERROR(__xludf.DUMMYFUNCTION("""COMPUTED_VALUE"""),3.0)</f>
        <v>3</v>
      </c>
      <c r="D288" s="135">
        <f>IFERROR(__xludf.DUMMYFUNCTION("""COMPUTED_VALUE"""),6.0)</f>
        <v>6</v>
      </c>
      <c r="E288" s="135">
        <f>IFERROR(__xludf.DUMMYFUNCTION("""COMPUTED_VALUE"""),6.0)</f>
        <v>6</v>
      </c>
      <c r="F288" s="135">
        <f>IFERROR(__xludf.DUMMYFUNCTION("""COMPUTED_VALUE"""),15.0)</f>
        <v>15</v>
      </c>
      <c r="G288" s="135">
        <f>IFERROR(__xludf.DUMMYFUNCTION("""COMPUTED_VALUE"""),2.0)</f>
        <v>2</v>
      </c>
    </row>
    <row r="289">
      <c r="A289" s="133">
        <f>IFERROR(__xludf.DUMMYFUNCTION("""COMPUTED_VALUE"""),10.0)</f>
        <v>10</v>
      </c>
      <c r="B289" s="134" t="str">
        <f>IFERROR(__xludf.DUMMYFUNCTION("""COMPUTED_VALUE"""),"Coco Yan")</f>
        <v>Coco Yan</v>
      </c>
      <c r="C289" s="135">
        <f>IFERROR(__xludf.DUMMYFUNCTION("""COMPUTED_VALUE"""),6.0)</f>
        <v>6</v>
      </c>
      <c r="D289" s="135">
        <f>IFERROR(__xludf.DUMMYFUNCTION("""COMPUTED_VALUE"""),6.0)</f>
        <v>6</v>
      </c>
      <c r="E289" s="135">
        <f>IFERROR(__xludf.DUMMYFUNCTION("""COMPUTED_VALUE"""),3.0)</f>
        <v>3</v>
      </c>
      <c r="F289" s="135">
        <f>IFERROR(__xludf.DUMMYFUNCTION("""COMPUTED_VALUE"""),15.0)</f>
        <v>15</v>
      </c>
      <c r="G289" s="135">
        <f>IFERROR(__xludf.DUMMYFUNCTION("""COMPUTED_VALUE"""),2.0)</f>
        <v>2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IFERROR(__xludf.DUMMYFUNCTION("""COMPUTED_VALUE"""),"Scott Li")</f>
        <v>Scott Li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IFERROR(__xludf.DUMMYFUNCTION("""COMPUTED_VALUE"""),"Sean Chang")</f>
        <v>Sean Chang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IFERROR(__xludf.DUMMYFUNCTION("""COMPUTED_VALUE"""),"Suleman Alidina")</f>
        <v>Suleman Alidina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IFERROR(__xludf.DUMMYFUNCTION("""COMPUTED_VALUE"""),"Ted Shen")</f>
        <v>Ted Shen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IFERROR(__xludf.DUMMYFUNCTION("""COMPUTED_VALUE"""),"Tina Hanson")</f>
        <v>Tina Hanson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46081.0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8.0</v>
      </c>
      <c r="E2" s="5"/>
      <c r="F2" s="5"/>
      <c r="R2" s="18"/>
      <c r="AC2" s="22" t="str">
        <f>text(C1-7,"mm/dd/yy")</f>
        <v>02/21/26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119.0</v>
      </c>
      <c r="D5" s="37">
        <v>17.0</v>
      </c>
      <c r="E5" s="40">
        <f t="shared" ref="E5:E79" si="2">if(S5&gt;0,(C5-(V5*9)-(T5*13))/S5,0)</f>
        <v>14.875</v>
      </c>
      <c r="F5" s="90">
        <v>1.0</v>
      </c>
      <c r="G5" s="91">
        <v>9.0</v>
      </c>
      <c r="H5" s="92">
        <v>0.0</v>
      </c>
      <c r="I5" s="91">
        <v>7.0</v>
      </c>
      <c r="J5" s="91">
        <v>3.0</v>
      </c>
      <c r="K5" s="91">
        <v>6.0</v>
      </c>
      <c r="L5" s="93">
        <v>16.0</v>
      </c>
      <c r="M5" s="91">
        <v>2.0</v>
      </c>
      <c r="N5" s="37">
        <f t="shared" ref="N5:O5" si="1">C5+L5</f>
        <v>135</v>
      </c>
      <c r="O5" s="37">
        <f t="shared" si="1"/>
        <v>19</v>
      </c>
      <c r="P5" s="49" t="s">
        <v>57</v>
      </c>
      <c r="Q5" s="49" t="s">
        <v>57</v>
      </c>
      <c r="R5" s="49" t="s">
        <v>57</v>
      </c>
      <c r="S5" s="51">
        <f t="shared" ref="S5:S63" si="4">vlookup(B5,indirect("'" &amp; AC$2 &amp; "'!B5:W79"),18,false)++if(text(C$1,"mm/dd/yy")=$AC$2,0,if(H5&gt;0,0,1))</f>
        <v>8</v>
      </c>
      <c r="T5" s="52">
        <f t="shared" ref="T5:T63" si="5">if(H5=13,1,0)+vlookup(B5,indirect("'" &amp; AC$2 &amp; "'!B5:W79"),19,false)</f>
        <v>0</v>
      </c>
      <c r="U5" s="52"/>
      <c r="V5" s="51">
        <f t="shared" ref="V5:V63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68</v>
      </c>
      <c r="C6" s="37">
        <v>106.0</v>
      </c>
      <c r="D6" s="37">
        <v>12.0</v>
      </c>
      <c r="E6" s="40">
        <f t="shared" si="2"/>
        <v>13.85714286</v>
      </c>
      <c r="F6" s="90">
        <v>1.0</v>
      </c>
      <c r="G6" s="91">
        <v>9.0</v>
      </c>
      <c r="H6" s="92">
        <v>0.0</v>
      </c>
      <c r="I6" s="91">
        <v>6.0</v>
      </c>
      <c r="J6" s="91">
        <v>6.0</v>
      </c>
      <c r="K6" s="91">
        <v>6.0</v>
      </c>
      <c r="L6" s="93">
        <v>18.0</v>
      </c>
      <c r="M6" s="91">
        <v>2.0</v>
      </c>
      <c r="N6" s="37">
        <f t="shared" ref="N6:O6" si="3">C6+L6</f>
        <v>124</v>
      </c>
      <c r="O6" s="37">
        <f t="shared" si="3"/>
        <v>14</v>
      </c>
      <c r="P6" s="49" t="s">
        <v>57</v>
      </c>
      <c r="Q6" s="49" t="s">
        <v>57</v>
      </c>
      <c r="R6" s="49" t="s">
        <v>57</v>
      </c>
      <c r="S6" s="51">
        <f t="shared" si="4"/>
        <v>7</v>
      </c>
      <c r="T6" s="52">
        <f t="shared" si="5"/>
        <v>0</v>
      </c>
      <c r="U6" s="52"/>
      <c r="V6" s="51">
        <f t="shared" si="6"/>
        <v>1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106.0</v>
      </c>
      <c r="D7" s="37">
        <v>12.0</v>
      </c>
      <c r="E7" s="40">
        <f t="shared" si="2"/>
        <v>13.25</v>
      </c>
      <c r="F7" s="90">
        <v>1.0</v>
      </c>
      <c r="G7" s="91">
        <v>9.0</v>
      </c>
      <c r="H7" s="92">
        <v>0.0</v>
      </c>
      <c r="I7" s="91">
        <v>6.0</v>
      </c>
      <c r="J7" s="91">
        <v>3.0</v>
      </c>
      <c r="K7" s="91">
        <v>1.0</v>
      </c>
      <c r="L7" s="93">
        <v>10.0</v>
      </c>
      <c r="M7" s="91">
        <v>0.0</v>
      </c>
      <c r="N7" s="37">
        <f t="shared" ref="N7:O7" si="11">C7+L7</f>
        <v>116</v>
      </c>
      <c r="O7" s="37">
        <f t="shared" si="11"/>
        <v>12</v>
      </c>
      <c r="P7" s="49" t="s">
        <v>57</v>
      </c>
      <c r="Q7" s="49" t="s">
        <v>57</v>
      </c>
      <c r="R7" s="49" t="s">
        <v>57</v>
      </c>
      <c r="S7" s="51">
        <f t="shared" si="4"/>
        <v>8</v>
      </c>
      <c r="T7" s="52">
        <f t="shared" si="5"/>
        <v>0</v>
      </c>
      <c r="U7" s="52"/>
      <c r="V7" s="51">
        <f t="shared" si="6"/>
        <v>0</v>
      </c>
      <c r="W7" s="52">
        <f t="shared" si="7"/>
        <v>1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94</v>
      </c>
      <c r="C8" s="37">
        <v>101.0</v>
      </c>
      <c r="D8" s="37">
        <v>11.0</v>
      </c>
      <c r="E8" s="40">
        <f t="shared" si="2"/>
        <v>13.83333333</v>
      </c>
      <c r="F8" s="90">
        <v>1.0</v>
      </c>
      <c r="G8" s="91">
        <v>9.0</v>
      </c>
      <c r="H8" s="92">
        <v>0.0</v>
      </c>
      <c r="I8" s="91">
        <v>7.0</v>
      </c>
      <c r="J8" s="91">
        <v>6.0</v>
      </c>
      <c r="K8" s="91">
        <v>1.0</v>
      </c>
      <c r="L8" s="93">
        <v>14.0</v>
      </c>
      <c r="M8" s="91">
        <v>2.0</v>
      </c>
      <c r="N8" s="37">
        <f t="shared" ref="N8:O8" si="13">C8+L8</f>
        <v>115</v>
      </c>
      <c r="O8" s="37">
        <f t="shared" si="13"/>
        <v>13</v>
      </c>
      <c r="P8" s="49" t="s">
        <v>57</v>
      </c>
      <c r="Q8" s="49" t="s">
        <v>57</v>
      </c>
      <c r="R8" s="49" t="s">
        <v>57</v>
      </c>
      <c r="S8" s="51">
        <f t="shared" si="4"/>
        <v>6</v>
      </c>
      <c r="T8" s="52">
        <f t="shared" si="5"/>
        <v>0</v>
      </c>
      <c r="U8" s="52"/>
      <c r="V8" s="51">
        <f t="shared" si="6"/>
        <v>2</v>
      </c>
      <c r="W8" s="52">
        <f t="shared" si="7"/>
        <v>-1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127</v>
      </c>
      <c r="C9" s="37">
        <v>98.0</v>
      </c>
      <c r="D9" s="37">
        <v>11.0</v>
      </c>
      <c r="E9" s="40">
        <f t="shared" si="2"/>
        <v>12.71428571</v>
      </c>
      <c r="F9" s="90">
        <v>1.0</v>
      </c>
      <c r="G9" s="91">
        <v>1.0</v>
      </c>
      <c r="H9" s="92">
        <v>0.0</v>
      </c>
      <c r="I9" s="91">
        <v>6.0</v>
      </c>
      <c r="J9" s="91">
        <v>6.0</v>
      </c>
      <c r="K9" s="91">
        <v>6.0</v>
      </c>
      <c r="L9" s="93">
        <v>18.0</v>
      </c>
      <c r="M9" s="91">
        <v>3.0</v>
      </c>
      <c r="N9" s="37">
        <f t="shared" ref="N9:O9" si="14">C9+L9</f>
        <v>116</v>
      </c>
      <c r="O9" s="37">
        <f t="shared" si="14"/>
        <v>14</v>
      </c>
      <c r="P9" s="49" t="s">
        <v>57</v>
      </c>
      <c r="Q9" s="49" t="s">
        <v>57</v>
      </c>
      <c r="R9" s="49" t="s">
        <v>57</v>
      </c>
      <c r="S9" s="51">
        <f t="shared" si="4"/>
        <v>7</v>
      </c>
      <c r="T9" s="52">
        <f t="shared" si="5"/>
        <v>0</v>
      </c>
      <c r="U9" s="52"/>
      <c r="V9" s="51">
        <f t="shared" si="6"/>
        <v>1</v>
      </c>
      <c r="W9" s="52">
        <f t="shared" si="7"/>
        <v>7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63</v>
      </c>
      <c r="C10" s="37">
        <v>97.0</v>
      </c>
      <c r="D10" s="37">
        <v>10.0</v>
      </c>
      <c r="E10" s="40">
        <f t="shared" si="2"/>
        <v>13.16666667</v>
      </c>
      <c r="F10" s="90">
        <v>1.0</v>
      </c>
      <c r="G10" s="91">
        <v>1.0</v>
      </c>
      <c r="H10" s="92">
        <v>0.0</v>
      </c>
      <c r="I10" s="91">
        <v>1.0</v>
      </c>
      <c r="J10" s="91">
        <v>3.0</v>
      </c>
      <c r="K10" s="91">
        <v>6.0</v>
      </c>
      <c r="L10" s="93">
        <v>10.0</v>
      </c>
      <c r="M10" s="91">
        <v>1.0</v>
      </c>
      <c r="N10" s="37">
        <f t="shared" ref="N10:O10" si="15">C10+L10</f>
        <v>107</v>
      </c>
      <c r="O10" s="37">
        <f t="shared" si="15"/>
        <v>11</v>
      </c>
      <c r="P10" s="49" t="s">
        <v>57</v>
      </c>
      <c r="Q10" s="49" t="s">
        <v>57</v>
      </c>
      <c r="R10" s="49" t="s">
        <v>57</v>
      </c>
      <c r="S10" s="51">
        <f t="shared" si="4"/>
        <v>6</v>
      </c>
      <c r="T10" s="52">
        <f t="shared" si="5"/>
        <v>0</v>
      </c>
      <c r="U10" s="52"/>
      <c r="V10" s="51">
        <f t="shared" si="6"/>
        <v>2</v>
      </c>
      <c r="W10" s="52">
        <f t="shared" si="7"/>
        <v>0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91</v>
      </c>
      <c r="C11" s="37">
        <v>97.0</v>
      </c>
      <c r="D11" s="37">
        <v>9.0</v>
      </c>
      <c r="E11" s="40">
        <f t="shared" si="2"/>
        <v>14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106</v>
      </c>
      <c r="O11" s="37">
        <f t="shared" si="16"/>
        <v>9</v>
      </c>
      <c r="P11" s="49" t="s">
        <v>57</v>
      </c>
      <c r="Q11" s="49" t="s">
        <v>57</v>
      </c>
      <c r="R11" s="49" t="s">
        <v>57</v>
      </c>
      <c r="S11" s="51">
        <f t="shared" si="4"/>
        <v>5</v>
      </c>
      <c r="T11" s="52">
        <f t="shared" si="5"/>
        <v>0</v>
      </c>
      <c r="U11" s="52"/>
      <c r="V11" s="51">
        <f t="shared" si="6"/>
        <v>3</v>
      </c>
      <c r="W11" s="52">
        <f t="shared" si="7"/>
        <v>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114</v>
      </c>
      <c r="C12" s="37">
        <v>96.0</v>
      </c>
      <c r="D12" s="37">
        <v>11.0</v>
      </c>
      <c r="E12" s="40">
        <f t="shared" si="2"/>
        <v>13.8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105</v>
      </c>
      <c r="O12" s="37">
        <f t="shared" si="17"/>
        <v>11</v>
      </c>
      <c r="P12" s="49" t="s">
        <v>57</v>
      </c>
      <c r="Q12" s="49" t="s">
        <v>57</v>
      </c>
      <c r="R12" s="49" t="s">
        <v>57</v>
      </c>
      <c r="S12" s="51">
        <f t="shared" si="4"/>
        <v>5</v>
      </c>
      <c r="T12" s="52">
        <f t="shared" si="5"/>
        <v>0</v>
      </c>
      <c r="U12" s="52"/>
      <c r="V12" s="51">
        <f t="shared" si="6"/>
        <v>3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103</v>
      </c>
      <c r="C13" s="37">
        <v>95.0</v>
      </c>
      <c r="D13" s="37">
        <v>11.0</v>
      </c>
      <c r="E13" s="40">
        <f t="shared" si="2"/>
        <v>12.28571429</v>
      </c>
      <c r="F13" s="90">
        <v>2.0</v>
      </c>
      <c r="G13" s="91">
        <v>1.0</v>
      </c>
      <c r="H13" s="92">
        <v>0.0</v>
      </c>
      <c r="I13" s="91">
        <v>6.0</v>
      </c>
      <c r="J13" s="91">
        <v>3.0</v>
      </c>
      <c r="K13" s="91">
        <v>4.0</v>
      </c>
      <c r="L13" s="93">
        <v>13.0</v>
      </c>
      <c r="M13" s="91">
        <v>1.0</v>
      </c>
      <c r="N13" s="37">
        <f t="shared" ref="N13:O13" si="18">C13+L13</f>
        <v>108</v>
      </c>
      <c r="O13" s="37">
        <f t="shared" si="18"/>
        <v>12</v>
      </c>
      <c r="P13" s="49" t="s">
        <v>57</v>
      </c>
      <c r="Q13" s="49" t="s">
        <v>57</v>
      </c>
      <c r="R13" s="49" t="s">
        <v>57</v>
      </c>
      <c r="S13" s="51">
        <f t="shared" si="4"/>
        <v>7</v>
      </c>
      <c r="T13" s="52">
        <f t="shared" si="5"/>
        <v>0</v>
      </c>
      <c r="U13" s="52"/>
      <c r="V13" s="51">
        <f t="shared" si="6"/>
        <v>1</v>
      </c>
      <c r="W13" s="52">
        <f t="shared" si="7"/>
        <v>1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111</v>
      </c>
      <c r="C14" s="37">
        <v>95.0</v>
      </c>
      <c r="D14" s="37">
        <v>10.0</v>
      </c>
      <c r="E14" s="40">
        <f t="shared" si="2"/>
        <v>12.16666667</v>
      </c>
      <c r="F14" s="90">
        <v>5.0</v>
      </c>
      <c r="G14" s="91">
        <v>0.0</v>
      </c>
      <c r="H14" s="92">
        <v>13.0</v>
      </c>
      <c r="I14" s="91">
        <v>0.0</v>
      </c>
      <c r="J14" s="91">
        <v>0.0</v>
      </c>
      <c r="K14" s="91">
        <v>0.0</v>
      </c>
      <c r="L14" s="93">
        <v>13.0</v>
      </c>
      <c r="M14" s="91">
        <v>0.0</v>
      </c>
      <c r="N14" s="37">
        <f t="shared" ref="N14:O14" si="19">C14+L14</f>
        <v>108</v>
      </c>
      <c r="O14" s="37">
        <f t="shared" si="19"/>
        <v>10</v>
      </c>
      <c r="P14" s="49" t="s">
        <v>57</v>
      </c>
      <c r="Q14" s="49" t="s">
        <v>57</v>
      </c>
      <c r="R14" s="49" t="s">
        <v>57</v>
      </c>
      <c r="S14" s="51">
        <f t="shared" si="4"/>
        <v>6</v>
      </c>
      <c r="T14" s="52">
        <f t="shared" si="5"/>
        <v>1</v>
      </c>
      <c r="U14" s="52"/>
      <c r="V14" s="51">
        <f t="shared" si="6"/>
        <v>1</v>
      </c>
      <c r="W14" s="52">
        <f t="shared" si="7"/>
        <v>-5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89</v>
      </c>
      <c r="C15" s="37">
        <v>95.0</v>
      </c>
      <c r="D15" s="37">
        <v>10.0</v>
      </c>
      <c r="E15" s="40">
        <f t="shared" si="2"/>
        <v>13.6</v>
      </c>
      <c r="F15" s="90">
        <v>1.0</v>
      </c>
      <c r="G15" s="91">
        <v>1.0</v>
      </c>
      <c r="H15" s="92">
        <v>0.0</v>
      </c>
      <c r="I15" s="91">
        <v>1.0</v>
      </c>
      <c r="J15" s="91">
        <v>6.0</v>
      </c>
      <c r="K15" s="91">
        <v>4.0</v>
      </c>
      <c r="L15" s="93">
        <v>11.0</v>
      </c>
      <c r="M15" s="91">
        <v>1.0</v>
      </c>
      <c r="N15" s="37">
        <f t="shared" ref="N15:O15" si="20">C15+L15</f>
        <v>106</v>
      </c>
      <c r="O15" s="37">
        <f t="shared" si="20"/>
        <v>11</v>
      </c>
      <c r="P15" s="49" t="s">
        <v>57</v>
      </c>
      <c r="Q15" s="49" t="s">
        <v>57</v>
      </c>
      <c r="R15" s="49" t="s">
        <v>57</v>
      </c>
      <c r="S15" s="51">
        <f t="shared" si="4"/>
        <v>5</v>
      </c>
      <c r="T15" s="52">
        <f t="shared" si="5"/>
        <v>0</v>
      </c>
      <c r="U15" s="52"/>
      <c r="V15" s="51">
        <f t="shared" si="6"/>
        <v>3</v>
      </c>
      <c r="W15" s="52">
        <f t="shared" si="7"/>
        <v>6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104</v>
      </c>
      <c r="C16" s="37">
        <v>93.0</v>
      </c>
      <c r="D16" s="37">
        <v>9.0</v>
      </c>
      <c r="E16" s="40">
        <f t="shared" si="2"/>
        <v>12.5</v>
      </c>
      <c r="F16" s="90">
        <v>2.0</v>
      </c>
      <c r="G16" s="91">
        <v>2.0</v>
      </c>
      <c r="H16" s="92">
        <v>0.0</v>
      </c>
      <c r="I16" s="91">
        <v>5.0</v>
      </c>
      <c r="J16" s="91">
        <v>0.0</v>
      </c>
      <c r="K16" s="91">
        <v>0.0</v>
      </c>
      <c r="L16" s="93">
        <v>5.0</v>
      </c>
      <c r="M16" s="91">
        <v>0.0</v>
      </c>
      <c r="N16" s="37">
        <f t="shared" ref="N16:O16" si="21">C16+L16</f>
        <v>98</v>
      </c>
      <c r="O16" s="37">
        <f t="shared" si="21"/>
        <v>9</v>
      </c>
      <c r="P16" s="49" t="s">
        <v>57</v>
      </c>
      <c r="Q16" s="49" t="s">
        <v>57</v>
      </c>
      <c r="R16" s="49" t="s">
        <v>57</v>
      </c>
      <c r="S16" s="51">
        <f t="shared" si="4"/>
        <v>6</v>
      </c>
      <c r="T16" s="52">
        <f t="shared" si="5"/>
        <v>0</v>
      </c>
      <c r="U16" s="52"/>
      <c r="V16" s="51">
        <f t="shared" si="6"/>
        <v>2</v>
      </c>
      <c r="W16" s="52">
        <f t="shared" si="7"/>
        <v>6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108</v>
      </c>
      <c r="C17" s="37">
        <v>92.0</v>
      </c>
      <c r="D17" s="37">
        <v>9.0</v>
      </c>
      <c r="E17" s="40">
        <f t="shared" si="2"/>
        <v>11.85714286</v>
      </c>
      <c r="F17" s="90">
        <v>2.0</v>
      </c>
      <c r="G17" s="91">
        <v>2.0</v>
      </c>
      <c r="H17" s="92">
        <v>0.0</v>
      </c>
      <c r="I17" s="91">
        <v>7.0</v>
      </c>
      <c r="J17" s="91">
        <v>0.0</v>
      </c>
      <c r="K17" s="91">
        <v>6.0</v>
      </c>
      <c r="L17" s="93">
        <v>13.0</v>
      </c>
      <c r="M17" s="91">
        <v>2.0</v>
      </c>
      <c r="N17" s="37">
        <f t="shared" ref="N17:O17" si="22">C17+L17</f>
        <v>105</v>
      </c>
      <c r="O17" s="37">
        <f t="shared" si="22"/>
        <v>11</v>
      </c>
      <c r="P17" s="49" t="s">
        <v>57</v>
      </c>
      <c r="Q17" s="49" t="s">
        <v>57</v>
      </c>
      <c r="R17" s="49" t="s">
        <v>57</v>
      </c>
      <c r="S17" s="51">
        <f t="shared" si="4"/>
        <v>7</v>
      </c>
      <c r="T17" s="52">
        <f t="shared" si="5"/>
        <v>0</v>
      </c>
      <c r="U17" s="52"/>
      <c r="V17" s="51">
        <f t="shared" si="6"/>
        <v>1</v>
      </c>
      <c r="W17" s="52">
        <f t="shared" si="7"/>
        <v>-5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128</v>
      </c>
      <c r="C18" s="37">
        <v>92.0</v>
      </c>
      <c r="D18" s="37">
        <v>9.0</v>
      </c>
      <c r="E18" s="40">
        <f t="shared" si="2"/>
        <v>11.85714286</v>
      </c>
      <c r="F18" s="90">
        <v>1.0</v>
      </c>
      <c r="G18" s="91">
        <v>2.0</v>
      </c>
      <c r="H18" s="92">
        <v>0.0</v>
      </c>
      <c r="I18" s="91">
        <v>5.0</v>
      </c>
      <c r="J18" s="91">
        <v>6.0</v>
      </c>
      <c r="K18" s="91">
        <v>6.0</v>
      </c>
      <c r="L18" s="93">
        <v>17.0</v>
      </c>
      <c r="M18" s="91">
        <v>2.0</v>
      </c>
      <c r="N18" s="37">
        <f t="shared" ref="N18:O18" si="23">C18+L18</f>
        <v>109</v>
      </c>
      <c r="O18" s="37">
        <f t="shared" si="23"/>
        <v>11</v>
      </c>
      <c r="P18" s="49" t="s">
        <v>57</v>
      </c>
      <c r="Q18" s="49" t="s">
        <v>57</v>
      </c>
      <c r="R18" s="49" t="s">
        <v>57</v>
      </c>
      <c r="S18" s="51">
        <f t="shared" si="4"/>
        <v>7</v>
      </c>
      <c r="T18" s="52">
        <f t="shared" si="5"/>
        <v>0</v>
      </c>
      <c r="U18" s="52"/>
      <c r="V18" s="51">
        <f t="shared" si="6"/>
        <v>1</v>
      </c>
      <c r="W18" s="52">
        <f t="shared" si="7"/>
        <v>6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96</v>
      </c>
      <c r="C19" s="37">
        <v>92.0</v>
      </c>
      <c r="D19" s="37">
        <v>8.0</v>
      </c>
      <c r="E19" s="40">
        <f t="shared" si="2"/>
        <v>11.5</v>
      </c>
      <c r="F19" s="90">
        <v>1.0</v>
      </c>
      <c r="G19" s="91">
        <v>2.0</v>
      </c>
      <c r="H19" s="92">
        <v>0.0</v>
      </c>
      <c r="I19" s="91">
        <v>7.0</v>
      </c>
      <c r="J19" s="91">
        <v>6.0</v>
      </c>
      <c r="K19" s="91">
        <v>0.0</v>
      </c>
      <c r="L19" s="93">
        <v>13.0</v>
      </c>
      <c r="M19" s="91">
        <v>2.0</v>
      </c>
      <c r="N19" s="37">
        <f t="shared" ref="N19:O19" si="24">C19+L19</f>
        <v>105</v>
      </c>
      <c r="O19" s="37">
        <f t="shared" si="24"/>
        <v>10</v>
      </c>
      <c r="P19" s="49" t="s">
        <v>57</v>
      </c>
      <c r="Q19" s="49" t="s">
        <v>57</v>
      </c>
      <c r="R19" s="49" t="s">
        <v>57</v>
      </c>
      <c r="S19" s="51">
        <f t="shared" si="4"/>
        <v>8</v>
      </c>
      <c r="T19" s="52">
        <f t="shared" si="5"/>
        <v>0</v>
      </c>
      <c r="U19" s="52"/>
      <c r="V19" s="51">
        <f t="shared" si="6"/>
        <v>0</v>
      </c>
      <c r="W19" s="52">
        <f t="shared" si="7"/>
        <v>-4</v>
      </c>
      <c r="X19" s="35">
        <f t="shared" si="12"/>
        <v>15</v>
      </c>
      <c r="Y19" s="35" t="str">
        <f t="shared" si="8"/>
        <v>Y</v>
      </c>
      <c r="Z19" s="19" t="str">
        <f t="shared" si="9"/>
        <v/>
      </c>
    </row>
    <row r="20">
      <c r="A20" s="35">
        <f t="shared" si="10"/>
        <v>16</v>
      </c>
      <c r="B20" s="36" t="s">
        <v>51</v>
      </c>
      <c r="C20" s="37">
        <v>89.0</v>
      </c>
      <c r="D20" s="37">
        <v>8.0</v>
      </c>
      <c r="E20" s="40">
        <f t="shared" si="2"/>
        <v>14.66666667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98</v>
      </c>
      <c r="O20" s="37">
        <f t="shared" si="25"/>
        <v>8</v>
      </c>
      <c r="P20" s="49" t="s">
        <v>57</v>
      </c>
      <c r="Q20" s="49" t="s">
        <v>57</v>
      </c>
      <c r="R20" s="49" t="s">
        <v>57</v>
      </c>
      <c r="S20" s="51">
        <f t="shared" si="4"/>
        <v>3</v>
      </c>
      <c r="T20" s="52">
        <f t="shared" si="5"/>
        <v>0</v>
      </c>
      <c r="U20" s="52"/>
      <c r="V20" s="51">
        <f t="shared" si="6"/>
        <v>5</v>
      </c>
      <c r="W20" s="52">
        <f t="shared" si="7"/>
        <v>18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117</v>
      </c>
      <c r="C21" s="37">
        <v>89.0</v>
      </c>
      <c r="D21" s="37">
        <v>7.0</v>
      </c>
      <c r="E21" s="40">
        <f t="shared" si="2"/>
        <v>11.16666667</v>
      </c>
      <c r="F21" s="90">
        <v>2.0</v>
      </c>
      <c r="G21" s="91">
        <v>3.0</v>
      </c>
      <c r="H21" s="92">
        <v>0.0</v>
      </c>
      <c r="I21" s="91">
        <v>4.0</v>
      </c>
      <c r="J21" s="91">
        <v>7.0</v>
      </c>
      <c r="K21" s="91">
        <v>3.0</v>
      </c>
      <c r="L21" s="93">
        <v>14.0</v>
      </c>
      <c r="M21" s="91">
        <v>1.0</v>
      </c>
      <c r="N21" s="37">
        <f t="shared" ref="N21:O21" si="26">C21+L21</f>
        <v>103</v>
      </c>
      <c r="O21" s="37">
        <f t="shared" si="26"/>
        <v>8</v>
      </c>
      <c r="P21" s="49" t="s">
        <v>57</v>
      </c>
      <c r="Q21" s="49" t="s">
        <v>57</v>
      </c>
      <c r="R21" s="49" t="s">
        <v>57</v>
      </c>
      <c r="S21" s="51">
        <f t="shared" si="4"/>
        <v>6</v>
      </c>
      <c r="T21" s="52">
        <f t="shared" si="5"/>
        <v>1</v>
      </c>
      <c r="U21" s="52"/>
      <c r="V21" s="51">
        <f t="shared" si="6"/>
        <v>1</v>
      </c>
      <c r="W21" s="52">
        <f t="shared" si="7"/>
        <v>-3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80</v>
      </c>
      <c r="C22" s="37">
        <v>88.0</v>
      </c>
      <c r="D22" s="37">
        <v>8.0</v>
      </c>
      <c r="E22" s="40">
        <f t="shared" si="2"/>
        <v>11</v>
      </c>
      <c r="F22" s="90">
        <v>1.0</v>
      </c>
      <c r="G22" s="91">
        <v>3.0</v>
      </c>
      <c r="H22" s="92">
        <v>0.0</v>
      </c>
      <c r="I22" s="91">
        <v>6.0</v>
      </c>
      <c r="J22" s="91">
        <v>7.0</v>
      </c>
      <c r="K22" s="91">
        <v>6.0</v>
      </c>
      <c r="L22" s="93">
        <v>19.0</v>
      </c>
      <c r="M22" s="91">
        <v>3.0</v>
      </c>
      <c r="N22" s="37">
        <f t="shared" ref="N22:O22" si="27">C22+L22</f>
        <v>107</v>
      </c>
      <c r="O22" s="37">
        <f t="shared" si="27"/>
        <v>11</v>
      </c>
      <c r="P22" s="49" t="s">
        <v>57</v>
      </c>
      <c r="Q22" s="49" t="s">
        <v>57</v>
      </c>
      <c r="R22" s="49" t="s">
        <v>57</v>
      </c>
      <c r="S22" s="51">
        <f t="shared" si="4"/>
        <v>6</v>
      </c>
      <c r="T22" s="52">
        <f t="shared" si="5"/>
        <v>1</v>
      </c>
      <c r="U22" s="52"/>
      <c r="V22" s="51">
        <f t="shared" si="6"/>
        <v>1</v>
      </c>
      <c r="W22" s="52">
        <f t="shared" si="7"/>
        <v>7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92</v>
      </c>
      <c r="C23" s="37">
        <v>88.0</v>
      </c>
      <c r="D23" s="37">
        <v>7.0</v>
      </c>
      <c r="E23" s="40">
        <f t="shared" si="2"/>
        <v>13</v>
      </c>
      <c r="F23" s="90">
        <v>1.0</v>
      </c>
      <c r="G23" s="91">
        <v>3.0</v>
      </c>
      <c r="H23" s="92">
        <v>0.0</v>
      </c>
      <c r="I23" s="91">
        <v>4.0</v>
      </c>
      <c r="J23" s="91">
        <v>6.0</v>
      </c>
      <c r="K23" s="91">
        <v>6.0</v>
      </c>
      <c r="L23" s="93">
        <v>16.0</v>
      </c>
      <c r="M23" s="91">
        <v>1.0</v>
      </c>
      <c r="N23" s="37">
        <f t="shared" ref="N23:O23" si="28">C23+L23</f>
        <v>104</v>
      </c>
      <c r="O23" s="37">
        <f t="shared" si="28"/>
        <v>8</v>
      </c>
      <c r="P23" s="49" t="s">
        <v>57</v>
      </c>
      <c r="Q23" s="49" t="s">
        <v>57</v>
      </c>
      <c r="R23" s="49" t="s">
        <v>57</v>
      </c>
      <c r="S23" s="51">
        <f t="shared" si="4"/>
        <v>4</v>
      </c>
      <c r="T23" s="52">
        <f t="shared" si="5"/>
        <v>0</v>
      </c>
      <c r="U23" s="52"/>
      <c r="V23" s="51">
        <f t="shared" si="6"/>
        <v>4</v>
      </c>
      <c r="W23" s="52">
        <f t="shared" si="7"/>
        <v>-6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120</v>
      </c>
      <c r="C24" s="37">
        <v>88.0</v>
      </c>
      <c r="D24" s="37">
        <v>7.0</v>
      </c>
      <c r="E24" s="40">
        <f t="shared" si="2"/>
        <v>14.33333333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97</v>
      </c>
      <c r="O24" s="37">
        <f t="shared" si="29"/>
        <v>7</v>
      </c>
      <c r="P24" s="49" t="s">
        <v>57</v>
      </c>
      <c r="Q24" s="49" t="s">
        <v>57</v>
      </c>
      <c r="R24" s="49" t="s">
        <v>57</v>
      </c>
      <c r="S24" s="51">
        <f t="shared" si="4"/>
        <v>3</v>
      </c>
      <c r="T24" s="52">
        <f t="shared" si="5"/>
        <v>0</v>
      </c>
      <c r="U24" s="52"/>
      <c r="V24" s="51">
        <f t="shared" si="6"/>
        <v>5</v>
      </c>
      <c r="W24" s="52">
        <f t="shared" si="7"/>
        <v>6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112</v>
      </c>
      <c r="C25" s="37">
        <v>87.0</v>
      </c>
      <c r="D25" s="37">
        <v>8.0</v>
      </c>
      <c r="E25" s="40">
        <f t="shared" si="2"/>
        <v>11.5</v>
      </c>
      <c r="F25" s="90">
        <v>1.0</v>
      </c>
      <c r="G25" s="91">
        <v>3.0</v>
      </c>
      <c r="H25" s="92">
        <v>0.0</v>
      </c>
      <c r="I25" s="91">
        <v>6.0</v>
      </c>
      <c r="J25" s="91">
        <v>6.0</v>
      </c>
      <c r="K25" s="91">
        <v>3.0</v>
      </c>
      <c r="L25" s="93">
        <v>15.0</v>
      </c>
      <c r="M25" s="91">
        <v>1.0</v>
      </c>
      <c r="N25" s="37">
        <f t="shared" ref="N25:O25" si="30">C25+L25</f>
        <v>102</v>
      </c>
      <c r="O25" s="37">
        <f t="shared" si="30"/>
        <v>9</v>
      </c>
      <c r="P25" s="49" t="s">
        <v>57</v>
      </c>
      <c r="Q25" s="49" t="s">
        <v>57</v>
      </c>
      <c r="R25" s="49" t="s">
        <v>57</v>
      </c>
      <c r="S25" s="51">
        <f t="shared" si="4"/>
        <v>6</v>
      </c>
      <c r="T25" s="52">
        <f t="shared" si="5"/>
        <v>0</v>
      </c>
      <c r="U25" s="52"/>
      <c r="V25" s="51">
        <f t="shared" si="6"/>
        <v>2</v>
      </c>
      <c r="W25" s="52">
        <f t="shared" si="7"/>
        <v>-6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109</v>
      </c>
      <c r="C26" s="37">
        <v>86.0</v>
      </c>
      <c r="D26" s="37">
        <v>9.0</v>
      </c>
      <c r="E26" s="40">
        <f t="shared" si="2"/>
        <v>11.33333333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95</v>
      </c>
      <c r="O26" s="37">
        <f t="shared" si="31"/>
        <v>9</v>
      </c>
      <c r="P26" s="49" t="s">
        <v>57</v>
      </c>
      <c r="Q26" s="49" t="s">
        <v>57</v>
      </c>
      <c r="R26" s="49" t="s">
        <v>57</v>
      </c>
      <c r="S26" s="51">
        <f t="shared" si="4"/>
        <v>6</v>
      </c>
      <c r="T26" s="52">
        <f t="shared" si="5"/>
        <v>0</v>
      </c>
      <c r="U26" s="52"/>
      <c r="V26" s="51">
        <f t="shared" si="6"/>
        <v>2</v>
      </c>
      <c r="W26" s="52">
        <f t="shared" si="7"/>
        <v>-6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59</v>
      </c>
      <c r="C27" s="37">
        <v>86.0</v>
      </c>
      <c r="D27" s="37">
        <v>7.0</v>
      </c>
      <c r="E27" s="40">
        <f t="shared" si="2"/>
        <v>10.75</v>
      </c>
      <c r="F27" s="90">
        <v>1.0</v>
      </c>
      <c r="G27" s="91">
        <v>4.0</v>
      </c>
      <c r="H27" s="92">
        <v>0.0</v>
      </c>
      <c r="I27" s="91">
        <v>5.0</v>
      </c>
      <c r="J27" s="91">
        <v>6.0</v>
      </c>
      <c r="K27" s="91">
        <v>1.0</v>
      </c>
      <c r="L27" s="93">
        <v>12.0</v>
      </c>
      <c r="M27" s="91">
        <v>1.0</v>
      </c>
      <c r="N27" s="37">
        <f t="shared" ref="N27:O27" si="32">C27+L27</f>
        <v>98</v>
      </c>
      <c r="O27" s="37">
        <f t="shared" si="32"/>
        <v>8</v>
      </c>
      <c r="P27" s="49" t="s">
        <v>57</v>
      </c>
      <c r="Q27" s="49" t="s">
        <v>57</v>
      </c>
      <c r="R27" s="49" t="s">
        <v>57</v>
      </c>
      <c r="S27" s="51">
        <f t="shared" si="4"/>
        <v>8</v>
      </c>
      <c r="T27" s="52">
        <f t="shared" si="5"/>
        <v>0</v>
      </c>
      <c r="U27" s="52"/>
      <c r="V27" s="51">
        <f t="shared" si="6"/>
        <v>0</v>
      </c>
      <c r="W27" s="52">
        <f t="shared" si="7"/>
        <v>-1</v>
      </c>
      <c r="X27" s="35">
        <f t="shared" si="12"/>
        <v>23</v>
      </c>
      <c r="Y27" s="35" t="str">
        <f t="shared" si="8"/>
        <v>Y</v>
      </c>
      <c r="Z27" s="19" t="str">
        <f t="shared" si="9"/>
        <v/>
      </c>
    </row>
    <row r="28">
      <c r="A28" s="35">
        <f t="shared" si="10"/>
        <v>24</v>
      </c>
      <c r="B28" s="36" t="s">
        <v>99</v>
      </c>
      <c r="C28" s="37">
        <v>85.0</v>
      </c>
      <c r="D28" s="37">
        <v>8.0</v>
      </c>
      <c r="E28" s="40">
        <f t="shared" si="2"/>
        <v>11.16666667</v>
      </c>
      <c r="F28" s="90">
        <v>2.0</v>
      </c>
      <c r="G28" s="91">
        <v>4.0</v>
      </c>
      <c r="H28" s="92">
        <v>0.0</v>
      </c>
      <c r="I28" s="91">
        <v>7.0</v>
      </c>
      <c r="J28" s="91">
        <v>6.0</v>
      </c>
      <c r="K28" s="91">
        <v>6.0</v>
      </c>
      <c r="L28" s="93">
        <v>19.0</v>
      </c>
      <c r="M28" s="91">
        <v>3.0</v>
      </c>
      <c r="N28" s="37">
        <f t="shared" ref="N28:O28" si="33">C28+L28</f>
        <v>104</v>
      </c>
      <c r="O28" s="37">
        <f t="shared" si="33"/>
        <v>11</v>
      </c>
      <c r="P28" s="49" t="s">
        <v>57</v>
      </c>
      <c r="Q28" s="49" t="s">
        <v>57</v>
      </c>
      <c r="R28" s="49" t="s">
        <v>57</v>
      </c>
      <c r="S28" s="51">
        <f t="shared" si="4"/>
        <v>6</v>
      </c>
      <c r="T28" s="52">
        <f t="shared" si="5"/>
        <v>0</v>
      </c>
      <c r="U28" s="52"/>
      <c r="V28" s="51">
        <f t="shared" si="6"/>
        <v>2</v>
      </c>
      <c r="W28" s="52">
        <f t="shared" si="7"/>
        <v>5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132</v>
      </c>
      <c r="C29" s="37">
        <v>85.0</v>
      </c>
      <c r="D29" s="37">
        <v>7.0</v>
      </c>
      <c r="E29" s="40">
        <f t="shared" si="2"/>
        <v>12.25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94</v>
      </c>
      <c r="O29" s="37">
        <f t="shared" si="34"/>
        <v>7</v>
      </c>
      <c r="P29" s="49" t="s">
        <v>57</v>
      </c>
      <c r="Q29" s="49" t="s">
        <v>57</v>
      </c>
      <c r="R29" s="49" t="s">
        <v>57</v>
      </c>
      <c r="S29" s="51">
        <f t="shared" si="4"/>
        <v>4</v>
      </c>
      <c r="T29" s="52">
        <f t="shared" si="5"/>
        <v>0</v>
      </c>
      <c r="U29" s="52"/>
      <c r="V29" s="51">
        <f t="shared" si="6"/>
        <v>4</v>
      </c>
      <c r="W29" s="52">
        <f t="shared" si="7"/>
        <v>-6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97</v>
      </c>
      <c r="C30" s="37">
        <v>85.0</v>
      </c>
      <c r="D30" s="37">
        <v>6.0</v>
      </c>
      <c r="E30" s="40">
        <f t="shared" si="2"/>
        <v>12.25</v>
      </c>
      <c r="F30" s="90">
        <v>1.0</v>
      </c>
      <c r="G30" s="91">
        <v>4.0</v>
      </c>
      <c r="H30" s="92">
        <v>0.0</v>
      </c>
      <c r="I30" s="91">
        <v>5.0</v>
      </c>
      <c r="J30" s="91">
        <v>4.0</v>
      </c>
      <c r="K30" s="91">
        <v>6.0</v>
      </c>
      <c r="L30" s="93">
        <v>15.0</v>
      </c>
      <c r="M30" s="91">
        <v>1.0</v>
      </c>
      <c r="N30" s="37">
        <f t="shared" ref="N30:O30" si="35">C30+L30</f>
        <v>100</v>
      </c>
      <c r="O30" s="37">
        <f t="shared" si="35"/>
        <v>7</v>
      </c>
      <c r="P30" s="49" t="s">
        <v>57</v>
      </c>
      <c r="Q30" s="49" t="s">
        <v>57</v>
      </c>
      <c r="R30" s="49" t="s">
        <v>57</v>
      </c>
      <c r="S30" s="51">
        <f t="shared" si="4"/>
        <v>4</v>
      </c>
      <c r="T30" s="52">
        <f t="shared" si="5"/>
        <v>0</v>
      </c>
      <c r="U30" s="52"/>
      <c r="V30" s="51">
        <f t="shared" si="6"/>
        <v>4</v>
      </c>
      <c r="W30" s="52">
        <f t="shared" si="7"/>
        <v>20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64</v>
      </c>
      <c r="C31" s="37">
        <v>84.0</v>
      </c>
      <c r="D31" s="37">
        <v>8.0</v>
      </c>
      <c r="E31" s="40">
        <f t="shared" si="2"/>
        <v>10.5</v>
      </c>
      <c r="F31" s="90">
        <v>1.0</v>
      </c>
      <c r="G31" s="91">
        <v>4.0</v>
      </c>
      <c r="H31" s="92">
        <v>0.0</v>
      </c>
      <c r="I31" s="91">
        <v>7.0</v>
      </c>
      <c r="J31" s="91">
        <v>4.0</v>
      </c>
      <c r="K31" s="91">
        <v>1.0</v>
      </c>
      <c r="L31" s="93">
        <v>12.0</v>
      </c>
      <c r="M31" s="91">
        <v>1.0</v>
      </c>
      <c r="N31" s="37">
        <f t="shared" ref="N31:O31" si="36">C31+L31</f>
        <v>96</v>
      </c>
      <c r="O31" s="37">
        <f t="shared" si="36"/>
        <v>9</v>
      </c>
      <c r="P31" s="49" t="s">
        <v>57</v>
      </c>
      <c r="Q31" s="49" t="s">
        <v>57</v>
      </c>
      <c r="R31" s="49" t="s">
        <v>57</v>
      </c>
      <c r="S31" s="51">
        <f t="shared" si="4"/>
        <v>8</v>
      </c>
      <c r="T31" s="52">
        <f t="shared" si="5"/>
        <v>0</v>
      </c>
      <c r="U31" s="52"/>
      <c r="V31" s="51">
        <f t="shared" si="6"/>
        <v>0</v>
      </c>
      <c r="W31" s="52">
        <f t="shared" si="7"/>
        <v>3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115</v>
      </c>
      <c r="C32" s="37">
        <v>84.0</v>
      </c>
      <c r="D32" s="37">
        <v>7.0</v>
      </c>
      <c r="E32" s="40">
        <f t="shared" si="2"/>
        <v>11.4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93</v>
      </c>
      <c r="O32" s="37">
        <f t="shared" si="37"/>
        <v>7</v>
      </c>
      <c r="P32" s="49" t="s">
        <v>57</v>
      </c>
      <c r="Q32" s="49" t="s">
        <v>57</v>
      </c>
      <c r="R32" s="49" t="s">
        <v>57</v>
      </c>
      <c r="S32" s="51">
        <f t="shared" si="4"/>
        <v>5</v>
      </c>
      <c r="T32" s="52">
        <f t="shared" si="5"/>
        <v>0</v>
      </c>
      <c r="U32" s="52"/>
      <c r="V32" s="51">
        <f t="shared" si="6"/>
        <v>3</v>
      </c>
      <c r="W32" s="52">
        <f t="shared" si="7"/>
        <v>-7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90</v>
      </c>
      <c r="C33" s="37">
        <v>84.0</v>
      </c>
      <c r="D33" s="37">
        <v>6.0</v>
      </c>
      <c r="E33" s="40">
        <f t="shared" si="2"/>
        <v>12</v>
      </c>
      <c r="F33" s="90">
        <v>1.0</v>
      </c>
      <c r="G33" s="91">
        <v>5.0</v>
      </c>
      <c r="H33" s="92">
        <v>0.0</v>
      </c>
      <c r="I33" s="91">
        <v>6.0</v>
      </c>
      <c r="J33" s="91">
        <v>6.0</v>
      </c>
      <c r="K33" s="91">
        <v>6.0</v>
      </c>
      <c r="L33" s="93">
        <v>18.0</v>
      </c>
      <c r="M33" s="91">
        <v>2.0</v>
      </c>
      <c r="N33" s="37">
        <f t="shared" ref="N33:O33" si="38">C33+L33</f>
        <v>102</v>
      </c>
      <c r="O33" s="37">
        <f t="shared" si="38"/>
        <v>8</v>
      </c>
      <c r="P33" s="49" t="s">
        <v>57</v>
      </c>
      <c r="Q33" s="49" t="s">
        <v>57</v>
      </c>
      <c r="R33" s="49" t="s">
        <v>57</v>
      </c>
      <c r="S33" s="51">
        <f t="shared" si="4"/>
        <v>4</v>
      </c>
      <c r="T33" s="52">
        <f t="shared" si="5"/>
        <v>0</v>
      </c>
      <c r="U33" s="52"/>
      <c r="V33" s="51">
        <f t="shared" si="6"/>
        <v>4</v>
      </c>
      <c r="W33" s="52">
        <f t="shared" si="7"/>
        <v>-6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131</v>
      </c>
      <c r="C34" s="37">
        <v>83.0</v>
      </c>
      <c r="D34" s="37">
        <v>6.0</v>
      </c>
      <c r="E34" s="40">
        <f t="shared" si="2"/>
        <v>11.33333333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92</v>
      </c>
      <c r="O34" s="37">
        <f t="shared" si="39"/>
        <v>6</v>
      </c>
      <c r="P34" s="49" t="s">
        <v>57</v>
      </c>
      <c r="Q34" s="49" t="s">
        <v>57</v>
      </c>
      <c r="R34" s="49" t="s">
        <v>57</v>
      </c>
      <c r="S34" s="51">
        <f t="shared" si="4"/>
        <v>3</v>
      </c>
      <c r="T34" s="52">
        <f t="shared" si="5"/>
        <v>1</v>
      </c>
      <c r="U34" s="52"/>
      <c r="V34" s="51">
        <f t="shared" si="6"/>
        <v>4</v>
      </c>
      <c r="W34" s="52">
        <f t="shared" si="7"/>
        <v>-6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139</v>
      </c>
      <c r="C35" s="37">
        <v>82.0</v>
      </c>
      <c r="D35" s="37">
        <v>8.0</v>
      </c>
      <c r="E35" s="40">
        <f t="shared" si="2"/>
        <v>10.42857143</v>
      </c>
      <c r="F35" s="90">
        <v>1.0</v>
      </c>
      <c r="G35" s="91">
        <v>5.0</v>
      </c>
      <c r="H35" s="92">
        <v>0.0</v>
      </c>
      <c r="I35" s="91">
        <v>6.0</v>
      </c>
      <c r="J35" s="91">
        <v>1.0</v>
      </c>
      <c r="K35" s="91">
        <v>2.0</v>
      </c>
      <c r="L35" s="93">
        <v>9.0</v>
      </c>
      <c r="M35" s="91">
        <v>0.0</v>
      </c>
      <c r="N35" s="37">
        <f t="shared" ref="N35:O35" si="40">C35+L35</f>
        <v>91</v>
      </c>
      <c r="O35" s="37">
        <f t="shared" si="40"/>
        <v>8</v>
      </c>
      <c r="P35" s="49" t="s">
        <v>57</v>
      </c>
      <c r="Q35" s="49" t="s">
        <v>57</v>
      </c>
      <c r="R35" s="49" t="s">
        <v>57</v>
      </c>
      <c r="S35" s="51">
        <f t="shared" si="4"/>
        <v>7</v>
      </c>
      <c r="T35" s="52">
        <f t="shared" si="5"/>
        <v>0</v>
      </c>
      <c r="U35" s="52"/>
      <c r="V35" s="51">
        <f t="shared" si="6"/>
        <v>1</v>
      </c>
      <c r="W35" s="52">
        <f t="shared" si="7"/>
        <v>4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137</v>
      </c>
      <c r="C36" s="37">
        <v>82.0</v>
      </c>
      <c r="D36" s="37">
        <v>8.0</v>
      </c>
      <c r="E36" s="40">
        <f t="shared" si="2"/>
        <v>10.66666667</v>
      </c>
      <c r="F36" s="90">
        <v>1.0</v>
      </c>
      <c r="G36" s="91">
        <v>5.0</v>
      </c>
      <c r="H36" s="92">
        <v>0.0</v>
      </c>
      <c r="I36" s="91">
        <v>7.0</v>
      </c>
      <c r="J36" s="91">
        <v>6.0</v>
      </c>
      <c r="K36" s="91">
        <v>2.0</v>
      </c>
      <c r="L36" s="93">
        <v>15.0</v>
      </c>
      <c r="M36" s="91">
        <v>2.0</v>
      </c>
      <c r="N36" s="37">
        <f t="shared" ref="N36:O36" si="41">C36+L36</f>
        <v>97</v>
      </c>
      <c r="O36" s="37">
        <f t="shared" si="41"/>
        <v>10</v>
      </c>
      <c r="P36" s="49" t="s">
        <v>57</v>
      </c>
      <c r="Q36" s="49" t="s">
        <v>57</v>
      </c>
      <c r="R36" s="49" t="s">
        <v>57</v>
      </c>
      <c r="S36" s="51">
        <f t="shared" si="4"/>
        <v>6</v>
      </c>
      <c r="T36" s="52">
        <f t="shared" si="5"/>
        <v>0</v>
      </c>
      <c r="U36" s="52"/>
      <c r="V36" s="51">
        <f t="shared" si="6"/>
        <v>2</v>
      </c>
      <c r="W36" s="52">
        <f t="shared" si="7"/>
        <v>9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95</v>
      </c>
      <c r="C37" s="37">
        <v>81.0</v>
      </c>
      <c r="D37" s="37">
        <v>8.0</v>
      </c>
      <c r="E37" s="40">
        <f t="shared" si="2"/>
        <v>11.25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90</v>
      </c>
      <c r="O37" s="37">
        <f t="shared" si="42"/>
        <v>8</v>
      </c>
      <c r="P37" s="49" t="s">
        <v>57</v>
      </c>
      <c r="Q37" s="49" t="s">
        <v>57</v>
      </c>
      <c r="R37" s="49" t="s">
        <v>57</v>
      </c>
      <c r="S37" s="51">
        <f t="shared" si="4"/>
        <v>4</v>
      </c>
      <c r="T37" s="52">
        <f t="shared" si="5"/>
        <v>0</v>
      </c>
      <c r="U37" s="52"/>
      <c r="V37" s="51">
        <f t="shared" si="6"/>
        <v>4</v>
      </c>
      <c r="W37" s="52">
        <f t="shared" si="7"/>
        <v>7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93</v>
      </c>
      <c r="C38" s="37">
        <v>81.0</v>
      </c>
      <c r="D38" s="37">
        <v>7.0</v>
      </c>
      <c r="E38" s="40">
        <f t="shared" si="2"/>
        <v>9.833333333</v>
      </c>
      <c r="F38" s="90">
        <v>2.0</v>
      </c>
      <c r="G38" s="91">
        <v>5.0</v>
      </c>
      <c r="H38" s="92">
        <v>0.0</v>
      </c>
      <c r="I38" s="91">
        <v>7.0</v>
      </c>
      <c r="J38" s="91">
        <v>1.0</v>
      </c>
      <c r="K38" s="91">
        <v>6.0</v>
      </c>
      <c r="L38" s="93">
        <v>14.0</v>
      </c>
      <c r="M38" s="91">
        <v>2.0</v>
      </c>
      <c r="N38" s="37">
        <f t="shared" ref="N38:O38" si="43">C38+L38</f>
        <v>95</v>
      </c>
      <c r="O38" s="37">
        <f t="shared" si="43"/>
        <v>9</v>
      </c>
      <c r="P38" s="49" t="s">
        <v>57</v>
      </c>
      <c r="Q38" s="49" t="s">
        <v>57</v>
      </c>
      <c r="R38" s="49" t="s">
        <v>57</v>
      </c>
      <c r="S38" s="51">
        <f t="shared" si="4"/>
        <v>6</v>
      </c>
      <c r="T38" s="52">
        <f t="shared" si="5"/>
        <v>1</v>
      </c>
      <c r="U38" s="52"/>
      <c r="V38" s="51">
        <f t="shared" si="6"/>
        <v>1</v>
      </c>
      <c r="W38" s="52">
        <f t="shared" si="7"/>
        <v>8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76</v>
      </c>
      <c r="C39" s="37">
        <v>81.0</v>
      </c>
      <c r="D39" s="37">
        <v>5.0</v>
      </c>
      <c r="E39" s="40">
        <f t="shared" si="2"/>
        <v>10</v>
      </c>
      <c r="F39" s="90">
        <v>2.0</v>
      </c>
      <c r="G39" s="91">
        <v>6.0</v>
      </c>
      <c r="H39" s="92">
        <v>0.0</v>
      </c>
      <c r="I39" s="91">
        <v>5.0</v>
      </c>
      <c r="J39" s="91">
        <v>6.0</v>
      </c>
      <c r="K39" s="91">
        <v>6.0</v>
      </c>
      <c r="L39" s="93">
        <v>17.0</v>
      </c>
      <c r="M39" s="91">
        <v>2.0</v>
      </c>
      <c r="N39" s="37">
        <f t="shared" ref="N39:O39" si="44">C39+L39</f>
        <v>98</v>
      </c>
      <c r="O39" s="37">
        <f t="shared" si="44"/>
        <v>7</v>
      </c>
      <c r="P39" s="49" t="s">
        <v>57</v>
      </c>
      <c r="Q39" s="49" t="s">
        <v>57</v>
      </c>
      <c r="R39" s="49" t="s">
        <v>57</v>
      </c>
      <c r="S39" s="51">
        <f t="shared" si="4"/>
        <v>5</v>
      </c>
      <c r="T39" s="52">
        <f t="shared" si="5"/>
        <v>1</v>
      </c>
      <c r="U39" s="52"/>
      <c r="V39" s="51">
        <f t="shared" si="6"/>
        <v>2</v>
      </c>
      <c r="W39" s="52">
        <f t="shared" si="7"/>
        <v>8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147</v>
      </c>
      <c r="C40" s="37">
        <v>81.0</v>
      </c>
      <c r="D40" s="37">
        <v>5.0</v>
      </c>
      <c r="E40" s="40">
        <f t="shared" si="2"/>
        <v>10.25</v>
      </c>
      <c r="F40" s="90">
        <v>5.0</v>
      </c>
      <c r="G40" s="91">
        <v>0.0</v>
      </c>
      <c r="H40" s="92">
        <v>13.0</v>
      </c>
      <c r="I40" s="91">
        <v>0.0</v>
      </c>
      <c r="J40" s="91">
        <v>0.0</v>
      </c>
      <c r="K40" s="91">
        <v>0.0</v>
      </c>
      <c r="L40" s="93">
        <v>13.0</v>
      </c>
      <c r="M40" s="91">
        <v>0.0</v>
      </c>
      <c r="N40" s="37">
        <f t="shared" ref="N40:O40" si="45">C40+L40</f>
        <v>94</v>
      </c>
      <c r="O40" s="37">
        <f t="shared" si="45"/>
        <v>5</v>
      </c>
      <c r="P40" s="49" t="s">
        <v>57</v>
      </c>
      <c r="Q40" s="49" t="s">
        <v>57</v>
      </c>
      <c r="R40" s="49" t="s">
        <v>57</v>
      </c>
      <c r="S40" s="51">
        <f t="shared" si="4"/>
        <v>4</v>
      </c>
      <c r="T40" s="52">
        <f t="shared" si="5"/>
        <v>1</v>
      </c>
      <c r="U40" s="52"/>
      <c r="V40" s="51">
        <f t="shared" si="6"/>
        <v>3</v>
      </c>
      <c r="W40" s="52">
        <f t="shared" si="7"/>
        <v>14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140</v>
      </c>
      <c r="C41" s="37">
        <v>81.0</v>
      </c>
      <c r="D41" s="37">
        <v>4.0</v>
      </c>
      <c r="E41" s="40">
        <f t="shared" si="2"/>
        <v>10.8</v>
      </c>
      <c r="F41" s="90">
        <v>3.0</v>
      </c>
      <c r="G41" s="91">
        <v>0.0</v>
      </c>
      <c r="H41" s="92">
        <v>9.0</v>
      </c>
      <c r="I41" s="91">
        <v>0.0</v>
      </c>
      <c r="J41" s="91">
        <v>0.0</v>
      </c>
      <c r="K41" s="91">
        <v>0.0</v>
      </c>
      <c r="L41" s="93">
        <v>9.0</v>
      </c>
      <c r="M41" s="91">
        <v>0.0</v>
      </c>
      <c r="N41" s="37">
        <f t="shared" ref="N41:O41" si="46">C41+L41</f>
        <v>90</v>
      </c>
      <c r="O41" s="37">
        <f t="shared" si="46"/>
        <v>4</v>
      </c>
      <c r="P41" s="49" t="s">
        <v>57</v>
      </c>
      <c r="Q41" s="49" t="s">
        <v>57</v>
      </c>
      <c r="R41" s="49" t="s">
        <v>57</v>
      </c>
      <c r="S41" s="51">
        <f t="shared" si="4"/>
        <v>5</v>
      </c>
      <c r="T41" s="52">
        <f t="shared" si="5"/>
        <v>0</v>
      </c>
      <c r="U41" s="52"/>
      <c r="V41" s="51">
        <f t="shared" si="6"/>
        <v>3</v>
      </c>
      <c r="W41" s="52">
        <f t="shared" si="7"/>
        <v>14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142</v>
      </c>
      <c r="C42" s="37">
        <v>80.0</v>
      </c>
      <c r="D42" s="37">
        <v>7.0</v>
      </c>
      <c r="E42" s="40">
        <f t="shared" si="2"/>
        <v>10.6</v>
      </c>
      <c r="F42" s="90">
        <v>2.0</v>
      </c>
      <c r="G42" s="91">
        <v>6.0</v>
      </c>
      <c r="H42" s="92">
        <v>0.0</v>
      </c>
      <c r="I42" s="91">
        <v>7.0</v>
      </c>
      <c r="J42" s="91">
        <v>6.0</v>
      </c>
      <c r="K42" s="91">
        <v>3.0</v>
      </c>
      <c r="L42" s="93">
        <v>16.0</v>
      </c>
      <c r="M42" s="91">
        <v>2.0</v>
      </c>
      <c r="N42" s="37">
        <f t="shared" ref="N42:O42" si="47">C42+L42</f>
        <v>96</v>
      </c>
      <c r="O42" s="37">
        <f t="shared" si="47"/>
        <v>9</v>
      </c>
      <c r="P42" s="49" t="s">
        <v>57</v>
      </c>
      <c r="Q42" s="49" t="s">
        <v>57</v>
      </c>
      <c r="R42" s="49" t="s">
        <v>57</v>
      </c>
      <c r="S42" s="51">
        <f t="shared" si="4"/>
        <v>5</v>
      </c>
      <c r="T42" s="52">
        <f t="shared" si="5"/>
        <v>0</v>
      </c>
      <c r="U42" s="52"/>
      <c r="V42" s="51">
        <f t="shared" si="6"/>
        <v>3</v>
      </c>
      <c r="W42" s="52">
        <f t="shared" si="7"/>
        <v>-1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130</v>
      </c>
      <c r="C43" s="37">
        <v>80.0</v>
      </c>
      <c r="D43" s="37">
        <v>7.0</v>
      </c>
      <c r="E43" s="40">
        <f t="shared" si="2"/>
        <v>10</v>
      </c>
      <c r="F43" s="90">
        <v>1.0</v>
      </c>
      <c r="G43" s="91">
        <v>6.0</v>
      </c>
      <c r="H43" s="92">
        <v>0.0</v>
      </c>
      <c r="I43" s="91">
        <v>7.0</v>
      </c>
      <c r="J43" s="91">
        <v>4.0</v>
      </c>
      <c r="K43" s="91">
        <v>6.0</v>
      </c>
      <c r="L43" s="93">
        <v>17.0</v>
      </c>
      <c r="M43" s="91">
        <v>2.0</v>
      </c>
      <c r="N43" s="37">
        <f t="shared" ref="N43:O43" si="48">C43+L43</f>
        <v>97</v>
      </c>
      <c r="O43" s="37">
        <f t="shared" si="48"/>
        <v>9</v>
      </c>
      <c r="P43" s="49" t="s">
        <v>57</v>
      </c>
      <c r="Q43" s="49" t="s">
        <v>57</v>
      </c>
      <c r="R43" s="49" t="s">
        <v>57</v>
      </c>
      <c r="S43" s="51">
        <f t="shared" si="4"/>
        <v>8</v>
      </c>
      <c r="T43" s="52">
        <f t="shared" si="5"/>
        <v>0</v>
      </c>
      <c r="U43" s="52"/>
      <c r="V43" s="51">
        <f t="shared" si="6"/>
        <v>0</v>
      </c>
      <c r="W43" s="52">
        <f t="shared" si="7"/>
        <v>5</v>
      </c>
      <c r="X43" s="35">
        <f t="shared" si="12"/>
        <v>39</v>
      </c>
      <c r="Y43" s="35" t="str">
        <f t="shared" si="8"/>
        <v>Y</v>
      </c>
      <c r="Z43" s="19" t="str">
        <f t="shared" si="9"/>
        <v/>
      </c>
    </row>
    <row r="44">
      <c r="A44" s="35">
        <f t="shared" si="10"/>
        <v>40</v>
      </c>
      <c r="B44" s="36" t="s">
        <v>100</v>
      </c>
      <c r="C44" s="37">
        <v>80.0</v>
      </c>
      <c r="D44" s="37">
        <v>6.0</v>
      </c>
      <c r="E44" s="40">
        <f t="shared" si="2"/>
        <v>11.66666667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89</v>
      </c>
      <c r="O44" s="37">
        <f t="shared" si="49"/>
        <v>6</v>
      </c>
      <c r="P44" s="49" t="s">
        <v>57</v>
      </c>
      <c r="Q44" s="49" t="s">
        <v>57</v>
      </c>
      <c r="R44" s="49" t="s">
        <v>57</v>
      </c>
      <c r="S44" s="51">
        <f t="shared" si="4"/>
        <v>3</v>
      </c>
      <c r="T44" s="52">
        <f t="shared" si="5"/>
        <v>0</v>
      </c>
      <c r="U44" s="52"/>
      <c r="V44" s="51">
        <f t="shared" si="6"/>
        <v>5</v>
      </c>
      <c r="W44" s="52">
        <f t="shared" si="7"/>
        <v>-12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107</v>
      </c>
      <c r="C45" s="37">
        <v>80.0</v>
      </c>
      <c r="D45" s="37">
        <v>6.0</v>
      </c>
      <c r="E45" s="40">
        <f t="shared" si="2"/>
        <v>11.66666667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89</v>
      </c>
      <c r="O45" s="37">
        <f t="shared" si="50"/>
        <v>6</v>
      </c>
      <c r="P45" s="49" t="s">
        <v>57</v>
      </c>
      <c r="Q45" s="49" t="s">
        <v>57</v>
      </c>
      <c r="R45" s="49" t="s">
        <v>57</v>
      </c>
      <c r="S45" s="51">
        <f t="shared" si="4"/>
        <v>3</v>
      </c>
      <c r="T45" s="52">
        <f t="shared" si="5"/>
        <v>0</v>
      </c>
      <c r="U45" s="52"/>
      <c r="V45" s="51">
        <f t="shared" si="6"/>
        <v>5</v>
      </c>
      <c r="W45" s="52">
        <f t="shared" si="7"/>
        <v>-10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135</v>
      </c>
      <c r="C46" s="37">
        <v>80.0</v>
      </c>
      <c r="D46" s="37">
        <v>5.0</v>
      </c>
      <c r="E46" s="40">
        <f t="shared" si="2"/>
        <v>11</v>
      </c>
      <c r="F46" s="90">
        <v>1.0</v>
      </c>
      <c r="G46" s="91">
        <v>6.0</v>
      </c>
      <c r="H46" s="92">
        <v>0.0</v>
      </c>
      <c r="I46" s="91">
        <v>5.0</v>
      </c>
      <c r="J46" s="91">
        <v>4.0</v>
      </c>
      <c r="K46" s="91">
        <v>3.0</v>
      </c>
      <c r="L46" s="93">
        <v>12.0</v>
      </c>
      <c r="M46" s="91">
        <v>0.0</v>
      </c>
      <c r="N46" s="37">
        <f t="shared" ref="N46:O46" si="51">C46+L46</f>
        <v>92</v>
      </c>
      <c r="O46" s="37">
        <f t="shared" si="51"/>
        <v>5</v>
      </c>
      <c r="P46" s="49" t="s">
        <v>57</v>
      </c>
      <c r="Q46" s="49" t="s">
        <v>57</v>
      </c>
      <c r="R46" s="49" t="s">
        <v>57</v>
      </c>
      <c r="S46" s="51">
        <f t="shared" si="4"/>
        <v>4</v>
      </c>
      <c r="T46" s="52">
        <f t="shared" si="5"/>
        <v>0</v>
      </c>
      <c r="U46" s="52"/>
      <c r="V46" s="51">
        <f t="shared" si="6"/>
        <v>4</v>
      </c>
      <c r="W46" s="52">
        <f t="shared" si="7"/>
        <v>-10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143</v>
      </c>
      <c r="C47" s="37">
        <v>79.0</v>
      </c>
      <c r="D47" s="37">
        <v>6.0</v>
      </c>
      <c r="E47" s="40">
        <f t="shared" si="2"/>
        <v>11.33333333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88</v>
      </c>
      <c r="O47" s="37">
        <f t="shared" si="52"/>
        <v>6</v>
      </c>
      <c r="P47" s="49" t="s">
        <v>57</v>
      </c>
      <c r="Q47" s="49" t="s">
        <v>57</v>
      </c>
      <c r="R47" s="49" t="s">
        <v>57</v>
      </c>
      <c r="S47" s="51">
        <f t="shared" si="4"/>
        <v>3</v>
      </c>
      <c r="T47" s="52">
        <f t="shared" si="5"/>
        <v>0</v>
      </c>
      <c r="U47" s="52"/>
      <c r="V47" s="51">
        <f t="shared" si="6"/>
        <v>5</v>
      </c>
      <c r="W47" s="52">
        <f t="shared" si="7"/>
        <v>-7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126</v>
      </c>
      <c r="C48" s="37">
        <v>79.0</v>
      </c>
      <c r="D48" s="37">
        <v>6.0</v>
      </c>
      <c r="E48" s="40">
        <f t="shared" si="2"/>
        <v>10.4</v>
      </c>
      <c r="F48" s="90">
        <v>1.0</v>
      </c>
      <c r="G48" s="91">
        <v>10.0</v>
      </c>
      <c r="H48" s="92">
        <v>0.0</v>
      </c>
      <c r="I48" s="91">
        <v>6.0</v>
      </c>
      <c r="J48" s="91">
        <v>1.0</v>
      </c>
      <c r="K48" s="91">
        <v>6.0</v>
      </c>
      <c r="L48" s="93">
        <v>13.0</v>
      </c>
      <c r="M48" s="91">
        <v>2.0</v>
      </c>
      <c r="N48" s="37">
        <f t="shared" ref="N48:O48" si="53">C48+L48</f>
        <v>92</v>
      </c>
      <c r="O48" s="37">
        <f t="shared" si="53"/>
        <v>8</v>
      </c>
      <c r="P48" s="49" t="s">
        <v>57</v>
      </c>
      <c r="Q48" s="49" t="s">
        <v>57</v>
      </c>
      <c r="R48" s="49" t="s">
        <v>57</v>
      </c>
      <c r="S48" s="51">
        <f t="shared" si="4"/>
        <v>5</v>
      </c>
      <c r="T48" s="52">
        <f t="shared" si="5"/>
        <v>0</v>
      </c>
      <c r="U48" s="52"/>
      <c r="V48" s="51">
        <f t="shared" si="6"/>
        <v>3</v>
      </c>
      <c r="W48" s="52">
        <f t="shared" si="7"/>
        <v>-11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118</v>
      </c>
      <c r="C49" s="37">
        <v>79.0</v>
      </c>
      <c r="D49" s="37">
        <v>5.0</v>
      </c>
      <c r="E49" s="40">
        <f t="shared" si="2"/>
        <v>10</v>
      </c>
      <c r="F49" s="90">
        <v>1.0</v>
      </c>
      <c r="G49" s="91">
        <v>10.0</v>
      </c>
      <c r="H49" s="92">
        <v>0.0</v>
      </c>
      <c r="I49" s="91">
        <v>3.0</v>
      </c>
      <c r="J49" s="91">
        <v>1.0</v>
      </c>
      <c r="K49" s="91">
        <v>3.0</v>
      </c>
      <c r="L49" s="93">
        <v>7.0</v>
      </c>
      <c r="M49" s="91">
        <v>0.0</v>
      </c>
      <c r="N49" s="37">
        <f t="shared" ref="N49:O49" si="54">C49+L49</f>
        <v>86</v>
      </c>
      <c r="O49" s="37">
        <f t="shared" si="54"/>
        <v>5</v>
      </c>
      <c r="P49" s="49" t="s">
        <v>57</v>
      </c>
      <c r="Q49" s="49" t="s">
        <v>57</v>
      </c>
      <c r="R49" s="49" t="s">
        <v>57</v>
      </c>
      <c r="S49" s="51">
        <f t="shared" si="4"/>
        <v>7</v>
      </c>
      <c r="T49" s="52">
        <f t="shared" si="5"/>
        <v>0</v>
      </c>
      <c r="U49" s="52"/>
      <c r="V49" s="51">
        <f t="shared" si="6"/>
        <v>1</v>
      </c>
      <c r="W49" s="52">
        <f t="shared" si="7"/>
        <v>4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101</v>
      </c>
      <c r="C50" s="37">
        <v>79.0</v>
      </c>
      <c r="D50" s="37">
        <v>4.0</v>
      </c>
      <c r="E50" s="40">
        <f t="shared" si="2"/>
        <v>11.33333333</v>
      </c>
      <c r="F50" s="90">
        <v>1.0</v>
      </c>
      <c r="G50" s="91">
        <v>10.0</v>
      </c>
      <c r="H50" s="92">
        <v>0.0</v>
      </c>
      <c r="I50" s="91">
        <v>3.0</v>
      </c>
      <c r="J50" s="91">
        <v>6.0</v>
      </c>
      <c r="K50" s="91">
        <v>6.0</v>
      </c>
      <c r="L50" s="93">
        <v>15.0</v>
      </c>
      <c r="M50" s="91">
        <v>2.0</v>
      </c>
      <c r="N50" s="37">
        <f t="shared" ref="N50:O50" si="55">C50+L50</f>
        <v>94</v>
      </c>
      <c r="O50" s="37">
        <f t="shared" si="55"/>
        <v>6</v>
      </c>
      <c r="P50" s="49" t="s">
        <v>57</v>
      </c>
      <c r="Q50" s="49" t="s">
        <v>57</v>
      </c>
      <c r="R50" s="49" t="s">
        <v>57</v>
      </c>
      <c r="S50" s="51">
        <f t="shared" si="4"/>
        <v>3</v>
      </c>
      <c r="T50" s="52">
        <f t="shared" si="5"/>
        <v>0</v>
      </c>
      <c r="U50" s="52"/>
      <c r="V50" s="51">
        <f t="shared" si="6"/>
        <v>5</v>
      </c>
      <c r="W50" s="52">
        <f t="shared" si="7"/>
        <v>9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110</v>
      </c>
      <c r="C51" s="37">
        <v>78.0</v>
      </c>
      <c r="D51" s="37">
        <v>7.0</v>
      </c>
      <c r="E51" s="40">
        <f t="shared" si="2"/>
        <v>9.75</v>
      </c>
      <c r="F51" s="90">
        <v>1.0</v>
      </c>
      <c r="G51" s="91">
        <v>10.0</v>
      </c>
      <c r="H51" s="92">
        <v>0.0</v>
      </c>
      <c r="I51" s="91">
        <v>6.0</v>
      </c>
      <c r="J51" s="91">
        <v>6.0</v>
      </c>
      <c r="K51" s="91">
        <v>3.0</v>
      </c>
      <c r="L51" s="93">
        <v>15.0</v>
      </c>
      <c r="M51" s="91">
        <v>2.0</v>
      </c>
      <c r="N51" s="37">
        <f t="shared" ref="N51:O51" si="56">C51+L51</f>
        <v>93</v>
      </c>
      <c r="O51" s="37">
        <f t="shared" si="56"/>
        <v>9</v>
      </c>
      <c r="P51" s="49" t="s">
        <v>57</v>
      </c>
      <c r="Q51" s="49" t="s">
        <v>57</v>
      </c>
      <c r="R51" s="49" t="s">
        <v>57</v>
      </c>
      <c r="S51" s="51">
        <f t="shared" si="4"/>
        <v>8</v>
      </c>
      <c r="T51" s="52">
        <f t="shared" si="5"/>
        <v>0</v>
      </c>
      <c r="U51" s="52"/>
      <c r="V51" s="51">
        <f t="shared" si="6"/>
        <v>0</v>
      </c>
      <c r="W51" s="52">
        <f t="shared" si="7"/>
        <v>-20</v>
      </c>
      <c r="X51" s="35">
        <f t="shared" si="12"/>
        <v>47</v>
      </c>
      <c r="Y51" s="35" t="str">
        <f t="shared" si="8"/>
        <v>Y</v>
      </c>
      <c r="Z51" s="19" t="str">
        <f t="shared" si="9"/>
        <v/>
      </c>
    </row>
    <row r="52">
      <c r="A52" s="35">
        <f t="shared" si="10"/>
        <v>48</v>
      </c>
      <c r="B52" s="36" t="s">
        <v>113</v>
      </c>
      <c r="C52" s="37">
        <v>78.0</v>
      </c>
      <c r="D52" s="37">
        <v>6.0</v>
      </c>
      <c r="E52" s="40">
        <f t="shared" si="2"/>
        <v>10.5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87</v>
      </c>
      <c r="O52" s="37">
        <f t="shared" si="57"/>
        <v>6</v>
      </c>
      <c r="P52" s="49" t="s">
        <v>57</v>
      </c>
      <c r="Q52" s="49" t="s">
        <v>57</v>
      </c>
      <c r="R52" s="49" t="s">
        <v>57</v>
      </c>
      <c r="S52" s="51">
        <f t="shared" si="4"/>
        <v>4</v>
      </c>
      <c r="T52" s="52">
        <f t="shared" si="5"/>
        <v>0</v>
      </c>
      <c r="U52" s="52"/>
      <c r="V52" s="51">
        <f t="shared" si="6"/>
        <v>4</v>
      </c>
      <c r="W52" s="52">
        <f t="shared" si="7"/>
        <v>-9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138</v>
      </c>
      <c r="C53" s="37">
        <v>77.0</v>
      </c>
      <c r="D53" s="37">
        <v>6.0</v>
      </c>
      <c r="E53" s="40">
        <f t="shared" si="2"/>
        <v>9.833333333</v>
      </c>
      <c r="F53" s="90">
        <v>2.0</v>
      </c>
      <c r="G53" s="91">
        <v>7.0</v>
      </c>
      <c r="H53" s="92">
        <v>0.0</v>
      </c>
      <c r="I53" s="91">
        <v>3.0</v>
      </c>
      <c r="J53" s="91">
        <v>6.0</v>
      </c>
      <c r="K53" s="91">
        <v>6.0</v>
      </c>
      <c r="L53" s="93">
        <v>15.0</v>
      </c>
      <c r="M53" s="91">
        <v>2.0</v>
      </c>
      <c r="N53" s="37">
        <f t="shared" ref="N53:O53" si="58">C53+L53</f>
        <v>92</v>
      </c>
      <c r="O53" s="37">
        <f t="shared" si="58"/>
        <v>8</v>
      </c>
      <c r="P53" s="49" t="s">
        <v>57</v>
      </c>
      <c r="Q53" s="49" t="s">
        <v>57</v>
      </c>
      <c r="R53" s="49" t="s">
        <v>57</v>
      </c>
      <c r="S53" s="51">
        <f t="shared" si="4"/>
        <v>6</v>
      </c>
      <c r="T53" s="52">
        <f t="shared" si="5"/>
        <v>0</v>
      </c>
      <c r="U53" s="52"/>
      <c r="V53" s="51">
        <f t="shared" si="6"/>
        <v>2</v>
      </c>
      <c r="W53" s="52">
        <f t="shared" si="7"/>
        <v>-4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152</v>
      </c>
      <c r="C54" s="37">
        <v>76.0</v>
      </c>
      <c r="D54" s="37">
        <v>7.0</v>
      </c>
      <c r="E54" s="40">
        <f t="shared" si="2"/>
        <v>9.8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85</v>
      </c>
      <c r="O54" s="37">
        <f t="shared" si="59"/>
        <v>7</v>
      </c>
      <c r="P54" s="49" t="s">
        <v>57</v>
      </c>
      <c r="Q54" s="49" t="s">
        <v>57</v>
      </c>
      <c r="R54" s="49" t="s">
        <v>57</v>
      </c>
      <c r="S54" s="51">
        <f t="shared" si="4"/>
        <v>5</v>
      </c>
      <c r="T54" s="52">
        <f t="shared" si="5"/>
        <v>0</v>
      </c>
      <c r="U54" s="52"/>
      <c r="V54" s="51">
        <f t="shared" si="6"/>
        <v>3</v>
      </c>
      <c r="W54" s="52">
        <f t="shared" si="7"/>
        <v>6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129</v>
      </c>
      <c r="C55" s="37">
        <v>75.0</v>
      </c>
      <c r="D55" s="37">
        <v>6.0</v>
      </c>
      <c r="E55" s="40">
        <f t="shared" si="2"/>
        <v>9.6</v>
      </c>
      <c r="F55" s="90">
        <v>1.0</v>
      </c>
      <c r="G55" s="91">
        <v>7.0</v>
      </c>
      <c r="H55" s="92">
        <v>0.0</v>
      </c>
      <c r="I55" s="91">
        <v>6.0</v>
      </c>
      <c r="J55" s="91">
        <v>2.0</v>
      </c>
      <c r="K55" s="91">
        <v>6.0</v>
      </c>
      <c r="L55" s="93">
        <v>14.0</v>
      </c>
      <c r="M55" s="91">
        <v>2.0</v>
      </c>
      <c r="N55" s="37">
        <f t="shared" ref="N55:O55" si="60">C55+L55</f>
        <v>89</v>
      </c>
      <c r="O55" s="37">
        <f t="shared" si="60"/>
        <v>8</v>
      </c>
      <c r="P55" s="49" t="s">
        <v>57</v>
      </c>
      <c r="Q55" s="49" t="s">
        <v>57</v>
      </c>
      <c r="R55" s="49" t="s">
        <v>57</v>
      </c>
      <c r="S55" s="51">
        <f t="shared" si="4"/>
        <v>5</v>
      </c>
      <c r="T55" s="52">
        <f t="shared" si="5"/>
        <v>0</v>
      </c>
      <c r="U55" s="52"/>
      <c r="V55" s="51">
        <f t="shared" si="6"/>
        <v>3</v>
      </c>
      <c r="W55" s="52">
        <f t="shared" si="7"/>
        <v>7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151</v>
      </c>
      <c r="C56" s="37">
        <v>73.0</v>
      </c>
      <c r="D56" s="37">
        <v>5.0</v>
      </c>
      <c r="E56" s="40">
        <f t="shared" si="2"/>
        <v>8.571428571</v>
      </c>
      <c r="F56" s="90">
        <v>2.0</v>
      </c>
      <c r="G56" s="91">
        <v>7.0</v>
      </c>
      <c r="H56" s="92">
        <v>0.0</v>
      </c>
      <c r="I56" s="91">
        <v>6.0</v>
      </c>
      <c r="J56" s="91">
        <v>6.0</v>
      </c>
      <c r="K56" s="91">
        <v>3.0</v>
      </c>
      <c r="L56" s="93">
        <v>15.0</v>
      </c>
      <c r="M56" s="91">
        <v>2.0</v>
      </c>
      <c r="N56" s="37">
        <f t="shared" ref="N56:O56" si="61">C56+L56</f>
        <v>88</v>
      </c>
      <c r="O56" s="37">
        <f t="shared" si="61"/>
        <v>7</v>
      </c>
      <c r="P56" s="49" t="s">
        <v>57</v>
      </c>
      <c r="Q56" s="49" t="s">
        <v>57</v>
      </c>
      <c r="R56" s="49" t="s">
        <v>57</v>
      </c>
      <c r="S56" s="51">
        <f t="shared" si="4"/>
        <v>7</v>
      </c>
      <c r="T56" s="52">
        <f t="shared" si="5"/>
        <v>1</v>
      </c>
      <c r="U56" s="52"/>
      <c r="V56" s="51">
        <f t="shared" si="6"/>
        <v>0</v>
      </c>
      <c r="W56" s="52">
        <f t="shared" si="7"/>
        <v>1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70</v>
      </c>
      <c r="C57" s="37">
        <v>73.0</v>
      </c>
      <c r="D57" s="37">
        <v>5.0</v>
      </c>
      <c r="E57" s="40">
        <f t="shared" si="2"/>
        <v>8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82</v>
      </c>
      <c r="O57" s="37">
        <f t="shared" si="62"/>
        <v>5</v>
      </c>
      <c r="P57" s="49" t="s">
        <v>57</v>
      </c>
      <c r="Q57" s="49" t="s">
        <v>57</v>
      </c>
      <c r="R57" s="49" t="s">
        <v>57</v>
      </c>
      <c r="S57" s="51">
        <f t="shared" si="4"/>
        <v>3</v>
      </c>
      <c r="T57" s="52">
        <f t="shared" si="5"/>
        <v>1</v>
      </c>
      <c r="U57" s="52"/>
      <c r="V57" s="51">
        <f t="shared" si="6"/>
        <v>4</v>
      </c>
      <c r="W57" s="52">
        <f t="shared" si="7"/>
        <v>-6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125</v>
      </c>
      <c r="C58" s="37">
        <v>73.0</v>
      </c>
      <c r="D58" s="37">
        <v>3.0</v>
      </c>
      <c r="E58" s="40">
        <f t="shared" si="2"/>
        <v>10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82</v>
      </c>
      <c r="O58" s="37">
        <f t="shared" si="63"/>
        <v>3</v>
      </c>
      <c r="P58" s="49" t="s">
        <v>57</v>
      </c>
      <c r="Q58" s="49" t="s">
        <v>57</v>
      </c>
      <c r="R58" s="49" t="s">
        <v>57</v>
      </c>
      <c r="S58" s="51">
        <f t="shared" si="4"/>
        <v>1</v>
      </c>
      <c r="T58" s="52">
        <f t="shared" si="5"/>
        <v>0</v>
      </c>
      <c r="U58" s="52"/>
      <c r="V58" s="51">
        <f t="shared" si="6"/>
        <v>7</v>
      </c>
      <c r="W58" s="52">
        <f t="shared" si="7"/>
        <v>-6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78</v>
      </c>
      <c r="C59" s="37">
        <v>73.0</v>
      </c>
      <c r="D59" s="37">
        <v>2.0</v>
      </c>
      <c r="E59" s="40">
        <f t="shared" si="2"/>
        <v>6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82</v>
      </c>
      <c r="O59" s="37">
        <f t="shared" si="64"/>
        <v>2</v>
      </c>
      <c r="P59" s="49" t="s">
        <v>57</v>
      </c>
      <c r="Q59" s="49" t="s">
        <v>57</v>
      </c>
      <c r="R59" s="49" t="s">
        <v>57</v>
      </c>
      <c r="S59" s="51">
        <f t="shared" si="4"/>
        <v>1</v>
      </c>
      <c r="T59" s="52">
        <f t="shared" si="5"/>
        <v>1</v>
      </c>
      <c r="U59" s="52"/>
      <c r="V59" s="51">
        <f t="shared" si="6"/>
        <v>6</v>
      </c>
      <c r="W59" s="52">
        <f t="shared" si="7"/>
        <v>-3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149</v>
      </c>
      <c r="C60" s="37">
        <v>72.0</v>
      </c>
      <c r="D60" s="37">
        <v>7.0</v>
      </c>
      <c r="E60" s="40">
        <f t="shared" si="2"/>
        <v>9</v>
      </c>
      <c r="F60" s="90">
        <v>1.0</v>
      </c>
      <c r="G60" s="91">
        <v>7.0</v>
      </c>
      <c r="H60" s="92">
        <v>0.0</v>
      </c>
      <c r="I60" s="91">
        <v>3.0</v>
      </c>
      <c r="J60" s="91">
        <v>2.0</v>
      </c>
      <c r="K60" s="91">
        <v>3.0</v>
      </c>
      <c r="L60" s="93">
        <v>8.0</v>
      </c>
      <c r="M60" s="91">
        <v>0.0</v>
      </c>
      <c r="N60" s="37">
        <f t="shared" ref="N60:O60" si="65">C60+L60</f>
        <v>80</v>
      </c>
      <c r="O60" s="37">
        <f t="shared" si="65"/>
        <v>7</v>
      </c>
      <c r="P60" s="49" t="s">
        <v>57</v>
      </c>
      <c r="Q60" s="49" t="s">
        <v>57</v>
      </c>
      <c r="R60" s="49" t="s">
        <v>57</v>
      </c>
      <c r="S60" s="51">
        <f t="shared" si="4"/>
        <v>6</v>
      </c>
      <c r="T60" s="52">
        <f t="shared" si="5"/>
        <v>0</v>
      </c>
      <c r="U60" s="52"/>
      <c r="V60" s="51">
        <f t="shared" si="6"/>
        <v>2</v>
      </c>
      <c r="W60" s="52">
        <f t="shared" si="7"/>
        <v>-18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116</v>
      </c>
      <c r="C61" s="37">
        <v>72.0</v>
      </c>
      <c r="D61" s="37">
        <v>4.0</v>
      </c>
      <c r="E61" s="40">
        <f t="shared" si="2"/>
        <v>9</v>
      </c>
      <c r="F61" s="90">
        <v>1.0</v>
      </c>
      <c r="G61" s="91">
        <v>8.0</v>
      </c>
      <c r="H61" s="92">
        <v>0.0</v>
      </c>
      <c r="I61" s="91">
        <v>6.0</v>
      </c>
      <c r="J61" s="91">
        <v>1.0</v>
      </c>
      <c r="K61" s="91">
        <v>7.0</v>
      </c>
      <c r="L61" s="93">
        <v>14.0</v>
      </c>
      <c r="M61" s="91">
        <v>2.0</v>
      </c>
      <c r="N61" s="37">
        <f t="shared" ref="N61:O61" si="66">C61+L61</f>
        <v>86</v>
      </c>
      <c r="O61" s="37">
        <f t="shared" si="66"/>
        <v>6</v>
      </c>
      <c r="P61" s="49" t="s">
        <v>57</v>
      </c>
      <c r="Q61" s="49" t="s">
        <v>57</v>
      </c>
      <c r="R61" s="49" t="s">
        <v>57</v>
      </c>
      <c r="S61" s="51">
        <f t="shared" si="4"/>
        <v>8</v>
      </c>
      <c r="T61" s="52">
        <f t="shared" si="5"/>
        <v>0</v>
      </c>
      <c r="U61" s="52"/>
      <c r="V61" s="51">
        <f t="shared" si="6"/>
        <v>0</v>
      </c>
      <c r="W61" s="52">
        <f t="shared" si="7"/>
        <v>-3</v>
      </c>
      <c r="X61" s="35">
        <f t="shared" si="12"/>
        <v>57</v>
      </c>
      <c r="Y61" s="35" t="str">
        <f t="shared" si="8"/>
        <v>Y</v>
      </c>
      <c r="Z61" s="19" t="str">
        <f t="shared" si="9"/>
        <v/>
      </c>
    </row>
    <row r="62">
      <c r="A62" s="35">
        <f t="shared" si="10"/>
        <v>58</v>
      </c>
      <c r="B62" s="36" t="s">
        <v>148</v>
      </c>
      <c r="C62" s="37">
        <v>72.0</v>
      </c>
      <c r="D62" s="37">
        <v>3.0</v>
      </c>
      <c r="E62" s="40">
        <f t="shared" si="2"/>
        <v>9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81</v>
      </c>
      <c r="O62" s="37">
        <f t="shared" si="67"/>
        <v>3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0</v>
      </c>
      <c r="U62" s="52"/>
      <c r="V62" s="51">
        <f t="shared" si="6"/>
        <v>7</v>
      </c>
      <c r="W62" s="52">
        <f t="shared" si="7"/>
        <v>10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146</v>
      </c>
      <c r="C63" s="37">
        <v>71.0</v>
      </c>
      <c r="D63" s="37">
        <v>1.0</v>
      </c>
      <c r="E63" s="40">
        <f t="shared" si="2"/>
        <v>4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80</v>
      </c>
      <c r="O63" s="37">
        <f t="shared" si="68"/>
        <v>1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1</v>
      </c>
      <c r="U63" s="52"/>
      <c r="V63" s="51">
        <f t="shared" si="6"/>
        <v>6</v>
      </c>
      <c r="W63" s="52">
        <f t="shared" si="7"/>
        <v>5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145</v>
      </c>
      <c r="C64" s="37">
        <v>69.0</v>
      </c>
      <c r="D64" s="37">
        <v>7.0</v>
      </c>
      <c r="E64" s="40">
        <f t="shared" si="2"/>
        <v>8.5</v>
      </c>
      <c r="F64" s="90">
        <v>3.0</v>
      </c>
      <c r="G64" s="91">
        <v>0.0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78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ref="S64:S72" si="71">vlookup(B64,indirect("'" &amp; AC$2 &amp; "'!B5:W79"),18,false)++if(text(C$1,"mm/dd/yy")=$AC$2,0,if(H72&gt;0,0,1))</f>
        <v>6</v>
      </c>
      <c r="T64" s="52">
        <f t="shared" ref="T64:T72" si="72">if(H72=13,1,0)+vlookup(B64,indirect("'" &amp; AC$2 &amp; "'!B5:W79"),19,false)</f>
        <v>0</v>
      </c>
      <c r="U64" s="52"/>
      <c r="V64" s="51">
        <f t="shared" ref="V64:V72" si="73">vlookup(B64,indirect("'" &amp; AC$2 &amp; "'!B5:W79"),21,false)+if(text(C$1,"mm/dd/yy")=$AC$2,0,if(H72=9,1,0))</f>
        <v>2</v>
      </c>
      <c r="W64" s="52">
        <f t="shared" si="7"/>
        <v>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134</v>
      </c>
      <c r="C65" s="37">
        <v>69.0</v>
      </c>
      <c r="D65" s="37">
        <v>5.0</v>
      </c>
      <c r="E65" s="40">
        <f t="shared" si="2"/>
        <v>8.5</v>
      </c>
      <c r="F65" s="90">
        <v>1.0</v>
      </c>
      <c r="G65" s="91">
        <v>8.0</v>
      </c>
      <c r="I65" s="91">
        <v>6.0</v>
      </c>
      <c r="J65" s="91">
        <v>6.0</v>
      </c>
      <c r="K65" s="91">
        <v>5.0</v>
      </c>
      <c r="L65" s="93">
        <v>17.0</v>
      </c>
      <c r="M65" s="91">
        <v>2.0</v>
      </c>
      <c r="N65" s="37">
        <f t="shared" ref="N65:O65" si="70">C65+L65</f>
        <v>86</v>
      </c>
      <c r="O65" s="37">
        <f t="shared" si="70"/>
        <v>7</v>
      </c>
      <c r="P65" s="49" t="s">
        <v>57</v>
      </c>
      <c r="Q65" s="49" t="s">
        <v>57</v>
      </c>
      <c r="R65" s="49" t="s">
        <v>57</v>
      </c>
      <c r="S65" s="51">
        <f t="shared" si="71"/>
        <v>6</v>
      </c>
      <c r="T65" s="52">
        <f t="shared" si="72"/>
        <v>0</v>
      </c>
      <c r="U65" s="52"/>
      <c r="V65" s="51">
        <f t="shared" si="73"/>
        <v>2</v>
      </c>
      <c r="W65" s="52">
        <f t="shared" si="7"/>
        <v>-4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154</v>
      </c>
      <c r="C66" s="37">
        <v>69.0</v>
      </c>
      <c r="D66" s="37">
        <v>4.0</v>
      </c>
      <c r="E66" s="40">
        <f t="shared" si="2"/>
        <v>8</v>
      </c>
      <c r="F66" s="90">
        <v>3.0</v>
      </c>
      <c r="G66" s="91">
        <v>0.0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4">C66+L66</f>
        <v>78</v>
      </c>
      <c r="O66" s="37">
        <f t="shared" si="74"/>
        <v>4</v>
      </c>
      <c r="P66" s="49" t="s">
        <v>57</v>
      </c>
      <c r="Q66" s="49" t="s">
        <v>57</v>
      </c>
      <c r="R66" s="49" t="s">
        <v>57</v>
      </c>
      <c r="S66" s="51">
        <f t="shared" si="71"/>
        <v>3</v>
      </c>
      <c r="T66" s="52">
        <f t="shared" si="72"/>
        <v>0</v>
      </c>
      <c r="U66" s="52"/>
      <c r="V66" s="51">
        <f t="shared" si="73"/>
        <v>5</v>
      </c>
      <c r="W66" s="52">
        <f t="shared" si="7"/>
        <v>-1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106</v>
      </c>
      <c r="C67" s="37">
        <v>69.0</v>
      </c>
      <c r="D67" s="37">
        <v>1.0</v>
      </c>
      <c r="E67" s="40">
        <f t="shared" si="2"/>
        <v>6</v>
      </c>
      <c r="F67" s="90">
        <v>3.0</v>
      </c>
      <c r="G67" s="91">
        <v>0.0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5">C67+L67</f>
        <v>78</v>
      </c>
      <c r="O67" s="37">
        <f t="shared" si="75"/>
        <v>1</v>
      </c>
      <c r="P67" s="49" t="s">
        <v>57</v>
      </c>
      <c r="Q67" s="49" t="s">
        <v>57</v>
      </c>
      <c r="R67" s="49" t="s">
        <v>57</v>
      </c>
      <c r="S67" s="51">
        <f t="shared" si="71"/>
        <v>1</v>
      </c>
      <c r="T67" s="52">
        <f t="shared" si="72"/>
        <v>0</v>
      </c>
      <c r="U67" s="52"/>
      <c r="V67" s="51">
        <f t="shared" si="73"/>
        <v>7</v>
      </c>
      <c r="W67" s="52">
        <f t="shared" si="7"/>
        <v>-4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133</v>
      </c>
      <c r="C68" s="37">
        <v>67.0</v>
      </c>
      <c r="D68" s="37">
        <v>2.0</v>
      </c>
      <c r="E68" s="40">
        <f t="shared" si="2"/>
        <v>7.333333333</v>
      </c>
      <c r="F68" s="90">
        <v>3.0</v>
      </c>
      <c r="G68" s="91">
        <v>0.0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6">C68+L68</f>
        <v>76</v>
      </c>
      <c r="O68" s="37">
        <f t="shared" si="76"/>
        <v>2</v>
      </c>
      <c r="P68" s="49" t="s">
        <v>57</v>
      </c>
      <c r="Q68" s="49" t="s">
        <v>57</v>
      </c>
      <c r="R68" s="49" t="s">
        <v>57</v>
      </c>
      <c r="S68" s="51">
        <f t="shared" si="71"/>
        <v>3</v>
      </c>
      <c r="T68" s="52">
        <f t="shared" si="72"/>
        <v>0</v>
      </c>
      <c r="U68" s="52"/>
      <c r="V68" s="51">
        <f t="shared" si="73"/>
        <v>5</v>
      </c>
      <c r="W68" s="52">
        <f t="shared" si="7"/>
        <v>-2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73</v>
      </c>
      <c r="C69" s="37">
        <v>67.0</v>
      </c>
      <c r="D69" s="37">
        <v>2.0</v>
      </c>
      <c r="E69" s="40">
        <f t="shared" si="2"/>
        <v>4</v>
      </c>
      <c r="F69" s="90">
        <v>3.0</v>
      </c>
      <c r="G69" s="91">
        <v>0.0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7">C69+L69</f>
        <v>76</v>
      </c>
      <c r="O69" s="37">
        <f t="shared" si="77"/>
        <v>2</v>
      </c>
      <c r="P69" s="49" t="s">
        <v>57</v>
      </c>
      <c r="Q69" s="49" t="s">
        <v>57</v>
      </c>
      <c r="R69" s="49" t="s">
        <v>57</v>
      </c>
      <c r="S69" s="51">
        <f t="shared" si="71"/>
        <v>1</v>
      </c>
      <c r="T69" s="52">
        <f t="shared" si="72"/>
        <v>0</v>
      </c>
      <c r="U69" s="52"/>
      <c r="V69" s="51">
        <f t="shared" si="73"/>
        <v>7</v>
      </c>
      <c r="W69" s="52">
        <f t="shared" si="7"/>
        <v>-2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136</v>
      </c>
      <c r="C70" s="37">
        <v>66.0</v>
      </c>
      <c r="D70" s="37">
        <v>2.0</v>
      </c>
      <c r="E70" s="40">
        <f t="shared" si="2"/>
        <v>7.5</v>
      </c>
      <c r="F70" s="90">
        <v>2.0</v>
      </c>
      <c r="G70" s="91">
        <v>8.0</v>
      </c>
      <c r="I70" s="91">
        <v>2.0</v>
      </c>
      <c r="J70" s="91">
        <v>6.0</v>
      </c>
      <c r="K70" s="91">
        <v>7.0</v>
      </c>
      <c r="L70" s="93">
        <v>15.0</v>
      </c>
      <c r="M70" s="91">
        <v>2.0</v>
      </c>
      <c r="N70" s="37">
        <f t="shared" ref="N70:O70" si="78">C70+L70</f>
        <v>81</v>
      </c>
      <c r="O70" s="37">
        <f t="shared" si="78"/>
        <v>4</v>
      </c>
      <c r="P70" s="49" t="s">
        <v>57</v>
      </c>
      <c r="Q70" s="49" t="s">
        <v>57</v>
      </c>
      <c r="R70" s="49" t="s">
        <v>57</v>
      </c>
      <c r="S70" s="51">
        <f t="shared" si="71"/>
        <v>4</v>
      </c>
      <c r="T70" s="52">
        <f t="shared" si="72"/>
        <v>0</v>
      </c>
      <c r="U70" s="52"/>
      <c r="V70" s="51">
        <f t="shared" si="73"/>
        <v>4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124</v>
      </c>
      <c r="C71" s="37">
        <v>65.0</v>
      </c>
      <c r="D71" s="37">
        <v>1.0</v>
      </c>
      <c r="E71" s="40">
        <f t="shared" si="2"/>
        <v>2</v>
      </c>
      <c r="F71" s="90">
        <v>3.0</v>
      </c>
      <c r="G71" s="91">
        <v>0.0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9">C71+L71</f>
        <v>74</v>
      </c>
      <c r="O71" s="37">
        <f t="shared" si="79"/>
        <v>1</v>
      </c>
      <c r="P71" s="49" t="s">
        <v>57</v>
      </c>
      <c r="Q71" s="49" t="s">
        <v>57</v>
      </c>
      <c r="R71" s="49" t="s">
        <v>57</v>
      </c>
      <c r="S71" s="51">
        <f t="shared" si="71"/>
        <v>1</v>
      </c>
      <c r="T71" s="52">
        <f t="shared" si="72"/>
        <v>0</v>
      </c>
      <c r="U71" s="52"/>
      <c r="V71" s="51">
        <f t="shared" si="73"/>
        <v>7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144</v>
      </c>
      <c r="C72" s="37">
        <v>63.0</v>
      </c>
      <c r="D72" s="37">
        <v>4.0</v>
      </c>
      <c r="E72" s="40">
        <f t="shared" si="2"/>
        <v>7.5</v>
      </c>
      <c r="F72" s="90">
        <v>2.0</v>
      </c>
      <c r="G72" s="91">
        <v>8.0</v>
      </c>
      <c r="H72" s="92">
        <v>9.0</v>
      </c>
      <c r="I72" s="91">
        <v>2.0</v>
      </c>
      <c r="J72" s="91">
        <v>1.0</v>
      </c>
      <c r="K72" s="91">
        <v>5.0</v>
      </c>
      <c r="L72" s="93">
        <v>8.0</v>
      </c>
      <c r="M72" s="91">
        <v>0.0</v>
      </c>
      <c r="N72" s="37">
        <f t="shared" ref="N72:O72" si="80">C72+L72</f>
        <v>71</v>
      </c>
      <c r="O72" s="37">
        <f t="shared" si="80"/>
        <v>4</v>
      </c>
      <c r="P72" s="49" t="s">
        <v>57</v>
      </c>
      <c r="Q72" s="49" t="s">
        <v>57</v>
      </c>
      <c r="R72" s="49" t="s">
        <v>57</v>
      </c>
      <c r="S72" s="51">
        <f t="shared" si="71"/>
        <v>6</v>
      </c>
      <c r="T72" s="52">
        <f t="shared" si="72"/>
        <v>0</v>
      </c>
      <c r="U72" s="52"/>
      <c r="V72" s="51">
        <f t="shared" si="73"/>
        <v>2</v>
      </c>
      <c r="W72" s="52">
        <f t="shared" si="7"/>
        <v>-1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153</v>
      </c>
      <c r="C73" s="37">
        <v>63.0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0.0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81">C73+L73</f>
        <v>72</v>
      </c>
      <c r="O73" s="37">
        <f t="shared" si="81"/>
        <v>0</v>
      </c>
      <c r="P73" s="49" t="s">
        <v>57</v>
      </c>
      <c r="Q73" s="49" t="s">
        <v>57</v>
      </c>
      <c r="R73" s="49" t="s">
        <v>57</v>
      </c>
      <c r="S73" s="51">
        <f t="shared" ref="S73:S79" si="83">vlookup(B73,indirect("'" &amp; AC$2 &amp; "'!B5:W79"),18,false)++if(text(C$1,"mm/dd/yy")=$AC$2,0,if(H73&gt;0,0,1))</f>
        <v>1</v>
      </c>
      <c r="T73" s="52">
        <f t="shared" ref="T73:T79" si="84">if(H73=13,1,0)+vlookup(B73,indirect("'" &amp; AC$2 &amp; "'!B5:W79"),19,false)</f>
        <v>0</v>
      </c>
      <c r="U73" s="52"/>
      <c r="V73" s="51">
        <f t="shared" ref="V73:V79" si="85">vlookup(B73,indirect("'" &amp; AC$2 &amp; "'!B5:W79"),21,false)+if(text(C$1,"mm/dd/yy")=$AC$2,0,if(H73=9,1,0))</f>
        <v>7</v>
      </c>
      <c r="W73" s="52">
        <f t="shared" si="7"/>
        <v>0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141</v>
      </c>
      <c r="C74" s="37">
        <v>63.0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82">C74+L74</f>
        <v>72</v>
      </c>
      <c r="O74" s="37">
        <f t="shared" si="82"/>
        <v>0</v>
      </c>
      <c r="P74" s="49" t="s">
        <v>57</v>
      </c>
      <c r="Q74" s="49" t="s">
        <v>57</v>
      </c>
      <c r="R74" s="49" t="s">
        <v>57</v>
      </c>
      <c r="S74" s="51">
        <f t="shared" si="83"/>
        <v>0</v>
      </c>
      <c r="T74" s="52">
        <f t="shared" si="84"/>
        <v>0</v>
      </c>
      <c r="U74" s="52"/>
      <c r="V74" s="51">
        <f t="shared" si="85"/>
        <v>8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54</v>
      </c>
      <c r="C75" s="37">
        <v>63.0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6">C75+L75</f>
        <v>72</v>
      </c>
      <c r="O75" s="37">
        <f t="shared" si="86"/>
        <v>0</v>
      </c>
      <c r="P75" s="49" t="s">
        <v>57</v>
      </c>
      <c r="Q75" s="49" t="s">
        <v>57</v>
      </c>
      <c r="R75" s="49" t="s">
        <v>57</v>
      </c>
      <c r="S75" s="51">
        <f t="shared" si="83"/>
        <v>0</v>
      </c>
      <c r="T75" s="52">
        <f t="shared" si="84"/>
        <v>0</v>
      </c>
      <c r="U75" s="52"/>
      <c r="V75" s="51">
        <f t="shared" si="85"/>
        <v>8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63.0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7">C76+L76</f>
        <v>72</v>
      </c>
      <c r="O76" s="37">
        <f t="shared" si="87"/>
        <v>0</v>
      </c>
      <c r="P76" s="49" t="s">
        <v>57</v>
      </c>
      <c r="Q76" s="49" t="s">
        <v>57</v>
      </c>
      <c r="R76" s="49" t="s">
        <v>57</v>
      </c>
      <c r="S76" s="51">
        <f t="shared" si="83"/>
        <v>0</v>
      </c>
      <c r="T76" s="52">
        <f t="shared" si="84"/>
        <v>0</v>
      </c>
      <c r="U76" s="52"/>
      <c r="V76" s="51">
        <f t="shared" si="85"/>
        <v>8</v>
      </c>
      <c r="W76" s="52">
        <f t="shared" si="7"/>
        <v>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63.0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8">C77+L77</f>
        <v>72</v>
      </c>
      <c r="O77" s="37">
        <f t="shared" si="88"/>
        <v>0</v>
      </c>
      <c r="P77" s="49" t="s">
        <v>57</v>
      </c>
      <c r="Q77" s="49" t="s">
        <v>57</v>
      </c>
      <c r="R77" s="49" t="s">
        <v>57</v>
      </c>
      <c r="S77" s="51">
        <f t="shared" si="83"/>
        <v>0</v>
      </c>
      <c r="T77" s="52">
        <f t="shared" si="84"/>
        <v>0</v>
      </c>
      <c r="U77" s="52"/>
      <c r="V77" s="51">
        <f t="shared" si="85"/>
        <v>8</v>
      </c>
      <c r="W77" s="52">
        <f t="shared" si="7"/>
        <v>0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63.0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0.0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9">C78+L78</f>
        <v>72</v>
      </c>
      <c r="O78" s="37">
        <f t="shared" si="89"/>
        <v>0</v>
      </c>
      <c r="P78" s="49" t="s">
        <v>57</v>
      </c>
      <c r="Q78" s="49" t="s">
        <v>57</v>
      </c>
      <c r="R78" s="49" t="s">
        <v>57</v>
      </c>
      <c r="S78" s="51">
        <f t="shared" si="83"/>
        <v>1</v>
      </c>
      <c r="T78" s="52">
        <f t="shared" si="84"/>
        <v>0</v>
      </c>
      <c r="U78" s="52"/>
      <c r="V78" s="51">
        <f t="shared" si="85"/>
        <v>7</v>
      </c>
      <c r="W78" s="52">
        <f t="shared" si="7"/>
        <v>0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56.0</v>
      </c>
      <c r="D79" s="37">
        <v>1.0</v>
      </c>
      <c r="E79" s="40">
        <f t="shared" si="2"/>
        <v>5.8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90">C79+L79</f>
        <v>65</v>
      </c>
      <c r="O79" s="37">
        <f t="shared" si="90"/>
        <v>1</v>
      </c>
      <c r="P79" s="49" t="s">
        <v>57</v>
      </c>
      <c r="Q79" s="49" t="s">
        <v>57</v>
      </c>
      <c r="R79" s="49" t="s">
        <v>57</v>
      </c>
      <c r="S79" s="51">
        <f t="shared" si="83"/>
        <v>5</v>
      </c>
      <c r="T79" s="52">
        <f t="shared" si="84"/>
        <v>0</v>
      </c>
      <c r="U79" s="52"/>
      <c r="V79" s="51">
        <f t="shared" si="85"/>
        <v>3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H80" s="92">
        <v>0.0</v>
      </c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02/21/26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desc"",0)"),"Rudy Tatang")</f>
        <v>Rudy Tatang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IFERROR(__xludf.DUMMYFUNCTION("""COMPUTED_VALUE"""),"Elayaraja Thangaraj")</f>
        <v>Elayaraja Thangaraj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IFERROR(__xludf.DUMMYFUNCTION("""COMPUTED_VALUE"""),8.0)</f>
        <v>8</v>
      </c>
      <c r="F92" s="5"/>
    </row>
    <row r="93">
      <c r="A93" s="5"/>
      <c r="B93" s="36" t="str">
        <f>IFERROR(__xludf.DUMMYFUNCTION("""COMPUTED_VALUE"""),"Darren Wong")</f>
        <v>Darren Wong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IFERROR(__xludf.DUMMYFUNCTION("""COMPUTED_VALUE"""),3.0)</f>
        <v>3</v>
      </c>
      <c r="F93" s="5"/>
    </row>
    <row r="94">
      <c r="A94" s="5"/>
      <c r="B94" s="36" t="str">
        <f>IFERROR(__xludf.DUMMYFUNCTION("""COMPUTED_VALUE"""),"Adrian Tay")</f>
        <v>Adrian Tay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IFERROR(__xludf.DUMMYFUNCTION("""COMPUTED_VALUE"""),6.0)</f>
        <v>6</v>
      </c>
      <c r="F94" s="5"/>
    </row>
    <row r="95">
      <c r="A95" s="5"/>
      <c r="B95" s="36" t="str">
        <f>IFERROR(__xludf.DUMMYFUNCTION("""COMPUTED_VALUE"""),"Santosh Sundaresan")</f>
        <v>Santosh Sundaresan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IFERROR(__xludf.DUMMYFUNCTION("""COMPUTED_VALUE"""),11.0)</f>
        <v>11</v>
      </c>
      <c r="F95" s="5"/>
    </row>
    <row r="96">
      <c r="A96" s="5"/>
      <c r="B96" s="36" t="str">
        <f>IFERROR(__xludf.DUMMYFUNCTION("""COMPUTED_VALUE"""),"Chinna Ponnaganti")</f>
        <v>Chinna Ponnaganti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IFERROR(__xludf.DUMMYFUNCTION("""COMPUTED_VALUE"""),10.0)</f>
        <v>10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10"")"),"Elayaraja Thangaraj")</f>
        <v>Elayaraja Thangaraj</v>
      </c>
      <c r="C110" s="122">
        <f>IFERROR(__xludf.DUMMYFUNCTION("""COMPUTED_VALUE"""),20.0)</f>
        <v>20</v>
      </c>
      <c r="D110" s="122">
        <f t="shared" ref="D110:D119" si="91">VLOOKUP(B110,indirect($AC$2&amp;"!B$5:X$79"),23, false)</f>
        <v>46</v>
      </c>
      <c r="E110" s="122">
        <f t="shared" ref="E110:E119" si="92">VLOOKUP(B110,B$5:X$79,23, false)</f>
        <v>26</v>
      </c>
      <c r="F110" s="122">
        <f t="shared" ref="F110:F119" si="93">VLOOKUP(B110,indirect($AC$2&amp;"!B$5:U$79"),11, false)</f>
        <v>19</v>
      </c>
      <c r="G110" s="122">
        <f t="shared" ref="G110:G119" si="94">VLOOKUP(B110,indirect($AC$2&amp;"!B$5:U$79"),6, false)</f>
        <v>8</v>
      </c>
      <c r="L110" s="122" t="str">
        <f t="shared" ref="L110:L119" si="95">if(D110-E110=C110,"ok","Error")</f>
        <v>ok</v>
      </c>
    </row>
    <row r="111">
      <c r="A111" s="5"/>
      <c r="B111" s="36" t="str">
        <f>IFERROR(__xludf.DUMMYFUNCTION("""COMPUTED_VALUE"""),"Adrian Tay")</f>
        <v>Adrian Tay</v>
      </c>
      <c r="C111" s="122">
        <f>IFERROR(__xludf.DUMMYFUNCTION("""COMPUTED_VALUE"""),18.0)</f>
        <v>18</v>
      </c>
      <c r="D111" s="122">
        <f t="shared" si="91"/>
        <v>34</v>
      </c>
      <c r="E111" s="122">
        <f t="shared" si="92"/>
        <v>16</v>
      </c>
      <c r="F111" s="122">
        <f t="shared" si="93"/>
        <v>18</v>
      </c>
      <c r="G111" s="122">
        <f t="shared" si="94"/>
        <v>6</v>
      </c>
      <c r="L111" s="122" t="str">
        <f t="shared" si="95"/>
        <v>ok</v>
      </c>
    </row>
    <row r="112">
      <c r="A112" s="5"/>
      <c r="B112" s="36" t="str">
        <f>IFERROR(__xludf.DUMMYFUNCTION("""COMPUTED_VALUE"""),"Vishnu Amarnath")</f>
        <v>Vishnu Amarnath</v>
      </c>
      <c r="C112" s="122">
        <f>IFERROR(__xludf.DUMMYFUNCTION("""COMPUTED_VALUE"""),14.0)</f>
        <v>14</v>
      </c>
      <c r="D112" s="122">
        <f t="shared" si="91"/>
        <v>50</v>
      </c>
      <c r="E112" s="122">
        <f t="shared" si="92"/>
        <v>36</v>
      </c>
      <c r="F112" s="122">
        <f t="shared" si="93"/>
        <v>17</v>
      </c>
      <c r="G112" s="122">
        <f t="shared" si="94"/>
        <v>9</v>
      </c>
      <c r="L112" s="122" t="str">
        <f t="shared" si="95"/>
        <v>ok</v>
      </c>
    </row>
    <row r="113">
      <c r="A113" s="5"/>
      <c r="B113" s="36" t="str">
        <f>IFERROR(__xludf.DUMMYFUNCTION("""COMPUTED_VALUE"""),"Nicole Ni")</f>
        <v>Nicole Ni</v>
      </c>
      <c r="C113" s="122">
        <f>IFERROR(__xludf.DUMMYFUNCTION("""COMPUTED_VALUE"""),14.0)</f>
        <v>14</v>
      </c>
      <c r="D113" s="122">
        <f t="shared" si="91"/>
        <v>51</v>
      </c>
      <c r="E113" s="122">
        <f t="shared" si="92"/>
        <v>37</v>
      </c>
      <c r="F113" s="122">
        <f t="shared" si="93"/>
        <v>17</v>
      </c>
      <c r="G113" s="122">
        <f t="shared" si="94"/>
        <v>9</v>
      </c>
      <c r="L113" s="122" t="str">
        <f t="shared" si="95"/>
        <v>ok</v>
      </c>
    </row>
    <row r="114">
      <c r="A114" s="5"/>
      <c r="B114" s="36" t="str">
        <f>IFERROR(__xludf.DUMMYFUNCTION("""COMPUTED_VALUE"""),"Santosh Sundaresan")</f>
        <v>Santosh Sundaresan</v>
      </c>
      <c r="C114" s="122">
        <f>IFERROR(__xludf.DUMMYFUNCTION("""COMPUTED_VALUE"""),10.0)</f>
        <v>10</v>
      </c>
      <c r="D114" s="122">
        <f t="shared" si="91"/>
        <v>68</v>
      </c>
      <c r="E114" s="122">
        <f t="shared" si="92"/>
        <v>58</v>
      </c>
      <c r="F114" s="122">
        <f t="shared" si="93"/>
        <v>18</v>
      </c>
      <c r="G114" s="122">
        <f t="shared" si="94"/>
        <v>11</v>
      </c>
      <c r="L114" s="122" t="str">
        <f t="shared" si="95"/>
        <v>ok</v>
      </c>
    </row>
    <row r="115">
      <c r="A115" s="5"/>
      <c r="B115" s="36" t="str">
        <f>IFERROR(__xludf.DUMMYFUNCTION("""COMPUTED_VALUE"""),"Lloyd Sagar")</f>
        <v>Lloyd Sagar</v>
      </c>
      <c r="C115" s="122">
        <f>IFERROR(__xludf.DUMMYFUNCTION("""COMPUTED_VALUE"""),9.0)</f>
        <v>9</v>
      </c>
      <c r="D115" s="122">
        <f t="shared" si="91"/>
        <v>41</v>
      </c>
      <c r="E115" s="122">
        <f t="shared" si="92"/>
        <v>32</v>
      </c>
      <c r="F115" s="122">
        <f t="shared" si="93"/>
        <v>14</v>
      </c>
      <c r="G115" s="122">
        <f t="shared" si="94"/>
        <v>7</v>
      </c>
      <c r="L115" s="122" t="str">
        <f t="shared" si="95"/>
        <v>ok</v>
      </c>
    </row>
    <row r="116">
      <c r="A116" s="5"/>
      <c r="B116" s="36" t="str">
        <f>IFERROR(__xludf.DUMMYFUNCTION("""COMPUTED_VALUE"""),"Chinna Ponnaganti")</f>
        <v>Chinna Ponnaganti</v>
      </c>
      <c r="C116" s="122">
        <f>IFERROR(__xludf.DUMMYFUNCTION("""COMPUTED_VALUE"""),9.0)</f>
        <v>9</v>
      </c>
      <c r="D116" s="122">
        <f t="shared" si="91"/>
        <v>55</v>
      </c>
      <c r="E116" s="122">
        <f t="shared" si="92"/>
        <v>46</v>
      </c>
      <c r="F116" s="122">
        <f t="shared" si="93"/>
        <v>18</v>
      </c>
      <c r="G116" s="122">
        <f t="shared" si="94"/>
        <v>10</v>
      </c>
      <c r="L116" s="122" t="str">
        <f t="shared" si="95"/>
        <v>ok</v>
      </c>
    </row>
    <row r="117">
      <c r="A117" s="5"/>
      <c r="B117" s="36" t="str">
        <f>IFERROR(__xludf.DUMMYFUNCTION("""COMPUTED_VALUE"""),"Erik Hoeckmann")</f>
        <v>Erik Hoeckmann</v>
      </c>
      <c r="C117" s="122">
        <f>IFERROR(__xludf.DUMMYFUNCTION("""COMPUTED_VALUE"""),8.0)</f>
        <v>8</v>
      </c>
      <c r="D117" s="122">
        <f t="shared" si="91"/>
        <v>42</v>
      </c>
      <c r="E117" s="122">
        <f t="shared" si="92"/>
        <v>34</v>
      </c>
      <c r="F117" s="122">
        <f t="shared" si="93"/>
        <v>13</v>
      </c>
      <c r="G117" s="122">
        <f t="shared" si="94"/>
        <v>7</v>
      </c>
      <c r="L117" s="122" t="str">
        <f t="shared" si="95"/>
        <v>ok</v>
      </c>
    </row>
    <row r="118">
      <c r="A118" s="5"/>
      <c r="B118" s="36" t="str">
        <f>IFERROR(__xludf.DUMMYFUNCTION("""COMPUTED_VALUE"""),"Art Hui")</f>
        <v>Art Hui</v>
      </c>
      <c r="C118" s="122">
        <f>IFERROR(__xludf.DUMMYFUNCTION("""COMPUTED_VALUE"""),8.0)</f>
        <v>8</v>
      </c>
      <c r="D118" s="122">
        <f t="shared" si="91"/>
        <v>43</v>
      </c>
      <c r="E118" s="122">
        <f t="shared" si="92"/>
        <v>35</v>
      </c>
      <c r="F118" s="122">
        <f t="shared" si="93"/>
        <v>13</v>
      </c>
      <c r="G118" s="122">
        <f t="shared" si="94"/>
        <v>8</v>
      </c>
      <c r="L118" s="122" t="str">
        <f t="shared" si="95"/>
        <v>ok</v>
      </c>
    </row>
    <row r="119">
      <c r="A119" s="5"/>
      <c r="B119" s="36" t="str">
        <f>IFERROR(__xludf.DUMMYFUNCTION("""COMPUTED_VALUE"""),"Rudy Tatang")</f>
        <v>Rudy Tatang</v>
      </c>
      <c r="C119" s="122">
        <f>IFERROR(__xludf.DUMMYFUNCTION("""COMPUTED_VALUE"""),7.0)</f>
        <v>7</v>
      </c>
      <c r="D119" s="122">
        <f t="shared" si="91"/>
        <v>12</v>
      </c>
      <c r="E119" s="122">
        <f t="shared" si="92"/>
        <v>5</v>
      </c>
      <c r="F119" s="122">
        <f t="shared" si="93"/>
        <v>19</v>
      </c>
      <c r="G119" s="122">
        <f t="shared" si="94"/>
        <v>2</v>
      </c>
      <c r="L119" s="122" t="str">
        <f t="shared" si="95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8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6">A5</f>
        <v>1</v>
      </c>
      <c r="B128" s="36" t="str">
        <f t="shared" si="96"/>
        <v>Andrew Yao</v>
      </c>
      <c r="C128" s="122">
        <f t="shared" si="96"/>
        <v>119</v>
      </c>
      <c r="D128" s="122">
        <f t="shared" si="96"/>
        <v>17</v>
      </c>
      <c r="E128" s="122">
        <f t="shared" si="96"/>
        <v>14.875</v>
      </c>
      <c r="F128" s="5"/>
    </row>
    <row r="129">
      <c r="A129" s="122">
        <f t="shared" ref="A129:E129" si="97">A6</f>
        <v>2</v>
      </c>
      <c r="B129" s="36" t="str">
        <f t="shared" si="97"/>
        <v>Sandeep Kamalon</v>
      </c>
      <c r="C129" s="122">
        <f t="shared" si="97"/>
        <v>106</v>
      </c>
      <c r="D129" s="122">
        <f t="shared" si="97"/>
        <v>12</v>
      </c>
      <c r="E129" s="122">
        <f t="shared" si="97"/>
        <v>13.85714286</v>
      </c>
      <c r="F129" s="5"/>
    </row>
    <row r="130">
      <c r="A130" s="122">
        <f t="shared" ref="A130:E130" si="98">A7</f>
        <v>3</v>
      </c>
      <c r="B130" s="36" t="str">
        <f t="shared" si="98"/>
        <v>Suleman Alidina</v>
      </c>
      <c r="C130" s="122">
        <f t="shared" si="98"/>
        <v>106</v>
      </c>
      <c r="D130" s="122">
        <f t="shared" si="98"/>
        <v>12</v>
      </c>
      <c r="E130" s="122">
        <f t="shared" si="98"/>
        <v>13.25</v>
      </c>
      <c r="F130" s="5"/>
    </row>
    <row r="131">
      <c r="A131" s="122">
        <f t="shared" ref="A131:E131" si="99">A8</f>
        <v>4</v>
      </c>
      <c r="B131" s="36" t="str">
        <f t="shared" si="99"/>
        <v>David Shin</v>
      </c>
      <c r="C131" s="122">
        <f t="shared" si="99"/>
        <v>101</v>
      </c>
      <c r="D131" s="122">
        <f t="shared" si="99"/>
        <v>11</v>
      </c>
      <c r="E131" s="122">
        <f t="shared" si="99"/>
        <v>13.83333333</v>
      </c>
      <c r="F131" s="5"/>
    </row>
    <row r="132">
      <c r="A132" s="122">
        <f t="shared" ref="A132:E132" si="100">A9</f>
        <v>5</v>
      </c>
      <c r="B132" s="36" t="str">
        <f t="shared" si="100"/>
        <v>Rudy Tatang</v>
      </c>
      <c r="C132" s="122">
        <f t="shared" si="100"/>
        <v>98</v>
      </c>
      <c r="D132" s="122">
        <f t="shared" si="100"/>
        <v>11</v>
      </c>
      <c r="E132" s="122">
        <f t="shared" si="100"/>
        <v>12.71428571</v>
      </c>
      <c r="F132" s="5"/>
    </row>
    <row r="133">
      <c r="A133" s="122">
        <f t="shared" ref="A133:E133" si="101">A10</f>
        <v>6</v>
      </c>
      <c r="B133" s="36" t="str">
        <f t="shared" si="101"/>
        <v>Pulkit Mathur</v>
      </c>
      <c r="C133" s="122">
        <f t="shared" si="101"/>
        <v>97</v>
      </c>
      <c r="D133" s="122">
        <f t="shared" si="101"/>
        <v>10</v>
      </c>
      <c r="E133" s="122">
        <f t="shared" si="101"/>
        <v>13.16666667</v>
      </c>
      <c r="F133" s="5"/>
    </row>
    <row r="134">
      <c r="A134" s="122">
        <f t="shared" ref="A134:E134" si="102">A11</f>
        <v>7</v>
      </c>
      <c r="B134" s="36" t="str">
        <f t="shared" si="102"/>
        <v>Matthew Huang</v>
      </c>
      <c r="C134" s="122">
        <f t="shared" si="102"/>
        <v>97</v>
      </c>
      <c r="D134" s="122">
        <f t="shared" si="102"/>
        <v>9</v>
      </c>
      <c r="E134" s="122">
        <f t="shared" si="102"/>
        <v>14</v>
      </c>
      <c r="F134" s="5"/>
    </row>
    <row r="135">
      <c r="A135" s="122">
        <f t="shared" ref="A135:E135" si="103">A12</f>
        <v>8</v>
      </c>
      <c r="B135" s="36" t="str">
        <f t="shared" si="103"/>
        <v>Eric Pan</v>
      </c>
      <c r="C135" s="122">
        <f t="shared" si="103"/>
        <v>96</v>
      </c>
      <c r="D135" s="122">
        <f t="shared" si="103"/>
        <v>11</v>
      </c>
      <c r="E135" s="122">
        <f t="shared" si="103"/>
        <v>13.8</v>
      </c>
      <c r="F135" s="5"/>
    </row>
    <row r="136">
      <c r="A136" s="122">
        <f t="shared" ref="A136:E136" si="104">A13</f>
        <v>9</v>
      </c>
      <c r="B136" s="36" t="str">
        <f t="shared" si="104"/>
        <v>Joe Luzzi</v>
      </c>
      <c r="C136" s="122">
        <f t="shared" si="104"/>
        <v>95</v>
      </c>
      <c r="D136" s="122">
        <f t="shared" si="104"/>
        <v>11</v>
      </c>
      <c r="E136" s="122">
        <f t="shared" si="104"/>
        <v>12.28571429</v>
      </c>
      <c r="F136" s="5"/>
    </row>
    <row r="137">
      <c r="A137" s="122">
        <f t="shared" ref="A137:E137" si="105">A14</f>
        <v>10</v>
      </c>
      <c r="B137" s="36" t="str">
        <f t="shared" si="105"/>
        <v>Jaya Sogata</v>
      </c>
      <c r="C137" s="122">
        <f t="shared" si="105"/>
        <v>95</v>
      </c>
      <c r="D137" s="122">
        <f t="shared" si="105"/>
        <v>10</v>
      </c>
      <c r="E137" s="122">
        <f t="shared" si="105"/>
        <v>12.16666667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6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6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6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6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6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6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6"/>
        <v>8</v>
      </c>
      <c r="B170" s="36" t="str">
        <f>IFERROR(__xludf.DUMMYFUNCTION("""COMPUTED_VALUE"""),"Wayne Liu")</f>
        <v>Wayne Liu</v>
      </c>
      <c r="C170" s="5"/>
      <c r="D170" s="5"/>
      <c r="E170" s="5"/>
      <c r="F170" s="5"/>
    </row>
    <row r="171">
      <c r="A171" s="122">
        <f t="shared" si="106"/>
        <v>0</v>
      </c>
      <c r="B171" s="36"/>
      <c r="C171" s="5"/>
      <c r="D171" s="5"/>
      <c r="E171" s="5"/>
      <c r="F171" s="5"/>
    </row>
    <row r="172">
      <c r="A172" s="122">
        <f t="shared" si="106"/>
        <v>0</v>
      </c>
      <c r="B172" s="36"/>
      <c r="C172" s="5"/>
      <c r="D172" s="5"/>
      <c r="E172" s="5"/>
      <c r="F172" s="5"/>
    </row>
    <row r="173">
      <c r="A173" s="122">
        <f t="shared" si="106"/>
        <v>0</v>
      </c>
      <c r="B173" s="36"/>
      <c r="C173" s="5"/>
      <c r="D173" s="5"/>
      <c r="E173" s="5"/>
      <c r="F173" s="5"/>
    </row>
    <row r="174">
      <c r="A174" s="122">
        <f t="shared" si="106"/>
        <v>0</v>
      </c>
      <c r="B174" s="36"/>
      <c r="C174" s="5"/>
      <c r="D174" s="5"/>
      <c r="E174" s="5"/>
      <c r="F174" s="5"/>
    </row>
    <row r="175">
      <c r="A175" s="122">
        <f t="shared" si="106"/>
        <v>0</v>
      </c>
      <c r="B175" s="36"/>
      <c r="C175" s="5"/>
      <c r="D175" s="5"/>
      <c r="E175" s="5"/>
      <c r="F175" s="5"/>
    </row>
    <row r="176">
      <c r="A176" s="122">
        <f t="shared" si="106"/>
        <v>0</v>
      </c>
      <c r="B176" s="36"/>
      <c r="C176" s="5"/>
      <c r="D176" s="5"/>
      <c r="E176" s="5"/>
      <c r="F176" s="5"/>
    </row>
    <row r="177">
      <c r="A177" s="122">
        <f t="shared" si="106"/>
        <v>0</v>
      </c>
      <c r="B177" s="36"/>
      <c r="C177" s="5"/>
      <c r="D177" s="5"/>
      <c r="E177" s="5"/>
      <c r="F177" s="5"/>
    </row>
    <row r="178">
      <c r="A178" s="122">
        <f t="shared" si="106"/>
        <v>0</v>
      </c>
      <c r="B178" s="36"/>
      <c r="C178" s="5"/>
      <c r="D178" s="5"/>
      <c r="E178" s="5"/>
      <c r="F178" s="5"/>
    </row>
    <row r="179">
      <c r="A179" s="122">
        <f t="shared" si="106"/>
        <v>0</v>
      </c>
      <c r="B179" s="36"/>
      <c r="C179" s="5"/>
      <c r="D179" s="5"/>
      <c r="E179" s="5"/>
      <c r="F179" s="5"/>
    </row>
    <row r="180">
      <c r="A180" s="122">
        <f t="shared" si="106"/>
        <v>0</v>
      </c>
      <c r="B180" s="36"/>
      <c r="C180" s="5"/>
      <c r="D180" s="5"/>
      <c r="E180" s="5"/>
      <c r="F180" s="5"/>
    </row>
    <row r="181">
      <c r="A181" s="122">
        <f t="shared" si="106"/>
        <v>0</v>
      </c>
      <c r="B181" s="36"/>
      <c r="C181" s="5"/>
      <c r="D181" s="5"/>
      <c r="E181" s="5"/>
      <c r="F181" s="5"/>
    </row>
    <row r="182">
      <c r="A182" s="122">
        <f t="shared" si="106"/>
        <v>0</v>
      </c>
      <c r="B182" s="36"/>
      <c r="C182" s="5"/>
      <c r="D182" s="5"/>
      <c r="E182" s="5"/>
      <c r="F182" s="5"/>
    </row>
    <row r="183">
      <c r="A183" s="122">
        <f t="shared" si="106"/>
        <v>0</v>
      </c>
      <c r="B183" s="36"/>
      <c r="C183" s="5"/>
      <c r="D183" s="5"/>
      <c r="E183" s="5"/>
      <c r="F183" s="5"/>
    </row>
    <row r="184">
      <c r="A184" s="122">
        <f t="shared" si="106"/>
        <v>0</v>
      </c>
      <c r="B184" s="36"/>
      <c r="C184" s="5"/>
      <c r="D184" s="5"/>
      <c r="E184" s="5"/>
      <c r="F184" s="5"/>
    </row>
    <row r="185">
      <c r="A185" s="122">
        <f t="shared" si="106"/>
        <v>0</v>
      </c>
      <c r="B185" s="36"/>
      <c r="C185" s="5"/>
      <c r="D185" s="5"/>
      <c r="E185" s="5"/>
      <c r="F185" s="5"/>
    </row>
    <row r="186">
      <c r="A186" s="122">
        <f t="shared" si="106"/>
        <v>0</v>
      </c>
      <c r="B186" s="36"/>
      <c r="C186" s="5"/>
      <c r="D186" s="5"/>
      <c r="E186" s="5"/>
      <c r="F186" s="5"/>
    </row>
    <row r="187">
      <c r="A187" s="122">
        <f t="shared" si="106"/>
        <v>0</v>
      </c>
      <c r="B187" s="36"/>
      <c r="C187" s="5"/>
      <c r="D187" s="5"/>
      <c r="E187" s="5"/>
      <c r="F187" s="5"/>
    </row>
    <row r="188">
      <c r="A188" s="122">
        <f t="shared" si="106"/>
        <v>0</v>
      </c>
      <c r="B188" s="36"/>
      <c r="C188" s="5"/>
      <c r="D188" s="5"/>
      <c r="E188" s="5"/>
      <c r="F188" s="5"/>
    </row>
    <row r="189">
      <c r="A189" s="122">
        <f t="shared" si="106"/>
        <v>0</v>
      </c>
      <c r="B189" s="36"/>
      <c r="C189" s="5"/>
      <c r="D189" s="5"/>
      <c r="E189" s="5"/>
      <c r="F189" s="5"/>
    </row>
    <row r="190">
      <c r="A190" s="122">
        <f t="shared" si="106"/>
        <v>0</v>
      </c>
      <c r="B190" s="36"/>
      <c r="C190" s="5"/>
      <c r="D190" s="5"/>
      <c r="E190" s="5"/>
      <c r="F190" s="5"/>
    </row>
    <row r="191">
      <c r="A191" s="122">
        <f t="shared" si="106"/>
        <v>0</v>
      </c>
      <c r="B191" s="36"/>
      <c r="C191" s="5"/>
      <c r="D191" s="5"/>
      <c r="E191" s="5"/>
      <c r="F191" s="5"/>
    </row>
    <row r="192">
      <c r="A192" s="122">
        <f t="shared" si="106"/>
        <v>0</v>
      </c>
      <c r="B192" s="36"/>
      <c r="C192" s="5"/>
      <c r="D192" s="5"/>
      <c r="E192" s="5"/>
      <c r="F192" s="5"/>
    </row>
    <row r="193">
      <c r="A193" s="122">
        <f t="shared" si="106"/>
        <v>0</v>
      </c>
      <c r="B193" s="36"/>
      <c r="C193" s="5"/>
      <c r="D193" s="5"/>
      <c r="E193" s="5"/>
      <c r="F193" s="5"/>
    </row>
    <row r="194">
      <c r="A194" s="122">
        <f t="shared" si="106"/>
        <v>0</v>
      </c>
      <c r="B194" s="36"/>
      <c r="C194" s="5"/>
      <c r="D194" s="5"/>
      <c r="E194" s="5"/>
      <c r="F194" s="5"/>
    </row>
    <row r="195">
      <c r="A195" s="122">
        <f t="shared" si="106"/>
        <v>0</v>
      </c>
      <c r="B195" s="36"/>
      <c r="C195" s="5"/>
      <c r="D195" s="5"/>
      <c r="E195" s="5"/>
      <c r="F195" s="5"/>
    </row>
    <row r="196">
      <c r="A196" s="122">
        <f t="shared" si="106"/>
        <v>0</v>
      </c>
      <c r="B196" s="36"/>
      <c r="C196" s="5"/>
      <c r="D196" s="5"/>
      <c r="E196" s="5"/>
      <c r="F196" s="5"/>
    </row>
    <row r="197">
      <c r="A197" s="122">
        <f t="shared" si="106"/>
        <v>0</v>
      </c>
      <c r="B197" s="36"/>
      <c r="C197" s="5"/>
      <c r="D197" s="5"/>
      <c r="E197" s="5"/>
      <c r="F197" s="5"/>
    </row>
    <row r="198">
      <c r="A198" s="122">
        <f t="shared" si="106"/>
        <v>0</v>
      </c>
      <c r="B198" s="36"/>
      <c r="C198" s="5"/>
      <c r="D198" s="5"/>
      <c r="E198" s="5"/>
      <c r="F198" s="5"/>
    </row>
    <row r="199">
      <c r="A199" s="122">
        <f t="shared" si="106"/>
        <v>0</v>
      </c>
      <c r="B199" s="36"/>
      <c r="C199" s="5"/>
      <c r="D199" s="5"/>
      <c r="E199" s="5"/>
      <c r="F199" s="5"/>
    </row>
    <row r="200">
      <c r="A200" s="122">
        <f t="shared" si="106"/>
        <v>0</v>
      </c>
      <c r="B200" s="36"/>
      <c r="C200" s="5"/>
      <c r="D200" s="5"/>
      <c r="E200" s="5"/>
      <c r="F200" s="5"/>
    </row>
    <row r="201">
      <c r="A201" s="122">
        <f t="shared" si="106"/>
        <v>0</v>
      </c>
      <c r="B201" s="36"/>
      <c r="C201" s="5"/>
      <c r="D201" s="5"/>
      <c r="E201" s="5"/>
      <c r="F201" s="5"/>
    </row>
    <row r="202">
      <c r="A202" s="122">
        <f t="shared" si="106"/>
        <v>0</v>
      </c>
      <c r="B202" s="36"/>
      <c r="C202" s="5"/>
      <c r="D202" s="5"/>
      <c r="E202" s="5"/>
      <c r="F202" s="5"/>
    </row>
    <row r="203">
      <c r="A203" s="122">
        <f t="shared" si="106"/>
        <v>0</v>
      </c>
      <c r="B203" s="36"/>
      <c r="C203" s="5"/>
      <c r="D203" s="5"/>
      <c r="E203" s="5"/>
      <c r="F203" s="5"/>
    </row>
    <row r="204">
      <c r="A204" s="122">
        <f t="shared" si="106"/>
        <v>0</v>
      </c>
      <c r="B204" s="36"/>
      <c r="C204" s="5"/>
      <c r="D204" s="5"/>
      <c r="E204" s="5"/>
      <c r="F204" s="5"/>
    </row>
    <row r="205">
      <c r="A205" s="122">
        <f t="shared" si="106"/>
        <v>0</v>
      </c>
      <c r="B205" s="36"/>
      <c r="C205" s="5"/>
      <c r="D205" s="5"/>
      <c r="E205" s="5"/>
      <c r="F205" s="5"/>
    </row>
    <row r="206">
      <c r="A206" s="122">
        <f t="shared" si="106"/>
        <v>0</v>
      </c>
      <c r="B206" s="36"/>
      <c r="C206" s="5"/>
      <c r="D206" s="5"/>
      <c r="E206" s="5"/>
      <c r="F206" s="5"/>
    </row>
    <row r="207">
      <c r="A207" s="122">
        <f t="shared" si="106"/>
        <v>0</v>
      </c>
      <c r="B207" s="36"/>
      <c r="C207" s="5"/>
      <c r="D207" s="5"/>
      <c r="E207" s="5"/>
      <c r="F207" s="5"/>
    </row>
    <row r="208">
      <c r="A208" s="122">
        <f t="shared" si="106"/>
        <v>0</v>
      </c>
      <c r="B208" s="36"/>
      <c r="C208" s="5"/>
      <c r="D208" s="5"/>
      <c r="E208" s="5"/>
      <c r="F208" s="5"/>
    </row>
    <row r="209">
      <c r="A209" s="122">
        <f t="shared" si="106"/>
        <v>0</v>
      </c>
      <c r="B209" s="36"/>
      <c r="C209" s="5"/>
      <c r="D209" s="5"/>
      <c r="E209" s="5"/>
      <c r="F209" s="5"/>
    </row>
    <row r="210">
      <c r="A210" s="122">
        <f t="shared" si="106"/>
        <v>0</v>
      </c>
      <c r="B210" s="36"/>
      <c r="C210" s="5"/>
      <c r="D210" s="5"/>
      <c r="E210" s="5"/>
      <c r="F210" s="5"/>
    </row>
    <row r="211">
      <c r="A211" s="122">
        <f t="shared" si="106"/>
        <v>0</v>
      </c>
      <c r="B211" s="36"/>
      <c r="C211" s="5"/>
      <c r="D211" s="5"/>
      <c r="E211" s="5"/>
      <c r="F211" s="5"/>
    </row>
    <row r="212">
      <c r="A212" s="122">
        <f t="shared" si="106"/>
        <v>0</v>
      </c>
      <c r="B212" s="36"/>
      <c r="C212" s="5"/>
      <c r="D212" s="5"/>
      <c r="E212" s="5"/>
      <c r="F212" s="5"/>
    </row>
    <row r="213">
      <c r="A213" s="122">
        <f t="shared" si="106"/>
        <v>0</v>
      </c>
      <c r="B213" s="36"/>
      <c r="C213" s="5"/>
      <c r="D213" s="5"/>
      <c r="E213" s="5"/>
      <c r="F213" s="5"/>
    </row>
    <row r="214">
      <c r="A214" s="122">
        <f t="shared" si="106"/>
        <v>0</v>
      </c>
      <c r="B214" s="36"/>
      <c r="C214" s="5"/>
      <c r="D214" s="5"/>
      <c r="E214" s="5"/>
      <c r="F214" s="5"/>
    </row>
    <row r="215">
      <c r="A215" s="122">
        <f t="shared" si="106"/>
        <v>0</v>
      </c>
      <c r="B215" s="36"/>
      <c r="C215" s="5"/>
      <c r="D215" s="5"/>
      <c r="E215" s="5"/>
      <c r="F215" s="5"/>
    </row>
    <row r="216">
      <c r="A216" s="122">
        <f t="shared" si="106"/>
        <v>0</v>
      </c>
      <c r="B216" s="36"/>
      <c r="C216" s="5"/>
      <c r="D216" s="5"/>
      <c r="E216" s="5"/>
      <c r="F216" s="5"/>
    </row>
    <row r="217">
      <c r="A217" s="122">
        <f t="shared" si="106"/>
        <v>0</v>
      </c>
      <c r="B217" s="36"/>
      <c r="C217" s="5"/>
      <c r="D217" s="5"/>
      <c r="E217" s="5"/>
      <c r="F217" s="5"/>
    </row>
    <row r="218">
      <c r="A218" s="122">
        <f t="shared" si="106"/>
        <v>0</v>
      </c>
      <c r="B218" s="36"/>
      <c r="C218" s="5"/>
      <c r="D218" s="5"/>
      <c r="E218" s="5"/>
      <c r="F218" s="5"/>
    </row>
    <row r="219">
      <c r="A219" s="122">
        <f t="shared" si="106"/>
        <v>0</v>
      </c>
      <c r="B219" s="36"/>
      <c r="C219" s="5"/>
      <c r="D219" s="5"/>
      <c r="E219" s="5"/>
      <c r="F219" s="5"/>
    </row>
    <row r="220">
      <c r="A220" s="122">
        <f t="shared" si="106"/>
        <v>0</v>
      </c>
      <c r="B220" s="36"/>
      <c r="C220" s="5"/>
      <c r="D220" s="5"/>
      <c r="E220" s="5"/>
      <c r="F220" s="5"/>
    </row>
    <row r="221">
      <c r="A221" s="122">
        <f t="shared" si="106"/>
        <v>0</v>
      </c>
      <c r="B221" s="36"/>
      <c r="C221" s="5"/>
      <c r="D221" s="5"/>
      <c r="E221" s="5"/>
      <c r="F221" s="5"/>
    </row>
    <row r="222">
      <c r="A222" s="122">
        <f t="shared" si="106"/>
        <v>0</v>
      </c>
      <c r="B222" s="36"/>
      <c r="C222" s="5"/>
      <c r="D222" s="5"/>
      <c r="E222" s="5"/>
      <c r="F222" s="5"/>
    </row>
    <row r="223">
      <c r="A223" s="122">
        <f t="shared" si="106"/>
        <v>0</v>
      </c>
      <c r="B223" s="36"/>
      <c r="C223" s="5"/>
      <c r="D223" s="5"/>
      <c r="E223" s="5"/>
      <c r="F223" s="5"/>
    </row>
    <row r="224">
      <c r="A224" s="122">
        <f t="shared" si="106"/>
        <v>0</v>
      </c>
      <c r="B224" s="36"/>
      <c r="C224" s="5"/>
      <c r="D224" s="5"/>
      <c r="E224" s="5"/>
      <c r="F224" s="5"/>
    </row>
    <row r="225">
      <c r="A225" s="122">
        <f t="shared" si="106"/>
        <v>0</v>
      </c>
      <c r="B225" s="36"/>
      <c r="C225" s="5"/>
      <c r="D225" s="5"/>
      <c r="E225" s="5"/>
      <c r="F225" s="5"/>
    </row>
    <row r="226">
      <c r="A226" s="122">
        <f t="shared" si="106"/>
        <v>0</v>
      </c>
      <c r="B226" s="36"/>
      <c r="C226" s="5"/>
      <c r="D226" s="5"/>
      <c r="E226" s="5"/>
      <c r="F226" s="5"/>
    </row>
    <row r="227">
      <c r="A227" s="122">
        <f t="shared" si="106"/>
        <v>0</v>
      </c>
      <c r="B227" s="36"/>
      <c r="C227" s="5"/>
      <c r="D227" s="5"/>
      <c r="E227" s="5"/>
      <c r="F227" s="5"/>
    </row>
    <row r="228">
      <c r="A228" s="122">
        <f t="shared" si="106"/>
        <v>0</v>
      </c>
      <c r="B228" s="36"/>
      <c r="C228" s="5"/>
      <c r="D228" s="5"/>
      <c r="E228" s="5"/>
      <c r="F228" s="5"/>
    </row>
    <row r="229">
      <c r="A229" s="122">
        <f t="shared" si="106"/>
        <v>0</v>
      </c>
      <c r="B229" s="36"/>
      <c r="C229" s="5"/>
      <c r="D229" s="5"/>
      <c r="E229" s="5"/>
      <c r="F229" s="5"/>
    </row>
    <row r="230">
      <c r="A230" s="122">
        <f t="shared" si="106"/>
        <v>0</v>
      </c>
      <c r="B230" s="36"/>
      <c r="C230" s="5"/>
      <c r="D230" s="5"/>
      <c r="E230" s="5"/>
      <c r="F230" s="5"/>
    </row>
    <row r="231">
      <c r="A231" s="122">
        <f t="shared" si="106"/>
        <v>0</v>
      </c>
      <c r="B231" s="36"/>
      <c r="C231" s="5"/>
      <c r="D231" s="5"/>
      <c r="E231" s="5"/>
      <c r="F231" s="5"/>
    </row>
    <row r="232">
      <c r="A232" s="122">
        <f t="shared" si="106"/>
        <v>0</v>
      </c>
      <c r="B232" s="36"/>
      <c r="C232" s="5"/>
      <c r="D232" s="5"/>
      <c r="E232" s="5"/>
      <c r="F232" s="5"/>
    </row>
    <row r="233">
      <c r="A233" s="122">
        <f t="shared" si="106"/>
        <v>0</v>
      </c>
      <c r="B233" s="36"/>
      <c r="C233" s="5"/>
      <c r="D233" s="5"/>
      <c r="E233" s="5"/>
      <c r="F233" s="5"/>
    </row>
    <row r="234">
      <c r="A234" s="122">
        <f t="shared" si="106"/>
        <v>0</v>
      </c>
      <c r="B234" s="36"/>
      <c r="C234" s="5"/>
      <c r="D234" s="5"/>
      <c r="E234" s="5"/>
      <c r="F234" s="5"/>
    </row>
    <row r="235">
      <c r="A235" s="122">
        <f t="shared" si="106"/>
        <v>0</v>
      </c>
      <c r="B235" s="36"/>
      <c r="C235" s="5"/>
      <c r="D235" s="5"/>
      <c r="E235" s="5"/>
      <c r="F235" s="5"/>
    </row>
    <row r="236">
      <c r="A236" s="122">
        <f t="shared" si="106"/>
        <v>0</v>
      </c>
      <c r="B236" s="36"/>
      <c r="C236" s="5"/>
      <c r="D236" s="5"/>
      <c r="E236" s="5"/>
      <c r="F236" s="5"/>
    </row>
    <row r="237">
      <c r="A237" s="122">
        <f t="shared" si="106"/>
        <v>0</v>
      </c>
      <c r="B237" s="36"/>
      <c r="C237" s="5"/>
      <c r="D237" s="5"/>
      <c r="E237" s="5"/>
      <c r="F237" s="5"/>
    </row>
    <row r="238">
      <c r="A238" s="122">
        <f t="shared" si="106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02/21/26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IFERROR(__xludf.DUMMYFUNCTION("""COMPUTED_VALUE"""),2.0)</f>
        <v>2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IFERROR(__xludf.DUMMYFUNCTION("""COMPUTED_VALUE"""),14.0)</f>
        <v>14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IFERROR(__xludf.DUMMYFUNCTION("""COMPUTED_VALUE"""),"Sandeep Kamalon")</f>
        <v>Sandeep Kamalon</v>
      </c>
      <c r="C251" s="132">
        <f>IFERROR(__xludf.DUMMYFUNCTION("""COMPUTED_VALUE"""),6.0)</f>
        <v>6</v>
      </c>
      <c r="D251" s="132">
        <f>IFERROR(__xludf.DUMMYFUNCTION("""COMPUTED_VALUE"""),6.0)</f>
        <v>6</v>
      </c>
      <c r="E251" s="132">
        <f>IFERROR(__xludf.DUMMYFUNCTION("""COMPUTED_VALUE"""),1.0)</f>
        <v>1</v>
      </c>
      <c r="F251" s="132">
        <f>IFERROR(__xludf.DUMMYFUNCTION("""COMPUTED_VALUE"""),13.0)</f>
        <v>13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IFERROR(__xludf.DUMMYFUNCTION("""COMPUTED_VALUE"""),6.0)</f>
        <v>6</v>
      </c>
      <c r="D252" s="132">
        <f>IFERROR(__xludf.DUMMYFUNCTION("""COMPUTED_VALUE"""),3.0)</f>
        <v>3</v>
      </c>
      <c r="E252" s="132">
        <f>IFERROR(__xludf.DUMMYFUNCTION("""COMPUTED_VALUE"""),6.0)</f>
        <v>6</v>
      </c>
      <c r="F252" s="132">
        <f>IFERROR(__xludf.DUMMYFUNCTION("""COMPUTED_VALUE"""),15.0)</f>
        <v>15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IFERROR(__xludf.DUMMYFUNCTION("""COMPUTED_VALUE"""),"Jaya Sogata")</f>
        <v>Jaya Sogata</v>
      </c>
      <c r="C253" s="132">
        <f>IFERROR(__xludf.DUMMYFUNCTION("""COMPUTED_VALUE"""),2.0)</f>
        <v>2</v>
      </c>
      <c r="D253" s="132">
        <f>IFERROR(__xludf.DUMMYFUNCTION("""COMPUTED_VALUE"""),3.0)</f>
        <v>3</v>
      </c>
      <c r="E253" s="132">
        <f>IFERROR(__xludf.DUMMYFUNCTION("""COMPUTED_VALUE"""),1.0)</f>
        <v>1</v>
      </c>
      <c r="F253" s="132">
        <f>IFERROR(__xludf.DUMMYFUNCTION("""COMPUTED_VALUE"""),6.0)</f>
        <v>6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IFERROR(__xludf.DUMMYFUNCTION("""COMPUTED_VALUE"""),"Matthew Huang")</f>
        <v>Matthew Huang</v>
      </c>
      <c r="C254" s="135">
        <f>IFERROR(__xludf.DUMMYFUNCTION("""COMPUTED_VALUE"""),6.0)</f>
        <v>6</v>
      </c>
      <c r="D254" s="135">
        <f>IFERROR(__xludf.DUMMYFUNCTION("""COMPUTED_VALUE"""),3.0)</f>
        <v>3</v>
      </c>
      <c r="E254" s="135">
        <f>IFERROR(__xludf.DUMMYFUNCTION("""COMPUTED_VALUE"""),5.0)</f>
        <v>5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IFERROR(__xludf.DUMMYFUNCTION("""COMPUTED_VALUE"""),"Joe Luzzi")</f>
        <v>Joe Luzzi</v>
      </c>
      <c r="C255" s="135">
        <f>IFERROR(__xludf.DUMMYFUNCTION("""COMPUTED_VALUE"""),2.0)</f>
        <v>2</v>
      </c>
      <c r="D255" s="135">
        <f>IFERROR(__xludf.DUMMYFUNCTION("""COMPUTED_VALUE"""),6.0)</f>
        <v>6</v>
      </c>
      <c r="E255" s="135">
        <f>IFERROR(__xludf.DUMMYFUNCTION("""COMPUTED_VALUE"""),5.0)</f>
        <v>5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IFERROR(__xludf.DUMMYFUNCTION("""COMPUTED_VALUE"""),"Frank Moon")</f>
        <v>Frank Moon</v>
      </c>
      <c r="C256" s="135">
        <f>IFERROR(__xludf.DUMMYFUNCTION("""COMPUTED_VALUE"""),2.0)</f>
        <v>2</v>
      </c>
      <c r="D256" s="135">
        <f>IFERROR(__xludf.DUMMYFUNCTION("""COMPUTED_VALUE"""),3.0)</f>
        <v>3</v>
      </c>
      <c r="E256" s="135">
        <f>IFERROR(__xludf.DUMMYFUNCTION("""COMPUTED_VALUE"""),7.0)</f>
        <v>7</v>
      </c>
      <c r="F256" s="135">
        <f>IFERROR(__xludf.DUMMYFUNCTION("""COMPUTED_VALUE"""),12.0)</f>
        <v>12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IFERROR(__xludf.DUMMYFUNCTION("""COMPUTED_VALUE"""),"Rudy Tatang")</f>
        <v>Rudy Tatang</v>
      </c>
      <c r="C257" s="135">
        <f>IFERROR(__xludf.DUMMYFUNCTION("""COMPUTED_VALUE"""),6.0)</f>
        <v>6</v>
      </c>
      <c r="D257" s="135">
        <f>IFERROR(__xludf.DUMMYFUNCTION("""COMPUTED_VALUE"""),6.0)</f>
        <v>6</v>
      </c>
      <c r="E257" s="135">
        <f>IFERROR(__xludf.DUMMYFUNCTION("""COMPUTED_VALUE"""),7.0)</f>
        <v>7</v>
      </c>
      <c r="F257" s="135">
        <f>IFERROR(__xludf.DUMMYFUNCTION("""COMPUTED_VALUE"""),19.0)</f>
        <v>19</v>
      </c>
      <c r="G257" s="135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IFERROR(__xludf.DUMMYFUNCTION("""COMPUTED_VALUE"""),"Herman Au")</f>
        <v>Herman Au</v>
      </c>
      <c r="C258" s="132">
        <f>IFERROR(__xludf.DUMMYFUNCTION("""COMPUTED_VALUE"""),6.0)</f>
        <v>6</v>
      </c>
      <c r="D258" s="132">
        <f>IFERROR(__xludf.DUMMYFUNCTION("""COMPUTED_VALUE"""),2.0)</f>
        <v>2</v>
      </c>
      <c r="E258" s="132">
        <f>IFERROR(__xludf.DUMMYFUNCTION("""COMPUTED_VALUE"""),2.0)</f>
        <v>2</v>
      </c>
      <c r="F258" s="132">
        <f>IFERROR(__xludf.DUMMYFUNCTION("""COMPUTED_VALUE"""),10.0)</f>
        <v>10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IFERROR(__xludf.DUMMYFUNCTION("""COMPUTED_VALUE"""),"Rajasekar Ramasamy")</f>
        <v>Rajasekar Ramasamy</v>
      </c>
      <c r="C259" s="132">
        <f>IFERROR(__xludf.DUMMYFUNCTION("""COMPUTED_VALUE"""),1.0)</f>
        <v>1</v>
      </c>
      <c r="D259" s="132">
        <f>IFERROR(__xludf.DUMMYFUNCTION("""COMPUTED_VALUE"""),6.0)</f>
        <v>6</v>
      </c>
      <c r="E259" s="132">
        <f>IFERROR(__xludf.DUMMYFUNCTION("""COMPUTED_VALUE"""),2.0)</f>
        <v>2</v>
      </c>
      <c r="F259" s="132">
        <f>IFERROR(__xludf.DUMMYFUNCTION("""COMPUTED_VALUE"""),9.0)</f>
        <v>9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IFERROR(__xludf.DUMMYFUNCTION("""COMPUTED_VALUE"""),"Cid Macaraeg")</f>
        <v>Cid Macaraeg</v>
      </c>
      <c r="C260" s="132">
        <f>IFERROR(__xludf.DUMMYFUNCTION("""COMPUTED_VALUE"""),1.0)</f>
        <v>1</v>
      </c>
      <c r="D260" s="132">
        <f>IFERROR(__xludf.DUMMYFUNCTION("""COMPUTED_VALUE"""),2.0)</f>
        <v>2</v>
      </c>
      <c r="E260" s="132">
        <f>IFERROR(__xludf.DUMMYFUNCTION("""COMPUTED_VALUE"""),6.0)</f>
        <v>6</v>
      </c>
      <c r="F260" s="132">
        <f>IFERROR(__xludf.DUMMYFUNCTION("""COMPUTED_VALUE"""),9.0)</f>
        <v>9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IFERROR(__xludf.DUMMYFUNCTION("""COMPUTED_VALUE"""),"Darren Wong")</f>
        <v>Darren Wong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IFERROR(__xludf.DUMMYFUNCTION("""COMPUTED_VALUE"""),6.0)</f>
        <v>6</v>
      </c>
      <c r="F261" s="132">
        <f>IFERROR(__xludf.DUMMYFUNCTION("""COMPUTED_VALUE"""),18.0)</f>
        <v>18</v>
      </c>
      <c r="G261" s="132">
        <f>IFERROR(__xludf.DUMMYFUNCTION("""COMPUTED_VALUE"""),3.0)</f>
        <v>3</v>
      </c>
    </row>
    <row r="262">
      <c r="A262" s="133">
        <f>IFERROR(__xludf.DUMMYFUNCTION("""COMPUTED_VALUE"""),4.0)</f>
        <v>4</v>
      </c>
      <c r="B262" s="134" t="str">
        <f>IFERROR(__xludf.DUMMYFUNCTION("""COMPUTED_VALUE"""),"Lam Bui")</f>
        <v>Lam Bui</v>
      </c>
      <c r="C262" s="135">
        <f>IFERROR(__xludf.DUMMYFUNCTION("""COMPUTED_VALUE"""),4.0)</f>
        <v>4</v>
      </c>
      <c r="D262" s="135">
        <f>IFERROR(__xludf.DUMMYFUNCTION("""COMPUTED_VALUE"""),6.0)</f>
        <v>6</v>
      </c>
      <c r="E262" s="135">
        <f>IFERROR(__xludf.DUMMYFUNCTION("""COMPUTED_VALUE"""),6.0)</f>
        <v>6</v>
      </c>
      <c r="F262" s="135">
        <f>IFERROR(__xludf.DUMMYFUNCTION("""COMPUTED_VALUE"""),16.0)</f>
        <v>16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IFERROR(__xludf.DUMMYFUNCTION("""COMPUTED_VALUE"""),"Jim Miao")</f>
        <v>Jim Miao</v>
      </c>
      <c r="C263" s="135">
        <f>IFERROR(__xludf.DUMMYFUNCTION("""COMPUTED_VALUE"""),6.0)</f>
        <v>6</v>
      </c>
      <c r="D263" s="135">
        <f>IFERROR(__xludf.DUMMYFUNCTION("""COMPUTED_VALUE"""),4.0)</f>
        <v>4</v>
      </c>
      <c r="E263" s="135">
        <f>IFERROR(__xludf.DUMMYFUNCTION("""COMPUTED_VALUE"""),6.0)</f>
        <v>6</v>
      </c>
      <c r="F263" s="135">
        <f>IFERROR(__xludf.DUMMYFUNCTION("""COMPUTED_VALUE"""),16.0)</f>
        <v>16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IFERROR(__xludf.DUMMYFUNCTION("""COMPUTED_VALUE"""),"Alex Hou")</f>
        <v>Alex Hou</v>
      </c>
      <c r="C264" s="135">
        <f>IFERROR(__xludf.DUMMYFUNCTION("""COMPUTED_VALUE"""),4.0)</f>
        <v>4</v>
      </c>
      <c r="D264" s="135">
        <f>IFERROR(__xludf.DUMMYFUNCTION("""COMPUTED_VALUE"""),4.0)</f>
        <v>4</v>
      </c>
      <c r="E264" s="135">
        <f>IFERROR(__xludf.DUMMYFUNCTION("""COMPUTED_VALUE"""),3.0)</f>
        <v>3</v>
      </c>
      <c r="F264" s="135">
        <f>IFERROR(__xludf.DUMMYFUNCTION("""COMPUTED_VALUE"""),11.0)</f>
        <v>11</v>
      </c>
      <c r="G264" s="135">
        <f>IFERROR(__xludf.DUMMYFUNCTION("""COMPUTED_VALUE"""),0.0)</f>
        <v>0</v>
      </c>
    </row>
    <row r="265">
      <c r="A265" s="133">
        <f>IFERROR(__xludf.DUMMYFUNCTION("""COMPUTED_VALUE"""),4.0)</f>
        <v>4</v>
      </c>
      <c r="B265" s="134" t="str">
        <f>IFERROR(__xludf.DUMMYFUNCTION("""COMPUTED_VALUE"""),"Pavan Akkimsetty")</f>
        <v>Pavan Akkimsetty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IFERROR(__xludf.DUMMYFUNCTION("""COMPUTED_VALUE"""),3.0)</f>
        <v>3</v>
      </c>
      <c r="F265" s="135">
        <f>IFERROR(__xludf.DUMMYFUNCTION("""COMPUTED_VALUE"""),15.0)</f>
        <v>15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IFERROR(__xludf.DUMMYFUNCTION("""COMPUTED_VALUE"""),"Luis Hsu")</f>
        <v>Luis Hsu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IFERROR(__xludf.DUMMYFUNCTION("""COMPUTED_VALUE"""),4.0)</f>
        <v>4</v>
      </c>
      <c r="F266" s="132">
        <f>IFERROR(__xludf.DUMMYFUNCTION("""COMPUTED_VALUE"""),16.0)</f>
        <v>16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IFERROR(__xludf.DUMMYFUNCTION("""COMPUTED_VALUE"""),"Coco Yan")</f>
        <v>Coco Yan</v>
      </c>
      <c r="C267" s="132">
        <f>IFERROR(__xludf.DUMMYFUNCTION("""COMPUTED_VALUE"""),2.0)</f>
        <v>2</v>
      </c>
      <c r="D267" s="132">
        <f>IFERROR(__xludf.DUMMYFUNCTION("""COMPUTED_VALUE"""),1.0)</f>
        <v>1</v>
      </c>
      <c r="E267" s="132">
        <f>IFERROR(__xludf.DUMMYFUNCTION("""COMPUTED_VALUE"""),4.0)</f>
        <v>4</v>
      </c>
      <c r="F267" s="132">
        <f>IFERROR(__xludf.DUMMYFUNCTION("""COMPUTED_VALUE"""),7.0)</f>
        <v>7</v>
      </c>
      <c r="G267" s="132">
        <f>IFERROR(__xludf.DUMMYFUNCTION("""COMPUTED_VALUE"""),0.0)</f>
        <v>0</v>
      </c>
    </row>
    <row r="268">
      <c r="A268" s="122">
        <f>IFERROR(__xludf.DUMMYFUNCTION("""COMPUTED_VALUE"""),5.0)</f>
        <v>5</v>
      </c>
      <c r="B268" s="36" t="str">
        <f>IFERROR(__xludf.DUMMYFUNCTION("""COMPUTED_VALUE"""),"Mauricio Palacios")</f>
        <v>Mauricio Palacios</v>
      </c>
      <c r="C268" s="132">
        <f>IFERROR(__xludf.DUMMYFUNCTION("""COMPUTED_VALUE"""),2.0)</f>
        <v>2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IFERROR(__xludf.DUMMYFUNCTION("""COMPUTED_VALUE"""),14.0)</f>
        <v>14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IFERROR(__xludf.DUMMYFUNCTION("""COMPUTED_VALUE"""),"Allen Zhang")</f>
        <v>Allen Zhang</v>
      </c>
      <c r="C269" s="132">
        <f>IFERROR(__xludf.DUMMYFUNCTION("""COMPUTED_VALUE"""),6.0)</f>
        <v>6</v>
      </c>
      <c r="D269" s="132">
        <f>IFERROR(__xludf.DUMMYFUNCTION("""COMPUTED_VALUE"""),1.0)</f>
        <v>1</v>
      </c>
      <c r="E269" s="132">
        <f>IFERROR(__xludf.DUMMYFUNCTION("""COMPUTED_VALUE"""),6.0)</f>
        <v>6</v>
      </c>
      <c r="F269" s="132">
        <f>IFERROR(__xludf.DUMMYFUNCTION("""COMPUTED_VALUE"""),13.0)</f>
        <v>13</v>
      </c>
      <c r="G269" s="132">
        <f>IFERROR(__xludf.DUMMYFUNCTION("""COMPUTED_VALUE"""),2.0)</f>
        <v>2</v>
      </c>
    </row>
    <row r="270">
      <c r="A270" s="133">
        <f>IFERROR(__xludf.DUMMYFUNCTION("""COMPUTED_VALUE"""),6.0)</f>
        <v>6</v>
      </c>
      <c r="B270" s="134" t="str">
        <f>IFERROR(__xludf.DUMMYFUNCTION("""COMPUTED_VALUE"""),"Vinotkumar Nagappan")</f>
        <v>Vinotkumar Nagappan</v>
      </c>
      <c r="C270" s="135">
        <f>IFERROR(__xludf.DUMMYFUNCTION("""COMPUTED_VALUE"""),2.0)</f>
        <v>2</v>
      </c>
      <c r="D270" s="135">
        <f>IFERROR(__xludf.DUMMYFUNCTION("""COMPUTED_VALUE"""),0.0)</f>
        <v>0</v>
      </c>
      <c r="E270" s="135">
        <f>IFERROR(__xludf.DUMMYFUNCTION("""COMPUTED_VALUE"""),6.0)</f>
        <v>6</v>
      </c>
      <c r="F270" s="135">
        <f>IFERROR(__xludf.DUMMYFUNCTION("""COMPUTED_VALUE"""),8.0)</f>
        <v>8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IFERROR(__xludf.DUMMYFUNCTION("""COMPUTED_VALUE"""),"Adrian Tay")</f>
        <v>Adrian Tay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IFERROR(__xludf.DUMMYFUNCTION("""COMPUTED_VALUE"""),"Naveen Raj")</f>
        <v>Naveen Raj</v>
      </c>
      <c r="C272" s="135">
        <f>IFERROR(__xludf.DUMMYFUNCTION("""COMPUTED_VALUE"""),2.0)</f>
        <v>2</v>
      </c>
      <c r="D272" s="135">
        <f>IFERROR(__xludf.DUMMYFUNCTION("""COMPUTED_VALUE"""),6.0)</f>
        <v>6</v>
      </c>
      <c r="E272" s="135">
        <f>IFERROR(__xludf.DUMMYFUNCTION("""COMPUTED_VALUE"""),4.0)</f>
        <v>4</v>
      </c>
      <c r="F272" s="135">
        <f>IFERROR(__xludf.DUMMYFUNCTION("""COMPUTED_VALUE"""),12.0)</f>
        <v>12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IFERROR(__xludf.DUMMYFUNCTION("""COMPUTED_VALUE"""),"Ruben Ron")</f>
        <v>Ruben Ron</v>
      </c>
      <c r="C273" s="135">
        <f>IFERROR(__xludf.DUMMYFUNCTION("""COMPUTED_VALUE"""),6.0)</f>
        <v>6</v>
      </c>
      <c r="D273" s="135">
        <f>IFERROR(__xludf.DUMMYFUNCTION("""COMPUTED_VALUE"""),0.0)</f>
        <v>0</v>
      </c>
      <c r="E273" s="135">
        <f>IFERROR(__xludf.DUMMYFUNCTION("""COMPUTED_VALUE"""),4.0)</f>
        <v>4</v>
      </c>
      <c r="F273" s="135">
        <f>IFERROR(__xludf.DUMMYFUNCTION("""COMPUTED_VALUE"""),10.0)</f>
        <v>10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IFERROR(__xludf.DUMMYFUNCTION("""COMPUTED_VALUE"""),"Saravanan Veerapandian")</f>
        <v>Saravanan Veerapandian</v>
      </c>
      <c r="C274" s="132">
        <f>IFERROR(__xludf.DUMMYFUNCTION("""COMPUTED_VALUE"""),2.0)</f>
        <v>2</v>
      </c>
      <c r="D274" s="132">
        <f>IFERROR(__xludf.DUMMYFUNCTION("""COMPUTED_VALUE"""),1.0)</f>
        <v>1</v>
      </c>
      <c r="E274" s="132">
        <f>IFERROR(__xludf.DUMMYFUNCTION("""COMPUTED_VALUE"""),0.0)</f>
        <v>0</v>
      </c>
      <c r="F274" s="132">
        <f>IFERROR(__xludf.DUMMYFUNCTION("""COMPUTED_VALUE"""),3.0)</f>
        <v>3</v>
      </c>
      <c r="G274" s="132">
        <f>IFERROR(__xludf.DUMMYFUNCTION("""COMPUTED_VALUE"""),0.0)</f>
        <v>0</v>
      </c>
    </row>
    <row r="275">
      <c r="A275" s="122">
        <f>IFERROR(__xludf.DUMMYFUNCTION("""COMPUTED_VALUE"""),7.0)</f>
        <v>7</v>
      </c>
      <c r="B275" s="36" t="str">
        <f>IFERROR(__xludf.DUMMYFUNCTION("""COMPUTED_VALUE"""),"Manish Anand")</f>
        <v>Manish Anand</v>
      </c>
      <c r="C275" s="132">
        <f>IFERROR(__xludf.DUMMYFUNCTION("""COMPUTED_VALUE"""),6.0)</f>
        <v>6</v>
      </c>
      <c r="D275" s="132">
        <f>IFERROR(__xludf.DUMMYFUNCTION("""COMPUTED_VALUE"""),6.0)</f>
        <v>6</v>
      </c>
      <c r="E275" s="132">
        <f>IFERROR(__xludf.DUMMYFUNCTION("""COMPUTED_VALUE"""),0.0)</f>
        <v>0</v>
      </c>
      <c r="F275" s="132">
        <f>IFERROR(__xludf.DUMMYFUNCTION("""COMPUTED_VALUE"""),12.0)</f>
        <v>12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IFERROR(__xludf.DUMMYFUNCTION("""COMPUTED_VALUE"""),"Lloyd Sagar")</f>
        <v>Lloyd Sagar</v>
      </c>
      <c r="C276" s="132">
        <f>IFERROR(__xludf.DUMMYFUNCTION("""COMPUTED_VALUE"""),2.0)</f>
        <v>2</v>
      </c>
      <c r="D276" s="132">
        <f>IFERROR(__xludf.DUMMYFUNCTION("""COMPUTED_VALUE"""),6.0)</f>
        <v>6</v>
      </c>
      <c r="E276" s="132">
        <f>IFERROR(__xludf.DUMMYFUNCTION("""COMPUTED_VALUE"""),6.0)</f>
        <v>6</v>
      </c>
      <c r="F276" s="132">
        <f>IFERROR(__xludf.DUMMYFUNCTION("""COMPUTED_VALUE"""),14.0)</f>
        <v>14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IFERROR(__xludf.DUMMYFUNCTION("""COMPUTED_VALUE"""),"Erik Hoeckmann")</f>
        <v>Erik Hoeckmann</v>
      </c>
      <c r="C277" s="132">
        <f>IFERROR(__xludf.DUMMYFUNCTION("""COMPUTED_VALUE"""),6.0)</f>
        <v>6</v>
      </c>
      <c r="D277" s="132">
        <f>IFERROR(__xludf.DUMMYFUNCTION("""COMPUTED_VALUE"""),1.0)</f>
        <v>1</v>
      </c>
      <c r="E277" s="132">
        <f>IFERROR(__xludf.DUMMYFUNCTION("""COMPUTED_VALUE"""),6.0)</f>
        <v>6</v>
      </c>
      <c r="F277" s="132">
        <f>IFERROR(__xludf.DUMMYFUNCTION("""COMPUTED_VALUE"""),13.0)</f>
        <v>13</v>
      </c>
      <c r="G277" s="132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IFERROR(__xludf.DUMMYFUNCTION("""COMPUTED_VALUE"""),"Art Hui")</f>
        <v>Art Hui</v>
      </c>
      <c r="C278" s="135">
        <f>IFERROR(__xludf.DUMMYFUNCTION("""COMPUTED_VALUE"""),2.0)</f>
        <v>2</v>
      </c>
      <c r="D278" s="135">
        <f>IFERROR(__xludf.DUMMYFUNCTION("""COMPUTED_VALUE"""),6.0)</f>
        <v>6</v>
      </c>
      <c r="E278" s="135">
        <f>IFERROR(__xludf.DUMMYFUNCTION("""COMPUTED_VALUE"""),5.0)</f>
        <v>5</v>
      </c>
      <c r="F278" s="135">
        <f>IFERROR(__xludf.DUMMYFUNCTION("""COMPUTED_VALUE"""),13.0)</f>
        <v>13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IFERROR(__xludf.DUMMYFUNCTION("""COMPUTED_VALUE"""),"Wayne Liu")</f>
        <v>Wayne Liu</v>
      </c>
      <c r="C279" s="135">
        <f>IFERROR(__xludf.DUMMYFUNCTION("""COMPUTED_VALUE"""),6.0)</f>
        <v>6</v>
      </c>
      <c r="D279" s="135">
        <f>IFERROR(__xludf.DUMMYFUNCTION("""COMPUTED_VALUE"""),2.0)</f>
        <v>2</v>
      </c>
      <c r="E279" s="135">
        <f>IFERROR(__xludf.DUMMYFUNCTION("""COMPUTED_VALUE"""),5.0)</f>
        <v>5</v>
      </c>
      <c r="F279" s="135">
        <f>IFERROR(__xludf.DUMMYFUNCTION("""COMPUTED_VALUE"""),13.0)</f>
        <v>13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IFERROR(__xludf.DUMMYFUNCTION("""COMPUTED_VALUE"""),"Manuel Rivera")</f>
        <v>Manuel Rivera</v>
      </c>
      <c r="C280" s="135">
        <f>IFERROR(__xludf.DUMMYFUNCTION("""COMPUTED_VALUE"""),2.0)</f>
        <v>2</v>
      </c>
      <c r="D280" s="135">
        <f>IFERROR(__xludf.DUMMYFUNCTION("""COMPUTED_VALUE"""),2.0)</f>
        <v>2</v>
      </c>
      <c r="E280" s="135">
        <f>IFERROR(__xludf.DUMMYFUNCTION("""COMPUTED_VALUE"""),7.0)</f>
        <v>7</v>
      </c>
      <c r="F280" s="135">
        <f>IFERROR(__xludf.DUMMYFUNCTION("""COMPUTED_VALUE"""),11.0)</f>
        <v>11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IFERROR(__xludf.DUMMYFUNCTION("""COMPUTED_VALUE"""),"Elayaraja Thangaraj")</f>
        <v>Elayaraja Thangaraj</v>
      </c>
      <c r="C281" s="135">
        <f>IFERROR(__xludf.DUMMYFUNCTION("""COMPUTED_VALUE"""),6.0)</f>
        <v>6</v>
      </c>
      <c r="D281" s="135">
        <f>IFERROR(__xludf.DUMMYFUNCTION("""COMPUTED_VALUE"""),6.0)</f>
        <v>6</v>
      </c>
      <c r="E281" s="135">
        <f>IFERROR(__xludf.DUMMYFUNCTION("""COMPUTED_VALUE"""),7.0)</f>
        <v>7</v>
      </c>
      <c r="F281" s="135">
        <f>IFERROR(__xludf.DUMMYFUNCTION("""COMPUTED_VALUE"""),19.0)</f>
        <v>19</v>
      </c>
      <c r="G281" s="135">
        <f>IFERROR(__xludf.DUMMYFUNCTION("""COMPUTED_VALUE"""),3.0)</f>
        <v>3</v>
      </c>
    </row>
    <row r="282">
      <c r="A282" s="122">
        <f>IFERROR(__xludf.DUMMYFUNCTION("""COMPUTED_VALUE"""),9.0)</f>
        <v>9</v>
      </c>
      <c r="B282" s="36" t="str">
        <f>IFERROR(__xludf.DUMMYFUNCTION("""COMPUTED_VALUE"""),"Hongyuan Wen")</f>
        <v>Hongyuan Wen</v>
      </c>
      <c r="C282" s="132">
        <f>IFERROR(__xludf.DUMMYFUNCTION("""COMPUTED_VALUE"""),7.0)</f>
        <v>7</v>
      </c>
      <c r="D282" s="132">
        <f>IFERROR(__xludf.DUMMYFUNCTION("""COMPUTED_VALUE"""),2.0)</f>
        <v>2</v>
      </c>
      <c r="E282" s="132">
        <f>IFERROR(__xludf.DUMMYFUNCTION("""COMPUTED_VALUE"""),6.0)</f>
        <v>6</v>
      </c>
      <c r="F282" s="132">
        <f>IFERROR(__xludf.DUMMYFUNCTION("""COMPUTED_VALUE"""),15.0)</f>
        <v>15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IFERROR(__xludf.DUMMYFUNCTION("""COMPUTED_VALUE"""),"Vishnu Amarnath")</f>
        <v>Vishnu Amarnath</v>
      </c>
      <c r="C283" s="132">
        <f>IFERROR(__xludf.DUMMYFUNCTION("""COMPUTED_VALUE"""),5.0)</f>
        <v>5</v>
      </c>
      <c r="D283" s="132">
        <f>IFERROR(__xludf.DUMMYFUNCTION("""COMPUTED_VALUE"""),6.0)</f>
        <v>6</v>
      </c>
      <c r="E283" s="132">
        <f>IFERROR(__xludf.DUMMYFUNCTION("""COMPUTED_VALUE"""),6.0)</f>
        <v>6</v>
      </c>
      <c r="F283" s="132">
        <f>IFERROR(__xludf.DUMMYFUNCTION("""COMPUTED_VALUE"""),17.0)</f>
        <v>17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IFERROR(__xludf.DUMMYFUNCTION("""COMPUTED_VALUE"""),"Nicole Ni")</f>
        <v>Nicole Ni</v>
      </c>
      <c r="C284" s="132">
        <f>IFERROR(__xludf.DUMMYFUNCTION("""COMPUTED_VALUE"""),7.0)</f>
        <v>7</v>
      </c>
      <c r="D284" s="132">
        <f>IFERROR(__xludf.DUMMYFUNCTION("""COMPUTED_VALUE"""),6.0)</f>
        <v>6</v>
      </c>
      <c r="E284" s="132">
        <f>IFERROR(__xludf.DUMMYFUNCTION("""COMPUTED_VALUE"""),4.0)</f>
        <v>4</v>
      </c>
      <c r="F284" s="132">
        <f>IFERROR(__xludf.DUMMYFUNCTION("""COMPUTED_VALUE"""),17.0)</f>
        <v>17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IFERROR(__xludf.DUMMYFUNCTION("""COMPUTED_VALUE"""),"Trish Newlin")</f>
        <v>Trish Newlin</v>
      </c>
      <c r="C285" s="132">
        <f>IFERROR(__xludf.DUMMYFUNCTION("""COMPUTED_VALUE"""),5.0)</f>
        <v>5</v>
      </c>
      <c r="D285" s="132">
        <f>IFERROR(__xludf.DUMMYFUNCTION("""COMPUTED_VALUE"""),2.0)</f>
        <v>2</v>
      </c>
      <c r="E285" s="132">
        <f>IFERROR(__xludf.DUMMYFUNCTION("""COMPUTED_VALUE"""),4.0)</f>
        <v>4</v>
      </c>
      <c r="F285" s="132">
        <f>IFERROR(__xludf.DUMMYFUNCTION("""COMPUTED_VALUE"""),11.0)</f>
        <v>11</v>
      </c>
      <c r="G285" s="132">
        <f>IFERROR(__xludf.DUMMYFUNCTION("""COMPUTED_VALUE"""),0.0)</f>
        <v>0</v>
      </c>
    </row>
    <row r="286">
      <c r="A286" s="133">
        <f>IFERROR(__xludf.DUMMYFUNCTION("""COMPUTED_VALUE"""),10.0)</f>
        <v>10</v>
      </c>
      <c r="B286" s="134" t="str">
        <f>IFERROR(__xludf.DUMMYFUNCTION("""COMPUTED_VALUE"""),"Eric Tan")</f>
        <v>Eric Tan</v>
      </c>
      <c r="C286" s="135">
        <f>IFERROR(__xludf.DUMMYFUNCTION("""COMPUTED_VALUE"""),2.0)</f>
        <v>2</v>
      </c>
      <c r="D286" s="135">
        <f>IFERROR(__xludf.DUMMYFUNCTION("""COMPUTED_VALUE"""),3.0)</f>
        <v>3</v>
      </c>
      <c r="E286" s="135">
        <f>IFERROR(__xludf.DUMMYFUNCTION("""COMPUTED_VALUE"""),6.0)</f>
        <v>6</v>
      </c>
      <c r="F286" s="135">
        <f>IFERROR(__xludf.DUMMYFUNCTION("""COMPUTED_VALUE"""),11.0)</f>
        <v>11</v>
      </c>
      <c r="G286" s="135">
        <f>IFERROR(__xludf.DUMMYFUNCTION("""COMPUTED_VALUE"""),0.0)</f>
        <v>0</v>
      </c>
    </row>
    <row r="287">
      <c r="A287" s="133">
        <f>IFERROR(__xludf.DUMMYFUNCTION("""COMPUTED_VALUE"""),10.0)</f>
        <v>10</v>
      </c>
      <c r="B287" s="134" t="str">
        <f>IFERROR(__xludf.DUMMYFUNCTION("""COMPUTED_VALUE"""),"Chinna Ponnaganti")</f>
        <v>Chinna Ponnaganti</v>
      </c>
      <c r="C287" s="135">
        <f>IFERROR(__xludf.DUMMYFUNCTION("""COMPUTED_VALUE"""),6.0)</f>
        <v>6</v>
      </c>
      <c r="D287" s="135">
        <f>IFERROR(__xludf.DUMMYFUNCTION("""COMPUTED_VALUE"""),6.0)</f>
        <v>6</v>
      </c>
      <c r="E287" s="135">
        <f>IFERROR(__xludf.DUMMYFUNCTION("""COMPUTED_VALUE"""),6.0)</f>
        <v>6</v>
      </c>
      <c r="F287" s="135">
        <f>IFERROR(__xludf.DUMMYFUNCTION("""COMPUTED_VALUE"""),18.0)</f>
        <v>18</v>
      </c>
      <c r="G287" s="135">
        <f>IFERROR(__xludf.DUMMYFUNCTION("""COMPUTED_VALUE"""),2.0)</f>
        <v>2</v>
      </c>
    </row>
    <row r="288">
      <c r="A288" s="133">
        <f>IFERROR(__xludf.DUMMYFUNCTION("""COMPUTED_VALUE"""),10.0)</f>
        <v>10</v>
      </c>
      <c r="B288" s="134" t="str">
        <f>IFERROR(__xludf.DUMMYFUNCTION("""COMPUTED_VALUE"""),"Vinaya Kajla")</f>
        <v>Vinaya Kajla</v>
      </c>
      <c r="C288" s="135">
        <f>IFERROR(__xludf.DUMMYFUNCTION("""COMPUTED_VALUE"""),6.0)</f>
        <v>6</v>
      </c>
      <c r="D288" s="135">
        <f>IFERROR(__xludf.DUMMYFUNCTION("""COMPUTED_VALUE"""),3.0)</f>
        <v>3</v>
      </c>
      <c r="E288" s="135">
        <f>IFERROR(__xludf.DUMMYFUNCTION("""COMPUTED_VALUE"""),7.0)</f>
        <v>7</v>
      </c>
      <c r="F288" s="135">
        <f>IFERROR(__xludf.DUMMYFUNCTION("""COMPUTED_VALUE"""),16.0)</f>
        <v>16</v>
      </c>
      <c r="G288" s="135">
        <f>IFERROR(__xludf.DUMMYFUNCTION("""COMPUTED_VALUE"""),2.0)</f>
        <v>2</v>
      </c>
    </row>
    <row r="289">
      <c r="A289" s="133">
        <f>IFERROR(__xludf.DUMMYFUNCTION("""COMPUTED_VALUE"""),10.0)</f>
        <v>10</v>
      </c>
      <c r="B289" s="134" t="str">
        <f>IFERROR(__xludf.DUMMYFUNCTION("""COMPUTED_VALUE"""),"Jimmy Awolesi")</f>
        <v>Jimmy Awolesi</v>
      </c>
      <c r="C289" s="135">
        <f>IFERROR(__xludf.DUMMYFUNCTION("""COMPUTED_VALUE"""),2.0)</f>
        <v>2</v>
      </c>
      <c r="D289" s="135">
        <f>IFERROR(__xludf.DUMMYFUNCTION("""COMPUTED_VALUE"""),6.0)</f>
        <v>6</v>
      </c>
      <c r="E289" s="135">
        <f>IFERROR(__xludf.DUMMYFUNCTION("""COMPUTED_VALUE"""),7.0)</f>
        <v>7</v>
      </c>
      <c r="F289" s="135">
        <f>IFERROR(__xludf.DUMMYFUNCTION("""COMPUTED_VALUE"""),15.0)</f>
        <v>15</v>
      </c>
      <c r="G289" s="135">
        <f>IFERROR(__xludf.DUMMYFUNCTION("""COMPUTED_VALUE"""),2.0)</f>
        <v>2</v>
      </c>
    </row>
    <row r="290">
      <c r="A290" s="122">
        <f>IFERROR(__xludf.DUMMYFUNCTION("""COMPUTED_VALUE"""),11.0)</f>
        <v>11</v>
      </c>
      <c r="B290" s="36" t="str">
        <f>IFERROR(__xludf.DUMMYFUNCTION("""COMPUTED_VALUE"""),"Sandy Weyant")</f>
        <v>Sandy Weyant</v>
      </c>
      <c r="C290" s="132">
        <f>IFERROR(__xludf.DUMMYFUNCTION("""COMPUTED_VALUE"""),2.0)</f>
        <v>2</v>
      </c>
      <c r="D290" s="132">
        <f>IFERROR(__xludf.DUMMYFUNCTION("""COMPUTED_VALUE"""),6.0)</f>
        <v>6</v>
      </c>
      <c r="E290" s="132">
        <f>IFERROR(__xludf.DUMMYFUNCTION("""COMPUTED_VALUE"""),3.0)</f>
        <v>3</v>
      </c>
      <c r="F290" s="132">
        <f>IFERROR(__xludf.DUMMYFUNCTION("""COMPUTED_VALUE"""),11.0)</f>
        <v>11</v>
      </c>
      <c r="G290" s="132">
        <f>IFERROR(__xludf.DUMMYFUNCTION("""COMPUTED_VALUE"""),1.0)</f>
        <v>1</v>
      </c>
    </row>
    <row r="291">
      <c r="A291" s="122">
        <f>IFERROR(__xludf.DUMMYFUNCTION("""COMPUTED_VALUE"""),11.0)</f>
        <v>11</v>
      </c>
      <c r="B291" s="36" t="str">
        <f>IFERROR(__xludf.DUMMYFUNCTION("""COMPUTED_VALUE"""),"Vicki Martinet")</f>
        <v>Vicki Martinet</v>
      </c>
      <c r="C291" s="132">
        <f>IFERROR(__xludf.DUMMYFUNCTION("""COMPUTED_VALUE"""),2.0)</f>
        <v>2</v>
      </c>
      <c r="D291" s="132">
        <f>IFERROR(__xludf.DUMMYFUNCTION("""COMPUTED_VALUE"""),3.0)</f>
        <v>3</v>
      </c>
      <c r="E291" s="132">
        <f>IFERROR(__xludf.DUMMYFUNCTION("""COMPUTED_VALUE"""),6.0)</f>
        <v>6</v>
      </c>
      <c r="F291" s="132">
        <f>IFERROR(__xludf.DUMMYFUNCTION("""COMPUTED_VALUE"""),11.0)</f>
        <v>11</v>
      </c>
      <c r="G291" s="132">
        <f>IFERROR(__xludf.DUMMYFUNCTION("""COMPUTED_VALUE"""),1.0)</f>
        <v>1</v>
      </c>
    </row>
    <row r="292">
      <c r="A292" s="122">
        <f>IFERROR(__xludf.DUMMYFUNCTION("""COMPUTED_VALUE"""),11.0)</f>
        <v>11</v>
      </c>
      <c r="B292" s="36" t="str">
        <f>IFERROR(__xludf.DUMMYFUNCTION("""COMPUTED_VALUE"""),"Santosh Sundaresan")</f>
        <v>Santosh Sundaresan</v>
      </c>
      <c r="C292" s="132">
        <f>IFERROR(__xludf.DUMMYFUNCTION("""COMPUTED_VALUE"""),6.0)</f>
        <v>6</v>
      </c>
      <c r="D292" s="132">
        <f>IFERROR(__xludf.DUMMYFUNCTION("""COMPUTED_VALUE"""),6.0)</f>
        <v>6</v>
      </c>
      <c r="E292" s="132">
        <f>IFERROR(__xludf.DUMMYFUNCTION("""COMPUTED_VALUE"""),6.0)</f>
        <v>6</v>
      </c>
      <c r="F292" s="132">
        <f>IFERROR(__xludf.DUMMYFUNCTION("""COMPUTED_VALUE"""),18.0)</f>
        <v>18</v>
      </c>
      <c r="G292" s="132">
        <f>IFERROR(__xludf.DUMMYFUNCTION("""COMPUTED_VALUE"""),3.0)</f>
        <v>3</v>
      </c>
    </row>
    <row r="293">
      <c r="A293" s="122">
        <f>IFERROR(__xludf.DUMMYFUNCTION("""COMPUTED_VALUE"""),11.0)</f>
        <v>11</v>
      </c>
      <c r="B293" s="36" t="str">
        <f>IFERROR(__xludf.DUMMYFUNCTION("""COMPUTED_VALUE"""),"Camille Jung")</f>
        <v>Camille Jung</v>
      </c>
      <c r="C293" s="132">
        <f>IFERROR(__xludf.DUMMYFUNCTION("""COMPUTED_VALUE"""),6.0)</f>
        <v>6</v>
      </c>
      <c r="D293" s="132">
        <f>IFERROR(__xludf.DUMMYFUNCTION("""COMPUTED_VALUE"""),3.0)</f>
        <v>3</v>
      </c>
      <c r="E293" s="132">
        <f>IFERROR(__xludf.DUMMYFUNCTION("""COMPUTED_VALUE"""),3.0)</f>
        <v>3</v>
      </c>
      <c r="F293" s="132">
        <f>IFERROR(__xludf.DUMMYFUNCTION("""COMPUTED_VALUE"""),12.0)</f>
        <v>12</v>
      </c>
      <c r="G293" s="132">
        <f>IFERROR(__xludf.DUMMYFUNCTION("""COMPUTED_VALUE"""),1.0)</f>
        <v>1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7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7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7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7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7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7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7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7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7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7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7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7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7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7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7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7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7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7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7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7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7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7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7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7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7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7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7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7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7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7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7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7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7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7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7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7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7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7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7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7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7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7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7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7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7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7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7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7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7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7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7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7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7"/>
        <v>54</v>
      </c>
      <c r="B351" s="137" t="str">
        <f>IFERROR(__xludf.DUMMYFUNCTION("""COMPUTED_VALUE"""),"Scott Li")</f>
        <v>Scott Li</v>
      </c>
      <c r="C351" s="5"/>
      <c r="D351" s="139"/>
      <c r="E351" s="25"/>
      <c r="F351" s="26"/>
    </row>
    <row r="352">
      <c r="A352" s="136">
        <f t="shared" si="107"/>
        <v>55</v>
      </c>
      <c r="B352" s="137" t="str">
        <f>IFERROR(__xludf.DUMMYFUNCTION("""COMPUTED_VALUE"""),"Sean Chang")</f>
        <v>Sean Chang</v>
      </c>
      <c r="C352" s="5"/>
      <c r="D352" s="139"/>
      <c r="E352" s="25"/>
      <c r="F352" s="26"/>
    </row>
    <row r="353">
      <c r="A353" s="136">
        <f t="shared" si="107"/>
        <v>56</v>
      </c>
      <c r="B353" s="137" t="str">
        <f>IFERROR(__xludf.DUMMYFUNCTION("""COMPUTED_VALUE"""),"Suleman Alidina")</f>
        <v>Suleman Alidina</v>
      </c>
      <c r="C353" s="5"/>
      <c r="D353" s="139"/>
      <c r="E353" s="25"/>
      <c r="F353" s="26"/>
    </row>
    <row r="354">
      <c r="A354" s="136">
        <f t="shared" si="107"/>
        <v>57</v>
      </c>
      <c r="B354" s="137" t="str">
        <f>IFERROR(__xludf.DUMMYFUNCTION("""COMPUTED_VALUE"""),"Ted Shen")</f>
        <v>Ted Shen</v>
      </c>
      <c r="C354" s="5"/>
      <c r="D354" s="139"/>
      <c r="E354" s="25"/>
      <c r="F354" s="26"/>
    </row>
    <row r="355">
      <c r="A355" s="136">
        <f t="shared" si="107"/>
        <v>58</v>
      </c>
      <c r="B355" s="137" t="str">
        <f>IFERROR(__xludf.DUMMYFUNCTION("""COMPUTED_VALUE"""),"Tina Hanson")</f>
        <v>Tina Hanson</v>
      </c>
      <c r="C355" s="5"/>
      <c r="D355" s="139"/>
      <c r="E355" s="25"/>
      <c r="F355" s="26"/>
    </row>
    <row r="356">
      <c r="A356" s="136">
        <f t="shared" si="107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7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7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7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7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7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7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46074.0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7.0</v>
      </c>
      <c r="E2" s="5"/>
      <c r="F2" s="5"/>
      <c r="R2" s="18"/>
      <c r="AC2" s="22" t="str">
        <f>text(C1-7,"mm/dd/yy")</f>
        <v>02/14/26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105.0</v>
      </c>
      <c r="D5" s="37">
        <v>15.0</v>
      </c>
      <c r="E5" s="40">
        <f t="shared" ref="E5:E79" si="2">if(S5&gt;0,(C5-(V5*9)-(T5*13))/S5,0)</f>
        <v>15</v>
      </c>
      <c r="F5" s="90">
        <v>1.0</v>
      </c>
      <c r="G5" s="91">
        <v>1.0</v>
      </c>
      <c r="H5" s="92">
        <v>0.0</v>
      </c>
      <c r="I5" s="91">
        <v>2.0</v>
      </c>
      <c r="J5" s="91">
        <v>6.0</v>
      </c>
      <c r="K5" s="91">
        <v>6.0</v>
      </c>
      <c r="L5" s="93">
        <v>14.0</v>
      </c>
      <c r="M5" s="91">
        <v>2.0</v>
      </c>
      <c r="N5" s="37">
        <f t="shared" ref="N5:O5" si="1">C5+L5</f>
        <v>119</v>
      </c>
      <c r="O5" s="37">
        <f t="shared" si="1"/>
        <v>17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7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68</v>
      </c>
      <c r="C6" s="37">
        <v>93.0</v>
      </c>
      <c r="D6" s="37">
        <v>10.0</v>
      </c>
      <c r="E6" s="40">
        <f t="shared" si="2"/>
        <v>14</v>
      </c>
      <c r="F6" s="90">
        <v>1.0</v>
      </c>
      <c r="G6" s="91">
        <v>1.0</v>
      </c>
      <c r="H6" s="92">
        <v>0.0</v>
      </c>
      <c r="I6" s="91">
        <v>6.0</v>
      </c>
      <c r="J6" s="91">
        <v>6.0</v>
      </c>
      <c r="K6" s="91">
        <v>1.0</v>
      </c>
      <c r="L6" s="93">
        <v>13.0</v>
      </c>
      <c r="M6" s="91">
        <v>2.0</v>
      </c>
      <c r="N6" s="37">
        <f t="shared" ref="N6:O6" si="3">C6+L6</f>
        <v>106</v>
      </c>
      <c r="O6" s="37">
        <f t="shared" si="3"/>
        <v>12</v>
      </c>
      <c r="P6" s="49" t="s">
        <v>57</v>
      </c>
      <c r="Q6" s="49" t="s">
        <v>57</v>
      </c>
      <c r="R6" s="49" t="s">
        <v>57</v>
      </c>
      <c r="S6" s="51">
        <f t="shared" si="4"/>
        <v>6</v>
      </c>
      <c r="T6" s="52">
        <f t="shared" si="5"/>
        <v>0</v>
      </c>
      <c r="U6" s="52"/>
      <c r="V6" s="51">
        <f t="shared" si="6"/>
        <v>1</v>
      </c>
      <c r="W6" s="52">
        <f t="shared" si="7"/>
        <v>0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94</v>
      </c>
      <c r="C7" s="37">
        <v>92.0</v>
      </c>
      <c r="D7" s="37">
        <v>11.0</v>
      </c>
      <c r="E7" s="40">
        <f t="shared" si="2"/>
        <v>14.8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101</v>
      </c>
      <c r="O7" s="37">
        <f t="shared" si="11"/>
        <v>11</v>
      </c>
      <c r="P7" s="49" t="s">
        <v>57</v>
      </c>
      <c r="Q7" s="49" t="s">
        <v>57</v>
      </c>
      <c r="R7" s="49" t="s">
        <v>57</v>
      </c>
      <c r="S7" s="51">
        <f t="shared" si="4"/>
        <v>5</v>
      </c>
      <c r="T7" s="52">
        <f t="shared" si="5"/>
        <v>0</v>
      </c>
      <c r="U7" s="52"/>
      <c r="V7" s="51">
        <f t="shared" si="6"/>
        <v>2</v>
      </c>
      <c r="W7" s="52">
        <f t="shared" si="7"/>
        <v>3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91.0</v>
      </c>
      <c r="D8" s="37">
        <v>10.0</v>
      </c>
      <c r="E8" s="40">
        <f t="shared" si="2"/>
        <v>13</v>
      </c>
      <c r="F8" s="90">
        <v>1.0</v>
      </c>
      <c r="G8" s="91">
        <v>1.0</v>
      </c>
      <c r="H8" s="92">
        <v>0.0</v>
      </c>
      <c r="I8" s="91">
        <v>6.0</v>
      </c>
      <c r="J8" s="91">
        <v>3.0</v>
      </c>
      <c r="K8" s="91">
        <v>6.0</v>
      </c>
      <c r="L8" s="93">
        <v>15.0</v>
      </c>
      <c r="M8" s="91">
        <v>2.0</v>
      </c>
      <c r="N8" s="37">
        <f t="shared" ref="N8:O8" si="13">C8+L8</f>
        <v>106</v>
      </c>
      <c r="O8" s="37">
        <f t="shared" si="13"/>
        <v>12</v>
      </c>
      <c r="P8" s="49" t="s">
        <v>57</v>
      </c>
      <c r="Q8" s="49" t="s">
        <v>57</v>
      </c>
      <c r="R8" s="49" t="s">
        <v>57</v>
      </c>
      <c r="S8" s="51">
        <f t="shared" si="4"/>
        <v>7</v>
      </c>
      <c r="T8" s="52">
        <f t="shared" si="5"/>
        <v>0</v>
      </c>
      <c r="U8" s="52"/>
      <c r="V8" s="51">
        <f t="shared" si="6"/>
        <v>0</v>
      </c>
      <c r="W8" s="52">
        <f t="shared" si="7"/>
        <v>-1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111</v>
      </c>
      <c r="C9" s="37">
        <v>89.0</v>
      </c>
      <c r="D9" s="37">
        <v>10.0</v>
      </c>
      <c r="E9" s="40">
        <f t="shared" si="2"/>
        <v>13.33333333</v>
      </c>
      <c r="F9" s="90">
        <v>1.0</v>
      </c>
      <c r="G9" s="91">
        <v>1.0</v>
      </c>
      <c r="H9" s="92">
        <v>0.0</v>
      </c>
      <c r="I9" s="91">
        <v>2.0</v>
      </c>
      <c r="J9" s="91">
        <v>3.0</v>
      </c>
      <c r="K9" s="91">
        <v>1.0</v>
      </c>
      <c r="L9" s="93">
        <v>6.0</v>
      </c>
      <c r="M9" s="91">
        <v>0.0</v>
      </c>
      <c r="N9" s="37">
        <f t="shared" ref="N9:O9" si="14">C9+L9</f>
        <v>95</v>
      </c>
      <c r="O9" s="37">
        <f t="shared" si="14"/>
        <v>10</v>
      </c>
      <c r="P9" s="49" t="s">
        <v>57</v>
      </c>
      <c r="Q9" s="49" t="s">
        <v>57</v>
      </c>
      <c r="R9" s="49" t="s">
        <v>57</v>
      </c>
      <c r="S9" s="51">
        <f t="shared" si="4"/>
        <v>6</v>
      </c>
      <c r="T9" s="52">
        <f t="shared" si="5"/>
        <v>0</v>
      </c>
      <c r="U9" s="52"/>
      <c r="V9" s="51">
        <f t="shared" si="6"/>
        <v>1</v>
      </c>
      <c r="W9" s="52">
        <f t="shared" si="7"/>
        <v>-1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63</v>
      </c>
      <c r="C10" s="37">
        <v>88.0</v>
      </c>
      <c r="D10" s="37">
        <v>10.0</v>
      </c>
      <c r="E10" s="40">
        <f t="shared" si="2"/>
        <v>14</v>
      </c>
      <c r="F10" s="90">
        <v>3.0</v>
      </c>
      <c r="G10" s="91">
        <v>0.0</v>
      </c>
      <c r="H10" s="92">
        <v>9.0</v>
      </c>
      <c r="I10" s="91">
        <v>0.0</v>
      </c>
      <c r="J10" s="91">
        <v>0.0</v>
      </c>
      <c r="K10" s="91">
        <v>0.0</v>
      </c>
      <c r="L10" s="93">
        <v>9.0</v>
      </c>
      <c r="M10" s="91">
        <v>0.0</v>
      </c>
      <c r="N10" s="37">
        <f t="shared" ref="N10:O10" si="15">C10+L10</f>
        <v>97</v>
      </c>
      <c r="O10" s="37">
        <f t="shared" si="15"/>
        <v>10</v>
      </c>
      <c r="P10" s="49" t="s">
        <v>57</v>
      </c>
      <c r="Q10" s="49" t="s">
        <v>57</v>
      </c>
      <c r="R10" s="49" t="s">
        <v>57</v>
      </c>
      <c r="S10" s="51">
        <f t="shared" si="4"/>
        <v>5</v>
      </c>
      <c r="T10" s="52">
        <f t="shared" si="5"/>
        <v>0</v>
      </c>
      <c r="U10" s="52"/>
      <c r="V10" s="51">
        <f t="shared" si="6"/>
        <v>2</v>
      </c>
      <c r="W10" s="52">
        <f t="shared" si="7"/>
        <v>5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114</v>
      </c>
      <c r="C11" s="37">
        <v>87.0</v>
      </c>
      <c r="D11" s="37">
        <v>11.0</v>
      </c>
      <c r="E11" s="40">
        <f t="shared" si="2"/>
        <v>13.8</v>
      </c>
      <c r="F11" s="90">
        <v>3.0</v>
      </c>
      <c r="G11" s="91">
        <v>0.0</v>
      </c>
      <c r="H11" s="92">
        <v>9.0</v>
      </c>
      <c r="I11" s="91">
        <v>0.0</v>
      </c>
      <c r="J11" s="91">
        <v>0.0</v>
      </c>
      <c r="K11" s="91">
        <v>0.0</v>
      </c>
      <c r="L11" s="93">
        <v>9.0</v>
      </c>
      <c r="M11" s="91">
        <v>0.0</v>
      </c>
      <c r="N11" s="37">
        <f t="shared" ref="N11:O11" si="16">C11+L11</f>
        <v>96</v>
      </c>
      <c r="O11" s="37">
        <f t="shared" si="16"/>
        <v>11</v>
      </c>
      <c r="P11" s="49" t="s">
        <v>57</v>
      </c>
      <c r="Q11" s="49" t="s">
        <v>57</v>
      </c>
      <c r="R11" s="49" t="s">
        <v>57</v>
      </c>
      <c r="S11" s="51">
        <f t="shared" si="4"/>
        <v>5</v>
      </c>
      <c r="T11" s="52">
        <f t="shared" si="5"/>
        <v>0</v>
      </c>
      <c r="U11" s="52"/>
      <c r="V11" s="51">
        <f t="shared" si="6"/>
        <v>2</v>
      </c>
      <c r="W11" s="52">
        <f t="shared" si="7"/>
        <v>-2</v>
      </c>
      <c r="X11" s="35">
        <f t="shared" si="12"/>
        <v>7</v>
      </c>
      <c r="Y11" s="35" t="str">
        <f t="shared" si="8"/>
        <v>N</v>
      </c>
      <c r="Z11" s="19" t="str">
        <f t="shared" si="9"/>
        <v/>
      </c>
    </row>
    <row r="12">
      <c r="A12" s="35">
        <f t="shared" si="10"/>
        <v>8</v>
      </c>
      <c r="B12" s="36" t="s">
        <v>108</v>
      </c>
      <c r="C12" s="37">
        <v>83.0</v>
      </c>
      <c r="D12" s="37">
        <v>9.0</v>
      </c>
      <c r="E12" s="40">
        <f t="shared" si="2"/>
        <v>12.33333333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92</v>
      </c>
      <c r="O12" s="37">
        <f t="shared" si="17"/>
        <v>9</v>
      </c>
      <c r="P12" s="49" t="s">
        <v>57</v>
      </c>
      <c r="Q12" s="49" t="s">
        <v>57</v>
      </c>
      <c r="R12" s="49" t="s">
        <v>57</v>
      </c>
      <c r="S12" s="51">
        <f t="shared" si="4"/>
        <v>6</v>
      </c>
      <c r="T12" s="52">
        <f t="shared" si="5"/>
        <v>0</v>
      </c>
      <c r="U12" s="52"/>
      <c r="V12" s="51">
        <f t="shared" si="6"/>
        <v>1</v>
      </c>
      <c r="W12" s="52">
        <f t="shared" si="7"/>
        <v>-1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91</v>
      </c>
      <c r="C13" s="37">
        <v>83.0</v>
      </c>
      <c r="D13" s="37">
        <v>8.0</v>
      </c>
      <c r="E13" s="40">
        <f t="shared" si="2"/>
        <v>13</v>
      </c>
      <c r="F13" s="90">
        <v>1.0</v>
      </c>
      <c r="G13" s="91">
        <v>2.0</v>
      </c>
      <c r="H13" s="92">
        <v>0.0</v>
      </c>
      <c r="I13" s="91">
        <v>6.0</v>
      </c>
      <c r="J13" s="91">
        <v>3.0</v>
      </c>
      <c r="K13" s="91">
        <v>5.0</v>
      </c>
      <c r="L13" s="93">
        <v>14.0</v>
      </c>
      <c r="M13" s="91">
        <v>1.0</v>
      </c>
      <c r="N13" s="37">
        <f t="shared" ref="N13:O13" si="18">C13+L13</f>
        <v>97</v>
      </c>
      <c r="O13" s="37">
        <f t="shared" si="18"/>
        <v>9</v>
      </c>
      <c r="P13" s="49" t="s">
        <v>57</v>
      </c>
      <c r="Q13" s="49" t="s">
        <v>57</v>
      </c>
      <c r="R13" s="49" t="s">
        <v>57</v>
      </c>
      <c r="S13" s="51">
        <f t="shared" si="4"/>
        <v>5</v>
      </c>
      <c r="T13" s="52">
        <f t="shared" si="5"/>
        <v>0</v>
      </c>
      <c r="U13" s="52"/>
      <c r="V13" s="51">
        <f t="shared" si="6"/>
        <v>2</v>
      </c>
      <c r="W13" s="52">
        <f t="shared" si="7"/>
        <v>10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103</v>
      </c>
      <c r="C14" s="37">
        <v>82.0</v>
      </c>
      <c r="D14" s="37">
        <v>10.0</v>
      </c>
      <c r="E14" s="40">
        <f t="shared" si="2"/>
        <v>12.16666667</v>
      </c>
      <c r="F14" s="90">
        <v>1.0</v>
      </c>
      <c r="G14" s="91">
        <v>2.0</v>
      </c>
      <c r="H14" s="92">
        <v>0.0</v>
      </c>
      <c r="I14" s="91">
        <v>2.0</v>
      </c>
      <c r="J14" s="91">
        <v>6.0</v>
      </c>
      <c r="K14" s="91">
        <v>5.0</v>
      </c>
      <c r="L14" s="93">
        <v>13.0</v>
      </c>
      <c r="M14" s="91">
        <v>1.0</v>
      </c>
      <c r="N14" s="37">
        <f t="shared" ref="N14:O14" si="19">C14+L14</f>
        <v>95</v>
      </c>
      <c r="O14" s="37">
        <f t="shared" si="19"/>
        <v>11</v>
      </c>
      <c r="P14" s="49" t="s">
        <v>57</v>
      </c>
      <c r="Q14" s="49" t="s">
        <v>57</v>
      </c>
      <c r="R14" s="49" t="s">
        <v>57</v>
      </c>
      <c r="S14" s="51">
        <f t="shared" si="4"/>
        <v>6</v>
      </c>
      <c r="T14" s="52">
        <f t="shared" si="5"/>
        <v>0</v>
      </c>
      <c r="U14" s="52"/>
      <c r="V14" s="51">
        <f t="shared" si="6"/>
        <v>1</v>
      </c>
      <c r="W14" s="52">
        <f t="shared" si="7"/>
        <v>-1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96</v>
      </c>
      <c r="C15" s="37">
        <v>80.0</v>
      </c>
      <c r="D15" s="37">
        <v>7.0</v>
      </c>
      <c r="E15" s="40">
        <f t="shared" si="2"/>
        <v>11.42857143</v>
      </c>
      <c r="F15" s="90">
        <v>1.0</v>
      </c>
      <c r="G15" s="91">
        <v>2.0</v>
      </c>
      <c r="H15" s="92">
        <v>0.0</v>
      </c>
      <c r="I15" s="91">
        <v>2.0</v>
      </c>
      <c r="J15" s="91">
        <v>3.0</v>
      </c>
      <c r="K15" s="91">
        <v>7.0</v>
      </c>
      <c r="L15" s="93">
        <v>12.0</v>
      </c>
      <c r="M15" s="91">
        <v>1.0</v>
      </c>
      <c r="N15" s="37">
        <f t="shared" ref="N15:O15" si="20">C15+L15</f>
        <v>92</v>
      </c>
      <c r="O15" s="37">
        <f t="shared" si="20"/>
        <v>8</v>
      </c>
      <c r="P15" s="49" t="s">
        <v>57</v>
      </c>
      <c r="Q15" s="49" t="s">
        <v>57</v>
      </c>
      <c r="R15" s="49" t="s">
        <v>57</v>
      </c>
      <c r="S15" s="51">
        <f t="shared" si="4"/>
        <v>7</v>
      </c>
      <c r="T15" s="52">
        <f t="shared" si="5"/>
        <v>0</v>
      </c>
      <c r="U15" s="52"/>
      <c r="V15" s="51">
        <f t="shared" si="6"/>
        <v>0</v>
      </c>
      <c r="W15" s="52">
        <f t="shared" si="7"/>
        <v>-3</v>
      </c>
      <c r="X15" s="35">
        <f t="shared" si="12"/>
        <v>11</v>
      </c>
      <c r="Y15" s="35" t="str">
        <f t="shared" si="8"/>
        <v>Y</v>
      </c>
      <c r="Z15" s="19" t="str">
        <f t="shared" si="9"/>
        <v/>
      </c>
    </row>
    <row r="16">
      <c r="A16" s="35">
        <f t="shared" si="10"/>
        <v>12</v>
      </c>
      <c r="B16" s="36" t="s">
        <v>127</v>
      </c>
      <c r="C16" s="37">
        <v>79.0</v>
      </c>
      <c r="D16" s="37">
        <v>8.0</v>
      </c>
      <c r="E16" s="40">
        <f t="shared" si="2"/>
        <v>11.66666667</v>
      </c>
      <c r="F16" s="90">
        <v>1.0</v>
      </c>
      <c r="G16" s="91">
        <v>2.0</v>
      </c>
      <c r="H16" s="92">
        <v>0.0</v>
      </c>
      <c r="I16" s="91">
        <v>6.0</v>
      </c>
      <c r="J16" s="91">
        <v>6.0</v>
      </c>
      <c r="K16" s="91">
        <v>7.0</v>
      </c>
      <c r="L16" s="93">
        <v>19.0</v>
      </c>
      <c r="M16" s="91">
        <v>3.0</v>
      </c>
      <c r="N16" s="37">
        <f t="shared" ref="N16:O16" si="21">C16+L16</f>
        <v>98</v>
      </c>
      <c r="O16" s="37">
        <f t="shared" si="21"/>
        <v>11</v>
      </c>
      <c r="P16" s="49" t="s">
        <v>57</v>
      </c>
      <c r="Q16" s="49" t="s">
        <v>57</v>
      </c>
      <c r="R16" s="49" t="s">
        <v>57</v>
      </c>
      <c r="S16" s="51">
        <f t="shared" si="4"/>
        <v>6</v>
      </c>
      <c r="T16" s="52">
        <f t="shared" si="5"/>
        <v>0</v>
      </c>
      <c r="U16" s="52"/>
      <c r="V16" s="51">
        <f t="shared" si="6"/>
        <v>1</v>
      </c>
      <c r="W16" s="52">
        <f t="shared" si="7"/>
        <v>1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92</v>
      </c>
      <c r="C17" s="37">
        <v>79.0</v>
      </c>
      <c r="D17" s="37">
        <v>7.0</v>
      </c>
      <c r="E17" s="40">
        <f t="shared" si="2"/>
        <v>14.33333333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88</v>
      </c>
      <c r="O17" s="37">
        <f t="shared" si="22"/>
        <v>7</v>
      </c>
      <c r="P17" s="49" t="s">
        <v>57</v>
      </c>
      <c r="Q17" s="49" t="s">
        <v>57</v>
      </c>
      <c r="R17" s="49" t="s">
        <v>57</v>
      </c>
      <c r="S17" s="51">
        <f t="shared" si="4"/>
        <v>3</v>
      </c>
      <c r="T17" s="52">
        <f t="shared" si="5"/>
        <v>0</v>
      </c>
      <c r="U17" s="52"/>
      <c r="V17" s="51">
        <f t="shared" si="6"/>
        <v>4</v>
      </c>
      <c r="W17" s="52">
        <f t="shared" si="7"/>
        <v>-3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117</v>
      </c>
      <c r="C18" s="37">
        <v>79.0</v>
      </c>
      <c r="D18" s="37">
        <v>6.0</v>
      </c>
      <c r="E18" s="40">
        <f t="shared" si="2"/>
        <v>11.4</v>
      </c>
      <c r="F18" s="90">
        <v>2.0</v>
      </c>
      <c r="G18" s="91">
        <v>3.0</v>
      </c>
      <c r="H18" s="92">
        <v>0.0</v>
      </c>
      <c r="I18" s="91">
        <v>6.0</v>
      </c>
      <c r="J18" s="91">
        <v>2.0</v>
      </c>
      <c r="K18" s="91">
        <v>2.0</v>
      </c>
      <c r="L18" s="93">
        <v>10.0</v>
      </c>
      <c r="M18" s="91">
        <v>1.0</v>
      </c>
      <c r="N18" s="37">
        <f t="shared" ref="N18:O18" si="23">C18+L18</f>
        <v>89</v>
      </c>
      <c r="O18" s="37">
        <f t="shared" si="23"/>
        <v>7</v>
      </c>
      <c r="P18" s="49" t="s">
        <v>57</v>
      </c>
      <c r="Q18" s="49" t="s">
        <v>57</v>
      </c>
      <c r="R18" s="49" t="s">
        <v>57</v>
      </c>
      <c r="S18" s="51">
        <f t="shared" si="4"/>
        <v>5</v>
      </c>
      <c r="T18" s="52">
        <f t="shared" si="5"/>
        <v>1</v>
      </c>
      <c r="U18" s="52"/>
      <c r="V18" s="51">
        <f t="shared" si="6"/>
        <v>1</v>
      </c>
      <c r="W18" s="52">
        <f t="shared" si="7"/>
        <v>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112</v>
      </c>
      <c r="C19" s="37">
        <v>78.0</v>
      </c>
      <c r="D19" s="37">
        <v>7.0</v>
      </c>
      <c r="E19" s="40">
        <f t="shared" si="2"/>
        <v>12</v>
      </c>
      <c r="F19" s="90">
        <v>2.0</v>
      </c>
      <c r="G19" s="91">
        <v>3.0</v>
      </c>
      <c r="H19" s="92">
        <v>0.0</v>
      </c>
      <c r="I19" s="91">
        <v>1.0</v>
      </c>
      <c r="J19" s="91">
        <v>6.0</v>
      </c>
      <c r="K19" s="91">
        <v>2.0</v>
      </c>
      <c r="L19" s="93">
        <v>9.0</v>
      </c>
      <c r="M19" s="91">
        <v>1.0</v>
      </c>
      <c r="N19" s="37">
        <f t="shared" ref="N19:O19" si="24">C19+L19</f>
        <v>87</v>
      </c>
      <c r="O19" s="37">
        <f t="shared" si="24"/>
        <v>8</v>
      </c>
      <c r="P19" s="49" t="s">
        <v>57</v>
      </c>
      <c r="Q19" s="49" t="s">
        <v>57</v>
      </c>
      <c r="R19" s="49" t="s">
        <v>57</v>
      </c>
      <c r="S19" s="51">
        <f t="shared" si="4"/>
        <v>5</v>
      </c>
      <c r="T19" s="52">
        <f t="shared" si="5"/>
        <v>0</v>
      </c>
      <c r="U19" s="52"/>
      <c r="V19" s="51">
        <f t="shared" si="6"/>
        <v>2</v>
      </c>
      <c r="W19" s="52">
        <f t="shared" si="7"/>
        <v>15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109</v>
      </c>
      <c r="C20" s="37">
        <v>77.0</v>
      </c>
      <c r="D20" s="37">
        <v>8.0</v>
      </c>
      <c r="E20" s="40">
        <f t="shared" si="2"/>
        <v>11.33333333</v>
      </c>
      <c r="F20" s="90">
        <v>1.0</v>
      </c>
      <c r="G20" s="91">
        <v>3.0</v>
      </c>
      <c r="H20" s="92">
        <v>0.0</v>
      </c>
      <c r="I20" s="91">
        <v>1.0</v>
      </c>
      <c r="J20" s="91">
        <v>2.0</v>
      </c>
      <c r="K20" s="91">
        <v>6.0</v>
      </c>
      <c r="L20" s="93">
        <v>9.0</v>
      </c>
      <c r="M20" s="91">
        <v>1.0</v>
      </c>
      <c r="N20" s="37">
        <f t="shared" ref="N20:O20" si="25">C20+L20</f>
        <v>86</v>
      </c>
      <c r="O20" s="37">
        <f t="shared" si="25"/>
        <v>9</v>
      </c>
      <c r="P20" s="49" t="s">
        <v>57</v>
      </c>
      <c r="Q20" s="49" t="s">
        <v>57</v>
      </c>
      <c r="R20" s="49" t="s">
        <v>57</v>
      </c>
      <c r="S20" s="51">
        <f t="shared" si="4"/>
        <v>6</v>
      </c>
      <c r="T20" s="52">
        <f t="shared" si="5"/>
        <v>0</v>
      </c>
      <c r="U20" s="52"/>
      <c r="V20" s="51">
        <f t="shared" si="6"/>
        <v>1</v>
      </c>
      <c r="W20" s="52">
        <f t="shared" si="7"/>
        <v>2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89</v>
      </c>
      <c r="C21" s="37">
        <v>77.0</v>
      </c>
      <c r="D21" s="37">
        <v>7.0</v>
      </c>
      <c r="E21" s="40">
        <f t="shared" si="2"/>
        <v>12.5</v>
      </c>
      <c r="F21" s="90">
        <v>1.0</v>
      </c>
      <c r="G21" s="91">
        <v>3.0</v>
      </c>
      <c r="H21" s="92">
        <v>0.0</v>
      </c>
      <c r="I21" s="91">
        <v>6.0</v>
      </c>
      <c r="J21" s="91">
        <v>6.0</v>
      </c>
      <c r="K21" s="91">
        <v>6.0</v>
      </c>
      <c r="L21" s="93">
        <v>18.0</v>
      </c>
      <c r="M21" s="91">
        <v>3.0</v>
      </c>
      <c r="N21" s="37">
        <f t="shared" ref="N21:O21" si="26">C21+L21</f>
        <v>95</v>
      </c>
      <c r="O21" s="37">
        <f t="shared" si="26"/>
        <v>10</v>
      </c>
      <c r="P21" s="49" t="s">
        <v>57</v>
      </c>
      <c r="Q21" s="49" t="s">
        <v>57</v>
      </c>
      <c r="R21" s="49" t="s">
        <v>57</v>
      </c>
      <c r="S21" s="51">
        <f t="shared" si="4"/>
        <v>4</v>
      </c>
      <c r="T21" s="52">
        <f t="shared" si="5"/>
        <v>0</v>
      </c>
      <c r="U21" s="52"/>
      <c r="V21" s="51">
        <f t="shared" si="6"/>
        <v>3</v>
      </c>
      <c r="W21" s="52">
        <f t="shared" si="7"/>
        <v>-5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104</v>
      </c>
      <c r="C22" s="37">
        <v>77.0</v>
      </c>
      <c r="D22" s="37">
        <v>7.0</v>
      </c>
      <c r="E22" s="40">
        <f t="shared" si="2"/>
        <v>11.8</v>
      </c>
      <c r="F22" s="90">
        <v>1.0</v>
      </c>
      <c r="G22" s="91">
        <v>4.0</v>
      </c>
      <c r="H22" s="92">
        <v>0.0</v>
      </c>
      <c r="I22" s="91">
        <v>4.0</v>
      </c>
      <c r="J22" s="91">
        <v>6.0</v>
      </c>
      <c r="K22" s="91">
        <v>6.0</v>
      </c>
      <c r="L22" s="93">
        <v>16.0</v>
      </c>
      <c r="M22" s="91">
        <v>2.0</v>
      </c>
      <c r="N22" s="37">
        <f t="shared" ref="N22:O22" si="27">C22+L22</f>
        <v>93</v>
      </c>
      <c r="O22" s="37">
        <f t="shared" si="27"/>
        <v>9</v>
      </c>
      <c r="P22" s="49" t="s">
        <v>57</v>
      </c>
      <c r="Q22" s="49" t="s">
        <v>57</v>
      </c>
      <c r="R22" s="49" t="s">
        <v>57</v>
      </c>
      <c r="S22" s="51">
        <f t="shared" si="4"/>
        <v>5</v>
      </c>
      <c r="T22" s="52">
        <f t="shared" si="5"/>
        <v>0</v>
      </c>
      <c r="U22" s="52"/>
      <c r="V22" s="51">
        <f t="shared" si="6"/>
        <v>2</v>
      </c>
      <c r="W22" s="52">
        <f t="shared" si="7"/>
        <v>2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132</v>
      </c>
      <c r="C23" s="37">
        <v>76.0</v>
      </c>
      <c r="D23" s="37">
        <v>7.0</v>
      </c>
      <c r="E23" s="40">
        <f t="shared" si="2"/>
        <v>12.25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85</v>
      </c>
      <c r="O23" s="37">
        <f t="shared" si="28"/>
        <v>7</v>
      </c>
      <c r="P23" s="49" t="s">
        <v>57</v>
      </c>
      <c r="Q23" s="49" t="s">
        <v>57</v>
      </c>
      <c r="R23" s="49" t="s">
        <v>57</v>
      </c>
      <c r="S23" s="51">
        <f t="shared" si="4"/>
        <v>4</v>
      </c>
      <c r="T23" s="52">
        <f t="shared" si="5"/>
        <v>0</v>
      </c>
      <c r="U23" s="52"/>
      <c r="V23" s="51">
        <f t="shared" si="6"/>
        <v>3</v>
      </c>
      <c r="W23" s="52">
        <f t="shared" si="7"/>
        <v>-5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128</v>
      </c>
      <c r="C24" s="37">
        <v>76.0</v>
      </c>
      <c r="D24" s="37">
        <v>7.0</v>
      </c>
      <c r="E24" s="40">
        <f t="shared" si="2"/>
        <v>11.16666667</v>
      </c>
      <c r="F24" s="90">
        <v>1.0</v>
      </c>
      <c r="G24" s="91">
        <v>4.0</v>
      </c>
      <c r="H24" s="92">
        <v>0.0</v>
      </c>
      <c r="I24" s="91">
        <v>6.0</v>
      </c>
      <c r="J24" s="91">
        <v>4.0</v>
      </c>
      <c r="K24" s="91">
        <v>6.0</v>
      </c>
      <c r="L24" s="93">
        <v>16.0</v>
      </c>
      <c r="M24" s="91">
        <v>2.0</v>
      </c>
      <c r="N24" s="37">
        <f t="shared" ref="N24:O24" si="29">C24+L24</f>
        <v>92</v>
      </c>
      <c r="O24" s="37">
        <f t="shared" si="29"/>
        <v>9</v>
      </c>
      <c r="P24" s="49" t="s">
        <v>57</v>
      </c>
      <c r="Q24" s="49" t="s">
        <v>57</v>
      </c>
      <c r="R24" s="49" t="s">
        <v>57</v>
      </c>
      <c r="S24" s="51">
        <f t="shared" si="4"/>
        <v>6</v>
      </c>
      <c r="T24" s="52">
        <f t="shared" si="5"/>
        <v>0</v>
      </c>
      <c r="U24" s="52"/>
      <c r="V24" s="51">
        <f t="shared" si="6"/>
        <v>1</v>
      </c>
      <c r="W24" s="52">
        <f t="shared" si="7"/>
        <v>-5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115</v>
      </c>
      <c r="C25" s="37">
        <v>75.0</v>
      </c>
      <c r="D25" s="37">
        <v>7.0</v>
      </c>
      <c r="E25" s="40">
        <f t="shared" si="2"/>
        <v>11.4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84</v>
      </c>
      <c r="O25" s="37">
        <f t="shared" si="30"/>
        <v>7</v>
      </c>
      <c r="P25" s="49" t="s">
        <v>57</v>
      </c>
      <c r="Q25" s="49" t="s">
        <v>57</v>
      </c>
      <c r="R25" s="49" t="s">
        <v>57</v>
      </c>
      <c r="S25" s="51">
        <f t="shared" si="4"/>
        <v>5</v>
      </c>
      <c r="T25" s="52">
        <f t="shared" si="5"/>
        <v>0</v>
      </c>
      <c r="U25" s="52"/>
      <c r="V25" s="51">
        <f t="shared" si="6"/>
        <v>2</v>
      </c>
      <c r="W25" s="52">
        <f t="shared" si="7"/>
        <v>-5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59</v>
      </c>
      <c r="C26" s="37">
        <v>75.0</v>
      </c>
      <c r="D26" s="37">
        <v>7.0</v>
      </c>
      <c r="E26" s="40">
        <f t="shared" si="2"/>
        <v>10.71428571</v>
      </c>
      <c r="F26" s="90">
        <v>1.0</v>
      </c>
      <c r="G26" s="91">
        <v>4.0</v>
      </c>
      <c r="H26" s="92">
        <v>0.0</v>
      </c>
      <c r="I26" s="91">
        <v>4.0</v>
      </c>
      <c r="J26" s="91">
        <v>4.0</v>
      </c>
      <c r="K26" s="91">
        <v>3.0</v>
      </c>
      <c r="L26" s="93">
        <v>11.0</v>
      </c>
      <c r="M26" s="91">
        <v>0.0</v>
      </c>
      <c r="N26" s="37">
        <f t="shared" ref="N26:O26" si="31">C26+L26</f>
        <v>86</v>
      </c>
      <c r="O26" s="37">
        <f t="shared" si="31"/>
        <v>7</v>
      </c>
      <c r="P26" s="49" t="s">
        <v>57</v>
      </c>
      <c r="Q26" s="49" t="s">
        <v>57</v>
      </c>
      <c r="R26" s="49" t="s">
        <v>57</v>
      </c>
      <c r="S26" s="51">
        <f t="shared" si="4"/>
        <v>7</v>
      </c>
      <c r="T26" s="52">
        <f t="shared" si="5"/>
        <v>0</v>
      </c>
      <c r="U26" s="52"/>
      <c r="V26" s="51">
        <f t="shared" si="6"/>
        <v>0</v>
      </c>
      <c r="W26" s="52">
        <f t="shared" si="7"/>
        <v>-1</v>
      </c>
      <c r="X26" s="35">
        <f t="shared" si="12"/>
        <v>22</v>
      </c>
      <c r="Y26" s="35" t="str">
        <f t="shared" si="8"/>
        <v>Y</v>
      </c>
      <c r="Z26" s="19" t="str">
        <f t="shared" si="9"/>
        <v/>
      </c>
    </row>
    <row r="27">
      <c r="A27" s="35">
        <f t="shared" si="10"/>
        <v>23</v>
      </c>
      <c r="B27" s="36" t="s">
        <v>90</v>
      </c>
      <c r="C27" s="37">
        <v>75.0</v>
      </c>
      <c r="D27" s="37">
        <v>6.0</v>
      </c>
      <c r="E27" s="40">
        <f t="shared" si="2"/>
        <v>13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84</v>
      </c>
      <c r="O27" s="37">
        <f t="shared" si="32"/>
        <v>6</v>
      </c>
      <c r="P27" s="49" t="s">
        <v>57</v>
      </c>
      <c r="Q27" s="49" t="s">
        <v>57</v>
      </c>
      <c r="R27" s="49" t="s">
        <v>57</v>
      </c>
      <c r="S27" s="51">
        <f t="shared" si="4"/>
        <v>3</v>
      </c>
      <c r="T27" s="52">
        <f t="shared" si="5"/>
        <v>0</v>
      </c>
      <c r="U27" s="52"/>
      <c r="V27" s="51">
        <f t="shared" si="6"/>
        <v>4</v>
      </c>
      <c r="W27" s="52">
        <f t="shared" si="7"/>
        <v>14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131</v>
      </c>
      <c r="C28" s="37">
        <v>74.0</v>
      </c>
      <c r="D28" s="37">
        <v>6.0</v>
      </c>
      <c r="E28" s="40">
        <f t="shared" si="2"/>
        <v>11.33333333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83</v>
      </c>
      <c r="O28" s="37">
        <f t="shared" si="33"/>
        <v>6</v>
      </c>
      <c r="P28" s="49" t="s">
        <v>57</v>
      </c>
      <c r="Q28" s="49" t="s">
        <v>57</v>
      </c>
      <c r="R28" s="49" t="s">
        <v>57</v>
      </c>
      <c r="S28" s="51">
        <f t="shared" si="4"/>
        <v>3</v>
      </c>
      <c r="T28" s="52">
        <f t="shared" si="5"/>
        <v>1</v>
      </c>
      <c r="U28" s="52"/>
      <c r="V28" s="51">
        <f t="shared" si="6"/>
        <v>3</v>
      </c>
      <c r="W28" s="52">
        <f t="shared" si="7"/>
        <v>1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80</v>
      </c>
      <c r="C29" s="37">
        <v>73.0</v>
      </c>
      <c r="D29" s="37">
        <v>6.0</v>
      </c>
      <c r="E29" s="40">
        <f t="shared" si="2"/>
        <v>10.2</v>
      </c>
      <c r="F29" s="90">
        <v>1.0</v>
      </c>
      <c r="G29" s="91">
        <v>4.0</v>
      </c>
      <c r="H29" s="92">
        <v>0.0</v>
      </c>
      <c r="I29" s="91">
        <v>6.0</v>
      </c>
      <c r="J29" s="91">
        <v>6.0</v>
      </c>
      <c r="K29" s="91">
        <v>3.0</v>
      </c>
      <c r="L29" s="93">
        <v>15.0</v>
      </c>
      <c r="M29" s="91">
        <v>2.0</v>
      </c>
      <c r="N29" s="37">
        <f t="shared" ref="N29:O29" si="34">C29+L29</f>
        <v>88</v>
      </c>
      <c r="O29" s="37">
        <f t="shared" si="34"/>
        <v>8</v>
      </c>
      <c r="P29" s="49" t="s">
        <v>57</v>
      </c>
      <c r="Q29" s="49" t="s">
        <v>57</v>
      </c>
      <c r="R29" s="49" t="s">
        <v>57</v>
      </c>
      <c r="S29" s="51">
        <f t="shared" si="4"/>
        <v>5</v>
      </c>
      <c r="T29" s="52">
        <f t="shared" si="5"/>
        <v>1</v>
      </c>
      <c r="U29" s="52"/>
      <c r="V29" s="51">
        <f t="shared" si="6"/>
        <v>1</v>
      </c>
      <c r="W29" s="52">
        <f t="shared" si="7"/>
        <v>3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120</v>
      </c>
      <c r="C30" s="37">
        <v>72.0</v>
      </c>
      <c r="D30" s="37">
        <v>5.0</v>
      </c>
      <c r="E30" s="40">
        <f t="shared" si="2"/>
        <v>12</v>
      </c>
      <c r="F30" s="90">
        <v>1.0</v>
      </c>
      <c r="G30" s="91">
        <v>5.0</v>
      </c>
      <c r="H30" s="92">
        <v>0.0</v>
      </c>
      <c r="I30" s="91">
        <v>6.0</v>
      </c>
      <c r="J30" s="91">
        <v>6.0</v>
      </c>
      <c r="K30" s="91">
        <v>4.0</v>
      </c>
      <c r="L30" s="93">
        <v>16.0</v>
      </c>
      <c r="M30" s="91">
        <v>2.0</v>
      </c>
      <c r="N30" s="37">
        <f t="shared" ref="N30:O30" si="35">C30+L30</f>
        <v>88</v>
      </c>
      <c r="O30" s="37">
        <f t="shared" si="35"/>
        <v>7</v>
      </c>
      <c r="P30" s="49" t="s">
        <v>57</v>
      </c>
      <c r="Q30" s="49" t="s">
        <v>57</v>
      </c>
      <c r="R30" s="49" t="s">
        <v>57</v>
      </c>
      <c r="S30" s="51">
        <f t="shared" si="4"/>
        <v>3</v>
      </c>
      <c r="T30" s="52">
        <f t="shared" si="5"/>
        <v>0</v>
      </c>
      <c r="U30" s="52"/>
      <c r="V30" s="51">
        <f t="shared" si="6"/>
        <v>4</v>
      </c>
      <c r="W30" s="52">
        <f t="shared" si="7"/>
        <v>-4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110</v>
      </c>
      <c r="C31" s="37">
        <v>71.0</v>
      </c>
      <c r="D31" s="37">
        <v>7.0</v>
      </c>
      <c r="E31" s="40">
        <f t="shared" si="2"/>
        <v>10.14285714</v>
      </c>
      <c r="F31" s="90">
        <v>1.0</v>
      </c>
      <c r="G31" s="91">
        <v>5.0</v>
      </c>
      <c r="H31" s="92">
        <v>0.0</v>
      </c>
      <c r="I31" s="91">
        <v>2.0</v>
      </c>
      <c r="J31" s="91">
        <v>1.0</v>
      </c>
      <c r="K31" s="91">
        <v>4.0</v>
      </c>
      <c r="L31" s="93">
        <v>7.0</v>
      </c>
      <c r="M31" s="91">
        <v>0.0</v>
      </c>
      <c r="N31" s="37">
        <f t="shared" ref="N31:O31" si="36">C31+L31</f>
        <v>78</v>
      </c>
      <c r="O31" s="37">
        <f t="shared" si="36"/>
        <v>7</v>
      </c>
      <c r="P31" s="49" t="s">
        <v>57</v>
      </c>
      <c r="Q31" s="49" t="s">
        <v>57</v>
      </c>
      <c r="R31" s="49" t="s">
        <v>57</v>
      </c>
      <c r="S31" s="51">
        <f t="shared" si="4"/>
        <v>7</v>
      </c>
      <c r="T31" s="52">
        <f t="shared" si="5"/>
        <v>0</v>
      </c>
      <c r="U31" s="52"/>
      <c r="V31" s="51">
        <f t="shared" si="6"/>
        <v>0</v>
      </c>
      <c r="W31" s="52">
        <f t="shared" si="7"/>
        <v>0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100</v>
      </c>
      <c r="C32" s="37">
        <v>71.0</v>
      </c>
      <c r="D32" s="37">
        <v>6.0</v>
      </c>
      <c r="E32" s="40">
        <f t="shared" si="2"/>
        <v>11.66666667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80</v>
      </c>
      <c r="O32" s="37">
        <f t="shared" si="37"/>
        <v>6</v>
      </c>
      <c r="P32" s="49" t="s">
        <v>57</v>
      </c>
      <c r="Q32" s="49" t="s">
        <v>57</v>
      </c>
      <c r="R32" s="49" t="s">
        <v>57</v>
      </c>
      <c r="S32" s="51">
        <f t="shared" si="4"/>
        <v>3</v>
      </c>
      <c r="T32" s="52">
        <f t="shared" si="5"/>
        <v>0</v>
      </c>
      <c r="U32" s="52"/>
      <c r="V32" s="51">
        <f t="shared" si="6"/>
        <v>4</v>
      </c>
      <c r="W32" s="52">
        <f t="shared" si="7"/>
        <v>-5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99</v>
      </c>
      <c r="C33" s="37">
        <v>71.0</v>
      </c>
      <c r="D33" s="37">
        <v>6.0</v>
      </c>
      <c r="E33" s="40">
        <f t="shared" si="2"/>
        <v>10.6</v>
      </c>
      <c r="F33" s="90">
        <v>2.0</v>
      </c>
      <c r="G33" s="91">
        <v>5.0</v>
      </c>
      <c r="H33" s="92">
        <v>0.0</v>
      </c>
      <c r="I33" s="91">
        <v>2.0</v>
      </c>
      <c r="J33" s="91">
        <v>6.0</v>
      </c>
      <c r="K33" s="91">
        <v>6.0</v>
      </c>
      <c r="L33" s="93">
        <v>14.0</v>
      </c>
      <c r="M33" s="91">
        <v>2.0</v>
      </c>
      <c r="N33" s="37">
        <f t="shared" ref="N33:O33" si="38">C33+L33</f>
        <v>85</v>
      </c>
      <c r="O33" s="37">
        <f t="shared" si="38"/>
        <v>8</v>
      </c>
      <c r="P33" s="49" t="s">
        <v>57</v>
      </c>
      <c r="Q33" s="49" t="s">
        <v>57</v>
      </c>
      <c r="R33" s="49" t="s">
        <v>57</v>
      </c>
      <c r="S33" s="51">
        <f t="shared" si="4"/>
        <v>5</v>
      </c>
      <c r="T33" s="52">
        <f t="shared" si="5"/>
        <v>0</v>
      </c>
      <c r="U33" s="52"/>
      <c r="V33" s="51">
        <f t="shared" si="6"/>
        <v>2</v>
      </c>
      <c r="W33" s="52">
        <f t="shared" si="7"/>
        <v>-5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64</v>
      </c>
      <c r="C34" s="37">
        <v>71.0</v>
      </c>
      <c r="D34" s="37">
        <v>6.0</v>
      </c>
      <c r="E34" s="40">
        <f t="shared" si="2"/>
        <v>10.14285714</v>
      </c>
      <c r="F34" s="90">
        <v>1.0</v>
      </c>
      <c r="G34" s="91">
        <v>5.0</v>
      </c>
      <c r="H34" s="92">
        <v>0.0</v>
      </c>
      <c r="I34" s="91">
        <v>6.0</v>
      </c>
      <c r="J34" s="91">
        <v>1.0</v>
      </c>
      <c r="K34" s="91">
        <v>6.0</v>
      </c>
      <c r="L34" s="93">
        <v>13.0</v>
      </c>
      <c r="M34" s="91">
        <v>2.0</v>
      </c>
      <c r="N34" s="37">
        <f t="shared" ref="N34:O34" si="39">C34+L34</f>
        <v>84</v>
      </c>
      <c r="O34" s="37">
        <f t="shared" si="39"/>
        <v>8</v>
      </c>
      <c r="P34" s="49" t="s">
        <v>57</v>
      </c>
      <c r="Q34" s="49" t="s">
        <v>57</v>
      </c>
      <c r="R34" s="49" t="s">
        <v>57</v>
      </c>
      <c r="S34" s="51">
        <f t="shared" si="4"/>
        <v>7</v>
      </c>
      <c r="T34" s="52">
        <f t="shared" si="5"/>
        <v>0</v>
      </c>
      <c r="U34" s="52"/>
      <c r="V34" s="51">
        <f t="shared" si="6"/>
        <v>0</v>
      </c>
      <c r="W34" s="52">
        <f t="shared" si="7"/>
        <v>3</v>
      </c>
      <c r="X34" s="35">
        <f t="shared" si="12"/>
        <v>30</v>
      </c>
      <c r="Y34" s="35" t="str">
        <f t="shared" si="8"/>
        <v>Y</v>
      </c>
      <c r="Z34" s="19" t="str">
        <f t="shared" si="9"/>
        <v/>
      </c>
    </row>
    <row r="35">
      <c r="A35" s="35">
        <f t="shared" si="10"/>
        <v>31</v>
      </c>
      <c r="B35" s="36" t="s">
        <v>107</v>
      </c>
      <c r="C35" s="37">
        <v>71.0</v>
      </c>
      <c r="D35" s="37">
        <v>6.0</v>
      </c>
      <c r="E35" s="40">
        <f t="shared" si="2"/>
        <v>11.66666667</v>
      </c>
      <c r="F35" s="90">
        <v>3.0</v>
      </c>
      <c r="G35" s="91">
        <v>0.0</v>
      </c>
      <c r="H35" s="92">
        <v>9.0</v>
      </c>
      <c r="I35" s="91">
        <v>0.0</v>
      </c>
      <c r="J35" s="91">
        <v>0.0</v>
      </c>
      <c r="K35" s="91">
        <v>0.0</v>
      </c>
      <c r="L35" s="93">
        <v>9.0</v>
      </c>
      <c r="M35" s="91">
        <v>0.0</v>
      </c>
      <c r="N35" s="37">
        <f t="shared" ref="N35:O35" si="40">C35+L35</f>
        <v>80</v>
      </c>
      <c r="O35" s="37">
        <f t="shared" si="40"/>
        <v>6</v>
      </c>
      <c r="P35" s="49" t="s">
        <v>57</v>
      </c>
      <c r="Q35" s="49" t="s">
        <v>57</v>
      </c>
      <c r="R35" s="49" t="s">
        <v>57</v>
      </c>
      <c r="S35" s="51">
        <f t="shared" si="4"/>
        <v>3</v>
      </c>
      <c r="T35" s="52">
        <f t="shared" si="5"/>
        <v>0</v>
      </c>
      <c r="U35" s="52"/>
      <c r="V35" s="51">
        <f t="shared" si="6"/>
        <v>4</v>
      </c>
      <c r="W35" s="52">
        <f t="shared" si="7"/>
        <v>17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135</v>
      </c>
      <c r="C36" s="37">
        <v>71.0</v>
      </c>
      <c r="D36" s="37">
        <v>5.0</v>
      </c>
      <c r="E36" s="40">
        <f t="shared" si="2"/>
        <v>11.66666667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80</v>
      </c>
      <c r="O36" s="37">
        <f t="shared" si="41"/>
        <v>5</v>
      </c>
      <c r="P36" s="49" t="s">
        <v>57</v>
      </c>
      <c r="Q36" s="49" t="s">
        <v>57</v>
      </c>
      <c r="R36" s="49" t="s">
        <v>57</v>
      </c>
      <c r="S36" s="51">
        <f t="shared" si="4"/>
        <v>3</v>
      </c>
      <c r="T36" s="52">
        <f t="shared" si="5"/>
        <v>0</v>
      </c>
      <c r="U36" s="52"/>
      <c r="V36" s="51">
        <f t="shared" si="6"/>
        <v>4</v>
      </c>
      <c r="W36" s="52">
        <f t="shared" si="7"/>
        <v>-3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126</v>
      </c>
      <c r="C37" s="37">
        <v>71.0</v>
      </c>
      <c r="D37" s="37">
        <v>5.0</v>
      </c>
      <c r="E37" s="40">
        <f t="shared" si="2"/>
        <v>11</v>
      </c>
      <c r="F37" s="90">
        <v>1.0</v>
      </c>
      <c r="G37" s="91">
        <v>6.0</v>
      </c>
      <c r="H37" s="92">
        <v>0.0</v>
      </c>
      <c r="I37" s="91">
        <v>2.0</v>
      </c>
      <c r="J37" s="91">
        <v>0.0</v>
      </c>
      <c r="K37" s="91">
        <v>6.0</v>
      </c>
      <c r="L37" s="93">
        <v>8.0</v>
      </c>
      <c r="M37" s="91">
        <v>1.0</v>
      </c>
      <c r="N37" s="37">
        <f t="shared" ref="N37:O37" si="42">C37+L37</f>
        <v>79</v>
      </c>
      <c r="O37" s="37">
        <f t="shared" si="42"/>
        <v>6</v>
      </c>
      <c r="P37" s="49" t="s">
        <v>57</v>
      </c>
      <c r="Q37" s="49" t="s">
        <v>57</v>
      </c>
      <c r="R37" s="49" t="s">
        <v>57</v>
      </c>
      <c r="S37" s="51">
        <f t="shared" si="4"/>
        <v>4</v>
      </c>
      <c r="T37" s="52">
        <f t="shared" si="5"/>
        <v>0</v>
      </c>
      <c r="U37" s="52"/>
      <c r="V37" s="51">
        <f t="shared" si="6"/>
        <v>3</v>
      </c>
      <c r="W37" s="52">
        <f t="shared" si="7"/>
        <v>7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51</v>
      </c>
      <c r="C38" s="37">
        <v>71.0</v>
      </c>
      <c r="D38" s="37">
        <v>5.0</v>
      </c>
      <c r="E38" s="40">
        <f t="shared" si="2"/>
        <v>11.66666667</v>
      </c>
      <c r="F38" s="90">
        <v>1.0</v>
      </c>
      <c r="G38" s="91">
        <v>6.0</v>
      </c>
      <c r="H38" s="92">
        <v>0.0</v>
      </c>
      <c r="I38" s="91">
        <v>6.0</v>
      </c>
      <c r="J38" s="91">
        <v>6.0</v>
      </c>
      <c r="K38" s="91">
        <v>6.0</v>
      </c>
      <c r="L38" s="93">
        <v>18.0</v>
      </c>
      <c r="M38" s="91">
        <v>3.0</v>
      </c>
      <c r="N38" s="37">
        <f t="shared" ref="N38:O38" si="43">C38+L38</f>
        <v>89</v>
      </c>
      <c r="O38" s="37">
        <f t="shared" si="43"/>
        <v>8</v>
      </c>
      <c r="P38" s="49" t="s">
        <v>57</v>
      </c>
      <c r="Q38" s="49" t="s">
        <v>57</v>
      </c>
      <c r="R38" s="49" t="s">
        <v>57</v>
      </c>
      <c r="S38" s="51">
        <f t="shared" si="4"/>
        <v>3</v>
      </c>
      <c r="T38" s="52">
        <f t="shared" si="5"/>
        <v>0</v>
      </c>
      <c r="U38" s="52"/>
      <c r="V38" s="51">
        <f t="shared" si="6"/>
        <v>4</v>
      </c>
      <c r="W38" s="52">
        <f t="shared" si="7"/>
        <v>16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139</v>
      </c>
      <c r="C39" s="37">
        <v>70.0</v>
      </c>
      <c r="D39" s="37">
        <v>7.0</v>
      </c>
      <c r="E39" s="40">
        <f t="shared" si="2"/>
        <v>10.16666667</v>
      </c>
      <c r="F39" s="90">
        <v>1.0</v>
      </c>
      <c r="G39" s="91">
        <v>6.0</v>
      </c>
      <c r="H39" s="92">
        <v>0.0</v>
      </c>
      <c r="I39" s="91">
        <v>2.0</v>
      </c>
      <c r="J39" s="91">
        <v>6.0</v>
      </c>
      <c r="K39" s="91">
        <v>4.0</v>
      </c>
      <c r="L39" s="93">
        <v>12.0</v>
      </c>
      <c r="M39" s="91">
        <v>1.0</v>
      </c>
      <c r="N39" s="37">
        <f t="shared" ref="N39:O39" si="44">C39+L39</f>
        <v>82</v>
      </c>
      <c r="O39" s="37">
        <f t="shared" si="44"/>
        <v>8</v>
      </c>
      <c r="P39" s="49" t="s">
        <v>57</v>
      </c>
      <c r="Q39" s="49" t="s">
        <v>57</v>
      </c>
      <c r="R39" s="49" t="s">
        <v>57</v>
      </c>
      <c r="S39" s="51">
        <f t="shared" si="4"/>
        <v>6</v>
      </c>
      <c r="T39" s="52">
        <f t="shared" si="5"/>
        <v>0</v>
      </c>
      <c r="U39" s="52"/>
      <c r="V39" s="51">
        <f t="shared" si="6"/>
        <v>1</v>
      </c>
      <c r="W39" s="52">
        <f t="shared" si="7"/>
        <v>-4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143</v>
      </c>
      <c r="C40" s="37">
        <v>70.0</v>
      </c>
      <c r="D40" s="37">
        <v>6.0</v>
      </c>
      <c r="E40" s="40">
        <f t="shared" si="2"/>
        <v>11.33333333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79</v>
      </c>
      <c r="O40" s="37">
        <f t="shared" si="45"/>
        <v>6</v>
      </c>
      <c r="P40" s="49" t="s">
        <v>57</v>
      </c>
      <c r="Q40" s="49" t="s">
        <v>57</v>
      </c>
      <c r="R40" s="49" t="s">
        <v>57</v>
      </c>
      <c r="S40" s="51">
        <f t="shared" si="4"/>
        <v>3</v>
      </c>
      <c r="T40" s="52">
        <f t="shared" si="5"/>
        <v>0</v>
      </c>
      <c r="U40" s="52"/>
      <c r="V40" s="51">
        <f t="shared" si="6"/>
        <v>4</v>
      </c>
      <c r="W40" s="52">
        <f t="shared" si="7"/>
        <v>3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142</v>
      </c>
      <c r="C41" s="37">
        <v>70.0</v>
      </c>
      <c r="D41" s="37">
        <v>6.0</v>
      </c>
      <c r="E41" s="40">
        <f t="shared" si="2"/>
        <v>10.75</v>
      </c>
      <c r="F41" s="90">
        <v>2.0</v>
      </c>
      <c r="G41" s="91">
        <v>6.0</v>
      </c>
      <c r="H41" s="92">
        <v>0.0</v>
      </c>
      <c r="I41" s="91">
        <v>6.0</v>
      </c>
      <c r="J41" s="91">
        <v>0.0</v>
      </c>
      <c r="K41" s="91">
        <v>4.0</v>
      </c>
      <c r="L41" s="93">
        <v>10.0</v>
      </c>
      <c r="M41" s="91">
        <v>1.0</v>
      </c>
      <c r="N41" s="37">
        <f t="shared" ref="N41:O41" si="46">C41+L41</f>
        <v>80</v>
      </c>
      <c r="O41" s="37">
        <f t="shared" si="46"/>
        <v>7</v>
      </c>
      <c r="P41" s="49" t="s">
        <v>57</v>
      </c>
      <c r="Q41" s="49" t="s">
        <v>57</v>
      </c>
      <c r="R41" s="49" t="s">
        <v>57</v>
      </c>
      <c r="S41" s="51">
        <f t="shared" si="4"/>
        <v>4</v>
      </c>
      <c r="T41" s="52">
        <f t="shared" si="5"/>
        <v>0</v>
      </c>
      <c r="U41" s="52"/>
      <c r="V41" s="51">
        <f t="shared" si="6"/>
        <v>3</v>
      </c>
      <c r="W41" s="52">
        <f t="shared" si="7"/>
        <v>10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149</v>
      </c>
      <c r="C42" s="37">
        <v>69.0</v>
      </c>
      <c r="D42" s="37">
        <v>7.0</v>
      </c>
      <c r="E42" s="40">
        <f t="shared" si="2"/>
        <v>10.2</v>
      </c>
      <c r="F42" s="90">
        <v>1.0</v>
      </c>
      <c r="G42" s="91">
        <v>7.0</v>
      </c>
      <c r="H42" s="92">
        <v>0.0</v>
      </c>
      <c r="I42" s="91">
        <v>2.0</v>
      </c>
      <c r="J42" s="91">
        <v>1.0</v>
      </c>
      <c r="K42" s="91">
        <v>0.0</v>
      </c>
      <c r="L42" s="93">
        <v>3.0</v>
      </c>
      <c r="M42" s="91">
        <v>0.0</v>
      </c>
      <c r="N42" s="37">
        <f t="shared" ref="N42:O42" si="47">C42+L42</f>
        <v>72</v>
      </c>
      <c r="O42" s="37">
        <f t="shared" si="47"/>
        <v>7</v>
      </c>
      <c r="P42" s="49" t="s">
        <v>57</v>
      </c>
      <c r="Q42" s="49" t="s">
        <v>57</v>
      </c>
      <c r="R42" s="49" t="s">
        <v>57</v>
      </c>
      <c r="S42" s="51">
        <f t="shared" si="4"/>
        <v>5</v>
      </c>
      <c r="T42" s="52">
        <f t="shared" si="5"/>
        <v>0</v>
      </c>
      <c r="U42" s="52"/>
      <c r="V42" s="51">
        <f t="shared" si="6"/>
        <v>2</v>
      </c>
      <c r="W42" s="52">
        <f t="shared" si="7"/>
        <v>8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113</v>
      </c>
      <c r="C43" s="37">
        <v>69.0</v>
      </c>
      <c r="D43" s="37">
        <v>6.0</v>
      </c>
      <c r="E43" s="40">
        <f t="shared" si="2"/>
        <v>10.5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78</v>
      </c>
      <c r="O43" s="37">
        <f t="shared" si="48"/>
        <v>6</v>
      </c>
      <c r="P43" s="49" t="s">
        <v>57</v>
      </c>
      <c r="Q43" s="49" t="s">
        <v>57</v>
      </c>
      <c r="R43" s="49" t="s">
        <v>57</v>
      </c>
      <c r="S43" s="51">
        <f t="shared" si="4"/>
        <v>4</v>
      </c>
      <c r="T43" s="52">
        <f t="shared" si="5"/>
        <v>0</v>
      </c>
      <c r="U43" s="52"/>
      <c r="V43" s="51">
        <f t="shared" si="6"/>
        <v>3</v>
      </c>
      <c r="W43" s="52">
        <f t="shared" si="7"/>
        <v>-13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95</v>
      </c>
      <c r="C44" s="37">
        <v>69.0</v>
      </c>
      <c r="D44" s="37">
        <v>6.0</v>
      </c>
      <c r="E44" s="40">
        <f t="shared" si="2"/>
        <v>10.5</v>
      </c>
      <c r="F44" s="90">
        <v>1.0</v>
      </c>
      <c r="G44" s="91">
        <v>7.0</v>
      </c>
      <c r="H44" s="92">
        <v>0.0</v>
      </c>
      <c r="I44" s="91">
        <v>6.0</v>
      </c>
      <c r="J44" s="91">
        <v>6.0</v>
      </c>
      <c r="K44" s="91">
        <v>0.0</v>
      </c>
      <c r="L44" s="93">
        <v>12.0</v>
      </c>
      <c r="M44" s="91">
        <v>2.0</v>
      </c>
      <c r="N44" s="37">
        <f t="shared" ref="N44:O44" si="49">C44+L44</f>
        <v>81</v>
      </c>
      <c r="O44" s="37">
        <f t="shared" si="49"/>
        <v>8</v>
      </c>
      <c r="P44" s="49" t="s">
        <v>57</v>
      </c>
      <c r="Q44" s="49" t="s">
        <v>57</v>
      </c>
      <c r="R44" s="49" t="s">
        <v>57</v>
      </c>
      <c r="S44" s="51">
        <f t="shared" si="4"/>
        <v>4</v>
      </c>
      <c r="T44" s="52">
        <f t="shared" si="5"/>
        <v>0</v>
      </c>
      <c r="U44" s="52"/>
      <c r="V44" s="51">
        <f t="shared" si="6"/>
        <v>3</v>
      </c>
      <c r="W44" s="52">
        <f t="shared" si="7"/>
        <v>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137</v>
      </c>
      <c r="C45" s="37">
        <v>68.0</v>
      </c>
      <c r="D45" s="37">
        <v>6.0</v>
      </c>
      <c r="E45" s="40">
        <f t="shared" si="2"/>
        <v>10</v>
      </c>
      <c r="F45" s="90">
        <v>1.0</v>
      </c>
      <c r="G45" s="91">
        <v>7.0</v>
      </c>
      <c r="H45" s="92">
        <v>0.0</v>
      </c>
      <c r="I45" s="91">
        <v>2.0</v>
      </c>
      <c r="J45" s="91">
        <v>6.0</v>
      </c>
      <c r="K45" s="91">
        <v>6.0</v>
      </c>
      <c r="L45" s="93">
        <v>14.0</v>
      </c>
      <c r="M45" s="91">
        <v>2.0</v>
      </c>
      <c r="N45" s="37">
        <f t="shared" ref="N45:O45" si="50">C45+L45</f>
        <v>82</v>
      </c>
      <c r="O45" s="37">
        <f t="shared" si="50"/>
        <v>8</v>
      </c>
      <c r="P45" s="49" t="s">
        <v>57</v>
      </c>
      <c r="Q45" s="49" t="s">
        <v>57</v>
      </c>
      <c r="R45" s="49" t="s">
        <v>57</v>
      </c>
      <c r="S45" s="51">
        <f t="shared" si="4"/>
        <v>5</v>
      </c>
      <c r="T45" s="52">
        <f t="shared" si="5"/>
        <v>0</v>
      </c>
      <c r="U45" s="52"/>
      <c r="V45" s="51">
        <f t="shared" si="6"/>
        <v>2</v>
      </c>
      <c r="W45" s="52">
        <f t="shared" si="7"/>
        <v>-9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93</v>
      </c>
      <c r="C46" s="37">
        <v>68.0</v>
      </c>
      <c r="D46" s="37">
        <v>5.0</v>
      </c>
      <c r="E46" s="40">
        <f t="shared" si="2"/>
        <v>9.2</v>
      </c>
      <c r="F46" s="90">
        <v>2.0</v>
      </c>
      <c r="G46" s="91">
        <v>7.0</v>
      </c>
      <c r="H46" s="92">
        <v>0.0</v>
      </c>
      <c r="I46" s="91">
        <v>6.0</v>
      </c>
      <c r="J46" s="91">
        <v>1.0</v>
      </c>
      <c r="K46" s="91">
        <v>6.0</v>
      </c>
      <c r="L46" s="93">
        <v>13.0</v>
      </c>
      <c r="M46" s="91">
        <v>2.0</v>
      </c>
      <c r="N46" s="37">
        <f t="shared" ref="N46:O46" si="51">C46+L46</f>
        <v>81</v>
      </c>
      <c r="O46" s="37">
        <f t="shared" si="51"/>
        <v>7</v>
      </c>
      <c r="P46" s="49" t="s">
        <v>57</v>
      </c>
      <c r="Q46" s="49" t="s">
        <v>57</v>
      </c>
      <c r="R46" s="49" t="s">
        <v>57</v>
      </c>
      <c r="S46" s="51">
        <f t="shared" si="4"/>
        <v>5</v>
      </c>
      <c r="T46" s="52">
        <f t="shared" si="5"/>
        <v>1</v>
      </c>
      <c r="U46" s="52"/>
      <c r="V46" s="51">
        <f t="shared" si="6"/>
        <v>1</v>
      </c>
      <c r="W46" s="52">
        <f t="shared" si="7"/>
        <v>-6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76</v>
      </c>
      <c r="C47" s="37">
        <v>68.0</v>
      </c>
      <c r="D47" s="37">
        <v>4.0</v>
      </c>
      <c r="E47" s="40">
        <f t="shared" si="2"/>
        <v>9.25</v>
      </c>
      <c r="F47" s="90">
        <v>1.0</v>
      </c>
      <c r="G47" s="91">
        <v>8.0</v>
      </c>
      <c r="H47" s="92">
        <v>0.0</v>
      </c>
      <c r="I47" s="91">
        <v>2.0</v>
      </c>
      <c r="J47" s="91">
        <v>6.0</v>
      </c>
      <c r="K47" s="91">
        <v>5.0</v>
      </c>
      <c r="L47" s="93">
        <v>13.0</v>
      </c>
      <c r="M47" s="91">
        <v>1.0</v>
      </c>
      <c r="N47" s="37">
        <f t="shared" ref="N47:O47" si="52">C47+L47</f>
        <v>81</v>
      </c>
      <c r="O47" s="37">
        <f t="shared" si="52"/>
        <v>5</v>
      </c>
      <c r="P47" s="49" t="s">
        <v>57</v>
      </c>
      <c r="Q47" s="49" t="s">
        <v>57</v>
      </c>
      <c r="R47" s="49" t="s">
        <v>57</v>
      </c>
      <c r="S47" s="51">
        <f t="shared" si="4"/>
        <v>4</v>
      </c>
      <c r="T47" s="52">
        <f t="shared" si="5"/>
        <v>1</v>
      </c>
      <c r="U47" s="52"/>
      <c r="V47" s="51">
        <f t="shared" si="6"/>
        <v>2</v>
      </c>
      <c r="W47" s="52">
        <f t="shared" si="7"/>
        <v>-1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130</v>
      </c>
      <c r="C48" s="37">
        <v>67.0</v>
      </c>
      <c r="D48" s="37">
        <v>6.0</v>
      </c>
      <c r="E48" s="40">
        <f t="shared" si="2"/>
        <v>9.571428571</v>
      </c>
      <c r="F48" s="90">
        <v>1.0</v>
      </c>
      <c r="G48" s="91">
        <v>8.0</v>
      </c>
      <c r="H48" s="92">
        <v>0.0</v>
      </c>
      <c r="I48" s="91">
        <v>6.0</v>
      </c>
      <c r="J48" s="91">
        <v>2.0</v>
      </c>
      <c r="K48" s="91">
        <v>5.0</v>
      </c>
      <c r="L48" s="93">
        <v>13.0</v>
      </c>
      <c r="M48" s="91">
        <v>1.0</v>
      </c>
      <c r="N48" s="37">
        <f t="shared" ref="N48:O48" si="53">C48+L48</f>
        <v>80</v>
      </c>
      <c r="O48" s="37">
        <f t="shared" si="53"/>
        <v>7</v>
      </c>
      <c r="P48" s="49" t="s">
        <v>57</v>
      </c>
      <c r="Q48" s="49" t="s">
        <v>57</v>
      </c>
      <c r="R48" s="49" t="s">
        <v>57</v>
      </c>
      <c r="S48" s="51">
        <f t="shared" si="4"/>
        <v>7</v>
      </c>
      <c r="T48" s="52">
        <f t="shared" si="5"/>
        <v>0</v>
      </c>
      <c r="U48" s="52"/>
      <c r="V48" s="51">
        <f t="shared" si="6"/>
        <v>0</v>
      </c>
      <c r="W48" s="52">
        <f t="shared" si="7"/>
        <v>-10</v>
      </c>
      <c r="X48" s="35">
        <f t="shared" si="12"/>
        <v>44</v>
      </c>
      <c r="Y48" s="35" t="str">
        <f t="shared" si="8"/>
        <v>Y</v>
      </c>
      <c r="Z48" s="19" t="str">
        <f t="shared" si="9"/>
        <v/>
      </c>
    </row>
    <row r="49">
      <c r="A49" s="35">
        <f t="shared" si="10"/>
        <v>45</v>
      </c>
      <c r="B49" s="36" t="s">
        <v>138</v>
      </c>
      <c r="C49" s="37">
        <v>66.0</v>
      </c>
      <c r="D49" s="37">
        <v>5.0</v>
      </c>
      <c r="E49" s="40">
        <f t="shared" si="2"/>
        <v>9.6</v>
      </c>
      <c r="F49" s="90">
        <v>2.0</v>
      </c>
      <c r="G49" s="91">
        <v>8.0</v>
      </c>
      <c r="H49" s="92">
        <v>0.0</v>
      </c>
      <c r="I49" s="91">
        <v>2.0</v>
      </c>
      <c r="J49" s="91">
        <v>2.0</v>
      </c>
      <c r="K49" s="91">
        <v>7.0</v>
      </c>
      <c r="L49" s="93">
        <v>11.0</v>
      </c>
      <c r="M49" s="91">
        <v>1.0</v>
      </c>
      <c r="N49" s="37">
        <f t="shared" ref="N49:O49" si="54">C49+L49</f>
        <v>77</v>
      </c>
      <c r="O49" s="37">
        <f t="shared" si="54"/>
        <v>6</v>
      </c>
      <c r="P49" s="49" t="s">
        <v>57</v>
      </c>
      <c r="Q49" s="49" t="s">
        <v>57</v>
      </c>
      <c r="R49" s="49" t="s">
        <v>57</v>
      </c>
      <c r="S49" s="51">
        <f t="shared" si="4"/>
        <v>5</v>
      </c>
      <c r="T49" s="52">
        <f t="shared" si="5"/>
        <v>0</v>
      </c>
      <c r="U49" s="52"/>
      <c r="V49" s="51">
        <f t="shared" si="6"/>
        <v>2</v>
      </c>
      <c r="W49" s="52">
        <f t="shared" si="7"/>
        <v>10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97</v>
      </c>
      <c r="C50" s="37">
        <v>66.0</v>
      </c>
      <c r="D50" s="37">
        <v>3.0</v>
      </c>
      <c r="E50" s="40">
        <f t="shared" si="2"/>
        <v>10</v>
      </c>
      <c r="F50" s="90">
        <v>1.0</v>
      </c>
      <c r="G50" s="91">
        <v>8.0</v>
      </c>
      <c r="H50" s="92">
        <v>0.0</v>
      </c>
      <c r="I50" s="91">
        <v>6.0</v>
      </c>
      <c r="J50" s="91">
        <v>6.0</v>
      </c>
      <c r="K50" s="91">
        <v>7.0</v>
      </c>
      <c r="L50" s="93">
        <v>19.0</v>
      </c>
      <c r="M50" s="91">
        <v>3.0</v>
      </c>
      <c r="N50" s="37">
        <f t="shared" ref="N50:O50" si="55">C50+L50</f>
        <v>85</v>
      </c>
      <c r="O50" s="37">
        <f t="shared" si="55"/>
        <v>6</v>
      </c>
      <c r="P50" s="49" t="s">
        <v>57</v>
      </c>
      <c r="Q50" s="49" t="s">
        <v>57</v>
      </c>
      <c r="R50" s="49" t="s">
        <v>57</v>
      </c>
      <c r="S50" s="51">
        <f t="shared" si="4"/>
        <v>3</v>
      </c>
      <c r="T50" s="52">
        <f t="shared" si="5"/>
        <v>0</v>
      </c>
      <c r="U50" s="52"/>
      <c r="V50" s="51">
        <f t="shared" si="6"/>
        <v>4</v>
      </c>
      <c r="W50" s="52">
        <f t="shared" si="7"/>
        <v>10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70</v>
      </c>
      <c r="C51" s="37">
        <v>64.0</v>
      </c>
      <c r="D51" s="37">
        <v>5.0</v>
      </c>
      <c r="E51" s="40">
        <f t="shared" si="2"/>
        <v>8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73</v>
      </c>
      <c r="O51" s="37">
        <f t="shared" si="56"/>
        <v>5</v>
      </c>
      <c r="P51" s="49" t="s">
        <v>57</v>
      </c>
      <c r="Q51" s="49" t="s">
        <v>57</v>
      </c>
      <c r="R51" s="49" t="s">
        <v>57</v>
      </c>
      <c r="S51" s="51">
        <f t="shared" si="4"/>
        <v>3</v>
      </c>
      <c r="T51" s="52">
        <f t="shared" si="5"/>
        <v>1</v>
      </c>
      <c r="U51" s="52"/>
      <c r="V51" s="51">
        <f t="shared" si="6"/>
        <v>3</v>
      </c>
      <c r="W51" s="52">
        <f t="shared" si="7"/>
        <v>-12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125</v>
      </c>
      <c r="C52" s="37">
        <v>64.0</v>
      </c>
      <c r="D52" s="37">
        <v>3.0</v>
      </c>
      <c r="E52" s="40">
        <f t="shared" si="2"/>
        <v>10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73</v>
      </c>
      <c r="O52" s="37">
        <f t="shared" si="57"/>
        <v>3</v>
      </c>
      <c r="P52" s="49" t="s">
        <v>57</v>
      </c>
      <c r="Q52" s="49" t="s">
        <v>57</v>
      </c>
      <c r="R52" s="49" t="s">
        <v>57</v>
      </c>
      <c r="S52" s="51">
        <f t="shared" si="4"/>
        <v>1</v>
      </c>
      <c r="T52" s="52">
        <f t="shared" si="5"/>
        <v>0</v>
      </c>
      <c r="U52" s="52"/>
      <c r="V52" s="51">
        <f t="shared" si="6"/>
        <v>6</v>
      </c>
      <c r="W52" s="52">
        <f t="shared" si="7"/>
        <v>-5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118</v>
      </c>
      <c r="C53" s="37">
        <v>64.0</v>
      </c>
      <c r="D53" s="37">
        <v>3.0</v>
      </c>
      <c r="E53" s="40">
        <f t="shared" si="2"/>
        <v>9.166666667</v>
      </c>
      <c r="F53" s="90">
        <v>1.0</v>
      </c>
      <c r="G53" s="91">
        <v>9.0</v>
      </c>
      <c r="H53" s="92">
        <v>0.0</v>
      </c>
      <c r="I53" s="91">
        <v>7.0</v>
      </c>
      <c r="J53" s="91">
        <v>2.0</v>
      </c>
      <c r="K53" s="91">
        <v>6.0</v>
      </c>
      <c r="L53" s="93">
        <v>15.0</v>
      </c>
      <c r="M53" s="91">
        <v>2.0</v>
      </c>
      <c r="N53" s="37">
        <f t="shared" ref="N53:O53" si="58">C53+L53</f>
        <v>79</v>
      </c>
      <c r="O53" s="37">
        <f t="shared" si="58"/>
        <v>5</v>
      </c>
      <c r="P53" s="49" t="s">
        <v>57</v>
      </c>
      <c r="Q53" s="49" t="s">
        <v>57</v>
      </c>
      <c r="R53" s="49" t="s">
        <v>57</v>
      </c>
      <c r="S53" s="51">
        <f t="shared" si="4"/>
        <v>6</v>
      </c>
      <c r="T53" s="52">
        <f t="shared" si="5"/>
        <v>0</v>
      </c>
      <c r="U53" s="52"/>
      <c r="V53" s="51">
        <f t="shared" si="6"/>
        <v>1</v>
      </c>
      <c r="W53" s="52">
        <f t="shared" si="7"/>
        <v>-11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147</v>
      </c>
      <c r="C54" s="37">
        <v>64.0</v>
      </c>
      <c r="D54" s="37">
        <v>3.0</v>
      </c>
      <c r="E54" s="40">
        <f t="shared" si="2"/>
        <v>9.25</v>
      </c>
      <c r="F54" s="90">
        <v>1.0</v>
      </c>
      <c r="G54" s="91">
        <v>9.0</v>
      </c>
      <c r="H54" s="92">
        <v>0.0</v>
      </c>
      <c r="I54" s="91">
        <v>5.0</v>
      </c>
      <c r="J54" s="91">
        <v>6.0</v>
      </c>
      <c r="K54" s="91">
        <v>6.0</v>
      </c>
      <c r="L54" s="93">
        <v>17.0</v>
      </c>
      <c r="M54" s="91">
        <v>2.0</v>
      </c>
      <c r="N54" s="37">
        <f t="shared" ref="N54:O54" si="59">C54+L54</f>
        <v>81</v>
      </c>
      <c r="O54" s="37">
        <f t="shared" si="59"/>
        <v>5</v>
      </c>
      <c r="P54" s="49" t="s">
        <v>57</v>
      </c>
      <c r="Q54" s="49" t="s">
        <v>57</v>
      </c>
      <c r="R54" s="49" t="s">
        <v>57</v>
      </c>
      <c r="S54" s="51">
        <f t="shared" si="4"/>
        <v>4</v>
      </c>
      <c r="T54" s="52">
        <f t="shared" si="5"/>
        <v>0</v>
      </c>
      <c r="U54" s="52"/>
      <c r="V54" s="51">
        <f t="shared" si="6"/>
        <v>3</v>
      </c>
      <c r="W54" s="52">
        <f t="shared" si="7"/>
        <v>-6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140</v>
      </c>
      <c r="C55" s="37">
        <v>64.0</v>
      </c>
      <c r="D55" s="37">
        <v>2.0</v>
      </c>
      <c r="E55" s="40">
        <f t="shared" si="2"/>
        <v>9.2</v>
      </c>
      <c r="F55" s="90">
        <v>1.0</v>
      </c>
      <c r="G55" s="91">
        <v>9.0</v>
      </c>
      <c r="H55" s="92">
        <v>0.0</v>
      </c>
      <c r="I55" s="91">
        <v>7.0</v>
      </c>
      <c r="J55" s="91">
        <v>6.0</v>
      </c>
      <c r="K55" s="91">
        <v>4.0</v>
      </c>
      <c r="L55" s="93">
        <v>17.0</v>
      </c>
      <c r="M55" s="91">
        <v>2.0</v>
      </c>
      <c r="N55" s="37">
        <f t="shared" ref="N55:O55" si="60">C55+L55</f>
        <v>81</v>
      </c>
      <c r="O55" s="37">
        <f t="shared" si="60"/>
        <v>4</v>
      </c>
      <c r="P55" s="49" t="s">
        <v>57</v>
      </c>
      <c r="Q55" s="49" t="s">
        <v>57</v>
      </c>
      <c r="R55" s="49" t="s">
        <v>57</v>
      </c>
      <c r="S55" s="51">
        <f t="shared" si="4"/>
        <v>5</v>
      </c>
      <c r="T55" s="52">
        <f t="shared" si="5"/>
        <v>0</v>
      </c>
      <c r="U55" s="52"/>
      <c r="V55" s="51">
        <f t="shared" si="6"/>
        <v>2</v>
      </c>
      <c r="W55" s="52">
        <f t="shared" si="7"/>
        <v>-2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78</v>
      </c>
      <c r="C56" s="37">
        <v>64.0</v>
      </c>
      <c r="D56" s="37">
        <v>2.0</v>
      </c>
      <c r="E56" s="40">
        <f t="shared" si="2"/>
        <v>6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73</v>
      </c>
      <c r="O56" s="37">
        <f t="shared" si="61"/>
        <v>2</v>
      </c>
      <c r="P56" s="49" t="s">
        <v>57</v>
      </c>
      <c r="Q56" s="49" t="s">
        <v>57</v>
      </c>
      <c r="R56" s="49" t="s">
        <v>57</v>
      </c>
      <c r="S56" s="51">
        <f t="shared" si="4"/>
        <v>1</v>
      </c>
      <c r="T56" s="52">
        <f t="shared" si="5"/>
        <v>1</v>
      </c>
      <c r="U56" s="52"/>
      <c r="V56" s="51">
        <f t="shared" si="6"/>
        <v>5</v>
      </c>
      <c r="W56" s="52">
        <f t="shared" si="7"/>
        <v>-7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151</v>
      </c>
      <c r="C57" s="37">
        <v>62.0</v>
      </c>
      <c r="D57" s="37">
        <v>5.0</v>
      </c>
      <c r="E57" s="40">
        <f t="shared" si="2"/>
        <v>8.166666667</v>
      </c>
      <c r="F57" s="90">
        <v>1.0</v>
      </c>
      <c r="G57" s="91">
        <v>9.0</v>
      </c>
      <c r="H57" s="92">
        <v>0.0</v>
      </c>
      <c r="I57" s="91">
        <v>5.0</v>
      </c>
      <c r="J57" s="91">
        <v>2.0</v>
      </c>
      <c r="K57" s="91">
        <v>4.0</v>
      </c>
      <c r="L57" s="93">
        <v>11.0</v>
      </c>
      <c r="M57" s="91">
        <v>0.0</v>
      </c>
      <c r="N57" s="37">
        <f t="shared" ref="N57:O57" si="62">C57+L57</f>
        <v>73</v>
      </c>
      <c r="O57" s="37">
        <f t="shared" si="62"/>
        <v>5</v>
      </c>
      <c r="P57" s="49" t="s">
        <v>57</v>
      </c>
      <c r="Q57" s="49" t="s">
        <v>57</v>
      </c>
      <c r="R57" s="49" t="s">
        <v>57</v>
      </c>
      <c r="S57" s="51">
        <f t="shared" si="4"/>
        <v>6</v>
      </c>
      <c r="T57" s="52">
        <f t="shared" si="5"/>
        <v>1</v>
      </c>
      <c r="U57" s="52"/>
      <c r="V57" s="51">
        <f t="shared" si="6"/>
        <v>0</v>
      </c>
      <c r="W57" s="52">
        <f t="shared" si="7"/>
        <v>4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116</v>
      </c>
      <c r="C58" s="37">
        <v>61.0</v>
      </c>
      <c r="D58" s="37">
        <v>4.0</v>
      </c>
      <c r="E58" s="40">
        <f t="shared" si="2"/>
        <v>8.714285714</v>
      </c>
      <c r="F58" s="90">
        <v>1.0</v>
      </c>
      <c r="G58" s="91">
        <v>10.0</v>
      </c>
      <c r="H58" s="92">
        <v>0.0</v>
      </c>
      <c r="I58" s="91">
        <v>2.0</v>
      </c>
      <c r="J58" s="91">
        <v>3.0</v>
      </c>
      <c r="K58" s="91">
        <v>6.0</v>
      </c>
      <c r="L58" s="93">
        <v>11.0</v>
      </c>
      <c r="M58" s="91">
        <v>0.0</v>
      </c>
      <c r="N58" s="37">
        <f t="shared" ref="N58:O58" si="63">C58+L58</f>
        <v>72</v>
      </c>
      <c r="O58" s="37">
        <f t="shared" si="63"/>
        <v>4</v>
      </c>
      <c r="P58" s="49" t="s">
        <v>57</v>
      </c>
      <c r="Q58" s="49" t="s">
        <v>57</v>
      </c>
      <c r="R58" s="49" t="s">
        <v>57</v>
      </c>
      <c r="S58" s="51">
        <f t="shared" si="4"/>
        <v>7</v>
      </c>
      <c r="T58" s="52">
        <f t="shared" si="5"/>
        <v>0</v>
      </c>
      <c r="U58" s="52"/>
      <c r="V58" s="51">
        <f t="shared" si="6"/>
        <v>0</v>
      </c>
      <c r="W58" s="52">
        <f t="shared" si="7"/>
        <v>10</v>
      </c>
      <c r="X58" s="35">
        <f t="shared" si="12"/>
        <v>54</v>
      </c>
      <c r="Y58" s="35" t="str">
        <f t="shared" si="8"/>
        <v>Y</v>
      </c>
      <c r="Z58" s="19" t="str">
        <f t="shared" si="9"/>
        <v/>
      </c>
    </row>
    <row r="59">
      <c r="A59" s="35">
        <f t="shared" si="10"/>
        <v>55</v>
      </c>
      <c r="B59" s="36" t="s">
        <v>101</v>
      </c>
      <c r="C59" s="37">
        <v>61.0</v>
      </c>
      <c r="D59" s="37">
        <v>2.0</v>
      </c>
      <c r="E59" s="40">
        <f t="shared" si="2"/>
        <v>8</v>
      </c>
      <c r="F59" s="90">
        <v>1.0</v>
      </c>
      <c r="G59" s="91">
        <v>10.0</v>
      </c>
      <c r="H59" s="92">
        <v>0.0</v>
      </c>
      <c r="I59" s="91">
        <v>6.0</v>
      </c>
      <c r="J59" s="91">
        <v>6.0</v>
      </c>
      <c r="K59" s="91">
        <v>6.0</v>
      </c>
      <c r="L59" s="93">
        <v>18.0</v>
      </c>
      <c r="M59" s="91">
        <v>2.0</v>
      </c>
      <c r="N59" s="37">
        <f t="shared" ref="N59:O59" si="64">C59+L59</f>
        <v>79</v>
      </c>
      <c r="O59" s="37">
        <f t="shared" si="64"/>
        <v>4</v>
      </c>
      <c r="P59" s="49" t="s">
        <v>57</v>
      </c>
      <c r="Q59" s="49" t="s">
        <v>57</v>
      </c>
      <c r="R59" s="49" t="s">
        <v>57</v>
      </c>
      <c r="S59" s="51">
        <f t="shared" si="4"/>
        <v>2</v>
      </c>
      <c r="T59" s="52">
        <f t="shared" si="5"/>
        <v>0</v>
      </c>
      <c r="U59" s="52"/>
      <c r="V59" s="51">
        <f t="shared" si="6"/>
        <v>5</v>
      </c>
      <c r="W59" s="52">
        <f t="shared" si="7"/>
        <v>16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152</v>
      </c>
      <c r="C60" s="37">
        <v>60.0</v>
      </c>
      <c r="D60" s="37">
        <v>5.0</v>
      </c>
      <c r="E60" s="40">
        <f t="shared" si="2"/>
        <v>8.4</v>
      </c>
      <c r="F60" s="90">
        <v>1.0</v>
      </c>
      <c r="G60" s="91">
        <v>10.0</v>
      </c>
      <c r="H60" s="92">
        <v>0.0</v>
      </c>
      <c r="I60" s="91">
        <v>6.0</v>
      </c>
      <c r="J60" s="91">
        <v>3.0</v>
      </c>
      <c r="K60" s="91">
        <v>7.0</v>
      </c>
      <c r="L60" s="93">
        <v>16.0</v>
      </c>
      <c r="M60" s="91">
        <v>2.0</v>
      </c>
      <c r="N60" s="37">
        <f t="shared" ref="N60:O60" si="65">C60+L60</f>
        <v>76</v>
      </c>
      <c r="O60" s="37">
        <f t="shared" si="65"/>
        <v>7</v>
      </c>
      <c r="P60" s="49" t="s">
        <v>57</v>
      </c>
      <c r="Q60" s="49" t="s">
        <v>57</v>
      </c>
      <c r="R60" s="49" t="s">
        <v>57</v>
      </c>
      <c r="S60" s="51">
        <f t="shared" si="4"/>
        <v>5</v>
      </c>
      <c r="T60" s="52">
        <f t="shared" si="5"/>
        <v>0</v>
      </c>
      <c r="U60" s="52"/>
      <c r="V60" s="51">
        <f t="shared" si="6"/>
        <v>2</v>
      </c>
      <c r="W60" s="52">
        <f t="shared" si="7"/>
        <v>-5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134</v>
      </c>
      <c r="C61" s="37">
        <v>60.0</v>
      </c>
      <c r="D61" s="37">
        <v>5.0</v>
      </c>
      <c r="E61" s="40">
        <f t="shared" si="2"/>
        <v>8.4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69</v>
      </c>
      <c r="O61" s="37">
        <f t="shared" si="66"/>
        <v>5</v>
      </c>
      <c r="P61" s="49" t="s">
        <v>57</v>
      </c>
      <c r="Q61" s="49" t="s">
        <v>57</v>
      </c>
      <c r="R61" s="49" t="s">
        <v>57</v>
      </c>
      <c r="S61" s="51">
        <f t="shared" si="4"/>
        <v>5</v>
      </c>
      <c r="T61" s="52">
        <f t="shared" si="5"/>
        <v>0</v>
      </c>
      <c r="U61" s="52"/>
      <c r="V61" s="51">
        <f t="shared" si="6"/>
        <v>2</v>
      </c>
      <c r="W61" s="52">
        <f t="shared" si="7"/>
        <v>8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129</v>
      </c>
      <c r="C62" s="37">
        <v>60.0</v>
      </c>
      <c r="D62" s="37">
        <v>4.0</v>
      </c>
      <c r="E62" s="40">
        <f t="shared" si="2"/>
        <v>8.25</v>
      </c>
      <c r="F62" s="90">
        <v>1.0</v>
      </c>
      <c r="G62" s="91">
        <v>10.0</v>
      </c>
      <c r="H62" s="92">
        <v>0.0</v>
      </c>
      <c r="I62" s="91">
        <v>2.0</v>
      </c>
      <c r="J62" s="91">
        <v>6.0</v>
      </c>
      <c r="K62" s="91">
        <v>7.0</v>
      </c>
      <c r="L62" s="93">
        <v>15.0</v>
      </c>
      <c r="M62" s="91">
        <v>2.0</v>
      </c>
      <c r="N62" s="37">
        <f t="shared" ref="N62:O62" si="67">C62+L62</f>
        <v>75</v>
      </c>
      <c r="O62" s="37">
        <f t="shared" si="67"/>
        <v>6</v>
      </c>
      <c r="P62" s="49" t="s">
        <v>57</v>
      </c>
      <c r="Q62" s="49" t="s">
        <v>57</v>
      </c>
      <c r="R62" s="49" t="s">
        <v>57</v>
      </c>
      <c r="S62" s="51">
        <f t="shared" si="4"/>
        <v>4</v>
      </c>
      <c r="T62" s="52">
        <f t="shared" si="5"/>
        <v>0</v>
      </c>
      <c r="U62" s="52"/>
      <c r="V62" s="51">
        <f t="shared" si="6"/>
        <v>3</v>
      </c>
      <c r="W62" s="52">
        <f t="shared" si="7"/>
        <v>-6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106</v>
      </c>
      <c r="C63" s="37">
        <v>60.0</v>
      </c>
      <c r="D63" s="37">
        <v>1.0</v>
      </c>
      <c r="E63" s="40">
        <f t="shared" si="2"/>
        <v>6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69</v>
      </c>
      <c r="O63" s="37">
        <f t="shared" si="68"/>
        <v>1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6</v>
      </c>
      <c r="W63" s="52">
        <f t="shared" si="7"/>
        <v>-6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145</v>
      </c>
      <c r="C64" s="37">
        <v>58.0</v>
      </c>
      <c r="D64" s="37">
        <v>6.0</v>
      </c>
      <c r="E64" s="40">
        <f t="shared" si="2"/>
        <v>8.166666667</v>
      </c>
      <c r="F64" s="90">
        <v>1.0</v>
      </c>
      <c r="G64" s="91">
        <v>11.0</v>
      </c>
      <c r="H64" s="92">
        <v>0.0</v>
      </c>
      <c r="I64" s="91">
        <v>2.0</v>
      </c>
      <c r="J64" s="91">
        <v>6.0</v>
      </c>
      <c r="K64" s="91">
        <v>3.0</v>
      </c>
      <c r="L64" s="93">
        <v>11.0</v>
      </c>
      <c r="M64" s="91">
        <v>1.0</v>
      </c>
      <c r="N64" s="37">
        <f t="shared" ref="N64:O64" si="69">C64+L64</f>
        <v>69</v>
      </c>
      <c r="O64" s="37">
        <f t="shared" si="69"/>
        <v>7</v>
      </c>
      <c r="P64" s="49" t="s">
        <v>57</v>
      </c>
      <c r="Q64" s="49" t="s">
        <v>57</v>
      </c>
      <c r="R64" s="49" t="s">
        <v>57</v>
      </c>
      <c r="S64" s="51">
        <f t="shared" si="4"/>
        <v>6</v>
      </c>
      <c r="T64" s="52">
        <f t="shared" si="5"/>
        <v>0</v>
      </c>
      <c r="U64" s="52"/>
      <c r="V64" s="51">
        <f t="shared" si="6"/>
        <v>1</v>
      </c>
      <c r="W64" s="52">
        <f t="shared" si="7"/>
        <v>-6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154</v>
      </c>
      <c r="C65" s="37">
        <v>58.0</v>
      </c>
      <c r="D65" s="37">
        <v>3.0</v>
      </c>
      <c r="E65" s="40">
        <f t="shared" si="2"/>
        <v>7.333333333</v>
      </c>
      <c r="F65" s="90">
        <v>1.0</v>
      </c>
      <c r="G65" s="91">
        <v>11.0</v>
      </c>
      <c r="H65" s="92">
        <v>0.0</v>
      </c>
      <c r="I65" s="91">
        <v>2.0</v>
      </c>
      <c r="J65" s="91">
        <v>3.0</v>
      </c>
      <c r="K65" s="91">
        <v>6.0</v>
      </c>
      <c r="L65" s="93">
        <v>11.0</v>
      </c>
      <c r="M65" s="91">
        <v>1.0</v>
      </c>
      <c r="N65" s="37">
        <f t="shared" ref="N65:O65" si="70">C65+L65</f>
        <v>69</v>
      </c>
      <c r="O65" s="37">
        <f t="shared" si="70"/>
        <v>4</v>
      </c>
      <c r="P65" s="49" t="s">
        <v>57</v>
      </c>
      <c r="Q65" s="49" t="s">
        <v>57</v>
      </c>
      <c r="R65" s="49" t="s">
        <v>57</v>
      </c>
      <c r="S65" s="51">
        <f t="shared" si="4"/>
        <v>3</v>
      </c>
      <c r="T65" s="52">
        <f t="shared" si="5"/>
        <v>0</v>
      </c>
      <c r="U65" s="52"/>
      <c r="V65" s="51">
        <f t="shared" si="6"/>
        <v>4</v>
      </c>
      <c r="W65" s="52">
        <f t="shared" si="7"/>
        <v>-3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133</v>
      </c>
      <c r="C66" s="37">
        <v>58.0</v>
      </c>
      <c r="D66" s="37">
        <v>2.0</v>
      </c>
      <c r="E66" s="40">
        <f t="shared" si="2"/>
        <v>7.333333333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67</v>
      </c>
      <c r="O66" s="37">
        <f t="shared" si="71"/>
        <v>2</v>
      </c>
      <c r="P66" s="49" t="s">
        <v>57</v>
      </c>
      <c r="Q66" s="49" t="s">
        <v>57</v>
      </c>
      <c r="R66" s="49" t="s">
        <v>57</v>
      </c>
      <c r="S66" s="51">
        <f t="shared" si="4"/>
        <v>3</v>
      </c>
      <c r="T66" s="52">
        <f t="shared" si="5"/>
        <v>0</v>
      </c>
      <c r="U66" s="52"/>
      <c r="V66" s="51">
        <f t="shared" si="6"/>
        <v>4</v>
      </c>
      <c r="W66" s="52">
        <f t="shared" si="7"/>
        <v>0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73</v>
      </c>
      <c r="C67" s="37">
        <v>58.0</v>
      </c>
      <c r="D67" s="37">
        <v>2.0</v>
      </c>
      <c r="E67" s="40">
        <f t="shared" si="2"/>
        <v>4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67</v>
      </c>
      <c r="O67" s="37">
        <f t="shared" si="72"/>
        <v>2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6</v>
      </c>
      <c r="W67" s="52">
        <f t="shared" si="7"/>
        <v>-4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146</v>
      </c>
      <c r="C68" s="37">
        <v>58.0</v>
      </c>
      <c r="D68" s="37">
        <v>1.0</v>
      </c>
      <c r="E68" s="40">
        <f t="shared" si="2"/>
        <v>0</v>
      </c>
      <c r="F68" s="90">
        <v>5.0</v>
      </c>
      <c r="G68" s="91">
        <v>0.0</v>
      </c>
      <c r="H68" s="92">
        <v>13.0</v>
      </c>
      <c r="I68" s="91">
        <v>0.0</v>
      </c>
      <c r="J68" s="91">
        <v>0.0</v>
      </c>
      <c r="K68" s="91">
        <v>0.0</v>
      </c>
      <c r="L68" s="93">
        <v>13.0</v>
      </c>
      <c r="M68" s="91">
        <v>0.0</v>
      </c>
      <c r="N68" s="37">
        <f t="shared" ref="N68:O68" si="73">C68+L68</f>
        <v>71</v>
      </c>
      <c r="O68" s="37">
        <f t="shared" si="73"/>
        <v>1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1</v>
      </c>
      <c r="U68" s="52"/>
      <c r="V68" s="51">
        <f t="shared" si="6"/>
        <v>5</v>
      </c>
      <c r="W68" s="52">
        <f t="shared" si="7"/>
        <v>-4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136</v>
      </c>
      <c r="C69" s="37">
        <v>57.0</v>
      </c>
      <c r="D69" s="37">
        <v>2.0</v>
      </c>
      <c r="E69" s="40">
        <f t="shared" si="2"/>
        <v>7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66</v>
      </c>
      <c r="O69" s="37">
        <f t="shared" si="74"/>
        <v>2</v>
      </c>
      <c r="P69" s="49" t="s">
        <v>57</v>
      </c>
      <c r="Q69" s="49" t="s">
        <v>57</v>
      </c>
      <c r="R69" s="49" t="s">
        <v>57</v>
      </c>
      <c r="S69" s="51">
        <f t="shared" si="4"/>
        <v>3</v>
      </c>
      <c r="T69" s="52">
        <f t="shared" si="5"/>
        <v>0</v>
      </c>
      <c r="U69" s="52"/>
      <c r="V69" s="51">
        <f t="shared" si="6"/>
        <v>4</v>
      </c>
      <c r="W69" s="52">
        <f t="shared" si="7"/>
        <v>-4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124</v>
      </c>
      <c r="C70" s="37">
        <v>56.0</v>
      </c>
      <c r="D70" s="37">
        <v>1.0</v>
      </c>
      <c r="E70" s="40">
        <f t="shared" si="2"/>
        <v>2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65</v>
      </c>
      <c r="O70" s="37">
        <f t="shared" si="75"/>
        <v>1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6</v>
      </c>
      <c r="W70" s="52">
        <f t="shared" si="7"/>
        <v>-3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144</v>
      </c>
      <c r="C71" s="37">
        <v>54.0</v>
      </c>
      <c r="D71" s="37">
        <v>4.0</v>
      </c>
      <c r="E71" s="40">
        <f t="shared" si="2"/>
        <v>7.2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63</v>
      </c>
      <c r="O71" s="37">
        <f t="shared" si="76"/>
        <v>4</v>
      </c>
      <c r="P71" s="49" t="s">
        <v>57</v>
      </c>
      <c r="Q71" s="49" t="s">
        <v>57</v>
      </c>
      <c r="R71" s="49" t="s">
        <v>57</v>
      </c>
      <c r="S71" s="51">
        <f t="shared" si="4"/>
        <v>5</v>
      </c>
      <c r="T71" s="52">
        <f t="shared" si="5"/>
        <v>0</v>
      </c>
      <c r="U71" s="52"/>
      <c r="V71" s="51">
        <f t="shared" si="6"/>
        <v>2</v>
      </c>
      <c r="W71" s="52">
        <f t="shared" si="7"/>
        <v>7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148</v>
      </c>
      <c r="C72" s="37">
        <v>54.0</v>
      </c>
      <c r="D72" s="37">
        <v>0.0</v>
      </c>
      <c r="E72" s="40">
        <f t="shared" si="2"/>
        <v>0</v>
      </c>
      <c r="F72" s="90">
        <v>1.0</v>
      </c>
      <c r="G72" s="91">
        <v>11.0</v>
      </c>
      <c r="H72" s="92">
        <v>0.0</v>
      </c>
      <c r="I72" s="91">
        <v>6.0</v>
      </c>
      <c r="J72" s="91">
        <v>6.0</v>
      </c>
      <c r="K72" s="91">
        <v>6.0</v>
      </c>
      <c r="L72" s="93">
        <v>18.0</v>
      </c>
      <c r="M72" s="91">
        <v>3.0</v>
      </c>
      <c r="N72" s="37">
        <f t="shared" ref="N72:O72" si="77">C72+L72</f>
        <v>72</v>
      </c>
      <c r="O72" s="37">
        <f t="shared" si="77"/>
        <v>3</v>
      </c>
      <c r="P72" s="49" t="s">
        <v>57</v>
      </c>
      <c r="Q72" s="49" t="s">
        <v>57</v>
      </c>
      <c r="R72" s="49" t="s">
        <v>57</v>
      </c>
      <c r="S72" s="51">
        <f t="shared" si="4"/>
        <v>1</v>
      </c>
      <c r="T72" s="52">
        <f t="shared" si="5"/>
        <v>0</v>
      </c>
      <c r="U72" s="52"/>
      <c r="V72" s="51">
        <f t="shared" si="6"/>
        <v>6</v>
      </c>
      <c r="W72" s="52">
        <f t="shared" si="7"/>
        <v>-2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153</v>
      </c>
      <c r="C73" s="37">
        <v>54.0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63</v>
      </c>
      <c r="O73" s="37">
        <f t="shared" si="78"/>
        <v>0</v>
      </c>
      <c r="P73" s="49" t="s">
        <v>57</v>
      </c>
      <c r="Q73" s="49" t="s">
        <v>57</v>
      </c>
      <c r="R73" s="49" t="s">
        <v>57</v>
      </c>
      <c r="S73" s="51">
        <f t="shared" si="4"/>
        <v>0</v>
      </c>
      <c r="T73" s="52">
        <f t="shared" si="5"/>
        <v>0</v>
      </c>
      <c r="U73" s="52"/>
      <c r="V73" s="51">
        <f t="shared" si="6"/>
        <v>7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141</v>
      </c>
      <c r="C74" s="37">
        <v>54.0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63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7</v>
      </c>
      <c r="W74" s="52">
        <f t="shared" si="7"/>
        <v>-2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54</v>
      </c>
      <c r="C75" s="37">
        <v>54.0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63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7</v>
      </c>
      <c r="W75" s="52">
        <f t="shared" si="7"/>
        <v>-2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105</v>
      </c>
      <c r="C76" s="37">
        <v>54.0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63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7</v>
      </c>
      <c r="W76" s="52">
        <f t="shared" si="7"/>
        <v>-2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150</v>
      </c>
      <c r="C77" s="37">
        <v>54.0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63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7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87</v>
      </c>
      <c r="C78" s="37">
        <v>54.0</v>
      </c>
      <c r="D78" s="37">
        <v>0.0</v>
      </c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63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7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44.0</v>
      </c>
      <c r="D79" s="37">
        <v>0.0</v>
      </c>
      <c r="E79" s="40">
        <f t="shared" si="2"/>
        <v>5.2</v>
      </c>
      <c r="F79" s="90">
        <v>1.0</v>
      </c>
      <c r="G79" s="91">
        <v>11.0</v>
      </c>
      <c r="H79" s="92">
        <v>0.0</v>
      </c>
      <c r="I79" s="91">
        <v>6.0</v>
      </c>
      <c r="J79" s="91">
        <v>3.0</v>
      </c>
      <c r="K79" s="91">
        <v>3.0</v>
      </c>
      <c r="L79" s="93">
        <v>12.0</v>
      </c>
      <c r="M79" s="91">
        <v>1.0</v>
      </c>
      <c r="N79" s="37">
        <f t="shared" ref="N79:O79" si="84">C79+L79</f>
        <v>56</v>
      </c>
      <c r="O79" s="37">
        <f t="shared" si="84"/>
        <v>1</v>
      </c>
      <c r="P79" s="49" t="s">
        <v>57</v>
      </c>
      <c r="Q79" s="49" t="s">
        <v>57</v>
      </c>
      <c r="R79" s="49" t="s">
        <v>57</v>
      </c>
      <c r="S79" s="51">
        <f t="shared" si="4"/>
        <v>5</v>
      </c>
      <c r="T79" s="52">
        <f t="shared" si="5"/>
        <v>0</v>
      </c>
      <c r="U79" s="52"/>
      <c r="V79" s="51">
        <f t="shared" si="6"/>
        <v>2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02/14/26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Yao")</f>
        <v>Andrew Yao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IFERROR(__xludf.DUMMYFUNCTION("""COMPUTED_VALUE"""),1.0)</f>
        <v>1</v>
      </c>
      <c r="F91" s="5"/>
    </row>
    <row r="92">
      <c r="A92" s="5"/>
      <c r="B92" s="36" t="str">
        <f>IFERROR(__xludf.DUMMYFUNCTION("""COMPUTED_VALUE"""),"David Shin")</f>
        <v>David Shin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IFERROR(__xludf.DUMMYFUNCTION("""COMPUTED_VALUE"""),2.0)</f>
        <v>2</v>
      </c>
      <c r="F92" s="5"/>
    </row>
    <row r="93">
      <c r="A93" s="5"/>
      <c r="B93" s="36" t="str">
        <f>IFERROR(__xludf.DUMMYFUNCTION("""COMPUTED_VALUE"""),"Matthew Huang")</f>
        <v>Matthew Huang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IFERROR(__xludf.DUMMYFUNCTION("""COMPUTED_VALUE"""),4.0)</f>
        <v>4</v>
      </c>
      <c r="F93" s="5"/>
    </row>
    <row r="94">
      <c r="A94" s="5"/>
      <c r="B94" s="36" t="str">
        <f>IFERROR(__xludf.DUMMYFUNCTION("""COMPUTED_VALUE"""),"Pulkit Mathur")</f>
        <v>Pulkit Mathur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IFERROR(__xludf.DUMMYFUNCTION("""COMPUTED_VALUE"""),3.0)</f>
        <v>3</v>
      </c>
      <c r="F94" s="5"/>
    </row>
    <row r="95">
      <c r="A95" s="5"/>
      <c r="B95" s="36" t="str">
        <f>IFERROR(__xludf.DUMMYFUNCTION("""COMPUTED_VALUE"""),"Rajasekar Ramasamy")</f>
        <v>Rajasekar Ramasamy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IFERROR(__xludf.DUMMYFUNCTION("""COMPUTED_VALUE"""),5.0)</f>
        <v>5</v>
      </c>
      <c r="F95" s="5"/>
    </row>
    <row r="96">
      <c r="A96" s="5"/>
      <c r="B96" s="36" t="str">
        <f>IFERROR(__xludf.DUMMYFUNCTION("""COMPUTED_VALUE"""),"Basudev Thoppai Vidyasankar")</f>
        <v>Basudev Thoppai Vidyasankar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IFERROR(__xludf.DUMMYFUNCTION("""COMPUTED_VALUE"""),6.0)</f>
        <v>6</v>
      </c>
      <c r="F96" s="5"/>
    </row>
    <row r="97">
      <c r="A97" s="5"/>
      <c r="B97" s="36" t="str">
        <f>IFERROR(__xludf.DUMMYFUNCTION("""COMPUTED_VALUE"""),"Adrian Tay")</f>
        <v>Adrian Tay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IFERROR(__xludf.DUMMYFUNCTION("""COMPUTED_VALUE"""),9.0)</f>
        <v>9</v>
      </c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10"")"),"Sean Chang")</f>
        <v>Sean Chang</v>
      </c>
      <c r="C110" s="122">
        <f>IFERROR(__xludf.DUMMYFUNCTION("""COMPUTED_VALUE"""),17.0)</f>
        <v>17</v>
      </c>
      <c r="D110" s="122">
        <f t="shared" ref="D110:D119" si="85">VLOOKUP(B110,indirect($AC$2&amp;"!B$5:X$79"),23, false)</f>
        <v>48</v>
      </c>
      <c r="E110" s="122">
        <f t="shared" ref="E110:E119" si="86">VLOOKUP(B110,B$5:X$79,23, false)</f>
        <v>31</v>
      </c>
      <c r="F110" s="122">
        <f t="shared" ref="F110:F119" si="87">VLOOKUP(B110,indirect($AC$2&amp;"!B$5:U$79"),11, false)</f>
        <v>17</v>
      </c>
      <c r="G110" s="122">
        <f t="shared" ref="G110:G119" si="88">VLOOKUP(B110,indirect($AC$2&amp;"!B$5:U$79"),6, false)</f>
        <v>8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IFERROR(__xludf.DUMMYFUNCTION("""COMPUTED_VALUE"""),"Adrian Tay")</f>
        <v>Adrian Tay</v>
      </c>
      <c r="C111" s="122">
        <f>IFERROR(__xludf.DUMMYFUNCTION("""COMPUTED_VALUE"""),16.0)</f>
        <v>16</v>
      </c>
      <c r="D111" s="122">
        <f t="shared" si="85"/>
        <v>50</v>
      </c>
      <c r="E111" s="122">
        <f t="shared" si="86"/>
        <v>34</v>
      </c>
      <c r="F111" s="122">
        <f t="shared" si="87"/>
        <v>18</v>
      </c>
      <c r="G111" s="122">
        <f t="shared" si="88"/>
        <v>9</v>
      </c>
      <c r="L111" s="122" t="str">
        <f t="shared" si="89"/>
        <v>ok</v>
      </c>
    </row>
    <row r="112">
      <c r="A112" s="5"/>
      <c r="B112" s="36" t="str">
        <f>IFERROR(__xludf.DUMMYFUNCTION("""COMPUTED_VALUE"""),"Chinna Ponnaganti")</f>
        <v>Chinna Ponnaganti</v>
      </c>
      <c r="C112" s="122">
        <f>IFERROR(__xludf.DUMMYFUNCTION("""COMPUTED_VALUE"""),16.0)</f>
        <v>16</v>
      </c>
      <c r="D112" s="122">
        <f t="shared" si="85"/>
        <v>71</v>
      </c>
      <c r="E112" s="122">
        <f t="shared" si="86"/>
        <v>55</v>
      </c>
      <c r="F112" s="122">
        <f t="shared" si="87"/>
        <v>16</v>
      </c>
      <c r="G112" s="122">
        <f t="shared" si="88"/>
        <v>11</v>
      </c>
      <c r="L112" s="122" t="str">
        <f t="shared" si="89"/>
        <v>ok</v>
      </c>
    </row>
    <row r="113">
      <c r="A113" s="5"/>
      <c r="B113" s="36" t="str">
        <f>IFERROR(__xludf.DUMMYFUNCTION("""COMPUTED_VALUE"""),"Rajasekar Ramasamy")</f>
        <v>Rajasekar Ramasamy</v>
      </c>
      <c r="C113" s="122">
        <f>IFERROR(__xludf.DUMMYFUNCTION("""COMPUTED_VALUE"""),15.0)</f>
        <v>15</v>
      </c>
      <c r="D113" s="122">
        <f t="shared" si="85"/>
        <v>30</v>
      </c>
      <c r="E113" s="122">
        <f t="shared" si="86"/>
        <v>15</v>
      </c>
      <c r="F113" s="122">
        <f t="shared" si="87"/>
        <v>18</v>
      </c>
      <c r="G113" s="122">
        <f t="shared" si="88"/>
        <v>5</v>
      </c>
      <c r="L113" s="122" t="str">
        <f t="shared" si="89"/>
        <v>ok</v>
      </c>
    </row>
    <row r="114">
      <c r="A114" s="5"/>
      <c r="B114" s="36" t="str">
        <f>IFERROR(__xludf.DUMMYFUNCTION("""COMPUTED_VALUE"""),"Basudev Thoppai Vidyasankar")</f>
        <v>Basudev Thoppai Vidyasankar</v>
      </c>
      <c r="C114" s="122">
        <f>IFERROR(__xludf.DUMMYFUNCTION("""COMPUTED_VALUE"""),14.0)</f>
        <v>14</v>
      </c>
      <c r="D114" s="122">
        <f t="shared" si="85"/>
        <v>37</v>
      </c>
      <c r="E114" s="122">
        <f t="shared" si="86"/>
        <v>23</v>
      </c>
      <c r="F114" s="122">
        <f t="shared" si="87"/>
        <v>18</v>
      </c>
      <c r="G114" s="122">
        <f t="shared" si="88"/>
        <v>6</v>
      </c>
      <c r="L114" s="122" t="str">
        <f t="shared" si="89"/>
        <v>ok</v>
      </c>
    </row>
    <row r="115">
      <c r="A115" s="5"/>
      <c r="B115" s="36" t="str">
        <f>IFERROR(__xludf.DUMMYFUNCTION("""COMPUTED_VALUE"""),"Matthew Huang")</f>
        <v>Matthew Huang</v>
      </c>
      <c r="C115" s="122">
        <f>IFERROR(__xludf.DUMMYFUNCTION("""COMPUTED_VALUE"""),10.0)</f>
        <v>10</v>
      </c>
      <c r="D115" s="122">
        <f t="shared" si="85"/>
        <v>19</v>
      </c>
      <c r="E115" s="122">
        <f t="shared" si="86"/>
        <v>9</v>
      </c>
      <c r="F115" s="122">
        <f t="shared" si="87"/>
        <v>19</v>
      </c>
      <c r="G115" s="122">
        <f t="shared" si="88"/>
        <v>4</v>
      </c>
      <c r="L115" s="122" t="str">
        <f t="shared" si="89"/>
        <v>ok</v>
      </c>
    </row>
    <row r="116">
      <c r="A116" s="5"/>
      <c r="B116" s="36" t="str">
        <f>IFERROR(__xludf.DUMMYFUNCTION("""COMPUTED_VALUE"""),"Ruben Ron")</f>
        <v>Ruben Ron</v>
      </c>
      <c r="C116" s="122">
        <f>IFERROR(__xludf.DUMMYFUNCTION("""COMPUTED_VALUE"""),10.0)</f>
        <v>10</v>
      </c>
      <c r="D116" s="122">
        <f t="shared" si="85"/>
        <v>47</v>
      </c>
      <c r="E116" s="122">
        <f t="shared" si="86"/>
        <v>37</v>
      </c>
      <c r="F116" s="122">
        <f t="shared" si="87"/>
        <v>16</v>
      </c>
      <c r="G116" s="122">
        <f t="shared" si="88"/>
        <v>8</v>
      </c>
      <c r="L116" s="122" t="str">
        <f t="shared" si="89"/>
        <v>ok</v>
      </c>
    </row>
    <row r="117">
      <c r="A117" s="5"/>
      <c r="B117" s="36" t="str">
        <f>IFERROR(__xludf.DUMMYFUNCTION("""COMPUTED_VALUE"""),"Manuel Rivera")</f>
        <v>Manuel Rivera</v>
      </c>
      <c r="C117" s="122">
        <f>IFERROR(__xludf.DUMMYFUNCTION("""COMPUTED_VALUE"""),10.0)</f>
        <v>10</v>
      </c>
      <c r="D117" s="122">
        <f t="shared" si="85"/>
        <v>55</v>
      </c>
      <c r="E117" s="122">
        <f t="shared" si="86"/>
        <v>45</v>
      </c>
      <c r="F117" s="122">
        <f t="shared" si="87"/>
        <v>16</v>
      </c>
      <c r="G117" s="122">
        <f t="shared" si="88"/>
        <v>10</v>
      </c>
      <c r="L117" s="122" t="str">
        <f t="shared" si="89"/>
        <v>ok</v>
      </c>
    </row>
    <row r="118">
      <c r="A118" s="5"/>
      <c r="B118" s="36" t="str">
        <f>IFERROR(__xludf.DUMMYFUNCTION("""COMPUTED_VALUE"""),"Elayaraja Thangaraj")</f>
        <v>Elayaraja Thangaraj</v>
      </c>
      <c r="C118" s="122">
        <f>IFERROR(__xludf.DUMMYFUNCTION("""COMPUTED_VALUE"""),10.0)</f>
        <v>10</v>
      </c>
      <c r="D118" s="122">
        <f t="shared" si="85"/>
        <v>56</v>
      </c>
      <c r="E118" s="122">
        <f t="shared" si="86"/>
        <v>46</v>
      </c>
      <c r="F118" s="122">
        <f t="shared" si="87"/>
        <v>16</v>
      </c>
      <c r="G118" s="122">
        <f t="shared" si="88"/>
        <v>10</v>
      </c>
      <c r="L118" s="122" t="str">
        <f t="shared" si="89"/>
        <v>ok</v>
      </c>
    </row>
    <row r="119">
      <c r="A119" s="5"/>
      <c r="B119" s="36" t="str">
        <f>IFERROR(__xludf.DUMMYFUNCTION("""COMPUTED_VALUE"""),"Eric Tan")</f>
        <v>Eric Tan</v>
      </c>
      <c r="C119" s="122">
        <f>IFERROR(__xludf.DUMMYFUNCTION("""COMPUTED_VALUE"""),10.0)</f>
        <v>10</v>
      </c>
      <c r="D119" s="122">
        <f t="shared" si="85"/>
        <v>64</v>
      </c>
      <c r="E119" s="122">
        <f t="shared" si="86"/>
        <v>54</v>
      </c>
      <c r="F119" s="122">
        <f t="shared" si="87"/>
        <v>15</v>
      </c>
      <c r="G119" s="122">
        <f t="shared" si="88"/>
        <v>10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7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105</v>
      </c>
      <c r="D128" s="122">
        <f t="shared" si="90"/>
        <v>15</v>
      </c>
      <c r="E128" s="122">
        <f t="shared" si="90"/>
        <v>15</v>
      </c>
      <c r="F128" s="5"/>
    </row>
    <row r="129">
      <c r="A129" s="122">
        <f t="shared" ref="A129:E129" si="91">A6</f>
        <v>2</v>
      </c>
      <c r="B129" s="36" t="str">
        <f t="shared" si="91"/>
        <v>Sandeep Kamalon</v>
      </c>
      <c r="C129" s="122">
        <f t="shared" si="91"/>
        <v>93</v>
      </c>
      <c r="D129" s="122">
        <f t="shared" si="91"/>
        <v>10</v>
      </c>
      <c r="E129" s="122">
        <f t="shared" si="91"/>
        <v>14</v>
      </c>
      <c r="F129" s="5"/>
    </row>
    <row r="130">
      <c r="A130" s="122">
        <f t="shared" ref="A130:E130" si="92">A7</f>
        <v>3</v>
      </c>
      <c r="B130" s="36" t="str">
        <f t="shared" si="92"/>
        <v>David Shin</v>
      </c>
      <c r="C130" s="122">
        <f t="shared" si="92"/>
        <v>92</v>
      </c>
      <c r="D130" s="122">
        <f t="shared" si="92"/>
        <v>11</v>
      </c>
      <c r="E130" s="122">
        <f t="shared" si="92"/>
        <v>14.8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91</v>
      </c>
      <c r="D131" s="122">
        <f t="shared" si="93"/>
        <v>10</v>
      </c>
      <c r="E131" s="122">
        <f t="shared" si="93"/>
        <v>13</v>
      </c>
      <c r="F131" s="5"/>
    </row>
    <row r="132">
      <c r="A132" s="122">
        <f t="shared" ref="A132:E132" si="94">A9</f>
        <v>5</v>
      </c>
      <c r="B132" s="36" t="str">
        <f t="shared" si="94"/>
        <v>Jaya Sogata</v>
      </c>
      <c r="C132" s="122">
        <f t="shared" si="94"/>
        <v>89</v>
      </c>
      <c r="D132" s="122">
        <f t="shared" si="94"/>
        <v>10</v>
      </c>
      <c r="E132" s="122">
        <f t="shared" si="94"/>
        <v>13.33333333</v>
      </c>
      <c r="F132" s="5"/>
    </row>
    <row r="133">
      <c r="A133" s="122">
        <f t="shared" ref="A133:E133" si="95">A10</f>
        <v>6</v>
      </c>
      <c r="B133" s="36" t="str">
        <f t="shared" si="95"/>
        <v>Pulkit Mathur</v>
      </c>
      <c r="C133" s="122">
        <f t="shared" si="95"/>
        <v>88</v>
      </c>
      <c r="D133" s="122">
        <f t="shared" si="95"/>
        <v>10</v>
      </c>
      <c r="E133" s="122">
        <f t="shared" si="95"/>
        <v>14</v>
      </c>
      <c r="F133" s="5"/>
    </row>
    <row r="134">
      <c r="A134" s="122">
        <f t="shared" ref="A134:E134" si="96">A11</f>
        <v>7</v>
      </c>
      <c r="B134" s="36" t="str">
        <f t="shared" si="96"/>
        <v>Eric Pan</v>
      </c>
      <c r="C134" s="122">
        <f t="shared" si="96"/>
        <v>87</v>
      </c>
      <c r="D134" s="122">
        <f t="shared" si="96"/>
        <v>11</v>
      </c>
      <c r="E134" s="122">
        <f t="shared" si="96"/>
        <v>13.8</v>
      </c>
      <c r="F134" s="5"/>
    </row>
    <row r="135">
      <c r="A135" s="122">
        <f t="shared" ref="A135:E135" si="97">A12</f>
        <v>8</v>
      </c>
      <c r="B135" s="36" t="str">
        <f t="shared" si="97"/>
        <v>Ted Shen</v>
      </c>
      <c r="C135" s="122">
        <f t="shared" si="97"/>
        <v>83</v>
      </c>
      <c r="D135" s="122">
        <f t="shared" si="97"/>
        <v>9</v>
      </c>
      <c r="E135" s="122">
        <f t="shared" si="97"/>
        <v>12.33333333</v>
      </c>
      <c r="F135" s="5"/>
    </row>
    <row r="136">
      <c r="A136" s="122">
        <f t="shared" ref="A136:E136" si="98">A13</f>
        <v>9</v>
      </c>
      <c r="B136" s="36" t="str">
        <f t="shared" si="98"/>
        <v>Matthew Huang</v>
      </c>
      <c r="C136" s="122">
        <f t="shared" si="98"/>
        <v>83</v>
      </c>
      <c r="D136" s="122">
        <f t="shared" si="98"/>
        <v>8</v>
      </c>
      <c r="E136" s="122">
        <f t="shared" si="98"/>
        <v>13</v>
      </c>
      <c r="F136" s="5"/>
    </row>
    <row r="137">
      <c r="A137" s="122">
        <f t="shared" ref="A137:E137" si="99">A14</f>
        <v>10</v>
      </c>
      <c r="B137" s="36" t="str">
        <f t="shared" si="99"/>
        <v>Joe Luzzi</v>
      </c>
      <c r="C137" s="122">
        <f t="shared" si="99"/>
        <v>82</v>
      </c>
      <c r="D137" s="122">
        <f t="shared" si="99"/>
        <v>10</v>
      </c>
      <c r="E137" s="122">
        <f t="shared" si="99"/>
        <v>12.16666667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IFERROR(__xludf.DUMMYFUNCTION("""COMPUTED_VALUE"""),"Wayne Liu")</f>
        <v>Wayne Liu</v>
      </c>
      <c r="C170" s="5"/>
      <c r="D170" s="5"/>
      <c r="E170" s="5"/>
      <c r="F170" s="5"/>
    </row>
    <row r="171">
      <c r="A171" s="122">
        <f t="shared" si="100"/>
        <v>0</v>
      </c>
      <c r="B171" s="36"/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02/14/26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IFERROR(__xludf.DUMMYFUNCTION("""COMPUTED_VALUE"""),7.0)</f>
        <v>7</v>
      </c>
      <c r="E250" s="132">
        <f>IFERROR(__xludf.DUMMYFUNCTION("""COMPUTED_VALUE"""),6.0)</f>
        <v>6</v>
      </c>
      <c r="F250" s="132">
        <f>IFERROR(__xludf.DUMMYFUNCTION("""COMPUTED_VALUE"""),19.0)</f>
        <v>19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IFERROR(__xludf.DUMMYFUNCTION("""COMPUTED_VALUE"""),"Suleman Alidina")</f>
        <v>Suleman Alidina</v>
      </c>
      <c r="C251" s="132">
        <f>IFERROR(__xludf.DUMMYFUNCTION("""COMPUTED_VALUE"""),6.0)</f>
        <v>6</v>
      </c>
      <c r="D251" s="132">
        <f>IFERROR(__xludf.DUMMYFUNCTION("""COMPUTED_VALUE"""),6.0)</f>
        <v>6</v>
      </c>
      <c r="E251" s="132">
        <f>IFERROR(__xludf.DUMMYFUNCTION("""COMPUTED_VALUE"""),4.0)</f>
        <v>4</v>
      </c>
      <c r="F251" s="132">
        <f>IFERROR(__xludf.DUMMYFUNCTION("""COMPUTED_VALUE"""),16.0)</f>
        <v>16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IFERROR(__xludf.DUMMYFUNCTION("""COMPUTED_VALUE"""),"Jaya Sogata")</f>
        <v>Jaya Sogata</v>
      </c>
      <c r="C252" s="132">
        <f>IFERROR(__xludf.DUMMYFUNCTION("""COMPUTED_VALUE"""),3.0)</f>
        <v>3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IFERROR(__xludf.DUMMYFUNCTION("""COMPUTED_VALUE"""),15.0)</f>
        <v>15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IFERROR(__xludf.DUMMYFUNCTION("""COMPUTED_VALUE"""),"Eric Pan")</f>
        <v>Eric Pan</v>
      </c>
      <c r="C253" s="132">
        <f>IFERROR(__xludf.DUMMYFUNCTION("""COMPUTED_VALUE"""),3.0)</f>
        <v>3</v>
      </c>
      <c r="D253" s="132">
        <f>IFERROR(__xludf.DUMMYFUNCTION("""COMPUTED_VALUE"""),7.0)</f>
        <v>7</v>
      </c>
      <c r="E253" s="132">
        <f>IFERROR(__xludf.DUMMYFUNCTION("""COMPUTED_VALUE"""),4.0)</f>
        <v>4</v>
      </c>
      <c r="F253" s="132">
        <f>IFERROR(__xludf.DUMMYFUNCTION("""COMPUTED_VALUE"""),14.0)</f>
        <v>14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IFERROR(__xludf.DUMMYFUNCTION("""COMPUTED_VALUE"""),"David Shin")</f>
        <v>David Shin</v>
      </c>
      <c r="C254" s="135">
        <f>IFERROR(__xludf.DUMMYFUNCTION("""COMPUTED_VALUE"""),6.0)</f>
        <v>6</v>
      </c>
      <c r="D254" s="135">
        <f>IFERROR(__xludf.DUMMYFUNCTION("""COMPUTED_VALUE"""),7.0)</f>
        <v>7</v>
      </c>
      <c r="E254" s="135">
        <f>IFERROR(__xludf.DUMMYFUNCTION("""COMPUTED_VALUE"""),6.0)</f>
        <v>6</v>
      </c>
      <c r="F254" s="135">
        <f>IFERROR(__xludf.DUMMYFUNCTION("""COMPUTED_VALUE"""),19.0)</f>
        <v>19</v>
      </c>
      <c r="G254" s="135">
        <f>IFERROR(__xludf.DUMMYFUNCTION("""COMPUTED_VALUE"""),3.0)</f>
        <v>3</v>
      </c>
    </row>
    <row r="255">
      <c r="A255" s="133">
        <f>IFERROR(__xludf.DUMMYFUNCTION("""COMPUTED_VALUE"""),2.0)</f>
        <v>2</v>
      </c>
      <c r="B255" s="134" t="str">
        <f>IFERROR(__xludf.DUMMYFUNCTION("""COMPUTED_VALUE"""),"Ted Shen")</f>
        <v>Ted Shen</v>
      </c>
      <c r="C255" s="135">
        <f>IFERROR(__xludf.DUMMYFUNCTION("""COMPUTED_VALUE"""),6.0)</f>
        <v>6</v>
      </c>
      <c r="D255" s="135">
        <f>IFERROR(__xludf.DUMMYFUNCTION("""COMPUTED_VALUE"""),5.0)</f>
        <v>5</v>
      </c>
      <c r="E255" s="135">
        <f>IFERROR(__xludf.DUMMYFUNCTION("""COMPUTED_VALUE"""),1.0)</f>
        <v>1</v>
      </c>
      <c r="F255" s="135">
        <f>IFERROR(__xludf.DUMMYFUNCTION("""COMPUTED_VALUE"""),12.0)</f>
        <v>12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IFERROR(__xludf.DUMMYFUNCTION("""COMPUTED_VALUE"""),"Frank Moon")</f>
        <v>Frank Moon</v>
      </c>
      <c r="C256" s="135">
        <f>IFERROR(__xludf.DUMMYFUNCTION("""COMPUTED_VALUE"""),1.0)</f>
        <v>1</v>
      </c>
      <c r="D256" s="135">
        <f>IFERROR(__xludf.DUMMYFUNCTION("""COMPUTED_VALUE"""),7.0)</f>
        <v>7</v>
      </c>
      <c r="E256" s="135">
        <f>IFERROR(__xludf.DUMMYFUNCTION("""COMPUTED_VALUE"""),1.0)</f>
        <v>1</v>
      </c>
      <c r="F256" s="135">
        <f>IFERROR(__xludf.DUMMYFUNCTION("""COMPUTED_VALUE"""),9.0)</f>
        <v>9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IFERROR(__xludf.DUMMYFUNCTION("""COMPUTED_VALUE"""),"Joe Luzzi")</f>
        <v>Joe Luzzi</v>
      </c>
      <c r="C257" s="135">
        <f>IFERROR(__xludf.DUMMYFUNCTION("""COMPUTED_VALUE"""),1.0)</f>
        <v>1</v>
      </c>
      <c r="D257" s="135">
        <f>IFERROR(__xludf.DUMMYFUNCTION("""COMPUTED_VALUE"""),5.0)</f>
        <v>5</v>
      </c>
      <c r="E257" s="135">
        <f>IFERROR(__xludf.DUMMYFUNCTION("""COMPUTED_VALUE"""),6.0)</f>
        <v>6</v>
      </c>
      <c r="F257" s="135">
        <f>IFERROR(__xludf.DUMMYFUNCTION("""COMPUTED_VALUE"""),12.0)</f>
        <v>12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IFERROR(__xludf.DUMMYFUNCTION("""COMPUTED_VALUE"""),"Pulkit Mathur")</f>
        <v>Pulkit Mathur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IFERROR(__xludf.DUMMYFUNCTION("""COMPUTED_VALUE"""),18.0)</f>
        <v>18</v>
      </c>
      <c r="G258" s="132">
        <f>IFERROR(__xludf.DUMMYFUNCTION("""COMPUTED_VALUE"""),3.0)</f>
        <v>3</v>
      </c>
    </row>
    <row r="259">
      <c r="A259" s="122">
        <f>IFERROR(__xludf.DUMMYFUNCTION("""COMPUTED_VALUE"""),3.0)</f>
        <v>3</v>
      </c>
      <c r="B259" s="36" t="str">
        <f>IFERROR(__xludf.DUMMYFUNCTION("""COMPUTED_VALUE"""),"Rudy Tatang")</f>
        <v>Rudy Tatang</v>
      </c>
      <c r="C259" s="132">
        <f>IFERROR(__xludf.DUMMYFUNCTION("""COMPUTED_VALUE"""),1.0)</f>
        <v>1</v>
      </c>
      <c r="D259" s="132">
        <f>IFERROR(__xludf.DUMMYFUNCTION("""COMPUTED_VALUE"""),6.0)</f>
        <v>6</v>
      </c>
      <c r="E259" s="132">
        <f>IFERROR(__xludf.DUMMYFUNCTION("""COMPUTED_VALUE"""),4.0)</f>
        <v>4</v>
      </c>
      <c r="F259" s="132">
        <f>IFERROR(__xludf.DUMMYFUNCTION("""COMPUTED_VALUE"""),11.0)</f>
        <v>11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IFERROR(__xludf.DUMMYFUNCTION("""COMPUTED_VALUE"""),"Tina Hanson")</f>
        <v>Tina Hanson</v>
      </c>
      <c r="C260" s="132">
        <f>IFERROR(__xludf.DUMMYFUNCTION("""COMPUTED_VALUE"""),1.0)</f>
        <v>1</v>
      </c>
      <c r="D260" s="132">
        <f>IFERROR(__xludf.DUMMYFUNCTION("""COMPUTED_VALUE"""),2.0)</f>
        <v>2</v>
      </c>
      <c r="E260" s="132">
        <f>IFERROR(__xludf.DUMMYFUNCTION("""COMPUTED_VALUE"""),6.0)</f>
        <v>6</v>
      </c>
      <c r="F260" s="132">
        <f>IFERROR(__xludf.DUMMYFUNCTION("""COMPUTED_VALUE"""),9.0)</f>
        <v>9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IFERROR(__xludf.DUMMYFUNCTION("""COMPUTED_VALUE"""),"Cid Macaraeg")</f>
        <v>Cid Macaraeg</v>
      </c>
      <c r="C261" s="132">
        <f>IFERROR(__xludf.DUMMYFUNCTION("""COMPUTED_VALUE"""),6.0)</f>
        <v>6</v>
      </c>
      <c r="D261" s="132">
        <f>IFERROR(__xludf.DUMMYFUNCTION("""COMPUTED_VALUE"""),2.0)</f>
        <v>2</v>
      </c>
      <c r="E261" s="132">
        <f>IFERROR(__xludf.DUMMYFUNCTION("""COMPUTED_VALUE"""),4.0)</f>
        <v>4</v>
      </c>
      <c r="F261" s="132">
        <f>IFERROR(__xludf.DUMMYFUNCTION("""COMPUTED_VALUE"""),12.0)</f>
        <v>12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IFERROR(__xludf.DUMMYFUNCTION("""COMPUTED_VALUE"""),"Matthew Huang")</f>
        <v>Matthew Huang</v>
      </c>
      <c r="C262" s="135">
        <f>IFERROR(__xludf.DUMMYFUNCTION("""COMPUTED_VALUE"""),6.0)</f>
        <v>6</v>
      </c>
      <c r="D262" s="135">
        <f>IFERROR(__xludf.DUMMYFUNCTION("""COMPUTED_VALUE"""),7.0)</f>
        <v>7</v>
      </c>
      <c r="E262" s="135">
        <f>IFERROR(__xludf.DUMMYFUNCTION("""COMPUTED_VALUE"""),6.0)</f>
        <v>6</v>
      </c>
      <c r="F262" s="135">
        <f>IFERROR(__xludf.DUMMYFUNCTION("""COMPUTED_VALUE"""),19.0)</f>
        <v>19</v>
      </c>
      <c r="G262" s="135">
        <f>IFERROR(__xludf.DUMMYFUNCTION("""COMPUTED_VALUE"""),3.0)</f>
        <v>3</v>
      </c>
    </row>
    <row r="263">
      <c r="A263" s="133">
        <f>IFERROR(__xludf.DUMMYFUNCTION("""COMPUTED_VALUE"""),4.0)</f>
        <v>4</v>
      </c>
      <c r="B263" s="134" t="str">
        <f>IFERROR(__xludf.DUMMYFUNCTION("""COMPUTED_VALUE"""),"Lam Bui")</f>
        <v>Lam Bui</v>
      </c>
      <c r="C263" s="135">
        <f>IFERROR(__xludf.DUMMYFUNCTION("""COMPUTED_VALUE"""),6.0)</f>
        <v>6</v>
      </c>
      <c r="D263" s="135">
        <f>IFERROR(__xludf.DUMMYFUNCTION("""COMPUTED_VALUE"""),5.0)</f>
        <v>5</v>
      </c>
      <c r="E263" s="135">
        <f>IFERROR(__xludf.DUMMYFUNCTION("""COMPUTED_VALUE"""),3.0)</f>
        <v>3</v>
      </c>
      <c r="F263" s="135">
        <f>IFERROR(__xludf.DUMMYFUNCTION("""COMPUTED_VALUE"""),14.0)</f>
        <v>14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IFERROR(__xludf.DUMMYFUNCTION("""COMPUTED_VALUE"""),"Alex Hou")</f>
        <v>Alex Hou</v>
      </c>
      <c r="C264" s="135">
        <f>IFERROR(__xludf.DUMMYFUNCTION("""COMPUTED_VALUE"""),1.0)</f>
        <v>1</v>
      </c>
      <c r="D264" s="135">
        <f>IFERROR(__xludf.DUMMYFUNCTION("""COMPUTED_VALUE"""),5.0)</f>
        <v>5</v>
      </c>
      <c r="E264" s="135">
        <f>IFERROR(__xludf.DUMMYFUNCTION("""COMPUTED_VALUE"""),6.0)</f>
        <v>6</v>
      </c>
      <c r="F264" s="135">
        <f>IFERROR(__xludf.DUMMYFUNCTION("""COMPUTED_VALUE"""),12.0)</f>
        <v>12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IFERROR(__xludf.DUMMYFUNCTION("""COMPUTED_VALUE"""),"Coco Yan")</f>
        <v>Coco Yan</v>
      </c>
      <c r="C265" s="135">
        <f>IFERROR(__xludf.DUMMYFUNCTION("""COMPUTED_VALUE"""),1.0)</f>
        <v>1</v>
      </c>
      <c r="D265" s="135">
        <f>IFERROR(__xludf.DUMMYFUNCTION("""COMPUTED_VALUE"""),7.0)</f>
        <v>7</v>
      </c>
      <c r="E265" s="135">
        <f>IFERROR(__xludf.DUMMYFUNCTION("""COMPUTED_VALUE"""),3.0)</f>
        <v>3</v>
      </c>
      <c r="F265" s="135">
        <f>IFERROR(__xludf.DUMMYFUNCTION("""COMPUTED_VALUE"""),11.0)</f>
        <v>11</v>
      </c>
      <c r="G265" s="135">
        <f>IFERROR(__xludf.DUMMYFUNCTION("""COMPUTED_VALUE"""),1.0)</f>
        <v>1</v>
      </c>
    </row>
    <row r="266">
      <c r="A266" s="122">
        <f>IFERROR(__xludf.DUMMYFUNCTION("""COMPUTED_VALUE"""),5.0)</f>
        <v>5</v>
      </c>
      <c r="B266" s="36" t="str">
        <f>IFERROR(__xludf.DUMMYFUNCTION("""COMPUTED_VALUE"""),"Scott Li")</f>
        <v>Scott Li</v>
      </c>
      <c r="C266" s="132">
        <f>IFERROR(__xludf.DUMMYFUNCTION("""COMPUTED_VALUE"""),4.0)</f>
        <v>4</v>
      </c>
      <c r="D266" s="132">
        <f>IFERROR(__xludf.DUMMYFUNCTION("""COMPUTED_VALUE"""),1.0)</f>
        <v>1</v>
      </c>
      <c r="E266" s="132">
        <f>IFERROR(__xludf.DUMMYFUNCTION("""COMPUTED_VALUE"""),6.0)</f>
        <v>6</v>
      </c>
      <c r="F266" s="132">
        <f>IFERROR(__xludf.DUMMYFUNCTION("""COMPUTED_VALUE"""),11.0)</f>
        <v>11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IFERROR(__xludf.DUMMYFUNCTION("""COMPUTED_VALUE"""),"Rajasekar Ramasamy")</f>
        <v>Rajasekar Ramasamy</v>
      </c>
      <c r="C267" s="132">
        <f>IFERROR(__xludf.DUMMYFUNCTION("""COMPUTED_VALUE"""),6.0)</f>
        <v>6</v>
      </c>
      <c r="D267" s="132">
        <f>IFERROR(__xludf.DUMMYFUNCTION("""COMPUTED_VALUE"""),6.0)</f>
        <v>6</v>
      </c>
      <c r="E267" s="132">
        <f>IFERROR(__xludf.DUMMYFUNCTION("""COMPUTED_VALUE"""),6.0)</f>
        <v>6</v>
      </c>
      <c r="F267" s="132">
        <f>IFERROR(__xludf.DUMMYFUNCTION("""COMPUTED_VALUE"""),18.0)</f>
        <v>18</v>
      </c>
      <c r="G267" s="132">
        <f>IFERROR(__xludf.DUMMYFUNCTION("""COMPUTED_VALUE"""),3.0)</f>
        <v>3</v>
      </c>
    </row>
    <row r="268">
      <c r="A268" s="122">
        <f>IFERROR(__xludf.DUMMYFUNCTION("""COMPUTED_VALUE"""),5.0)</f>
        <v>5</v>
      </c>
      <c r="B268" s="36" t="str">
        <f>IFERROR(__xludf.DUMMYFUNCTION("""COMPUTED_VALUE"""),"Naveen Raj")</f>
        <v>Naveen Raj</v>
      </c>
      <c r="C268" s="132">
        <f>IFERROR(__xludf.DUMMYFUNCTION("""COMPUTED_VALUE"""),6.0)</f>
        <v>6</v>
      </c>
      <c r="D268" s="132">
        <f>IFERROR(__xludf.DUMMYFUNCTION("""COMPUTED_VALUE"""),1.0)</f>
        <v>1</v>
      </c>
      <c r="E268" s="132">
        <f>IFERROR(__xludf.DUMMYFUNCTION("""COMPUTED_VALUE"""),4.0)</f>
        <v>4</v>
      </c>
      <c r="F268" s="132">
        <f>IFERROR(__xludf.DUMMYFUNCTION("""COMPUTED_VALUE"""),11.0)</f>
        <v>11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IFERROR(__xludf.DUMMYFUNCTION("""COMPUTED_VALUE"""),"Allen Zhang")</f>
        <v>Allen Zhang</v>
      </c>
      <c r="C269" s="132">
        <f>IFERROR(__xludf.DUMMYFUNCTION("""COMPUTED_VALUE"""),4.0)</f>
        <v>4</v>
      </c>
      <c r="D269" s="132">
        <f>IFERROR(__xludf.DUMMYFUNCTION("""COMPUTED_VALUE"""),6.0)</f>
        <v>6</v>
      </c>
      <c r="E269" s="132">
        <f>IFERROR(__xludf.DUMMYFUNCTION("""COMPUTED_VALUE"""),4.0)</f>
        <v>4</v>
      </c>
      <c r="F269" s="132">
        <f>IFERROR(__xludf.DUMMYFUNCTION("""COMPUTED_VALUE"""),14.0)</f>
        <v>14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IFERROR(__xludf.DUMMYFUNCTION("""COMPUTED_VALUE"""),"Wayne Liu")</f>
        <v>Wayne Liu</v>
      </c>
      <c r="C270" s="135">
        <f>IFERROR(__xludf.DUMMYFUNCTION("""COMPUTED_VALUE"""),4.0)</f>
        <v>4</v>
      </c>
      <c r="D270" s="135">
        <f>IFERROR(__xludf.DUMMYFUNCTION("""COMPUTED_VALUE"""),0.0)</f>
        <v>0</v>
      </c>
      <c r="E270" s="135">
        <f>IFERROR(__xludf.DUMMYFUNCTION("""COMPUTED_VALUE"""),6.0)</f>
        <v>6</v>
      </c>
      <c r="F270" s="135">
        <f>IFERROR(__xludf.DUMMYFUNCTION("""COMPUTED_VALUE"""),10.0)</f>
        <v>10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IFERROR(__xludf.DUMMYFUNCTION("""COMPUTED_VALUE"""),"Andrew Wen")</f>
        <v>Andrew Wen</v>
      </c>
      <c r="C271" s="135">
        <f>IFERROR(__xludf.DUMMYFUNCTION("""COMPUTED_VALUE"""),6.0)</f>
        <v>6</v>
      </c>
      <c r="D271" s="135">
        <f>IFERROR(__xludf.DUMMYFUNCTION("""COMPUTED_VALUE"""),0.0)</f>
        <v>0</v>
      </c>
      <c r="E271" s="135">
        <f>IFERROR(__xludf.DUMMYFUNCTION("""COMPUTED_VALUE"""),1.0)</f>
        <v>1</v>
      </c>
      <c r="F271" s="135">
        <f>IFERROR(__xludf.DUMMYFUNCTION("""COMPUTED_VALUE"""),7.0)</f>
        <v>7</v>
      </c>
      <c r="G271" s="135">
        <f>IFERROR(__xludf.DUMMYFUNCTION("""COMPUTED_VALUE"""),1.0)</f>
        <v>1</v>
      </c>
    </row>
    <row r="272">
      <c r="A272" s="133">
        <f>IFERROR(__xludf.DUMMYFUNCTION("""COMPUTED_VALUE"""),6.0)</f>
        <v>6</v>
      </c>
      <c r="B272" s="134" t="str">
        <f>IFERROR(__xludf.DUMMYFUNCTION("""COMPUTED_VALUE"""),"Erik Hoeckmann")</f>
        <v>Erik Hoeckmann</v>
      </c>
      <c r="C272" s="135">
        <f>IFERROR(__xludf.DUMMYFUNCTION("""COMPUTED_VALUE"""),4.0)</f>
        <v>4</v>
      </c>
      <c r="D272" s="135">
        <f>IFERROR(__xludf.DUMMYFUNCTION("""COMPUTED_VALUE"""),6.0)</f>
        <v>6</v>
      </c>
      <c r="E272" s="135">
        <f>IFERROR(__xludf.DUMMYFUNCTION("""COMPUTED_VALUE"""),1.0)</f>
        <v>1</v>
      </c>
      <c r="F272" s="135">
        <f>IFERROR(__xludf.DUMMYFUNCTION("""COMPUTED_VALUE"""),11.0)</f>
        <v>11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IFERROR(__xludf.DUMMYFUNCTION("""COMPUTED_VALUE"""),"Basudev Thoppai Vidyasankar")</f>
        <v>Basudev Thoppai Vidyasankar</v>
      </c>
      <c r="C273" s="135">
        <f>IFERROR(__xludf.DUMMYFUNCTION("""COMPUTED_VALUE"""),6.0)</f>
        <v>6</v>
      </c>
      <c r="D273" s="135">
        <f>IFERROR(__xludf.DUMMYFUNCTION("""COMPUTED_VALUE"""),6.0)</f>
        <v>6</v>
      </c>
      <c r="E273" s="135">
        <f>IFERROR(__xludf.DUMMYFUNCTION("""COMPUTED_VALUE"""),6.0)</f>
        <v>6</v>
      </c>
      <c r="F273" s="135">
        <f>IFERROR(__xludf.DUMMYFUNCTION("""COMPUTED_VALUE"""),18.0)</f>
        <v>18</v>
      </c>
      <c r="G273" s="135">
        <f>IFERROR(__xludf.DUMMYFUNCTION("""COMPUTED_VALUE"""),3.0)</f>
        <v>3</v>
      </c>
    </row>
    <row r="274">
      <c r="A274" s="122">
        <f>IFERROR(__xludf.DUMMYFUNCTION("""COMPUTED_VALUE"""),7.0)</f>
        <v>7</v>
      </c>
      <c r="B274" s="36" t="str">
        <f>IFERROR(__xludf.DUMMYFUNCTION("""COMPUTED_VALUE"""),"Hongyuan Wen")</f>
        <v>Hongyuan Wen</v>
      </c>
      <c r="C274" s="132">
        <f>IFERROR(__xludf.DUMMYFUNCTION("""COMPUTED_VALUE"""),3.0)</f>
        <v>3</v>
      </c>
      <c r="D274" s="132">
        <f>IFERROR(__xludf.DUMMYFUNCTION("""COMPUTED_VALUE"""),2.0)</f>
        <v>2</v>
      </c>
      <c r="E274" s="132">
        <f>IFERROR(__xludf.DUMMYFUNCTION("""COMPUTED_VALUE"""),2.0)</f>
        <v>2</v>
      </c>
      <c r="F274" s="132">
        <f>IFERROR(__xludf.DUMMYFUNCTION("""COMPUTED_VALUE"""),7.0)</f>
        <v>7</v>
      </c>
      <c r="G274" s="132">
        <f>IFERROR(__xludf.DUMMYFUNCTION("""COMPUTED_VALUE"""),0.0)</f>
        <v>0</v>
      </c>
    </row>
    <row r="275">
      <c r="A275" s="122">
        <f>IFERROR(__xludf.DUMMYFUNCTION("""COMPUTED_VALUE"""),7.0)</f>
        <v>7</v>
      </c>
      <c r="B275" s="36" t="str">
        <f>IFERROR(__xludf.DUMMYFUNCTION("""COMPUTED_VALUE"""),"Ramesh Bandaru")</f>
        <v>Ramesh Bandaru</v>
      </c>
      <c r="C275" s="132">
        <f>IFERROR(__xludf.DUMMYFUNCTION("""COMPUTED_VALUE"""),6.0)</f>
        <v>6</v>
      </c>
      <c r="D275" s="132">
        <f>IFERROR(__xludf.DUMMYFUNCTION("""COMPUTED_VALUE"""),6.0)</f>
        <v>6</v>
      </c>
      <c r="E275" s="132">
        <f>IFERROR(__xludf.DUMMYFUNCTION("""COMPUTED_VALUE"""),2.0)</f>
        <v>2</v>
      </c>
      <c r="F275" s="132">
        <f>IFERROR(__xludf.DUMMYFUNCTION("""COMPUTED_VALUE"""),14.0)</f>
        <v>14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IFERROR(__xludf.DUMMYFUNCTION("""COMPUTED_VALUE"""),"Vinotkumar Nagappan")</f>
        <v>Vinotkumar Nagappan</v>
      </c>
      <c r="C276" s="132">
        <f>IFERROR(__xludf.DUMMYFUNCTION("""COMPUTED_VALUE"""),3.0)</f>
        <v>3</v>
      </c>
      <c r="D276" s="132">
        <f>IFERROR(__xludf.DUMMYFUNCTION("""COMPUTED_VALUE"""),6.0)</f>
        <v>6</v>
      </c>
      <c r="E276" s="132">
        <f>IFERROR(__xludf.DUMMYFUNCTION("""COMPUTED_VALUE"""),6.0)</f>
        <v>6</v>
      </c>
      <c r="F276" s="132">
        <f>IFERROR(__xludf.DUMMYFUNCTION("""COMPUTED_VALUE"""),15.0)</f>
        <v>15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IFERROR(__xludf.DUMMYFUNCTION("""COMPUTED_VALUE"""),"Manish Anand")</f>
        <v>Manish Anand</v>
      </c>
      <c r="C277" s="132">
        <f>IFERROR(__xludf.DUMMYFUNCTION("""COMPUTED_VALUE"""),6.0)</f>
        <v>6</v>
      </c>
      <c r="D277" s="132">
        <f>IFERROR(__xludf.DUMMYFUNCTION("""COMPUTED_VALUE"""),2.0)</f>
        <v>2</v>
      </c>
      <c r="E277" s="132">
        <f>IFERROR(__xludf.DUMMYFUNCTION("""COMPUTED_VALUE"""),6.0)</f>
        <v>6</v>
      </c>
      <c r="F277" s="132">
        <f>IFERROR(__xludf.DUMMYFUNCTION("""COMPUTED_VALUE"""),14.0)</f>
        <v>14</v>
      </c>
      <c r="G277" s="132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IFERROR(__xludf.DUMMYFUNCTION("""COMPUTED_VALUE"""),"Saravanan Veerapandian")</f>
        <v>Saravanan Veerapandian</v>
      </c>
      <c r="C278" s="135">
        <f>IFERROR(__xludf.DUMMYFUNCTION("""COMPUTED_VALUE"""),2.0)</f>
        <v>2</v>
      </c>
      <c r="D278" s="135">
        <f>IFERROR(__xludf.DUMMYFUNCTION("""COMPUTED_VALUE"""),6.0)</f>
        <v>6</v>
      </c>
      <c r="E278" s="135">
        <f>IFERROR(__xludf.DUMMYFUNCTION("""COMPUTED_VALUE"""),7.0)</f>
        <v>7</v>
      </c>
      <c r="F278" s="135">
        <f>IFERROR(__xludf.DUMMYFUNCTION("""COMPUTED_VALUE"""),15.0)</f>
        <v>15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IFERROR(__xludf.DUMMYFUNCTION("""COMPUTED_VALUE"""),"Ruben Ron")</f>
        <v>Ruben Ron</v>
      </c>
      <c r="C279" s="135">
        <f>IFERROR(__xludf.DUMMYFUNCTION("""COMPUTED_VALUE"""),6.0)</f>
        <v>6</v>
      </c>
      <c r="D279" s="135">
        <f>IFERROR(__xludf.DUMMYFUNCTION("""COMPUTED_VALUE"""),3.0)</f>
        <v>3</v>
      </c>
      <c r="E279" s="135">
        <f>IFERROR(__xludf.DUMMYFUNCTION("""COMPUTED_VALUE"""),7.0)</f>
        <v>7</v>
      </c>
      <c r="F279" s="135">
        <f>IFERROR(__xludf.DUMMYFUNCTION("""COMPUTED_VALUE"""),16.0)</f>
        <v>16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IFERROR(__xludf.DUMMYFUNCTION("""COMPUTED_VALUE"""),"Sean Chang")</f>
        <v>Sean Chang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IFERROR(__xludf.DUMMYFUNCTION("""COMPUTED_VALUE"""),5.0)</f>
        <v>5</v>
      </c>
      <c r="F280" s="135">
        <f>IFERROR(__xludf.DUMMYFUNCTION("""COMPUTED_VALUE"""),17.0)</f>
        <v>17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IFERROR(__xludf.DUMMYFUNCTION("""COMPUTED_VALUE"""),"Nicole Ni")</f>
        <v>Nicole Ni</v>
      </c>
      <c r="C281" s="135">
        <f>IFERROR(__xludf.DUMMYFUNCTION("""COMPUTED_VALUE"""),2.0)</f>
        <v>2</v>
      </c>
      <c r="D281" s="135">
        <f>IFERROR(__xludf.DUMMYFUNCTION("""COMPUTED_VALUE"""),3.0)</f>
        <v>3</v>
      </c>
      <c r="E281" s="135">
        <f>IFERROR(__xludf.DUMMYFUNCTION("""COMPUTED_VALUE"""),5.0)</f>
        <v>5</v>
      </c>
      <c r="F281" s="135">
        <f>IFERROR(__xludf.DUMMYFUNCTION("""COMPUTED_VALUE"""),10.0)</f>
        <v>10</v>
      </c>
      <c r="G281" s="135">
        <f>IFERROR(__xludf.DUMMYFUNCTION("""COMPUTED_VALUE"""),0.0)</f>
        <v>0</v>
      </c>
    </row>
    <row r="282">
      <c r="A282" s="122">
        <f>IFERROR(__xludf.DUMMYFUNCTION("""COMPUTED_VALUE"""),9.0)</f>
        <v>9</v>
      </c>
      <c r="B282" s="36" t="str">
        <f>IFERROR(__xludf.DUMMYFUNCTION("""COMPUTED_VALUE"""),"Adrian Tay")</f>
        <v>Adrian Tay</v>
      </c>
      <c r="C282" s="132">
        <f>IFERROR(__xludf.DUMMYFUNCTION("""COMPUTED_VALUE"""),6.0)</f>
        <v>6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IFERROR(__xludf.DUMMYFUNCTION("""COMPUTED_VALUE"""),18.0)</f>
        <v>18</v>
      </c>
      <c r="G282" s="132">
        <f>IFERROR(__xludf.DUMMYFUNCTION("""COMPUTED_VALUE"""),3.0)</f>
        <v>3</v>
      </c>
    </row>
    <row r="283">
      <c r="A283" s="122">
        <f>IFERROR(__xludf.DUMMYFUNCTION("""COMPUTED_VALUE"""),9.0)</f>
        <v>9</v>
      </c>
      <c r="B283" s="36" t="str">
        <f>IFERROR(__xludf.DUMMYFUNCTION("""COMPUTED_VALUE"""),"Vinaya Kajla")</f>
        <v>Vinaya Kajla</v>
      </c>
      <c r="C283" s="132">
        <f>IFERROR(__xludf.DUMMYFUNCTION("""COMPUTED_VALUE"""),2.0)</f>
        <v>2</v>
      </c>
      <c r="D283" s="132">
        <f>IFERROR(__xludf.DUMMYFUNCTION("""COMPUTED_VALUE"""),6.0)</f>
        <v>6</v>
      </c>
      <c r="E283" s="132">
        <f>IFERROR(__xludf.DUMMYFUNCTION("""COMPUTED_VALUE"""),1.0)</f>
        <v>1</v>
      </c>
      <c r="F283" s="132">
        <f>IFERROR(__xludf.DUMMYFUNCTION("""COMPUTED_VALUE"""),9.0)</f>
        <v>9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IFERROR(__xludf.DUMMYFUNCTION("""COMPUTED_VALUE"""),"Jimmy Awolesi")</f>
        <v>Jimmy Awolesi</v>
      </c>
      <c r="C284" s="132">
        <f>IFERROR(__xludf.DUMMYFUNCTION("""COMPUTED_VALUE"""),2.0)</f>
        <v>2</v>
      </c>
      <c r="D284" s="132">
        <f>IFERROR(__xludf.DUMMYFUNCTION("""COMPUTED_VALUE"""),1.0)</f>
        <v>1</v>
      </c>
      <c r="E284" s="132">
        <f>IFERROR(__xludf.DUMMYFUNCTION("""COMPUTED_VALUE"""),6.0)</f>
        <v>6</v>
      </c>
      <c r="F284" s="132">
        <f>IFERROR(__xludf.DUMMYFUNCTION("""COMPUTED_VALUE"""),9.0)</f>
        <v>9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IFERROR(__xludf.DUMMYFUNCTION("""COMPUTED_VALUE"""),"Sandy Weyant")</f>
        <v>Sandy Weyant</v>
      </c>
      <c r="C285" s="132">
        <f>IFERROR(__xludf.DUMMYFUNCTION("""COMPUTED_VALUE"""),6.0)</f>
        <v>6</v>
      </c>
      <c r="D285" s="132">
        <f>IFERROR(__xludf.DUMMYFUNCTION("""COMPUTED_VALUE"""),1.0)</f>
        <v>1</v>
      </c>
      <c r="E285" s="132">
        <f>IFERROR(__xludf.DUMMYFUNCTION("""COMPUTED_VALUE"""),1.0)</f>
        <v>1</v>
      </c>
      <c r="F285" s="132">
        <f>IFERROR(__xludf.DUMMYFUNCTION("""COMPUTED_VALUE"""),8.0)</f>
        <v>8</v>
      </c>
      <c r="G285" s="132">
        <f>IFERROR(__xludf.DUMMYFUNCTION("""COMPUTED_VALUE"""),1.0)</f>
        <v>1</v>
      </c>
    </row>
    <row r="286">
      <c r="A286" s="133">
        <f>IFERROR(__xludf.DUMMYFUNCTION("""COMPUTED_VALUE"""),10.0)</f>
        <v>10</v>
      </c>
      <c r="B286" s="134" t="str">
        <f>IFERROR(__xludf.DUMMYFUNCTION("""COMPUTED_VALUE"""),"Manuel Rivera")</f>
        <v>Manuel Rivera</v>
      </c>
      <c r="C286" s="135">
        <f>IFERROR(__xludf.DUMMYFUNCTION("""COMPUTED_VALUE"""),4.0)</f>
        <v>4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IFERROR(__xludf.DUMMYFUNCTION("""COMPUTED_VALUE"""),16.0)</f>
        <v>16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IFERROR(__xludf.DUMMYFUNCTION("""COMPUTED_VALUE"""),"Elayaraja Thangaraj")</f>
        <v>Elayaraja Thangaraj</v>
      </c>
      <c r="C287" s="135">
        <f>IFERROR(__xludf.DUMMYFUNCTION("""COMPUTED_VALUE"""),6.0)</f>
        <v>6</v>
      </c>
      <c r="D287" s="135">
        <f>IFERROR(__xludf.DUMMYFUNCTION("""COMPUTED_VALUE"""),6.0)</f>
        <v>6</v>
      </c>
      <c r="E287" s="135">
        <f>IFERROR(__xludf.DUMMYFUNCTION("""COMPUTED_VALUE"""),4.0)</f>
        <v>4</v>
      </c>
      <c r="F287" s="135">
        <f>IFERROR(__xludf.DUMMYFUNCTION("""COMPUTED_VALUE"""),16.0)</f>
        <v>16</v>
      </c>
      <c r="G287" s="135">
        <f>IFERROR(__xludf.DUMMYFUNCTION("""COMPUTED_VALUE"""),2.0)</f>
        <v>2</v>
      </c>
    </row>
    <row r="288">
      <c r="A288" s="133">
        <f>IFERROR(__xludf.DUMMYFUNCTION("""COMPUTED_VALUE"""),10.0)</f>
        <v>10</v>
      </c>
      <c r="B288" s="134" t="str">
        <f>IFERROR(__xludf.DUMMYFUNCTION("""COMPUTED_VALUE"""),"Joyce Zhu")</f>
        <v>Joyce Zhu</v>
      </c>
      <c r="C288" s="135">
        <f>IFERROR(__xludf.DUMMYFUNCTION("""COMPUTED_VALUE"""),4.0)</f>
        <v>4</v>
      </c>
      <c r="D288" s="135">
        <f>IFERROR(__xludf.DUMMYFUNCTION("""COMPUTED_VALUE"""),3.0)</f>
        <v>3</v>
      </c>
      <c r="E288" s="135">
        <f>IFERROR(__xludf.DUMMYFUNCTION("""COMPUTED_VALUE"""),4.0)</f>
        <v>4</v>
      </c>
      <c r="F288" s="135">
        <f>IFERROR(__xludf.DUMMYFUNCTION("""COMPUTED_VALUE"""),11.0)</f>
        <v>11</v>
      </c>
      <c r="G288" s="135">
        <f>IFERROR(__xludf.DUMMYFUNCTION("""COMPUTED_VALUE"""),0.0)</f>
        <v>0</v>
      </c>
    </row>
    <row r="289">
      <c r="A289" s="133">
        <f>IFERROR(__xludf.DUMMYFUNCTION("""COMPUTED_VALUE"""),10.0)</f>
        <v>10</v>
      </c>
      <c r="B289" s="134" t="str">
        <f>IFERROR(__xludf.DUMMYFUNCTION("""COMPUTED_VALUE"""),"Eric Tan")</f>
        <v>Eric Tan</v>
      </c>
      <c r="C289" s="135">
        <f>IFERROR(__xludf.DUMMYFUNCTION("""COMPUTED_VALUE"""),6.0)</f>
        <v>6</v>
      </c>
      <c r="D289" s="135">
        <f>IFERROR(__xludf.DUMMYFUNCTION("""COMPUTED_VALUE"""),3.0)</f>
        <v>3</v>
      </c>
      <c r="E289" s="135">
        <f>IFERROR(__xludf.DUMMYFUNCTION("""COMPUTED_VALUE"""),6.0)</f>
        <v>6</v>
      </c>
      <c r="F289" s="135">
        <f>IFERROR(__xludf.DUMMYFUNCTION("""COMPUTED_VALUE"""),15.0)</f>
        <v>15</v>
      </c>
      <c r="G289" s="135">
        <f>IFERROR(__xludf.DUMMYFUNCTION("""COMPUTED_VALUE"""),2.0)</f>
        <v>2</v>
      </c>
    </row>
    <row r="290">
      <c r="A290" s="122">
        <f>IFERROR(__xludf.DUMMYFUNCTION("""COMPUTED_VALUE"""),11.0)</f>
        <v>11</v>
      </c>
      <c r="B290" s="36" t="str">
        <f>IFERROR(__xludf.DUMMYFUNCTION("""COMPUTED_VALUE"""),"Kumar Palakeel")</f>
        <v>Kumar Palakeel</v>
      </c>
      <c r="C290" s="132">
        <f>IFERROR(__xludf.DUMMYFUNCTION("""COMPUTED_VALUE"""),6.0)</f>
        <v>6</v>
      </c>
      <c r="D290" s="132">
        <f>IFERROR(__xludf.DUMMYFUNCTION("""COMPUTED_VALUE"""),3.0)</f>
        <v>3</v>
      </c>
      <c r="E290" s="132">
        <f>IFERROR(__xludf.DUMMYFUNCTION("""COMPUTED_VALUE"""),6.0)</f>
        <v>6</v>
      </c>
      <c r="F290" s="132">
        <f>IFERROR(__xludf.DUMMYFUNCTION("""COMPUTED_VALUE"""),15.0)</f>
        <v>15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IFERROR(__xludf.DUMMYFUNCTION("""COMPUTED_VALUE"""),"Chinna Ponnaganti")</f>
        <v>Chinna Ponnaganti</v>
      </c>
      <c r="C291" s="132">
        <f>IFERROR(__xludf.DUMMYFUNCTION("""COMPUTED_VALUE"""),6.0)</f>
        <v>6</v>
      </c>
      <c r="D291" s="132">
        <f>IFERROR(__xludf.DUMMYFUNCTION("""COMPUTED_VALUE"""),6.0)</f>
        <v>6</v>
      </c>
      <c r="E291" s="132">
        <f>IFERROR(__xludf.DUMMYFUNCTION("""COMPUTED_VALUE"""),4.0)</f>
        <v>4</v>
      </c>
      <c r="F291" s="132">
        <f>IFERROR(__xludf.DUMMYFUNCTION("""COMPUTED_VALUE"""),16.0)</f>
        <v>16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IFERROR(__xludf.DUMMYFUNCTION("""COMPUTED_VALUE"""),"Ranjith Doraiswamy")</f>
        <v>Ranjith Doraiswamy</v>
      </c>
      <c r="C292" s="132">
        <f>IFERROR(__xludf.DUMMYFUNCTION("""COMPUTED_VALUE"""),0.0)</f>
        <v>0</v>
      </c>
      <c r="D292" s="132">
        <f>IFERROR(__xludf.DUMMYFUNCTION("""COMPUTED_VALUE"""),6.0)</f>
        <v>6</v>
      </c>
      <c r="E292" s="132">
        <f>IFERROR(__xludf.DUMMYFUNCTION("""COMPUTED_VALUE"""),6.0)</f>
        <v>6</v>
      </c>
      <c r="F292" s="132">
        <f>IFERROR(__xludf.DUMMYFUNCTION("""COMPUTED_VALUE"""),12.0)</f>
        <v>12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IFERROR(__xludf.DUMMYFUNCTION("""COMPUTED_VALUE"""),"Camille Jung")</f>
        <v>Camille Jung</v>
      </c>
      <c r="C293" s="132">
        <f>IFERROR(__xludf.DUMMYFUNCTION("""COMPUTED_VALUE"""),0.0)</f>
        <v>0</v>
      </c>
      <c r="D293" s="132">
        <f>IFERROR(__xludf.DUMMYFUNCTION("""COMPUTED_VALUE"""),3.0)</f>
        <v>3</v>
      </c>
      <c r="E293" s="132">
        <f>IFERROR(__xludf.DUMMYFUNCTION("""COMPUTED_VALUE"""),4.0)</f>
        <v>4</v>
      </c>
      <c r="F293" s="132">
        <f>IFERROR(__xludf.DUMMYFUNCTION("""COMPUTED_VALUE"""),7.0)</f>
        <v>7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IFERROR(__xludf.DUMMYFUNCTION("""COMPUTED_VALUE"""),"Chinna Ponnaganti")</f>
        <v>Chinna Ponnaganti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IFERROR(__xludf.DUMMYFUNCTION("""COMPUTED_VALUE"""),"Cid Macaraeg")</f>
        <v>Cid Macaraeg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IFERROR(__xludf.DUMMYFUNCTION("""COMPUTED_VALUE"""),"Coco Yan")</f>
        <v>Coco Yan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IFERROR(__xludf.DUMMYFUNCTION("""COMPUTED_VALUE"""),"Darren Wong")</f>
        <v>Darren Wong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IFERROR(__xludf.DUMMYFUNCTION("""COMPUTED_VALUE"""),"David Shin")</f>
        <v>David Shin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IFERROR(__xludf.DUMMYFUNCTION("""COMPUTED_VALUE"""),"Elayaraja Thangaraj")</f>
        <v>Elayaraja Thangaraj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Pan")</f>
        <v>Eric Pan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Tan")</f>
        <v>Eric Tan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IFERROR(__xludf.DUMMYFUNCTION("""COMPUTED_VALUE"""),"Erik Hoeckmann")</f>
        <v>Erik Hoeckmann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IFERROR(__xludf.DUMMYFUNCTION("""COMPUTED_VALUE"""),"Kumar Palakeel")</f>
        <v>Kumar Palakeel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IFERROR(__xludf.DUMMYFUNCTION("""COMPUTED_VALUE"""),"Lam Bui")</f>
        <v>Lam Bui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46067.0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6.0</v>
      </c>
      <c r="E2" s="5"/>
      <c r="F2" s="5"/>
      <c r="R2" s="18"/>
      <c r="AC2" s="22" t="str">
        <f>text(C1-7,"mm/dd/yy")</f>
        <v>02/07/26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86.0</v>
      </c>
      <c r="D5" s="37">
        <v>12.0</v>
      </c>
      <c r="E5" s="40">
        <f t="shared" ref="E5:E79" si="2">if(S5&gt;0,(C5-(V5*9)-(T5*13))/S5,0)</f>
        <v>14.33333333</v>
      </c>
      <c r="F5" s="90">
        <v>1.0</v>
      </c>
      <c r="G5" s="91">
        <v>1.0</v>
      </c>
      <c r="H5" s="92">
        <v>0.0</v>
      </c>
      <c r="I5" s="91">
        <v>6.0</v>
      </c>
      <c r="J5" s="91">
        <v>7.0</v>
      </c>
      <c r="K5" s="91">
        <v>6.0</v>
      </c>
      <c r="L5" s="93">
        <v>19.0</v>
      </c>
      <c r="M5" s="91">
        <v>3.0</v>
      </c>
      <c r="N5" s="37">
        <f t="shared" ref="N5:O5" si="1">C5+L5</f>
        <v>105</v>
      </c>
      <c r="O5" s="37">
        <f t="shared" si="1"/>
        <v>15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6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1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68</v>
      </c>
      <c r="C6" s="37">
        <v>84.0</v>
      </c>
      <c r="D6" s="37">
        <v>10.0</v>
      </c>
      <c r="E6" s="40">
        <f t="shared" si="2"/>
        <v>15</v>
      </c>
      <c r="F6" s="90">
        <v>3.0</v>
      </c>
      <c r="G6" s="91">
        <v>0.0</v>
      </c>
      <c r="H6" s="92">
        <v>9.0</v>
      </c>
      <c r="I6" s="91">
        <v>0.0</v>
      </c>
      <c r="J6" s="91">
        <v>0.0</v>
      </c>
      <c r="K6" s="91">
        <v>0.0</v>
      </c>
      <c r="L6" s="93">
        <v>9.0</v>
      </c>
      <c r="M6" s="91">
        <v>0.0</v>
      </c>
      <c r="N6" s="37">
        <f t="shared" ref="N6:O6" si="3">C6+L6</f>
        <v>93</v>
      </c>
      <c r="O6" s="37">
        <f t="shared" si="3"/>
        <v>10</v>
      </c>
      <c r="P6" s="49" t="s">
        <v>57</v>
      </c>
      <c r="Q6" s="49" t="s">
        <v>57</v>
      </c>
      <c r="R6" s="49" t="s">
        <v>57</v>
      </c>
      <c r="S6" s="51">
        <f t="shared" si="4"/>
        <v>5</v>
      </c>
      <c r="T6" s="52">
        <f t="shared" si="5"/>
        <v>0</v>
      </c>
      <c r="U6" s="52"/>
      <c r="V6" s="51">
        <f t="shared" si="6"/>
        <v>1</v>
      </c>
      <c r="W6" s="52">
        <f t="shared" si="7"/>
        <v>-1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77</v>
      </c>
      <c r="C7" s="37">
        <v>75.0</v>
      </c>
      <c r="D7" s="37">
        <v>9.0</v>
      </c>
      <c r="E7" s="40">
        <f t="shared" si="2"/>
        <v>12.5</v>
      </c>
      <c r="F7" s="90">
        <v>1.0</v>
      </c>
      <c r="G7" s="91">
        <v>1.0</v>
      </c>
      <c r="H7" s="92">
        <v>0.0</v>
      </c>
      <c r="I7" s="91">
        <v>6.0</v>
      </c>
      <c r="J7" s="91">
        <v>6.0</v>
      </c>
      <c r="K7" s="91">
        <v>4.0</v>
      </c>
      <c r="L7" s="93">
        <v>16.0</v>
      </c>
      <c r="M7" s="91">
        <v>1.0</v>
      </c>
      <c r="N7" s="37">
        <f t="shared" ref="N7:O7" si="11">C7+L7</f>
        <v>91</v>
      </c>
      <c r="O7" s="37">
        <f t="shared" si="11"/>
        <v>10</v>
      </c>
      <c r="P7" s="49" t="s">
        <v>57</v>
      </c>
      <c r="Q7" s="49" t="s">
        <v>57</v>
      </c>
      <c r="R7" s="49" t="s">
        <v>57</v>
      </c>
      <c r="S7" s="51">
        <f t="shared" si="4"/>
        <v>6</v>
      </c>
      <c r="T7" s="52">
        <f t="shared" si="5"/>
        <v>0</v>
      </c>
      <c r="U7" s="52"/>
      <c r="V7" s="51">
        <f t="shared" si="6"/>
        <v>0</v>
      </c>
      <c r="W7" s="52">
        <f t="shared" si="7"/>
        <v>1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111</v>
      </c>
      <c r="C8" s="37">
        <v>74.0</v>
      </c>
      <c r="D8" s="37">
        <v>9.0</v>
      </c>
      <c r="E8" s="40">
        <f t="shared" si="2"/>
        <v>13</v>
      </c>
      <c r="F8" s="90">
        <v>1.0</v>
      </c>
      <c r="G8" s="91">
        <v>1.0</v>
      </c>
      <c r="H8" s="92">
        <v>0.0</v>
      </c>
      <c r="I8" s="91">
        <v>3.0</v>
      </c>
      <c r="J8" s="91">
        <v>6.0</v>
      </c>
      <c r="K8" s="91">
        <v>6.0</v>
      </c>
      <c r="L8" s="93">
        <v>15.0</v>
      </c>
      <c r="M8" s="91">
        <v>1.0</v>
      </c>
      <c r="N8" s="37">
        <f t="shared" ref="N8:O8" si="13">C8+L8</f>
        <v>89</v>
      </c>
      <c r="O8" s="37">
        <f t="shared" si="13"/>
        <v>10</v>
      </c>
      <c r="P8" s="49" t="s">
        <v>57</v>
      </c>
      <c r="Q8" s="49" t="s">
        <v>57</v>
      </c>
      <c r="R8" s="49" t="s">
        <v>57</v>
      </c>
      <c r="S8" s="51">
        <f t="shared" si="4"/>
        <v>5</v>
      </c>
      <c r="T8" s="52">
        <f t="shared" si="5"/>
        <v>0</v>
      </c>
      <c r="U8" s="52"/>
      <c r="V8" s="51">
        <f t="shared" si="6"/>
        <v>1</v>
      </c>
      <c r="W8" s="52">
        <f t="shared" si="7"/>
        <v>-1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114</v>
      </c>
      <c r="C9" s="37">
        <v>73.0</v>
      </c>
      <c r="D9" s="37">
        <v>10.0</v>
      </c>
      <c r="E9" s="40">
        <f t="shared" si="2"/>
        <v>12.8</v>
      </c>
      <c r="F9" s="90">
        <v>2.0</v>
      </c>
      <c r="G9" s="91">
        <v>1.0</v>
      </c>
      <c r="H9" s="92">
        <v>0.0</v>
      </c>
      <c r="I9" s="91">
        <v>3.0</v>
      </c>
      <c r="J9" s="91">
        <v>7.0</v>
      </c>
      <c r="K9" s="91">
        <v>4.0</v>
      </c>
      <c r="L9" s="93">
        <v>14.0</v>
      </c>
      <c r="M9" s="91">
        <v>1.0</v>
      </c>
      <c r="N9" s="37">
        <f t="shared" ref="N9:O9" si="14">C9+L9</f>
        <v>87</v>
      </c>
      <c r="O9" s="37">
        <f t="shared" si="14"/>
        <v>11</v>
      </c>
      <c r="P9" s="49" t="s">
        <v>57</v>
      </c>
      <c r="Q9" s="49" t="s">
        <v>57</v>
      </c>
      <c r="R9" s="49" t="s">
        <v>57</v>
      </c>
      <c r="S9" s="51">
        <f t="shared" si="4"/>
        <v>5</v>
      </c>
      <c r="T9" s="52">
        <f t="shared" si="5"/>
        <v>0</v>
      </c>
      <c r="U9" s="52"/>
      <c r="V9" s="51">
        <f t="shared" si="6"/>
        <v>1</v>
      </c>
      <c r="W9" s="52">
        <f t="shared" si="7"/>
        <v>1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94</v>
      </c>
      <c r="C10" s="37">
        <v>73.0</v>
      </c>
      <c r="D10" s="37">
        <v>8.0</v>
      </c>
      <c r="E10" s="40">
        <f t="shared" si="2"/>
        <v>12.8</v>
      </c>
      <c r="F10" s="90">
        <v>1.0</v>
      </c>
      <c r="G10" s="91">
        <v>2.0</v>
      </c>
      <c r="H10" s="92">
        <v>0.0</v>
      </c>
      <c r="I10" s="91">
        <v>6.0</v>
      </c>
      <c r="J10" s="91">
        <v>7.0</v>
      </c>
      <c r="K10" s="91">
        <v>6.0</v>
      </c>
      <c r="L10" s="93">
        <v>19.0</v>
      </c>
      <c r="M10" s="91">
        <v>3.0</v>
      </c>
      <c r="N10" s="37">
        <f t="shared" ref="N10:O10" si="15">C10+L10</f>
        <v>92</v>
      </c>
      <c r="O10" s="37">
        <f t="shared" si="15"/>
        <v>11</v>
      </c>
      <c r="P10" s="49" t="s">
        <v>57</v>
      </c>
      <c r="Q10" s="49" t="s">
        <v>57</v>
      </c>
      <c r="R10" s="49" t="s">
        <v>57</v>
      </c>
      <c r="S10" s="51">
        <f t="shared" si="4"/>
        <v>5</v>
      </c>
      <c r="T10" s="52">
        <f t="shared" si="5"/>
        <v>0</v>
      </c>
      <c r="U10" s="52"/>
      <c r="V10" s="51">
        <f t="shared" si="6"/>
        <v>1</v>
      </c>
      <c r="W10" s="52">
        <f t="shared" si="7"/>
        <v>7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108</v>
      </c>
      <c r="C11" s="37">
        <v>71.0</v>
      </c>
      <c r="D11" s="37">
        <v>8.0</v>
      </c>
      <c r="E11" s="40">
        <f t="shared" si="2"/>
        <v>11.83333333</v>
      </c>
      <c r="F11" s="90">
        <v>1.0</v>
      </c>
      <c r="G11" s="91">
        <v>2.0</v>
      </c>
      <c r="H11" s="92">
        <v>0.0</v>
      </c>
      <c r="I11" s="91">
        <v>6.0</v>
      </c>
      <c r="J11" s="91">
        <v>5.0</v>
      </c>
      <c r="K11" s="91">
        <v>1.0</v>
      </c>
      <c r="L11" s="93">
        <v>12.0</v>
      </c>
      <c r="M11" s="91">
        <v>1.0</v>
      </c>
      <c r="N11" s="37">
        <f t="shared" ref="N11:O11" si="16">C11+L11</f>
        <v>83</v>
      </c>
      <c r="O11" s="37">
        <f t="shared" si="16"/>
        <v>9</v>
      </c>
      <c r="P11" s="49" t="s">
        <v>57</v>
      </c>
      <c r="Q11" s="49" t="s">
        <v>57</v>
      </c>
      <c r="R11" s="49" t="s">
        <v>57</v>
      </c>
      <c r="S11" s="51">
        <f t="shared" si="4"/>
        <v>6</v>
      </c>
      <c r="T11" s="52">
        <f t="shared" si="5"/>
        <v>0</v>
      </c>
      <c r="U11" s="52"/>
      <c r="V11" s="51">
        <f t="shared" si="6"/>
        <v>0</v>
      </c>
      <c r="W11" s="52">
        <f t="shared" si="7"/>
        <v>0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96</v>
      </c>
      <c r="C12" s="37">
        <v>71.0</v>
      </c>
      <c r="D12" s="37">
        <v>6.0</v>
      </c>
      <c r="E12" s="40">
        <f t="shared" si="2"/>
        <v>11.83333333</v>
      </c>
      <c r="F12" s="90">
        <v>1.0</v>
      </c>
      <c r="G12" s="91">
        <v>2.0</v>
      </c>
      <c r="H12" s="92">
        <v>0.0</v>
      </c>
      <c r="I12" s="91">
        <v>1.0</v>
      </c>
      <c r="J12" s="91">
        <v>7.0</v>
      </c>
      <c r="K12" s="91">
        <v>1.0</v>
      </c>
      <c r="L12" s="93">
        <v>9.0</v>
      </c>
      <c r="M12" s="91">
        <v>1.0</v>
      </c>
      <c r="N12" s="37">
        <f t="shared" ref="N12:O12" si="17">C12+L12</f>
        <v>80</v>
      </c>
      <c r="O12" s="37">
        <f t="shared" si="17"/>
        <v>7</v>
      </c>
      <c r="P12" s="49" t="s">
        <v>57</v>
      </c>
      <c r="Q12" s="49" t="s">
        <v>57</v>
      </c>
      <c r="R12" s="49" t="s">
        <v>57</v>
      </c>
      <c r="S12" s="51">
        <f t="shared" si="4"/>
        <v>6</v>
      </c>
      <c r="T12" s="52">
        <f t="shared" si="5"/>
        <v>0</v>
      </c>
      <c r="U12" s="52"/>
      <c r="V12" s="51">
        <f t="shared" si="6"/>
        <v>0</v>
      </c>
      <c r="W12" s="52">
        <f t="shared" si="7"/>
        <v>-3</v>
      </c>
      <c r="X12" s="35">
        <f t="shared" si="12"/>
        <v>8</v>
      </c>
      <c r="Y12" s="35" t="str">
        <f t="shared" si="8"/>
        <v>Y</v>
      </c>
      <c r="Z12" s="19" t="str">
        <f t="shared" si="9"/>
        <v/>
      </c>
    </row>
    <row r="13">
      <c r="A13" s="35">
        <f t="shared" si="10"/>
        <v>9</v>
      </c>
      <c r="B13" s="36" t="s">
        <v>103</v>
      </c>
      <c r="C13" s="37">
        <v>70.0</v>
      </c>
      <c r="D13" s="37">
        <v>9.0</v>
      </c>
      <c r="E13" s="40">
        <f t="shared" si="2"/>
        <v>12.2</v>
      </c>
      <c r="F13" s="90">
        <v>1.0</v>
      </c>
      <c r="G13" s="91">
        <v>2.0</v>
      </c>
      <c r="H13" s="92">
        <v>0.0</v>
      </c>
      <c r="I13" s="91">
        <v>1.0</v>
      </c>
      <c r="J13" s="91">
        <v>5.0</v>
      </c>
      <c r="K13" s="91">
        <v>6.0</v>
      </c>
      <c r="L13" s="93">
        <v>12.0</v>
      </c>
      <c r="M13" s="91">
        <v>1.0</v>
      </c>
      <c r="N13" s="37">
        <f t="shared" ref="N13:O13" si="18">C13+L13</f>
        <v>82</v>
      </c>
      <c r="O13" s="37">
        <f t="shared" si="18"/>
        <v>10</v>
      </c>
      <c r="P13" s="49" t="s">
        <v>57</v>
      </c>
      <c r="Q13" s="49" t="s">
        <v>57</v>
      </c>
      <c r="R13" s="49" t="s">
        <v>57</v>
      </c>
      <c r="S13" s="51">
        <f t="shared" si="4"/>
        <v>5</v>
      </c>
      <c r="T13" s="52">
        <f t="shared" si="5"/>
        <v>0</v>
      </c>
      <c r="U13" s="52"/>
      <c r="V13" s="51">
        <f t="shared" si="6"/>
        <v>1</v>
      </c>
      <c r="W13" s="52">
        <f t="shared" si="7"/>
        <v>0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92</v>
      </c>
      <c r="C14" s="37">
        <v>70.0</v>
      </c>
      <c r="D14" s="37">
        <v>7.0</v>
      </c>
      <c r="E14" s="40">
        <f t="shared" si="2"/>
        <v>14.33333333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79</v>
      </c>
      <c r="O14" s="37">
        <f t="shared" si="19"/>
        <v>7</v>
      </c>
      <c r="P14" s="49" t="s">
        <v>57</v>
      </c>
      <c r="Q14" s="49" t="s">
        <v>57</v>
      </c>
      <c r="R14" s="49" t="s">
        <v>57</v>
      </c>
      <c r="S14" s="51">
        <f t="shared" si="4"/>
        <v>3</v>
      </c>
      <c r="T14" s="52">
        <f t="shared" si="5"/>
        <v>0</v>
      </c>
      <c r="U14" s="52"/>
      <c r="V14" s="51">
        <f t="shared" si="6"/>
        <v>3</v>
      </c>
      <c r="W14" s="52">
        <f t="shared" si="7"/>
        <v>13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63</v>
      </c>
      <c r="C15" s="37">
        <v>70.0</v>
      </c>
      <c r="D15" s="37">
        <v>7.0</v>
      </c>
      <c r="E15" s="40">
        <f t="shared" si="2"/>
        <v>12.2</v>
      </c>
      <c r="F15" s="90">
        <v>1.0</v>
      </c>
      <c r="G15" s="91">
        <v>3.0</v>
      </c>
      <c r="H15" s="92">
        <v>0.0</v>
      </c>
      <c r="I15" s="91">
        <v>6.0</v>
      </c>
      <c r="J15" s="91">
        <v>6.0</v>
      </c>
      <c r="K15" s="91">
        <v>6.0</v>
      </c>
      <c r="L15" s="93">
        <v>18.0</v>
      </c>
      <c r="M15" s="91">
        <v>3.0</v>
      </c>
      <c r="N15" s="37">
        <f t="shared" ref="N15:O15" si="20">C15+L15</f>
        <v>88</v>
      </c>
      <c r="O15" s="37">
        <f t="shared" si="20"/>
        <v>10</v>
      </c>
      <c r="P15" s="49" t="s">
        <v>57</v>
      </c>
      <c r="Q15" s="49" t="s">
        <v>57</v>
      </c>
      <c r="R15" s="49" t="s">
        <v>57</v>
      </c>
      <c r="S15" s="51">
        <f t="shared" si="4"/>
        <v>5</v>
      </c>
      <c r="T15" s="52">
        <f t="shared" si="5"/>
        <v>0</v>
      </c>
      <c r="U15" s="52"/>
      <c r="V15" s="51">
        <f t="shared" si="6"/>
        <v>1</v>
      </c>
      <c r="W15" s="52">
        <f t="shared" si="7"/>
        <v>6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89</v>
      </c>
      <c r="C16" s="37">
        <v>68.0</v>
      </c>
      <c r="D16" s="37">
        <v>7.0</v>
      </c>
      <c r="E16" s="40">
        <f t="shared" si="2"/>
        <v>13.66666667</v>
      </c>
      <c r="F16" s="90">
        <v>3.0</v>
      </c>
      <c r="G16" s="91">
        <v>0.0</v>
      </c>
      <c r="H16" s="92">
        <v>9.0</v>
      </c>
      <c r="I16" s="91">
        <v>0.0</v>
      </c>
      <c r="J16" s="91">
        <v>0.0</v>
      </c>
      <c r="K16" s="91">
        <v>0.0</v>
      </c>
      <c r="L16" s="93">
        <v>9.0</v>
      </c>
      <c r="M16" s="91">
        <v>0.0</v>
      </c>
      <c r="N16" s="37">
        <f t="shared" ref="N16:O16" si="21">C16+L16</f>
        <v>77</v>
      </c>
      <c r="O16" s="37">
        <f t="shared" si="21"/>
        <v>7</v>
      </c>
      <c r="P16" s="49" t="s">
        <v>57</v>
      </c>
      <c r="Q16" s="49" t="s">
        <v>57</v>
      </c>
      <c r="R16" s="49" t="s">
        <v>57</v>
      </c>
      <c r="S16" s="51">
        <f t="shared" si="4"/>
        <v>3</v>
      </c>
      <c r="T16" s="52">
        <f t="shared" si="5"/>
        <v>0</v>
      </c>
      <c r="U16" s="52"/>
      <c r="V16" s="51">
        <f t="shared" si="6"/>
        <v>3</v>
      </c>
      <c r="W16" s="52">
        <f t="shared" si="7"/>
        <v>15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127</v>
      </c>
      <c r="C17" s="37">
        <v>68.0</v>
      </c>
      <c r="D17" s="37">
        <v>7.0</v>
      </c>
      <c r="E17" s="40">
        <f t="shared" si="2"/>
        <v>11.8</v>
      </c>
      <c r="F17" s="90">
        <v>1.0</v>
      </c>
      <c r="G17" s="91">
        <v>3.0</v>
      </c>
      <c r="H17" s="92">
        <v>0.0</v>
      </c>
      <c r="I17" s="91">
        <v>1.0</v>
      </c>
      <c r="J17" s="91">
        <v>6.0</v>
      </c>
      <c r="K17" s="91">
        <v>4.0</v>
      </c>
      <c r="L17" s="93">
        <v>11.0</v>
      </c>
      <c r="M17" s="91">
        <v>1.0</v>
      </c>
      <c r="N17" s="37">
        <f t="shared" ref="N17:O17" si="22">C17+L17</f>
        <v>79</v>
      </c>
      <c r="O17" s="37">
        <f t="shared" si="22"/>
        <v>8</v>
      </c>
      <c r="P17" s="49" t="s">
        <v>57</v>
      </c>
      <c r="Q17" s="49" t="s">
        <v>57</v>
      </c>
      <c r="R17" s="49" t="s">
        <v>57</v>
      </c>
      <c r="S17" s="51">
        <f t="shared" si="4"/>
        <v>5</v>
      </c>
      <c r="T17" s="52">
        <f t="shared" si="5"/>
        <v>0</v>
      </c>
      <c r="U17" s="52"/>
      <c r="V17" s="51">
        <f t="shared" si="6"/>
        <v>1</v>
      </c>
      <c r="W17" s="52">
        <f t="shared" si="7"/>
        <v>-3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132</v>
      </c>
      <c r="C18" s="37">
        <v>67.0</v>
      </c>
      <c r="D18" s="37">
        <v>7.0</v>
      </c>
      <c r="E18" s="40">
        <f t="shared" si="2"/>
        <v>12.25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76</v>
      </c>
      <c r="O18" s="37">
        <f t="shared" si="23"/>
        <v>7</v>
      </c>
      <c r="P18" s="49" t="s">
        <v>57</v>
      </c>
      <c r="Q18" s="49" t="s">
        <v>57</v>
      </c>
      <c r="R18" s="49" t="s">
        <v>57</v>
      </c>
      <c r="S18" s="51">
        <f t="shared" si="4"/>
        <v>4</v>
      </c>
      <c r="T18" s="52">
        <f t="shared" si="5"/>
        <v>0</v>
      </c>
      <c r="U18" s="52"/>
      <c r="V18" s="51">
        <f t="shared" si="6"/>
        <v>2</v>
      </c>
      <c r="W18" s="52">
        <f t="shared" si="7"/>
        <v>-3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128</v>
      </c>
      <c r="C19" s="37">
        <v>67.0</v>
      </c>
      <c r="D19" s="37">
        <v>7.0</v>
      </c>
      <c r="E19" s="40">
        <f t="shared" si="2"/>
        <v>11.6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76</v>
      </c>
      <c r="O19" s="37">
        <f t="shared" si="24"/>
        <v>7</v>
      </c>
      <c r="P19" s="49" t="s">
        <v>57</v>
      </c>
      <c r="Q19" s="49" t="s">
        <v>57</v>
      </c>
      <c r="R19" s="49" t="s">
        <v>57</v>
      </c>
      <c r="S19" s="51">
        <f t="shared" si="4"/>
        <v>5</v>
      </c>
      <c r="T19" s="52">
        <f t="shared" si="5"/>
        <v>0</v>
      </c>
      <c r="U19" s="52"/>
      <c r="V19" s="51">
        <f t="shared" si="6"/>
        <v>1</v>
      </c>
      <c r="W19" s="52">
        <f t="shared" si="7"/>
        <v>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115</v>
      </c>
      <c r="C20" s="37">
        <v>66.0</v>
      </c>
      <c r="D20" s="37">
        <v>6.0</v>
      </c>
      <c r="E20" s="40">
        <f t="shared" si="2"/>
        <v>11.4</v>
      </c>
      <c r="F20" s="90">
        <v>1.0</v>
      </c>
      <c r="G20" s="91">
        <v>3.0</v>
      </c>
      <c r="H20" s="92">
        <v>0.0</v>
      </c>
      <c r="I20" s="91">
        <v>1.0</v>
      </c>
      <c r="J20" s="91">
        <v>2.0</v>
      </c>
      <c r="K20" s="91">
        <v>6.0</v>
      </c>
      <c r="L20" s="93">
        <v>9.0</v>
      </c>
      <c r="M20" s="91">
        <v>1.0</v>
      </c>
      <c r="N20" s="37">
        <f t="shared" ref="N20:O20" si="25">C20+L20</f>
        <v>75</v>
      </c>
      <c r="O20" s="37">
        <f t="shared" si="25"/>
        <v>7</v>
      </c>
      <c r="P20" s="49" t="s">
        <v>57</v>
      </c>
      <c r="Q20" s="49" t="s">
        <v>57</v>
      </c>
      <c r="R20" s="49" t="s">
        <v>57</v>
      </c>
      <c r="S20" s="51">
        <f t="shared" si="4"/>
        <v>5</v>
      </c>
      <c r="T20" s="52">
        <f t="shared" si="5"/>
        <v>0</v>
      </c>
      <c r="U20" s="52"/>
      <c r="V20" s="51">
        <f t="shared" si="6"/>
        <v>1</v>
      </c>
      <c r="W20" s="52">
        <f t="shared" si="7"/>
        <v>-4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117</v>
      </c>
      <c r="C21" s="37">
        <v>66.0</v>
      </c>
      <c r="D21" s="37">
        <v>6.0</v>
      </c>
      <c r="E21" s="40">
        <f t="shared" si="2"/>
        <v>11</v>
      </c>
      <c r="F21" s="90">
        <v>5.0</v>
      </c>
      <c r="G21" s="91">
        <v>0.0</v>
      </c>
      <c r="H21" s="92">
        <v>13.0</v>
      </c>
      <c r="I21" s="91">
        <v>0.0</v>
      </c>
      <c r="J21" s="91">
        <v>0.0</v>
      </c>
      <c r="K21" s="91">
        <v>0.0</v>
      </c>
      <c r="L21" s="93">
        <v>13.0</v>
      </c>
      <c r="M21" s="91">
        <v>0.0</v>
      </c>
      <c r="N21" s="37">
        <f t="shared" ref="N21:O21" si="26">C21+L21</f>
        <v>79</v>
      </c>
      <c r="O21" s="37">
        <f t="shared" si="26"/>
        <v>6</v>
      </c>
      <c r="P21" s="49" t="s">
        <v>57</v>
      </c>
      <c r="Q21" s="49" t="s">
        <v>57</v>
      </c>
      <c r="R21" s="49" t="s">
        <v>57</v>
      </c>
      <c r="S21" s="51">
        <f t="shared" si="4"/>
        <v>4</v>
      </c>
      <c r="T21" s="52">
        <f t="shared" si="5"/>
        <v>1</v>
      </c>
      <c r="U21" s="52"/>
      <c r="V21" s="51">
        <f t="shared" si="6"/>
        <v>1</v>
      </c>
      <c r="W21" s="52">
        <f t="shared" si="7"/>
        <v>5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109</v>
      </c>
      <c r="C22" s="37">
        <v>65.0</v>
      </c>
      <c r="D22" s="37">
        <v>7.0</v>
      </c>
      <c r="E22" s="40">
        <f t="shared" si="2"/>
        <v>11.2</v>
      </c>
      <c r="F22" s="90">
        <v>1.0</v>
      </c>
      <c r="G22" s="91">
        <v>3.0</v>
      </c>
      <c r="H22" s="92">
        <v>0.0</v>
      </c>
      <c r="I22" s="91">
        <v>6.0</v>
      </c>
      <c r="J22" s="91">
        <v>2.0</v>
      </c>
      <c r="K22" s="91">
        <v>4.0</v>
      </c>
      <c r="L22" s="93">
        <v>12.0</v>
      </c>
      <c r="M22" s="91">
        <v>1.0</v>
      </c>
      <c r="N22" s="37">
        <f t="shared" ref="N22:O22" si="27">C22+L22</f>
        <v>77</v>
      </c>
      <c r="O22" s="37">
        <f t="shared" si="27"/>
        <v>8</v>
      </c>
      <c r="P22" s="49" t="s">
        <v>57</v>
      </c>
      <c r="Q22" s="49" t="s">
        <v>57</v>
      </c>
      <c r="R22" s="49" t="s">
        <v>57</v>
      </c>
      <c r="S22" s="51">
        <f t="shared" si="4"/>
        <v>5</v>
      </c>
      <c r="T22" s="52">
        <f t="shared" si="5"/>
        <v>0</v>
      </c>
      <c r="U22" s="52"/>
      <c r="V22" s="51">
        <f t="shared" si="6"/>
        <v>1</v>
      </c>
      <c r="W22" s="52">
        <f t="shared" si="7"/>
        <v>14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91</v>
      </c>
      <c r="C23" s="37">
        <v>64.0</v>
      </c>
      <c r="D23" s="37">
        <v>5.0</v>
      </c>
      <c r="E23" s="40">
        <f t="shared" si="2"/>
        <v>11.5</v>
      </c>
      <c r="F23" s="90">
        <v>1.0</v>
      </c>
      <c r="G23" s="91">
        <v>4.0</v>
      </c>
      <c r="H23" s="92">
        <v>0.0</v>
      </c>
      <c r="I23" s="91">
        <v>6.0</v>
      </c>
      <c r="J23" s="91">
        <v>7.0</v>
      </c>
      <c r="K23" s="91">
        <v>6.0</v>
      </c>
      <c r="L23" s="93">
        <v>19.0</v>
      </c>
      <c r="M23" s="91">
        <v>3.0</v>
      </c>
      <c r="N23" s="37">
        <f t="shared" ref="N23:O23" si="28">C23+L23</f>
        <v>83</v>
      </c>
      <c r="O23" s="37">
        <f t="shared" si="28"/>
        <v>8</v>
      </c>
      <c r="P23" s="49" t="s">
        <v>57</v>
      </c>
      <c r="Q23" s="49" t="s">
        <v>57</v>
      </c>
      <c r="R23" s="49" t="s">
        <v>57</v>
      </c>
      <c r="S23" s="51">
        <f t="shared" si="4"/>
        <v>4</v>
      </c>
      <c r="T23" s="52">
        <f t="shared" si="5"/>
        <v>0</v>
      </c>
      <c r="U23" s="52"/>
      <c r="V23" s="51">
        <f t="shared" si="6"/>
        <v>2</v>
      </c>
      <c r="W23" s="52">
        <f t="shared" si="7"/>
        <v>-5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104</v>
      </c>
      <c r="C24" s="37">
        <v>63.0</v>
      </c>
      <c r="D24" s="37">
        <v>6.0</v>
      </c>
      <c r="E24" s="40">
        <f t="shared" si="2"/>
        <v>11.25</v>
      </c>
      <c r="F24" s="90">
        <v>2.0</v>
      </c>
      <c r="G24" s="91">
        <v>4.0</v>
      </c>
      <c r="H24" s="92">
        <v>0.0</v>
      </c>
      <c r="I24" s="91">
        <v>6.0</v>
      </c>
      <c r="J24" s="91">
        <v>5.0</v>
      </c>
      <c r="K24" s="91">
        <v>3.0</v>
      </c>
      <c r="L24" s="93">
        <v>14.0</v>
      </c>
      <c r="M24" s="91">
        <v>1.0</v>
      </c>
      <c r="N24" s="37">
        <f t="shared" ref="N24:O24" si="29">C24+L24</f>
        <v>77</v>
      </c>
      <c r="O24" s="37">
        <f t="shared" si="29"/>
        <v>7</v>
      </c>
      <c r="P24" s="49" t="s">
        <v>57</v>
      </c>
      <c r="Q24" s="49" t="s">
        <v>57</v>
      </c>
      <c r="R24" s="49" t="s">
        <v>57</v>
      </c>
      <c r="S24" s="51">
        <f t="shared" si="4"/>
        <v>4</v>
      </c>
      <c r="T24" s="52">
        <f t="shared" si="5"/>
        <v>0</v>
      </c>
      <c r="U24" s="52"/>
      <c r="V24" s="51">
        <f t="shared" si="6"/>
        <v>2</v>
      </c>
      <c r="W24" s="52">
        <f t="shared" si="7"/>
        <v>-5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59</v>
      </c>
      <c r="C25" s="37">
        <v>63.0</v>
      </c>
      <c r="D25" s="37">
        <v>6.0</v>
      </c>
      <c r="E25" s="40">
        <f t="shared" si="2"/>
        <v>10.5</v>
      </c>
      <c r="F25" s="90">
        <v>1.0</v>
      </c>
      <c r="G25" s="91">
        <v>4.0</v>
      </c>
      <c r="H25" s="92">
        <v>0.0</v>
      </c>
      <c r="I25" s="91">
        <v>1.0</v>
      </c>
      <c r="J25" s="91">
        <v>5.0</v>
      </c>
      <c r="K25" s="91">
        <v>6.0</v>
      </c>
      <c r="L25" s="93">
        <v>12.0</v>
      </c>
      <c r="M25" s="91">
        <v>1.0</v>
      </c>
      <c r="N25" s="37">
        <f t="shared" ref="N25:O25" si="30">C25+L25</f>
        <v>75</v>
      </c>
      <c r="O25" s="37">
        <f t="shared" si="30"/>
        <v>7</v>
      </c>
      <c r="P25" s="49" t="s">
        <v>57</v>
      </c>
      <c r="Q25" s="49" t="s">
        <v>57</v>
      </c>
      <c r="R25" s="49" t="s">
        <v>57</v>
      </c>
      <c r="S25" s="51">
        <f t="shared" si="4"/>
        <v>6</v>
      </c>
      <c r="T25" s="52">
        <f t="shared" si="5"/>
        <v>0</v>
      </c>
      <c r="U25" s="52"/>
      <c r="V25" s="51">
        <f t="shared" si="6"/>
        <v>0</v>
      </c>
      <c r="W25" s="52">
        <f t="shared" si="7"/>
        <v>-13</v>
      </c>
      <c r="X25" s="35">
        <f t="shared" si="12"/>
        <v>21</v>
      </c>
      <c r="Y25" s="35" t="str">
        <f t="shared" si="8"/>
        <v>Y</v>
      </c>
      <c r="Z25" s="19" t="str">
        <f t="shared" si="9"/>
        <v/>
      </c>
    </row>
    <row r="26">
      <c r="A26" s="35">
        <f t="shared" si="10"/>
        <v>22</v>
      </c>
      <c r="B26" s="36" t="s">
        <v>120</v>
      </c>
      <c r="C26" s="37">
        <v>63.0</v>
      </c>
      <c r="D26" s="37">
        <v>5.0</v>
      </c>
      <c r="E26" s="40">
        <f t="shared" si="2"/>
        <v>13.5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72</v>
      </c>
      <c r="O26" s="37">
        <f t="shared" si="31"/>
        <v>5</v>
      </c>
      <c r="P26" s="49" t="s">
        <v>57</v>
      </c>
      <c r="Q26" s="49" t="s">
        <v>57</v>
      </c>
      <c r="R26" s="49" t="s">
        <v>57</v>
      </c>
      <c r="S26" s="51">
        <f t="shared" si="4"/>
        <v>2</v>
      </c>
      <c r="T26" s="52">
        <f t="shared" si="5"/>
        <v>0</v>
      </c>
      <c r="U26" s="52"/>
      <c r="V26" s="51">
        <f t="shared" si="6"/>
        <v>4</v>
      </c>
      <c r="W26" s="52">
        <f t="shared" si="7"/>
        <v>-4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100</v>
      </c>
      <c r="C27" s="37">
        <v>62.0</v>
      </c>
      <c r="D27" s="37">
        <v>6.0</v>
      </c>
      <c r="E27" s="40">
        <f t="shared" si="2"/>
        <v>11.66666667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71</v>
      </c>
      <c r="O27" s="37">
        <f t="shared" si="32"/>
        <v>6</v>
      </c>
      <c r="P27" s="49" t="s">
        <v>57</v>
      </c>
      <c r="Q27" s="49" t="s">
        <v>57</v>
      </c>
      <c r="R27" s="49" t="s">
        <v>57</v>
      </c>
      <c r="S27" s="51">
        <f t="shared" si="4"/>
        <v>3</v>
      </c>
      <c r="T27" s="52">
        <f t="shared" si="5"/>
        <v>0</v>
      </c>
      <c r="U27" s="52"/>
      <c r="V27" s="51">
        <f t="shared" si="6"/>
        <v>3</v>
      </c>
      <c r="W27" s="52">
        <f t="shared" si="7"/>
        <v>-4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99</v>
      </c>
      <c r="C28" s="37">
        <v>62.0</v>
      </c>
      <c r="D28" s="37">
        <v>6.0</v>
      </c>
      <c r="E28" s="40">
        <f t="shared" si="2"/>
        <v>11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71</v>
      </c>
      <c r="O28" s="37">
        <f t="shared" si="33"/>
        <v>6</v>
      </c>
      <c r="P28" s="49" t="s">
        <v>57</v>
      </c>
      <c r="Q28" s="49" t="s">
        <v>57</v>
      </c>
      <c r="R28" s="49" t="s">
        <v>57</v>
      </c>
      <c r="S28" s="51">
        <f t="shared" si="4"/>
        <v>4</v>
      </c>
      <c r="T28" s="52">
        <f t="shared" si="5"/>
        <v>0</v>
      </c>
      <c r="U28" s="52"/>
      <c r="V28" s="51">
        <f t="shared" si="6"/>
        <v>2</v>
      </c>
      <c r="W28" s="52">
        <f t="shared" si="7"/>
        <v>-4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131</v>
      </c>
      <c r="C29" s="37">
        <v>61.0</v>
      </c>
      <c r="D29" s="37">
        <v>6.0</v>
      </c>
      <c r="E29" s="40">
        <f t="shared" si="2"/>
        <v>10</v>
      </c>
      <c r="F29" s="90">
        <v>5.0</v>
      </c>
      <c r="G29" s="91">
        <v>0.0</v>
      </c>
      <c r="H29" s="92">
        <v>13.0</v>
      </c>
      <c r="I29" s="91">
        <v>0.0</v>
      </c>
      <c r="J29" s="91">
        <v>0.0</v>
      </c>
      <c r="K29" s="91">
        <v>0.0</v>
      </c>
      <c r="L29" s="93">
        <v>13.0</v>
      </c>
      <c r="M29" s="91">
        <v>0.0</v>
      </c>
      <c r="N29" s="37">
        <f t="shared" ref="N29:O29" si="34">C29+L29</f>
        <v>74</v>
      </c>
      <c r="O29" s="37">
        <f t="shared" si="34"/>
        <v>6</v>
      </c>
      <c r="P29" s="49" t="s">
        <v>57</v>
      </c>
      <c r="Q29" s="49" t="s">
        <v>57</v>
      </c>
      <c r="R29" s="49" t="s">
        <v>57</v>
      </c>
      <c r="S29" s="51">
        <f t="shared" si="4"/>
        <v>3</v>
      </c>
      <c r="T29" s="52">
        <f t="shared" si="5"/>
        <v>1</v>
      </c>
      <c r="U29" s="52"/>
      <c r="V29" s="51">
        <f t="shared" si="6"/>
        <v>2</v>
      </c>
      <c r="W29" s="52">
        <f t="shared" si="7"/>
        <v>-4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113</v>
      </c>
      <c r="C30" s="37">
        <v>60.0</v>
      </c>
      <c r="D30" s="37">
        <v>6.0</v>
      </c>
      <c r="E30" s="40">
        <f t="shared" si="2"/>
        <v>10.5</v>
      </c>
      <c r="F30" s="90">
        <v>3.0</v>
      </c>
      <c r="G30" s="91">
        <v>0.0</v>
      </c>
      <c r="H30" s="92">
        <v>9.0</v>
      </c>
      <c r="I30" s="91">
        <v>0.0</v>
      </c>
      <c r="J30" s="91">
        <v>0.0</v>
      </c>
      <c r="K30" s="91">
        <v>0.0</v>
      </c>
      <c r="L30" s="93">
        <v>9.0</v>
      </c>
      <c r="M30" s="91">
        <v>0.0</v>
      </c>
      <c r="N30" s="37">
        <f t="shared" ref="N30:O30" si="35">C30+L30</f>
        <v>69</v>
      </c>
      <c r="O30" s="37">
        <f t="shared" si="35"/>
        <v>6</v>
      </c>
      <c r="P30" s="49" t="s">
        <v>57</v>
      </c>
      <c r="Q30" s="49" t="s">
        <v>57</v>
      </c>
      <c r="R30" s="49" t="s">
        <v>57</v>
      </c>
      <c r="S30" s="51">
        <f t="shared" si="4"/>
        <v>4</v>
      </c>
      <c r="T30" s="52">
        <f t="shared" si="5"/>
        <v>0</v>
      </c>
      <c r="U30" s="52"/>
      <c r="V30" s="51">
        <f t="shared" si="6"/>
        <v>2</v>
      </c>
      <c r="W30" s="52">
        <f t="shared" si="7"/>
        <v>13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110</v>
      </c>
      <c r="C31" s="37">
        <v>60.0</v>
      </c>
      <c r="D31" s="37">
        <v>6.0</v>
      </c>
      <c r="E31" s="40">
        <f t="shared" si="2"/>
        <v>10</v>
      </c>
      <c r="F31" s="90">
        <v>1.0</v>
      </c>
      <c r="G31" s="91">
        <v>4.0</v>
      </c>
      <c r="H31" s="92">
        <v>0.0</v>
      </c>
      <c r="I31" s="91">
        <v>1.0</v>
      </c>
      <c r="J31" s="91">
        <v>7.0</v>
      </c>
      <c r="K31" s="91">
        <v>3.0</v>
      </c>
      <c r="L31" s="93">
        <v>11.0</v>
      </c>
      <c r="M31" s="91">
        <v>1.0</v>
      </c>
      <c r="N31" s="37">
        <f t="shared" ref="N31:O31" si="36">C31+L31</f>
        <v>71</v>
      </c>
      <c r="O31" s="37">
        <f t="shared" si="36"/>
        <v>7</v>
      </c>
      <c r="P31" s="49" t="s">
        <v>57</v>
      </c>
      <c r="Q31" s="49" t="s">
        <v>57</v>
      </c>
      <c r="R31" s="49" t="s">
        <v>57</v>
      </c>
      <c r="S31" s="51">
        <f t="shared" si="4"/>
        <v>6</v>
      </c>
      <c r="T31" s="52">
        <f t="shared" si="5"/>
        <v>0</v>
      </c>
      <c r="U31" s="52"/>
      <c r="V31" s="51">
        <f t="shared" si="6"/>
        <v>0</v>
      </c>
      <c r="W31" s="52">
        <f t="shared" si="7"/>
        <v>-1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80</v>
      </c>
      <c r="C32" s="37">
        <v>60.0</v>
      </c>
      <c r="D32" s="37">
        <v>6.0</v>
      </c>
      <c r="E32" s="40">
        <f t="shared" si="2"/>
        <v>9.5</v>
      </c>
      <c r="F32" s="90">
        <v>5.0</v>
      </c>
      <c r="G32" s="91">
        <v>0.0</v>
      </c>
      <c r="H32" s="92">
        <v>13.0</v>
      </c>
      <c r="I32" s="91">
        <v>0.0</v>
      </c>
      <c r="J32" s="91">
        <v>0.0</v>
      </c>
      <c r="K32" s="91">
        <v>0.0</v>
      </c>
      <c r="L32" s="93">
        <v>13.0</v>
      </c>
      <c r="M32" s="91">
        <v>0.0</v>
      </c>
      <c r="N32" s="37">
        <f t="shared" ref="N32:O32" si="37">C32+L32</f>
        <v>73</v>
      </c>
      <c r="O32" s="37">
        <f t="shared" si="37"/>
        <v>6</v>
      </c>
      <c r="P32" s="49" t="s">
        <v>57</v>
      </c>
      <c r="Q32" s="49" t="s">
        <v>57</v>
      </c>
      <c r="R32" s="49" t="s">
        <v>57</v>
      </c>
      <c r="S32" s="51">
        <f t="shared" si="4"/>
        <v>4</v>
      </c>
      <c r="T32" s="52">
        <f t="shared" si="5"/>
        <v>1</v>
      </c>
      <c r="U32" s="52"/>
      <c r="V32" s="51">
        <f t="shared" si="6"/>
        <v>1</v>
      </c>
      <c r="W32" s="52">
        <f t="shared" si="7"/>
        <v>1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135</v>
      </c>
      <c r="C33" s="37">
        <v>60.0</v>
      </c>
      <c r="D33" s="37">
        <v>4.0</v>
      </c>
      <c r="E33" s="40">
        <f t="shared" si="2"/>
        <v>11</v>
      </c>
      <c r="F33" s="90">
        <v>1.0</v>
      </c>
      <c r="G33" s="91">
        <v>5.0</v>
      </c>
      <c r="H33" s="92">
        <v>0.0</v>
      </c>
      <c r="I33" s="91">
        <v>4.0</v>
      </c>
      <c r="J33" s="91">
        <v>1.0</v>
      </c>
      <c r="K33" s="91">
        <v>6.0</v>
      </c>
      <c r="L33" s="93">
        <v>11.0</v>
      </c>
      <c r="M33" s="91">
        <v>1.0</v>
      </c>
      <c r="N33" s="37">
        <f t="shared" ref="N33:O33" si="38">C33+L33</f>
        <v>71</v>
      </c>
      <c r="O33" s="37">
        <f t="shared" si="38"/>
        <v>5</v>
      </c>
      <c r="P33" s="49" t="s">
        <v>57</v>
      </c>
      <c r="Q33" s="49" t="s">
        <v>57</v>
      </c>
      <c r="R33" s="49" t="s">
        <v>57</v>
      </c>
      <c r="S33" s="51">
        <f t="shared" si="4"/>
        <v>3</v>
      </c>
      <c r="T33" s="52">
        <f t="shared" si="5"/>
        <v>0</v>
      </c>
      <c r="U33" s="52"/>
      <c r="V33" s="51">
        <f t="shared" si="6"/>
        <v>3</v>
      </c>
      <c r="W33" s="52">
        <f t="shared" si="7"/>
        <v>16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112</v>
      </c>
      <c r="C34" s="37">
        <v>60.0</v>
      </c>
      <c r="D34" s="37">
        <v>4.0</v>
      </c>
      <c r="E34" s="40">
        <f t="shared" si="2"/>
        <v>10.5</v>
      </c>
      <c r="F34" s="90">
        <v>1.0</v>
      </c>
      <c r="G34" s="91">
        <v>5.0</v>
      </c>
      <c r="H34" s="92">
        <v>0.0</v>
      </c>
      <c r="I34" s="91">
        <v>6.0</v>
      </c>
      <c r="J34" s="91">
        <v>6.0</v>
      </c>
      <c r="K34" s="91">
        <v>6.0</v>
      </c>
      <c r="L34" s="93">
        <v>18.0</v>
      </c>
      <c r="M34" s="91">
        <v>3.0</v>
      </c>
      <c r="N34" s="37">
        <f t="shared" ref="N34:O34" si="39">C34+L34</f>
        <v>78</v>
      </c>
      <c r="O34" s="37">
        <f t="shared" si="39"/>
        <v>7</v>
      </c>
      <c r="P34" s="49" t="s">
        <v>57</v>
      </c>
      <c r="Q34" s="49" t="s">
        <v>57</v>
      </c>
      <c r="R34" s="49" t="s">
        <v>57</v>
      </c>
      <c r="S34" s="51">
        <f t="shared" si="4"/>
        <v>4</v>
      </c>
      <c r="T34" s="52">
        <f t="shared" si="5"/>
        <v>0</v>
      </c>
      <c r="U34" s="52"/>
      <c r="V34" s="51">
        <f t="shared" si="6"/>
        <v>2</v>
      </c>
      <c r="W34" s="52">
        <f t="shared" si="7"/>
        <v>11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139</v>
      </c>
      <c r="C35" s="37">
        <v>59.0</v>
      </c>
      <c r="D35" s="37">
        <v>6.0</v>
      </c>
      <c r="E35" s="40">
        <f t="shared" si="2"/>
        <v>10</v>
      </c>
      <c r="F35" s="90">
        <v>1.0</v>
      </c>
      <c r="G35" s="91">
        <v>5.0</v>
      </c>
      <c r="H35" s="92">
        <v>0.0</v>
      </c>
      <c r="I35" s="91">
        <v>6.0</v>
      </c>
      <c r="J35" s="91">
        <v>1.0</v>
      </c>
      <c r="K35" s="91">
        <v>4.0</v>
      </c>
      <c r="L35" s="93">
        <v>11.0</v>
      </c>
      <c r="M35" s="91">
        <v>1.0</v>
      </c>
      <c r="N35" s="37">
        <f t="shared" ref="N35:O35" si="40">C35+L35</f>
        <v>70</v>
      </c>
      <c r="O35" s="37">
        <f t="shared" si="40"/>
        <v>7</v>
      </c>
      <c r="P35" s="49" t="s">
        <v>57</v>
      </c>
      <c r="Q35" s="49" t="s">
        <v>57</v>
      </c>
      <c r="R35" s="49" t="s">
        <v>57</v>
      </c>
      <c r="S35" s="51">
        <f t="shared" si="4"/>
        <v>5</v>
      </c>
      <c r="T35" s="52">
        <f t="shared" si="5"/>
        <v>0</v>
      </c>
      <c r="U35" s="52"/>
      <c r="V35" s="51">
        <f t="shared" si="6"/>
        <v>1</v>
      </c>
      <c r="W35" s="52">
        <f t="shared" si="7"/>
        <v>-7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137</v>
      </c>
      <c r="C36" s="37">
        <v>59.0</v>
      </c>
      <c r="D36" s="37">
        <v>6.0</v>
      </c>
      <c r="E36" s="40">
        <f t="shared" si="2"/>
        <v>10.25</v>
      </c>
      <c r="F36" s="90">
        <v>3.0</v>
      </c>
      <c r="G36" s="91">
        <v>0.0</v>
      </c>
      <c r="H36" s="92">
        <v>9.0</v>
      </c>
      <c r="I36" s="91">
        <v>0.0</v>
      </c>
      <c r="J36" s="91">
        <v>0.0</v>
      </c>
      <c r="K36" s="91">
        <v>0.0</v>
      </c>
      <c r="L36" s="93">
        <v>9.0</v>
      </c>
      <c r="M36" s="91">
        <v>0.0</v>
      </c>
      <c r="N36" s="37">
        <f t="shared" ref="N36:O36" si="41">C36+L36</f>
        <v>68</v>
      </c>
      <c r="O36" s="37">
        <f t="shared" si="41"/>
        <v>6</v>
      </c>
      <c r="P36" s="49" t="s">
        <v>57</v>
      </c>
      <c r="Q36" s="49" t="s">
        <v>57</v>
      </c>
      <c r="R36" s="49" t="s">
        <v>57</v>
      </c>
      <c r="S36" s="51">
        <f t="shared" si="4"/>
        <v>4</v>
      </c>
      <c r="T36" s="52">
        <f t="shared" si="5"/>
        <v>0</v>
      </c>
      <c r="U36" s="52"/>
      <c r="V36" s="51">
        <f t="shared" si="6"/>
        <v>2</v>
      </c>
      <c r="W36" s="52">
        <f t="shared" si="7"/>
        <v>-7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64</v>
      </c>
      <c r="C37" s="37">
        <v>57.0</v>
      </c>
      <c r="D37" s="37">
        <v>5.0</v>
      </c>
      <c r="E37" s="40">
        <f t="shared" si="2"/>
        <v>9.5</v>
      </c>
      <c r="F37" s="90">
        <v>1.0</v>
      </c>
      <c r="G37" s="91">
        <v>5.0</v>
      </c>
      <c r="H37" s="92">
        <v>0.0</v>
      </c>
      <c r="I37" s="91">
        <v>4.0</v>
      </c>
      <c r="J37" s="91">
        <v>6.0</v>
      </c>
      <c r="K37" s="91">
        <v>4.0</v>
      </c>
      <c r="L37" s="93">
        <v>14.0</v>
      </c>
      <c r="M37" s="91">
        <v>1.0</v>
      </c>
      <c r="N37" s="37">
        <f t="shared" ref="N37:O37" si="42">C37+L37</f>
        <v>71</v>
      </c>
      <c r="O37" s="37">
        <f t="shared" si="42"/>
        <v>6</v>
      </c>
      <c r="P37" s="49" t="s">
        <v>57</v>
      </c>
      <c r="Q37" s="49" t="s">
        <v>57</v>
      </c>
      <c r="R37" s="49" t="s">
        <v>57</v>
      </c>
      <c r="S37" s="51">
        <f t="shared" si="4"/>
        <v>6</v>
      </c>
      <c r="T37" s="52">
        <f t="shared" si="5"/>
        <v>0</v>
      </c>
      <c r="U37" s="52"/>
      <c r="V37" s="51">
        <f t="shared" si="6"/>
        <v>0</v>
      </c>
      <c r="W37" s="52">
        <f t="shared" si="7"/>
        <v>-5</v>
      </c>
      <c r="X37" s="35">
        <f t="shared" si="12"/>
        <v>33</v>
      </c>
      <c r="Y37" s="35" t="str">
        <f t="shared" si="8"/>
        <v>Y</v>
      </c>
      <c r="Z37" s="19" t="str">
        <f t="shared" si="9"/>
        <v/>
      </c>
    </row>
    <row r="38">
      <c r="A38" s="35">
        <f t="shared" si="10"/>
        <v>34</v>
      </c>
      <c r="B38" s="36" t="s">
        <v>130</v>
      </c>
      <c r="C38" s="37">
        <v>57.0</v>
      </c>
      <c r="D38" s="37">
        <v>5.0</v>
      </c>
      <c r="E38" s="40">
        <f t="shared" si="2"/>
        <v>9.5</v>
      </c>
      <c r="F38" s="90">
        <v>1.0</v>
      </c>
      <c r="G38" s="91">
        <v>6.0</v>
      </c>
      <c r="H38" s="92">
        <v>0.0</v>
      </c>
      <c r="I38" s="91">
        <v>4.0</v>
      </c>
      <c r="J38" s="91">
        <v>0.0</v>
      </c>
      <c r="K38" s="91">
        <v>6.0</v>
      </c>
      <c r="L38" s="93">
        <v>10.0</v>
      </c>
      <c r="M38" s="91">
        <v>1.0</v>
      </c>
      <c r="N38" s="37">
        <f t="shared" ref="N38:O38" si="43">C38+L38</f>
        <v>67</v>
      </c>
      <c r="O38" s="37">
        <f t="shared" si="43"/>
        <v>6</v>
      </c>
      <c r="P38" s="49" t="s">
        <v>57</v>
      </c>
      <c r="Q38" s="49" t="s">
        <v>57</v>
      </c>
      <c r="R38" s="49" t="s">
        <v>57</v>
      </c>
      <c r="S38" s="51">
        <f t="shared" si="4"/>
        <v>6</v>
      </c>
      <c r="T38" s="52">
        <f t="shared" si="5"/>
        <v>0</v>
      </c>
      <c r="U38" s="52"/>
      <c r="V38" s="51">
        <f t="shared" si="6"/>
        <v>0</v>
      </c>
      <c r="W38" s="52">
        <f t="shared" si="7"/>
        <v>0</v>
      </c>
      <c r="X38" s="35">
        <f t="shared" si="12"/>
        <v>34</v>
      </c>
      <c r="Y38" s="35" t="str">
        <f t="shared" si="8"/>
        <v>Y</v>
      </c>
      <c r="Z38" s="19" t="str">
        <f t="shared" si="9"/>
        <v/>
      </c>
    </row>
    <row r="39">
      <c r="A39" s="35">
        <f t="shared" si="10"/>
        <v>35</v>
      </c>
      <c r="B39" s="36" t="s">
        <v>70</v>
      </c>
      <c r="C39" s="37">
        <v>57.0</v>
      </c>
      <c r="D39" s="37">
        <v>4.0</v>
      </c>
      <c r="E39" s="40">
        <f t="shared" si="2"/>
        <v>8.666666667</v>
      </c>
      <c r="F39" s="90">
        <v>2.0</v>
      </c>
      <c r="G39" s="91">
        <v>6.0</v>
      </c>
      <c r="H39" s="92">
        <v>0.0</v>
      </c>
      <c r="I39" s="91">
        <v>6.0</v>
      </c>
      <c r="J39" s="91">
        <v>0.0</v>
      </c>
      <c r="K39" s="91">
        <v>1.0</v>
      </c>
      <c r="L39" s="93">
        <v>7.0</v>
      </c>
      <c r="M39" s="91">
        <v>1.0</v>
      </c>
      <c r="N39" s="37">
        <f t="shared" ref="N39:O39" si="44">C39+L39</f>
        <v>64</v>
      </c>
      <c r="O39" s="37">
        <f t="shared" si="44"/>
        <v>5</v>
      </c>
      <c r="P39" s="49" t="s">
        <v>57</v>
      </c>
      <c r="Q39" s="49" t="s">
        <v>57</v>
      </c>
      <c r="R39" s="49" t="s">
        <v>57</v>
      </c>
      <c r="S39" s="51">
        <f t="shared" si="4"/>
        <v>3</v>
      </c>
      <c r="T39" s="52">
        <f t="shared" si="5"/>
        <v>1</v>
      </c>
      <c r="U39" s="52"/>
      <c r="V39" s="51">
        <f t="shared" si="6"/>
        <v>2</v>
      </c>
      <c r="W39" s="52">
        <f t="shared" si="7"/>
        <v>7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93</v>
      </c>
      <c r="C40" s="37">
        <v>57.0</v>
      </c>
      <c r="D40" s="37">
        <v>4.0</v>
      </c>
      <c r="E40" s="40">
        <f t="shared" si="2"/>
        <v>8.75</v>
      </c>
      <c r="F40" s="90">
        <v>2.0</v>
      </c>
      <c r="G40" s="91">
        <v>6.0</v>
      </c>
      <c r="H40" s="92">
        <v>0.0</v>
      </c>
      <c r="I40" s="91">
        <v>4.0</v>
      </c>
      <c r="J40" s="91">
        <v>6.0</v>
      </c>
      <c r="K40" s="91">
        <v>1.0</v>
      </c>
      <c r="L40" s="93">
        <v>11.0</v>
      </c>
      <c r="M40" s="91">
        <v>1.0</v>
      </c>
      <c r="N40" s="37">
        <f t="shared" ref="N40:O40" si="45">C40+L40</f>
        <v>68</v>
      </c>
      <c r="O40" s="37">
        <f t="shared" si="45"/>
        <v>5</v>
      </c>
      <c r="P40" s="49" t="s">
        <v>57</v>
      </c>
      <c r="Q40" s="49" t="s">
        <v>57</v>
      </c>
      <c r="R40" s="49" t="s">
        <v>57</v>
      </c>
      <c r="S40" s="51">
        <f t="shared" si="4"/>
        <v>4</v>
      </c>
      <c r="T40" s="52">
        <f t="shared" si="5"/>
        <v>1</v>
      </c>
      <c r="U40" s="52"/>
      <c r="V40" s="51">
        <f t="shared" si="6"/>
        <v>1</v>
      </c>
      <c r="W40" s="52">
        <f t="shared" si="7"/>
        <v>-3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90</v>
      </c>
      <c r="C41" s="37">
        <v>57.0</v>
      </c>
      <c r="D41" s="37">
        <v>3.0</v>
      </c>
      <c r="E41" s="40">
        <f t="shared" si="2"/>
        <v>10</v>
      </c>
      <c r="F41" s="90">
        <v>1.0</v>
      </c>
      <c r="G41" s="91">
        <v>6.0</v>
      </c>
      <c r="H41" s="92">
        <v>0.0</v>
      </c>
      <c r="I41" s="91">
        <v>6.0</v>
      </c>
      <c r="J41" s="91">
        <v>6.0</v>
      </c>
      <c r="K41" s="91">
        <v>6.0</v>
      </c>
      <c r="L41" s="93">
        <v>18.0</v>
      </c>
      <c r="M41" s="91">
        <v>3.0</v>
      </c>
      <c r="N41" s="37">
        <f t="shared" ref="N41:O41" si="46">C41+L41</f>
        <v>75</v>
      </c>
      <c r="O41" s="37">
        <f t="shared" si="46"/>
        <v>6</v>
      </c>
      <c r="P41" s="49" t="s">
        <v>57</v>
      </c>
      <c r="Q41" s="49" t="s">
        <v>57</v>
      </c>
      <c r="R41" s="49" t="s">
        <v>57</v>
      </c>
      <c r="S41" s="51">
        <f t="shared" si="4"/>
        <v>3</v>
      </c>
      <c r="T41" s="52">
        <f t="shared" si="5"/>
        <v>0</v>
      </c>
      <c r="U41" s="52"/>
      <c r="V41" s="51">
        <f t="shared" si="6"/>
        <v>3</v>
      </c>
      <c r="W41" s="52">
        <f t="shared" si="7"/>
        <v>-6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118</v>
      </c>
      <c r="C42" s="37">
        <v>57.0</v>
      </c>
      <c r="D42" s="37">
        <v>3.0</v>
      </c>
      <c r="E42" s="40">
        <f t="shared" si="2"/>
        <v>9.6</v>
      </c>
      <c r="F42" s="90">
        <v>1.0</v>
      </c>
      <c r="G42" s="91">
        <v>7.0</v>
      </c>
      <c r="H42" s="92">
        <v>0.0</v>
      </c>
      <c r="I42" s="91">
        <v>3.0</v>
      </c>
      <c r="J42" s="91">
        <v>2.0</v>
      </c>
      <c r="K42" s="91">
        <v>2.0</v>
      </c>
      <c r="L42" s="93">
        <v>7.0</v>
      </c>
      <c r="M42" s="91">
        <v>0.0</v>
      </c>
      <c r="N42" s="37">
        <f t="shared" ref="N42:O42" si="47">C42+L42</f>
        <v>64</v>
      </c>
      <c r="O42" s="37">
        <f t="shared" si="47"/>
        <v>3</v>
      </c>
      <c r="P42" s="49" t="s">
        <v>57</v>
      </c>
      <c r="Q42" s="49" t="s">
        <v>57</v>
      </c>
      <c r="R42" s="49" t="s">
        <v>57</v>
      </c>
      <c r="S42" s="51">
        <f t="shared" si="4"/>
        <v>5</v>
      </c>
      <c r="T42" s="52">
        <f t="shared" si="5"/>
        <v>0</v>
      </c>
      <c r="U42" s="52"/>
      <c r="V42" s="51">
        <f t="shared" si="6"/>
        <v>1</v>
      </c>
      <c r="W42" s="52">
        <f t="shared" si="7"/>
        <v>-8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143</v>
      </c>
      <c r="C43" s="37">
        <v>56.0</v>
      </c>
      <c r="D43" s="37">
        <v>4.0</v>
      </c>
      <c r="E43" s="40">
        <f t="shared" si="2"/>
        <v>9.666666667</v>
      </c>
      <c r="F43" s="90">
        <v>1.0</v>
      </c>
      <c r="G43" s="91">
        <v>7.0</v>
      </c>
      <c r="H43" s="92">
        <v>0.0</v>
      </c>
      <c r="I43" s="91">
        <v>6.0</v>
      </c>
      <c r="J43" s="91">
        <v>6.0</v>
      </c>
      <c r="K43" s="91">
        <v>2.0</v>
      </c>
      <c r="L43" s="93">
        <v>14.0</v>
      </c>
      <c r="M43" s="91">
        <v>2.0</v>
      </c>
      <c r="N43" s="37">
        <f t="shared" ref="N43:O43" si="48">C43+L43</f>
        <v>70</v>
      </c>
      <c r="O43" s="37">
        <f t="shared" si="48"/>
        <v>6</v>
      </c>
      <c r="P43" s="49" t="s">
        <v>57</v>
      </c>
      <c r="Q43" s="49" t="s">
        <v>57</v>
      </c>
      <c r="R43" s="49" t="s">
        <v>57</v>
      </c>
      <c r="S43" s="51">
        <f t="shared" si="4"/>
        <v>3</v>
      </c>
      <c r="T43" s="52">
        <f t="shared" si="5"/>
        <v>0</v>
      </c>
      <c r="U43" s="52"/>
      <c r="V43" s="51">
        <f t="shared" si="6"/>
        <v>3</v>
      </c>
      <c r="W43" s="52">
        <f t="shared" si="7"/>
        <v>14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126</v>
      </c>
      <c r="C44" s="37">
        <v>56.0</v>
      </c>
      <c r="D44" s="37">
        <v>3.0</v>
      </c>
      <c r="E44" s="40">
        <f t="shared" si="2"/>
        <v>9.666666667</v>
      </c>
      <c r="F44" s="90">
        <v>1.0</v>
      </c>
      <c r="G44" s="91">
        <v>7.0</v>
      </c>
      <c r="H44" s="92">
        <v>0.0</v>
      </c>
      <c r="I44" s="91">
        <v>3.0</v>
      </c>
      <c r="J44" s="91">
        <v>6.0</v>
      </c>
      <c r="K44" s="91">
        <v>6.0</v>
      </c>
      <c r="L44" s="93">
        <v>15.0</v>
      </c>
      <c r="M44" s="91">
        <v>2.0</v>
      </c>
      <c r="N44" s="37">
        <f t="shared" ref="N44:O44" si="49">C44+L44</f>
        <v>71</v>
      </c>
      <c r="O44" s="37">
        <f t="shared" si="49"/>
        <v>5</v>
      </c>
      <c r="P44" s="49" t="s">
        <v>57</v>
      </c>
      <c r="Q44" s="49" t="s">
        <v>57</v>
      </c>
      <c r="R44" s="49" t="s">
        <v>57</v>
      </c>
      <c r="S44" s="51">
        <f t="shared" si="4"/>
        <v>3</v>
      </c>
      <c r="T44" s="52">
        <f t="shared" si="5"/>
        <v>0</v>
      </c>
      <c r="U44" s="52"/>
      <c r="V44" s="51">
        <f t="shared" si="6"/>
        <v>3</v>
      </c>
      <c r="W44" s="52">
        <f t="shared" si="7"/>
        <v>34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95</v>
      </c>
      <c r="C45" s="37">
        <v>55.0</v>
      </c>
      <c r="D45" s="37">
        <v>4.0</v>
      </c>
      <c r="E45" s="40">
        <f t="shared" si="2"/>
        <v>9.333333333</v>
      </c>
      <c r="F45" s="90">
        <v>1.0</v>
      </c>
      <c r="G45" s="91">
        <v>7.0</v>
      </c>
      <c r="H45" s="92">
        <v>0.0</v>
      </c>
      <c r="I45" s="91">
        <v>6.0</v>
      </c>
      <c r="J45" s="91">
        <v>2.0</v>
      </c>
      <c r="K45" s="91">
        <v>6.0</v>
      </c>
      <c r="L45" s="93">
        <v>14.0</v>
      </c>
      <c r="M45" s="91">
        <v>2.0</v>
      </c>
      <c r="N45" s="37">
        <f t="shared" ref="N45:O45" si="50">C45+L45</f>
        <v>69</v>
      </c>
      <c r="O45" s="37">
        <f t="shared" si="50"/>
        <v>6</v>
      </c>
      <c r="P45" s="49" t="s">
        <v>57</v>
      </c>
      <c r="Q45" s="49" t="s">
        <v>57</v>
      </c>
      <c r="R45" s="49" t="s">
        <v>57</v>
      </c>
      <c r="S45" s="51">
        <f t="shared" si="4"/>
        <v>3</v>
      </c>
      <c r="T45" s="52">
        <f t="shared" si="5"/>
        <v>0</v>
      </c>
      <c r="U45" s="52"/>
      <c r="V45" s="51">
        <f t="shared" si="6"/>
        <v>3</v>
      </c>
      <c r="W45" s="52">
        <f t="shared" si="7"/>
        <v>-6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76</v>
      </c>
      <c r="C46" s="37">
        <v>55.0</v>
      </c>
      <c r="D46" s="37">
        <v>4.0</v>
      </c>
      <c r="E46" s="40">
        <f t="shared" si="2"/>
        <v>8</v>
      </c>
      <c r="F46" s="90">
        <v>5.0</v>
      </c>
      <c r="G46" s="91">
        <v>0.0</v>
      </c>
      <c r="H46" s="92">
        <v>13.0</v>
      </c>
      <c r="I46" s="91">
        <v>0.0</v>
      </c>
      <c r="J46" s="91">
        <v>0.0</v>
      </c>
      <c r="K46" s="91">
        <v>0.0</v>
      </c>
      <c r="L46" s="93">
        <v>13.0</v>
      </c>
      <c r="M46" s="91">
        <v>0.0</v>
      </c>
      <c r="N46" s="37">
        <f t="shared" ref="N46:O46" si="51">C46+L46</f>
        <v>68</v>
      </c>
      <c r="O46" s="37">
        <f t="shared" si="51"/>
        <v>4</v>
      </c>
      <c r="P46" s="49" t="s">
        <v>57</v>
      </c>
      <c r="Q46" s="49" t="s">
        <v>57</v>
      </c>
      <c r="R46" s="49" t="s">
        <v>57</v>
      </c>
      <c r="S46" s="51">
        <f t="shared" si="4"/>
        <v>3</v>
      </c>
      <c r="T46" s="52">
        <f t="shared" si="5"/>
        <v>1</v>
      </c>
      <c r="U46" s="52"/>
      <c r="V46" s="51">
        <f t="shared" si="6"/>
        <v>2</v>
      </c>
      <c r="W46" s="52">
        <f t="shared" si="7"/>
        <v>7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125</v>
      </c>
      <c r="C47" s="37">
        <v>55.0</v>
      </c>
      <c r="D47" s="37">
        <v>3.0</v>
      </c>
      <c r="E47" s="40">
        <f t="shared" si="2"/>
        <v>10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64</v>
      </c>
      <c r="O47" s="37">
        <f t="shared" si="52"/>
        <v>3</v>
      </c>
      <c r="P47" s="49" t="s">
        <v>57</v>
      </c>
      <c r="Q47" s="49" t="s">
        <v>57</v>
      </c>
      <c r="R47" s="49" t="s">
        <v>57</v>
      </c>
      <c r="S47" s="51">
        <f t="shared" si="4"/>
        <v>1</v>
      </c>
      <c r="T47" s="52">
        <f t="shared" si="5"/>
        <v>0</v>
      </c>
      <c r="U47" s="52"/>
      <c r="V47" s="51">
        <f t="shared" si="6"/>
        <v>5</v>
      </c>
      <c r="W47" s="52">
        <f t="shared" si="7"/>
        <v>-7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147</v>
      </c>
      <c r="C48" s="37">
        <v>55.0</v>
      </c>
      <c r="D48" s="37">
        <v>3.0</v>
      </c>
      <c r="E48" s="40">
        <f t="shared" si="2"/>
        <v>9.333333333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64</v>
      </c>
      <c r="O48" s="37">
        <f t="shared" si="53"/>
        <v>3</v>
      </c>
      <c r="P48" s="49" t="s">
        <v>57</v>
      </c>
      <c r="Q48" s="49" t="s">
        <v>57</v>
      </c>
      <c r="R48" s="49" t="s">
        <v>57</v>
      </c>
      <c r="S48" s="51">
        <f t="shared" si="4"/>
        <v>3</v>
      </c>
      <c r="T48" s="52">
        <f t="shared" si="5"/>
        <v>0</v>
      </c>
      <c r="U48" s="52"/>
      <c r="V48" s="51">
        <f t="shared" si="6"/>
        <v>3</v>
      </c>
      <c r="W48" s="52">
        <f t="shared" si="7"/>
        <v>13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78</v>
      </c>
      <c r="C49" s="37">
        <v>55.0</v>
      </c>
      <c r="D49" s="37">
        <v>2.0</v>
      </c>
      <c r="E49" s="40">
        <f t="shared" si="2"/>
        <v>6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64</v>
      </c>
      <c r="O49" s="37">
        <f t="shared" si="54"/>
        <v>2</v>
      </c>
      <c r="P49" s="49" t="s">
        <v>57</v>
      </c>
      <c r="Q49" s="49" t="s">
        <v>57</v>
      </c>
      <c r="R49" s="49" t="s">
        <v>57</v>
      </c>
      <c r="S49" s="51">
        <f t="shared" si="4"/>
        <v>1</v>
      </c>
      <c r="T49" s="52">
        <f t="shared" si="5"/>
        <v>1</v>
      </c>
      <c r="U49" s="52"/>
      <c r="V49" s="51">
        <f t="shared" si="6"/>
        <v>4</v>
      </c>
      <c r="W49" s="52">
        <f t="shared" si="7"/>
        <v>-7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149</v>
      </c>
      <c r="C50" s="37">
        <v>54.0</v>
      </c>
      <c r="D50" s="37">
        <v>5.0</v>
      </c>
      <c r="E50" s="40">
        <f t="shared" si="2"/>
        <v>9</v>
      </c>
      <c r="F50" s="90">
        <v>1.0</v>
      </c>
      <c r="G50" s="91">
        <v>8.0</v>
      </c>
      <c r="H50" s="92">
        <v>0.0</v>
      </c>
      <c r="I50" s="91">
        <v>2.0</v>
      </c>
      <c r="J50" s="91">
        <v>6.0</v>
      </c>
      <c r="K50" s="91">
        <v>7.0</v>
      </c>
      <c r="L50" s="93">
        <v>15.0</v>
      </c>
      <c r="M50" s="91">
        <v>2.0</v>
      </c>
      <c r="N50" s="37">
        <f t="shared" ref="N50:O50" si="55">C50+L50</f>
        <v>69</v>
      </c>
      <c r="O50" s="37">
        <f t="shared" si="55"/>
        <v>7</v>
      </c>
      <c r="P50" s="49" t="s">
        <v>57</v>
      </c>
      <c r="Q50" s="49" t="s">
        <v>57</v>
      </c>
      <c r="R50" s="49" t="s">
        <v>57</v>
      </c>
      <c r="S50" s="51">
        <f t="shared" si="4"/>
        <v>4</v>
      </c>
      <c r="T50" s="52">
        <f t="shared" si="5"/>
        <v>0</v>
      </c>
      <c r="U50" s="52"/>
      <c r="V50" s="51">
        <f t="shared" si="6"/>
        <v>2</v>
      </c>
      <c r="W50" s="52">
        <f t="shared" si="7"/>
        <v>10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142</v>
      </c>
      <c r="C51" s="37">
        <v>54.0</v>
      </c>
      <c r="D51" s="37">
        <v>4.0</v>
      </c>
      <c r="E51" s="40">
        <f t="shared" si="2"/>
        <v>9</v>
      </c>
      <c r="F51" s="90">
        <v>1.0</v>
      </c>
      <c r="G51" s="91">
        <v>8.0</v>
      </c>
      <c r="H51" s="92">
        <v>0.0</v>
      </c>
      <c r="I51" s="91">
        <v>6.0</v>
      </c>
      <c r="J51" s="91">
        <v>3.0</v>
      </c>
      <c r="K51" s="91">
        <v>7.0</v>
      </c>
      <c r="L51" s="93">
        <v>16.0</v>
      </c>
      <c r="M51" s="91">
        <v>2.0</v>
      </c>
      <c r="N51" s="37">
        <f t="shared" ref="N51:O51" si="56">C51+L51</f>
        <v>70</v>
      </c>
      <c r="O51" s="37">
        <f t="shared" si="56"/>
        <v>6</v>
      </c>
      <c r="P51" s="49" t="s">
        <v>57</v>
      </c>
      <c r="Q51" s="49" t="s">
        <v>57</v>
      </c>
      <c r="R51" s="49" t="s">
        <v>57</v>
      </c>
      <c r="S51" s="51">
        <f t="shared" si="4"/>
        <v>3</v>
      </c>
      <c r="T51" s="52">
        <f t="shared" si="5"/>
        <v>0</v>
      </c>
      <c r="U51" s="52"/>
      <c r="V51" s="51">
        <f t="shared" si="6"/>
        <v>3</v>
      </c>
      <c r="W51" s="52">
        <f t="shared" si="7"/>
        <v>-7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107</v>
      </c>
      <c r="C52" s="37">
        <v>54.0</v>
      </c>
      <c r="D52" s="37">
        <v>4.0</v>
      </c>
      <c r="E52" s="40">
        <f t="shared" si="2"/>
        <v>9</v>
      </c>
      <c r="F52" s="90">
        <v>2.0</v>
      </c>
      <c r="G52" s="91">
        <v>8.0</v>
      </c>
      <c r="H52" s="92">
        <v>0.0</v>
      </c>
      <c r="I52" s="91">
        <v>6.0</v>
      </c>
      <c r="J52" s="91">
        <v>6.0</v>
      </c>
      <c r="K52" s="91">
        <v>5.0</v>
      </c>
      <c r="L52" s="93">
        <v>17.0</v>
      </c>
      <c r="M52" s="91">
        <v>2.0</v>
      </c>
      <c r="N52" s="37">
        <f t="shared" ref="N52:O52" si="57">C52+L52</f>
        <v>71</v>
      </c>
      <c r="O52" s="37">
        <f t="shared" si="57"/>
        <v>6</v>
      </c>
      <c r="P52" s="49" t="s">
        <v>57</v>
      </c>
      <c r="Q52" s="49" t="s">
        <v>57</v>
      </c>
      <c r="R52" s="49" t="s">
        <v>57</v>
      </c>
      <c r="S52" s="51">
        <f t="shared" si="4"/>
        <v>3</v>
      </c>
      <c r="T52" s="52">
        <f t="shared" si="5"/>
        <v>0</v>
      </c>
      <c r="U52" s="52"/>
      <c r="V52" s="51">
        <f t="shared" si="6"/>
        <v>3</v>
      </c>
      <c r="W52" s="52">
        <f t="shared" si="7"/>
        <v>6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140</v>
      </c>
      <c r="C53" s="37">
        <v>54.0</v>
      </c>
      <c r="D53" s="37">
        <v>2.0</v>
      </c>
      <c r="E53" s="40">
        <f t="shared" si="2"/>
        <v>9</v>
      </c>
      <c r="F53" s="90">
        <v>1.0</v>
      </c>
      <c r="G53" s="91">
        <v>8.0</v>
      </c>
      <c r="H53" s="92">
        <v>0.0</v>
      </c>
      <c r="I53" s="91">
        <v>2.0</v>
      </c>
      <c r="J53" s="91">
        <v>3.0</v>
      </c>
      <c r="K53" s="91">
        <v>5.0</v>
      </c>
      <c r="L53" s="93">
        <v>10.0</v>
      </c>
      <c r="M53" s="91">
        <v>0.0</v>
      </c>
      <c r="N53" s="37">
        <f t="shared" ref="N53:O53" si="58">C53+L53</f>
        <v>64</v>
      </c>
      <c r="O53" s="37">
        <f t="shared" si="58"/>
        <v>2</v>
      </c>
      <c r="P53" s="49" t="s">
        <v>57</v>
      </c>
      <c r="Q53" s="49" t="s">
        <v>57</v>
      </c>
      <c r="R53" s="49" t="s">
        <v>57</v>
      </c>
      <c r="S53" s="51">
        <f t="shared" si="4"/>
        <v>4</v>
      </c>
      <c r="T53" s="52">
        <f t="shared" si="5"/>
        <v>0</v>
      </c>
      <c r="U53" s="52"/>
      <c r="V53" s="51">
        <f t="shared" si="6"/>
        <v>2</v>
      </c>
      <c r="W53" s="52">
        <f t="shared" si="7"/>
        <v>-12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51</v>
      </c>
      <c r="C54" s="37">
        <v>53.0</v>
      </c>
      <c r="D54" s="37">
        <v>2.0</v>
      </c>
      <c r="E54" s="40">
        <f t="shared" si="2"/>
        <v>8.5</v>
      </c>
      <c r="F54" s="90">
        <v>1.0</v>
      </c>
      <c r="G54" s="91">
        <v>9.0</v>
      </c>
      <c r="H54" s="92">
        <v>0.0</v>
      </c>
      <c r="I54" s="91">
        <v>6.0</v>
      </c>
      <c r="J54" s="91">
        <v>6.0</v>
      </c>
      <c r="K54" s="91">
        <v>6.0</v>
      </c>
      <c r="L54" s="93">
        <v>18.0</v>
      </c>
      <c r="M54" s="91">
        <v>3.0</v>
      </c>
      <c r="N54" s="37">
        <f t="shared" ref="N54:O54" si="59">C54+L54</f>
        <v>71</v>
      </c>
      <c r="O54" s="37">
        <f t="shared" si="59"/>
        <v>5</v>
      </c>
      <c r="P54" s="49" t="s">
        <v>57</v>
      </c>
      <c r="Q54" s="49" t="s">
        <v>57</v>
      </c>
      <c r="R54" s="49" t="s">
        <v>57</v>
      </c>
      <c r="S54" s="51">
        <f t="shared" si="4"/>
        <v>2</v>
      </c>
      <c r="T54" s="52">
        <f t="shared" si="5"/>
        <v>0</v>
      </c>
      <c r="U54" s="52"/>
      <c r="V54" s="51">
        <f t="shared" si="6"/>
        <v>4</v>
      </c>
      <c r="W54" s="52">
        <f t="shared" si="7"/>
        <v>18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152</v>
      </c>
      <c r="C55" s="37">
        <v>51.0</v>
      </c>
      <c r="D55" s="37">
        <v>4.0</v>
      </c>
      <c r="E55" s="40">
        <f t="shared" si="2"/>
        <v>8.25</v>
      </c>
      <c r="F55" s="90">
        <v>1.0</v>
      </c>
      <c r="G55" s="91">
        <v>9.0</v>
      </c>
      <c r="H55" s="92">
        <v>0.0</v>
      </c>
      <c r="I55" s="91">
        <v>2.0</v>
      </c>
      <c r="J55" s="91">
        <v>6.0</v>
      </c>
      <c r="K55" s="91">
        <v>1.0</v>
      </c>
      <c r="L55" s="93">
        <v>9.0</v>
      </c>
      <c r="M55" s="91">
        <v>1.0</v>
      </c>
      <c r="N55" s="37">
        <f t="shared" ref="N55:O55" si="60">C55+L55</f>
        <v>60</v>
      </c>
      <c r="O55" s="37">
        <f t="shared" si="60"/>
        <v>5</v>
      </c>
      <c r="P55" s="49" t="s">
        <v>57</v>
      </c>
      <c r="Q55" s="49" t="s">
        <v>57</v>
      </c>
      <c r="R55" s="49" t="s">
        <v>57</v>
      </c>
      <c r="S55" s="51">
        <f t="shared" si="4"/>
        <v>4</v>
      </c>
      <c r="T55" s="52">
        <f t="shared" si="5"/>
        <v>0</v>
      </c>
      <c r="U55" s="52"/>
      <c r="V55" s="51">
        <f t="shared" si="6"/>
        <v>2</v>
      </c>
      <c r="W55" s="52">
        <f t="shared" si="7"/>
        <v>8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129</v>
      </c>
      <c r="C56" s="37">
        <v>51.0</v>
      </c>
      <c r="D56" s="37">
        <v>3.0</v>
      </c>
      <c r="E56" s="40">
        <f t="shared" si="2"/>
        <v>8</v>
      </c>
      <c r="F56" s="90">
        <v>1.0</v>
      </c>
      <c r="G56" s="91">
        <v>9.0</v>
      </c>
      <c r="H56" s="92">
        <v>0.0</v>
      </c>
      <c r="I56" s="91">
        <v>2.0</v>
      </c>
      <c r="J56" s="91">
        <v>1.0</v>
      </c>
      <c r="K56" s="91">
        <v>6.0</v>
      </c>
      <c r="L56" s="93">
        <v>9.0</v>
      </c>
      <c r="M56" s="91">
        <v>1.0</v>
      </c>
      <c r="N56" s="37">
        <f t="shared" ref="N56:O56" si="61">C56+L56</f>
        <v>60</v>
      </c>
      <c r="O56" s="37">
        <f t="shared" si="61"/>
        <v>4</v>
      </c>
      <c r="P56" s="49" t="s">
        <v>57</v>
      </c>
      <c r="Q56" s="49" t="s">
        <v>57</v>
      </c>
      <c r="R56" s="49" t="s">
        <v>57</v>
      </c>
      <c r="S56" s="51">
        <f t="shared" si="4"/>
        <v>3</v>
      </c>
      <c r="T56" s="52">
        <f t="shared" si="5"/>
        <v>0</v>
      </c>
      <c r="U56" s="52"/>
      <c r="V56" s="51">
        <f t="shared" si="6"/>
        <v>3</v>
      </c>
      <c r="W56" s="52">
        <f t="shared" si="7"/>
        <v>10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106</v>
      </c>
      <c r="C57" s="37">
        <v>51.0</v>
      </c>
      <c r="D57" s="37">
        <v>1.0</v>
      </c>
      <c r="E57" s="40">
        <f t="shared" si="2"/>
        <v>6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60</v>
      </c>
      <c r="O57" s="37">
        <f t="shared" si="62"/>
        <v>1</v>
      </c>
      <c r="P57" s="49" t="s">
        <v>57</v>
      </c>
      <c r="Q57" s="49" t="s">
        <v>57</v>
      </c>
      <c r="R57" s="49" t="s">
        <v>57</v>
      </c>
      <c r="S57" s="51">
        <f t="shared" si="4"/>
        <v>1</v>
      </c>
      <c r="T57" s="52">
        <f t="shared" si="5"/>
        <v>0</v>
      </c>
      <c r="U57" s="52"/>
      <c r="V57" s="51">
        <f t="shared" si="6"/>
        <v>5</v>
      </c>
      <c r="W57" s="52">
        <f t="shared" si="7"/>
        <v>-9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145</v>
      </c>
      <c r="C58" s="37">
        <v>50.0</v>
      </c>
      <c r="D58" s="37">
        <v>5.0</v>
      </c>
      <c r="E58" s="40">
        <f t="shared" si="2"/>
        <v>8.2</v>
      </c>
      <c r="F58" s="90">
        <v>1.0</v>
      </c>
      <c r="G58" s="91">
        <v>9.0</v>
      </c>
      <c r="H58" s="92">
        <v>0.0</v>
      </c>
      <c r="I58" s="91">
        <v>6.0</v>
      </c>
      <c r="J58" s="91">
        <v>1.0</v>
      </c>
      <c r="K58" s="91">
        <v>1.0</v>
      </c>
      <c r="L58" s="93">
        <v>8.0</v>
      </c>
      <c r="M58" s="91">
        <v>1.0</v>
      </c>
      <c r="N58" s="37">
        <f t="shared" ref="N58:O58" si="63">C58+L58</f>
        <v>58</v>
      </c>
      <c r="O58" s="37">
        <f t="shared" si="63"/>
        <v>6</v>
      </c>
      <c r="P58" s="49" t="s">
        <v>57</v>
      </c>
      <c r="Q58" s="49" t="s">
        <v>57</v>
      </c>
      <c r="R58" s="49" t="s">
        <v>57</v>
      </c>
      <c r="S58" s="51">
        <f t="shared" si="4"/>
        <v>5</v>
      </c>
      <c r="T58" s="52">
        <f t="shared" si="5"/>
        <v>0</v>
      </c>
      <c r="U58" s="52"/>
      <c r="V58" s="51">
        <f t="shared" si="6"/>
        <v>1</v>
      </c>
      <c r="W58" s="52">
        <f t="shared" si="7"/>
        <v>-7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138</v>
      </c>
      <c r="C59" s="37">
        <v>50.0</v>
      </c>
      <c r="D59" s="37">
        <v>3.0</v>
      </c>
      <c r="E59" s="40">
        <f t="shared" si="2"/>
        <v>8</v>
      </c>
      <c r="F59" s="90">
        <v>2.0</v>
      </c>
      <c r="G59" s="91">
        <v>10.0</v>
      </c>
      <c r="H59" s="92">
        <v>0.0</v>
      </c>
      <c r="I59" s="91">
        <v>4.0</v>
      </c>
      <c r="J59" s="91">
        <v>6.0</v>
      </c>
      <c r="K59" s="91">
        <v>6.0</v>
      </c>
      <c r="L59" s="93">
        <v>16.0</v>
      </c>
      <c r="M59" s="91">
        <v>2.0</v>
      </c>
      <c r="N59" s="37">
        <f t="shared" ref="N59:O59" si="64">C59+L59</f>
        <v>66</v>
      </c>
      <c r="O59" s="37">
        <f t="shared" si="64"/>
        <v>5</v>
      </c>
      <c r="P59" s="49" t="s">
        <v>57</v>
      </c>
      <c r="Q59" s="49" t="s">
        <v>57</v>
      </c>
      <c r="R59" s="49" t="s">
        <v>57</v>
      </c>
      <c r="S59" s="51">
        <f t="shared" si="4"/>
        <v>4</v>
      </c>
      <c r="T59" s="52">
        <f t="shared" si="5"/>
        <v>0</v>
      </c>
      <c r="U59" s="52"/>
      <c r="V59" s="51">
        <f t="shared" si="6"/>
        <v>2</v>
      </c>
      <c r="W59" s="52">
        <f t="shared" si="7"/>
        <v>-7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97</v>
      </c>
      <c r="C60" s="37">
        <v>50.0</v>
      </c>
      <c r="D60" s="37">
        <v>1.0</v>
      </c>
      <c r="E60" s="40">
        <f t="shared" si="2"/>
        <v>7</v>
      </c>
      <c r="F60" s="90">
        <v>1.0</v>
      </c>
      <c r="G60" s="91">
        <v>10.0</v>
      </c>
      <c r="H60" s="92">
        <v>0.0</v>
      </c>
      <c r="I60" s="91">
        <v>6.0</v>
      </c>
      <c r="J60" s="91">
        <v>6.0</v>
      </c>
      <c r="K60" s="91">
        <v>4.0</v>
      </c>
      <c r="L60" s="93">
        <v>16.0</v>
      </c>
      <c r="M60" s="91">
        <v>2.0</v>
      </c>
      <c r="N60" s="37">
        <f t="shared" ref="N60:O60" si="65">C60+L60</f>
        <v>66</v>
      </c>
      <c r="O60" s="37">
        <f t="shared" si="65"/>
        <v>3</v>
      </c>
      <c r="P60" s="49" t="s">
        <v>57</v>
      </c>
      <c r="Q60" s="49" t="s">
        <v>57</v>
      </c>
      <c r="R60" s="49" t="s">
        <v>57</v>
      </c>
      <c r="S60" s="51">
        <f t="shared" si="4"/>
        <v>2</v>
      </c>
      <c r="T60" s="52">
        <f t="shared" si="5"/>
        <v>0</v>
      </c>
      <c r="U60" s="52"/>
      <c r="V60" s="51">
        <f t="shared" si="6"/>
        <v>4</v>
      </c>
      <c r="W60" s="52">
        <f t="shared" si="7"/>
        <v>-6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151</v>
      </c>
      <c r="C61" s="37">
        <v>49.0</v>
      </c>
      <c r="D61" s="37">
        <v>5.0</v>
      </c>
      <c r="E61" s="40">
        <f t="shared" si="2"/>
        <v>7.2</v>
      </c>
      <c r="F61" s="90">
        <v>5.0</v>
      </c>
      <c r="G61" s="91">
        <v>0.0</v>
      </c>
      <c r="H61" s="92">
        <v>13.0</v>
      </c>
      <c r="I61" s="91">
        <v>0.0</v>
      </c>
      <c r="J61" s="91">
        <v>0.0</v>
      </c>
      <c r="K61" s="91">
        <v>0.0</v>
      </c>
      <c r="L61" s="93">
        <v>13.0</v>
      </c>
      <c r="M61" s="91">
        <v>0.0</v>
      </c>
      <c r="N61" s="37">
        <f t="shared" ref="N61:O61" si="66">C61+L61</f>
        <v>62</v>
      </c>
      <c r="O61" s="37">
        <f t="shared" si="66"/>
        <v>5</v>
      </c>
      <c r="P61" s="49" t="s">
        <v>57</v>
      </c>
      <c r="Q61" s="49" t="s">
        <v>57</v>
      </c>
      <c r="R61" s="49" t="s">
        <v>57</v>
      </c>
      <c r="S61" s="51">
        <f t="shared" si="4"/>
        <v>5</v>
      </c>
      <c r="T61" s="52">
        <f t="shared" si="5"/>
        <v>1</v>
      </c>
      <c r="U61" s="52"/>
      <c r="V61" s="51">
        <f t="shared" si="6"/>
        <v>0</v>
      </c>
      <c r="W61" s="52">
        <f t="shared" si="7"/>
        <v>-11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154</v>
      </c>
      <c r="C62" s="37">
        <v>49.0</v>
      </c>
      <c r="D62" s="37">
        <v>3.0</v>
      </c>
      <c r="E62" s="40">
        <f t="shared" si="2"/>
        <v>6.5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58</v>
      </c>
      <c r="O62" s="37">
        <f t="shared" si="67"/>
        <v>3</v>
      </c>
      <c r="P62" s="49" t="s">
        <v>57</v>
      </c>
      <c r="Q62" s="49" t="s">
        <v>57</v>
      </c>
      <c r="R62" s="49" t="s">
        <v>57</v>
      </c>
      <c r="S62" s="51">
        <f t="shared" si="4"/>
        <v>2</v>
      </c>
      <c r="T62" s="52">
        <f t="shared" si="5"/>
        <v>0</v>
      </c>
      <c r="U62" s="52"/>
      <c r="V62" s="51">
        <f t="shared" si="6"/>
        <v>4</v>
      </c>
      <c r="W62" s="52">
        <f t="shared" si="7"/>
        <v>-15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73</v>
      </c>
      <c r="C63" s="37">
        <v>49.0</v>
      </c>
      <c r="D63" s="37">
        <v>2.0</v>
      </c>
      <c r="E63" s="40">
        <f t="shared" si="2"/>
        <v>4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58</v>
      </c>
      <c r="O63" s="37">
        <f t="shared" si="68"/>
        <v>2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5</v>
      </c>
      <c r="W63" s="52">
        <f t="shared" si="7"/>
        <v>-7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146</v>
      </c>
      <c r="C64" s="37">
        <v>49.0</v>
      </c>
      <c r="D64" s="37">
        <v>1.0</v>
      </c>
      <c r="E64" s="40">
        <f t="shared" si="2"/>
        <v>4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58</v>
      </c>
      <c r="O64" s="37">
        <f t="shared" si="69"/>
        <v>1</v>
      </c>
      <c r="P64" s="49" t="s">
        <v>57</v>
      </c>
      <c r="Q64" s="49" t="s">
        <v>57</v>
      </c>
      <c r="R64" s="49" t="s">
        <v>57</v>
      </c>
      <c r="S64" s="51">
        <f t="shared" si="4"/>
        <v>1</v>
      </c>
      <c r="T64" s="52">
        <f t="shared" si="5"/>
        <v>0</v>
      </c>
      <c r="U64" s="52"/>
      <c r="V64" s="51">
        <f t="shared" si="6"/>
        <v>5</v>
      </c>
      <c r="W64" s="52">
        <f t="shared" si="7"/>
        <v>-5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136</v>
      </c>
      <c r="C65" s="37">
        <v>48.0</v>
      </c>
      <c r="D65" s="37">
        <v>2.0</v>
      </c>
      <c r="E65" s="40">
        <f t="shared" si="2"/>
        <v>7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57</v>
      </c>
      <c r="O65" s="37">
        <f t="shared" si="70"/>
        <v>2</v>
      </c>
      <c r="P65" s="49" t="s">
        <v>57</v>
      </c>
      <c r="Q65" s="49" t="s">
        <v>57</v>
      </c>
      <c r="R65" s="49" t="s">
        <v>57</v>
      </c>
      <c r="S65" s="51">
        <f t="shared" si="4"/>
        <v>3</v>
      </c>
      <c r="T65" s="52">
        <f t="shared" si="5"/>
        <v>0</v>
      </c>
      <c r="U65" s="52"/>
      <c r="V65" s="51">
        <f t="shared" si="6"/>
        <v>3</v>
      </c>
      <c r="W65" s="52">
        <f t="shared" si="7"/>
        <v>-10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133</v>
      </c>
      <c r="C66" s="37">
        <v>47.0</v>
      </c>
      <c r="D66" s="37">
        <v>2.0</v>
      </c>
      <c r="E66" s="40">
        <f t="shared" si="2"/>
        <v>6.666666667</v>
      </c>
      <c r="F66" s="90">
        <v>1.0</v>
      </c>
      <c r="G66" s="91">
        <v>10.0</v>
      </c>
      <c r="H66" s="92">
        <v>0.0</v>
      </c>
      <c r="I66" s="91">
        <v>4.0</v>
      </c>
      <c r="J66" s="91">
        <v>3.0</v>
      </c>
      <c r="K66" s="91">
        <v>4.0</v>
      </c>
      <c r="L66" s="93">
        <v>11.0</v>
      </c>
      <c r="M66" s="91">
        <v>0.0</v>
      </c>
      <c r="N66" s="37">
        <f t="shared" ref="N66:O66" si="71">C66+L66</f>
        <v>58</v>
      </c>
      <c r="O66" s="37">
        <f t="shared" si="71"/>
        <v>2</v>
      </c>
      <c r="P66" s="49" t="s">
        <v>57</v>
      </c>
      <c r="Q66" s="49" t="s">
        <v>57</v>
      </c>
      <c r="R66" s="49" t="s">
        <v>57</v>
      </c>
      <c r="S66" s="51">
        <f t="shared" si="4"/>
        <v>3</v>
      </c>
      <c r="T66" s="52">
        <f t="shared" si="5"/>
        <v>0</v>
      </c>
      <c r="U66" s="52"/>
      <c r="V66" s="51">
        <f t="shared" si="6"/>
        <v>3</v>
      </c>
      <c r="W66" s="52">
        <f t="shared" si="7"/>
        <v>-2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124</v>
      </c>
      <c r="C67" s="37">
        <v>47.0</v>
      </c>
      <c r="D67" s="37">
        <v>1.0</v>
      </c>
      <c r="E67" s="40">
        <f t="shared" si="2"/>
        <v>2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56</v>
      </c>
      <c r="O67" s="37">
        <f t="shared" si="72"/>
        <v>1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5</v>
      </c>
      <c r="W67" s="52">
        <f t="shared" si="7"/>
        <v>-2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116</v>
      </c>
      <c r="C68" s="37">
        <v>46.0</v>
      </c>
      <c r="D68" s="37">
        <v>2.0</v>
      </c>
      <c r="E68" s="40">
        <f t="shared" si="2"/>
        <v>7.666666667</v>
      </c>
      <c r="F68" s="90">
        <v>1.0</v>
      </c>
      <c r="G68" s="91">
        <v>10.0</v>
      </c>
      <c r="H68" s="92">
        <v>0.0</v>
      </c>
      <c r="I68" s="91">
        <v>6.0</v>
      </c>
      <c r="J68" s="91">
        <v>3.0</v>
      </c>
      <c r="K68" s="91">
        <v>6.0</v>
      </c>
      <c r="L68" s="93">
        <v>15.0</v>
      </c>
      <c r="M68" s="91">
        <v>2.0</v>
      </c>
      <c r="N68" s="37">
        <f t="shared" ref="N68:O68" si="73">C68+L68</f>
        <v>61</v>
      </c>
      <c r="O68" s="37">
        <f t="shared" si="73"/>
        <v>4</v>
      </c>
      <c r="P68" s="49" t="s">
        <v>57</v>
      </c>
      <c r="Q68" s="49" t="s">
        <v>57</v>
      </c>
      <c r="R68" s="49" t="s">
        <v>57</v>
      </c>
      <c r="S68" s="51">
        <f t="shared" si="4"/>
        <v>6</v>
      </c>
      <c r="T68" s="52">
        <f t="shared" si="5"/>
        <v>0</v>
      </c>
      <c r="U68" s="52"/>
      <c r="V68" s="51">
        <f t="shared" si="6"/>
        <v>0</v>
      </c>
      <c r="W68" s="52">
        <f t="shared" si="7"/>
        <v>-6</v>
      </c>
      <c r="X68" s="35">
        <f t="shared" si="12"/>
        <v>64</v>
      </c>
      <c r="Y68" s="35" t="str">
        <f t="shared" si="8"/>
        <v>Y</v>
      </c>
      <c r="Z68" s="19" t="str">
        <f t="shared" si="9"/>
        <v/>
      </c>
    </row>
    <row r="69">
      <c r="A69" s="35">
        <f t="shared" si="10"/>
        <v>65</v>
      </c>
      <c r="B69" s="36" t="s">
        <v>134</v>
      </c>
      <c r="C69" s="37">
        <v>45.0</v>
      </c>
      <c r="D69" s="37">
        <v>3.0</v>
      </c>
      <c r="E69" s="40">
        <f t="shared" si="2"/>
        <v>7.2</v>
      </c>
      <c r="F69" s="90">
        <v>1.0</v>
      </c>
      <c r="G69" s="91">
        <v>11.0</v>
      </c>
      <c r="H69" s="92">
        <v>0.0</v>
      </c>
      <c r="I69" s="91">
        <v>6.0</v>
      </c>
      <c r="J69" s="91">
        <v>3.0</v>
      </c>
      <c r="K69" s="91">
        <v>6.0</v>
      </c>
      <c r="L69" s="93">
        <v>15.0</v>
      </c>
      <c r="M69" s="91">
        <v>2.0</v>
      </c>
      <c r="N69" s="37">
        <f t="shared" ref="N69:O69" si="74">C69+L69</f>
        <v>60</v>
      </c>
      <c r="O69" s="37">
        <f t="shared" si="74"/>
        <v>5</v>
      </c>
      <c r="P69" s="49" t="s">
        <v>57</v>
      </c>
      <c r="Q69" s="49" t="s">
        <v>57</v>
      </c>
      <c r="R69" s="49" t="s">
        <v>57</v>
      </c>
      <c r="S69" s="51">
        <f t="shared" si="4"/>
        <v>5</v>
      </c>
      <c r="T69" s="52">
        <f t="shared" si="5"/>
        <v>0</v>
      </c>
      <c r="U69" s="52"/>
      <c r="V69" s="51">
        <f t="shared" si="6"/>
        <v>1</v>
      </c>
      <c r="W69" s="52">
        <f t="shared" si="7"/>
        <v>-2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148</v>
      </c>
      <c r="C70" s="37">
        <v>45.0</v>
      </c>
      <c r="D70" s="37">
        <v>0.0</v>
      </c>
      <c r="E70" s="40">
        <f t="shared" si="2"/>
        <v>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54</v>
      </c>
      <c r="O70" s="37">
        <f t="shared" si="75"/>
        <v>0</v>
      </c>
      <c r="P70" s="49" t="s">
        <v>57</v>
      </c>
      <c r="Q70" s="49" t="s">
        <v>57</v>
      </c>
      <c r="R70" s="49" t="s">
        <v>57</v>
      </c>
      <c r="S70" s="51">
        <f t="shared" si="4"/>
        <v>0</v>
      </c>
      <c r="T70" s="52">
        <f t="shared" si="5"/>
        <v>0</v>
      </c>
      <c r="U70" s="52"/>
      <c r="V70" s="51">
        <f t="shared" si="6"/>
        <v>6</v>
      </c>
      <c r="W70" s="52">
        <f t="shared" si="7"/>
        <v>-2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153</v>
      </c>
      <c r="C71" s="37">
        <v>45.0</v>
      </c>
      <c r="D71" s="37">
        <v>0.0</v>
      </c>
      <c r="E71" s="40">
        <f t="shared" si="2"/>
        <v>0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54</v>
      </c>
      <c r="O71" s="37">
        <f t="shared" si="76"/>
        <v>0</v>
      </c>
      <c r="P71" s="49" t="s">
        <v>57</v>
      </c>
      <c r="Q71" s="49" t="s">
        <v>57</v>
      </c>
      <c r="R71" s="49" t="s">
        <v>57</v>
      </c>
      <c r="S71" s="51">
        <f t="shared" si="4"/>
        <v>0</v>
      </c>
      <c r="T71" s="52">
        <f t="shared" si="5"/>
        <v>0</v>
      </c>
      <c r="U71" s="52"/>
      <c r="V71" s="51">
        <f t="shared" si="6"/>
        <v>6</v>
      </c>
      <c r="W71" s="52">
        <f t="shared" si="7"/>
        <v>-2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141</v>
      </c>
      <c r="C72" s="37">
        <v>45.0</v>
      </c>
      <c r="D72" s="37">
        <v>0.0</v>
      </c>
      <c r="E72" s="40">
        <f t="shared" si="2"/>
        <v>0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54</v>
      </c>
      <c r="O72" s="37">
        <f t="shared" si="77"/>
        <v>0</v>
      </c>
      <c r="P72" s="49" t="s">
        <v>57</v>
      </c>
      <c r="Q72" s="49" t="s">
        <v>57</v>
      </c>
      <c r="R72" s="49" t="s">
        <v>57</v>
      </c>
      <c r="S72" s="51">
        <f t="shared" si="4"/>
        <v>0</v>
      </c>
      <c r="T72" s="52">
        <f t="shared" si="5"/>
        <v>0</v>
      </c>
      <c r="U72" s="52"/>
      <c r="V72" s="51">
        <f t="shared" si="6"/>
        <v>6</v>
      </c>
      <c r="W72" s="52">
        <f t="shared" si="7"/>
        <v>3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54</v>
      </c>
      <c r="C73" s="37">
        <v>45.0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54</v>
      </c>
      <c r="O73" s="37">
        <f t="shared" si="78"/>
        <v>0</v>
      </c>
      <c r="P73" s="49" t="s">
        <v>57</v>
      </c>
      <c r="Q73" s="49" t="s">
        <v>57</v>
      </c>
      <c r="R73" s="49" t="s">
        <v>57</v>
      </c>
      <c r="S73" s="51">
        <f t="shared" si="4"/>
        <v>0</v>
      </c>
      <c r="T73" s="52">
        <f t="shared" si="5"/>
        <v>0</v>
      </c>
      <c r="U73" s="52"/>
      <c r="V73" s="51">
        <f t="shared" si="6"/>
        <v>6</v>
      </c>
      <c r="W73" s="52">
        <f t="shared" si="7"/>
        <v>-3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105</v>
      </c>
      <c r="C74" s="37">
        <v>45.0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54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6</v>
      </c>
      <c r="W74" s="52">
        <f t="shared" si="7"/>
        <v>-3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101</v>
      </c>
      <c r="C75" s="37">
        <v>45.0</v>
      </c>
      <c r="D75" s="37">
        <v>0.0</v>
      </c>
      <c r="E75" s="40">
        <f t="shared" si="2"/>
        <v>0</v>
      </c>
      <c r="F75" s="90">
        <v>1.0</v>
      </c>
      <c r="G75" s="91">
        <v>11.0</v>
      </c>
      <c r="H75" s="92">
        <v>0.0</v>
      </c>
      <c r="I75" s="91">
        <v>6.0</v>
      </c>
      <c r="J75" s="91">
        <v>6.0</v>
      </c>
      <c r="K75" s="91">
        <v>4.0</v>
      </c>
      <c r="L75" s="93">
        <v>16.0</v>
      </c>
      <c r="M75" s="91">
        <v>2.0</v>
      </c>
      <c r="N75" s="37">
        <f t="shared" ref="N75:O75" si="80">C75+L75</f>
        <v>61</v>
      </c>
      <c r="O75" s="37">
        <f t="shared" si="80"/>
        <v>2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5</v>
      </c>
      <c r="W75" s="52">
        <f t="shared" si="7"/>
        <v>-2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150</v>
      </c>
      <c r="C76" s="37">
        <v>45.0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54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6</v>
      </c>
      <c r="W76" s="52">
        <f t="shared" si="7"/>
        <v>-2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45.0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54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6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144</v>
      </c>
      <c r="C78" s="37">
        <v>42.0</v>
      </c>
      <c r="D78" s="37">
        <v>2.0</v>
      </c>
      <c r="E78" s="40">
        <f t="shared" si="2"/>
        <v>6.6</v>
      </c>
      <c r="F78" s="90">
        <v>1.0</v>
      </c>
      <c r="G78" s="91">
        <v>11.0</v>
      </c>
      <c r="H78" s="92">
        <v>0.0</v>
      </c>
      <c r="I78" s="91">
        <v>0.0</v>
      </c>
      <c r="J78" s="91">
        <v>6.0</v>
      </c>
      <c r="K78" s="91">
        <v>6.0</v>
      </c>
      <c r="L78" s="93">
        <v>12.0</v>
      </c>
      <c r="M78" s="91">
        <v>2.0</v>
      </c>
      <c r="N78" s="37">
        <f t="shared" ref="N78:O78" si="83">C78+L78</f>
        <v>54</v>
      </c>
      <c r="O78" s="37">
        <f t="shared" si="83"/>
        <v>4</v>
      </c>
      <c r="P78" s="49" t="s">
        <v>57</v>
      </c>
      <c r="Q78" s="49" t="s">
        <v>57</v>
      </c>
      <c r="R78" s="49" t="s">
        <v>57</v>
      </c>
      <c r="S78" s="51">
        <f t="shared" si="4"/>
        <v>5</v>
      </c>
      <c r="T78" s="52">
        <f t="shared" si="5"/>
        <v>0</v>
      </c>
      <c r="U78" s="52"/>
      <c r="V78" s="51">
        <f t="shared" si="6"/>
        <v>1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37.0</v>
      </c>
      <c r="D79" s="37">
        <v>0.0</v>
      </c>
      <c r="E79" s="40">
        <f t="shared" si="2"/>
        <v>4.75</v>
      </c>
      <c r="F79" s="90">
        <v>1.0</v>
      </c>
      <c r="G79" s="91">
        <v>11.0</v>
      </c>
      <c r="H79" s="92">
        <v>0.0</v>
      </c>
      <c r="I79" s="91">
        <v>0.0</v>
      </c>
      <c r="J79" s="91">
        <v>3.0</v>
      </c>
      <c r="K79" s="91">
        <v>4.0</v>
      </c>
      <c r="L79" s="93">
        <v>7.0</v>
      </c>
      <c r="M79" s="91">
        <v>0.0</v>
      </c>
      <c r="N79" s="37">
        <f t="shared" ref="N79:O79" si="84">C79+L79</f>
        <v>44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4</v>
      </c>
      <c r="T79" s="52">
        <f t="shared" si="5"/>
        <v>0</v>
      </c>
      <c r="U79" s="52"/>
      <c r="V79" s="51">
        <f t="shared" si="6"/>
        <v>2</v>
      </c>
      <c r="W79" s="52">
        <f t="shared" si="7"/>
        <v>0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02/07/26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Yao")</f>
        <v>Andrew Yao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IFERROR(__xludf.DUMMYFUNCTION("""COMPUTED_VALUE"""),1.0)</f>
        <v>1</v>
      </c>
      <c r="F91" s="5"/>
    </row>
    <row r="92">
      <c r="A92" s="5"/>
      <c r="B92" s="36" t="str">
        <f>IFERROR(__xludf.DUMMYFUNCTION("""COMPUTED_VALUE"""),"Ethan Gu")</f>
        <v>Ethan Gu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IFERROR(__xludf.DUMMYFUNCTION("""COMPUTED_VALUE"""),4.0)</f>
        <v>4</v>
      </c>
      <c r="F92" s="5"/>
    </row>
    <row r="93">
      <c r="A93" s="5"/>
      <c r="B93" s="36" t="str">
        <f>IFERROR(__xludf.DUMMYFUNCTION("""COMPUTED_VALUE"""),"David Shin")</f>
        <v>David Shin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IFERROR(__xludf.DUMMYFUNCTION("""COMPUTED_VALUE"""),3.0)</f>
        <v>3</v>
      </c>
      <c r="F93" s="5"/>
    </row>
    <row r="94">
      <c r="A94" s="5"/>
      <c r="B94" s="36" t="str">
        <f>IFERROR(__xludf.DUMMYFUNCTION("""COMPUTED_VALUE"""),"Darren Wong")</f>
        <v>Darren Wong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IFERROR(__xludf.DUMMYFUNCTION("""COMPUTED_VALUE"""),5.0)</f>
        <v>5</v>
      </c>
      <c r="F94" s="5"/>
    </row>
    <row r="95">
      <c r="A95" s="5"/>
      <c r="B95" s="36" t="str">
        <f>IFERROR(__xludf.DUMMYFUNCTION("""COMPUTED_VALUE"""),"Cid Macaraeg")</f>
        <v>Cid Macaraeg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IFERROR(__xludf.DUMMYFUNCTION("""COMPUTED_VALUE"""),6.0)</f>
        <v>6</v>
      </c>
      <c r="F95" s="5"/>
    </row>
    <row r="96">
      <c r="A96" s="5"/>
      <c r="B96" s="36" t="str">
        <f>IFERROR(__xludf.DUMMYFUNCTION("""COMPUTED_VALUE"""),"Scott Li")</f>
        <v>Scott Li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IFERROR(__xludf.DUMMYFUNCTION("""COMPUTED_VALUE"""),8.0)</f>
        <v>8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10"")"),"Vinotkumar Nagappan")</f>
        <v>Vinotkumar Nagappan</v>
      </c>
      <c r="C110" s="122">
        <f>IFERROR(__xludf.DUMMYFUNCTION("""COMPUTED_VALUE"""),34.0)</f>
        <v>34</v>
      </c>
      <c r="D110" s="122">
        <f t="shared" ref="D110:D119" si="85">VLOOKUP(B110,indirect($AC$2&amp;"!B$5:X$79"),23, false)</f>
        <v>74</v>
      </c>
      <c r="E110" s="122">
        <f t="shared" ref="E110:E119" si="86">VLOOKUP(B110,B$5:X$79,23, false)</f>
        <v>40</v>
      </c>
      <c r="F110" s="122">
        <f t="shared" ref="F110:F119" si="87">VLOOKUP(B110,indirect($AC$2&amp;"!B$5:U$79"),11, false)</f>
        <v>15</v>
      </c>
      <c r="G110" s="122">
        <f t="shared" ref="G110:G119" si="88">VLOOKUP(B110,indirect($AC$2&amp;"!B$5:U$79"),6, false)</f>
        <v>11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IFERROR(__xludf.DUMMYFUNCTION("""COMPUTED_VALUE"""),"Adrian Tay")</f>
        <v>Adrian Tay</v>
      </c>
      <c r="C111" s="122">
        <f>IFERROR(__xludf.DUMMYFUNCTION("""COMPUTED_VALUE"""),18.0)</f>
        <v>18</v>
      </c>
      <c r="D111" s="122">
        <f t="shared" si="85"/>
        <v>68</v>
      </c>
      <c r="E111" s="122">
        <f t="shared" si="86"/>
        <v>50</v>
      </c>
      <c r="F111" s="122">
        <f t="shared" si="87"/>
        <v>17</v>
      </c>
      <c r="G111" s="122">
        <f t="shared" si="88"/>
        <v>11</v>
      </c>
      <c r="L111" s="122" t="str">
        <f t="shared" si="89"/>
        <v>ok</v>
      </c>
    </row>
    <row r="112">
      <c r="A112" s="5"/>
      <c r="B112" s="36" t="str">
        <f>IFERROR(__xludf.DUMMYFUNCTION("""COMPUTED_VALUE"""),"Scott Li")</f>
        <v>Scott Li</v>
      </c>
      <c r="C112" s="122">
        <f>IFERROR(__xludf.DUMMYFUNCTION("""COMPUTED_VALUE"""),16.0)</f>
        <v>16</v>
      </c>
      <c r="D112" s="122">
        <f t="shared" si="85"/>
        <v>45</v>
      </c>
      <c r="E112" s="122">
        <f t="shared" si="86"/>
        <v>29</v>
      </c>
      <c r="F112" s="122">
        <f t="shared" si="87"/>
        <v>18</v>
      </c>
      <c r="G112" s="122">
        <f t="shared" si="88"/>
        <v>8</v>
      </c>
      <c r="L112" s="122" t="str">
        <f t="shared" si="89"/>
        <v>ok</v>
      </c>
    </row>
    <row r="113">
      <c r="A113" s="5"/>
      <c r="B113" s="36" t="str">
        <f>IFERROR(__xludf.DUMMYFUNCTION("""COMPUTED_VALUE"""),"Darren Wong")</f>
        <v>Darren Wong</v>
      </c>
      <c r="C113" s="122">
        <f>IFERROR(__xludf.DUMMYFUNCTION("""COMPUTED_VALUE"""),15.0)</f>
        <v>15</v>
      </c>
      <c r="D113" s="122">
        <f t="shared" si="85"/>
        <v>27</v>
      </c>
      <c r="E113" s="122">
        <f t="shared" si="86"/>
        <v>12</v>
      </c>
      <c r="F113" s="122">
        <f t="shared" si="87"/>
        <v>18</v>
      </c>
      <c r="G113" s="122">
        <f t="shared" si="88"/>
        <v>5</v>
      </c>
      <c r="L113" s="122" t="str">
        <f t="shared" si="89"/>
        <v>ok</v>
      </c>
    </row>
    <row r="114">
      <c r="A114" s="5"/>
      <c r="B114" s="36" t="str">
        <f>IFERROR(__xludf.DUMMYFUNCTION("""COMPUTED_VALUE"""),"Cid Macaraeg")</f>
        <v>Cid Macaraeg</v>
      </c>
      <c r="C114" s="122">
        <f>IFERROR(__xludf.DUMMYFUNCTION("""COMPUTED_VALUE"""),14.0)</f>
        <v>14</v>
      </c>
      <c r="D114" s="122">
        <f t="shared" si="85"/>
        <v>32</v>
      </c>
      <c r="E114" s="122">
        <f t="shared" si="86"/>
        <v>18</v>
      </c>
      <c r="F114" s="122">
        <f t="shared" si="87"/>
        <v>18</v>
      </c>
      <c r="G114" s="122">
        <f t="shared" si="88"/>
        <v>6</v>
      </c>
      <c r="L114" s="122" t="str">
        <f t="shared" si="89"/>
        <v>ok</v>
      </c>
    </row>
    <row r="115">
      <c r="A115" s="5"/>
      <c r="B115" s="36" t="str">
        <f>IFERROR(__xludf.DUMMYFUNCTION("""COMPUTED_VALUE"""),"Ramesh Bandaru")</f>
        <v>Ramesh Bandaru</v>
      </c>
      <c r="C115" s="122">
        <f>IFERROR(__xludf.DUMMYFUNCTION("""COMPUTED_VALUE"""),14.0)</f>
        <v>14</v>
      </c>
      <c r="D115" s="122">
        <f t="shared" si="85"/>
        <v>53</v>
      </c>
      <c r="E115" s="122">
        <f t="shared" si="86"/>
        <v>39</v>
      </c>
      <c r="F115" s="122">
        <f t="shared" si="87"/>
        <v>16</v>
      </c>
      <c r="G115" s="122">
        <f t="shared" si="88"/>
        <v>9</v>
      </c>
      <c r="L115" s="122" t="str">
        <f t="shared" si="89"/>
        <v>ok</v>
      </c>
    </row>
    <row r="116">
      <c r="A116" s="5"/>
      <c r="B116" s="36" t="str">
        <f>IFERROR(__xludf.DUMMYFUNCTION("""COMPUTED_VALUE"""),"Ethan Gu")</f>
        <v>Ethan Gu</v>
      </c>
      <c r="C116" s="122">
        <f>IFERROR(__xludf.DUMMYFUNCTION("""COMPUTED_VALUE"""),13.0)</f>
        <v>13</v>
      </c>
      <c r="D116" s="122">
        <f t="shared" si="85"/>
        <v>23</v>
      </c>
      <c r="E116" s="122">
        <f t="shared" si="86"/>
        <v>10</v>
      </c>
      <c r="F116" s="122">
        <f t="shared" si="87"/>
        <v>19</v>
      </c>
      <c r="G116" s="122">
        <f t="shared" si="88"/>
        <v>4</v>
      </c>
      <c r="L116" s="122" t="str">
        <f t="shared" si="89"/>
        <v>ok</v>
      </c>
    </row>
    <row r="117">
      <c r="A117" s="5"/>
      <c r="B117" s="36" t="str">
        <f>IFERROR(__xludf.DUMMYFUNCTION("""COMPUTED_VALUE"""),"Oscar Bonilla")</f>
        <v>Oscar Bonilla</v>
      </c>
      <c r="C117" s="122">
        <f>IFERROR(__xludf.DUMMYFUNCTION("""COMPUTED_VALUE"""),13.0)</f>
        <v>13</v>
      </c>
      <c r="D117" s="122">
        <f t="shared" si="85"/>
        <v>39</v>
      </c>
      <c r="E117" s="122">
        <f t="shared" si="86"/>
        <v>26</v>
      </c>
      <c r="F117" s="122">
        <f t="shared" si="87"/>
        <v>15</v>
      </c>
      <c r="G117" s="122">
        <f t="shared" si="88"/>
        <v>7</v>
      </c>
      <c r="L117" s="122" t="str">
        <f t="shared" si="89"/>
        <v>ok</v>
      </c>
    </row>
    <row r="118">
      <c r="A118" s="5"/>
      <c r="B118" s="36" t="str">
        <f>IFERROR(__xludf.DUMMYFUNCTION("""COMPUTED_VALUE"""),"Vishnu Amarnath")</f>
        <v>Vishnu Amarnath</v>
      </c>
      <c r="C118" s="122">
        <f>IFERROR(__xludf.DUMMYFUNCTION("""COMPUTED_VALUE"""),13.0)</f>
        <v>13</v>
      </c>
      <c r="D118" s="122">
        <f t="shared" si="85"/>
        <v>57</v>
      </c>
      <c r="E118" s="122">
        <f t="shared" si="86"/>
        <v>44</v>
      </c>
      <c r="F118" s="122">
        <f t="shared" si="87"/>
        <v>16</v>
      </c>
      <c r="G118" s="122">
        <f t="shared" si="88"/>
        <v>10</v>
      </c>
      <c r="L118" s="122" t="str">
        <f t="shared" si="89"/>
        <v>ok</v>
      </c>
    </row>
    <row r="119">
      <c r="A119" s="5"/>
      <c r="B119" s="36" t="str">
        <f>IFERROR(__xludf.DUMMYFUNCTION("""COMPUTED_VALUE"""),"Rajasekar Ramasamy")</f>
        <v>Rajasekar Ramasamy</v>
      </c>
      <c r="C119" s="122">
        <f>IFERROR(__xludf.DUMMYFUNCTION("""COMPUTED_VALUE"""),11.0)</f>
        <v>11</v>
      </c>
      <c r="D119" s="122">
        <f t="shared" si="85"/>
        <v>41</v>
      </c>
      <c r="E119" s="122">
        <f t="shared" si="86"/>
        <v>30</v>
      </c>
      <c r="F119" s="122">
        <f t="shared" si="87"/>
        <v>17</v>
      </c>
      <c r="G119" s="122">
        <f t="shared" si="88"/>
        <v>7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6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86</v>
      </c>
      <c r="D128" s="122">
        <f t="shared" si="90"/>
        <v>12</v>
      </c>
      <c r="E128" s="122">
        <f t="shared" si="90"/>
        <v>14.33333333</v>
      </c>
      <c r="F128" s="5"/>
    </row>
    <row r="129">
      <c r="A129" s="122">
        <f t="shared" ref="A129:E129" si="91">A6</f>
        <v>2</v>
      </c>
      <c r="B129" s="36" t="str">
        <f t="shared" si="91"/>
        <v>Sandeep Kamalon</v>
      </c>
      <c r="C129" s="122">
        <f t="shared" si="91"/>
        <v>84</v>
      </c>
      <c r="D129" s="122">
        <f t="shared" si="91"/>
        <v>10</v>
      </c>
      <c r="E129" s="122">
        <f t="shared" si="91"/>
        <v>15</v>
      </c>
      <c r="F129" s="5"/>
    </row>
    <row r="130">
      <c r="A130" s="122">
        <f t="shared" ref="A130:E130" si="92">A7</f>
        <v>3</v>
      </c>
      <c r="B130" s="36" t="str">
        <f t="shared" si="92"/>
        <v>Suleman Alidina</v>
      </c>
      <c r="C130" s="122">
        <f t="shared" si="92"/>
        <v>75</v>
      </c>
      <c r="D130" s="122">
        <f t="shared" si="92"/>
        <v>9</v>
      </c>
      <c r="E130" s="122">
        <f t="shared" si="92"/>
        <v>12.5</v>
      </c>
      <c r="F130" s="5"/>
    </row>
    <row r="131">
      <c r="A131" s="122">
        <f t="shared" ref="A131:E131" si="93">A8</f>
        <v>4</v>
      </c>
      <c r="B131" s="36" t="str">
        <f t="shared" si="93"/>
        <v>Jaya Sogata</v>
      </c>
      <c r="C131" s="122">
        <f t="shared" si="93"/>
        <v>74</v>
      </c>
      <c r="D131" s="122">
        <f t="shared" si="93"/>
        <v>9</v>
      </c>
      <c r="E131" s="122">
        <f t="shared" si="93"/>
        <v>13</v>
      </c>
      <c r="F131" s="5"/>
    </row>
    <row r="132">
      <c r="A132" s="122">
        <f t="shared" ref="A132:E132" si="94">A9</f>
        <v>5</v>
      </c>
      <c r="B132" s="36" t="str">
        <f t="shared" si="94"/>
        <v>Eric Pan</v>
      </c>
      <c r="C132" s="122">
        <f t="shared" si="94"/>
        <v>73</v>
      </c>
      <c r="D132" s="122">
        <f t="shared" si="94"/>
        <v>10</v>
      </c>
      <c r="E132" s="122">
        <f t="shared" si="94"/>
        <v>12.8</v>
      </c>
      <c r="F132" s="5"/>
    </row>
    <row r="133">
      <c r="A133" s="122">
        <f t="shared" ref="A133:E133" si="95">A10</f>
        <v>6</v>
      </c>
      <c r="B133" s="36" t="str">
        <f t="shared" si="95"/>
        <v>David Shin</v>
      </c>
      <c r="C133" s="122">
        <f t="shared" si="95"/>
        <v>73</v>
      </c>
      <c r="D133" s="122">
        <f t="shared" si="95"/>
        <v>8</v>
      </c>
      <c r="E133" s="122">
        <f t="shared" si="95"/>
        <v>12.8</v>
      </c>
      <c r="F133" s="5"/>
    </row>
    <row r="134">
      <c r="A134" s="122">
        <f t="shared" ref="A134:E134" si="96">A11</f>
        <v>7</v>
      </c>
      <c r="B134" s="36" t="str">
        <f t="shared" si="96"/>
        <v>Ted Shen</v>
      </c>
      <c r="C134" s="122">
        <f t="shared" si="96"/>
        <v>71</v>
      </c>
      <c r="D134" s="122">
        <f t="shared" si="96"/>
        <v>8</v>
      </c>
      <c r="E134" s="122">
        <f t="shared" si="96"/>
        <v>11.83333333</v>
      </c>
      <c r="F134" s="5"/>
    </row>
    <row r="135">
      <c r="A135" s="122">
        <f t="shared" ref="A135:E135" si="97">A12</f>
        <v>8</v>
      </c>
      <c r="B135" s="36" t="str">
        <f t="shared" si="97"/>
        <v>Frank Moon</v>
      </c>
      <c r="C135" s="122">
        <f t="shared" si="97"/>
        <v>71</v>
      </c>
      <c r="D135" s="122">
        <f t="shared" si="97"/>
        <v>6</v>
      </c>
      <c r="E135" s="122">
        <f t="shared" si="97"/>
        <v>11.83333333</v>
      </c>
      <c r="F135" s="5"/>
    </row>
    <row r="136">
      <c r="A136" s="122">
        <f t="shared" ref="A136:E136" si="98">A13</f>
        <v>9</v>
      </c>
      <c r="B136" s="36" t="str">
        <f t="shared" si="98"/>
        <v>Joe Luzzi</v>
      </c>
      <c r="C136" s="122">
        <f t="shared" si="98"/>
        <v>70</v>
      </c>
      <c r="D136" s="122">
        <f t="shared" si="98"/>
        <v>9</v>
      </c>
      <c r="E136" s="122">
        <f t="shared" si="98"/>
        <v>12.2</v>
      </c>
      <c r="F136" s="5"/>
    </row>
    <row r="137">
      <c r="A137" s="122">
        <f t="shared" ref="A137:E137" si="99">A14</f>
        <v>10</v>
      </c>
      <c r="B137" s="36" t="str">
        <f t="shared" si="99"/>
        <v>Ethan Gu</v>
      </c>
      <c r="C137" s="122">
        <f t="shared" si="99"/>
        <v>70</v>
      </c>
      <c r="D137" s="122">
        <f t="shared" si="99"/>
        <v>7</v>
      </c>
      <c r="E137" s="122">
        <f t="shared" si="99"/>
        <v>14.33333333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IFERROR(__xludf.DUMMYFUNCTION("""COMPUTED_VALUE"""),"Suleman Alidina")</f>
        <v>Suleman Alidina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IFERROR(__xludf.DUMMYFUNCTION("""COMPUTED_VALUE"""),"Ted Shen")</f>
        <v>Ted Shen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IFERROR(__xludf.DUMMYFUNCTION("""COMPUTED_VALUE"""),"Wayne Liu")</f>
        <v>Wayne Liu</v>
      </c>
      <c r="C171" s="5"/>
      <c r="D171" s="5"/>
      <c r="E171" s="5"/>
      <c r="F171" s="5"/>
    </row>
    <row r="172">
      <c r="A172" s="122">
        <f t="shared" si="100"/>
        <v>0</v>
      </c>
      <c r="B172" s="36"/>
      <c r="C172" s="5"/>
      <c r="D172" s="5"/>
      <c r="E172" s="5"/>
      <c r="F172" s="5"/>
    </row>
    <row r="173">
      <c r="A173" s="122">
        <f t="shared" si="100"/>
        <v>0</v>
      </c>
      <c r="B173" s="36"/>
      <c r="C173" s="5"/>
      <c r="D173" s="5"/>
      <c r="E173" s="5"/>
      <c r="F173" s="5"/>
    </row>
    <row r="174">
      <c r="A174" s="122">
        <f t="shared" si="100"/>
        <v>0</v>
      </c>
      <c r="B174" s="36"/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02/07/26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IFERROR(__xludf.DUMMYFUNCTION("""COMPUTED_VALUE"""),"Sandeep Kamalon")</f>
        <v>Sandeep Kamalon</v>
      </c>
      <c r="C250" s="132">
        <f>IFERROR(__xludf.DUMMYFUNCTION("""COMPUTED_VALUE"""),3.0)</f>
        <v>3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IFERROR(__xludf.DUMMYFUNCTION("""COMPUTED_VALUE"""),15.0)</f>
        <v>15</v>
      </c>
      <c r="G250" s="132">
        <f>IFERROR(__xludf.DUMMYFUNCTION("""COMPUTED_VALUE"""),1.0)</f>
        <v>1</v>
      </c>
    </row>
    <row r="251">
      <c r="A251" s="122">
        <f>IFERROR(__xludf.DUMMYFUNCTION("""COMPUTED_VALUE"""),1.0)</f>
        <v>1</v>
      </c>
      <c r="B251" s="36" t="str">
        <f>IFERROR(__xludf.DUMMYFUNCTION("""COMPUTED_VALUE"""),"Andrew Yao")</f>
        <v>Andrew Yao</v>
      </c>
      <c r="C251" s="132">
        <f>IFERROR(__xludf.DUMMYFUNCTION("""COMPUTED_VALUE"""),6.0)</f>
        <v>6</v>
      </c>
      <c r="D251" s="132">
        <f>IFERROR(__xludf.DUMMYFUNCTION("""COMPUTED_VALUE"""),6.0)</f>
        <v>6</v>
      </c>
      <c r="E251" s="132">
        <f>IFERROR(__xludf.DUMMYFUNCTION("""COMPUTED_VALUE"""),7.0)</f>
        <v>7</v>
      </c>
      <c r="F251" s="132">
        <f>IFERROR(__xludf.DUMMYFUNCTION("""COMPUTED_VALUE"""),19.0)</f>
        <v>19</v>
      </c>
      <c r="G251" s="132">
        <f>IFERROR(__xludf.DUMMYFUNCTION("""COMPUTED_VALUE"""),3.0)</f>
        <v>3</v>
      </c>
    </row>
    <row r="252">
      <c r="A252" s="122">
        <f>IFERROR(__xludf.DUMMYFUNCTION("""COMPUTED_VALUE"""),1.0)</f>
        <v>1</v>
      </c>
      <c r="B252" s="36" t="str">
        <f>IFERROR(__xludf.DUMMYFUNCTION("""COMPUTED_VALUE"""),"Suleman Alidina")</f>
        <v>Suleman Alidina</v>
      </c>
      <c r="C252" s="132">
        <f>IFERROR(__xludf.DUMMYFUNCTION("""COMPUTED_VALUE"""),6.0)</f>
        <v>6</v>
      </c>
      <c r="D252" s="132">
        <f>IFERROR(__xludf.DUMMYFUNCTION("""COMPUTED_VALUE"""),1.0)</f>
        <v>1</v>
      </c>
      <c r="E252" s="132">
        <f>IFERROR(__xludf.DUMMYFUNCTION("""COMPUTED_VALUE"""),6.0)</f>
        <v>6</v>
      </c>
      <c r="F252" s="132">
        <f>IFERROR(__xludf.DUMMYFUNCTION("""COMPUTED_VALUE"""),13.0)</f>
        <v>13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IFERROR(__xludf.DUMMYFUNCTION("""COMPUTED_VALUE"""),"Frank Moon")</f>
        <v>Frank Moon</v>
      </c>
      <c r="C253" s="132">
        <f>IFERROR(__xludf.DUMMYFUNCTION("""COMPUTED_VALUE"""),3.0)</f>
        <v>3</v>
      </c>
      <c r="D253" s="132">
        <f>IFERROR(__xludf.DUMMYFUNCTION("""COMPUTED_VALUE"""),1.0)</f>
        <v>1</v>
      </c>
      <c r="E253" s="132">
        <f>IFERROR(__xludf.DUMMYFUNCTION("""COMPUTED_VALUE"""),7.0)</f>
        <v>7</v>
      </c>
      <c r="F253" s="132">
        <f>IFERROR(__xludf.DUMMYFUNCTION("""COMPUTED_VALUE"""),11.0)</f>
        <v>11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IFERROR(__xludf.DUMMYFUNCTION("""COMPUTED_VALUE"""),"Eric Pan")</f>
        <v>Eric Pan</v>
      </c>
      <c r="C254" s="135">
        <f>IFERROR(__xludf.DUMMYFUNCTION("""COMPUTED_VALUE"""),6.0)</f>
        <v>6</v>
      </c>
      <c r="D254" s="135">
        <f>IFERROR(__xludf.DUMMYFUNCTION("""COMPUTED_VALUE"""),6.0)</f>
        <v>6</v>
      </c>
      <c r="E254" s="135">
        <f>IFERROR(__xludf.DUMMYFUNCTION("""COMPUTED_VALUE"""),2.0)</f>
        <v>2</v>
      </c>
      <c r="F254" s="135">
        <f>IFERROR(__xludf.DUMMYFUNCTION("""COMPUTED_VALUE"""),14.0)</f>
        <v>14</v>
      </c>
      <c r="G254" s="135">
        <f>IFERROR(__xludf.DUMMYFUNCTION("""COMPUTED_VALUE"""),2.0)</f>
        <v>2</v>
      </c>
    </row>
    <row r="255">
      <c r="A255" s="133">
        <f>IFERROR(__xludf.DUMMYFUNCTION("""COMPUTED_VALUE"""),2.0)</f>
        <v>2</v>
      </c>
      <c r="B255" s="134" t="str">
        <f>IFERROR(__xludf.DUMMYFUNCTION("""COMPUTED_VALUE"""),"Ted Shen")</f>
        <v>Ted Shen</v>
      </c>
      <c r="C255" s="135">
        <f>IFERROR(__xludf.DUMMYFUNCTION("""COMPUTED_VALUE"""),6.0)</f>
        <v>6</v>
      </c>
      <c r="D255" s="135">
        <f>IFERROR(__xludf.DUMMYFUNCTION("""COMPUTED_VALUE"""),1.0)</f>
        <v>1</v>
      </c>
      <c r="E255" s="135">
        <f>IFERROR(__xludf.DUMMYFUNCTION("""COMPUTED_VALUE"""),6.0)</f>
        <v>6</v>
      </c>
      <c r="F255" s="135">
        <f>IFERROR(__xludf.DUMMYFUNCTION("""COMPUTED_VALUE"""),13.0)</f>
        <v>13</v>
      </c>
      <c r="G255" s="135">
        <f>IFERROR(__xludf.DUMMYFUNCTION("""COMPUTED_VALUE"""),2.0)</f>
        <v>2</v>
      </c>
    </row>
    <row r="256">
      <c r="A256" s="133">
        <f>IFERROR(__xludf.DUMMYFUNCTION("""COMPUTED_VALUE"""),2.0)</f>
        <v>2</v>
      </c>
      <c r="B256" s="134" t="str">
        <f>IFERROR(__xludf.DUMMYFUNCTION("""COMPUTED_VALUE"""),"Alex Hou")</f>
        <v>Alex Hou</v>
      </c>
      <c r="C256" s="135">
        <f>IFERROR(__xludf.DUMMYFUNCTION("""COMPUTED_VALUE"""),2.0)</f>
        <v>2</v>
      </c>
      <c r="D256" s="135">
        <f>IFERROR(__xludf.DUMMYFUNCTION("""COMPUTED_VALUE"""),1.0)</f>
        <v>1</v>
      </c>
      <c r="E256" s="135">
        <f>IFERROR(__xludf.DUMMYFUNCTION("""COMPUTED_VALUE"""),2.0)</f>
        <v>2</v>
      </c>
      <c r="F256" s="135">
        <f>IFERROR(__xludf.DUMMYFUNCTION("""COMPUTED_VALUE"""),5.0)</f>
        <v>5</v>
      </c>
      <c r="G256" s="135">
        <f>IFERROR(__xludf.DUMMYFUNCTION("""COMPUTED_VALUE"""),0.0)</f>
        <v>0</v>
      </c>
    </row>
    <row r="257">
      <c r="A257" s="133">
        <f>IFERROR(__xludf.DUMMYFUNCTION("""COMPUTED_VALUE"""),2.0)</f>
        <v>2</v>
      </c>
      <c r="B257" s="134" t="str">
        <f>IFERROR(__xludf.DUMMYFUNCTION("""COMPUTED_VALUE"""),"Joe Luzzi")</f>
        <v>Joe Luzzi</v>
      </c>
      <c r="C257" s="135">
        <f>IFERROR(__xludf.DUMMYFUNCTION("""COMPUTED_VALUE"""),2.0)</f>
        <v>2</v>
      </c>
      <c r="D257" s="135">
        <f>IFERROR(__xludf.DUMMYFUNCTION("""COMPUTED_VALUE"""),6.0)</f>
        <v>6</v>
      </c>
      <c r="E257" s="135">
        <f>IFERROR(__xludf.DUMMYFUNCTION("""COMPUTED_VALUE"""),6.0)</f>
        <v>6</v>
      </c>
      <c r="F257" s="135">
        <f>IFERROR(__xludf.DUMMYFUNCTION("""COMPUTED_VALUE"""),14.0)</f>
        <v>14</v>
      </c>
      <c r="G257" s="135">
        <f>IFERROR(__xludf.DUMMYFUNCTION("""COMPUTED_VALUE"""),2.0)</f>
        <v>2</v>
      </c>
    </row>
    <row r="258">
      <c r="A258" s="122">
        <f>IFERROR(__xludf.DUMMYFUNCTION("""COMPUTED_VALUE"""),3.0)</f>
        <v>3</v>
      </c>
      <c r="B258" s="36" t="str">
        <f>IFERROR(__xludf.DUMMYFUNCTION("""COMPUTED_VALUE"""),"Rudy Tatang")</f>
        <v>Rudy Tatang</v>
      </c>
      <c r="C258" s="132">
        <f>IFERROR(__xludf.DUMMYFUNCTION("""COMPUTED_VALUE"""),3.0)</f>
        <v>3</v>
      </c>
      <c r="D258" s="132">
        <f>IFERROR(__xludf.DUMMYFUNCTION("""COMPUTED_VALUE"""),6.0)</f>
        <v>6</v>
      </c>
      <c r="E258" s="132">
        <f>IFERROR(__xludf.DUMMYFUNCTION("""COMPUTED_VALUE"""),3.0)</f>
        <v>3</v>
      </c>
      <c r="F258" s="132">
        <f>IFERROR(__xludf.DUMMYFUNCTION("""COMPUTED_VALUE"""),12.0)</f>
        <v>12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IFERROR(__xludf.DUMMYFUNCTION("""COMPUTED_VALUE"""),"Jordan Tatang")</f>
        <v>Jordan Tatang</v>
      </c>
      <c r="C259" s="132">
        <f>IFERROR(__xludf.DUMMYFUNCTION("""COMPUTED_VALUE"""),3.0)</f>
        <v>3</v>
      </c>
      <c r="D259" s="132">
        <f>IFERROR(__xludf.DUMMYFUNCTION("""COMPUTED_VALUE"""),2.0)</f>
        <v>2</v>
      </c>
      <c r="E259" s="132">
        <f>IFERROR(__xludf.DUMMYFUNCTION("""COMPUTED_VALUE"""),6.0)</f>
        <v>6</v>
      </c>
      <c r="F259" s="132">
        <f>IFERROR(__xludf.DUMMYFUNCTION("""COMPUTED_VALUE"""),11.0)</f>
        <v>11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IFERROR(__xludf.DUMMYFUNCTION("""COMPUTED_VALUE"""),"Tina Hanson")</f>
        <v>Tina Hanson</v>
      </c>
      <c r="C260" s="132">
        <f>IFERROR(__xludf.DUMMYFUNCTION("""COMPUTED_VALUE"""),6.0)</f>
        <v>6</v>
      </c>
      <c r="D260" s="132">
        <f>IFERROR(__xludf.DUMMYFUNCTION("""COMPUTED_VALUE"""),2.0)</f>
        <v>2</v>
      </c>
      <c r="E260" s="132">
        <f>IFERROR(__xludf.DUMMYFUNCTION("""COMPUTED_VALUE"""),3.0)</f>
        <v>3</v>
      </c>
      <c r="F260" s="132">
        <f>IFERROR(__xludf.DUMMYFUNCTION("""COMPUTED_VALUE"""),11.0)</f>
        <v>11</v>
      </c>
      <c r="G260" s="132">
        <f>IFERROR(__xludf.DUMMYFUNCTION("""COMPUTED_VALUE"""),1.0)</f>
        <v>1</v>
      </c>
    </row>
    <row r="261">
      <c r="A261" s="122">
        <f>IFERROR(__xludf.DUMMYFUNCTION("""COMPUTED_VALUE"""),3.0)</f>
        <v>3</v>
      </c>
      <c r="B261" s="36" t="str">
        <f>IFERROR(__xludf.DUMMYFUNCTION("""COMPUTED_VALUE"""),"David Shin")</f>
        <v>David Shin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IFERROR(__xludf.DUMMYFUNCTION("""COMPUTED_VALUE"""),6.0)</f>
        <v>6</v>
      </c>
      <c r="F261" s="132">
        <f>IFERROR(__xludf.DUMMYFUNCTION("""COMPUTED_VALUE"""),18.0)</f>
        <v>18</v>
      </c>
      <c r="G261" s="132">
        <f>IFERROR(__xludf.DUMMYFUNCTION("""COMPUTED_VALUE"""),3.0)</f>
        <v>3</v>
      </c>
    </row>
    <row r="262">
      <c r="A262" s="133">
        <f>IFERROR(__xludf.DUMMYFUNCTION("""COMPUTED_VALUE"""),4.0)</f>
        <v>4</v>
      </c>
      <c r="B262" s="134" t="str">
        <f>IFERROR(__xludf.DUMMYFUNCTION("""COMPUTED_VALUE"""),"Jim Miao")</f>
        <v>Jim Miao</v>
      </c>
      <c r="C262" s="135">
        <f>IFERROR(__xludf.DUMMYFUNCTION("""COMPUTED_VALUE"""),4.0)</f>
        <v>4</v>
      </c>
      <c r="D262" s="135">
        <f>IFERROR(__xludf.DUMMYFUNCTION("""COMPUTED_VALUE"""),2.0)</f>
        <v>2</v>
      </c>
      <c r="E262" s="135">
        <f>IFERROR(__xludf.DUMMYFUNCTION("""COMPUTED_VALUE"""),7.0)</f>
        <v>7</v>
      </c>
      <c r="F262" s="135">
        <f>IFERROR(__xludf.DUMMYFUNCTION("""COMPUTED_VALUE"""),13.0)</f>
        <v>13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IFERROR(__xludf.DUMMYFUNCTION("""COMPUTED_VALUE"""),"Pulkit Mathur")</f>
        <v>Pulkit Mathur</v>
      </c>
      <c r="C263" s="135">
        <f>IFERROR(__xludf.DUMMYFUNCTION("""COMPUTED_VALUE"""),4.0)</f>
        <v>4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IFERROR(__xludf.DUMMYFUNCTION("""COMPUTED_VALUE"""),16.0)</f>
        <v>16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IFERROR(__xludf.DUMMYFUNCTION("""COMPUTED_VALUE"""),"Herman Au")</f>
        <v>Herman Au</v>
      </c>
      <c r="C264" s="135">
        <f>IFERROR(__xludf.DUMMYFUNCTION("""COMPUTED_VALUE"""),6.0)</f>
        <v>6</v>
      </c>
      <c r="D264" s="135">
        <f>IFERROR(__xludf.DUMMYFUNCTION("""COMPUTED_VALUE"""),2.0)</f>
        <v>2</v>
      </c>
      <c r="E264" s="135">
        <f>IFERROR(__xludf.DUMMYFUNCTION("""COMPUTED_VALUE"""),6.0)</f>
        <v>6</v>
      </c>
      <c r="F264" s="135">
        <f>IFERROR(__xludf.DUMMYFUNCTION("""COMPUTED_VALUE"""),14.0)</f>
        <v>14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IFERROR(__xludf.DUMMYFUNCTION("""COMPUTED_VALUE"""),"Ethan Gu")</f>
        <v>Ethan Gu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IFERROR(__xludf.DUMMYFUNCTION("""COMPUTED_VALUE"""),7.0)</f>
        <v>7</v>
      </c>
      <c r="F265" s="135">
        <f>IFERROR(__xludf.DUMMYFUNCTION("""COMPUTED_VALUE"""),19.0)</f>
        <v>19</v>
      </c>
      <c r="G265" s="135">
        <f>IFERROR(__xludf.DUMMYFUNCTION("""COMPUTED_VALUE"""),3.0)</f>
        <v>3</v>
      </c>
    </row>
    <row r="266">
      <c r="A266" s="122">
        <f>IFERROR(__xludf.DUMMYFUNCTION("""COMPUTED_VALUE"""),5.0)</f>
        <v>5</v>
      </c>
      <c r="B266" s="36" t="str">
        <f>IFERROR(__xludf.DUMMYFUNCTION("""COMPUTED_VALUE"""),"Lloyd Sagar")</f>
        <v>Lloyd Sagar</v>
      </c>
      <c r="C266" s="132">
        <f>IFERROR(__xludf.DUMMYFUNCTION("""COMPUTED_VALUE"""),3.0)</f>
        <v>3</v>
      </c>
      <c r="D266" s="132">
        <f>IFERROR(__xludf.DUMMYFUNCTION("""COMPUTED_VALUE"""),0.0)</f>
        <v>0</v>
      </c>
      <c r="E266" s="132">
        <f>IFERROR(__xludf.DUMMYFUNCTION("""COMPUTED_VALUE"""),6.0)</f>
        <v>6</v>
      </c>
      <c r="F266" s="132">
        <f>IFERROR(__xludf.DUMMYFUNCTION("""COMPUTED_VALUE"""),9.0)</f>
        <v>9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IFERROR(__xludf.DUMMYFUNCTION("""COMPUTED_VALUE"""),"Coco Yan")</f>
        <v>Coco Yan</v>
      </c>
      <c r="C267" s="132">
        <f>IFERROR(__xludf.DUMMYFUNCTION("""COMPUTED_VALUE"""),3.0)</f>
        <v>3</v>
      </c>
      <c r="D267" s="132">
        <f>IFERROR(__xludf.DUMMYFUNCTION("""COMPUTED_VALUE"""),6.0)</f>
        <v>6</v>
      </c>
      <c r="E267" s="132">
        <f>IFERROR(__xludf.DUMMYFUNCTION("""COMPUTED_VALUE"""),1.0)</f>
        <v>1</v>
      </c>
      <c r="F267" s="132">
        <f>IFERROR(__xludf.DUMMYFUNCTION("""COMPUTED_VALUE"""),10.0)</f>
        <v>10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IFERROR(__xludf.DUMMYFUNCTION("""COMPUTED_VALUE"""),"Darren Wong")</f>
        <v>Darren Wong</v>
      </c>
      <c r="C268" s="132">
        <f>IFERROR(__xludf.DUMMYFUNCTION("""COMPUTED_VALUE"""),6.0)</f>
        <v>6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IFERROR(__xludf.DUMMYFUNCTION("""COMPUTED_VALUE"""),18.0)</f>
        <v>18</v>
      </c>
      <c r="G268" s="132">
        <f>IFERROR(__xludf.DUMMYFUNCTION("""COMPUTED_VALUE"""),3.0)</f>
        <v>3</v>
      </c>
    </row>
    <row r="269">
      <c r="A269" s="122">
        <f>IFERROR(__xludf.DUMMYFUNCTION("""COMPUTED_VALUE"""),5.0)</f>
        <v>5</v>
      </c>
      <c r="B269" s="36" t="str">
        <f>IFERROR(__xludf.DUMMYFUNCTION("""COMPUTED_VALUE"""),"Allen Zhang")</f>
        <v>Allen Zhang</v>
      </c>
      <c r="C269" s="132">
        <f>IFERROR(__xludf.DUMMYFUNCTION("""COMPUTED_VALUE"""),6.0)</f>
        <v>6</v>
      </c>
      <c r="D269" s="132">
        <f>IFERROR(__xludf.DUMMYFUNCTION("""COMPUTED_VALUE"""),0.0)</f>
        <v>0</v>
      </c>
      <c r="E269" s="132">
        <f>IFERROR(__xludf.DUMMYFUNCTION("""COMPUTED_VALUE"""),1.0)</f>
        <v>1</v>
      </c>
      <c r="F269" s="132">
        <f>IFERROR(__xludf.DUMMYFUNCTION("""COMPUTED_VALUE"""),7.0)</f>
        <v>7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IFERROR(__xludf.DUMMYFUNCTION("""COMPUTED_VALUE"""),"Pavan Akkimsetty")</f>
        <v>Pavan Akkimsetty</v>
      </c>
      <c r="C270" s="135">
        <f>IFERROR(__xludf.DUMMYFUNCTION("""COMPUTED_VALUE"""),3.0)</f>
        <v>3</v>
      </c>
      <c r="D270" s="135">
        <f>IFERROR(__xludf.DUMMYFUNCTION("""COMPUTED_VALUE"""),2.0)</f>
        <v>2</v>
      </c>
      <c r="E270" s="135">
        <f>IFERROR(__xludf.DUMMYFUNCTION("""COMPUTED_VALUE"""),6.0)</f>
        <v>6</v>
      </c>
      <c r="F270" s="135">
        <f>IFERROR(__xludf.DUMMYFUNCTION("""COMPUTED_VALUE"""),11.0)</f>
        <v>11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IFERROR(__xludf.DUMMYFUNCTION("""COMPUTED_VALUE"""),"Cid Macaraeg")</f>
        <v>Cid Macaraeg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IFERROR(__xludf.DUMMYFUNCTION("""COMPUTED_VALUE"""),"Erik Hoeckmann")</f>
        <v>Erik Hoeckmann</v>
      </c>
      <c r="C272" s="135">
        <f>IFERROR(__xludf.DUMMYFUNCTION("""COMPUTED_VALUE"""),6.0)</f>
        <v>6</v>
      </c>
      <c r="D272" s="135">
        <f>IFERROR(__xludf.DUMMYFUNCTION("""COMPUTED_VALUE"""),2.0)</f>
        <v>2</v>
      </c>
      <c r="E272" s="135">
        <f>IFERROR(__xludf.DUMMYFUNCTION("""COMPUTED_VALUE"""),2.0)</f>
        <v>2</v>
      </c>
      <c r="F272" s="135">
        <f>IFERROR(__xludf.DUMMYFUNCTION("""COMPUTED_VALUE"""),10.0)</f>
        <v>10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IFERROR(__xludf.DUMMYFUNCTION("""COMPUTED_VALUE"""),"Wayne Liu")</f>
        <v>Wayne Liu</v>
      </c>
      <c r="C273" s="135">
        <f>IFERROR(__xludf.DUMMYFUNCTION("""COMPUTED_VALUE"""),3.0)</f>
        <v>3</v>
      </c>
      <c r="D273" s="135">
        <f>IFERROR(__xludf.DUMMYFUNCTION("""COMPUTED_VALUE"""),6.0)</f>
        <v>6</v>
      </c>
      <c r="E273" s="135">
        <f>IFERROR(__xludf.DUMMYFUNCTION("""COMPUTED_VALUE"""),2.0)</f>
        <v>2</v>
      </c>
      <c r="F273" s="135">
        <f>IFERROR(__xludf.DUMMYFUNCTION("""COMPUTED_VALUE"""),11.0)</f>
        <v>11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IFERROR(__xludf.DUMMYFUNCTION("""COMPUTED_VALUE"""),"Nicole Ni")</f>
        <v>Nicole Ni</v>
      </c>
      <c r="C274" s="132">
        <f>IFERROR(__xludf.DUMMYFUNCTION("""COMPUTED_VALUE"""),1.0)</f>
        <v>1</v>
      </c>
      <c r="D274" s="132">
        <f>IFERROR(__xludf.DUMMYFUNCTION("""COMPUTED_VALUE"""),5.0)</f>
        <v>5</v>
      </c>
      <c r="E274" s="132">
        <f>IFERROR(__xludf.DUMMYFUNCTION("""COMPUTED_VALUE"""),2.0)</f>
        <v>2</v>
      </c>
      <c r="F274" s="132">
        <f>IFERROR(__xludf.DUMMYFUNCTION("""COMPUTED_VALUE"""),8.0)</f>
        <v>8</v>
      </c>
      <c r="G274" s="132">
        <f>IFERROR(__xludf.DUMMYFUNCTION("""COMPUTED_VALUE"""),0.0)</f>
        <v>0</v>
      </c>
    </row>
    <row r="275">
      <c r="A275" s="122">
        <f>IFERROR(__xludf.DUMMYFUNCTION("""COMPUTED_VALUE"""),7.0)</f>
        <v>7</v>
      </c>
      <c r="B275" s="36" t="str">
        <f>IFERROR(__xludf.DUMMYFUNCTION("""COMPUTED_VALUE"""),"Oscar Bonilla")</f>
        <v>Oscar Bonilla</v>
      </c>
      <c r="C275" s="132">
        <f>IFERROR(__xludf.DUMMYFUNCTION("""COMPUTED_VALUE"""),6.0)</f>
        <v>6</v>
      </c>
      <c r="D275" s="132">
        <f>IFERROR(__xludf.DUMMYFUNCTION("""COMPUTED_VALUE"""),7.0)</f>
        <v>7</v>
      </c>
      <c r="E275" s="132">
        <f>IFERROR(__xludf.DUMMYFUNCTION("""COMPUTED_VALUE"""),2.0)</f>
        <v>2</v>
      </c>
      <c r="F275" s="132">
        <f>IFERROR(__xludf.DUMMYFUNCTION("""COMPUTED_VALUE"""),15.0)</f>
        <v>15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IFERROR(__xludf.DUMMYFUNCTION("""COMPUTED_VALUE"""),"Rajasekar Ramasamy")</f>
        <v>Rajasekar Ramasamy</v>
      </c>
      <c r="C276" s="132">
        <f>IFERROR(__xludf.DUMMYFUNCTION("""COMPUTED_VALUE"""),6.0)</f>
        <v>6</v>
      </c>
      <c r="D276" s="132">
        <f>IFERROR(__xludf.DUMMYFUNCTION("""COMPUTED_VALUE"""),5.0)</f>
        <v>5</v>
      </c>
      <c r="E276" s="132">
        <f>IFERROR(__xludf.DUMMYFUNCTION("""COMPUTED_VALUE"""),6.0)</f>
        <v>6</v>
      </c>
      <c r="F276" s="132">
        <f>IFERROR(__xludf.DUMMYFUNCTION("""COMPUTED_VALUE"""),17.0)</f>
        <v>17</v>
      </c>
      <c r="G276" s="132">
        <f>IFERROR(__xludf.DUMMYFUNCTION("""COMPUTED_VALUE"""),2.0)</f>
        <v>2</v>
      </c>
    </row>
    <row r="277">
      <c r="A277" s="122">
        <f>IFERROR(__xludf.DUMMYFUNCTION("""COMPUTED_VALUE"""),7.0)</f>
        <v>7</v>
      </c>
      <c r="B277" s="36" t="str">
        <f>IFERROR(__xludf.DUMMYFUNCTION("""COMPUTED_VALUE"""),"Andrew Wen")</f>
        <v>Andrew Wen</v>
      </c>
      <c r="C277" s="132">
        <f>IFERROR(__xludf.DUMMYFUNCTION("""COMPUTED_VALUE"""),1.0)</f>
        <v>1</v>
      </c>
      <c r="D277" s="132">
        <f>IFERROR(__xludf.DUMMYFUNCTION("""COMPUTED_VALUE"""),7.0)</f>
        <v>7</v>
      </c>
      <c r="E277" s="132">
        <f>IFERROR(__xludf.DUMMYFUNCTION("""COMPUTED_VALUE"""),6.0)</f>
        <v>6</v>
      </c>
      <c r="F277" s="132">
        <f>IFERROR(__xludf.DUMMYFUNCTION("""COMPUTED_VALUE"""),14.0)</f>
        <v>14</v>
      </c>
      <c r="G277" s="132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IFERROR(__xludf.DUMMYFUNCTION("""COMPUTED_VALUE"""),"Vicki Martinet")</f>
        <v>Vicki Martinet</v>
      </c>
      <c r="C278" s="135">
        <f>IFERROR(__xludf.DUMMYFUNCTION("""COMPUTED_VALUE"""),1.0)</f>
        <v>1</v>
      </c>
      <c r="D278" s="135">
        <f>IFERROR(__xludf.DUMMYFUNCTION("""COMPUTED_VALUE"""),6.0)</f>
        <v>6</v>
      </c>
      <c r="E278" s="135">
        <f>IFERROR(__xludf.DUMMYFUNCTION("""COMPUTED_VALUE"""),0.0)</f>
        <v>0</v>
      </c>
      <c r="F278" s="135">
        <f>IFERROR(__xludf.DUMMYFUNCTION("""COMPUTED_VALUE"""),7.0)</f>
        <v>7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IFERROR(__xludf.DUMMYFUNCTION("""COMPUTED_VALUE"""),"Scott Li")</f>
        <v>Scott Li</v>
      </c>
      <c r="C279" s="135">
        <f>IFERROR(__xludf.DUMMYFUNCTION("""COMPUTED_VALUE"""),6.0)</f>
        <v>6</v>
      </c>
      <c r="D279" s="135">
        <f>IFERROR(__xludf.DUMMYFUNCTION("""COMPUTED_VALUE"""),6.0)</f>
        <v>6</v>
      </c>
      <c r="E279" s="135">
        <f>IFERROR(__xludf.DUMMYFUNCTION("""COMPUTED_VALUE"""),6.0)</f>
        <v>6</v>
      </c>
      <c r="F279" s="135">
        <f>IFERROR(__xludf.DUMMYFUNCTION("""COMPUTED_VALUE"""),18.0)</f>
        <v>18</v>
      </c>
      <c r="G279" s="135">
        <f>IFERROR(__xludf.DUMMYFUNCTION("""COMPUTED_VALUE"""),3.0)</f>
        <v>3</v>
      </c>
    </row>
    <row r="280">
      <c r="A280" s="133">
        <f>IFERROR(__xludf.DUMMYFUNCTION("""COMPUTED_VALUE"""),8.0)</f>
        <v>8</v>
      </c>
      <c r="B280" s="134" t="str">
        <f>IFERROR(__xludf.DUMMYFUNCTION("""COMPUTED_VALUE"""),"Trish Newlin")</f>
        <v>Trish Newlin</v>
      </c>
      <c r="C280" s="135">
        <f>IFERROR(__xludf.DUMMYFUNCTION("""COMPUTED_VALUE"""),6.0)</f>
        <v>6</v>
      </c>
      <c r="D280" s="135">
        <f>IFERROR(__xludf.DUMMYFUNCTION("""COMPUTED_VALUE"""),2.0)</f>
        <v>2</v>
      </c>
      <c r="E280" s="135">
        <f>IFERROR(__xludf.DUMMYFUNCTION("""COMPUTED_VALUE"""),0.0)</f>
        <v>0</v>
      </c>
      <c r="F280" s="135">
        <f>IFERROR(__xludf.DUMMYFUNCTION("""COMPUTED_VALUE"""),8.0)</f>
        <v>8</v>
      </c>
      <c r="G280" s="135">
        <f>IFERROR(__xludf.DUMMYFUNCTION("""COMPUTED_VALUE"""),1.0)</f>
        <v>1</v>
      </c>
    </row>
    <row r="281">
      <c r="A281" s="133">
        <f>IFERROR(__xludf.DUMMYFUNCTION("""COMPUTED_VALUE"""),8.0)</f>
        <v>8</v>
      </c>
      <c r="B281" s="134" t="str">
        <f>IFERROR(__xludf.DUMMYFUNCTION("""COMPUTED_VALUE"""),"Sandy Weyant")</f>
        <v>Sandy Weyant</v>
      </c>
      <c r="C281" s="135">
        <f>IFERROR(__xludf.DUMMYFUNCTION("""COMPUTED_VALUE"""),1.0)</f>
        <v>1</v>
      </c>
      <c r="D281" s="135">
        <f>IFERROR(__xludf.DUMMYFUNCTION("""COMPUTED_VALUE"""),2.0)</f>
        <v>2</v>
      </c>
      <c r="E281" s="135">
        <f>IFERROR(__xludf.DUMMYFUNCTION("""COMPUTED_VALUE"""),6.0)</f>
        <v>6</v>
      </c>
      <c r="F281" s="135">
        <f>IFERROR(__xludf.DUMMYFUNCTION("""COMPUTED_VALUE"""),9.0)</f>
        <v>9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IFERROR(__xludf.DUMMYFUNCTION("""COMPUTED_VALUE"""),"Art Hui")</f>
        <v>Art Hui</v>
      </c>
      <c r="C282" s="132">
        <f>IFERROR(__xludf.DUMMYFUNCTION("""COMPUTED_VALUE"""),6.0)</f>
        <v>6</v>
      </c>
      <c r="D282" s="132">
        <f>IFERROR(__xludf.DUMMYFUNCTION("""COMPUTED_VALUE"""),2.0)</f>
        <v>2</v>
      </c>
      <c r="E282" s="132">
        <f>IFERROR(__xludf.DUMMYFUNCTION("""COMPUTED_VALUE"""),6.0)</f>
        <v>6</v>
      </c>
      <c r="F282" s="132">
        <f>IFERROR(__xludf.DUMMYFUNCTION("""COMPUTED_VALUE"""),14.0)</f>
        <v>14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IFERROR(__xludf.DUMMYFUNCTION("""COMPUTED_VALUE"""),"Lenin Belangonda ")</f>
        <v>Lenin Belangonda </v>
      </c>
      <c r="C283" s="132">
        <f>IFERROR(__xludf.DUMMYFUNCTION("""COMPUTED_VALUE"""),4.0)</f>
        <v>4</v>
      </c>
      <c r="D283" s="132">
        <f>IFERROR(__xludf.DUMMYFUNCTION("""COMPUTED_VALUE"""),2.0)</f>
        <v>2</v>
      </c>
      <c r="E283" s="132">
        <f>IFERROR(__xludf.DUMMYFUNCTION("""COMPUTED_VALUE"""),2.0)</f>
        <v>2</v>
      </c>
      <c r="F283" s="132">
        <f>IFERROR(__xludf.DUMMYFUNCTION("""COMPUTED_VALUE"""),8.0)</f>
        <v>8</v>
      </c>
      <c r="G283" s="132">
        <f>IFERROR(__xludf.DUMMYFUNCTION("""COMPUTED_VALUE"""),0.0)</f>
        <v>0</v>
      </c>
    </row>
    <row r="284">
      <c r="A284" s="122">
        <f>IFERROR(__xludf.DUMMYFUNCTION("""COMPUTED_VALUE"""),9.0)</f>
        <v>9</v>
      </c>
      <c r="B284" s="36" t="str">
        <f>IFERROR(__xludf.DUMMYFUNCTION("""COMPUTED_VALUE"""),"Ramesh Bandaru")</f>
        <v>Ramesh Bandaru</v>
      </c>
      <c r="C284" s="132">
        <f>IFERROR(__xludf.DUMMYFUNCTION("""COMPUTED_VALUE"""),4.0)</f>
        <v>4</v>
      </c>
      <c r="D284" s="132">
        <f>IFERROR(__xludf.DUMMYFUNCTION("""COMPUTED_VALUE"""),6.0)</f>
        <v>6</v>
      </c>
      <c r="E284" s="132">
        <f>IFERROR(__xludf.DUMMYFUNCTION("""COMPUTED_VALUE"""),6.0)</f>
        <v>6</v>
      </c>
      <c r="F284" s="132">
        <f>IFERROR(__xludf.DUMMYFUNCTION("""COMPUTED_VALUE"""),16.0)</f>
        <v>16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IFERROR(__xludf.DUMMYFUNCTION("""COMPUTED_VALUE"""),"Sean Chang")</f>
        <v>Sean Chang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IFERROR(__xludf.DUMMYFUNCTION("""COMPUTED_VALUE"""),2.0)</f>
        <v>2</v>
      </c>
      <c r="F285" s="132">
        <f>IFERROR(__xludf.DUMMYFUNCTION("""COMPUTED_VALUE"""),14.0)</f>
        <v>14</v>
      </c>
      <c r="G285" s="132">
        <f>IFERROR(__xludf.DUMMYFUNCTION("""COMPUTED_VALUE"""),2.0)</f>
        <v>2</v>
      </c>
    </row>
    <row r="286">
      <c r="A286" s="133">
        <f>IFERROR(__xludf.DUMMYFUNCTION("""COMPUTED_VALUE"""),10.0)</f>
        <v>10</v>
      </c>
      <c r="B286" s="134" t="str">
        <f>IFERROR(__xludf.DUMMYFUNCTION("""COMPUTED_VALUE"""),"Saravanan Veerapandian")</f>
        <v>Saravanan Veerapandian</v>
      </c>
      <c r="C286" s="135">
        <f>IFERROR(__xludf.DUMMYFUNCTION("""COMPUTED_VALUE"""),3.0)</f>
        <v>3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IFERROR(__xludf.DUMMYFUNCTION("""COMPUTED_VALUE"""),15.0)</f>
        <v>15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IFERROR(__xludf.DUMMYFUNCTION("""COMPUTED_VALUE"""),"Vishnu Amarnath")</f>
        <v>Vishnu Amarnath</v>
      </c>
      <c r="C287" s="135">
        <f>IFERROR(__xludf.DUMMYFUNCTION("""COMPUTED_VALUE"""),6.0)</f>
        <v>6</v>
      </c>
      <c r="D287" s="135">
        <f>IFERROR(__xludf.DUMMYFUNCTION("""COMPUTED_VALUE"""),6.0)</f>
        <v>6</v>
      </c>
      <c r="E287" s="135">
        <f>IFERROR(__xludf.DUMMYFUNCTION("""COMPUTED_VALUE"""),4.0)</f>
        <v>4</v>
      </c>
      <c r="F287" s="135">
        <f>IFERROR(__xludf.DUMMYFUNCTION("""COMPUTED_VALUE"""),16.0)</f>
        <v>16</v>
      </c>
      <c r="G287" s="135">
        <f>IFERROR(__xludf.DUMMYFUNCTION("""COMPUTED_VALUE"""),2.0)</f>
        <v>2</v>
      </c>
    </row>
    <row r="288">
      <c r="A288" s="133">
        <f>IFERROR(__xludf.DUMMYFUNCTION("""COMPUTED_VALUE"""),10.0)</f>
        <v>10</v>
      </c>
      <c r="B288" s="134" t="str">
        <f>IFERROR(__xludf.DUMMYFUNCTION("""COMPUTED_VALUE"""),"Eric Tan")</f>
        <v>Eric Tan</v>
      </c>
      <c r="C288" s="135">
        <f>IFERROR(__xludf.DUMMYFUNCTION("""COMPUTED_VALUE"""),3.0)</f>
        <v>3</v>
      </c>
      <c r="D288" s="135">
        <f>IFERROR(__xludf.DUMMYFUNCTION("""COMPUTED_VALUE"""),1.0)</f>
        <v>1</v>
      </c>
      <c r="E288" s="135">
        <f>IFERROR(__xludf.DUMMYFUNCTION("""COMPUTED_VALUE"""),4.0)</f>
        <v>4</v>
      </c>
      <c r="F288" s="135">
        <f>IFERROR(__xludf.DUMMYFUNCTION("""COMPUTED_VALUE"""),8.0)</f>
        <v>8</v>
      </c>
      <c r="G288" s="135">
        <f>IFERROR(__xludf.DUMMYFUNCTION("""COMPUTED_VALUE"""),0.0)</f>
        <v>0</v>
      </c>
    </row>
    <row r="289">
      <c r="A289" s="133">
        <f>IFERROR(__xludf.DUMMYFUNCTION("""COMPUTED_VALUE"""),10.0)</f>
        <v>10</v>
      </c>
      <c r="B289" s="134" t="str">
        <f>IFERROR(__xludf.DUMMYFUNCTION("""COMPUTED_VALUE"""),"Vinaya Kajla")</f>
        <v>Vinaya Kajla</v>
      </c>
      <c r="C289" s="135">
        <f>IFERROR(__xludf.DUMMYFUNCTION("""COMPUTED_VALUE"""),6.0)</f>
        <v>6</v>
      </c>
      <c r="D289" s="135">
        <f>IFERROR(__xludf.DUMMYFUNCTION("""COMPUTED_VALUE"""),1.0)</f>
        <v>1</v>
      </c>
      <c r="E289" s="135">
        <f>IFERROR(__xludf.DUMMYFUNCTION("""COMPUTED_VALUE"""),6.0)</f>
        <v>6</v>
      </c>
      <c r="F289" s="135">
        <f>IFERROR(__xludf.DUMMYFUNCTION("""COMPUTED_VALUE"""),13.0)</f>
        <v>13</v>
      </c>
      <c r="G289" s="135">
        <f>IFERROR(__xludf.DUMMYFUNCTION("""COMPUTED_VALUE"""),2.0)</f>
        <v>2</v>
      </c>
    </row>
    <row r="290">
      <c r="A290" s="122">
        <f>IFERROR(__xludf.DUMMYFUNCTION("""COMPUTED_VALUE"""),11.0)</f>
        <v>11</v>
      </c>
      <c r="B290" s="36" t="str">
        <f>IFERROR(__xludf.DUMMYFUNCTION("""COMPUTED_VALUE"""),"Jimmy Awolesi")</f>
        <v>Jimmy Awolesi</v>
      </c>
      <c r="C290" s="132">
        <f>IFERROR(__xludf.DUMMYFUNCTION("""COMPUTED_VALUE"""),6.0)</f>
        <v>6</v>
      </c>
      <c r="D290" s="132">
        <f>IFERROR(__xludf.DUMMYFUNCTION("""COMPUTED_VALUE"""),1.0)</f>
        <v>1</v>
      </c>
      <c r="E290" s="132">
        <f>IFERROR(__xludf.DUMMYFUNCTION("""COMPUTED_VALUE"""),7.0)</f>
        <v>7</v>
      </c>
      <c r="F290" s="132">
        <f>IFERROR(__xludf.DUMMYFUNCTION("""COMPUTED_VALUE"""),14.0)</f>
        <v>14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IFERROR(__xludf.DUMMYFUNCTION("""COMPUTED_VALUE"""),"Adrian Tay")</f>
        <v>Adrian Tay</v>
      </c>
      <c r="C291" s="132">
        <f>IFERROR(__xludf.DUMMYFUNCTION("""COMPUTED_VALUE"""),6.0)</f>
        <v>6</v>
      </c>
      <c r="D291" s="132">
        <f>IFERROR(__xludf.DUMMYFUNCTION("""COMPUTED_VALUE"""),6.0)</f>
        <v>6</v>
      </c>
      <c r="E291" s="132">
        <f>IFERROR(__xludf.DUMMYFUNCTION("""COMPUTED_VALUE"""),5.0)</f>
        <v>5</v>
      </c>
      <c r="F291" s="132">
        <f>IFERROR(__xludf.DUMMYFUNCTION("""COMPUTED_VALUE"""),17.0)</f>
        <v>17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IFERROR(__xludf.DUMMYFUNCTION("""COMPUTED_VALUE"""),"Vinotkumar Nagappan")</f>
        <v>Vinotkumar Nagappan</v>
      </c>
      <c r="C292" s="132">
        <f>IFERROR(__xludf.DUMMYFUNCTION("""COMPUTED_VALUE"""),2.0)</f>
        <v>2</v>
      </c>
      <c r="D292" s="132">
        <f>IFERROR(__xludf.DUMMYFUNCTION("""COMPUTED_VALUE"""),6.0)</f>
        <v>6</v>
      </c>
      <c r="E292" s="132">
        <f>IFERROR(__xludf.DUMMYFUNCTION("""COMPUTED_VALUE"""),7.0)</f>
        <v>7</v>
      </c>
      <c r="F292" s="132">
        <f>IFERROR(__xludf.DUMMYFUNCTION("""COMPUTED_VALUE"""),15.0)</f>
        <v>15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IFERROR(__xludf.DUMMYFUNCTION("""COMPUTED_VALUE"""),"Camille Jung")</f>
        <v>Camille Jung</v>
      </c>
      <c r="C293" s="132">
        <f>IFERROR(__xludf.DUMMYFUNCTION("""COMPUTED_VALUE"""),2.0)</f>
        <v>2</v>
      </c>
      <c r="D293" s="132">
        <f>IFERROR(__xludf.DUMMYFUNCTION("""COMPUTED_VALUE"""),1.0)</f>
        <v>1</v>
      </c>
      <c r="E293" s="132">
        <f>IFERROR(__xludf.DUMMYFUNCTION("""COMPUTED_VALUE"""),5.0)</f>
        <v>5</v>
      </c>
      <c r="F293" s="132">
        <f>IFERROR(__xludf.DUMMYFUNCTION("""COMPUTED_VALUE"""),8.0)</f>
        <v>8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IFERROR(__xludf.DUMMYFUNCTION("""COMPUTED_VALUE"""),"Cid Macaraeg")</f>
        <v>Cid Macaraeg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IFERROR(__xludf.DUMMYFUNCTION("""COMPUTED_VALUE"""),"Coco Yan")</f>
        <v>Coco Yan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IFERROR(__xludf.DUMMYFUNCTION("""COMPUTED_VALUE"""),"Darren Wong")</f>
        <v>Darren Wong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IFERROR(__xludf.DUMMYFUNCTION("""COMPUTED_VALUE"""),"David Shin")</f>
        <v>David Shin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IFERROR(__xludf.DUMMYFUNCTION("""COMPUTED_VALUE"""),"Elayaraja Thangaraj")</f>
        <v>Elayaraja Thangaraj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IFERROR(__xludf.DUMMYFUNCTION("""COMPUTED_VALUE"""),"Eric Pan")</f>
        <v>Eric Pan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Tan")</f>
        <v>Eric Tan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IFERROR(__xludf.DUMMYFUNCTION("""COMPUTED_VALUE"""),"Erik Hoeckmann")</f>
        <v>Erik Hoeckmann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IFERROR(__xludf.DUMMYFUNCTION("""COMPUTED_VALUE"""),"Ethan Gu")</f>
        <v>Ethan Gu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IFERROR(__xludf.DUMMYFUNCTION("""COMPUTED_VALUE"""),"Frank Moon")</f>
        <v>Frank Moon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IFERROR(__xludf.DUMMYFUNCTION("""COMPUTED_VALUE"""),"Herman Au")</f>
        <v>Herman Au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IFERROR(__xludf.DUMMYFUNCTION("""COMPUTED_VALUE"""),"Hongyuan Wen")</f>
        <v>Hongyuan Wen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IFERROR(__xludf.DUMMYFUNCTION("""COMPUTED_VALUE"""),"Hubert J Sung")</f>
        <v>Hubert J Sung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IFERROR(__xludf.DUMMYFUNCTION("""COMPUTED_VALUE"""),"Joyce Zhu")</f>
        <v>Joyce Zhu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IFERROR(__xludf.DUMMYFUNCTION("""COMPUTED_VALUE"""),"Vicki Martinet")</f>
        <v>Vicki Martinet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46060.0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5.0</v>
      </c>
      <c r="E2" s="5"/>
      <c r="F2" s="5"/>
      <c r="R2" s="18"/>
      <c r="AC2" s="22" t="str">
        <f>text(C1-7,"mm/dd/yy")</f>
        <v>01/31/26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68</v>
      </c>
      <c r="C5" s="37">
        <v>69.0</v>
      </c>
      <c r="D5" s="37">
        <v>9.0</v>
      </c>
      <c r="E5" s="40">
        <f t="shared" ref="E5:E79" si="2">if(S5&gt;0,(C5-(V5*9)-(T5*13))/S5,0)</f>
        <v>13.8</v>
      </c>
      <c r="F5" s="90">
        <v>1.0</v>
      </c>
      <c r="G5" s="91">
        <v>1.0</v>
      </c>
      <c r="H5" s="92">
        <v>0.0</v>
      </c>
      <c r="I5" s="91">
        <v>3.0</v>
      </c>
      <c r="J5" s="91">
        <v>6.0</v>
      </c>
      <c r="K5" s="91">
        <v>6.0</v>
      </c>
      <c r="L5" s="93">
        <v>15.0</v>
      </c>
      <c r="M5" s="91">
        <v>1.0</v>
      </c>
      <c r="N5" s="37">
        <f t="shared" ref="N5:O5" si="1">C5+L5</f>
        <v>84</v>
      </c>
      <c r="O5" s="37">
        <f t="shared" si="1"/>
        <v>10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5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50</v>
      </c>
      <c r="C6" s="37">
        <v>67.0</v>
      </c>
      <c r="D6" s="37">
        <v>9.0</v>
      </c>
      <c r="E6" s="40">
        <f t="shared" si="2"/>
        <v>13.4</v>
      </c>
      <c r="F6" s="90">
        <v>1.0</v>
      </c>
      <c r="G6" s="91">
        <v>1.0</v>
      </c>
      <c r="H6" s="92">
        <v>0.0</v>
      </c>
      <c r="I6" s="91">
        <v>6.0</v>
      </c>
      <c r="J6" s="91">
        <v>6.0</v>
      </c>
      <c r="K6" s="91">
        <v>7.0</v>
      </c>
      <c r="L6" s="93">
        <v>19.0</v>
      </c>
      <c r="M6" s="91">
        <v>3.0</v>
      </c>
      <c r="N6" s="37">
        <f t="shared" ref="N6:O6" si="3">C6+L6</f>
        <v>86</v>
      </c>
      <c r="O6" s="37">
        <f t="shared" si="3"/>
        <v>12</v>
      </c>
      <c r="P6" s="49" t="s">
        <v>57</v>
      </c>
      <c r="Q6" s="49" t="s">
        <v>57</v>
      </c>
      <c r="R6" s="49" t="s">
        <v>57</v>
      </c>
      <c r="S6" s="51">
        <f t="shared" si="4"/>
        <v>5</v>
      </c>
      <c r="T6" s="52">
        <f t="shared" si="5"/>
        <v>0</v>
      </c>
      <c r="U6" s="52"/>
      <c r="V6" s="51">
        <f t="shared" si="6"/>
        <v>0</v>
      </c>
      <c r="W6" s="52">
        <f t="shared" si="7"/>
        <v>1</v>
      </c>
      <c r="X6" s="35">
        <f t="shared" ref="X6:X79" si="12">X5+1</f>
        <v>2</v>
      </c>
      <c r="Y6" s="35" t="str">
        <f t="shared" si="8"/>
        <v>Y</v>
      </c>
      <c r="Z6" s="19" t="str">
        <f t="shared" si="9"/>
        <v/>
      </c>
    </row>
    <row r="7">
      <c r="A7" s="35">
        <f t="shared" si="10"/>
        <v>3</v>
      </c>
      <c r="B7" s="36" t="s">
        <v>111</v>
      </c>
      <c r="C7" s="37">
        <v>65.0</v>
      </c>
      <c r="D7" s="37">
        <v>9.0</v>
      </c>
      <c r="E7" s="40">
        <f t="shared" si="2"/>
        <v>14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74</v>
      </c>
      <c r="O7" s="37">
        <f t="shared" si="11"/>
        <v>9</v>
      </c>
      <c r="P7" s="49" t="s">
        <v>57</v>
      </c>
      <c r="Q7" s="49" t="s">
        <v>57</v>
      </c>
      <c r="R7" s="49" t="s">
        <v>57</v>
      </c>
      <c r="S7" s="51">
        <f t="shared" si="4"/>
        <v>4</v>
      </c>
      <c r="T7" s="52">
        <f t="shared" si="5"/>
        <v>0</v>
      </c>
      <c r="U7" s="52"/>
      <c r="V7" s="51">
        <f t="shared" si="6"/>
        <v>1</v>
      </c>
      <c r="W7" s="52">
        <f t="shared" si="7"/>
        <v>-1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77</v>
      </c>
      <c r="C8" s="37">
        <v>62.0</v>
      </c>
      <c r="D8" s="37">
        <v>8.0</v>
      </c>
      <c r="E8" s="40">
        <f t="shared" si="2"/>
        <v>12.4</v>
      </c>
      <c r="F8" s="90">
        <v>1.0</v>
      </c>
      <c r="G8" s="91">
        <v>1.0</v>
      </c>
      <c r="H8" s="92">
        <v>0.0</v>
      </c>
      <c r="I8" s="91">
        <v>6.0</v>
      </c>
      <c r="J8" s="91">
        <v>1.0</v>
      </c>
      <c r="K8" s="91">
        <v>6.0</v>
      </c>
      <c r="L8" s="93">
        <v>13.0</v>
      </c>
      <c r="M8" s="91">
        <v>1.0</v>
      </c>
      <c r="N8" s="37">
        <f t="shared" ref="N8:O8" si="13">C8+L8</f>
        <v>75</v>
      </c>
      <c r="O8" s="37">
        <f t="shared" si="13"/>
        <v>9</v>
      </c>
      <c r="P8" s="49" t="s">
        <v>57</v>
      </c>
      <c r="Q8" s="49" t="s">
        <v>57</v>
      </c>
      <c r="R8" s="49" t="s">
        <v>57</v>
      </c>
      <c r="S8" s="51">
        <f t="shared" si="4"/>
        <v>5</v>
      </c>
      <c r="T8" s="52">
        <f t="shared" si="5"/>
        <v>0</v>
      </c>
      <c r="U8" s="52"/>
      <c r="V8" s="51">
        <f t="shared" si="6"/>
        <v>0</v>
      </c>
      <c r="W8" s="52">
        <f t="shared" si="7"/>
        <v>2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96</v>
      </c>
      <c r="C9" s="37">
        <v>60.0</v>
      </c>
      <c r="D9" s="37">
        <v>5.0</v>
      </c>
      <c r="E9" s="40">
        <f t="shared" si="2"/>
        <v>12</v>
      </c>
      <c r="F9" s="90">
        <v>1.0</v>
      </c>
      <c r="G9" s="91">
        <v>1.0</v>
      </c>
      <c r="H9" s="92">
        <v>0.0</v>
      </c>
      <c r="I9" s="91">
        <v>3.0</v>
      </c>
      <c r="J9" s="91">
        <v>1.0</v>
      </c>
      <c r="K9" s="91">
        <v>7.0</v>
      </c>
      <c r="L9" s="93">
        <v>11.0</v>
      </c>
      <c r="M9" s="91">
        <v>1.0</v>
      </c>
      <c r="N9" s="37">
        <f t="shared" ref="N9:O9" si="14">C9+L9</f>
        <v>71</v>
      </c>
      <c r="O9" s="37">
        <f t="shared" si="14"/>
        <v>6</v>
      </c>
      <c r="P9" s="49" t="s">
        <v>57</v>
      </c>
      <c r="Q9" s="49" t="s">
        <v>57</v>
      </c>
      <c r="R9" s="49" t="s">
        <v>57</v>
      </c>
      <c r="S9" s="51">
        <f t="shared" si="4"/>
        <v>5</v>
      </c>
      <c r="T9" s="52">
        <f t="shared" si="5"/>
        <v>0</v>
      </c>
      <c r="U9" s="52"/>
      <c r="V9" s="51">
        <f t="shared" si="6"/>
        <v>0</v>
      </c>
      <c r="W9" s="52">
        <f t="shared" si="7"/>
        <v>-1</v>
      </c>
      <c r="X9" s="35">
        <f t="shared" si="12"/>
        <v>5</v>
      </c>
      <c r="Y9" s="35" t="str">
        <f t="shared" si="8"/>
        <v>Y</v>
      </c>
      <c r="Z9" s="19" t="str">
        <f t="shared" si="9"/>
        <v/>
      </c>
    </row>
    <row r="10">
      <c r="A10" s="35">
        <f t="shared" si="10"/>
        <v>6</v>
      </c>
      <c r="B10" s="36" t="s">
        <v>114</v>
      </c>
      <c r="C10" s="37">
        <v>59.0</v>
      </c>
      <c r="D10" s="37">
        <v>8.0</v>
      </c>
      <c r="E10" s="40">
        <f t="shared" si="2"/>
        <v>12.5</v>
      </c>
      <c r="F10" s="90">
        <v>1.0</v>
      </c>
      <c r="G10" s="91">
        <v>2.0</v>
      </c>
      <c r="H10" s="92">
        <v>0.0</v>
      </c>
      <c r="I10" s="91">
        <v>6.0</v>
      </c>
      <c r="J10" s="91">
        <v>6.0</v>
      </c>
      <c r="K10" s="91">
        <v>2.0</v>
      </c>
      <c r="L10" s="93">
        <v>14.0</v>
      </c>
      <c r="M10" s="91">
        <v>2.0</v>
      </c>
      <c r="N10" s="37">
        <f t="shared" ref="N10:O10" si="15">C10+L10</f>
        <v>73</v>
      </c>
      <c r="O10" s="37">
        <f t="shared" si="15"/>
        <v>10</v>
      </c>
      <c r="P10" s="49" t="s">
        <v>57</v>
      </c>
      <c r="Q10" s="49" t="s">
        <v>57</v>
      </c>
      <c r="R10" s="49" t="s">
        <v>57</v>
      </c>
      <c r="S10" s="51">
        <f t="shared" si="4"/>
        <v>4</v>
      </c>
      <c r="T10" s="52">
        <f t="shared" si="5"/>
        <v>0</v>
      </c>
      <c r="U10" s="52"/>
      <c r="V10" s="51">
        <f t="shared" si="6"/>
        <v>1</v>
      </c>
      <c r="W10" s="52">
        <f t="shared" si="7"/>
        <v>10</v>
      </c>
      <c r="X10" s="35">
        <f t="shared" si="12"/>
        <v>6</v>
      </c>
      <c r="Y10" s="35" t="str">
        <f t="shared" si="8"/>
        <v>N</v>
      </c>
      <c r="Z10" s="19" t="str">
        <f t="shared" si="9"/>
        <v/>
      </c>
    </row>
    <row r="11">
      <c r="A11" s="35">
        <f t="shared" si="10"/>
        <v>7</v>
      </c>
      <c r="B11" s="36" t="s">
        <v>108</v>
      </c>
      <c r="C11" s="37">
        <v>58.0</v>
      </c>
      <c r="D11" s="37">
        <v>6.0</v>
      </c>
      <c r="E11" s="40">
        <f t="shared" si="2"/>
        <v>11.6</v>
      </c>
      <c r="F11" s="90">
        <v>1.0</v>
      </c>
      <c r="G11" s="91">
        <v>2.0</v>
      </c>
      <c r="H11" s="92">
        <v>0.0</v>
      </c>
      <c r="I11" s="91">
        <v>6.0</v>
      </c>
      <c r="J11" s="91">
        <v>1.0</v>
      </c>
      <c r="K11" s="91">
        <v>6.0</v>
      </c>
      <c r="L11" s="93">
        <v>13.0</v>
      </c>
      <c r="M11" s="91">
        <v>2.0</v>
      </c>
      <c r="N11" s="37">
        <f t="shared" ref="N11:O11" si="16">C11+L11</f>
        <v>71</v>
      </c>
      <c r="O11" s="37">
        <f t="shared" si="16"/>
        <v>8</v>
      </c>
      <c r="P11" s="49" t="s">
        <v>57</v>
      </c>
      <c r="Q11" s="49" t="s">
        <v>57</v>
      </c>
      <c r="R11" s="49" t="s">
        <v>57</v>
      </c>
      <c r="S11" s="51">
        <f t="shared" si="4"/>
        <v>5</v>
      </c>
      <c r="T11" s="52">
        <f t="shared" si="5"/>
        <v>0</v>
      </c>
      <c r="U11" s="52"/>
      <c r="V11" s="51">
        <f t="shared" si="6"/>
        <v>0</v>
      </c>
      <c r="W11" s="52">
        <f t="shared" si="7"/>
        <v>1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59</v>
      </c>
      <c r="C12" s="37">
        <v>58.0</v>
      </c>
      <c r="D12" s="37">
        <v>6.0</v>
      </c>
      <c r="E12" s="40">
        <f t="shared" si="2"/>
        <v>11.6</v>
      </c>
      <c r="F12" s="90">
        <v>1.0</v>
      </c>
      <c r="G12" s="91">
        <v>2.0</v>
      </c>
      <c r="H12" s="92">
        <v>0.0</v>
      </c>
      <c r="I12" s="91">
        <v>2.0</v>
      </c>
      <c r="J12" s="91">
        <v>1.0</v>
      </c>
      <c r="K12" s="91">
        <v>2.0</v>
      </c>
      <c r="L12" s="93">
        <v>5.0</v>
      </c>
      <c r="M12" s="91">
        <v>0.0</v>
      </c>
      <c r="N12" s="37">
        <f t="shared" ref="N12:O12" si="17">C12+L12</f>
        <v>63</v>
      </c>
      <c r="O12" s="37">
        <f t="shared" si="17"/>
        <v>6</v>
      </c>
      <c r="P12" s="49" t="s">
        <v>57</v>
      </c>
      <c r="Q12" s="49" t="s">
        <v>57</v>
      </c>
      <c r="R12" s="49" t="s">
        <v>57</v>
      </c>
      <c r="S12" s="51">
        <f t="shared" si="4"/>
        <v>5</v>
      </c>
      <c r="T12" s="52">
        <f t="shared" si="5"/>
        <v>0</v>
      </c>
      <c r="U12" s="52"/>
      <c r="V12" s="51">
        <f t="shared" si="6"/>
        <v>0</v>
      </c>
      <c r="W12" s="52">
        <f t="shared" si="7"/>
        <v>3</v>
      </c>
      <c r="X12" s="35">
        <f t="shared" si="12"/>
        <v>8</v>
      </c>
      <c r="Y12" s="35" t="str">
        <f t="shared" si="8"/>
        <v>Y</v>
      </c>
      <c r="Z12" s="19" t="str">
        <f t="shared" si="9"/>
        <v/>
      </c>
    </row>
    <row r="13">
      <c r="A13" s="35">
        <f t="shared" si="10"/>
        <v>9</v>
      </c>
      <c r="B13" s="36" t="s">
        <v>103</v>
      </c>
      <c r="C13" s="37">
        <v>56.0</v>
      </c>
      <c r="D13" s="37">
        <v>7.0</v>
      </c>
      <c r="E13" s="40">
        <f t="shared" si="2"/>
        <v>11.75</v>
      </c>
      <c r="F13" s="90">
        <v>2.0</v>
      </c>
      <c r="G13" s="91">
        <v>2.0</v>
      </c>
      <c r="H13" s="92">
        <v>0.0</v>
      </c>
      <c r="I13" s="91">
        <v>2.0</v>
      </c>
      <c r="J13" s="91">
        <v>6.0</v>
      </c>
      <c r="K13" s="91">
        <v>6.0</v>
      </c>
      <c r="L13" s="93">
        <v>14.0</v>
      </c>
      <c r="M13" s="91">
        <v>2.0</v>
      </c>
      <c r="N13" s="37">
        <f t="shared" ref="N13:O13" si="18">C13+L13</f>
        <v>70</v>
      </c>
      <c r="O13" s="37">
        <f t="shared" si="18"/>
        <v>9</v>
      </c>
      <c r="P13" s="49" t="s">
        <v>57</v>
      </c>
      <c r="Q13" s="49" t="s">
        <v>57</v>
      </c>
      <c r="R13" s="49" t="s">
        <v>57</v>
      </c>
      <c r="S13" s="51">
        <f t="shared" si="4"/>
        <v>4</v>
      </c>
      <c r="T13" s="52">
        <f t="shared" si="5"/>
        <v>0</v>
      </c>
      <c r="U13" s="52"/>
      <c r="V13" s="51">
        <f t="shared" si="6"/>
        <v>1</v>
      </c>
      <c r="W13" s="52">
        <f t="shared" si="7"/>
        <v>19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127</v>
      </c>
      <c r="C14" s="37">
        <v>56.0</v>
      </c>
      <c r="D14" s="37">
        <v>6.0</v>
      </c>
      <c r="E14" s="40">
        <f t="shared" si="2"/>
        <v>11.75</v>
      </c>
      <c r="F14" s="90">
        <v>1.0</v>
      </c>
      <c r="G14" s="91">
        <v>3.0</v>
      </c>
      <c r="H14" s="92">
        <v>0.0</v>
      </c>
      <c r="I14" s="91">
        <v>3.0</v>
      </c>
      <c r="J14" s="91">
        <v>6.0</v>
      </c>
      <c r="K14" s="91">
        <v>3.0</v>
      </c>
      <c r="L14" s="93">
        <v>12.0</v>
      </c>
      <c r="M14" s="91">
        <v>1.0</v>
      </c>
      <c r="N14" s="37">
        <f t="shared" ref="N14:O14" si="19">C14+L14</f>
        <v>68</v>
      </c>
      <c r="O14" s="37">
        <f t="shared" si="19"/>
        <v>7</v>
      </c>
      <c r="P14" s="49" t="s">
        <v>57</v>
      </c>
      <c r="Q14" s="49" t="s">
        <v>57</v>
      </c>
      <c r="R14" s="49" t="s">
        <v>57</v>
      </c>
      <c r="S14" s="51">
        <f t="shared" si="4"/>
        <v>4</v>
      </c>
      <c r="T14" s="52">
        <f t="shared" si="5"/>
        <v>0</v>
      </c>
      <c r="U14" s="52"/>
      <c r="V14" s="51">
        <f t="shared" si="6"/>
        <v>1</v>
      </c>
      <c r="W14" s="52">
        <f t="shared" si="7"/>
        <v>5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132</v>
      </c>
      <c r="C15" s="37">
        <v>56.0</v>
      </c>
      <c r="D15" s="37">
        <v>6.0</v>
      </c>
      <c r="E15" s="40">
        <f t="shared" si="2"/>
        <v>11.75</v>
      </c>
      <c r="F15" s="90">
        <v>1.0</v>
      </c>
      <c r="G15" s="91">
        <v>3.0</v>
      </c>
      <c r="H15" s="92">
        <v>0.0</v>
      </c>
      <c r="I15" s="91">
        <v>3.0</v>
      </c>
      <c r="J15" s="91">
        <v>2.0</v>
      </c>
      <c r="K15" s="91">
        <v>6.0</v>
      </c>
      <c r="L15" s="93">
        <v>11.0</v>
      </c>
      <c r="M15" s="91">
        <v>1.0</v>
      </c>
      <c r="N15" s="37">
        <f t="shared" ref="N15:O15" si="20">C15+L15</f>
        <v>67</v>
      </c>
      <c r="O15" s="37">
        <f t="shared" si="20"/>
        <v>7</v>
      </c>
      <c r="P15" s="49" t="s">
        <v>57</v>
      </c>
      <c r="Q15" s="49" t="s">
        <v>57</v>
      </c>
      <c r="R15" s="49" t="s">
        <v>57</v>
      </c>
      <c r="S15" s="51">
        <f t="shared" si="4"/>
        <v>4</v>
      </c>
      <c r="T15" s="52">
        <f t="shared" si="5"/>
        <v>0</v>
      </c>
      <c r="U15" s="52"/>
      <c r="V15" s="51">
        <f t="shared" si="6"/>
        <v>1</v>
      </c>
      <c r="W15" s="52">
        <f t="shared" si="7"/>
        <v>8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115</v>
      </c>
      <c r="C16" s="37">
        <v>55.0</v>
      </c>
      <c r="D16" s="37">
        <v>5.0</v>
      </c>
      <c r="E16" s="40">
        <f t="shared" si="2"/>
        <v>11.5</v>
      </c>
      <c r="F16" s="90">
        <v>1.0</v>
      </c>
      <c r="G16" s="91">
        <v>3.0</v>
      </c>
      <c r="H16" s="92">
        <v>0.0</v>
      </c>
      <c r="I16" s="91">
        <v>6.0</v>
      </c>
      <c r="J16" s="91">
        <v>2.0</v>
      </c>
      <c r="K16" s="91">
        <v>3.0</v>
      </c>
      <c r="L16" s="93">
        <v>11.0</v>
      </c>
      <c r="M16" s="91">
        <v>1.0</v>
      </c>
      <c r="N16" s="37">
        <f t="shared" ref="N16:O16" si="21">C16+L16</f>
        <v>66</v>
      </c>
      <c r="O16" s="37">
        <f t="shared" si="21"/>
        <v>6</v>
      </c>
      <c r="P16" s="49" t="s">
        <v>57</v>
      </c>
      <c r="Q16" s="49" t="s">
        <v>57</v>
      </c>
      <c r="R16" s="49" t="s">
        <v>57</v>
      </c>
      <c r="S16" s="51">
        <f t="shared" si="4"/>
        <v>4</v>
      </c>
      <c r="T16" s="52">
        <f t="shared" si="5"/>
        <v>0</v>
      </c>
      <c r="U16" s="52"/>
      <c r="V16" s="51">
        <f t="shared" si="6"/>
        <v>1</v>
      </c>
      <c r="W16" s="52">
        <f t="shared" si="7"/>
        <v>-7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94</v>
      </c>
      <c r="C17" s="37">
        <v>55.0</v>
      </c>
      <c r="D17" s="37">
        <v>5.0</v>
      </c>
      <c r="E17" s="40">
        <f t="shared" si="2"/>
        <v>11.5</v>
      </c>
      <c r="F17" s="90">
        <v>1.0</v>
      </c>
      <c r="G17" s="91">
        <v>3.0</v>
      </c>
      <c r="H17" s="92">
        <v>0.0</v>
      </c>
      <c r="I17" s="91">
        <v>6.0</v>
      </c>
      <c r="J17" s="91">
        <v>6.0</v>
      </c>
      <c r="K17" s="91">
        <v>6.0</v>
      </c>
      <c r="L17" s="93">
        <v>18.0</v>
      </c>
      <c r="M17" s="91">
        <v>3.0</v>
      </c>
      <c r="N17" s="37">
        <f t="shared" ref="N17:O17" si="22">C17+L17</f>
        <v>73</v>
      </c>
      <c r="O17" s="37">
        <f t="shared" si="22"/>
        <v>8</v>
      </c>
      <c r="P17" s="49" t="s">
        <v>57</v>
      </c>
      <c r="Q17" s="49" t="s">
        <v>57</v>
      </c>
      <c r="R17" s="49" t="s">
        <v>57</v>
      </c>
      <c r="S17" s="51">
        <f t="shared" si="4"/>
        <v>4</v>
      </c>
      <c r="T17" s="52">
        <f t="shared" si="5"/>
        <v>0</v>
      </c>
      <c r="U17" s="52"/>
      <c r="V17" s="51">
        <f t="shared" si="6"/>
        <v>1</v>
      </c>
      <c r="W17" s="52">
        <f t="shared" si="7"/>
        <v>8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91</v>
      </c>
      <c r="C18" s="37">
        <v>55.0</v>
      </c>
      <c r="D18" s="37">
        <v>5.0</v>
      </c>
      <c r="E18" s="40">
        <f t="shared" si="2"/>
        <v>12.33333333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64</v>
      </c>
      <c r="O18" s="37">
        <f t="shared" si="23"/>
        <v>5</v>
      </c>
      <c r="P18" s="49" t="s">
        <v>57</v>
      </c>
      <c r="Q18" s="49" t="s">
        <v>57</v>
      </c>
      <c r="R18" s="49" t="s">
        <v>57</v>
      </c>
      <c r="S18" s="51">
        <f t="shared" si="4"/>
        <v>3</v>
      </c>
      <c r="T18" s="52">
        <f t="shared" si="5"/>
        <v>0</v>
      </c>
      <c r="U18" s="52"/>
      <c r="V18" s="51">
        <f t="shared" si="6"/>
        <v>2</v>
      </c>
      <c r="W18" s="52">
        <f t="shared" si="7"/>
        <v>10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104</v>
      </c>
      <c r="C19" s="37">
        <v>54.0</v>
      </c>
      <c r="D19" s="37">
        <v>6.0</v>
      </c>
      <c r="E19" s="40">
        <f t="shared" si="2"/>
        <v>12</v>
      </c>
      <c r="F19" s="90">
        <v>4.0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63</v>
      </c>
      <c r="O19" s="37">
        <f t="shared" si="24"/>
        <v>6</v>
      </c>
      <c r="P19" s="49" t="s">
        <v>57</v>
      </c>
      <c r="Q19" s="49" t="s">
        <v>57</v>
      </c>
      <c r="R19" s="49" t="s">
        <v>57</v>
      </c>
      <c r="S19" s="51">
        <f t="shared" si="4"/>
        <v>3</v>
      </c>
      <c r="T19" s="52">
        <f t="shared" si="5"/>
        <v>0</v>
      </c>
      <c r="U19" s="52"/>
      <c r="V19" s="51">
        <f t="shared" si="6"/>
        <v>2</v>
      </c>
      <c r="W19" s="52">
        <f t="shared" si="7"/>
        <v>-1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128</v>
      </c>
      <c r="C20" s="37">
        <v>54.0</v>
      </c>
      <c r="D20" s="37">
        <v>6.0</v>
      </c>
      <c r="E20" s="40">
        <f t="shared" si="2"/>
        <v>10.8</v>
      </c>
      <c r="F20" s="90">
        <v>1.0</v>
      </c>
      <c r="G20" s="91">
        <v>4.0</v>
      </c>
      <c r="H20" s="92">
        <v>0.0</v>
      </c>
      <c r="I20" s="91">
        <v>4.0</v>
      </c>
      <c r="J20" s="91">
        <v>2.0</v>
      </c>
      <c r="K20" s="91">
        <v>7.0</v>
      </c>
      <c r="L20" s="93">
        <v>13.0</v>
      </c>
      <c r="M20" s="91">
        <v>1.0</v>
      </c>
      <c r="N20" s="37">
        <f t="shared" ref="N20:O20" si="25">C20+L20</f>
        <v>67</v>
      </c>
      <c r="O20" s="37">
        <f t="shared" si="25"/>
        <v>7</v>
      </c>
      <c r="P20" s="49" t="s">
        <v>57</v>
      </c>
      <c r="Q20" s="49" t="s">
        <v>57</v>
      </c>
      <c r="R20" s="49" t="s">
        <v>57</v>
      </c>
      <c r="S20" s="51">
        <f t="shared" si="4"/>
        <v>5</v>
      </c>
      <c r="T20" s="52">
        <f t="shared" si="5"/>
        <v>0</v>
      </c>
      <c r="U20" s="52"/>
      <c r="V20" s="51">
        <f t="shared" si="6"/>
        <v>0</v>
      </c>
      <c r="W20" s="52">
        <f t="shared" si="7"/>
        <v>-4</v>
      </c>
      <c r="X20" s="35">
        <f t="shared" si="12"/>
        <v>16</v>
      </c>
      <c r="Y20" s="35" t="str">
        <f t="shared" si="8"/>
        <v>Y</v>
      </c>
      <c r="Z20" s="19" t="str">
        <f t="shared" si="9"/>
        <v/>
      </c>
    </row>
    <row r="21">
      <c r="A21" s="35">
        <f t="shared" si="10"/>
        <v>17</v>
      </c>
      <c r="B21" s="36" t="s">
        <v>63</v>
      </c>
      <c r="C21" s="37">
        <v>54.0</v>
      </c>
      <c r="D21" s="37">
        <v>6.0</v>
      </c>
      <c r="E21" s="40">
        <f t="shared" si="2"/>
        <v>11.25</v>
      </c>
      <c r="F21" s="90">
        <v>1.0</v>
      </c>
      <c r="G21" s="91">
        <v>4.0</v>
      </c>
      <c r="H21" s="92">
        <v>0.0</v>
      </c>
      <c r="I21" s="91">
        <v>4.0</v>
      </c>
      <c r="J21" s="91">
        <v>6.0</v>
      </c>
      <c r="K21" s="91">
        <v>6.0</v>
      </c>
      <c r="L21" s="93">
        <v>16.0</v>
      </c>
      <c r="M21" s="91">
        <v>1.0</v>
      </c>
      <c r="N21" s="37">
        <f t="shared" ref="N21:O21" si="26">C21+L21</f>
        <v>70</v>
      </c>
      <c r="O21" s="37">
        <f t="shared" si="26"/>
        <v>7</v>
      </c>
      <c r="P21" s="49" t="s">
        <v>57</v>
      </c>
      <c r="Q21" s="49" t="s">
        <v>57</v>
      </c>
      <c r="R21" s="49" t="s">
        <v>57</v>
      </c>
      <c r="S21" s="51">
        <f t="shared" si="4"/>
        <v>4</v>
      </c>
      <c r="T21" s="52">
        <f t="shared" si="5"/>
        <v>0</v>
      </c>
      <c r="U21" s="52"/>
      <c r="V21" s="51">
        <f t="shared" si="6"/>
        <v>1</v>
      </c>
      <c r="W21" s="52">
        <f t="shared" si="7"/>
        <v>3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120</v>
      </c>
      <c r="C22" s="37">
        <v>54.0</v>
      </c>
      <c r="D22" s="37">
        <v>5.0</v>
      </c>
      <c r="E22" s="40">
        <f t="shared" si="2"/>
        <v>13.5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63</v>
      </c>
      <c r="O22" s="37">
        <f t="shared" si="27"/>
        <v>5</v>
      </c>
      <c r="P22" s="49" t="s">
        <v>57</v>
      </c>
      <c r="Q22" s="49" t="s">
        <v>57</v>
      </c>
      <c r="R22" s="49" t="s">
        <v>57</v>
      </c>
      <c r="S22" s="51">
        <f t="shared" si="4"/>
        <v>2</v>
      </c>
      <c r="T22" s="52">
        <f t="shared" si="5"/>
        <v>0</v>
      </c>
      <c r="U22" s="52"/>
      <c r="V22" s="51">
        <f t="shared" si="6"/>
        <v>3</v>
      </c>
      <c r="W22" s="52">
        <f t="shared" si="7"/>
        <v>-9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100</v>
      </c>
      <c r="C23" s="37">
        <v>53.0</v>
      </c>
      <c r="D23" s="37">
        <v>6.0</v>
      </c>
      <c r="E23" s="40">
        <f t="shared" si="2"/>
        <v>11.66666667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62</v>
      </c>
      <c r="O23" s="37">
        <f t="shared" si="28"/>
        <v>6</v>
      </c>
      <c r="P23" s="49" t="s">
        <v>57</v>
      </c>
      <c r="Q23" s="49" t="s">
        <v>57</v>
      </c>
      <c r="R23" s="49" t="s">
        <v>57</v>
      </c>
      <c r="S23" s="51">
        <f t="shared" si="4"/>
        <v>3</v>
      </c>
      <c r="T23" s="52">
        <f t="shared" si="5"/>
        <v>0</v>
      </c>
      <c r="U23" s="52"/>
      <c r="V23" s="51">
        <f t="shared" si="6"/>
        <v>2</v>
      </c>
      <c r="W23" s="52">
        <f t="shared" si="7"/>
        <v>-9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99</v>
      </c>
      <c r="C24" s="37">
        <v>53.0</v>
      </c>
      <c r="D24" s="37">
        <v>6.0</v>
      </c>
      <c r="E24" s="40">
        <f t="shared" si="2"/>
        <v>11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62</v>
      </c>
      <c r="O24" s="37">
        <f t="shared" si="29"/>
        <v>6</v>
      </c>
      <c r="P24" s="49" t="s">
        <v>57</v>
      </c>
      <c r="Q24" s="49" t="s">
        <v>57</v>
      </c>
      <c r="R24" s="49" t="s">
        <v>57</v>
      </c>
      <c r="S24" s="51">
        <f t="shared" si="4"/>
        <v>4</v>
      </c>
      <c r="T24" s="52">
        <f t="shared" si="5"/>
        <v>0</v>
      </c>
      <c r="U24" s="52"/>
      <c r="V24" s="51">
        <f t="shared" si="6"/>
        <v>1</v>
      </c>
      <c r="W24" s="52">
        <f t="shared" si="7"/>
        <v>-13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131</v>
      </c>
      <c r="C25" s="37">
        <v>52.0</v>
      </c>
      <c r="D25" s="37">
        <v>6.0</v>
      </c>
      <c r="E25" s="40">
        <f t="shared" si="2"/>
        <v>11.33333333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61</v>
      </c>
      <c r="O25" s="37">
        <f t="shared" si="30"/>
        <v>6</v>
      </c>
      <c r="P25" s="49" t="s">
        <v>57</v>
      </c>
      <c r="Q25" s="49" t="s">
        <v>57</v>
      </c>
      <c r="R25" s="49" t="s">
        <v>57</v>
      </c>
      <c r="S25" s="51">
        <f t="shared" si="4"/>
        <v>3</v>
      </c>
      <c r="T25" s="52">
        <f t="shared" si="5"/>
        <v>0</v>
      </c>
      <c r="U25" s="52"/>
      <c r="V25" s="51">
        <f t="shared" si="6"/>
        <v>2</v>
      </c>
      <c r="W25" s="52">
        <f t="shared" si="7"/>
        <v>6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117</v>
      </c>
      <c r="C26" s="37">
        <v>52.0</v>
      </c>
      <c r="D26" s="37">
        <v>5.0</v>
      </c>
      <c r="E26" s="40">
        <f t="shared" si="2"/>
        <v>10.75</v>
      </c>
      <c r="F26" s="90">
        <v>2.0</v>
      </c>
      <c r="G26" s="91">
        <v>4.0</v>
      </c>
      <c r="H26" s="92">
        <v>0.0</v>
      </c>
      <c r="I26" s="91">
        <v>6.0</v>
      </c>
      <c r="J26" s="91">
        <v>2.0</v>
      </c>
      <c r="K26" s="91">
        <v>6.0</v>
      </c>
      <c r="L26" s="93">
        <v>14.0</v>
      </c>
      <c r="M26" s="91">
        <v>1.0</v>
      </c>
      <c r="N26" s="37">
        <f t="shared" ref="N26:O26" si="31">C26+L26</f>
        <v>66</v>
      </c>
      <c r="O26" s="37">
        <f t="shared" si="31"/>
        <v>6</v>
      </c>
      <c r="P26" s="49" t="s">
        <v>57</v>
      </c>
      <c r="Q26" s="49" t="s">
        <v>57</v>
      </c>
      <c r="R26" s="49" t="s">
        <v>57</v>
      </c>
      <c r="S26" s="51">
        <f t="shared" si="4"/>
        <v>4</v>
      </c>
      <c r="T26" s="52">
        <f t="shared" si="5"/>
        <v>0</v>
      </c>
      <c r="U26" s="52"/>
      <c r="V26" s="51">
        <f t="shared" si="6"/>
        <v>1</v>
      </c>
      <c r="W26" s="52">
        <f t="shared" si="7"/>
        <v>-9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92</v>
      </c>
      <c r="C27" s="37">
        <v>51.0</v>
      </c>
      <c r="D27" s="37">
        <v>4.0</v>
      </c>
      <c r="E27" s="40">
        <f t="shared" si="2"/>
        <v>11</v>
      </c>
      <c r="F27" s="90">
        <v>1.0</v>
      </c>
      <c r="G27" s="91">
        <v>4.0</v>
      </c>
      <c r="H27" s="92">
        <v>0.0</v>
      </c>
      <c r="I27" s="91">
        <v>6.0</v>
      </c>
      <c r="J27" s="91">
        <v>6.0</v>
      </c>
      <c r="K27" s="91">
        <v>7.0</v>
      </c>
      <c r="L27" s="93">
        <v>19.0</v>
      </c>
      <c r="M27" s="91">
        <v>3.0</v>
      </c>
      <c r="N27" s="37">
        <f t="shared" ref="N27:O27" si="32">C27+L27</f>
        <v>70</v>
      </c>
      <c r="O27" s="37">
        <f t="shared" si="32"/>
        <v>7</v>
      </c>
      <c r="P27" s="49" t="s">
        <v>57</v>
      </c>
      <c r="Q27" s="49" t="s">
        <v>57</v>
      </c>
      <c r="R27" s="49" t="s">
        <v>57</v>
      </c>
      <c r="S27" s="51">
        <f t="shared" si="4"/>
        <v>3</v>
      </c>
      <c r="T27" s="52">
        <f t="shared" si="5"/>
        <v>0</v>
      </c>
      <c r="U27" s="52"/>
      <c r="V27" s="51">
        <f t="shared" si="6"/>
        <v>2</v>
      </c>
      <c r="W27" s="52">
        <f t="shared" si="7"/>
        <v>18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139</v>
      </c>
      <c r="C28" s="37">
        <v>50.0</v>
      </c>
      <c r="D28" s="37">
        <v>6.0</v>
      </c>
      <c r="E28" s="40">
        <f t="shared" si="2"/>
        <v>10.25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59</v>
      </c>
      <c r="O28" s="37">
        <f t="shared" si="33"/>
        <v>6</v>
      </c>
      <c r="P28" s="49" t="s">
        <v>57</v>
      </c>
      <c r="Q28" s="49" t="s">
        <v>57</v>
      </c>
      <c r="R28" s="49" t="s">
        <v>57</v>
      </c>
      <c r="S28" s="51">
        <f t="shared" si="4"/>
        <v>4</v>
      </c>
      <c r="T28" s="52">
        <f t="shared" si="5"/>
        <v>0</v>
      </c>
      <c r="U28" s="52"/>
      <c r="V28" s="51">
        <f t="shared" si="6"/>
        <v>1</v>
      </c>
      <c r="W28" s="52">
        <f t="shared" si="7"/>
        <v>2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137</v>
      </c>
      <c r="C29" s="37">
        <v>50.0</v>
      </c>
      <c r="D29" s="37">
        <v>5.0</v>
      </c>
      <c r="E29" s="40">
        <f t="shared" si="2"/>
        <v>10.25</v>
      </c>
      <c r="F29" s="90">
        <v>1.0</v>
      </c>
      <c r="G29" s="91">
        <v>5.0</v>
      </c>
      <c r="H29" s="92">
        <v>0.0</v>
      </c>
      <c r="I29" s="91">
        <v>3.0</v>
      </c>
      <c r="J29" s="91">
        <v>0.0</v>
      </c>
      <c r="K29" s="91">
        <v>6.0</v>
      </c>
      <c r="L29" s="93">
        <v>9.0</v>
      </c>
      <c r="M29" s="91">
        <v>1.0</v>
      </c>
      <c r="N29" s="37">
        <f t="shared" ref="N29:O29" si="34">C29+L29</f>
        <v>59</v>
      </c>
      <c r="O29" s="37">
        <f t="shared" si="34"/>
        <v>6</v>
      </c>
      <c r="P29" s="49" t="s">
        <v>57</v>
      </c>
      <c r="Q29" s="49" t="s">
        <v>57</v>
      </c>
      <c r="R29" s="49" t="s">
        <v>57</v>
      </c>
      <c r="S29" s="51">
        <f t="shared" si="4"/>
        <v>4</v>
      </c>
      <c r="T29" s="52">
        <f t="shared" si="5"/>
        <v>0</v>
      </c>
      <c r="U29" s="52"/>
      <c r="V29" s="51">
        <f t="shared" si="6"/>
        <v>1</v>
      </c>
      <c r="W29" s="52">
        <f t="shared" si="7"/>
        <v>-8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110</v>
      </c>
      <c r="C30" s="37">
        <v>50.0</v>
      </c>
      <c r="D30" s="37">
        <v>5.0</v>
      </c>
      <c r="E30" s="40">
        <f t="shared" si="2"/>
        <v>10</v>
      </c>
      <c r="F30" s="90">
        <v>2.0</v>
      </c>
      <c r="G30" s="91">
        <v>5.0</v>
      </c>
      <c r="H30" s="92">
        <v>0.0</v>
      </c>
      <c r="I30" s="91">
        <v>3.0</v>
      </c>
      <c r="J30" s="91">
        <v>6.0</v>
      </c>
      <c r="K30" s="91">
        <v>1.0</v>
      </c>
      <c r="L30" s="93">
        <v>10.0</v>
      </c>
      <c r="M30" s="91">
        <v>1.0</v>
      </c>
      <c r="N30" s="37">
        <f t="shared" ref="N30:O30" si="35">C30+L30</f>
        <v>60</v>
      </c>
      <c r="O30" s="37">
        <f t="shared" si="35"/>
        <v>6</v>
      </c>
      <c r="P30" s="49" t="s">
        <v>57</v>
      </c>
      <c r="Q30" s="49" t="s">
        <v>57</v>
      </c>
      <c r="R30" s="49" t="s">
        <v>57</v>
      </c>
      <c r="S30" s="51">
        <f t="shared" si="4"/>
        <v>5</v>
      </c>
      <c r="T30" s="52">
        <f t="shared" si="5"/>
        <v>0</v>
      </c>
      <c r="U30" s="52"/>
      <c r="V30" s="51">
        <f t="shared" si="6"/>
        <v>0</v>
      </c>
      <c r="W30" s="52">
        <f t="shared" si="7"/>
        <v>5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89</v>
      </c>
      <c r="C31" s="37">
        <v>50.0</v>
      </c>
      <c r="D31" s="37">
        <v>4.0</v>
      </c>
      <c r="E31" s="40">
        <f t="shared" si="2"/>
        <v>10.66666667</v>
      </c>
      <c r="F31" s="90">
        <v>1.0</v>
      </c>
      <c r="G31" s="91">
        <v>5.0</v>
      </c>
      <c r="H31" s="92">
        <v>0.0</v>
      </c>
      <c r="I31" s="91">
        <v>6.0</v>
      </c>
      <c r="J31" s="91">
        <v>6.0</v>
      </c>
      <c r="K31" s="91">
        <v>6.0</v>
      </c>
      <c r="L31" s="93">
        <v>18.0</v>
      </c>
      <c r="M31" s="91">
        <v>3.0</v>
      </c>
      <c r="N31" s="37">
        <f t="shared" ref="N31:O31" si="36">C31+L31</f>
        <v>68</v>
      </c>
      <c r="O31" s="37">
        <f t="shared" si="36"/>
        <v>7</v>
      </c>
      <c r="P31" s="49" t="s">
        <v>57</v>
      </c>
      <c r="Q31" s="49" t="s">
        <v>57</v>
      </c>
      <c r="R31" s="49" t="s">
        <v>57</v>
      </c>
      <c r="S31" s="51">
        <f t="shared" si="4"/>
        <v>3</v>
      </c>
      <c r="T31" s="52">
        <f t="shared" si="5"/>
        <v>0</v>
      </c>
      <c r="U31" s="52"/>
      <c r="V31" s="51">
        <f t="shared" si="6"/>
        <v>2</v>
      </c>
      <c r="W31" s="52">
        <f t="shared" si="7"/>
        <v>-9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64</v>
      </c>
      <c r="C32" s="37">
        <v>50.0</v>
      </c>
      <c r="D32" s="37">
        <v>4.0</v>
      </c>
      <c r="E32" s="40">
        <f t="shared" si="2"/>
        <v>10</v>
      </c>
      <c r="F32" s="90">
        <v>1.0</v>
      </c>
      <c r="G32" s="91">
        <v>5.0</v>
      </c>
      <c r="H32" s="92">
        <v>0.0</v>
      </c>
      <c r="I32" s="91">
        <v>6.0</v>
      </c>
      <c r="J32" s="91">
        <v>0.0</v>
      </c>
      <c r="K32" s="91">
        <v>1.0</v>
      </c>
      <c r="L32" s="93">
        <v>7.0</v>
      </c>
      <c r="M32" s="91">
        <v>1.0</v>
      </c>
      <c r="N32" s="37">
        <f t="shared" ref="N32:O32" si="37">C32+L32</f>
        <v>57</v>
      </c>
      <c r="O32" s="37">
        <f t="shared" si="37"/>
        <v>5</v>
      </c>
      <c r="P32" s="49" t="s">
        <v>57</v>
      </c>
      <c r="Q32" s="49" t="s">
        <v>57</v>
      </c>
      <c r="R32" s="49" t="s">
        <v>57</v>
      </c>
      <c r="S32" s="51">
        <f t="shared" si="4"/>
        <v>5</v>
      </c>
      <c r="T32" s="52">
        <f t="shared" si="5"/>
        <v>0</v>
      </c>
      <c r="U32" s="52"/>
      <c r="V32" s="51">
        <f t="shared" si="6"/>
        <v>0</v>
      </c>
      <c r="W32" s="52">
        <f t="shared" si="7"/>
        <v>1</v>
      </c>
      <c r="X32" s="35">
        <f t="shared" si="12"/>
        <v>28</v>
      </c>
      <c r="Y32" s="35" t="str">
        <f t="shared" si="8"/>
        <v>Y</v>
      </c>
      <c r="Z32" s="19" t="str">
        <f t="shared" si="9"/>
        <v/>
      </c>
    </row>
    <row r="33">
      <c r="A33" s="35">
        <f t="shared" si="10"/>
        <v>29</v>
      </c>
      <c r="B33" s="36" t="s">
        <v>80</v>
      </c>
      <c r="C33" s="37">
        <v>49.0</v>
      </c>
      <c r="D33" s="37">
        <v>5.0</v>
      </c>
      <c r="E33" s="40">
        <f t="shared" si="2"/>
        <v>10</v>
      </c>
      <c r="F33" s="90">
        <v>1.0</v>
      </c>
      <c r="G33" s="91">
        <v>6.0</v>
      </c>
      <c r="H33" s="92">
        <v>0.0</v>
      </c>
      <c r="I33" s="91">
        <v>3.0</v>
      </c>
      <c r="J33" s="91">
        <v>2.0</v>
      </c>
      <c r="K33" s="91">
        <v>6.0</v>
      </c>
      <c r="L33" s="93">
        <v>11.0</v>
      </c>
      <c r="M33" s="91">
        <v>1.0</v>
      </c>
      <c r="N33" s="37">
        <f t="shared" ref="N33:O33" si="38">C33+L33</f>
        <v>60</v>
      </c>
      <c r="O33" s="37">
        <f t="shared" si="38"/>
        <v>6</v>
      </c>
      <c r="P33" s="49" t="s">
        <v>57</v>
      </c>
      <c r="Q33" s="49" t="s">
        <v>57</v>
      </c>
      <c r="R33" s="49" t="s">
        <v>57</v>
      </c>
      <c r="S33" s="51">
        <f t="shared" si="4"/>
        <v>4</v>
      </c>
      <c r="T33" s="52">
        <f t="shared" si="5"/>
        <v>0</v>
      </c>
      <c r="U33" s="52"/>
      <c r="V33" s="51">
        <f t="shared" si="6"/>
        <v>1</v>
      </c>
      <c r="W33" s="52">
        <f t="shared" si="7"/>
        <v>-7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118</v>
      </c>
      <c r="C34" s="37">
        <v>48.0</v>
      </c>
      <c r="D34" s="37">
        <v>3.0</v>
      </c>
      <c r="E34" s="40">
        <f t="shared" si="2"/>
        <v>9.75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57</v>
      </c>
      <c r="O34" s="37">
        <f t="shared" si="39"/>
        <v>3</v>
      </c>
      <c r="P34" s="49" t="s">
        <v>57</v>
      </c>
      <c r="Q34" s="49" t="s">
        <v>57</v>
      </c>
      <c r="R34" s="49" t="s">
        <v>57</v>
      </c>
      <c r="S34" s="51">
        <f t="shared" si="4"/>
        <v>4</v>
      </c>
      <c r="T34" s="52">
        <f t="shared" si="5"/>
        <v>0</v>
      </c>
      <c r="U34" s="52"/>
      <c r="V34" s="51">
        <f t="shared" si="6"/>
        <v>1</v>
      </c>
      <c r="W34" s="52">
        <f t="shared" si="7"/>
        <v>2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90</v>
      </c>
      <c r="C35" s="37">
        <v>48.0</v>
      </c>
      <c r="D35" s="37">
        <v>3.0</v>
      </c>
      <c r="E35" s="40">
        <f t="shared" si="2"/>
        <v>10.5</v>
      </c>
      <c r="F35" s="90">
        <v>3.0</v>
      </c>
      <c r="G35" s="91">
        <v>0.0</v>
      </c>
      <c r="H35" s="92">
        <v>9.0</v>
      </c>
      <c r="I35" s="91">
        <v>0.0</v>
      </c>
      <c r="J35" s="91">
        <v>0.0</v>
      </c>
      <c r="K35" s="91">
        <v>0.0</v>
      </c>
      <c r="L35" s="93">
        <v>9.0</v>
      </c>
      <c r="M35" s="91">
        <v>0.0</v>
      </c>
      <c r="N35" s="37">
        <f t="shared" ref="N35:O35" si="40">C35+L35</f>
        <v>57</v>
      </c>
      <c r="O35" s="37">
        <f t="shared" si="40"/>
        <v>3</v>
      </c>
      <c r="P35" s="49" t="s">
        <v>57</v>
      </c>
      <c r="Q35" s="49" t="s">
        <v>57</v>
      </c>
      <c r="R35" s="49" t="s">
        <v>57</v>
      </c>
      <c r="S35" s="51">
        <f t="shared" si="4"/>
        <v>2</v>
      </c>
      <c r="T35" s="52">
        <f t="shared" si="5"/>
        <v>0</v>
      </c>
      <c r="U35" s="52"/>
      <c r="V35" s="51">
        <f t="shared" si="6"/>
        <v>3</v>
      </c>
      <c r="W35" s="52">
        <f t="shared" si="7"/>
        <v>9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109</v>
      </c>
      <c r="C36" s="37">
        <v>47.0</v>
      </c>
      <c r="D36" s="37">
        <v>4.0</v>
      </c>
      <c r="E36" s="40">
        <f t="shared" si="2"/>
        <v>9.5</v>
      </c>
      <c r="F36" s="90">
        <v>1.0</v>
      </c>
      <c r="G36" s="91">
        <v>6.0</v>
      </c>
      <c r="H36" s="92">
        <v>0.0</v>
      </c>
      <c r="I36" s="91">
        <v>6.0</v>
      </c>
      <c r="J36" s="91">
        <v>6.0</v>
      </c>
      <c r="K36" s="91">
        <v>6.0</v>
      </c>
      <c r="L36" s="93">
        <v>18.0</v>
      </c>
      <c r="M36" s="91">
        <v>3.0</v>
      </c>
      <c r="N36" s="37">
        <f t="shared" ref="N36:O36" si="41">C36+L36</f>
        <v>65</v>
      </c>
      <c r="O36" s="37">
        <f t="shared" si="41"/>
        <v>7</v>
      </c>
      <c r="P36" s="49" t="s">
        <v>57</v>
      </c>
      <c r="Q36" s="49" t="s">
        <v>57</v>
      </c>
      <c r="R36" s="49" t="s">
        <v>57</v>
      </c>
      <c r="S36" s="51">
        <f t="shared" si="4"/>
        <v>4</v>
      </c>
      <c r="T36" s="52">
        <f t="shared" si="5"/>
        <v>0</v>
      </c>
      <c r="U36" s="52"/>
      <c r="V36" s="51">
        <f t="shared" si="6"/>
        <v>1</v>
      </c>
      <c r="W36" s="52">
        <f t="shared" si="7"/>
        <v>4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93</v>
      </c>
      <c r="C37" s="37">
        <v>47.0</v>
      </c>
      <c r="D37" s="37">
        <v>3.0</v>
      </c>
      <c r="E37" s="40">
        <f t="shared" si="2"/>
        <v>8.333333333</v>
      </c>
      <c r="F37" s="90">
        <v>2.0</v>
      </c>
      <c r="G37" s="91">
        <v>6.0</v>
      </c>
      <c r="H37" s="92">
        <v>0.0</v>
      </c>
      <c r="I37" s="91">
        <v>6.0</v>
      </c>
      <c r="J37" s="91">
        <v>2.0</v>
      </c>
      <c r="K37" s="91">
        <v>2.0</v>
      </c>
      <c r="L37" s="93">
        <v>10.0</v>
      </c>
      <c r="M37" s="91">
        <v>1.0</v>
      </c>
      <c r="N37" s="37">
        <f t="shared" ref="N37:O37" si="42">C37+L37</f>
        <v>57</v>
      </c>
      <c r="O37" s="37">
        <f t="shared" si="42"/>
        <v>4</v>
      </c>
      <c r="P37" s="49" t="s">
        <v>57</v>
      </c>
      <c r="Q37" s="49" t="s">
        <v>57</v>
      </c>
      <c r="R37" s="49" t="s">
        <v>57</v>
      </c>
      <c r="S37" s="51">
        <f t="shared" si="4"/>
        <v>3</v>
      </c>
      <c r="T37" s="52">
        <f t="shared" si="5"/>
        <v>1</v>
      </c>
      <c r="U37" s="52"/>
      <c r="V37" s="51">
        <f t="shared" si="6"/>
        <v>1</v>
      </c>
      <c r="W37" s="52">
        <f t="shared" si="7"/>
        <v>2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130</v>
      </c>
      <c r="C38" s="37">
        <v>46.0</v>
      </c>
      <c r="D38" s="37">
        <v>4.0</v>
      </c>
      <c r="E38" s="40">
        <f t="shared" si="2"/>
        <v>9.2</v>
      </c>
      <c r="F38" s="90">
        <v>1.0</v>
      </c>
      <c r="G38" s="91">
        <v>6.0</v>
      </c>
      <c r="H38" s="92">
        <v>0.0</v>
      </c>
      <c r="I38" s="91">
        <v>3.0</v>
      </c>
      <c r="J38" s="91">
        <v>6.0</v>
      </c>
      <c r="K38" s="91">
        <v>2.0</v>
      </c>
      <c r="L38" s="93">
        <v>11.0</v>
      </c>
      <c r="M38" s="91">
        <v>1.0</v>
      </c>
      <c r="N38" s="37">
        <f t="shared" ref="N38:O38" si="43">C38+L38</f>
        <v>57</v>
      </c>
      <c r="O38" s="37">
        <f t="shared" si="43"/>
        <v>5</v>
      </c>
      <c r="P38" s="49" t="s">
        <v>57</v>
      </c>
      <c r="Q38" s="49" t="s">
        <v>57</v>
      </c>
      <c r="R38" s="49" t="s">
        <v>57</v>
      </c>
      <c r="S38" s="51">
        <f t="shared" si="4"/>
        <v>5</v>
      </c>
      <c r="T38" s="52">
        <f t="shared" si="5"/>
        <v>0</v>
      </c>
      <c r="U38" s="52"/>
      <c r="V38" s="51">
        <f t="shared" si="6"/>
        <v>0</v>
      </c>
      <c r="W38" s="52">
        <f t="shared" si="7"/>
        <v>-9</v>
      </c>
      <c r="X38" s="35">
        <f t="shared" si="12"/>
        <v>34</v>
      </c>
      <c r="Y38" s="35" t="str">
        <f t="shared" si="8"/>
        <v>Y</v>
      </c>
      <c r="Z38" s="19" t="str">
        <f t="shared" si="9"/>
        <v/>
      </c>
    </row>
    <row r="39">
      <c r="A39" s="35">
        <f t="shared" si="10"/>
        <v>35</v>
      </c>
      <c r="B39" s="36" t="s">
        <v>95</v>
      </c>
      <c r="C39" s="37">
        <v>46.0</v>
      </c>
      <c r="D39" s="37">
        <v>4.0</v>
      </c>
      <c r="E39" s="40">
        <f t="shared" si="2"/>
        <v>9.5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55</v>
      </c>
      <c r="O39" s="37">
        <f t="shared" si="44"/>
        <v>4</v>
      </c>
      <c r="P39" s="49" t="s">
        <v>57</v>
      </c>
      <c r="Q39" s="49" t="s">
        <v>57</v>
      </c>
      <c r="R39" s="49" t="s">
        <v>57</v>
      </c>
      <c r="S39" s="51">
        <f t="shared" si="4"/>
        <v>2</v>
      </c>
      <c r="T39" s="52">
        <f t="shared" si="5"/>
        <v>0</v>
      </c>
      <c r="U39" s="52"/>
      <c r="V39" s="51">
        <f t="shared" si="6"/>
        <v>3</v>
      </c>
      <c r="W39" s="52">
        <f t="shared" si="7"/>
        <v>18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125</v>
      </c>
      <c r="C40" s="37">
        <v>46.0</v>
      </c>
      <c r="D40" s="37">
        <v>3.0</v>
      </c>
      <c r="E40" s="40">
        <f t="shared" si="2"/>
        <v>10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55</v>
      </c>
      <c r="O40" s="37">
        <f t="shared" si="45"/>
        <v>3</v>
      </c>
      <c r="P40" s="49" t="s">
        <v>57</v>
      </c>
      <c r="Q40" s="49" t="s">
        <v>57</v>
      </c>
      <c r="R40" s="49" t="s">
        <v>57</v>
      </c>
      <c r="S40" s="51">
        <f t="shared" si="4"/>
        <v>1</v>
      </c>
      <c r="T40" s="52">
        <f t="shared" si="5"/>
        <v>0</v>
      </c>
      <c r="U40" s="52"/>
      <c r="V40" s="51">
        <f t="shared" si="6"/>
        <v>4</v>
      </c>
      <c r="W40" s="52">
        <f t="shared" si="7"/>
        <v>23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140</v>
      </c>
      <c r="C41" s="37">
        <v>46.0</v>
      </c>
      <c r="D41" s="37">
        <v>2.0</v>
      </c>
      <c r="E41" s="40">
        <f t="shared" si="2"/>
        <v>9.333333333</v>
      </c>
      <c r="F41" s="90">
        <v>2.0</v>
      </c>
      <c r="G41" s="91">
        <v>7.0</v>
      </c>
      <c r="H41" s="92">
        <v>0.0</v>
      </c>
      <c r="I41" s="91">
        <v>1.0</v>
      </c>
      <c r="J41" s="91">
        <v>5.0</v>
      </c>
      <c r="K41" s="91">
        <v>2.0</v>
      </c>
      <c r="L41" s="93">
        <v>8.0</v>
      </c>
      <c r="M41" s="91">
        <v>0.0</v>
      </c>
      <c r="N41" s="37">
        <f t="shared" ref="N41:O41" si="46">C41+L41</f>
        <v>54</v>
      </c>
      <c r="O41" s="37">
        <f t="shared" si="46"/>
        <v>2</v>
      </c>
      <c r="P41" s="49" t="s">
        <v>57</v>
      </c>
      <c r="Q41" s="49" t="s">
        <v>57</v>
      </c>
      <c r="R41" s="49" t="s">
        <v>57</v>
      </c>
      <c r="S41" s="51">
        <f t="shared" si="4"/>
        <v>3</v>
      </c>
      <c r="T41" s="52">
        <f t="shared" si="5"/>
        <v>0</v>
      </c>
      <c r="U41" s="52"/>
      <c r="V41" s="51">
        <f t="shared" si="6"/>
        <v>2</v>
      </c>
      <c r="W41" s="52">
        <f t="shared" si="7"/>
        <v>-7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78</v>
      </c>
      <c r="C42" s="37">
        <v>46.0</v>
      </c>
      <c r="D42" s="37">
        <v>2.0</v>
      </c>
      <c r="E42" s="40">
        <f t="shared" si="2"/>
        <v>6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55</v>
      </c>
      <c r="O42" s="37">
        <f t="shared" si="47"/>
        <v>2</v>
      </c>
      <c r="P42" s="49" t="s">
        <v>57</v>
      </c>
      <c r="Q42" s="49" t="s">
        <v>57</v>
      </c>
      <c r="R42" s="49" t="s">
        <v>57</v>
      </c>
      <c r="S42" s="51">
        <f t="shared" si="4"/>
        <v>1</v>
      </c>
      <c r="T42" s="52">
        <f t="shared" si="5"/>
        <v>1</v>
      </c>
      <c r="U42" s="52"/>
      <c r="V42" s="51">
        <f t="shared" si="6"/>
        <v>3</v>
      </c>
      <c r="W42" s="52">
        <f t="shared" si="7"/>
        <v>-1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113</v>
      </c>
      <c r="C43" s="37">
        <v>45.0</v>
      </c>
      <c r="D43" s="37">
        <v>4.0</v>
      </c>
      <c r="E43" s="40">
        <f t="shared" si="2"/>
        <v>9</v>
      </c>
      <c r="F43" s="90">
        <v>1.0</v>
      </c>
      <c r="G43" s="91">
        <v>7.0</v>
      </c>
      <c r="H43" s="92">
        <v>0.0</v>
      </c>
      <c r="I43" s="91">
        <v>6.0</v>
      </c>
      <c r="J43" s="91">
        <v>7.0</v>
      </c>
      <c r="K43" s="91">
        <v>2.0</v>
      </c>
      <c r="L43" s="93">
        <v>15.0</v>
      </c>
      <c r="M43" s="91">
        <v>2.0</v>
      </c>
      <c r="N43" s="37">
        <f t="shared" ref="N43:O43" si="48">C43+L43</f>
        <v>60</v>
      </c>
      <c r="O43" s="37">
        <f t="shared" si="48"/>
        <v>6</v>
      </c>
      <c r="P43" s="49" t="s">
        <v>57</v>
      </c>
      <c r="Q43" s="49" t="s">
        <v>57</v>
      </c>
      <c r="R43" s="49" t="s">
        <v>57</v>
      </c>
      <c r="S43" s="51">
        <f t="shared" si="4"/>
        <v>4</v>
      </c>
      <c r="T43" s="52">
        <f t="shared" si="5"/>
        <v>0</v>
      </c>
      <c r="U43" s="52"/>
      <c r="V43" s="51">
        <f t="shared" si="6"/>
        <v>1</v>
      </c>
      <c r="W43" s="52">
        <f t="shared" si="7"/>
        <v>-16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142</v>
      </c>
      <c r="C44" s="37">
        <v>45.0</v>
      </c>
      <c r="D44" s="37">
        <v>4.0</v>
      </c>
      <c r="E44" s="40">
        <f t="shared" si="2"/>
        <v>9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54</v>
      </c>
      <c r="O44" s="37">
        <f t="shared" si="49"/>
        <v>4</v>
      </c>
      <c r="P44" s="49" t="s">
        <v>57</v>
      </c>
      <c r="Q44" s="49" t="s">
        <v>57</v>
      </c>
      <c r="R44" s="49" t="s">
        <v>57</v>
      </c>
      <c r="S44" s="51">
        <f t="shared" si="4"/>
        <v>2</v>
      </c>
      <c r="T44" s="52">
        <f t="shared" si="5"/>
        <v>0</v>
      </c>
      <c r="U44" s="52"/>
      <c r="V44" s="51">
        <f t="shared" si="6"/>
        <v>3</v>
      </c>
      <c r="W44" s="52">
        <f t="shared" si="7"/>
        <v>7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112</v>
      </c>
      <c r="C45" s="37">
        <v>43.0</v>
      </c>
      <c r="D45" s="37">
        <v>2.0</v>
      </c>
      <c r="E45" s="40">
        <f t="shared" si="2"/>
        <v>8.333333333</v>
      </c>
      <c r="F45" s="90">
        <v>2.0</v>
      </c>
      <c r="G45" s="91">
        <v>7.0</v>
      </c>
      <c r="H45" s="92">
        <v>0.0</v>
      </c>
      <c r="I45" s="91">
        <v>6.0</v>
      </c>
      <c r="J45" s="91">
        <v>5.0</v>
      </c>
      <c r="K45" s="91">
        <v>6.0</v>
      </c>
      <c r="L45" s="93">
        <v>17.0</v>
      </c>
      <c r="M45" s="91">
        <v>2.0</v>
      </c>
      <c r="N45" s="37">
        <f t="shared" ref="N45:O45" si="50">C45+L45</f>
        <v>60</v>
      </c>
      <c r="O45" s="37">
        <f t="shared" si="50"/>
        <v>4</v>
      </c>
      <c r="P45" s="49" t="s">
        <v>57</v>
      </c>
      <c r="Q45" s="49" t="s">
        <v>57</v>
      </c>
      <c r="R45" s="49" t="s">
        <v>57</v>
      </c>
      <c r="S45" s="51">
        <f t="shared" si="4"/>
        <v>3</v>
      </c>
      <c r="T45" s="52">
        <f t="shared" si="5"/>
        <v>0</v>
      </c>
      <c r="U45" s="52"/>
      <c r="V45" s="51">
        <f t="shared" si="6"/>
        <v>2</v>
      </c>
      <c r="W45" s="52">
        <f t="shared" si="7"/>
        <v>-8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70</v>
      </c>
      <c r="C46" s="37">
        <v>43.0</v>
      </c>
      <c r="D46" s="37">
        <v>2.0</v>
      </c>
      <c r="E46" s="40">
        <f t="shared" si="2"/>
        <v>6</v>
      </c>
      <c r="F46" s="90">
        <v>2.0</v>
      </c>
      <c r="G46" s="91">
        <v>7.0</v>
      </c>
      <c r="H46" s="92">
        <v>0.0</v>
      </c>
      <c r="I46" s="91">
        <v>1.0</v>
      </c>
      <c r="J46" s="91">
        <v>7.0</v>
      </c>
      <c r="K46" s="91">
        <v>6.0</v>
      </c>
      <c r="L46" s="93">
        <v>14.0</v>
      </c>
      <c r="M46" s="91">
        <v>2.0</v>
      </c>
      <c r="N46" s="37">
        <f t="shared" ref="N46:O46" si="51">C46+L46</f>
        <v>57</v>
      </c>
      <c r="O46" s="37">
        <f t="shared" si="51"/>
        <v>4</v>
      </c>
      <c r="P46" s="49" t="s">
        <v>57</v>
      </c>
      <c r="Q46" s="49" t="s">
        <v>57</v>
      </c>
      <c r="R46" s="49" t="s">
        <v>57</v>
      </c>
      <c r="S46" s="51">
        <f t="shared" si="4"/>
        <v>2</v>
      </c>
      <c r="T46" s="52">
        <f t="shared" si="5"/>
        <v>1</v>
      </c>
      <c r="U46" s="52"/>
      <c r="V46" s="51">
        <f t="shared" si="6"/>
        <v>2</v>
      </c>
      <c r="W46" s="52">
        <f t="shared" si="7"/>
        <v>8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154</v>
      </c>
      <c r="C47" s="37">
        <v>42.0</v>
      </c>
      <c r="D47" s="37">
        <v>2.0</v>
      </c>
      <c r="E47" s="40">
        <f t="shared" si="2"/>
        <v>7.5</v>
      </c>
      <c r="F47" s="90">
        <v>1.0</v>
      </c>
      <c r="G47" s="91">
        <v>8.0</v>
      </c>
      <c r="H47" s="92">
        <v>0.0</v>
      </c>
      <c r="I47" s="91">
        <v>1.0</v>
      </c>
      <c r="J47" s="91">
        <v>6.0</v>
      </c>
      <c r="K47" s="91">
        <v>0.0</v>
      </c>
      <c r="L47" s="93">
        <v>7.0</v>
      </c>
      <c r="M47" s="91">
        <v>1.0</v>
      </c>
      <c r="N47" s="37">
        <f t="shared" ref="N47:O47" si="52">C47+L47</f>
        <v>49</v>
      </c>
      <c r="O47" s="37">
        <f t="shared" si="52"/>
        <v>3</v>
      </c>
      <c r="P47" s="49" t="s">
        <v>57</v>
      </c>
      <c r="Q47" s="49" t="s">
        <v>57</v>
      </c>
      <c r="R47" s="49" t="s">
        <v>57</v>
      </c>
      <c r="S47" s="51">
        <f t="shared" si="4"/>
        <v>2</v>
      </c>
      <c r="T47" s="52">
        <f t="shared" si="5"/>
        <v>0</v>
      </c>
      <c r="U47" s="52"/>
      <c r="V47" s="51">
        <f t="shared" si="6"/>
        <v>3</v>
      </c>
      <c r="W47" s="52">
        <f t="shared" si="7"/>
        <v>-5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106</v>
      </c>
      <c r="C48" s="37">
        <v>42.0</v>
      </c>
      <c r="D48" s="37">
        <v>1.0</v>
      </c>
      <c r="E48" s="40">
        <f t="shared" si="2"/>
        <v>6</v>
      </c>
      <c r="F48" s="90">
        <v>3.0</v>
      </c>
      <c r="G48" s="91">
        <v>0.0</v>
      </c>
      <c r="H48" s="92">
        <v>9.0</v>
      </c>
      <c r="I48" s="91">
        <v>0.0</v>
      </c>
      <c r="J48" s="91">
        <v>0.0</v>
      </c>
      <c r="K48" s="91">
        <v>0.0</v>
      </c>
      <c r="L48" s="93">
        <v>9.0</v>
      </c>
      <c r="M48" s="91">
        <v>0.0</v>
      </c>
      <c r="N48" s="37">
        <f t="shared" ref="N48:O48" si="53">C48+L48</f>
        <v>51</v>
      </c>
      <c r="O48" s="37">
        <f t="shared" si="53"/>
        <v>1</v>
      </c>
      <c r="P48" s="49" t="s">
        <v>57</v>
      </c>
      <c r="Q48" s="49" t="s">
        <v>57</v>
      </c>
      <c r="R48" s="49" t="s">
        <v>57</v>
      </c>
      <c r="S48" s="51">
        <f t="shared" si="4"/>
        <v>1</v>
      </c>
      <c r="T48" s="52">
        <f t="shared" si="5"/>
        <v>0</v>
      </c>
      <c r="U48" s="52"/>
      <c r="V48" s="51">
        <f t="shared" si="6"/>
        <v>4</v>
      </c>
      <c r="W48" s="52">
        <f t="shared" si="7"/>
        <v>-5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135</v>
      </c>
      <c r="C49" s="37">
        <v>42.0</v>
      </c>
      <c r="D49" s="37">
        <v>1.0</v>
      </c>
      <c r="E49" s="40">
        <f t="shared" si="2"/>
        <v>7.5</v>
      </c>
      <c r="F49" s="90">
        <v>1.0</v>
      </c>
      <c r="G49" s="91">
        <v>8.0</v>
      </c>
      <c r="H49" s="92">
        <v>0.0</v>
      </c>
      <c r="I49" s="91">
        <v>6.0</v>
      </c>
      <c r="J49" s="91">
        <v>6.0</v>
      </c>
      <c r="K49" s="91">
        <v>6.0</v>
      </c>
      <c r="L49" s="93">
        <v>18.0</v>
      </c>
      <c r="M49" s="91">
        <v>3.0</v>
      </c>
      <c r="N49" s="37">
        <f t="shared" ref="N49:O49" si="54">C49+L49</f>
        <v>60</v>
      </c>
      <c r="O49" s="37">
        <f t="shared" si="54"/>
        <v>4</v>
      </c>
      <c r="P49" s="49" t="s">
        <v>57</v>
      </c>
      <c r="Q49" s="49" t="s">
        <v>57</v>
      </c>
      <c r="R49" s="49" t="s">
        <v>57</v>
      </c>
      <c r="S49" s="51">
        <f t="shared" si="4"/>
        <v>2</v>
      </c>
      <c r="T49" s="52">
        <f t="shared" si="5"/>
        <v>0</v>
      </c>
      <c r="U49" s="52"/>
      <c r="V49" s="51">
        <f t="shared" si="6"/>
        <v>3</v>
      </c>
      <c r="W49" s="52">
        <f t="shared" si="7"/>
        <v>21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151</v>
      </c>
      <c r="C50" s="37">
        <v>41.0</v>
      </c>
      <c r="D50" s="37">
        <v>4.0</v>
      </c>
      <c r="E50" s="40">
        <f t="shared" si="2"/>
        <v>8.2</v>
      </c>
      <c r="F50" s="90">
        <v>2.0</v>
      </c>
      <c r="G50" s="91">
        <v>8.0</v>
      </c>
      <c r="H50" s="92">
        <v>0.0</v>
      </c>
      <c r="I50" s="91">
        <v>6.0</v>
      </c>
      <c r="J50" s="91">
        <v>2.0</v>
      </c>
      <c r="K50" s="91">
        <v>0.0</v>
      </c>
      <c r="L50" s="93">
        <v>8.0</v>
      </c>
      <c r="M50" s="91">
        <v>1.0</v>
      </c>
      <c r="N50" s="37">
        <f t="shared" ref="N50:O50" si="55">C50+L50</f>
        <v>49</v>
      </c>
      <c r="O50" s="37">
        <f t="shared" si="55"/>
        <v>5</v>
      </c>
      <c r="P50" s="49" t="s">
        <v>57</v>
      </c>
      <c r="Q50" s="49" t="s">
        <v>57</v>
      </c>
      <c r="R50" s="49" t="s">
        <v>57</v>
      </c>
      <c r="S50" s="51">
        <f t="shared" si="4"/>
        <v>5</v>
      </c>
      <c r="T50" s="52">
        <f t="shared" si="5"/>
        <v>0</v>
      </c>
      <c r="U50" s="52"/>
      <c r="V50" s="51">
        <f t="shared" si="6"/>
        <v>0</v>
      </c>
      <c r="W50" s="52">
        <f t="shared" si="7"/>
        <v>-3</v>
      </c>
      <c r="X50" s="35">
        <f t="shared" si="12"/>
        <v>46</v>
      </c>
      <c r="Y50" s="35" t="str">
        <f t="shared" si="8"/>
        <v>Y</v>
      </c>
      <c r="Z50" s="19" t="str">
        <f t="shared" si="9"/>
        <v/>
      </c>
    </row>
    <row r="51">
      <c r="A51" s="35">
        <f t="shared" si="10"/>
        <v>47</v>
      </c>
      <c r="B51" s="36" t="s">
        <v>145</v>
      </c>
      <c r="C51" s="37">
        <v>41.0</v>
      </c>
      <c r="D51" s="37">
        <v>4.0</v>
      </c>
      <c r="E51" s="40">
        <f t="shared" si="2"/>
        <v>8</v>
      </c>
      <c r="F51" s="90">
        <v>1.0</v>
      </c>
      <c r="G51" s="91">
        <v>8.0</v>
      </c>
      <c r="H51" s="92">
        <v>0.0</v>
      </c>
      <c r="I51" s="91">
        <v>1.0</v>
      </c>
      <c r="J51" s="91">
        <v>2.0</v>
      </c>
      <c r="K51" s="91">
        <v>6.0</v>
      </c>
      <c r="L51" s="93">
        <v>9.0</v>
      </c>
      <c r="M51" s="91">
        <v>1.0</v>
      </c>
      <c r="N51" s="37">
        <f t="shared" ref="N51:O51" si="56">C51+L51</f>
        <v>50</v>
      </c>
      <c r="O51" s="37">
        <f t="shared" si="56"/>
        <v>5</v>
      </c>
      <c r="P51" s="49" t="s">
        <v>57</v>
      </c>
      <c r="Q51" s="49" t="s">
        <v>57</v>
      </c>
      <c r="R51" s="49" t="s">
        <v>57</v>
      </c>
      <c r="S51" s="51">
        <f t="shared" si="4"/>
        <v>4</v>
      </c>
      <c r="T51" s="52">
        <f t="shared" si="5"/>
        <v>0</v>
      </c>
      <c r="U51" s="52"/>
      <c r="V51" s="51">
        <f t="shared" si="6"/>
        <v>1</v>
      </c>
      <c r="W51" s="52">
        <f t="shared" si="7"/>
        <v>-3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138</v>
      </c>
      <c r="C52" s="37">
        <v>41.0</v>
      </c>
      <c r="D52" s="37">
        <v>3.0</v>
      </c>
      <c r="E52" s="40">
        <f t="shared" si="2"/>
        <v>7.666666667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50</v>
      </c>
      <c r="O52" s="37">
        <f t="shared" si="57"/>
        <v>3</v>
      </c>
      <c r="P52" s="49" t="s">
        <v>57</v>
      </c>
      <c r="Q52" s="49" t="s">
        <v>57</v>
      </c>
      <c r="R52" s="49" t="s">
        <v>57</v>
      </c>
      <c r="S52" s="51">
        <f t="shared" si="4"/>
        <v>3</v>
      </c>
      <c r="T52" s="52">
        <f t="shared" si="5"/>
        <v>0</v>
      </c>
      <c r="U52" s="52"/>
      <c r="V52" s="51">
        <f t="shared" si="6"/>
        <v>2</v>
      </c>
      <c r="W52" s="52">
        <f t="shared" si="7"/>
        <v>-3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76</v>
      </c>
      <c r="C53" s="37">
        <v>41.0</v>
      </c>
      <c r="D53" s="37">
        <v>2.0</v>
      </c>
      <c r="E53" s="40">
        <f t="shared" si="2"/>
        <v>7.666666667</v>
      </c>
      <c r="F53" s="90">
        <v>2.0</v>
      </c>
      <c r="G53" s="91">
        <v>9.0</v>
      </c>
      <c r="H53" s="92">
        <v>0.0</v>
      </c>
      <c r="I53" s="91">
        <v>6.0</v>
      </c>
      <c r="J53" s="91">
        <v>2.0</v>
      </c>
      <c r="K53" s="91">
        <v>6.0</v>
      </c>
      <c r="L53" s="93">
        <v>14.0</v>
      </c>
      <c r="M53" s="91">
        <v>2.0</v>
      </c>
      <c r="N53" s="37">
        <f t="shared" ref="N53:O53" si="58">C53+L53</f>
        <v>55</v>
      </c>
      <c r="O53" s="37">
        <f t="shared" si="58"/>
        <v>4</v>
      </c>
      <c r="P53" s="49" t="s">
        <v>57</v>
      </c>
      <c r="Q53" s="49" t="s">
        <v>57</v>
      </c>
      <c r="R53" s="49" t="s">
        <v>57</v>
      </c>
      <c r="S53" s="51">
        <f t="shared" si="4"/>
        <v>3</v>
      </c>
      <c r="T53" s="52">
        <f t="shared" si="5"/>
        <v>0</v>
      </c>
      <c r="U53" s="52"/>
      <c r="V53" s="51">
        <f t="shared" si="6"/>
        <v>2</v>
      </c>
      <c r="W53" s="52">
        <f t="shared" si="7"/>
        <v>22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97</v>
      </c>
      <c r="C54" s="37">
        <v>41.0</v>
      </c>
      <c r="D54" s="37">
        <v>1.0</v>
      </c>
      <c r="E54" s="40">
        <f t="shared" si="2"/>
        <v>5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50</v>
      </c>
      <c r="O54" s="37">
        <f t="shared" si="59"/>
        <v>1</v>
      </c>
      <c r="P54" s="49" t="s">
        <v>57</v>
      </c>
      <c r="Q54" s="49" t="s">
        <v>57</v>
      </c>
      <c r="R54" s="49" t="s">
        <v>57</v>
      </c>
      <c r="S54" s="51">
        <f t="shared" si="4"/>
        <v>1</v>
      </c>
      <c r="T54" s="52">
        <f t="shared" si="5"/>
        <v>0</v>
      </c>
      <c r="U54" s="52"/>
      <c r="V54" s="51">
        <f t="shared" si="6"/>
        <v>4</v>
      </c>
      <c r="W54" s="52">
        <f t="shared" si="7"/>
        <v>-8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136</v>
      </c>
      <c r="C55" s="37">
        <v>40.0</v>
      </c>
      <c r="D55" s="37">
        <v>2.0</v>
      </c>
      <c r="E55" s="40">
        <f t="shared" si="2"/>
        <v>7.333333333</v>
      </c>
      <c r="F55" s="90">
        <v>1.0</v>
      </c>
      <c r="G55" s="91">
        <v>9.0</v>
      </c>
      <c r="H55" s="92">
        <v>0.0</v>
      </c>
      <c r="I55" s="91">
        <v>4.0</v>
      </c>
      <c r="J55" s="91">
        <v>2.0</v>
      </c>
      <c r="K55" s="91">
        <v>2.0</v>
      </c>
      <c r="L55" s="93">
        <v>8.0</v>
      </c>
      <c r="M55" s="91">
        <v>0.0</v>
      </c>
      <c r="N55" s="37">
        <f t="shared" ref="N55:O55" si="60">C55+L55</f>
        <v>48</v>
      </c>
      <c r="O55" s="37">
        <f t="shared" si="60"/>
        <v>2</v>
      </c>
      <c r="P55" s="49" t="s">
        <v>57</v>
      </c>
      <c r="Q55" s="49" t="s">
        <v>57</v>
      </c>
      <c r="R55" s="49" t="s">
        <v>57</v>
      </c>
      <c r="S55" s="51">
        <f t="shared" si="4"/>
        <v>3</v>
      </c>
      <c r="T55" s="52">
        <f t="shared" si="5"/>
        <v>0</v>
      </c>
      <c r="U55" s="52"/>
      <c r="V55" s="51">
        <f t="shared" si="6"/>
        <v>2</v>
      </c>
      <c r="W55" s="52">
        <f t="shared" si="7"/>
        <v>-17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73</v>
      </c>
      <c r="C56" s="37">
        <v>40.0</v>
      </c>
      <c r="D56" s="37">
        <v>2.0</v>
      </c>
      <c r="E56" s="40">
        <f t="shared" si="2"/>
        <v>4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49</v>
      </c>
      <c r="O56" s="37">
        <f t="shared" si="61"/>
        <v>2</v>
      </c>
      <c r="P56" s="49" t="s">
        <v>57</v>
      </c>
      <c r="Q56" s="49" t="s">
        <v>57</v>
      </c>
      <c r="R56" s="49" t="s">
        <v>57</v>
      </c>
      <c r="S56" s="51">
        <f t="shared" si="4"/>
        <v>1</v>
      </c>
      <c r="T56" s="52">
        <f t="shared" si="5"/>
        <v>0</v>
      </c>
      <c r="U56" s="52"/>
      <c r="V56" s="51">
        <f t="shared" si="6"/>
        <v>4</v>
      </c>
      <c r="W56" s="52">
        <f t="shared" si="7"/>
        <v>-6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143</v>
      </c>
      <c r="C57" s="37">
        <v>40.0</v>
      </c>
      <c r="D57" s="37">
        <v>2.0</v>
      </c>
      <c r="E57" s="40">
        <f t="shared" si="2"/>
        <v>6.5</v>
      </c>
      <c r="F57" s="90">
        <v>1.0</v>
      </c>
      <c r="G57" s="91">
        <v>9.0</v>
      </c>
      <c r="H57" s="92">
        <v>0.0</v>
      </c>
      <c r="I57" s="91">
        <v>4.0</v>
      </c>
      <c r="J57" s="91">
        <v>6.0</v>
      </c>
      <c r="K57" s="91">
        <v>6.0</v>
      </c>
      <c r="L57" s="93">
        <v>16.0</v>
      </c>
      <c r="M57" s="91">
        <v>2.0</v>
      </c>
      <c r="N57" s="37">
        <f t="shared" ref="N57:O57" si="62">C57+L57</f>
        <v>56</v>
      </c>
      <c r="O57" s="37">
        <f t="shared" si="62"/>
        <v>4</v>
      </c>
      <c r="P57" s="49" t="s">
        <v>57</v>
      </c>
      <c r="Q57" s="49" t="s">
        <v>57</v>
      </c>
      <c r="R57" s="49" t="s">
        <v>57</v>
      </c>
      <c r="S57" s="51">
        <f t="shared" si="4"/>
        <v>2</v>
      </c>
      <c r="T57" s="52">
        <f t="shared" si="5"/>
        <v>0</v>
      </c>
      <c r="U57" s="52"/>
      <c r="V57" s="51">
        <f t="shared" si="6"/>
        <v>3</v>
      </c>
      <c r="W57" s="52">
        <f t="shared" si="7"/>
        <v>-5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107</v>
      </c>
      <c r="C58" s="37">
        <v>40.0</v>
      </c>
      <c r="D58" s="37">
        <v>2.0</v>
      </c>
      <c r="E58" s="40">
        <f t="shared" si="2"/>
        <v>6.5</v>
      </c>
      <c r="F58" s="90">
        <v>1.0</v>
      </c>
      <c r="G58" s="91">
        <v>9.0</v>
      </c>
      <c r="H58" s="92">
        <v>0.0</v>
      </c>
      <c r="I58" s="91">
        <v>6.0</v>
      </c>
      <c r="J58" s="91">
        <v>6.0</v>
      </c>
      <c r="K58" s="91">
        <v>2.0</v>
      </c>
      <c r="L58" s="93">
        <v>14.0</v>
      </c>
      <c r="M58" s="91">
        <v>2.0</v>
      </c>
      <c r="N58" s="37">
        <f t="shared" ref="N58:O58" si="63">C58+L58</f>
        <v>54</v>
      </c>
      <c r="O58" s="37">
        <f t="shared" si="63"/>
        <v>4</v>
      </c>
      <c r="P58" s="49" t="s">
        <v>57</v>
      </c>
      <c r="Q58" s="49" t="s">
        <v>57</v>
      </c>
      <c r="R58" s="49" t="s">
        <v>57</v>
      </c>
      <c r="S58" s="51">
        <f t="shared" si="4"/>
        <v>2</v>
      </c>
      <c r="T58" s="52">
        <f t="shared" si="5"/>
        <v>0</v>
      </c>
      <c r="U58" s="52"/>
      <c r="V58" s="51">
        <f t="shared" si="6"/>
        <v>3</v>
      </c>
      <c r="W58" s="52">
        <f t="shared" si="7"/>
        <v>-5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146</v>
      </c>
      <c r="C59" s="37">
        <v>40.0</v>
      </c>
      <c r="D59" s="37">
        <v>1.0</v>
      </c>
      <c r="E59" s="40">
        <f t="shared" si="2"/>
        <v>4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49</v>
      </c>
      <c r="O59" s="37">
        <f t="shared" si="64"/>
        <v>1</v>
      </c>
      <c r="P59" s="49" t="s">
        <v>57</v>
      </c>
      <c r="Q59" s="49" t="s">
        <v>57</v>
      </c>
      <c r="R59" s="49" t="s">
        <v>57</v>
      </c>
      <c r="S59" s="51">
        <f t="shared" si="4"/>
        <v>1</v>
      </c>
      <c r="T59" s="52">
        <f t="shared" si="5"/>
        <v>0</v>
      </c>
      <c r="U59" s="52"/>
      <c r="V59" s="51">
        <f t="shared" si="6"/>
        <v>4</v>
      </c>
      <c r="W59" s="52">
        <f t="shared" si="7"/>
        <v>3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149</v>
      </c>
      <c r="C60" s="37">
        <v>39.0</v>
      </c>
      <c r="D60" s="37">
        <v>3.0</v>
      </c>
      <c r="E60" s="40">
        <f t="shared" si="2"/>
        <v>7</v>
      </c>
      <c r="F60" s="90">
        <v>1.0</v>
      </c>
      <c r="G60" s="91">
        <v>10.0</v>
      </c>
      <c r="H60" s="92">
        <v>0.0</v>
      </c>
      <c r="I60" s="91">
        <v>3.0</v>
      </c>
      <c r="J60" s="91">
        <v>6.0</v>
      </c>
      <c r="K60" s="91">
        <v>6.0</v>
      </c>
      <c r="L60" s="93">
        <v>15.0</v>
      </c>
      <c r="M60" s="91">
        <v>2.0</v>
      </c>
      <c r="N60" s="37">
        <f t="shared" ref="N60:O60" si="65">C60+L60</f>
        <v>54</v>
      </c>
      <c r="O60" s="37">
        <f t="shared" si="65"/>
        <v>5</v>
      </c>
      <c r="P60" s="49" t="s">
        <v>57</v>
      </c>
      <c r="Q60" s="49" t="s">
        <v>57</v>
      </c>
      <c r="R60" s="49" t="s">
        <v>57</v>
      </c>
      <c r="S60" s="51">
        <f t="shared" si="4"/>
        <v>3</v>
      </c>
      <c r="T60" s="52">
        <f t="shared" si="5"/>
        <v>0</v>
      </c>
      <c r="U60" s="52"/>
      <c r="V60" s="51">
        <f t="shared" si="6"/>
        <v>2</v>
      </c>
      <c r="W60" s="52">
        <f t="shared" si="7"/>
        <v>-4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147</v>
      </c>
      <c r="C61" s="37">
        <v>39.0</v>
      </c>
      <c r="D61" s="37">
        <v>1.0</v>
      </c>
      <c r="E61" s="40">
        <f t="shared" si="2"/>
        <v>7</v>
      </c>
      <c r="F61" s="90">
        <v>2.0</v>
      </c>
      <c r="G61" s="91">
        <v>10.0</v>
      </c>
      <c r="H61" s="92">
        <v>0.0</v>
      </c>
      <c r="I61" s="91">
        <v>6.0</v>
      </c>
      <c r="J61" s="91">
        <v>6.0</v>
      </c>
      <c r="K61" s="91">
        <v>4.0</v>
      </c>
      <c r="L61" s="93">
        <v>16.0</v>
      </c>
      <c r="M61" s="91">
        <v>2.0</v>
      </c>
      <c r="N61" s="37">
        <f t="shared" ref="N61:O61" si="66">C61+L61</f>
        <v>55</v>
      </c>
      <c r="O61" s="37">
        <f t="shared" si="66"/>
        <v>3</v>
      </c>
      <c r="P61" s="49" t="s">
        <v>57</v>
      </c>
      <c r="Q61" s="49" t="s">
        <v>57</v>
      </c>
      <c r="R61" s="49" t="s">
        <v>57</v>
      </c>
      <c r="S61" s="51">
        <f t="shared" si="4"/>
        <v>3</v>
      </c>
      <c r="T61" s="52">
        <f t="shared" si="5"/>
        <v>0</v>
      </c>
      <c r="U61" s="52"/>
      <c r="V61" s="51">
        <f t="shared" si="6"/>
        <v>2</v>
      </c>
      <c r="W61" s="52">
        <f t="shared" si="7"/>
        <v>-3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116</v>
      </c>
      <c r="C62" s="37">
        <v>38.0</v>
      </c>
      <c r="D62" s="37">
        <v>2.0</v>
      </c>
      <c r="E62" s="40">
        <f t="shared" si="2"/>
        <v>7.6</v>
      </c>
      <c r="F62" s="90">
        <v>1.0</v>
      </c>
      <c r="G62" s="91">
        <v>10.0</v>
      </c>
      <c r="H62" s="92">
        <v>0.0</v>
      </c>
      <c r="I62" s="91">
        <v>3.0</v>
      </c>
      <c r="J62" s="91">
        <v>1.0</v>
      </c>
      <c r="K62" s="91">
        <v>4.0</v>
      </c>
      <c r="L62" s="93">
        <v>8.0</v>
      </c>
      <c r="M62" s="91">
        <v>0.0</v>
      </c>
      <c r="N62" s="37">
        <f t="shared" ref="N62:O62" si="67">C62+L62</f>
        <v>46</v>
      </c>
      <c r="O62" s="37">
        <f t="shared" si="67"/>
        <v>2</v>
      </c>
      <c r="P62" s="49" t="s">
        <v>57</v>
      </c>
      <c r="Q62" s="49" t="s">
        <v>57</v>
      </c>
      <c r="R62" s="49" t="s">
        <v>57</v>
      </c>
      <c r="S62" s="51">
        <f t="shared" si="4"/>
        <v>5</v>
      </c>
      <c r="T62" s="52">
        <f t="shared" si="5"/>
        <v>0</v>
      </c>
      <c r="U62" s="52"/>
      <c r="V62" s="51">
        <f t="shared" si="6"/>
        <v>0</v>
      </c>
      <c r="W62" s="52">
        <f t="shared" si="7"/>
        <v>14</v>
      </c>
      <c r="X62" s="35">
        <f t="shared" si="12"/>
        <v>58</v>
      </c>
      <c r="Y62" s="35" t="str">
        <f t="shared" si="8"/>
        <v>Y</v>
      </c>
      <c r="Z62" s="19" t="str">
        <f t="shared" si="9"/>
        <v/>
      </c>
    </row>
    <row r="63">
      <c r="A63" s="35">
        <f t="shared" si="10"/>
        <v>59</v>
      </c>
      <c r="B63" s="36" t="s">
        <v>152</v>
      </c>
      <c r="C63" s="37">
        <v>38.0</v>
      </c>
      <c r="D63" s="37">
        <v>2.0</v>
      </c>
      <c r="E63" s="40">
        <f t="shared" si="2"/>
        <v>6.666666667</v>
      </c>
      <c r="F63" s="90">
        <v>1.0</v>
      </c>
      <c r="G63" s="91">
        <v>10.0</v>
      </c>
      <c r="H63" s="92">
        <v>0.0</v>
      </c>
      <c r="I63" s="91">
        <v>6.0</v>
      </c>
      <c r="J63" s="91">
        <v>1.0</v>
      </c>
      <c r="K63" s="91">
        <v>6.0</v>
      </c>
      <c r="L63" s="93">
        <v>13.0</v>
      </c>
      <c r="M63" s="91">
        <v>2.0</v>
      </c>
      <c r="N63" s="37">
        <f t="shared" ref="N63:O63" si="68">C63+L63</f>
        <v>51</v>
      </c>
      <c r="O63" s="37">
        <f t="shared" si="68"/>
        <v>4</v>
      </c>
      <c r="P63" s="49" t="s">
        <v>57</v>
      </c>
      <c r="Q63" s="49" t="s">
        <v>57</v>
      </c>
      <c r="R63" s="49" t="s">
        <v>57</v>
      </c>
      <c r="S63" s="51">
        <f t="shared" si="4"/>
        <v>3</v>
      </c>
      <c r="T63" s="52">
        <f t="shared" si="5"/>
        <v>0</v>
      </c>
      <c r="U63" s="52"/>
      <c r="V63" s="51">
        <f t="shared" si="6"/>
        <v>2</v>
      </c>
      <c r="W63" s="52">
        <f t="shared" si="7"/>
        <v>-4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133</v>
      </c>
      <c r="C64" s="37">
        <v>38.0</v>
      </c>
      <c r="D64" s="37">
        <v>2.0</v>
      </c>
      <c r="E64" s="40">
        <f t="shared" si="2"/>
        <v>5.5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47</v>
      </c>
      <c r="O64" s="37">
        <f t="shared" si="69"/>
        <v>2</v>
      </c>
      <c r="P64" s="49" t="s">
        <v>57</v>
      </c>
      <c r="Q64" s="49" t="s">
        <v>57</v>
      </c>
      <c r="R64" s="49" t="s">
        <v>57</v>
      </c>
      <c r="S64" s="51">
        <f t="shared" si="4"/>
        <v>2</v>
      </c>
      <c r="T64" s="52">
        <f t="shared" si="5"/>
        <v>0</v>
      </c>
      <c r="U64" s="52"/>
      <c r="V64" s="51">
        <f t="shared" si="6"/>
        <v>3</v>
      </c>
      <c r="W64" s="52">
        <f t="shared" si="7"/>
        <v>-4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124</v>
      </c>
      <c r="C65" s="37">
        <v>38.0</v>
      </c>
      <c r="D65" s="37">
        <v>1.0</v>
      </c>
      <c r="E65" s="40">
        <f t="shared" si="2"/>
        <v>2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47</v>
      </c>
      <c r="O65" s="37">
        <f t="shared" si="70"/>
        <v>1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0</v>
      </c>
      <c r="U65" s="52"/>
      <c r="V65" s="51">
        <f t="shared" si="6"/>
        <v>4</v>
      </c>
      <c r="W65" s="52">
        <f t="shared" si="7"/>
        <v>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129</v>
      </c>
      <c r="C66" s="37">
        <v>37.0</v>
      </c>
      <c r="D66" s="37">
        <v>1.0</v>
      </c>
      <c r="E66" s="40">
        <f t="shared" si="2"/>
        <v>5</v>
      </c>
      <c r="F66" s="90">
        <v>1.0</v>
      </c>
      <c r="G66" s="91">
        <v>11.0</v>
      </c>
      <c r="H66" s="92">
        <v>0.0</v>
      </c>
      <c r="I66" s="91">
        <v>6.0</v>
      </c>
      <c r="J66" s="91">
        <v>1.0</v>
      </c>
      <c r="K66" s="91">
        <v>7.0</v>
      </c>
      <c r="L66" s="93">
        <v>14.0</v>
      </c>
      <c r="M66" s="91">
        <v>2.0</v>
      </c>
      <c r="N66" s="37">
        <f t="shared" ref="N66:O66" si="71">C66+L66</f>
        <v>51</v>
      </c>
      <c r="O66" s="37">
        <f t="shared" si="71"/>
        <v>3</v>
      </c>
      <c r="P66" s="49" t="s">
        <v>57</v>
      </c>
      <c r="Q66" s="49" t="s">
        <v>57</v>
      </c>
      <c r="R66" s="49" t="s">
        <v>57</v>
      </c>
      <c r="S66" s="51">
        <f t="shared" si="4"/>
        <v>2</v>
      </c>
      <c r="T66" s="52">
        <f t="shared" si="5"/>
        <v>0</v>
      </c>
      <c r="U66" s="52"/>
      <c r="V66" s="51">
        <f t="shared" si="6"/>
        <v>3</v>
      </c>
      <c r="W66" s="52">
        <f t="shared" si="7"/>
        <v>-5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134</v>
      </c>
      <c r="C67" s="37">
        <v>36.0</v>
      </c>
      <c r="D67" s="37">
        <v>3.0</v>
      </c>
      <c r="E67" s="40">
        <f t="shared" si="2"/>
        <v>6.75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45</v>
      </c>
      <c r="O67" s="37">
        <f t="shared" si="72"/>
        <v>3</v>
      </c>
      <c r="P67" s="49" t="s">
        <v>57</v>
      </c>
      <c r="Q67" s="49" t="s">
        <v>57</v>
      </c>
      <c r="R67" s="49" t="s">
        <v>57</v>
      </c>
      <c r="S67" s="51">
        <f t="shared" si="4"/>
        <v>4</v>
      </c>
      <c r="T67" s="52">
        <f t="shared" si="5"/>
        <v>0</v>
      </c>
      <c r="U67" s="52"/>
      <c r="V67" s="51">
        <f t="shared" si="6"/>
        <v>1</v>
      </c>
      <c r="W67" s="52">
        <f t="shared" si="7"/>
        <v>-12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148</v>
      </c>
      <c r="C68" s="37">
        <v>36.0</v>
      </c>
      <c r="D68" s="37">
        <v>0.0</v>
      </c>
      <c r="E68" s="40">
        <f t="shared" si="2"/>
        <v>0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45</v>
      </c>
      <c r="O68" s="37">
        <f t="shared" si="73"/>
        <v>0</v>
      </c>
      <c r="P68" s="49" t="s">
        <v>57</v>
      </c>
      <c r="Q68" s="49" t="s">
        <v>57</v>
      </c>
      <c r="R68" s="49" t="s">
        <v>57</v>
      </c>
      <c r="S68" s="51">
        <f t="shared" si="4"/>
        <v>0</v>
      </c>
      <c r="T68" s="52">
        <f t="shared" si="5"/>
        <v>0</v>
      </c>
      <c r="U68" s="52"/>
      <c r="V68" s="51">
        <f t="shared" si="6"/>
        <v>5</v>
      </c>
      <c r="W68" s="52">
        <f t="shared" si="7"/>
        <v>-4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153</v>
      </c>
      <c r="C69" s="37">
        <v>36.0</v>
      </c>
      <c r="D69" s="37">
        <v>0.0</v>
      </c>
      <c r="E69" s="40">
        <f t="shared" si="2"/>
        <v>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45</v>
      </c>
      <c r="O69" s="37">
        <f t="shared" si="74"/>
        <v>0</v>
      </c>
      <c r="P69" s="49" t="s">
        <v>57</v>
      </c>
      <c r="Q69" s="49" t="s">
        <v>57</v>
      </c>
      <c r="R69" s="49" t="s">
        <v>57</v>
      </c>
      <c r="S69" s="51">
        <f t="shared" si="4"/>
        <v>0</v>
      </c>
      <c r="T69" s="52">
        <f t="shared" si="5"/>
        <v>0</v>
      </c>
      <c r="U69" s="52"/>
      <c r="V69" s="51">
        <f t="shared" si="6"/>
        <v>5</v>
      </c>
      <c r="W69" s="52">
        <f t="shared" si="7"/>
        <v>-3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54</v>
      </c>
      <c r="C70" s="37">
        <v>36.0</v>
      </c>
      <c r="D70" s="37">
        <v>0.0</v>
      </c>
      <c r="E70" s="40">
        <f t="shared" si="2"/>
        <v>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45</v>
      </c>
      <c r="O70" s="37">
        <f t="shared" si="75"/>
        <v>0</v>
      </c>
      <c r="P70" s="49" t="s">
        <v>57</v>
      </c>
      <c r="Q70" s="49" t="s">
        <v>57</v>
      </c>
      <c r="R70" s="49" t="s">
        <v>57</v>
      </c>
      <c r="S70" s="51">
        <f t="shared" si="4"/>
        <v>0</v>
      </c>
      <c r="T70" s="52">
        <f t="shared" si="5"/>
        <v>0</v>
      </c>
      <c r="U70" s="52"/>
      <c r="V70" s="51">
        <f t="shared" si="6"/>
        <v>5</v>
      </c>
      <c r="W70" s="52">
        <f t="shared" si="7"/>
        <v>-3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105</v>
      </c>
      <c r="C71" s="37">
        <v>36.0</v>
      </c>
      <c r="D71" s="37">
        <v>0.0</v>
      </c>
      <c r="E71" s="40">
        <f t="shared" si="2"/>
        <v>0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45</v>
      </c>
      <c r="O71" s="37">
        <f t="shared" si="76"/>
        <v>0</v>
      </c>
      <c r="P71" s="49" t="s">
        <v>57</v>
      </c>
      <c r="Q71" s="49" t="s">
        <v>57</v>
      </c>
      <c r="R71" s="49" t="s">
        <v>57</v>
      </c>
      <c r="S71" s="51">
        <f t="shared" si="4"/>
        <v>0</v>
      </c>
      <c r="T71" s="52">
        <f t="shared" si="5"/>
        <v>0</v>
      </c>
      <c r="U71" s="52"/>
      <c r="V71" s="51">
        <f t="shared" si="6"/>
        <v>5</v>
      </c>
      <c r="W71" s="52">
        <f t="shared" si="7"/>
        <v>-3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51</v>
      </c>
      <c r="C72" s="37">
        <v>36.0</v>
      </c>
      <c r="D72" s="37">
        <v>0.0</v>
      </c>
      <c r="E72" s="40">
        <f t="shared" si="2"/>
        <v>0</v>
      </c>
      <c r="F72" s="90">
        <v>2.0</v>
      </c>
      <c r="G72" s="91">
        <v>11.0</v>
      </c>
      <c r="H72" s="92">
        <v>0.0</v>
      </c>
      <c r="I72" s="91">
        <v>6.0</v>
      </c>
      <c r="J72" s="91">
        <v>6.0</v>
      </c>
      <c r="K72" s="91">
        <v>5.0</v>
      </c>
      <c r="L72" s="93">
        <v>17.0</v>
      </c>
      <c r="M72" s="91">
        <v>2.0</v>
      </c>
      <c r="N72" s="37">
        <f t="shared" ref="N72:O72" si="77">C72+L72</f>
        <v>53</v>
      </c>
      <c r="O72" s="37">
        <f t="shared" si="77"/>
        <v>2</v>
      </c>
      <c r="P72" s="49" t="s">
        <v>57</v>
      </c>
      <c r="Q72" s="49" t="s">
        <v>57</v>
      </c>
      <c r="R72" s="49" t="s">
        <v>57</v>
      </c>
      <c r="S72" s="51">
        <f t="shared" si="4"/>
        <v>1</v>
      </c>
      <c r="T72" s="52">
        <f t="shared" si="5"/>
        <v>0</v>
      </c>
      <c r="U72" s="52"/>
      <c r="V72" s="51">
        <f t="shared" si="6"/>
        <v>4</v>
      </c>
      <c r="W72" s="52">
        <f t="shared" si="7"/>
        <v>-3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101</v>
      </c>
      <c r="C73" s="37">
        <v>36.0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45</v>
      </c>
      <c r="O73" s="37">
        <f t="shared" si="78"/>
        <v>0</v>
      </c>
      <c r="P73" s="49" t="s">
        <v>57</v>
      </c>
      <c r="Q73" s="49" t="s">
        <v>57</v>
      </c>
      <c r="R73" s="49" t="s">
        <v>57</v>
      </c>
      <c r="S73" s="51">
        <f t="shared" si="4"/>
        <v>0</v>
      </c>
      <c r="T73" s="52">
        <f t="shared" si="5"/>
        <v>0</v>
      </c>
      <c r="U73" s="52"/>
      <c r="V73" s="51">
        <f t="shared" si="6"/>
        <v>5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150</v>
      </c>
      <c r="C74" s="37">
        <v>36.0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45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5</v>
      </c>
      <c r="W74" s="52">
        <f t="shared" si="7"/>
        <v>-2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141</v>
      </c>
      <c r="C75" s="37">
        <v>36.0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45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5</v>
      </c>
      <c r="W75" s="52">
        <f t="shared" si="7"/>
        <v>-2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87</v>
      </c>
      <c r="C76" s="37">
        <v>36.0</v>
      </c>
      <c r="D76" s="37">
        <v>0.0</v>
      </c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45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5</v>
      </c>
      <c r="W76" s="52">
        <f t="shared" si="7"/>
        <v>-2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144</v>
      </c>
      <c r="C77" s="37">
        <v>33.0</v>
      </c>
      <c r="D77" s="37">
        <v>2.0</v>
      </c>
      <c r="E77" s="40">
        <f t="shared" si="2"/>
        <v>6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42</v>
      </c>
      <c r="O77" s="37">
        <f t="shared" si="82"/>
        <v>2</v>
      </c>
      <c r="P77" s="49" t="s">
        <v>57</v>
      </c>
      <c r="Q77" s="49" t="s">
        <v>57</v>
      </c>
      <c r="R77" s="49" t="s">
        <v>57</v>
      </c>
      <c r="S77" s="51">
        <f t="shared" si="4"/>
        <v>4</v>
      </c>
      <c r="T77" s="52">
        <f t="shared" si="5"/>
        <v>0</v>
      </c>
      <c r="U77" s="52"/>
      <c r="V77" s="51">
        <f t="shared" si="6"/>
        <v>1</v>
      </c>
      <c r="W77" s="52">
        <f t="shared" si="7"/>
        <v>2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126</v>
      </c>
      <c r="C78" s="37">
        <v>41.0</v>
      </c>
      <c r="D78" s="37">
        <v>1.0</v>
      </c>
      <c r="E78" s="40">
        <f t="shared" si="2"/>
        <v>7</v>
      </c>
      <c r="F78" s="90">
        <v>1.0</v>
      </c>
      <c r="G78" s="91">
        <v>11.0</v>
      </c>
      <c r="H78" s="92">
        <v>0.0</v>
      </c>
      <c r="I78" s="91">
        <v>2.0</v>
      </c>
      <c r="J78" s="91">
        <v>6.0</v>
      </c>
      <c r="K78" s="91">
        <v>7.0</v>
      </c>
      <c r="L78" s="93">
        <v>15.0</v>
      </c>
      <c r="M78" s="91">
        <v>2.0</v>
      </c>
      <c r="N78" s="37">
        <f t="shared" ref="N78:O78" si="83">C78+L78</f>
        <v>56</v>
      </c>
      <c r="O78" s="37">
        <f t="shared" si="83"/>
        <v>3</v>
      </c>
      <c r="P78" s="49" t="s">
        <v>57</v>
      </c>
      <c r="Q78" s="49" t="s">
        <v>57</v>
      </c>
      <c r="R78" s="49" t="s">
        <v>57</v>
      </c>
      <c r="S78" s="51">
        <f t="shared" si="4"/>
        <v>2</v>
      </c>
      <c r="T78" s="52">
        <f t="shared" si="5"/>
        <v>0</v>
      </c>
      <c r="U78" s="52"/>
      <c r="V78" s="51">
        <f t="shared" si="6"/>
        <v>3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98</v>
      </c>
      <c r="C79" s="37">
        <v>29.0</v>
      </c>
      <c r="D79" s="37">
        <v>0.0</v>
      </c>
      <c r="E79" s="40">
        <f t="shared" si="2"/>
        <v>3.666666667</v>
      </c>
      <c r="F79" s="90">
        <v>1.0</v>
      </c>
      <c r="G79" s="91">
        <v>11.0</v>
      </c>
      <c r="H79" s="92">
        <v>0.0</v>
      </c>
      <c r="I79" s="91">
        <v>2.0</v>
      </c>
      <c r="J79" s="91">
        <v>1.0</v>
      </c>
      <c r="K79" s="91">
        <v>5.0</v>
      </c>
      <c r="L79" s="93">
        <v>8.0</v>
      </c>
      <c r="M79" s="91">
        <v>0.0</v>
      </c>
      <c r="N79" s="37">
        <f t="shared" ref="N79:O79" si="84">C79+L79</f>
        <v>37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3</v>
      </c>
      <c r="T79" s="52">
        <f t="shared" si="5"/>
        <v>0</v>
      </c>
      <c r="U79" s="52"/>
      <c r="V79" s="51">
        <f t="shared" si="6"/>
        <v>2</v>
      </c>
      <c r="W79" s="52">
        <f t="shared" si="7"/>
        <v>-1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01/31/26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desc"",0)"),"Joe Luzzi")</f>
        <v>Joe Luzzi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IFERROR(__xludf.DUMMYFUNCTION("""COMPUTED_VALUE"""),5.0)</f>
        <v>5</v>
      </c>
      <c r="F91" s="5"/>
    </row>
    <row r="92">
      <c r="A92" s="5"/>
      <c r="B92" s="36" t="str">
        <f>IFERROR(__xludf.DUMMYFUNCTION("""COMPUTED_VALUE"""),"James Phan")</f>
        <v>James Phan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IFERROR(__xludf.DUMMYFUNCTION("""COMPUTED_VALUE"""),10.0)</f>
        <v>10</v>
      </c>
      <c r="F92" s="5"/>
    </row>
    <row r="93">
      <c r="A93" s="5"/>
      <c r="B93" s="36" t="str">
        <f>IFERROR(__xludf.DUMMYFUNCTION("""COMPUTED_VALUE"""),"Eric Pan")</f>
        <v>Eric Pan</v>
      </c>
      <c r="C93" s="122">
        <f>IFERROR(__xludf.DUMMYFUNCTION("""COMPUTED_VALUE"""),18.0)</f>
        <v>18</v>
      </c>
      <c r="D93" s="122">
        <f>IFERROR(__xludf.DUMMYFUNCTION("""COMPUTED_VALUE"""),3.0)</f>
        <v>3</v>
      </c>
      <c r="E93" s="122">
        <f>IFERROR(__xludf.DUMMYFUNCTION("""COMPUTED_VALUE"""),9.0)</f>
        <v>9</v>
      </c>
      <c r="F93" s="5"/>
    </row>
    <row r="94">
      <c r="A94" s="5"/>
      <c r="B94" s="36" t="str">
        <f>IFERROR(__xludf.DUMMYFUNCTION("""COMPUTED_VALUE"""),"Ethan Gu")</f>
        <v>Ethan Gu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IFERROR(__xludf.DUMMYFUNCTION("""COMPUTED_VALUE"""),7.0)</f>
        <v>7</v>
      </c>
      <c r="F94" s="5"/>
    </row>
    <row r="95">
      <c r="A95" s="5"/>
      <c r="B95" s="36" t="str">
        <f>IFERROR(__xludf.DUMMYFUNCTION("""COMPUTED_VALUE"""),"Andrew Yao")</f>
        <v>Andrew Yao</v>
      </c>
      <c r="C95" s="122">
        <f>IFERROR(__xludf.DUMMYFUNCTION("""COMPUTED_VALUE"""),18.0)</f>
        <v>18</v>
      </c>
      <c r="D95" s="122">
        <f>IFERROR(__xludf.DUMMYFUNCTION("""COMPUTED_VALUE"""),2.0)</f>
        <v>2</v>
      </c>
      <c r="E95" s="122">
        <f>IFERROR(__xludf.DUMMYFUNCTION("""COMPUTED_VALUE"""),1.0)</f>
        <v>1</v>
      </c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10"")"),"James Phan")</f>
        <v>James Phan</v>
      </c>
      <c r="C110" s="122">
        <f>IFERROR(__xludf.DUMMYFUNCTION("""COMPUTED_VALUE"""),23.0)</f>
        <v>23</v>
      </c>
      <c r="D110" s="122">
        <f t="shared" ref="D110:D119" si="85">VLOOKUP(B110,indirect($AC$2&amp;"!B$5:X$79"),23, false)</f>
        <v>59</v>
      </c>
      <c r="E110" s="122">
        <f t="shared" ref="E110:E119" si="86">VLOOKUP(B110,B$5:X$79,23, false)</f>
        <v>36</v>
      </c>
      <c r="F110" s="122">
        <f t="shared" ref="F110:F119" si="87">VLOOKUP(B110,indirect($AC$2&amp;"!B$5:U$79"),11, false)</f>
        <v>19</v>
      </c>
      <c r="G110" s="122">
        <f t="shared" ref="G110:G119" si="88">VLOOKUP(B110,indirect($AC$2&amp;"!B$5:U$79"),6, false)</f>
        <v>10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IFERROR(__xludf.DUMMYFUNCTION("""COMPUTED_VALUE"""),"Art Hui")</f>
        <v>Art Hui</v>
      </c>
      <c r="C111" s="122">
        <f>IFERROR(__xludf.DUMMYFUNCTION("""COMPUTED_VALUE"""),22.0)</f>
        <v>22</v>
      </c>
      <c r="D111" s="122">
        <f t="shared" si="85"/>
        <v>71</v>
      </c>
      <c r="E111" s="122">
        <f t="shared" si="86"/>
        <v>49</v>
      </c>
      <c r="F111" s="122">
        <f t="shared" si="87"/>
        <v>16</v>
      </c>
      <c r="G111" s="122">
        <f t="shared" si="88"/>
        <v>11</v>
      </c>
      <c r="L111" s="122" t="str">
        <f t="shared" si="89"/>
        <v>ok</v>
      </c>
    </row>
    <row r="112">
      <c r="A112" s="5"/>
      <c r="B112" s="36" t="str">
        <f>IFERROR(__xludf.DUMMYFUNCTION("""COMPUTED_VALUE"""),"Scott Li")</f>
        <v>Scott Li</v>
      </c>
      <c r="C112" s="122">
        <f>IFERROR(__xludf.DUMMYFUNCTION("""COMPUTED_VALUE"""),21.0)</f>
        <v>21</v>
      </c>
      <c r="D112" s="122">
        <f t="shared" si="85"/>
        <v>66</v>
      </c>
      <c r="E112" s="122">
        <f t="shared" si="86"/>
        <v>45</v>
      </c>
      <c r="F112" s="122">
        <f t="shared" si="87"/>
        <v>15</v>
      </c>
      <c r="G112" s="122">
        <f t="shared" si="88"/>
        <v>10</v>
      </c>
      <c r="L112" s="122" t="str">
        <f t="shared" si="89"/>
        <v>ok</v>
      </c>
    </row>
    <row r="113">
      <c r="A113" s="5"/>
      <c r="B113" s="36" t="str">
        <f>IFERROR(__xludf.DUMMYFUNCTION("""COMPUTED_VALUE"""),"Joe Luzzi")</f>
        <v>Joe Luzzi</v>
      </c>
      <c r="C113" s="122">
        <f>IFERROR(__xludf.DUMMYFUNCTION("""COMPUTED_VALUE"""),19.0)</f>
        <v>19</v>
      </c>
      <c r="D113" s="122">
        <f t="shared" si="85"/>
        <v>28</v>
      </c>
      <c r="E113" s="122">
        <f t="shared" si="86"/>
        <v>9</v>
      </c>
      <c r="F113" s="122">
        <f t="shared" si="87"/>
        <v>19</v>
      </c>
      <c r="G113" s="122">
        <f t="shared" si="88"/>
        <v>5</v>
      </c>
      <c r="L113" s="122" t="str">
        <f t="shared" si="89"/>
        <v>ok</v>
      </c>
    </row>
    <row r="114">
      <c r="A114" s="5"/>
      <c r="B114" s="36" t="str">
        <f>IFERROR(__xludf.DUMMYFUNCTION("""COMPUTED_VALUE"""),"Ethan Gu")</f>
        <v>Ethan Gu</v>
      </c>
      <c r="C114" s="122">
        <f>IFERROR(__xludf.DUMMYFUNCTION("""COMPUTED_VALUE"""),18.0)</f>
        <v>18</v>
      </c>
      <c r="D114" s="122">
        <f t="shared" si="85"/>
        <v>41</v>
      </c>
      <c r="E114" s="122">
        <f t="shared" si="86"/>
        <v>23</v>
      </c>
      <c r="F114" s="122">
        <f t="shared" si="87"/>
        <v>18</v>
      </c>
      <c r="G114" s="122">
        <f t="shared" si="88"/>
        <v>7</v>
      </c>
      <c r="L114" s="122" t="str">
        <f t="shared" si="89"/>
        <v>ok</v>
      </c>
    </row>
    <row r="115">
      <c r="A115" s="5"/>
      <c r="B115" s="36" t="str">
        <f>IFERROR(__xludf.DUMMYFUNCTION("""COMPUTED_VALUE"""),"Manish Anand")</f>
        <v>Manish Anand</v>
      </c>
      <c r="C115" s="122">
        <f>IFERROR(__xludf.DUMMYFUNCTION("""COMPUTED_VALUE"""),18.0)</f>
        <v>18</v>
      </c>
      <c r="D115" s="122">
        <f t="shared" si="85"/>
        <v>53</v>
      </c>
      <c r="E115" s="122">
        <f t="shared" si="86"/>
        <v>35</v>
      </c>
      <c r="F115" s="122">
        <f t="shared" si="87"/>
        <v>16</v>
      </c>
      <c r="G115" s="122">
        <f t="shared" si="88"/>
        <v>8</v>
      </c>
      <c r="L115" s="122" t="str">
        <f t="shared" si="89"/>
        <v>ok</v>
      </c>
    </row>
    <row r="116">
      <c r="A116" s="5"/>
      <c r="B116" s="36" t="str">
        <f>IFERROR(__xludf.DUMMYFUNCTION("""COMPUTED_VALUE"""),"Eric Tan")</f>
        <v>Eric Tan</v>
      </c>
      <c r="C116" s="122">
        <f>IFERROR(__xludf.DUMMYFUNCTION("""COMPUTED_VALUE"""),14.0)</f>
        <v>14</v>
      </c>
      <c r="D116" s="122">
        <f t="shared" si="85"/>
        <v>72</v>
      </c>
      <c r="E116" s="122">
        <f t="shared" si="86"/>
        <v>58</v>
      </c>
      <c r="F116" s="122">
        <f t="shared" si="87"/>
        <v>14</v>
      </c>
      <c r="G116" s="122">
        <f t="shared" si="88"/>
        <v>11</v>
      </c>
      <c r="L116" s="122" t="str">
        <f t="shared" si="89"/>
        <v>ok</v>
      </c>
    </row>
    <row r="117">
      <c r="A117" s="5"/>
      <c r="B117" s="36" t="str">
        <f>IFERROR(__xludf.DUMMYFUNCTION("""COMPUTED_VALUE"""),"Eric Pan")</f>
        <v>Eric Pan</v>
      </c>
      <c r="C117" s="122">
        <f>IFERROR(__xludf.DUMMYFUNCTION("""COMPUTED_VALUE"""),10.0)</f>
        <v>10</v>
      </c>
      <c r="D117" s="122">
        <f t="shared" si="85"/>
        <v>16</v>
      </c>
      <c r="E117" s="122">
        <f t="shared" si="86"/>
        <v>6</v>
      </c>
      <c r="F117" s="122">
        <f t="shared" si="87"/>
        <v>18</v>
      </c>
      <c r="G117" s="122">
        <f t="shared" si="88"/>
        <v>9</v>
      </c>
      <c r="L117" s="122" t="str">
        <f t="shared" si="89"/>
        <v>ok</v>
      </c>
    </row>
    <row r="118">
      <c r="A118" s="5"/>
      <c r="B118" s="36" t="str">
        <f>IFERROR(__xludf.DUMMYFUNCTION("""COMPUTED_VALUE"""),"Matthew Huang")</f>
        <v>Matthew Huang</v>
      </c>
      <c r="C118" s="122">
        <f>IFERROR(__xludf.DUMMYFUNCTION("""COMPUTED_VALUE"""),10.0)</f>
        <v>10</v>
      </c>
      <c r="D118" s="122">
        <f t="shared" si="85"/>
        <v>24</v>
      </c>
      <c r="E118" s="122">
        <f t="shared" si="86"/>
        <v>14</v>
      </c>
      <c r="F118" s="122">
        <f t="shared" si="87"/>
        <v>16</v>
      </c>
      <c r="G118" s="122">
        <f t="shared" si="88"/>
        <v>4</v>
      </c>
      <c r="L118" s="122" t="str">
        <f t="shared" si="89"/>
        <v>ok</v>
      </c>
    </row>
    <row r="119">
      <c r="A119" s="5"/>
      <c r="B119" s="36" t="str">
        <f>IFERROR(__xludf.DUMMYFUNCTION("""COMPUTED_VALUE"""),"Basudev Thoppai Vidyasankar")</f>
        <v>Basudev Thoppai Vidyasankar</v>
      </c>
      <c r="C119" s="122">
        <f>IFERROR(__xludf.DUMMYFUNCTION("""COMPUTED_VALUE"""),9.0)</f>
        <v>9</v>
      </c>
      <c r="D119" s="122">
        <f t="shared" si="85"/>
        <v>40</v>
      </c>
      <c r="E119" s="122">
        <f t="shared" si="86"/>
        <v>31</v>
      </c>
      <c r="F119" s="122">
        <f t="shared" si="87"/>
        <v>15</v>
      </c>
      <c r="G119" s="122">
        <f t="shared" si="88"/>
        <v>6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5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Sandeep Kamalon</v>
      </c>
      <c r="C128" s="122">
        <f t="shared" si="90"/>
        <v>69</v>
      </c>
      <c r="D128" s="122">
        <f t="shared" si="90"/>
        <v>9</v>
      </c>
      <c r="E128" s="122">
        <f t="shared" si="90"/>
        <v>13.8</v>
      </c>
      <c r="F128" s="5"/>
    </row>
    <row r="129">
      <c r="A129" s="122">
        <f t="shared" ref="A129:E129" si="91">A6</f>
        <v>2</v>
      </c>
      <c r="B129" s="36" t="str">
        <f t="shared" si="91"/>
        <v>Andrew Yao</v>
      </c>
      <c r="C129" s="122">
        <f t="shared" si="91"/>
        <v>67</v>
      </c>
      <c r="D129" s="122">
        <f t="shared" si="91"/>
        <v>9</v>
      </c>
      <c r="E129" s="122">
        <f t="shared" si="91"/>
        <v>13.4</v>
      </c>
      <c r="F129" s="5"/>
    </row>
    <row r="130">
      <c r="A130" s="122">
        <f t="shared" ref="A130:E130" si="92">A7</f>
        <v>3</v>
      </c>
      <c r="B130" s="36" t="str">
        <f t="shared" si="92"/>
        <v>Jaya Sogata</v>
      </c>
      <c r="C130" s="122">
        <f t="shared" si="92"/>
        <v>65</v>
      </c>
      <c r="D130" s="122">
        <f t="shared" si="92"/>
        <v>9</v>
      </c>
      <c r="E130" s="122">
        <f t="shared" si="92"/>
        <v>14</v>
      </c>
      <c r="F130" s="5"/>
    </row>
    <row r="131">
      <c r="A131" s="122">
        <f t="shared" ref="A131:E131" si="93">A8</f>
        <v>4</v>
      </c>
      <c r="B131" s="36" t="str">
        <f t="shared" si="93"/>
        <v>Suleman Alidina</v>
      </c>
      <c r="C131" s="122">
        <f t="shared" si="93"/>
        <v>62</v>
      </c>
      <c r="D131" s="122">
        <f t="shared" si="93"/>
        <v>8</v>
      </c>
      <c r="E131" s="122">
        <f t="shared" si="93"/>
        <v>12.4</v>
      </c>
      <c r="F131" s="5"/>
    </row>
    <row r="132">
      <c r="A132" s="122">
        <f t="shared" ref="A132:E132" si="94">A9</f>
        <v>5</v>
      </c>
      <c r="B132" s="36" t="str">
        <f t="shared" si="94"/>
        <v>Frank Moon</v>
      </c>
      <c r="C132" s="122">
        <f t="shared" si="94"/>
        <v>60</v>
      </c>
      <c r="D132" s="122">
        <f t="shared" si="94"/>
        <v>5</v>
      </c>
      <c r="E132" s="122">
        <f t="shared" si="94"/>
        <v>12</v>
      </c>
      <c r="F132" s="5"/>
    </row>
    <row r="133">
      <c r="A133" s="122">
        <f t="shared" ref="A133:E133" si="95">A10</f>
        <v>6</v>
      </c>
      <c r="B133" s="36" t="str">
        <f t="shared" si="95"/>
        <v>Eric Pan</v>
      </c>
      <c r="C133" s="122">
        <f t="shared" si="95"/>
        <v>59</v>
      </c>
      <c r="D133" s="122">
        <f t="shared" si="95"/>
        <v>8</v>
      </c>
      <c r="E133" s="122">
        <f t="shared" si="95"/>
        <v>12.5</v>
      </c>
      <c r="F133" s="5"/>
    </row>
    <row r="134">
      <c r="A134" s="122">
        <f t="shared" ref="A134:E134" si="96">A11</f>
        <v>7</v>
      </c>
      <c r="B134" s="36" t="str">
        <f t="shared" si="96"/>
        <v>Ted Shen</v>
      </c>
      <c r="C134" s="122">
        <f t="shared" si="96"/>
        <v>58</v>
      </c>
      <c r="D134" s="122">
        <f t="shared" si="96"/>
        <v>6</v>
      </c>
      <c r="E134" s="122">
        <f t="shared" si="96"/>
        <v>11.6</v>
      </c>
      <c r="F134" s="5"/>
    </row>
    <row r="135">
      <c r="A135" s="122">
        <f t="shared" ref="A135:E135" si="97">A12</f>
        <v>8</v>
      </c>
      <c r="B135" s="36" t="str">
        <f t="shared" si="97"/>
        <v>Alex Hou</v>
      </c>
      <c r="C135" s="122">
        <f t="shared" si="97"/>
        <v>58</v>
      </c>
      <c r="D135" s="122">
        <f t="shared" si="97"/>
        <v>6</v>
      </c>
      <c r="E135" s="122">
        <f t="shared" si="97"/>
        <v>11.6</v>
      </c>
      <c r="F135" s="5"/>
    </row>
    <row r="136">
      <c r="A136" s="122">
        <f t="shared" ref="A136:E136" si="98">A13</f>
        <v>9</v>
      </c>
      <c r="B136" s="36" t="str">
        <f t="shared" si="98"/>
        <v>Joe Luzzi</v>
      </c>
      <c r="C136" s="122">
        <f t="shared" si="98"/>
        <v>56</v>
      </c>
      <c r="D136" s="122">
        <f t="shared" si="98"/>
        <v>7</v>
      </c>
      <c r="E136" s="122">
        <f t="shared" si="98"/>
        <v>11.75</v>
      </c>
      <c r="F136" s="5"/>
    </row>
    <row r="137">
      <c r="A137" s="122">
        <f t="shared" ref="A137:E137" si="99">A14</f>
        <v>10</v>
      </c>
      <c r="B137" s="36" t="str">
        <f t="shared" si="99"/>
        <v>Rudy Tatang</v>
      </c>
      <c r="C137" s="122">
        <f t="shared" si="99"/>
        <v>56</v>
      </c>
      <c r="D137" s="122">
        <f t="shared" si="99"/>
        <v>6</v>
      </c>
      <c r="E137" s="122">
        <f t="shared" si="99"/>
        <v>11.75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IFERROR(__xludf.DUMMYFUNCTION("""COMPUTED_VALUE"""),"Jim Miao")</f>
        <v>Jim Miao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IFERROR(__xludf.DUMMYFUNCTION("""COMPUTED_VALUE"""),"Sandeep Kamalon")</f>
        <v>Sandeep Kamalon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IFERROR(__xludf.DUMMYFUNCTION("""COMPUTED_VALUE"""),"Suleman Alidina")</f>
        <v>Suleman Alidina</v>
      </c>
      <c r="C171" s="5"/>
      <c r="D171" s="5"/>
      <c r="E171" s="5"/>
      <c r="F171" s="5"/>
    </row>
    <row r="172">
      <c r="A172" s="122">
        <f t="shared" si="100"/>
        <v>10</v>
      </c>
      <c r="B172" s="36" t="str">
        <f>IFERROR(__xludf.DUMMYFUNCTION("""COMPUTED_VALUE"""),"Ted Shen")</f>
        <v>Ted Shen</v>
      </c>
      <c r="C172" s="5"/>
      <c r="D172" s="5"/>
      <c r="E172" s="5"/>
      <c r="F172" s="5"/>
    </row>
    <row r="173">
      <c r="A173" s="122">
        <f t="shared" si="100"/>
        <v>11</v>
      </c>
      <c r="B173" s="36" t="str">
        <f>IFERROR(__xludf.DUMMYFUNCTION("""COMPUTED_VALUE"""),"Trish Newlin")</f>
        <v>Trish Newlin</v>
      </c>
      <c r="C173" s="5"/>
      <c r="D173" s="5"/>
      <c r="E173" s="5"/>
      <c r="F173" s="5"/>
    </row>
    <row r="174">
      <c r="A174" s="122">
        <f t="shared" si="100"/>
        <v>12</v>
      </c>
      <c r="B174" s="36" t="str">
        <f>IFERROR(__xludf.DUMMYFUNCTION("""COMPUTED_VALUE"""),"Wayne Liu")</f>
        <v>Wayne Liu</v>
      </c>
      <c r="C174" s="5"/>
      <c r="D174" s="5"/>
      <c r="E174" s="5"/>
      <c r="F174" s="5"/>
    </row>
    <row r="175">
      <c r="A175" s="122">
        <f t="shared" si="100"/>
        <v>0</v>
      </c>
      <c r="B175" s="36"/>
      <c r="C175" s="5"/>
      <c r="D175" s="5"/>
      <c r="E175" s="5"/>
      <c r="F175" s="5"/>
    </row>
    <row r="176">
      <c r="A176" s="122">
        <f t="shared" si="100"/>
        <v>0</v>
      </c>
      <c r="B176" s="36"/>
      <c r="C176" s="5"/>
      <c r="D176" s="5"/>
      <c r="E176" s="5"/>
      <c r="F176" s="5"/>
    </row>
    <row r="177">
      <c r="A177" s="122">
        <f t="shared" si="100"/>
        <v>0</v>
      </c>
      <c r="B177" s="36"/>
      <c r="C177" s="5"/>
      <c r="D177" s="5"/>
      <c r="E177" s="5"/>
      <c r="F177" s="5"/>
    </row>
    <row r="178">
      <c r="A178" s="122">
        <f t="shared" si="100"/>
        <v>0</v>
      </c>
      <c r="B178" s="36"/>
      <c r="C178" s="5"/>
      <c r="D178" s="5"/>
      <c r="E178" s="5"/>
      <c r="F178" s="5"/>
    </row>
    <row r="179">
      <c r="A179" s="122">
        <f t="shared" si="100"/>
        <v>0</v>
      </c>
      <c r="B179" s="36"/>
      <c r="C179" s="5"/>
      <c r="D179" s="5"/>
      <c r="E179" s="5"/>
      <c r="F179" s="5"/>
    </row>
    <row r="180">
      <c r="A180" s="122">
        <f t="shared" si="100"/>
        <v>0</v>
      </c>
      <c r="B180" s="36"/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01/31/26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IFERROR(__xludf.DUMMYFUNCTION("""COMPUTED_VALUE"""),"Sandeep Kamalon")</f>
        <v>Sandeep Kamalon</v>
      </c>
      <c r="C250" s="132">
        <f>IFERROR(__xludf.DUMMYFUNCTION("""COMPUTED_VALUE"""),4.0)</f>
        <v>4</v>
      </c>
      <c r="D250" s="132">
        <f>IFERROR(__xludf.DUMMYFUNCTION("""COMPUTED_VALUE"""),6.0)</f>
        <v>6</v>
      </c>
      <c r="E250" s="132">
        <f>IFERROR(__xludf.DUMMYFUNCTION("""COMPUTED_VALUE"""),7.0)</f>
        <v>7</v>
      </c>
      <c r="F250" s="132">
        <f>IFERROR(__xludf.DUMMYFUNCTION("""COMPUTED_VALUE"""),17.0)</f>
        <v>17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IFERROR(__xludf.DUMMYFUNCTION("""COMPUTED_VALUE"""),"Jaya Sogata")</f>
        <v>Jaya Sogata</v>
      </c>
      <c r="C251" s="132">
        <f>IFERROR(__xludf.DUMMYFUNCTION("""COMPUTED_VALUE"""),6.0)</f>
        <v>6</v>
      </c>
      <c r="D251" s="132">
        <f>IFERROR(__xludf.DUMMYFUNCTION("""COMPUTED_VALUE"""),1.0)</f>
        <v>1</v>
      </c>
      <c r="E251" s="132">
        <f>IFERROR(__xludf.DUMMYFUNCTION("""COMPUTED_VALUE"""),7.0)</f>
        <v>7</v>
      </c>
      <c r="F251" s="132">
        <f>IFERROR(__xludf.DUMMYFUNCTION("""COMPUTED_VALUE"""),14.0)</f>
        <v>14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IFERROR(__xludf.DUMMYFUNCTION("""COMPUTED_VALUE"""),"Andrew Yao")</f>
        <v>Andrew Yao</v>
      </c>
      <c r="C252" s="132">
        <f>IFERROR(__xludf.DUMMYFUNCTION("""COMPUTED_VALUE"""),6.0)</f>
        <v>6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IFERROR(__xludf.DUMMYFUNCTION("""COMPUTED_VALUE"""),18.0)</f>
        <v>18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IFERROR(__xludf.DUMMYFUNCTION("""COMPUTED_VALUE"""),"Frank Moon")</f>
        <v>Frank Moon</v>
      </c>
      <c r="C253" s="132">
        <f>IFERROR(__xludf.DUMMYFUNCTION("""COMPUTED_VALUE"""),4.0)</f>
        <v>4</v>
      </c>
      <c r="D253" s="132">
        <f>IFERROR(__xludf.DUMMYFUNCTION("""COMPUTED_VALUE"""),1.0)</f>
        <v>1</v>
      </c>
      <c r="E253" s="132">
        <f>IFERROR(__xludf.DUMMYFUNCTION("""COMPUTED_VALUE"""),6.0)</f>
        <v>6</v>
      </c>
      <c r="F253" s="132">
        <f>IFERROR(__xludf.DUMMYFUNCTION("""COMPUTED_VALUE"""),11.0)</f>
        <v>11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IFERROR(__xludf.DUMMYFUNCTION("""COMPUTED_VALUE"""),"Suleman Alidina")</f>
        <v>Suleman Alidina</v>
      </c>
      <c r="C254" s="135">
        <f>IFERROR(__xludf.DUMMYFUNCTION("""COMPUTED_VALUE"""),6.0)</f>
        <v>6</v>
      </c>
      <c r="D254" s="135">
        <f>IFERROR(__xludf.DUMMYFUNCTION("""COMPUTED_VALUE"""),4.0)</f>
        <v>4</v>
      </c>
      <c r="E254" s="135">
        <f>IFERROR(__xludf.DUMMYFUNCTION("""COMPUTED_VALUE"""),6.0)</f>
        <v>6</v>
      </c>
      <c r="F254" s="135">
        <f>IFERROR(__xludf.DUMMYFUNCTION("""COMPUTED_VALUE"""),16.0)</f>
        <v>16</v>
      </c>
      <c r="G254" s="135">
        <f>IFERROR(__xludf.DUMMYFUNCTION("""COMPUTED_VALUE"""),3.0)</f>
        <v>3</v>
      </c>
    </row>
    <row r="255">
      <c r="A255" s="133">
        <f>IFERROR(__xludf.DUMMYFUNCTION("""COMPUTED_VALUE"""),2.0)</f>
        <v>2</v>
      </c>
      <c r="B255" s="134" t="str">
        <f>IFERROR(__xludf.DUMMYFUNCTION("""COMPUTED_VALUE"""),"Mauricio Palacios")</f>
        <v>Mauricio Palacios</v>
      </c>
      <c r="C255" s="135">
        <f>IFERROR(__xludf.DUMMYFUNCTION("""COMPUTED_VALUE"""),2.0)</f>
        <v>2</v>
      </c>
      <c r="D255" s="135">
        <f>IFERROR(__xludf.DUMMYFUNCTION("""COMPUTED_VALUE"""),4.0)</f>
        <v>4</v>
      </c>
      <c r="E255" s="135">
        <f>IFERROR(__xludf.DUMMYFUNCTION("""COMPUTED_VALUE"""),1.0)</f>
        <v>1</v>
      </c>
      <c r="F255" s="135">
        <f>IFERROR(__xludf.DUMMYFUNCTION("""COMPUTED_VALUE"""),7.0)</f>
        <v>7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IFERROR(__xludf.DUMMYFUNCTION("""COMPUTED_VALUE"""),"Ted Shen")</f>
        <v>Ted Shen</v>
      </c>
      <c r="C256" s="135">
        <f>IFERROR(__xludf.DUMMYFUNCTION("""COMPUTED_VALUE"""),6.0)</f>
        <v>6</v>
      </c>
      <c r="D256" s="135">
        <f>IFERROR(__xludf.DUMMYFUNCTION("""COMPUTED_VALUE"""),6.0)</f>
        <v>6</v>
      </c>
      <c r="E256" s="135">
        <f>IFERROR(__xludf.DUMMYFUNCTION("""COMPUTED_VALUE"""),1.0)</f>
        <v>1</v>
      </c>
      <c r="F256" s="135">
        <f>IFERROR(__xludf.DUMMYFUNCTION("""COMPUTED_VALUE"""),13.0)</f>
        <v>13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IFERROR(__xludf.DUMMYFUNCTION("""COMPUTED_VALUE"""),"Alex Hou")</f>
        <v>Alex Hou</v>
      </c>
      <c r="C257" s="135">
        <f>IFERROR(__xludf.DUMMYFUNCTION("""COMPUTED_VALUE"""),2.0)</f>
        <v>2</v>
      </c>
      <c r="D257" s="135">
        <f>IFERROR(__xludf.DUMMYFUNCTION("""COMPUTED_VALUE"""),6.0)</f>
        <v>6</v>
      </c>
      <c r="E257" s="135">
        <f>IFERROR(__xludf.DUMMYFUNCTION("""COMPUTED_VALUE"""),6.0)</f>
        <v>6</v>
      </c>
      <c r="F257" s="135">
        <f>IFERROR(__xludf.DUMMYFUNCTION("""COMPUTED_VALUE"""),14.0)</f>
        <v>14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IFERROR(__xludf.DUMMYFUNCTION("""COMPUTED_VALUE"""),"Jordan Tatang")</f>
        <v>Jordan Tatang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IFERROR(__xludf.DUMMYFUNCTION("""COMPUTED_VALUE"""),3.0)</f>
        <v>3</v>
      </c>
      <c r="F258" s="132">
        <f>IFERROR(__xludf.DUMMYFUNCTION("""COMPUTED_VALUE"""),15.0)</f>
        <v>15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IFERROR(__xludf.DUMMYFUNCTION("""COMPUTED_VALUE"""),"Pulkit Mathur")</f>
        <v>Pulkit Mathur</v>
      </c>
      <c r="C259" s="132">
        <f>IFERROR(__xludf.DUMMYFUNCTION("""COMPUTED_VALUE"""),1.0)</f>
        <v>1</v>
      </c>
      <c r="D259" s="132">
        <f>IFERROR(__xludf.DUMMYFUNCTION("""COMPUTED_VALUE"""),6.0)</f>
        <v>6</v>
      </c>
      <c r="E259" s="132">
        <f>IFERROR(__xludf.DUMMYFUNCTION("""COMPUTED_VALUE"""),6.0)</f>
        <v>6</v>
      </c>
      <c r="F259" s="132">
        <f>IFERROR(__xludf.DUMMYFUNCTION("""COMPUTED_VALUE"""),13.0)</f>
        <v>13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IFERROR(__xludf.DUMMYFUNCTION("""COMPUTED_VALUE"""),"David Shin")</f>
        <v>David Shin</v>
      </c>
      <c r="C260" s="132">
        <f>IFERROR(__xludf.DUMMYFUNCTION("""COMPUTED_VALUE"""),6.0)</f>
        <v>6</v>
      </c>
      <c r="D260" s="132">
        <f>IFERROR(__xludf.DUMMYFUNCTION("""COMPUTED_VALUE"""),2.0)</f>
        <v>2</v>
      </c>
      <c r="E260" s="132">
        <f>IFERROR(__xludf.DUMMYFUNCTION("""COMPUTED_VALUE"""),6.0)</f>
        <v>6</v>
      </c>
      <c r="F260" s="132">
        <f>IFERROR(__xludf.DUMMYFUNCTION("""COMPUTED_VALUE"""),14.0)</f>
        <v>14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IFERROR(__xludf.DUMMYFUNCTION("""COMPUTED_VALUE"""),"Oscar Bonilla")</f>
        <v>Oscar Bonilla</v>
      </c>
      <c r="C261" s="132">
        <f>IFERROR(__xludf.DUMMYFUNCTION("""COMPUTED_VALUE"""),1.0)</f>
        <v>1</v>
      </c>
      <c r="D261" s="132">
        <f>IFERROR(__xludf.DUMMYFUNCTION("""COMPUTED_VALUE"""),2.0)</f>
        <v>2</v>
      </c>
      <c r="E261" s="132">
        <f>IFERROR(__xludf.DUMMYFUNCTION("""COMPUTED_VALUE"""),3.0)</f>
        <v>3</v>
      </c>
      <c r="F261" s="132">
        <f>IFERROR(__xludf.DUMMYFUNCTION("""COMPUTED_VALUE"""),6.0)</f>
        <v>6</v>
      </c>
      <c r="G261" s="132">
        <f>IFERROR(__xludf.DUMMYFUNCTION("""COMPUTED_VALUE"""),0.0)</f>
        <v>0</v>
      </c>
    </row>
    <row r="262">
      <c r="A262" s="133">
        <f>IFERROR(__xludf.DUMMYFUNCTION("""COMPUTED_VALUE"""),4.0)</f>
        <v>4</v>
      </c>
      <c r="B262" s="134" t="str">
        <f>IFERROR(__xludf.DUMMYFUNCTION("""COMPUTED_VALUE"""),"Matthew Huang")</f>
        <v>Matthew Huang</v>
      </c>
      <c r="C262" s="135">
        <f>IFERROR(__xludf.DUMMYFUNCTION("""COMPUTED_VALUE"""),4.0)</f>
        <v>4</v>
      </c>
      <c r="D262" s="135">
        <f>IFERROR(__xludf.DUMMYFUNCTION("""COMPUTED_VALUE"""),6.0)</f>
        <v>6</v>
      </c>
      <c r="E262" s="135">
        <f>IFERROR(__xludf.DUMMYFUNCTION("""COMPUTED_VALUE"""),6.0)</f>
        <v>6</v>
      </c>
      <c r="F262" s="135">
        <f>IFERROR(__xludf.DUMMYFUNCTION("""COMPUTED_VALUE"""),16.0)</f>
        <v>16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IFERROR(__xludf.DUMMYFUNCTION("""COMPUTED_VALUE"""),"Wayne Liu")</f>
        <v>Wayne Liu</v>
      </c>
      <c r="C263" s="135">
        <f>IFERROR(__xludf.DUMMYFUNCTION("""COMPUTED_VALUE"""),4.0)</f>
        <v>4</v>
      </c>
      <c r="D263" s="135">
        <f>IFERROR(__xludf.DUMMYFUNCTION("""COMPUTED_VALUE"""),3.0)</f>
        <v>3</v>
      </c>
      <c r="E263" s="135">
        <f>IFERROR(__xludf.DUMMYFUNCTION("""COMPUTED_VALUE"""),1.0)</f>
        <v>1</v>
      </c>
      <c r="F263" s="135">
        <f>IFERROR(__xludf.DUMMYFUNCTION("""COMPUTED_VALUE"""),8.0)</f>
        <v>8</v>
      </c>
      <c r="G263" s="135">
        <f>IFERROR(__xludf.DUMMYFUNCTION("""COMPUTED_VALUE"""),0.0)</f>
        <v>0</v>
      </c>
    </row>
    <row r="264">
      <c r="A264" s="133">
        <f>IFERROR(__xludf.DUMMYFUNCTION("""COMPUTED_VALUE"""),4.0)</f>
        <v>4</v>
      </c>
      <c r="B264" s="134" t="str">
        <f>IFERROR(__xludf.DUMMYFUNCTION("""COMPUTED_VALUE"""),"Naveen Raj")</f>
        <v>Naveen Raj</v>
      </c>
      <c r="C264" s="135">
        <f>IFERROR(__xludf.DUMMYFUNCTION("""COMPUTED_VALUE"""),6.0)</f>
        <v>6</v>
      </c>
      <c r="D264" s="135">
        <f>IFERROR(__xludf.DUMMYFUNCTION("""COMPUTED_VALUE"""),6.0)</f>
        <v>6</v>
      </c>
      <c r="E264" s="135">
        <f>IFERROR(__xludf.DUMMYFUNCTION("""COMPUTED_VALUE"""),1.0)</f>
        <v>1</v>
      </c>
      <c r="F264" s="135">
        <f>IFERROR(__xludf.DUMMYFUNCTION("""COMPUTED_VALUE"""),13.0)</f>
        <v>13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IFERROR(__xludf.DUMMYFUNCTION("""COMPUTED_VALUE"""),"Jonathan Phan")</f>
        <v>Jonathan Phan</v>
      </c>
      <c r="C265" s="135">
        <f>IFERROR(__xludf.DUMMYFUNCTION("""COMPUTED_VALUE"""),6.0)</f>
        <v>6</v>
      </c>
      <c r="D265" s="135">
        <f>IFERROR(__xludf.DUMMYFUNCTION("""COMPUTED_VALUE"""),3.0)</f>
        <v>3</v>
      </c>
      <c r="E265" s="135">
        <f>IFERROR(__xludf.DUMMYFUNCTION("""COMPUTED_VALUE"""),6.0)</f>
        <v>6</v>
      </c>
      <c r="F265" s="135">
        <f>IFERROR(__xludf.DUMMYFUNCTION("""COMPUTED_VALUE"""),15.0)</f>
        <v>15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IFERROR(__xludf.DUMMYFUNCTION("""COMPUTED_VALUE"""),"Joe Luzzi")</f>
        <v>Joe Luzzi</v>
      </c>
      <c r="C266" s="132">
        <f>IFERROR(__xludf.DUMMYFUNCTION("""COMPUTED_VALUE"""),7.0)</f>
        <v>7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IFERROR(__xludf.DUMMYFUNCTION("""COMPUTED_VALUE"""),19.0)</f>
        <v>19</v>
      </c>
      <c r="G266" s="132">
        <f>IFERROR(__xludf.DUMMYFUNCTION("""COMPUTED_VALUE"""),3.0)</f>
        <v>3</v>
      </c>
    </row>
    <row r="267">
      <c r="A267" s="122">
        <f>IFERROR(__xludf.DUMMYFUNCTION("""COMPUTED_VALUE"""),5.0)</f>
        <v>5</v>
      </c>
      <c r="B267" s="36" t="str">
        <f>IFERROR(__xludf.DUMMYFUNCTION("""COMPUTED_VALUE"""),"Allen Zhang")</f>
        <v>Allen Zhang</v>
      </c>
      <c r="C267" s="132">
        <f>IFERROR(__xludf.DUMMYFUNCTION("""COMPUTED_VALUE"""),5.0)</f>
        <v>5</v>
      </c>
      <c r="D267" s="132">
        <f>IFERROR(__xludf.DUMMYFUNCTION("""COMPUTED_VALUE"""),6.0)</f>
        <v>6</v>
      </c>
      <c r="E267" s="132">
        <f>IFERROR(__xludf.DUMMYFUNCTION("""COMPUTED_VALUE"""),2.0)</f>
        <v>2</v>
      </c>
      <c r="F267" s="132">
        <f>IFERROR(__xludf.DUMMYFUNCTION("""COMPUTED_VALUE"""),13.0)</f>
        <v>13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IFERROR(__xludf.DUMMYFUNCTION("""COMPUTED_VALUE"""),"Coco Yan")</f>
        <v>Coco Yan</v>
      </c>
      <c r="C268" s="132">
        <f>IFERROR(__xludf.DUMMYFUNCTION("""COMPUTED_VALUE"""),5.0)</f>
        <v>5</v>
      </c>
      <c r="D268" s="132">
        <f>IFERROR(__xludf.DUMMYFUNCTION("""COMPUTED_VALUE"""),3.0)</f>
        <v>3</v>
      </c>
      <c r="E268" s="132">
        <f>IFERROR(__xludf.DUMMYFUNCTION("""COMPUTED_VALUE"""),6.0)</f>
        <v>6</v>
      </c>
      <c r="F268" s="132">
        <f>IFERROR(__xludf.DUMMYFUNCTION("""COMPUTED_VALUE"""),14.0)</f>
        <v>14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IFERROR(__xludf.DUMMYFUNCTION("""COMPUTED_VALUE"""),"Hongyuan Wen")</f>
        <v>Hongyuan Wen</v>
      </c>
      <c r="C269" s="132">
        <f>IFERROR(__xludf.DUMMYFUNCTION("""COMPUTED_VALUE"""),7.0)</f>
        <v>7</v>
      </c>
      <c r="D269" s="132">
        <f>IFERROR(__xludf.DUMMYFUNCTION("""COMPUTED_VALUE"""),3.0)</f>
        <v>3</v>
      </c>
      <c r="E269" s="132">
        <f>IFERROR(__xludf.DUMMYFUNCTION("""COMPUTED_VALUE"""),2.0)</f>
        <v>2</v>
      </c>
      <c r="F269" s="132">
        <f>IFERROR(__xludf.DUMMYFUNCTION("""COMPUTED_VALUE"""),12.0)</f>
        <v>12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IFERROR(__xludf.DUMMYFUNCTION("""COMPUTED_VALUE"""),"Lenin Belangonda ")</f>
        <v>Lenin Belangonda </v>
      </c>
      <c r="C270" s="135">
        <f>IFERROR(__xludf.DUMMYFUNCTION("""COMPUTED_VALUE"""),3.0)</f>
        <v>3</v>
      </c>
      <c r="D270" s="135">
        <f>IFERROR(__xludf.DUMMYFUNCTION("""COMPUTED_VALUE"""),1.0)</f>
        <v>1</v>
      </c>
      <c r="E270" s="135">
        <f>IFERROR(__xludf.DUMMYFUNCTION("""COMPUTED_VALUE"""),2.0)</f>
        <v>2</v>
      </c>
      <c r="F270" s="135">
        <f>IFERROR(__xludf.DUMMYFUNCTION("""COMPUTED_VALUE"""),6.0)</f>
        <v>6</v>
      </c>
      <c r="G270" s="135">
        <f>IFERROR(__xludf.DUMMYFUNCTION("""COMPUTED_VALUE"""),0.0)</f>
        <v>0</v>
      </c>
    </row>
    <row r="271">
      <c r="A271" s="133">
        <f>IFERROR(__xludf.DUMMYFUNCTION("""COMPUTED_VALUE"""),6.0)</f>
        <v>6</v>
      </c>
      <c r="B271" s="134" t="str">
        <f>IFERROR(__xludf.DUMMYFUNCTION("""COMPUTED_VALUE"""),"Erik Hoeckmann")</f>
        <v>Erik Hoeckmann</v>
      </c>
      <c r="C271" s="135">
        <f>IFERROR(__xludf.DUMMYFUNCTION("""COMPUTED_VALUE"""),6.0)</f>
        <v>6</v>
      </c>
      <c r="D271" s="135">
        <f>IFERROR(__xludf.DUMMYFUNCTION("""COMPUTED_VALUE"""),1.0)</f>
        <v>1</v>
      </c>
      <c r="E271" s="135">
        <f>IFERROR(__xludf.DUMMYFUNCTION("""COMPUTED_VALUE"""),6.0)</f>
        <v>6</v>
      </c>
      <c r="F271" s="135">
        <f>IFERROR(__xludf.DUMMYFUNCTION("""COMPUTED_VALUE"""),13.0)</f>
        <v>13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IFERROR(__xludf.DUMMYFUNCTION("""COMPUTED_VALUE"""),"Cid Macaraeg")</f>
        <v>Cid Macaraeg</v>
      </c>
      <c r="C272" s="135">
        <f>IFERROR(__xludf.DUMMYFUNCTION("""COMPUTED_VALUE"""),6.0)</f>
        <v>6</v>
      </c>
      <c r="D272" s="135">
        <f>IFERROR(__xludf.DUMMYFUNCTION("""COMPUTED_VALUE"""),6.0)</f>
        <v>6</v>
      </c>
      <c r="E272" s="135">
        <f>IFERROR(__xludf.DUMMYFUNCTION("""COMPUTED_VALUE"""),2.0)</f>
        <v>2</v>
      </c>
      <c r="F272" s="135">
        <f>IFERROR(__xludf.DUMMYFUNCTION("""COMPUTED_VALUE"""),14.0)</f>
        <v>14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IFERROR(__xludf.DUMMYFUNCTION("""COMPUTED_VALUE"""),"Basudev Thoppai Vidyasankar")</f>
        <v>Basudev Thoppai Vidyasankar</v>
      </c>
      <c r="C273" s="135">
        <f>IFERROR(__xludf.DUMMYFUNCTION("""COMPUTED_VALUE"""),3.0)</f>
        <v>3</v>
      </c>
      <c r="D273" s="135">
        <f>IFERROR(__xludf.DUMMYFUNCTION("""COMPUTED_VALUE"""),6.0)</f>
        <v>6</v>
      </c>
      <c r="E273" s="135">
        <f>IFERROR(__xludf.DUMMYFUNCTION("""COMPUTED_VALUE"""),6.0)</f>
        <v>6</v>
      </c>
      <c r="F273" s="135">
        <f>IFERROR(__xludf.DUMMYFUNCTION("""COMPUTED_VALUE"""),15.0)</f>
        <v>15</v>
      </c>
      <c r="G273" s="135">
        <f>IFERROR(__xludf.DUMMYFUNCTION("""COMPUTED_VALUE"""),2.0)</f>
        <v>2</v>
      </c>
    </row>
    <row r="274">
      <c r="A274" s="122">
        <f>IFERROR(__xludf.DUMMYFUNCTION("""COMPUTED_VALUE"""),7.0)</f>
        <v>7</v>
      </c>
      <c r="B274" s="36" t="str">
        <f>IFERROR(__xludf.DUMMYFUNCTION("""COMPUTED_VALUE"""),"Ethan Gu")</f>
        <v>Ethan Gu</v>
      </c>
      <c r="C274" s="132">
        <f>IFERROR(__xludf.DUMMYFUNCTION("""COMPUTED_VALUE"""),6.0)</f>
        <v>6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IFERROR(__xludf.DUMMYFUNCTION("""COMPUTED_VALUE"""),18.0)</f>
        <v>18</v>
      </c>
      <c r="G274" s="132">
        <f>IFERROR(__xludf.DUMMYFUNCTION("""COMPUTED_VALUE"""),3.0)</f>
        <v>3</v>
      </c>
    </row>
    <row r="275">
      <c r="A275" s="122">
        <f>IFERROR(__xludf.DUMMYFUNCTION("""COMPUTED_VALUE"""),7.0)</f>
        <v>7</v>
      </c>
      <c r="B275" s="36" t="str">
        <f>IFERROR(__xludf.DUMMYFUNCTION("""COMPUTED_VALUE"""),"Trish Newlin")</f>
        <v>Trish Newlin</v>
      </c>
      <c r="C275" s="132">
        <f>IFERROR(__xludf.DUMMYFUNCTION("""COMPUTED_VALUE"""),2.0)</f>
        <v>2</v>
      </c>
      <c r="D275" s="132">
        <f>IFERROR(__xludf.DUMMYFUNCTION("""COMPUTED_VALUE"""),6.0)</f>
        <v>6</v>
      </c>
      <c r="E275" s="132">
        <f>IFERROR(__xludf.DUMMYFUNCTION("""COMPUTED_VALUE"""),2.0)</f>
        <v>2</v>
      </c>
      <c r="F275" s="132">
        <f>IFERROR(__xludf.DUMMYFUNCTION("""COMPUTED_VALUE"""),10.0)</f>
        <v>10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IFERROR(__xludf.DUMMYFUNCTION("""COMPUTED_VALUE"""),"Sandy Weyant")</f>
        <v>Sandy Weyant</v>
      </c>
      <c r="C276" s="132">
        <f>IFERROR(__xludf.DUMMYFUNCTION("""COMPUTED_VALUE"""),6.0)</f>
        <v>6</v>
      </c>
      <c r="D276" s="132">
        <f>IFERROR(__xludf.DUMMYFUNCTION("""COMPUTED_VALUE"""),2.0)</f>
        <v>2</v>
      </c>
      <c r="E276" s="132">
        <f>IFERROR(__xludf.DUMMYFUNCTION("""COMPUTED_VALUE"""),2.0)</f>
        <v>2</v>
      </c>
      <c r="F276" s="132">
        <f>IFERROR(__xludf.DUMMYFUNCTION("""COMPUTED_VALUE"""),10.0)</f>
        <v>10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IFERROR(__xludf.DUMMYFUNCTION("""COMPUTED_VALUE"""),"Manuel Rivera")</f>
        <v>Manuel Rivera</v>
      </c>
      <c r="C277" s="132">
        <f>IFERROR(__xludf.DUMMYFUNCTION("""COMPUTED_VALUE"""),2.0)</f>
        <v>2</v>
      </c>
      <c r="D277" s="132">
        <f>IFERROR(__xludf.DUMMYFUNCTION("""COMPUTED_VALUE"""),2.0)</f>
        <v>2</v>
      </c>
      <c r="E277" s="132">
        <f>IFERROR(__xludf.DUMMYFUNCTION("""COMPUTED_VALUE"""),6.0)</f>
        <v>6</v>
      </c>
      <c r="F277" s="132">
        <f>IFERROR(__xludf.DUMMYFUNCTION("""COMPUTED_VALUE"""),10.0)</f>
        <v>10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IFERROR(__xludf.DUMMYFUNCTION("""COMPUTED_VALUE"""),"Ruben Ron")</f>
        <v>Ruben Ron</v>
      </c>
      <c r="C278" s="135">
        <f>IFERROR(__xludf.DUMMYFUNCTION("""COMPUTED_VALUE"""),6.0)</f>
        <v>6</v>
      </c>
      <c r="D278" s="135">
        <f>IFERROR(__xludf.DUMMYFUNCTION("""COMPUTED_VALUE"""),2.0)</f>
        <v>2</v>
      </c>
      <c r="E278" s="135">
        <f>IFERROR(__xludf.DUMMYFUNCTION("""COMPUTED_VALUE"""),6.0)</f>
        <v>6</v>
      </c>
      <c r="F278" s="135">
        <f>IFERROR(__xludf.DUMMYFUNCTION("""COMPUTED_VALUE"""),14.0)</f>
        <v>14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IFERROR(__xludf.DUMMYFUNCTION("""COMPUTED_VALUE"""),"Andrew Wen")</f>
        <v>Andrew Wen</v>
      </c>
      <c r="C279" s="135">
        <f>IFERROR(__xludf.DUMMYFUNCTION("""COMPUTED_VALUE"""),6.0)</f>
        <v>6</v>
      </c>
      <c r="D279" s="135">
        <f>IFERROR(__xludf.DUMMYFUNCTION("""COMPUTED_VALUE"""),6.0)</f>
        <v>6</v>
      </c>
      <c r="E279" s="135">
        <f>IFERROR(__xludf.DUMMYFUNCTION("""COMPUTED_VALUE"""),0.0)</f>
        <v>0</v>
      </c>
      <c r="F279" s="135">
        <f>IFERROR(__xludf.DUMMYFUNCTION("""COMPUTED_VALUE"""),12.0)</f>
        <v>12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IFERROR(__xludf.DUMMYFUNCTION("""COMPUTED_VALUE"""),"Kumar Palakeel")</f>
        <v>Kumar Palakeel</v>
      </c>
      <c r="C280" s="135">
        <f>IFERROR(__xludf.DUMMYFUNCTION("""COMPUTED_VALUE"""),4.0)</f>
        <v>4</v>
      </c>
      <c r="D280" s="135">
        <f>IFERROR(__xludf.DUMMYFUNCTION("""COMPUTED_VALUE"""),2.0)</f>
        <v>2</v>
      </c>
      <c r="E280" s="135">
        <f>IFERROR(__xludf.DUMMYFUNCTION("""COMPUTED_VALUE"""),0.0)</f>
        <v>0</v>
      </c>
      <c r="F280" s="135">
        <f>IFERROR(__xludf.DUMMYFUNCTION("""COMPUTED_VALUE"""),6.0)</f>
        <v>6</v>
      </c>
      <c r="G280" s="135">
        <f>IFERROR(__xludf.DUMMYFUNCTION("""COMPUTED_VALUE"""),0.0)</f>
        <v>0</v>
      </c>
    </row>
    <row r="281">
      <c r="A281" s="133">
        <f>IFERROR(__xludf.DUMMYFUNCTION("""COMPUTED_VALUE"""),8.0)</f>
        <v>8</v>
      </c>
      <c r="B281" s="134" t="str">
        <f>IFERROR(__xludf.DUMMYFUNCTION("""COMPUTED_VALUE"""),"Manish Anand")</f>
        <v>Manish Anand</v>
      </c>
      <c r="C281" s="135">
        <f>IFERROR(__xludf.DUMMYFUNCTION("""COMPUTED_VALUE"""),4.0)</f>
        <v>4</v>
      </c>
      <c r="D281" s="135">
        <f>IFERROR(__xludf.DUMMYFUNCTION("""COMPUTED_VALUE"""),6.0)</f>
        <v>6</v>
      </c>
      <c r="E281" s="135">
        <f>IFERROR(__xludf.DUMMYFUNCTION("""COMPUTED_VALUE"""),6.0)</f>
        <v>6</v>
      </c>
      <c r="F281" s="135">
        <f>IFERROR(__xludf.DUMMYFUNCTION("""COMPUTED_VALUE"""),16.0)</f>
        <v>16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IFERROR(__xludf.DUMMYFUNCTION("""COMPUTED_VALUE"""),"Jim Miao")</f>
        <v>Jim Miao</v>
      </c>
      <c r="C282" s="132">
        <f>IFERROR(__xludf.DUMMYFUNCTION("""COMPUTED_VALUE"""),4.0)</f>
        <v>4</v>
      </c>
      <c r="D282" s="132">
        <f>IFERROR(__xludf.DUMMYFUNCTION("""COMPUTED_VALUE"""),6.0)</f>
        <v>6</v>
      </c>
      <c r="E282" s="132">
        <f>IFERROR(__xludf.DUMMYFUNCTION("""COMPUTED_VALUE"""),1.0)</f>
        <v>1</v>
      </c>
      <c r="F282" s="132">
        <f>IFERROR(__xludf.DUMMYFUNCTION("""COMPUTED_VALUE"""),11.0)</f>
        <v>11</v>
      </c>
      <c r="G282" s="132">
        <f>IFERROR(__xludf.DUMMYFUNCTION("""COMPUTED_VALUE"""),1.0)</f>
        <v>1</v>
      </c>
    </row>
    <row r="283">
      <c r="A283" s="122">
        <f>IFERROR(__xludf.DUMMYFUNCTION("""COMPUTED_VALUE"""),9.0)</f>
        <v>9</v>
      </c>
      <c r="B283" s="36" t="str">
        <f>IFERROR(__xludf.DUMMYFUNCTION("""COMPUTED_VALUE"""),"Lam Bui")</f>
        <v>Lam Bui</v>
      </c>
      <c r="C283" s="132">
        <f>IFERROR(__xludf.DUMMYFUNCTION("""COMPUTED_VALUE"""),6.0)</f>
        <v>6</v>
      </c>
      <c r="D283" s="132">
        <f>IFERROR(__xludf.DUMMYFUNCTION("""COMPUTED_VALUE"""),4.0)</f>
        <v>4</v>
      </c>
      <c r="E283" s="132">
        <f>IFERROR(__xludf.DUMMYFUNCTION("""COMPUTED_VALUE"""),1.0)</f>
        <v>1</v>
      </c>
      <c r="F283" s="132">
        <f>IFERROR(__xludf.DUMMYFUNCTION("""COMPUTED_VALUE"""),11.0)</f>
        <v>11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IFERROR(__xludf.DUMMYFUNCTION("""COMPUTED_VALUE"""),"Rudy Tatang")</f>
        <v>Rudy Tatang</v>
      </c>
      <c r="C284" s="132">
        <f>IFERROR(__xludf.DUMMYFUNCTION("""COMPUTED_VALUE"""),4.0)</f>
        <v>4</v>
      </c>
      <c r="D284" s="132">
        <f>IFERROR(__xludf.DUMMYFUNCTION("""COMPUTED_VALUE"""),4.0)</f>
        <v>4</v>
      </c>
      <c r="E284" s="132">
        <f>IFERROR(__xludf.DUMMYFUNCTION("""COMPUTED_VALUE"""),6.0)</f>
        <v>6</v>
      </c>
      <c r="F284" s="132">
        <f>IFERROR(__xludf.DUMMYFUNCTION("""COMPUTED_VALUE"""),14.0)</f>
        <v>14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IFERROR(__xludf.DUMMYFUNCTION("""COMPUTED_VALUE"""),"Eric Pan")</f>
        <v>Eric Pan</v>
      </c>
      <c r="C285" s="132">
        <f>IFERROR(__xludf.DUMMYFUNCTION("""COMPUTED_VALUE"""),6.0)</f>
        <v>6</v>
      </c>
      <c r="D285" s="132">
        <f>IFERROR(__xludf.DUMMYFUNCTION("""COMPUTED_VALUE"""),6.0)</f>
        <v>6</v>
      </c>
      <c r="E285" s="132">
        <f>IFERROR(__xludf.DUMMYFUNCTION("""COMPUTED_VALUE"""),6.0)</f>
        <v>6</v>
      </c>
      <c r="F285" s="132">
        <f>IFERROR(__xludf.DUMMYFUNCTION("""COMPUTED_VALUE"""),18.0)</f>
        <v>18</v>
      </c>
      <c r="G285" s="132">
        <f>IFERROR(__xludf.DUMMYFUNCTION("""COMPUTED_VALUE"""),3.0)</f>
        <v>3</v>
      </c>
    </row>
    <row r="286">
      <c r="A286" s="133">
        <f>IFERROR(__xludf.DUMMYFUNCTION("""COMPUTED_VALUE"""),10.0)</f>
        <v>10</v>
      </c>
      <c r="B286" s="134" t="str">
        <f>IFERROR(__xludf.DUMMYFUNCTION("""COMPUTED_VALUE"""),"Sanjaye Elayattu")</f>
        <v>Sanjaye Elayattu</v>
      </c>
      <c r="C286" s="135">
        <f>IFERROR(__xludf.DUMMYFUNCTION("""COMPUTED_VALUE"""),6.0)</f>
        <v>6</v>
      </c>
      <c r="D286" s="135">
        <f>IFERROR(__xludf.DUMMYFUNCTION("""COMPUTED_VALUE"""),1.0)</f>
        <v>1</v>
      </c>
      <c r="E286" s="135">
        <f>IFERROR(__xludf.DUMMYFUNCTION("""COMPUTED_VALUE"""),6.0)</f>
        <v>6</v>
      </c>
      <c r="F286" s="135">
        <f>IFERROR(__xludf.DUMMYFUNCTION("""COMPUTED_VALUE"""),13.0)</f>
        <v>13</v>
      </c>
      <c r="G286" s="135">
        <f>IFERROR(__xludf.DUMMYFUNCTION("""COMPUTED_VALUE"""),1.0)</f>
        <v>1</v>
      </c>
    </row>
    <row r="287">
      <c r="A287" s="133">
        <f>IFERROR(__xludf.DUMMYFUNCTION("""COMPUTED_VALUE"""),10.0)</f>
        <v>10</v>
      </c>
      <c r="B287" s="134" t="str">
        <f>IFERROR(__xludf.DUMMYFUNCTION("""COMPUTED_VALUE"""),"James Phan")</f>
        <v>James Phan</v>
      </c>
      <c r="C287" s="135">
        <f>IFERROR(__xludf.DUMMYFUNCTION("""COMPUTED_VALUE"""),7.0)</f>
        <v>7</v>
      </c>
      <c r="D287" s="135">
        <f>IFERROR(__xludf.DUMMYFUNCTION("""COMPUTED_VALUE"""),6.0)</f>
        <v>6</v>
      </c>
      <c r="E287" s="135">
        <f>IFERROR(__xludf.DUMMYFUNCTION("""COMPUTED_VALUE"""),6.0)</f>
        <v>6</v>
      </c>
      <c r="F287" s="135">
        <f>IFERROR(__xludf.DUMMYFUNCTION("""COMPUTED_VALUE"""),19.0)</f>
        <v>19</v>
      </c>
      <c r="G287" s="135">
        <f>IFERROR(__xludf.DUMMYFUNCTION("""COMPUTED_VALUE"""),3.0)</f>
        <v>3</v>
      </c>
    </row>
    <row r="288">
      <c r="A288" s="133">
        <f>IFERROR(__xludf.DUMMYFUNCTION("""COMPUTED_VALUE"""),10.0)</f>
        <v>10</v>
      </c>
      <c r="B288" s="134" t="str">
        <f>IFERROR(__xludf.DUMMYFUNCTION("""COMPUTED_VALUE"""),"Hubert J Sung")</f>
        <v>Hubert J Sung</v>
      </c>
      <c r="C288" s="135">
        <f>IFERROR(__xludf.DUMMYFUNCTION("""COMPUTED_VALUE"""),7.0)</f>
        <v>7</v>
      </c>
      <c r="D288" s="135">
        <f>IFERROR(__xludf.DUMMYFUNCTION("""COMPUTED_VALUE"""),1.0)</f>
        <v>1</v>
      </c>
      <c r="E288" s="135">
        <f>IFERROR(__xludf.DUMMYFUNCTION("""COMPUTED_VALUE"""),3.0)</f>
        <v>3</v>
      </c>
      <c r="F288" s="135">
        <f>IFERROR(__xludf.DUMMYFUNCTION("""COMPUTED_VALUE"""),11.0)</f>
        <v>11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IFERROR(__xludf.DUMMYFUNCTION("""COMPUTED_VALUE"""),"Scott Li")</f>
        <v>Scott Li</v>
      </c>
      <c r="C289" s="135">
        <f>IFERROR(__xludf.DUMMYFUNCTION("""COMPUTED_VALUE"""),6.0)</f>
        <v>6</v>
      </c>
      <c r="D289" s="135">
        <f>IFERROR(__xludf.DUMMYFUNCTION("""COMPUTED_VALUE"""),6.0)</f>
        <v>6</v>
      </c>
      <c r="E289" s="135">
        <f>IFERROR(__xludf.DUMMYFUNCTION("""COMPUTED_VALUE"""),3.0)</f>
        <v>3</v>
      </c>
      <c r="F289" s="135">
        <f>IFERROR(__xludf.DUMMYFUNCTION("""COMPUTED_VALUE"""),15.0)</f>
        <v>15</v>
      </c>
      <c r="G289" s="135">
        <f>IFERROR(__xludf.DUMMYFUNCTION("""COMPUTED_VALUE"""),1.0)</f>
        <v>1</v>
      </c>
    </row>
    <row r="290">
      <c r="A290" s="122">
        <f>IFERROR(__xludf.DUMMYFUNCTION("""COMPUTED_VALUE"""),11.0)</f>
        <v>11</v>
      </c>
      <c r="B290" s="36" t="str">
        <f>IFERROR(__xludf.DUMMYFUNCTION("""COMPUTED_VALUE"""),"Art Hui")</f>
        <v>Art Hui</v>
      </c>
      <c r="C290" s="132">
        <f>IFERROR(__xludf.DUMMYFUNCTION("""COMPUTED_VALUE"""),4.0)</f>
        <v>4</v>
      </c>
      <c r="D290" s="132">
        <f>IFERROR(__xludf.DUMMYFUNCTION("""COMPUTED_VALUE"""),6.0)</f>
        <v>6</v>
      </c>
      <c r="E290" s="132">
        <f>IFERROR(__xludf.DUMMYFUNCTION("""COMPUTED_VALUE"""),6.0)</f>
        <v>6</v>
      </c>
      <c r="F290" s="132">
        <f>IFERROR(__xludf.DUMMYFUNCTION("""COMPUTED_VALUE"""),16.0)</f>
        <v>16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IFERROR(__xludf.DUMMYFUNCTION("""COMPUTED_VALUE"""),"Eric Tan")</f>
        <v>Eric Tan</v>
      </c>
      <c r="C291" s="132">
        <f>IFERROR(__xludf.DUMMYFUNCTION("""COMPUTED_VALUE"""),6.0)</f>
        <v>6</v>
      </c>
      <c r="D291" s="132">
        <f>IFERROR(__xludf.DUMMYFUNCTION("""COMPUTED_VALUE"""),6.0)</f>
        <v>6</v>
      </c>
      <c r="E291" s="132">
        <f>IFERROR(__xludf.DUMMYFUNCTION("""COMPUTED_VALUE"""),2.0)</f>
        <v>2</v>
      </c>
      <c r="F291" s="132">
        <f>IFERROR(__xludf.DUMMYFUNCTION("""COMPUTED_VALUE"""),14.0)</f>
        <v>14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IFERROR(__xludf.DUMMYFUNCTION("""COMPUTED_VALUE"""),"Camille Jung")</f>
        <v>Camille Jung</v>
      </c>
      <c r="C292" s="132">
        <f>IFERROR(__xludf.DUMMYFUNCTION("""COMPUTED_VALUE"""),4.0)</f>
        <v>4</v>
      </c>
      <c r="D292" s="132">
        <f>IFERROR(__xludf.DUMMYFUNCTION("""COMPUTED_VALUE"""),0.0)</f>
        <v>0</v>
      </c>
      <c r="E292" s="132">
        <f>IFERROR(__xludf.DUMMYFUNCTION("""COMPUTED_VALUE"""),2.0)</f>
        <v>2</v>
      </c>
      <c r="F292" s="132">
        <f>IFERROR(__xludf.DUMMYFUNCTION("""COMPUTED_VALUE"""),6.0)</f>
        <v>6</v>
      </c>
      <c r="G292" s="132">
        <f>IFERROR(__xludf.DUMMYFUNCTION("""COMPUTED_VALUE"""),0.0)</f>
        <v>0</v>
      </c>
    </row>
    <row r="293">
      <c r="A293" s="122">
        <f>IFERROR(__xludf.DUMMYFUNCTION("""COMPUTED_VALUE"""),11.0)</f>
        <v>11</v>
      </c>
      <c r="B293" s="36" t="str">
        <f>IFERROR(__xludf.DUMMYFUNCTION("""COMPUTED_VALUE"""),"Ranjith Doraiswamy")</f>
        <v>Ranjith Doraiswamy</v>
      </c>
      <c r="C293" s="132">
        <f>IFERROR(__xludf.DUMMYFUNCTION("""COMPUTED_VALUE"""),6.0)</f>
        <v>6</v>
      </c>
      <c r="D293" s="132">
        <f>IFERROR(__xludf.DUMMYFUNCTION("""COMPUTED_VALUE"""),0.0)</f>
        <v>0</v>
      </c>
      <c r="E293" s="132">
        <f>IFERROR(__xludf.DUMMYFUNCTION("""COMPUTED_VALUE"""),6.0)</f>
        <v>6</v>
      </c>
      <c r="F293" s="132">
        <f>IFERROR(__xludf.DUMMYFUNCTION("""COMPUTED_VALUE"""),12.0)</f>
        <v>12</v>
      </c>
      <c r="G293" s="132">
        <f>IFERROR(__xludf.DUMMYFUNCTION("""COMPUTED_VALUE"""),2.0)</f>
        <v>2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asc"",0)"),"Alex Hou")</f>
        <v>Alex Hou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IFERROR(__xludf.DUMMYFUNCTION("""COMPUTED_VALUE"""),"Allen Zhang")</f>
        <v>Allen Zhang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IFERROR(__xludf.DUMMYFUNCTION("""COMPUTED_VALUE"""),"Andrew Wen")</f>
        <v>Andrew Wen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Yao")</f>
        <v>Andrew Yao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IFERROR(__xludf.DUMMYFUNCTION("""COMPUTED_VALUE"""),"Art Hui")</f>
        <v>Art Hui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IFERROR(__xludf.DUMMYFUNCTION("""COMPUTED_VALUE"""),"Balaji Alahari")</f>
        <v>Balaji Alahari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IFERROR(__xludf.DUMMYFUNCTION("""COMPUTED_VALUE"""),"Basudev Thoppai Vidyasankar")</f>
        <v>Basudev Thoppai Vidyasankar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IFERROR(__xludf.DUMMYFUNCTION("""COMPUTED_VALUE"""),"Charles Choi")</f>
        <v>Charles Choi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IFERROR(__xludf.DUMMYFUNCTION("""COMPUTED_VALUE"""),"Cid Macaraeg")</f>
        <v>Cid Macaraeg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IFERROR(__xludf.DUMMYFUNCTION("""COMPUTED_VALUE"""),"Coco Yan")</f>
        <v>Coco Yan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IFERROR(__xludf.DUMMYFUNCTION("""COMPUTED_VALUE"""),"Darren Wong")</f>
        <v>Darren Wong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IFERROR(__xludf.DUMMYFUNCTION("""COMPUTED_VALUE"""),"David Shin")</f>
        <v>David Shin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IFERROR(__xludf.DUMMYFUNCTION("""COMPUTED_VALUE"""),"Elayaraja Thangaraj")</f>
        <v>Elayaraja Thangaraj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IFERROR(__xludf.DUMMYFUNCTION("""COMPUTED_VALUE"""),"Eric Pan")</f>
        <v>Eric Pan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IFERROR(__xludf.DUMMYFUNCTION("""COMPUTED_VALUE"""),"Eric Tan")</f>
        <v>Eric Tan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IFERROR(__xludf.DUMMYFUNCTION("""COMPUTED_VALUE"""),"Erik Hoeckmann")</f>
        <v>Erik Hoeckmann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IFERROR(__xludf.DUMMYFUNCTION("""COMPUTED_VALUE"""),"Ethan Gu")</f>
        <v>Ethan Gu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IFERROR(__xludf.DUMMYFUNCTION("""COMPUTED_VALUE"""),"Frank Moon")</f>
        <v>Frank Moon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IFERROR(__xludf.DUMMYFUNCTION("""COMPUTED_VALUE"""),"Herman Au")</f>
        <v>Herman Au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IFERROR(__xludf.DUMMYFUNCTION("""COMPUTED_VALUE"""),"Hongyuan Wen")</f>
        <v>Hongyuan Wen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IFERROR(__xludf.DUMMYFUNCTION("""COMPUTED_VALUE"""),"Hubert J Sung")</f>
        <v>Hubert J Sung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IFERROR(__xludf.DUMMYFUNCTION("""COMPUTED_VALUE"""),"James Phan")</f>
        <v>James Phan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IFERROR(__xludf.DUMMYFUNCTION("""COMPUTED_VALUE"""),"Jaya Sogata")</f>
        <v>Jaya Sogata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IFERROR(__xludf.DUMMYFUNCTION("""COMPUTED_VALUE"""),"Jim Miao")</f>
        <v>Jim Miao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IFERROR(__xludf.DUMMYFUNCTION("""COMPUTED_VALUE"""),"Jimmy Awolesi")</f>
        <v>Jimmy Awolesi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IFERROR(__xludf.DUMMYFUNCTION("""COMPUTED_VALUE"""),"Joe Luzzi")</f>
        <v>Joe Luzzi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IFERROR(__xludf.DUMMYFUNCTION("""COMPUTED_VALUE"""),"Jonathan Phan")</f>
        <v>Jonathan Phan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IFERROR(__xludf.DUMMYFUNCTION("""COMPUTED_VALUE"""),"Jordan Tatang")</f>
        <v>Jordan Tatang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IFERROR(__xludf.DUMMYFUNCTION("""COMPUTED_VALUE"""),"Joyce Zhu")</f>
        <v>Joyce Zhu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IFERROR(__xludf.DUMMYFUNCTION("""COMPUTED_VALUE"""),"Scott Li")</f>
        <v>Scott Li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IFERROR(__xludf.DUMMYFUNCTION("""COMPUTED_VALUE"""),"Sean Chang")</f>
        <v>Sean Chang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IFERROR(__xludf.DUMMYFUNCTION("""COMPUTED_VALUE"""),"Suleman Alidina")</f>
        <v>Suleman Alidina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IFERROR(__xludf.DUMMYFUNCTION("""COMPUTED_VALUE"""),"Ted Shen")</f>
        <v>Ted Shen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IFERROR(__xludf.DUMMYFUNCTION("""COMPUTED_VALUE"""),"Tina Hanson")</f>
        <v>Tina Hanson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IFERROR(__xludf.DUMMYFUNCTION("""COMPUTED_VALUE"""),"Tom Le")</f>
        <v>Tom Le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IFERROR(__xludf.DUMMYFUNCTION("""COMPUTED_VALUE"""),"Trish Newlin")</f>
        <v>Trish Newlin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IFERROR(__xludf.DUMMYFUNCTION("""COMPUTED_VALUE"""),"Vicki Martinet")</f>
        <v>Vicki Martinet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IFERROR(__xludf.DUMMYFUNCTION("""COMPUTED_VALUE"""),"Vinaya Kajla")</f>
        <v>Vinaya Kajla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46053.0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4.0</v>
      </c>
      <c r="E2" s="5"/>
      <c r="F2" s="5"/>
      <c r="R2" s="18"/>
      <c r="AC2" s="22" t="str">
        <f>text(C1-7,"mm/dd/yy")</f>
        <v>01/24/26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68</v>
      </c>
      <c r="C5" s="37">
        <v>52.0</v>
      </c>
      <c r="D5" s="37">
        <v>7.0</v>
      </c>
      <c r="E5" s="40">
        <f t="shared" ref="E5:E79" si="2">if(S5&gt;0,(C5-(V5*9)-(T5*13))/S5,0)</f>
        <v>13</v>
      </c>
      <c r="F5" s="90">
        <v>1.0</v>
      </c>
      <c r="G5" s="91">
        <v>1.0</v>
      </c>
      <c r="H5" s="92">
        <v>0.0</v>
      </c>
      <c r="I5" s="91">
        <v>4.0</v>
      </c>
      <c r="J5" s="91">
        <v>6.0</v>
      </c>
      <c r="K5" s="91">
        <v>7.0</v>
      </c>
      <c r="L5" s="93">
        <v>17.0</v>
      </c>
      <c r="M5" s="91">
        <v>2.0</v>
      </c>
      <c r="N5" s="37">
        <f t="shared" ref="N5:O5" si="1">C5+L5</f>
        <v>69</v>
      </c>
      <c r="O5" s="37">
        <f t="shared" si="1"/>
        <v>9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4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3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111</v>
      </c>
      <c r="C6" s="37">
        <v>51.0</v>
      </c>
      <c r="D6" s="37">
        <v>7.0</v>
      </c>
      <c r="E6" s="40">
        <f t="shared" si="2"/>
        <v>12.75</v>
      </c>
      <c r="F6" s="90">
        <v>1.0</v>
      </c>
      <c r="G6" s="91">
        <v>1.0</v>
      </c>
      <c r="H6" s="92">
        <v>0.0</v>
      </c>
      <c r="I6" s="91">
        <v>6.0</v>
      </c>
      <c r="J6" s="91">
        <v>1.0</v>
      </c>
      <c r="K6" s="91">
        <v>7.0</v>
      </c>
      <c r="L6" s="93">
        <v>14.0</v>
      </c>
      <c r="M6" s="91">
        <v>2.0</v>
      </c>
      <c r="N6" s="37">
        <f t="shared" ref="N6:O6" si="3">C6+L6</f>
        <v>65</v>
      </c>
      <c r="O6" s="37">
        <f t="shared" si="3"/>
        <v>9</v>
      </c>
      <c r="P6" s="49" t="s">
        <v>57</v>
      </c>
      <c r="Q6" s="49" t="s">
        <v>57</v>
      </c>
      <c r="R6" s="49" t="s">
        <v>57</v>
      </c>
      <c r="S6" s="51">
        <f t="shared" si="4"/>
        <v>4</v>
      </c>
      <c r="T6" s="52">
        <f t="shared" si="5"/>
        <v>0</v>
      </c>
      <c r="U6" s="52"/>
      <c r="V6" s="51">
        <f t="shared" si="6"/>
        <v>0</v>
      </c>
      <c r="W6" s="52">
        <f t="shared" si="7"/>
        <v>5</v>
      </c>
      <c r="X6" s="35">
        <f t="shared" ref="X6:X79" si="12">X5+1</f>
        <v>2</v>
      </c>
      <c r="Y6" s="35" t="str">
        <f t="shared" si="8"/>
        <v>Y</v>
      </c>
      <c r="Z6" s="19" t="str">
        <f t="shared" si="9"/>
        <v/>
      </c>
    </row>
    <row r="7">
      <c r="A7" s="35">
        <f t="shared" si="10"/>
        <v>3</v>
      </c>
      <c r="B7" s="36" t="s">
        <v>50</v>
      </c>
      <c r="C7" s="37">
        <v>49.0</v>
      </c>
      <c r="D7" s="37">
        <v>7.0</v>
      </c>
      <c r="E7" s="40">
        <f t="shared" si="2"/>
        <v>12.25</v>
      </c>
      <c r="F7" s="90">
        <v>1.0</v>
      </c>
      <c r="G7" s="91">
        <v>1.0</v>
      </c>
      <c r="H7" s="92">
        <v>0.0</v>
      </c>
      <c r="I7" s="91">
        <v>6.0</v>
      </c>
      <c r="J7" s="91">
        <v>6.0</v>
      </c>
      <c r="K7" s="91">
        <v>6.0</v>
      </c>
      <c r="L7" s="93">
        <v>18.0</v>
      </c>
      <c r="M7" s="91">
        <v>2.0</v>
      </c>
      <c r="N7" s="37">
        <f t="shared" ref="N7:O7" si="11">C7+L7</f>
        <v>67</v>
      </c>
      <c r="O7" s="37">
        <f t="shared" si="11"/>
        <v>9</v>
      </c>
      <c r="P7" s="49" t="s">
        <v>57</v>
      </c>
      <c r="Q7" s="49" t="s">
        <v>57</v>
      </c>
      <c r="R7" s="49" t="s">
        <v>57</v>
      </c>
      <c r="S7" s="51">
        <f t="shared" si="4"/>
        <v>4</v>
      </c>
      <c r="T7" s="52">
        <f t="shared" si="5"/>
        <v>0</v>
      </c>
      <c r="U7" s="52"/>
      <c r="V7" s="51">
        <f t="shared" si="6"/>
        <v>0</v>
      </c>
      <c r="W7" s="52">
        <f t="shared" si="7"/>
        <v>-2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96</v>
      </c>
      <c r="C8" s="37">
        <v>49.0</v>
      </c>
      <c r="D8" s="37">
        <v>5.0</v>
      </c>
      <c r="E8" s="40">
        <f t="shared" si="2"/>
        <v>12.25</v>
      </c>
      <c r="F8" s="90">
        <v>1.0</v>
      </c>
      <c r="G8" s="91">
        <v>1.0</v>
      </c>
      <c r="H8" s="92">
        <v>0.0</v>
      </c>
      <c r="I8" s="91">
        <v>4.0</v>
      </c>
      <c r="J8" s="91">
        <v>1.0</v>
      </c>
      <c r="K8" s="91">
        <v>6.0</v>
      </c>
      <c r="L8" s="93">
        <v>11.0</v>
      </c>
      <c r="M8" s="91">
        <v>0.0</v>
      </c>
      <c r="N8" s="37">
        <f t="shared" ref="N8:O8" si="13">C8+L8</f>
        <v>60</v>
      </c>
      <c r="O8" s="37">
        <f t="shared" si="13"/>
        <v>5</v>
      </c>
      <c r="P8" s="49" t="s">
        <v>57</v>
      </c>
      <c r="Q8" s="49" t="s">
        <v>57</v>
      </c>
      <c r="R8" s="49" t="s">
        <v>57</v>
      </c>
      <c r="S8" s="51">
        <f t="shared" si="4"/>
        <v>4</v>
      </c>
      <c r="T8" s="52">
        <f t="shared" si="5"/>
        <v>0</v>
      </c>
      <c r="U8" s="52"/>
      <c r="V8" s="51">
        <f t="shared" si="6"/>
        <v>0</v>
      </c>
      <c r="W8" s="52">
        <f t="shared" si="7"/>
        <v>6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115</v>
      </c>
      <c r="C9" s="37">
        <v>46.0</v>
      </c>
      <c r="D9" s="37">
        <v>5.0</v>
      </c>
      <c r="E9" s="40">
        <f t="shared" si="2"/>
        <v>12.33333333</v>
      </c>
      <c r="F9" s="90">
        <v>3.0</v>
      </c>
      <c r="G9" s="91">
        <v>0.0</v>
      </c>
      <c r="H9" s="92">
        <v>9.0</v>
      </c>
      <c r="I9" s="91">
        <v>0.0</v>
      </c>
      <c r="J9" s="91">
        <v>0.0</v>
      </c>
      <c r="K9" s="91">
        <v>0.0</v>
      </c>
      <c r="L9" s="93">
        <v>9.0</v>
      </c>
      <c r="M9" s="91">
        <v>0.0</v>
      </c>
      <c r="N9" s="37">
        <f t="shared" ref="N9:O9" si="14">C9+L9</f>
        <v>55</v>
      </c>
      <c r="O9" s="37">
        <f t="shared" si="14"/>
        <v>5</v>
      </c>
      <c r="P9" s="49" t="s">
        <v>57</v>
      </c>
      <c r="Q9" s="49" t="s">
        <v>57</v>
      </c>
      <c r="R9" s="49" t="s">
        <v>57</v>
      </c>
      <c r="S9" s="51">
        <f t="shared" si="4"/>
        <v>3</v>
      </c>
      <c r="T9" s="52">
        <f t="shared" si="5"/>
        <v>0</v>
      </c>
      <c r="U9" s="52"/>
      <c r="V9" s="51">
        <f t="shared" si="6"/>
        <v>1</v>
      </c>
      <c r="W9" s="52">
        <f t="shared" si="7"/>
        <v>0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77</v>
      </c>
      <c r="C10" s="37">
        <v>46.0</v>
      </c>
      <c r="D10" s="37">
        <v>5.0</v>
      </c>
      <c r="E10" s="40">
        <f t="shared" si="2"/>
        <v>11.5</v>
      </c>
      <c r="F10" s="90">
        <v>1.0</v>
      </c>
      <c r="G10" s="91">
        <v>2.0</v>
      </c>
      <c r="H10" s="92">
        <v>0.0</v>
      </c>
      <c r="I10" s="91">
        <v>6.0</v>
      </c>
      <c r="J10" s="91">
        <v>4.0</v>
      </c>
      <c r="K10" s="91">
        <v>6.0</v>
      </c>
      <c r="L10" s="93">
        <v>16.0</v>
      </c>
      <c r="M10" s="91">
        <v>3.0</v>
      </c>
      <c r="N10" s="37">
        <f t="shared" ref="N10:O10" si="15">C10+L10</f>
        <v>62</v>
      </c>
      <c r="O10" s="37">
        <f t="shared" si="15"/>
        <v>8</v>
      </c>
      <c r="P10" s="49" t="s">
        <v>57</v>
      </c>
      <c r="Q10" s="49" t="s">
        <v>57</v>
      </c>
      <c r="R10" s="49" t="s">
        <v>57</v>
      </c>
      <c r="S10" s="51">
        <f t="shared" si="4"/>
        <v>4</v>
      </c>
      <c r="T10" s="52">
        <f t="shared" si="5"/>
        <v>0</v>
      </c>
      <c r="U10" s="52"/>
      <c r="V10" s="51">
        <f t="shared" si="6"/>
        <v>0</v>
      </c>
      <c r="W10" s="52">
        <f t="shared" si="7"/>
        <v>3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99</v>
      </c>
      <c r="C11" s="37">
        <v>46.0</v>
      </c>
      <c r="D11" s="37">
        <v>5.0</v>
      </c>
      <c r="E11" s="40">
        <f t="shared" si="2"/>
        <v>11.5</v>
      </c>
      <c r="F11" s="90">
        <v>2.0</v>
      </c>
      <c r="G11" s="91">
        <v>2.0</v>
      </c>
      <c r="H11" s="92">
        <v>0.0</v>
      </c>
      <c r="I11" s="91">
        <v>2.0</v>
      </c>
      <c r="J11" s="91">
        <v>4.0</v>
      </c>
      <c r="K11" s="91">
        <v>1.0</v>
      </c>
      <c r="L11" s="93">
        <v>7.0</v>
      </c>
      <c r="M11" s="91">
        <v>1.0</v>
      </c>
      <c r="N11" s="37">
        <f t="shared" ref="N11:O11" si="16">C11+L11</f>
        <v>53</v>
      </c>
      <c r="O11" s="37">
        <f t="shared" si="16"/>
        <v>6</v>
      </c>
      <c r="P11" s="49" t="s">
        <v>57</v>
      </c>
      <c r="Q11" s="49" t="s">
        <v>57</v>
      </c>
      <c r="R11" s="49" t="s">
        <v>57</v>
      </c>
      <c r="S11" s="51">
        <f t="shared" si="4"/>
        <v>4</v>
      </c>
      <c r="T11" s="52">
        <f t="shared" si="5"/>
        <v>0</v>
      </c>
      <c r="U11" s="52"/>
      <c r="V11" s="51">
        <f t="shared" si="6"/>
        <v>0</v>
      </c>
      <c r="W11" s="52">
        <f t="shared" si="7"/>
        <v>4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108</v>
      </c>
      <c r="C12" s="37">
        <v>45.0</v>
      </c>
      <c r="D12" s="37">
        <v>5.0</v>
      </c>
      <c r="E12" s="40">
        <f t="shared" si="2"/>
        <v>11.25</v>
      </c>
      <c r="F12" s="90">
        <v>1.0</v>
      </c>
      <c r="G12" s="91">
        <v>2.0</v>
      </c>
      <c r="H12" s="92">
        <v>0.0</v>
      </c>
      <c r="I12" s="91">
        <v>6.0</v>
      </c>
      <c r="J12" s="91">
        <v>6.0</v>
      </c>
      <c r="K12" s="91">
        <v>1.0</v>
      </c>
      <c r="L12" s="93">
        <v>13.0</v>
      </c>
      <c r="M12" s="91">
        <v>1.0</v>
      </c>
      <c r="N12" s="37">
        <f t="shared" ref="N12:O12" si="17">C12+L12</f>
        <v>58</v>
      </c>
      <c r="O12" s="37">
        <f t="shared" si="17"/>
        <v>6</v>
      </c>
      <c r="P12" s="49" t="s">
        <v>57</v>
      </c>
      <c r="Q12" s="49" t="s">
        <v>57</v>
      </c>
      <c r="R12" s="49" t="s">
        <v>57</v>
      </c>
      <c r="S12" s="51">
        <f t="shared" si="4"/>
        <v>4</v>
      </c>
      <c r="T12" s="52">
        <f t="shared" si="5"/>
        <v>0</v>
      </c>
      <c r="U12" s="52"/>
      <c r="V12" s="51">
        <f t="shared" si="6"/>
        <v>0</v>
      </c>
      <c r="W12" s="52">
        <f t="shared" si="7"/>
        <v>-2</v>
      </c>
      <c r="X12" s="35">
        <f t="shared" si="12"/>
        <v>8</v>
      </c>
      <c r="Y12" s="35" t="str">
        <f t="shared" si="8"/>
        <v>Y</v>
      </c>
      <c r="Z12" s="19" t="str">
        <f t="shared" si="9"/>
        <v/>
      </c>
    </row>
    <row r="13">
      <c r="A13" s="35">
        <f t="shared" si="10"/>
        <v>9</v>
      </c>
      <c r="B13" s="36" t="s">
        <v>120</v>
      </c>
      <c r="C13" s="37">
        <v>45.0</v>
      </c>
      <c r="D13" s="37">
        <v>5.0</v>
      </c>
      <c r="E13" s="40">
        <f t="shared" si="2"/>
        <v>13.5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54</v>
      </c>
      <c r="O13" s="37">
        <f t="shared" si="18"/>
        <v>5</v>
      </c>
      <c r="P13" s="49" t="s">
        <v>57</v>
      </c>
      <c r="Q13" s="49" t="s">
        <v>57</v>
      </c>
      <c r="R13" s="49" t="s">
        <v>57</v>
      </c>
      <c r="S13" s="51">
        <f t="shared" si="4"/>
        <v>2</v>
      </c>
      <c r="T13" s="52">
        <f t="shared" si="5"/>
        <v>0</v>
      </c>
      <c r="U13" s="52"/>
      <c r="V13" s="51">
        <f t="shared" si="6"/>
        <v>2</v>
      </c>
      <c r="W13" s="52">
        <f t="shared" si="7"/>
        <v>14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100</v>
      </c>
      <c r="C14" s="37">
        <v>44.0</v>
      </c>
      <c r="D14" s="37">
        <v>6.0</v>
      </c>
      <c r="E14" s="40">
        <f t="shared" si="2"/>
        <v>11.66666667</v>
      </c>
      <c r="F14" s="90">
        <v>4.0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53</v>
      </c>
      <c r="O14" s="37">
        <f t="shared" si="19"/>
        <v>6</v>
      </c>
      <c r="P14" s="49" t="s">
        <v>57</v>
      </c>
      <c r="Q14" s="49" t="s">
        <v>57</v>
      </c>
      <c r="R14" s="49" t="s">
        <v>57</v>
      </c>
      <c r="S14" s="51">
        <f t="shared" si="4"/>
        <v>3</v>
      </c>
      <c r="T14" s="52">
        <f t="shared" si="5"/>
        <v>0</v>
      </c>
      <c r="U14" s="52"/>
      <c r="V14" s="51">
        <f t="shared" si="6"/>
        <v>1</v>
      </c>
      <c r="W14" s="52">
        <f t="shared" si="7"/>
        <v>4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59</v>
      </c>
      <c r="C15" s="37">
        <v>44.0</v>
      </c>
      <c r="D15" s="37">
        <v>5.0</v>
      </c>
      <c r="E15" s="40">
        <f t="shared" si="2"/>
        <v>11</v>
      </c>
      <c r="F15" s="90">
        <v>1.0</v>
      </c>
      <c r="G15" s="91">
        <v>2.0</v>
      </c>
      <c r="H15" s="92">
        <v>0.0</v>
      </c>
      <c r="I15" s="91">
        <v>2.0</v>
      </c>
      <c r="J15" s="91">
        <v>6.0</v>
      </c>
      <c r="K15" s="91">
        <v>6.0</v>
      </c>
      <c r="L15" s="93">
        <v>14.0</v>
      </c>
      <c r="M15" s="91">
        <v>1.0</v>
      </c>
      <c r="N15" s="37">
        <f t="shared" ref="N15:O15" si="20">C15+L15</f>
        <v>58</v>
      </c>
      <c r="O15" s="37">
        <f t="shared" si="20"/>
        <v>6</v>
      </c>
      <c r="P15" s="49" t="s">
        <v>57</v>
      </c>
      <c r="Q15" s="49" t="s">
        <v>57</v>
      </c>
      <c r="R15" s="49" t="s">
        <v>57</v>
      </c>
      <c r="S15" s="51">
        <f t="shared" si="4"/>
        <v>4</v>
      </c>
      <c r="T15" s="52">
        <f t="shared" si="5"/>
        <v>0</v>
      </c>
      <c r="U15" s="52"/>
      <c r="V15" s="51">
        <f t="shared" si="6"/>
        <v>0</v>
      </c>
      <c r="W15" s="52">
        <f t="shared" si="7"/>
        <v>-9</v>
      </c>
      <c r="X15" s="35">
        <f t="shared" si="12"/>
        <v>11</v>
      </c>
      <c r="Y15" s="35" t="str">
        <f t="shared" si="8"/>
        <v>Y</v>
      </c>
      <c r="Z15" s="19" t="str">
        <f t="shared" si="9"/>
        <v/>
      </c>
    </row>
    <row r="16">
      <c r="A16" s="35">
        <f t="shared" si="10"/>
        <v>12</v>
      </c>
      <c r="B16" s="36" t="s">
        <v>128</v>
      </c>
      <c r="C16" s="37">
        <v>43.0</v>
      </c>
      <c r="D16" s="37">
        <v>5.0</v>
      </c>
      <c r="E16" s="40">
        <f t="shared" si="2"/>
        <v>10.75</v>
      </c>
      <c r="F16" s="90">
        <v>1.0</v>
      </c>
      <c r="G16" s="91">
        <v>9.0</v>
      </c>
      <c r="H16" s="92">
        <v>0.0</v>
      </c>
      <c r="I16" s="91">
        <v>4.0</v>
      </c>
      <c r="J16" s="91">
        <v>6.0</v>
      </c>
      <c r="K16" s="91">
        <v>1.0</v>
      </c>
      <c r="L16" s="93">
        <v>11.0</v>
      </c>
      <c r="M16" s="91">
        <v>1.0</v>
      </c>
      <c r="N16" s="37">
        <f t="shared" ref="N16:O16" si="21">C16+L16</f>
        <v>54</v>
      </c>
      <c r="O16" s="37">
        <f t="shared" si="21"/>
        <v>6</v>
      </c>
      <c r="P16" s="49" t="s">
        <v>57</v>
      </c>
      <c r="Q16" s="49" t="s">
        <v>57</v>
      </c>
      <c r="R16" s="49" t="s">
        <v>57</v>
      </c>
      <c r="S16" s="51">
        <f t="shared" si="4"/>
        <v>4</v>
      </c>
      <c r="T16" s="52">
        <f t="shared" si="5"/>
        <v>0</v>
      </c>
      <c r="U16" s="52"/>
      <c r="V16" s="51">
        <f t="shared" si="6"/>
        <v>0</v>
      </c>
      <c r="W16" s="52">
        <f t="shared" si="7"/>
        <v>-9</v>
      </c>
      <c r="X16" s="35">
        <f t="shared" si="12"/>
        <v>12</v>
      </c>
      <c r="Y16" s="35" t="str">
        <f t="shared" si="8"/>
        <v>Y</v>
      </c>
      <c r="Z16" s="19" t="str">
        <f t="shared" si="9"/>
        <v/>
      </c>
    </row>
    <row r="17">
      <c r="A17" s="35">
        <f t="shared" si="10"/>
        <v>13</v>
      </c>
      <c r="B17" s="36" t="s">
        <v>117</v>
      </c>
      <c r="C17" s="37">
        <v>43.0</v>
      </c>
      <c r="D17" s="37">
        <v>5.0</v>
      </c>
      <c r="E17" s="40">
        <f t="shared" si="2"/>
        <v>11.33333333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52</v>
      </c>
      <c r="O17" s="37">
        <f t="shared" si="22"/>
        <v>5</v>
      </c>
      <c r="P17" s="49" t="s">
        <v>57</v>
      </c>
      <c r="Q17" s="49" t="s">
        <v>57</v>
      </c>
      <c r="R17" s="49" t="s">
        <v>57</v>
      </c>
      <c r="S17" s="51">
        <f t="shared" si="4"/>
        <v>3</v>
      </c>
      <c r="T17" s="52">
        <f t="shared" si="5"/>
        <v>0</v>
      </c>
      <c r="U17" s="52"/>
      <c r="V17" s="51">
        <f t="shared" si="6"/>
        <v>1</v>
      </c>
      <c r="W17" s="52">
        <f t="shared" si="7"/>
        <v>-1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104</v>
      </c>
      <c r="C18" s="37">
        <v>43.0</v>
      </c>
      <c r="D18" s="37">
        <v>5.0</v>
      </c>
      <c r="E18" s="40">
        <f t="shared" si="2"/>
        <v>11.33333333</v>
      </c>
      <c r="F18" s="90">
        <v>2.0</v>
      </c>
      <c r="G18" s="91">
        <v>9.0</v>
      </c>
      <c r="H18" s="92">
        <v>0.0</v>
      </c>
      <c r="I18" s="91">
        <v>6.0</v>
      </c>
      <c r="J18" s="91">
        <v>4.0</v>
      </c>
      <c r="K18" s="91">
        <v>1.0</v>
      </c>
      <c r="L18" s="93">
        <v>11.0</v>
      </c>
      <c r="M18" s="91">
        <v>1.0</v>
      </c>
      <c r="N18" s="37">
        <f t="shared" ref="N18:O18" si="23">C18+L18</f>
        <v>54</v>
      </c>
      <c r="O18" s="37">
        <f t="shared" si="23"/>
        <v>6</v>
      </c>
      <c r="P18" s="49" t="s">
        <v>57</v>
      </c>
      <c r="Q18" s="49" t="s">
        <v>57</v>
      </c>
      <c r="R18" s="49" t="s">
        <v>57</v>
      </c>
      <c r="S18" s="51">
        <f t="shared" si="4"/>
        <v>3</v>
      </c>
      <c r="T18" s="52">
        <f t="shared" si="5"/>
        <v>0</v>
      </c>
      <c r="U18" s="52"/>
      <c r="V18" s="51">
        <f t="shared" si="6"/>
        <v>1</v>
      </c>
      <c r="W18" s="52">
        <f t="shared" si="7"/>
        <v>2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127</v>
      </c>
      <c r="C19" s="37">
        <v>42.0</v>
      </c>
      <c r="D19" s="37">
        <v>5.0</v>
      </c>
      <c r="E19" s="40">
        <f t="shared" si="2"/>
        <v>11</v>
      </c>
      <c r="F19" s="90">
        <v>1.0</v>
      </c>
      <c r="G19" s="91">
        <v>9.0</v>
      </c>
      <c r="H19" s="92">
        <v>0.0</v>
      </c>
      <c r="I19" s="91">
        <v>4.0</v>
      </c>
      <c r="J19" s="91">
        <v>4.0</v>
      </c>
      <c r="K19" s="91">
        <v>6.0</v>
      </c>
      <c r="L19" s="93">
        <v>14.0</v>
      </c>
      <c r="M19" s="91">
        <v>1.0</v>
      </c>
      <c r="N19" s="37">
        <f t="shared" ref="N19:O19" si="24">C19+L19</f>
        <v>56</v>
      </c>
      <c r="O19" s="37">
        <f t="shared" si="24"/>
        <v>6</v>
      </c>
      <c r="P19" s="49" t="s">
        <v>57</v>
      </c>
      <c r="Q19" s="49" t="s">
        <v>57</v>
      </c>
      <c r="R19" s="49" t="s">
        <v>57</v>
      </c>
      <c r="S19" s="51">
        <f t="shared" si="4"/>
        <v>3</v>
      </c>
      <c r="T19" s="52">
        <f t="shared" si="5"/>
        <v>0</v>
      </c>
      <c r="U19" s="52"/>
      <c r="V19" s="51">
        <f t="shared" si="6"/>
        <v>1</v>
      </c>
      <c r="W19" s="52">
        <f t="shared" si="7"/>
        <v>3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114</v>
      </c>
      <c r="C20" s="37">
        <v>41.0</v>
      </c>
      <c r="D20" s="37">
        <v>5.0</v>
      </c>
      <c r="E20" s="40">
        <f t="shared" si="2"/>
        <v>10.66666667</v>
      </c>
      <c r="F20" s="90">
        <v>1.0</v>
      </c>
      <c r="G20" s="91">
        <v>9.0</v>
      </c>
      <c r="H20" s="92">
        <v>0.0</v>
      </c>
      <c r="I20" s="91">
        <v>6.0</v>
      </c>
      <c r="J20" s="91">
        <v>6.0</v>
      </c>
      <c r="K20" s="91">
        <v>6.0</v>
      </c>
      <c r="L20" s="93">
        <v>18.0</v>
      </c>
      <c r="M20" s="91">
        <v>3.0</v>
      </c>
      <c r="N20" s="37">
        <f t="shared" ref="N20:O20" si="25">C20+L20</f>
        <v>59</v>
      </c>
      <c r="O20" s="37">
        <f t="shared" si="25"/>
        <v>8</v>
      </c>
      <c r="P20" s="49" t="s">
        <v>57</v>
      </c>
      <c r="Q20" s="49" t="s">
        <v>57</v>
      </c>
      <c r="R20" s="49" t="s">
        <v>57</v>
      </c>
      <c r="S20" s="51">
        <f t="shared" si="4"/>
        <v>3</v>
      </c>
      <c r="T20" s="52">
        <f t="shared" si="5"/>
        <v>0</v>
      </c>
      <c r="U20" s="52"/>
      <c r="V20" s="51">
        <f t="shared" si="6"/>
        <v>1</v>
      </c>
      <c r="W20" s="52">
        <f t="shared" si="7"/>
        <v>1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137</v>
      </c>
      <c r="C21" s="37">
        <v>41.0</v>
      </c>
      <c r="D21" s="37">
        <v>5.0</v>
      </c>
      <c r="E21" s="40">
        <f t="shared" si="2"/>
        <v>10.66666667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50</v>
      </c>
      <c r="O21" s="37">
        <f t="shared" si="26"/>
        <v>5</v>
      </c>
      <c r="P21" s="49" t="s">
        <v>57</v>
      </c>
      <c r="Q21" s="49" t="s">
        <v>57</v>
      </c>
      <c r="R21" s="49" t="s">
        <v>57</v>
      </c>
      <c r="S21" s="51">
        <f t="shared" si="4"/>
        <v>3</v>
      </c>
      <c r="T21" s="52">
        <f t="shared" si="5"/>
        <v>0</v>
      </c>
      <c r="U21" s="52"/>
      <c r="V21" s="51">
        <f t="shared" si="6"/>
        <v>1</v>
      </c>
      <c r="W21" s="52">
        <f t="shared" si="7"/>
        <v>3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89</v>
      </c>
      <c r="C22" s="37">
        <v>41.0</v>
      </c>
      <c r="D22" s="37">
        <v>4.0</v>
      </c>
      <c r="E22" s="40">
        <f t="shared" si="2"/>
        <v>11.5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50</v>
      </c>
      <c r="O22" s="37">
        <f t="shared" si="27"/>
        <v>4</v>
      </c>
      <c r="P22" s="49" t="s">
        <v>57</v>
      </c>
      <c r="Q22" s="49" t="s">
        <v>57</v>
      </c>
      <c r="R22" s="49" t="s">
        <v>57</v>
      </c>
      <c r="S22" s="51">
        <f t="shared" si="4"/>
        <v>2</v>
      </c>
      <c r="T22" s="52">
        <f t="shared" si="5"/>
        <v>0</v>
      </c>
      <c r="U22" s="52"/>
      <c r="V22" s="51">
        <f t="shared" si="6"/>
        <v>2</v>
      </c>
      <c r="W22" s="52">
        <f t="shared" si="7"/>
        <v>-10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132</v>
      </c>
      <c r="C23" s="37">
        <v>41.0</v>
      </c>
      <c r="D23" s="37">
        <v>4.0</v>
      </c>
      <c r="E23" s="40">
        <f t="shared" si="2"/>
        <v>10.66666667</v>
      </c>
      <c r="F23" s="90">
        <v>1.0</v>
      </c>
      <c r="G23" s="91">
        <v>3.0</v>
      </c>
      <c r="H23" s="92">
        <v>0.0</v>
      </c>
      <c r="I23" s="91">
        <v>6.0</v>
      </c>
      <c r="J23" s="91">
        <v>6.0</v>
      </c>
      <c r="K23" s="91">
        <v>3.0</v>
      </c>
      <c r="L23" s="93">
        <v>15.0</v>
      </c>
      <c r="M23" s="91">
        <v>2.0</v>
      </c>
      <c r="N23" s="37">
        <f t="shared" ref="N23:O23" si="28">C23+L23</f>
        <v>56</v>
      </c>
      <c r="O23" s="37">
        <f t="shared" si="28"/>
        <v>6</v>
      </c>
      <c r="P23" s="49" t="s">
        <v>57</v>
      </c>
      <c r="Q23" s="49" t="s">
        <v>57</v>
      </c>
      <c r="R23" s="49" t="s">
        <v>57</v>
      </c>
      <c r="S23" s="51">
        <f t="shared" si="4"/>
        <v>3</v>
      </c>
      <c r="T23" s="52">
        <f t="shared" si="5"/>
        <v>0</v>
      </c>
      <c r="U23" s="52"/>
      <c r="V23" s="51">
        <f t="shared" si="6"/>
        <v>1</v>
      </c>
      <c r="W23" s="52">
        <f t="shared" si="7"/>
        <v>15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63</v>
      </c>
      <c r="C24" s="37">
        <v>41.0</v>
      </c>
      <c r="D24" s="37">
        <v>4.0</v>
      </c>
      <c r="E24" s="40">
        <f t="shared" si="2"/>
        <v>10.66666667</v>
      </c>
      <c r="F24" s="90">
        <v>1.0</v>
      </c>
      <c r="G24" s="91">
        <v>3.0</v>
      </c>
      <c r="H24" s="92">
        <v>0.0</v>
      </c>
      <c r="I24" s="91">
        <v>1.0</v>
      </c>
      <c r="J24" s="91">
        <v>6.0</v>
      </c>
      <c r="K24" s="91">
        <v>6.0</v>
      </c>
      <c r="L24" s="93">
        <v>13.0</v>
      </c>
      <c r="M24" s="91">
        <v>2.0</v>
      </c>
      <c r="N24" s="37">
        <f t="shared" ref="N24:O24" si="29">C24+L24</f>
        <v>54</v>
      </c>
      <c r="O24" s="37">
        <f t="shared" si="29"/>
        <v>6</v>
      </c>
      <c r="P24" s="49" t="s">
        <v>57</v>
      </c>
      <c r="Q24" s="49" t="s">
        <v>57</v>
      </c>
      <c r="R24" s="49" t="s">
        <v>57</v>
      </c>
      <c r="S24" s="51">
        <f t="shared" si="4"/>
        <v>3</v>
      </c>
      <c r="T24" s="52">
        <f t="shared" si="5"/>
        <v>0</v>
      </c>
      <c r="U24" s="52"/>
      <c r="V24" s="51">
        <f t="shared" si="6"/>
        <v>1</v>
      </c>
      <c r="W24" s="52">
        <f t="shared" si="7"/>
        <v>24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94</v>
      </c>
      <c r="C25" s="37">
        <v>41.0</v>
      </c>
      <c r="D25" s="37">
        <v>3.0</v>
      </c>
      <c r="E25" s="40">
        <f t="shared" si="2"/>
        <v>10.66666667</v>
      </c>
      <c r="F25" s="90">
        <v>1.0</v>
      </c>
      <c r="G25" s="91">
        <v>3.0</v>
      </c>
      <c r="H25" s="92">
        <v>0.0</v>
      </c>
      <c r="I25" s="91">
        <v>6.0</v>
      </c>
      <c r="J25" s="91">
        <v>2.0</v>
      </c>
      <c r="K25" s="91">
        <v>6.0</v>
      </c>
      <c r="L25" s="93">
        <v>14.0</v>
      </c>
      <c r="M25" s="91">
        <v>2.0</v>
      </c>
      <c r="N25" s="37">
        <f t="shared" ref="N25:O25" si="30">C25+L25</f>
        <v>55</v>
      </c>
      <c r="O25" s="37">
        <f t="shared" si="30"/>
        <v>5</v>
      </c>
      <c r="P25" s="49" t="s">
        <v>57</v>
      </c>
      <c r="Q25" s="49" t="s">
        <v>57</v>
      </c>
      <c r="R25" s="49" t="s">
        <v>57</v>
      </c>
      <c r="S25" s="51">
        <f t="shared" si="4"/>
        <v>3</v>
      </c>
      <c r="T25" s="52">
        <f t="shared" si="5"/>
        <v>0</v>
      </c>
      <c r="U25" s="52"/>
      <c r="V25" s="51">
        <f t="shared" si="6"/>
        <v>1</v>
      </c>
      <c r="W25" s="52">
        <f t="shared" si="7"/>
        <v>6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80</v>
      </c>
      <c r="C26" s="37">
        <v>40.0</v>
      </c>
      <c r="D26" s="37">
        <v>5.0</v>
      </c>
      <c r="E26" s="40">
        <f t="shared" si="2"/>
        <v>10.33333333</v>
      </c>
      <c r="F26" s="90">
        <v>3.0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49</v>
      </c>
      <c r="O26" s="37">
        <f t="shared" si="31"/>
        <v>5</v>
      </c>
      <c r="P26" s="49" t="s">
        <v>57</v>
      </c>
      <c r="Q26" s="49" t="s">
        <v>57</v>
      </c>
      <c r="R26" s="49" t="s">
        <v>57</v>
      </c>
      <c r="S26" s="51">
        <f t="shared" si="4"/>
        <v>3</v>
      </c>
      <c r="T26" s="52">
        <f t="shared" si="5"/>
        <v>0</v>
      </c>
      <c r="U26" s="52"/>
      <c r="V26" s="51">
        <f t="shared" si="6"/>
        <v>1</v>
      </c>
      <c r="W26" s="52">
        <f t="shared" si="7"/>
        <v>-1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113</v>
      </c>
      <c r="C27" s="37">
        <v>39.0</v>
      </c>
      <c r="D27" s="37">
        <v>4.0</v>
      </c>
      <c r="E27" s="40">
        <f t="shared" si="2"/>
        <v>10</v>
      </c>
      <c r="F27" s="90">
        <v>1.0</v>
      </c>
      <c r="G27" s="91">
        <v>3.0</v>
      </c>
      <c r="H27" s="92">
        <v>0.0</v>
      </c>
      <c r="I27" s="91">
        <v>1.0</v>
      </c>
      <c r="J27" s="91">
        <v>2.0</v>
      </c>
      <c r="K27" s="91">
        <v>3.0</v>
      </c>
      <c r="L27" s="93">
        <v>6.0</v>
      </c>
      <c r="M27" s="91">
        <v>0.0</v>
      </c>
      <c r="N27" s="37">
        <f t="shared" ref="N27:O27" si="32">C27+L27</f>
        <v>45</v>
      </c>
      <c r="O27" s="37">
        <f t="shared" si="32"/>
        <v>4</v>
      </c>
      <c r="P27" s="49" t="s">
        <v>57</v>
      </c>
      <c r="Q27" s="49" t="s">
        <v>57</v>
      </c>
      <c r="R27" s="49" t="s">
        <v>57</v>
      </c>
      <c r="S27" s="51">
        <f t="shared" si="4"/>
        <v>3</v>
      </c>
      <c r="T27" s="52">
        <f t="shared" si="5"/>
        <v>0</v>
      </c>
      <c r="U27" s="52"/>
      <c r="V27" s="51">
        <f t="shared" si="6"/>
        <v>1</v>
      </c>
      <c r="W27" s="52">
        <f t="shared" si="7"/>
        <v>19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91</v>
      </c>
      <c r="C28" s="37">
        <v>39.0</v>
      </c>
      <c r="D28" s="37">
        <v>3.0</v>
      </c>
      <c r="E28" s="40">
        <f t="shared" si="2"/>
        <v>10</v>
      </c>
      <c r="F28" s="90">
        <v>1.0</v>
      </c>
      <c r="G28" s="91">
        <v>4.0</v>
      </c>
      <c r="H28" s="92">
        <v>0.0</v>
      </c>
      <c r="I28" s="91">
        <v>4.0</v>
      </c>
      <c r="J28" s="91">
        <v>6.0</v>
      </c>
      <c r="K28" s="91">
        <v>6.0</v>
      </c>
      <c r="L28" s="93">
        <v>16.0</v>
      </c>
      <c r="M28" s="91">
        <v>2.0</v>
      </c>
      <c r="N28" s="37">
        <f t="shared" ref="N28:O28" si="33">C28+L28</f>
        <v>55</v>
      </c>
      <c r="O28" s="37">
        <f t="shared" si="33"/>
        <v>5</v>
      </c>
      <c r="P28" s="49" t="s">
        <v>57</v>
      </c>
      <c r="Q28" s="49" t="s">
        <v>57</v>
      </c>
      <c r="R28" s="49" t="s">
        <v>57</v>
      </c>
      <c r="S28" s="51">
        <f t="shared" si="4"/>
        <v>3</v>
      </c>
      <c r="T28" s="52">
        <f t="shared" si="5"/>
        <v>0</v>
      </c>
      <c r="U28" s="52"/>
      <c r="V28" s="51">
        <f t="shared" si="6"/>
        <v>1</v>
      </c>
      <c r="W28" s="52">
        <f t="shared" si="7"/>
        <v>8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130</v>
      </c>
      <c r="C29" s="37">
        <v>38.0</v>
      </c>
      <c r="D29" s="37">
        <v>4.0</v>
      </c>
      <c r="E29" s="40">
        <f t="shared" si="2"/>
        <v>9.5</v>
      </c>
      <c r="F29" s="90">
        <v>1.0</v>
      </c>
      <c r="G29" s="91">
        <v>4.0</v>
      </c>
      <c r="H29" s="92">
        <v>0.0</v>
      </c>
      <c r="I29" s="91">
        <v>4.0</v>
      </c>
      <c r="J29" s="91">
        <v>3.0</v>
      </c>
      <c r="K29" s="91">
        <v>1.0</v>
      </c>
      <c r="L29" s="93">
        <v>8.0</v>
      </c>
      <c r="M29" s="91">
        <v>0.0</v>
      </c>
      <c r="N29" s="37">
        <f t="shared" ref="N29:O29" si="34">C29+L29</f>
        <v>46</v>
      </c>
      <c r="O29" s="37">
        <f t="shared" si="34"/>
        <v>4</v>
      </c>
      <c r="P29" s="49" t="s">
        <v>57</v>
      </c>
      <c r="Q29" s="49" t="s">
        <v>57</v>
      </c>
      <c r="R29" s="49" t="s">
        <v>57</v>
      </c>
      <c r="S29" s="51">
        <f t="shared" si="4"/>
        <v>4</v>
      </c>
      <c r="T29" s="52">
        <f t="shared" si="5"/>
        <v>0</v>
      </c>
      <c r="U29" s="52"/>
      <c r="V29" s="51">
        <f t="shared" si="6"/>
        <v>0</v>
      </c>
      <c r="W29" s="52">
        <f t="shared" si="7"/>
        <v>-1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139</v>
      </c>
      <c r="C30" s="37">
        <v>37.0</v>
      </c>
      <c r="D30" s="37">
        <v>4.0</v>
      </c>
      <c r="E30" s="40">
        <f t="shared" si="2"/>
        <v>9.25</v>
      </c>
      <c r="F30" s="90">
        <v>2.0</v>
      </c>
      <c r="G30" s="91">
        <v>4.0</v>
      </c>
      <c r="H30" s="92">
        <v>0.0</v>
      </c>
      <c r="I30" s="91">
        <v>6.0</v>
      </c>
      <c r="J30" s="91">
        <v>6.0</v>
      </c>
      <c r="K30" s="91">
        <v>1.0</v>
      </c>
      <c r="L30" s="93">
        <v>13.0</v>
      </c>
      <c r="M30" s="91">
        <v>2.0</v>
      </c>
      <c r="N30" s="37">
        <f t="shared" ref="N30:O30" si="35">C30+L30</f>
        <v>50</v>
      </c>
      <c r="O30" s="37">
        <f t="shared" si="35"/>
        <v>6</v>
      </c>
      <c r="P30" s="49" t="s">
        <v>57</v>
      </c>
      <c r="Q30" s="49" t="s">
        <v>57</v>
      </c>
      <c r="R30" s="49" t="s">
        <v>57</v>
      </c>
      <c r="S30" s="51">
        <f t="shared" si="4"/>
        <v>4</v>
      </c>
      <c r="T30" s="52">
        <f t="shared" si="5"/>
        <v>0</v>
      </c>
      <c r="U30" s="52"/>
      <c r="V30" s="51">
        <f t="shared" si="6"/>
        <v>0</v>
      </c>
      <c r="W30" s="52">
        <f t="shared" si="7"/>
        <v>-13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131</v>
      </c>
      <c r="C31" s="37">
        <v>37.0</v>
      </c>
      <c r="D31" s="37">
        <v>4.0</v>
      </c>
      <c r="E31" s="40">
        <f t="shared" si="2"/>
        <v>9.333333333</v>
      </c>
      <c r="F31" s="90">
        <v>1.0</v>
      </c>
      <c r="G31" s="91">
        <v>4.0</v>
      </c>
      <c r="H31" s="92">
        <v>0.0</v>
      </c>
      <c r="I31" s="91">
        <v>6.0</v>
      </c>
      <c r="J31" s="91">
        <v>3.0</v>
      </c>
      <c r="K31" s="91">
        <v>6.0</v>
      </c>
      <c r="L31" s="93">
        <v>15.0</v>
      </c>
      <c r="M31" s="91">
        <v>2.0</v>
      </c>
      <c r="N31" s="37">
        <f t="shared" ref="N31:O31" si="36">C31+L31</f>
        <v>52</v>
      </c>
      <c r="O31" s="37">
        <f t="shared" si="36"/>
        <v>6</v>
      </c>
      <c r="P31" s="49" t="s">
        <v>57</v>
      </c>
      <c r="Q31" s="49" t="s">
        <v>57</v>
      </c>
      <c r="R31" s="49" t="s">
        <v>57</v>
      </c>
      <c r="S31" s="51">
        <f t="shared" si="4"/>
        <v>3</v>
      </c>
      <c r="T31" s="52">
        <f t="shared" si="5"/>
        <v>0</v>
      </c>
      <c r="U31" s="52"/>
      <c r="V31" s="51">
        <f t="shared" si="6"/>
        <v>1</v>
      </c>
      <c r="W31" s="52">
        <f t="shared" si="7"/>
        <v>1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103</v>
      </c>
      <c r="C32" s="37">
        <v>37.0</v>
      </c>
      <c r="D32" s="37">
        <v>4.0</v>
      </c>
      <c r="E32" s="40">
        <f t="shared" si="2"/>
        <v>9.333333333</v>
      </c>
      <c r="F32" s="90">
        <v>1.0</v>
      </c>
      <c r="G32" s="91">
        <v>5.0</v>
      </c>
      <c r="H32" s="92">
        <v>0.0</v>
      </c>
      <c r="I32" s="91">
        <v>7.0</v>
      </c>
      <c r="J32" s="91">
        <v>6.0</v>
      </c>
      <c r="K32" s="91">
        <v>6.0</v>
      </c>
      <c r="L32" s="93">
        <v>19.0</v>
      </c>
      <c r="M32" s="91">
        <v>3.0</v>
      </c>
      <c r="N32" s="37">
        <f t="shared" ref="N32:O32" si="37">C32+L32</f>
        <v>56</v>
      </c>
      <c r="O32" s="37">
        <f t="shared" si="37"/>
        <v>7</v>
      </c>
      <c r="P32" s="49" t="s">
        <v>57</v>
      </c>
      <c r="Q32" s="49" t="s">
        <v>57</v>
      </c>
      <c r="R32" s="49" t="s">
        <v>57</v>
      </c>
      <c r="S32" s="51">
        <f t="shared" si="4"/>
        <v>3</v>
      </c>
      <c r="T32" s="52">
        <f t="shared" si="5"/>
        <v>0</v>
      </c>
      <c r="U32" s="52"/>
      <c r="V32" s="51">
        <f t="shared" si="6"/>
        <v>1</v>
      </c>
      <c r="W32" s="52">
        <f t="shared" si="7"/>
        <v>7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64</v>
      </c>
      <c r="C33" s="37">
        <v>37.0</v>
      </c>
      <c r="D33" s="37">
        <v>3.0</v>
      </c>
      <c r="E33" s="40">
        <f t="shared" si="2"/>
        <v>9.25</v>
      </c>
      <c r="F33" s="90">
        <v>1.0</v>
      </c>
      <c r="G33" s="91">
        <v>5.0</v>
      </c>
      <c r="H33" s="92">
        <v>0.0</v>
      </c>
      <c r="I33" s="91">
        <v>5.0</v>
      </c>
      <c r="J33" s="91">
        <v>6.0</v>
      </c>
      <c r="K33" s="91">
        <v>2.0</v>
      </c>
      <c r="L33" s="93">
        <v>13.0</v>
      </c>
      <c r="M33" s="91">
        <v>1.0</v>
      </c>
      <c r="N33" s="37">
        <f t="shared" ref="N33:O33" si="38">C33+L33</f>
        <v>50</v>
      </c>
      <c r="O33" s="37">
        <f t="shared" si="38"/>
        <v>4</v>
      </c>
      <c r="P33" s="49" t="s">
        <v>57</v>
      </c>
      <c r="Q33" s="49" t="s">
        <v>57</v>
      </c>
      <c r="R33" s="49" t="s">
        <v>57</v>
      </c>
      <c r="S33" s="51">
        <f t="shared" si="4"/>
        <v>4</v>
      </c>
      <c r="T33" s="52">
        <f t="shared" si="5"/>
        <v>0</v>
      </c>
      <c r="U33" s="52"/>
      <c r="V33" s="51">
        <f t="shared" si="6"/>
        <v>0</v>
      </c>
      <c r="W33" s="52">
        <f t="shared" si="7"/>
        <v>-4</v>
      </c>
      <c r="X33" s="35">
        <f t="shared" si="12"/>
        <v>29</v>
      </c>
      <c r="Y33" s="35" t="str">
        <f t="shared" si="8"/>
        <v>Y</v>
      </c>
      <c r="Z33" s="19" t="str">
        <f t="shared" si="9"/>
        <v/>
      </c>
    </row>
    <row r="34">
      <c r="A34" s="35">
        <f t="shared" si="10"/>
        <v>30</v>
      </c>
      <c r="B34" s="36" t="s">
        <v>140</v>
      </c>
      <c r="C34" s="37">
        <v>37.0</v>
      </c>
      <c r="D34" s="37">
        <v>2.0</v>
      </c>
      <c r="E34" s="40">
        <f t="shared" si="2"/>
        <v>9.5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46</v>
      </c>
      <c r="O34" s="37">
        <f t="shared" si="39"/>
        <v>2</v>
      </c>
      <c r="P34" s="49" t="s">
        <v>57</v>
      </c>
      <c r="Q34" s="49" t="s">
        <v>57</v>
      </c>
      <c r="R34" s="49" t="s">
        <v>57</v>
      </c>
      <c r="S34" s="51">
        <f t="shared" si="4"/>
        <v>2</v>
      </c>
      <c r="T34" s="52">
        <f t="shared" si="5"/>
        <v>0</v>
      </c>
      <c r="U34" s="52"/>
      <c r="V34" s="51">
        <f t="shared" si="6"/>
        <v>2</v>
      </c>
      <c r="W34" s="52">
        <f t="shared" si="7"/>
        <v>-11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110</v>
      </c>
      <c r="C35" s="37">
        <v>36.0</v>
      </c>
      <c r="D35" s="37">
        <v>4.0</v>
      </c>
      <c r="E35" s="40">
        <f t="shared" si="2"/>
        <v>9</v>
      </c>
      <c r="F35" s="90">
        <v>1.0</v>
      </c>
      <c r="G35" s="91">
        <v>5.0</v>
      </c>
      <c r="H35" s="92">
        <v>0.0</v>
      </c>
      <c r="I35" s="91">
        <v>5.0</v>
      </c>
      <c r="J35" s="91">
        <v>3.0</v>
      </c>
      <c r="K35" s="91">
        <v>6.0</v>
      </c>
      <c r="L35" s="93">
        <v>14.0</v>
      </c>
      <c r="M35" s="91">
        <v>1.0</v>
      </c>
      <c r="N35" s="37">
        <f t="shared" ref="N35:O35" si="40">C35+L35</f>
        <v>50</v>
      </c>
      <c r="O35" s="37">
        <f t="shared" si="40"/>
        <v>5</v>
      </c>
      <c r="P35" s="49" t="s">
        <v>57</v>
      </c>
      <c r="Q35" s="49" t="s">
        <v>57</v>
      </c>
      <c r="R35" s="49" t="s">
        <v>57</v>
      </c>
      <c r="S35" s="51">
        <f t="shared" si="4"/>
        <v>4</v>
      </c>
      <c r="T35" s="52">
        <f t="shared" si="5"/>
        <v>0</v>
      </c>
      <c r="U35" s="52"/>
      <c r="V35" s="51">
        <f t="shared" si="6"/>
        <v>0</v>
      </c>
      <c r="W35" s="52">
        <f t="shared" si="7"/>
        <v>8</v>
      </c>
      <c r="X35" s="35">
        <f t="shared" si="12"/>
        <v>31</v>
      </c>
      <c r="Y35" s="35" t="str">
        <f t="shared" si="8"/>
        <v>Y</v>
      </c>
      <c r="Z35" s="19" t="str">
        <f t="shared" si="9"/>
        <v/>
      </c>
    </row>
    <row r="36">
      <c r="A36" s="35">
        <f t="shared" si="10"/>
        <v>32</v>
      </c>
      <c r="B36" s="36" t="s">
        <v>118</v>
      </c>
      <c r="C36" s="37">
        <v>36.0</v>
      </c>
      <c r="D36" s="37">
        <v>2.0</v>
      </c>
      <c r="E36" s="40">
        <f t="shared" si="2"/>
        <v>9</v>
      </c>
      <c r="F36" s="90">
        <v>1.0</v>
      </c>
      <c r="G36" s="91">
        <v>5.0</v>
      </c>
      <c r="H36" s="92">
        <v>0.0</v>
      </c>
      <c r="I36" s="91">
        <v>7.0</v>
      </c>
      <c r="J36" s="91">
        <v>3.0</v>
      </c>
      <c r="K36" s="91">
        <v>2.0</v>
      </c>
      <c r="L36" s="93">
        <v>12.0</v>
      </c>
      <c r="M36" s="91">
        <v>1.0</v>
      </c>
      <c r="N36" s="37">
        <f t="shared" ref="N36:O36" si="41">C36+L36</f>
        <v>48</v>
      </c>
      <c r="O36" s="37">
        <f t="shared" si="41"/>
        <v>3</v>
      </c>
      <c r="P36" s="49" t="s">
        <v>57</v>
      </c>
      <c r="Q36" s="49" t="s">
        <v>57</v>
      </c>
      <c r="R36" s="49" t="s">
        <v>57</v>
      </c>
      <c r="S36" s="51">
        <f t="shared" si="4"/>
        <v>4</v>
      </c>
      <c r="T36" s="52">
        <f t="shared" si="5"/>
        <v>0</v>
      </c>
      <c r="U36" s="52"/>
      <c r="V36" s="51">
        <f t="shared" si="6"/>
        <v>0</v>
      </c>
      <c r="W36" s="52">
        <f t="shared" si="7"/>
        <v>-17</v>
      </c>
      <c r="X36" s="35">
        <f t="shared" si="12"/>
        <v>32</v>
      </c>
      <c r="Y36" s="35" t="str">
        <f t="shared" si="8"/>
        <v>Y</v>
      </c>
      <c r="Z36" s="19" t="str">
        <f t="shared" si="9"/>
        <v/>
      </c>
    </row>
    <row r="37">
      <c r="A37" s="35">
        <f t="shared" si="10"/>
        <v>33</v>
      </c>
      <c r="B37" s="36" t="s">
        <v>112</v>
      </c>
      <c r="C37" s="37">
        <v>34.0</v>
      </c>
      <c r="D37" s="37">
        <v>2.0</v>
      </c>
      <c r="E37" s="40">
        <f t="shared" si="2"/>
        <v>8</v>
      </c>
      <c r="F37" s="90">
        <v>3.0</v>
      </c>
      <c r="G37" s="91">
        <v>0.0</v>
      </c>
      <c r="H37" s="92">
        <v>9.0</v>
      </c>
      <c r="I37" s="91">
        <v>0.0</v>
      </c>
      <c r="J37" s="91">
        <v>0.0</v>
      </c>
      <c r="K37" s="91">
        <v>0.0</v>
      </c>
      <c r="L37" s="93">
        <v>9.0</v>
      </c>
      <c r="M37" s="91">
        <v>0.0</v>
      </c>
      <c r="N37" s="37">
        <f t="shared" ref="N37:O37" si="42">C37+L37</f>
        <v>43</v>
      </c>
      <c r="O37" s="37">
        <f t="shared" si="42"/>
        <v>2</v>
      </c>
      <c r="P37" s="49" t="s">
        <v>57</v>
      </c>
      <c r="Q37" s="49" t="s">
        <v>57</v>
      </c>
      <c r="R37" s="49" t="s">
        <v>57</v>
      </c>
      <c r="S37" s="51">
        <f t="shared" si="4"/>
        <v>2</v>
      </c>
      <c r="T37" s="52">
        <f t="shared" si="5"/>
        <v>0</v>
      </c>
      <c r="U37" s="52"/>
      <c r="V37" s="51">
        <f t="shared" si="6"/>
        <v>2</v>
      </c>
      <c r="W37" s="52">
        <f t="shared" si="7"/>
        <v>15</v>
      </c>
      <c r="X37" s="35">
        <f t="shared" si="12"/>
        <v>33</v>
      </c>
      <c r="Y37" s="35" t="str">
        <f t="shared" si="8"/>
        <v>N</v>
      </c>
      <c r="Z37" s="19" t="str">
        <f t="shared" si="9"/>
        <v/>
      </c>
    </row>
    <row r="38">
      <c r="A38" s="35">
        <f t="shared" si="10"/>
        <v>34</v>
      </c>
      <c r="B38" s="36" t="s">
        <v>136</v>
      </c>
      <c r="C38" s="37">
        <v>34.0</v>
      </c>
      <c r="D38" s="37">
        <v>2.0</v>
      </c>
      <c r="E38" s="40">
        <f t="shared" si="2"/>
        <v>8</v>
      </c>
      <c r="F38" s="90">
        <v>1.0</v>
      </c>
      <c r="G38" s="91">
        <v>6.0</v>
      </c>
      <c r="H38" s="92">
        <v>0.0</v>
      </c>
      <c r="I38" s="91">
        <v>3.0</v>
      </c>
      <c r="J38" s="91">
        <v>1.0</v>
      </c>
      <c r="K38" s="91">
        <v>2.0</v>
      </c>
      <c r="L38" s="93">
        <v>6.0</v>
      </c>
      <c r="M38" s="91">
        <v>0.0</v>
      </c>
      <c r="N38" s="37">
        <f t="shared" ref="N38:O38" si="43">C38+L38</f>
        <v>40</v>
      </c>
      <c r="O38" s="37">
        <f t="shared" si="43"/>
        <v>2</v>
      </c>
      <c r="P38" s="49" t="s">
        <v>57</v>
      </c>
      <c r="Q38" s="49" t="s">
        <v>57</v>
      </c>
      <c r="R38" s="49" t="s">
        <v>57</v>
      </c>
      <c r="S38" s="51">
        <f t="shared" si="4"/>
        <v>2</v>
      </c>
      <c r="T38" s="52">
        <f t="shared" si="5"/>
        <v>0</v>
      </c>
      <c r="U38" s="52"/>
      <c r="V38" s="51">
        <f t="shared" si="6"/>
        <v>2</v>
      </c>
      <c r="W38" s="52">
        <f t="shared" si="7"/>
        <v>35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93</v>
      </c>
      <c r="C39" s="37">
        <v>34.0</v>
      </c>
      <c r="D39" s="37">
        <v>1.0</v>
      </c>
      <c r="E39" s="40">
        <f t="shared" si="2"/>
        <v>6</v>
      </c>
      <c r="F39" s="90">
        <v>2.0</v>
      </c>
      <c r="G39" s="91">
        <v>6.0</v>
      </c>
      <c r="H39" s="92">
        <v>0.0</v>
      </c>
      <c r="I39" s="91">
        <v>6.0</v>
      </c>
      <c r="J39" s="91">
        <v>1.0</v>
      </c>
      <c r="K39" s="91">
        <v>6.0</v>
      </c>
      <c r="L39" s="93">
        <v>13.0</v>
      </c>
      <c r="M39" s="91">
        <v>2.0</v>
      </c>
      <c r="N39" s="37">
        <f t="shared" ref="N39:O39" si="44">C39+L39</f>
        <v>47</v>
      </c>
      <c r="O39" s="37">
        <f t="shared" si="44"/>
        <v>3</v>
      </c>
      <c r="P39" s="49" t="s">
        <v>57</v>
      </c>
      <c r="Q39" s="49" t="s">
        <v>57</v>
      </c>
      <c r="R39" s="49" t="s">
        <v>57</v>
      </c>
      <c r="S39" s="51">
        <f t="shared" si="4"/>
        <v>2</v>
      </c>
      <c r="T39" s="52">
        <f t="shared" si="5"/>
        <v>1</v>
      </c>
      <c r="U39" s="52"/>
      <c r="V39" s="51">
        <f t="shared" si="6"/>
        <v>1</v>
      </c>
      <c r="W39" s="52">
        <f t="shared" si="7"/>
        <v>11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109</v>
      </c>
      <c r="C40" s="37">
        <v>33.0</v>
      </c>
      <c r="D40" s="37">
        <v>2.0</v>
      </c>
      <c r="E40" s="40">
        <f t="shared" si="2"/>
        <v>8</v>
      </c>
      <c r="F40" s="90">
        <v>1.0</v>
      </c>
      <c r="G40" s="91">
        <v>6.0</v>
      </c>
      <c r="H40" s="92">
        <v>0.0</v>
      </c>
      <c r="I40" s="91">
        <v>6.0</v>
      </c>
      <c r="J40" s="91">
        <v>6.0</v>
      </c>
      <c r="K40" s="91">
        <v>2.0</v>
      </c>
      <c r="L40" s="93">
        <v>14.0</v>
      </c>
      <c r="M40" s="91">
        <v>2.0</v>
      </c>
      <c r="N40" s="37">
        <f t="shared" ref="N40:O40" si="45">C40+L40</f>
        <v>47</v>
      </c>
      <c r="O40" s="37">
        <f t="shared" si="45"/>
        <v>4</v>
      </c>
      <c r="P40" s="49" t="s">
        <v>57</v>
      </c>
      <c r="Q40" s="49" t="s">
        <v>57</v>
      </c>
      <c r="R40" s="49" t="s">
        <v>57</v>
      </c>
      <c r="S40" s="51">
        <f t="shared" si="4"/>
        <v>3</v>
      </c>
      <c r="T40" s="52">
        <f t="shared" si="5"/>
        <v>0</v>
      </c>
      <c r="U40" s="52"/>
      <c r="V40" s="51">
        <f t="shared" si="6"/>
        <v>1</v>
      </c>
      <c r="W40" s="52">
        <f t="shared" si="7"/>
        <v>-10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78</v>
      </c>
      <c r="C41" s="37">
        <v>33.0</v>
      </c>
      <c r="D41" s="37">
        <v>2.0</v>
      </c>
      <c r="E41" s="40">
        <f t="shared" si="2"/>
        <v>2</v>
      </c>
      <c r="F41" s="90">
        <v>5.0</v>
      </c>
      <c r="G41" s="91">
        <v>0.0</v>
      </c>
      <c r="H41" s="92">
        <v>13.0</v>
      </c>
      <c r="I41" s="91">
        <v>0.0</v>
      </c>
      <c r="J41" s="91">
        <v>0.0</v>
      </c>
      <c r="K41" s="91">
        <v>0.0</v>
      </c>
      <c r="L41" s="93">
        <v>13.0</v>
      </c>
      <c r="M41" s="91">
        <v>0.0</v>
      </c>
      <c r="N41" s="37">
        <f t="shared" ref="N41:O41" si="46">C41+L41</f>
        <v>46</v>
      </c>
      <c r="O41" s="37">
        <f t="shared" si="46"/>
        <v>2</v>
      </c>
      <c r="P41" s="49" t="s">
        <v>57</v>
      </c>
      <c r="Q41" s="49" t="s">
        <v>57</v>
      </c>
      <c r="R41" s="49" t="s">
        <v>57</v>
      </c>
      <c r="S41" s="51">
        <f t="shared" si="4"/>
        <v>1</v>
      </c>
      <c r="T41" s="52">
        <f t="shared" si="5"/>
        <v>1</v>
      </c>
      <c r="U41" s="52"/>
      <c r="V41" s="51">
        <f t="shared" si="6"/>
        <v>2</v>
      </c>
      <c r="W41" s="52">
        <f t="shared" si="7"/>
        <v>19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154</v>
      </c>
      <c r="C42" s="37">
        <v>33.0</v>
      </c>
      <c r="D42" s="37">
        <v>2.0</v>
      </c>
      <c r="E42" s="40">
        <f t="shared" si="2"/>
        <v>6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42</v>
      </c>
      <c r="O42" s="37">
        <f t="shared" si="47"/>
        <v>2</v>
      </c>
      <c r="P42" s="49" t="s">
        <v>57</v>
      </c>
      <c r="Q42" s="49" t="s">
        <v>57</v>
      </c>
      <c r="R42" s="49" t="s">
        <v>57</v>
      </c>
      <c r="S42" s="51">
        <f t="shared" si="4"/>
        <v>1</v>
      </c>
      <c r="T42" s="52">
        <f t="shared" si="5"/>
        <v>0</v>
      </c>
      <c r="U42" s="52"/>
      <c r="V42" s="51">
        <f t="shared" si="6"/>
        <v>3</v>
      </c>
      <c r="W42" s="52">
        <f t="shared" si="7"/>
        <v>30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106</v>
      </c>
      <c r="C43" s="37">
        <v>33.0</v>
      </c>
      <c r="D43" s="37">
        <v>1.0</v>
      </c>
      <c r="E43" s="40">
        <f t="shared" si="2"/>
        <v>6</v>
      </c>
      <c r="F43" s="90">
        <v>4.0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42</v>
      </c>
      <c r="O43" s="37">
        <f t="shared" si="48"/>
        <v>1</v>
      </c>
      <c r="P43" s="49" t="s">
        <v>57</v>
      </c>
      <c r="Q43" s="49" t="s">
        <v>57</v>
      </c>
      <c r="R43" s="49" t="s">
        <v>57</v>
      </c>
      <c r="S43" s="51">
        <f t="shared" si="4"/>
        <v>1</v>
      </c>
      <c r="T43" s="52">
        <f t="shared" si="5"/>
        <v>0</v>
      </c>
      <c r="U43" s="52"/>
      <c r="V43" s="51">
        <f t="shared" si="6"/>
        <v>3</v>
      </c>
      <c r="W43" s="52">
        <f t="shared" si="7"/>
        <v>-10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90</v>
      </c>
      <c r="C44" s="37">
        <v>33.0</v>
      </c>
      <c r="D44" s="37">
        <v>1.0</v>
      </c>
      <c r="E44" s="40">
        <f t="shared" si="2"/>
        <v>7.5</v>
      </c>
      <c r="F44" s="90">
        <v>1.0</v>
      </c>
      <c r="G44" s="91">
        <v>6.0</v>
      </c>
      <c r="H44" s="92">
        <v>0.0</v>
      </c>
      <c r="I44" s="91">
        <v>3.0</v>
      </c>
      <c r="J44" s="91">
        <v>6.0</v>
      </c>
      <c r="K44" s="91">
        <v>6.0</v>
      </c>
      <c r="L44" s="93">
        <v>15.0</v>
      </c>
      <c r="M44" s="91">
        <v>2.0</v>
      </c>
      <c r="N44" s="37">
        <f t="shared" ref="N44:O44" si="49">C44+L44</f>
        <v>48</v>
      </c>
      <c r="O44" s="37">
        <f t="shared" si="49"/>
        <v>3</v>
      </c>
      <c r="P44" s="49" t="s">
        <v>57</v>
      </c>
      <c r="Q44" s="49" t="s">
        <v>57</v>
      </c>
      <c r="R44" s="49" t="s">
        <v>57</v>
      </c>
      <c r="S44" s="51">
        <f t="shared" si="4"/>
        <v>2</v>
      </c>
      <c r="T44" s="52">
        <f t="shared" si="5"/>
        <v>0</v>
      </c>
      <c r="U44" s="52"/>
      <c r="V44" s="51">
        <f t="shared" si="6"/>
        <v>2</v>
      </c>
      <c r="W44" s="52">
        <f t="shared" si="7"/>
        <v>-10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92</v>
      </c>
      <c r="C45" s="37">
        <v>33.0</v>
      </c>
      <c r="D45" s="37">
        <v>1.0</v>
      </c>
      <c r="E45" s="40">
        <f t="shared" si="2"/>
        <v>7.5</v>
      </c>
      <c r="F45" s="90">
        <v>1.0</v>
      </c>
      <c r="G45" s="91">
        <v>7.0</v>
      </c>
      <c r="H45" s="92">
        <v>0.0</v>
      </c>
      <c r="I45" s="91">
        <v>6.0</v>
      </c>
      <c r="J45" s="91">
        <v>6.0</v>
      </c>
      <c r="K45" s="91">
        <v>6.0</v>
      </c>
      <c r="L45" s="93">
        <v>18.0</v>
      </c>
      <c r="M45" s="91">
        <v>3.0</v>
      </c>
      <c r="N45" s="37">
        <f t="shared" ref="N45:O45" si="50">C45+L45</f>
        <v>51</v>
      </c>
      <c r="O45" s="37">
        <f t="shared" si="50"/>
        <v>4</v>
      </c>
      <c r="P45" s="49" t="s">
        <v>57</v>
      </c>
      <c r="Q45" s="49" t="s">
        <v>57</v>
      </c>
      <c r="R45" s="49" t="s">
        <v>57</v>
      </c>
      <c r="S45" s="51">
        <f t="shared" si="4"/>
        <v>2</v>
      </c>
      <c r="T45" s="52">
        <f t="shared" si="5"/>
        <v>0</v>
      </c>
      <c r="U45" s="52"/>
      <c r="V45" s="51">
        <f t="shared" si="6"/>
        <v>2</v>
      </c>
      <c r="W45" s="52">
        <f t="shared" si="7"/>
        <v>-10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97</v>
      </c>
      <c r="C46" s="37">
        <v>32.0</v>
      </c>
      <c r="D46" s="37">
        <v>1.0</v>
      </c>
      <c r="E46" s="40">
        <f t="shared" si="2"/>
        <v>5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41</v>
      </c>
      <c r="O46" s="37">
        <f t="shared" si="51"/>
        <v>1</v>
      </c>
      <c r="P46" s="49" t="s">
        <v>57</v>
      </c>
      <c r="Q46" s="49" t="s">
        <v>57</v>
      </c>
      <c r="R46" s="49" t="s">
        <v>57</v>
      </c>
      <c r="S46" s="51">
        <f t="shared" si="4"/>
        <v>1</v>
      </c>
      <c r="T46" s="52">
        <f t="shared" si="5"/>
        <v>0</v>
      </c>
      <c r="U46" s="52"/>
      <c r="V46" s="51">
        <f t="shared" si="6"/>
        <v>3</v>
      </c>
      <c r="W46" s="52">
        <f t="shared" si="7"/>
        <v>-6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151</v>
      </c>
      <c r="C47" s="37">
        <v>31.0</v>
      </c>
      <c r="D47" s="37">
        <v>3.0</v>
      </c>
      <c r="E47" s="40">
        <f t="shared" si="2"/>
        <v>7.75</v>
      </c>
      <c r="F47" s="90">
        <v>1.0</v>
      </c>
      <c r="G47" s="91">
        <v>7.0</v>
      </c>
      <c r="H47" s="92">
        <v>0.0</v>
      </c>
      <c r="I47" s="91">
        <v>2.0</v>
      </c>
      <c r="J47" s="91">
        <v>6.0</v>
      </c>
      <c r="K47" s="91">
        <v>2.0</v>
      </c>
      <c r="L47" s="93">
        <v>10.0</v>
      </c>
      <c r="M47" s="91">
        <v>1.0</v>
      </c>
      <c r="N47" s="37">
        <f t="shared" ref="N47:O47" si="52">C47+L47</f>
        <v>41</v>
      </c>
      <c r="O47" s="37">
        <f t="shared" si="52"/>
        <v>4</v>
      </c>
      <c r="P47" s="49" t="s">
        <v>57</v>
      </c>
      <c r="Q47" s="49" t="s">
        <v>57</v>
      </c>
      <c r="R47" s="49" t="s">
        <v>57</v>
      </c>
      <c r="S47" s="51">
        <f t="shared" si="4"/>
        <v>4</v>
      </c>
      <c r="T47" s="52">
        <f t="shared" si="5"/>
        <v>0</v>
      </c>
      <c r="U47" s="52"/>
      <c r="V47" s="51">
        <f t="shared" si="6"/>
        <v>0</v>
      </c>
      <c r="W47" s="52">
        <f t="shared" si="7"/>
        <v>-10</v>
      </c>
      <c r="X47" s="35">
        <f t="shared" si="12"/>
        <v>43</v>
      </c>
      <c r="Y47" s="35" t="str">
        <f t="shared" si="8"/>
        <v>Y</v>
      </c>
      <c r="Z47" s="19" t="str">
        <f t="shared" si="9"/>
        <v/>
      </c>
    </row>
    <row r="48">
      <c r="A48" s="35">
        <f t="shared" si="10"/>
        <v>44</v>
      </c>
      <c r="B48" s="36" t="s">
        <v>145</v>
      </c>
      <c r="C48" s="37">
        <v>31.0</v>
      </c>
      <c r="D48" s="37">
        <v>3.0</v>
      </c>
      <c r="E48" s="40">
        <f t="shared" si="2"/>
        <v>7.333333333</v>
      </c>
      <c r="F48" s="90">
        <v>1.0</v>
      </c>
      <c r="G48" s="91">
        <v>7.0</v>
      </c>
      <c r="H48" s="92">
        <v>0.0</v>
      </c>
      <c r="I48" s="91">
        <v>6.0</v>
      </c>
      <c r="J48" s="91">
        <v>2.0</v>
      </c>
      <c r="K48" s="91">
        <v>2.0</v>
      </c>
      <c r="L48" s="93">
        <v>10.0</v>
      </c>
      <c r="M48" s="91">
        <v>1.0</v>
      </c>
      <c r="N48" s="37">
        <f t="shared" ref="N48:O48" si="53">C48+L48</f>
        <v>41</v>
      </c>
      <c r="O48" s="37">
        <f t="shared" si="53"/>
        <v>4</v>
      </c>
      <c r="P48" s="49" t="s">
        <v>57</v>
      </c>
      <c r="Q48" s="49" t="s">
        <v>57</v>
      </c>
      <c r="R48" s="49" t="s">
        <v>57</v>
      </c>
      <c r="S48" s="51">
        <f t="shared" si="4"/>
        <v>3</v>
      </c>
      <c r="T48" s="52">
        <f t="shared" si="5"/>
        <v>0</v>
      </c>
      <c r="U48" s="52"/>
      <c r="V48" s="51">
        <f t="shared" si="6"/>
        <v>1</v>
      </c>
      <c r="W48" s="52">
        <f t="shared" si="7"/>
        <v>-6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138</v>
      </c>
      <c r="C49" s="37">
        <v>31.0</v>
      </c>
      <c r="D49" s="37">
        <v>2.0</v>
      </c>
      <c r="E49" s="40">
        <f t="shared" si="2"/>
        <v>7.333333333</v>
      </c>
      <c r="F49" s="90">
        <v>2.0</v>
      </c>
      <c r="G49" s="91">
        <v>7.0</v>
      </c>
      <c r="H49" s="92">
        <v>0.0</v>
      </c>
      <c r="I49" s="91">
        <v>2.0</v>
      </c>
      <c r="J49" s="91">
        <v>2.0</v>
      </c>
      <c r="K49" s="91">
        <v>6.0</v>
      </c>
      <c r="L49" s="93">
        <v>10.0</v>
      </c>
      <c r="M49" s="91">
        <v>1.0</v>
      </c>
      <c r="N49" s="37">
        <f t="shared" ref="N49:O49" si="54">C49+L49</f>
        <v>41</v>
      </c>
      <c r="O49" s="37">
        <f t="shared" si="54"/>
        <v>3</v>
      </c>
      <c r="P49" s="49" t="s">
        <v>57</v>
      </c>
      <c r="Q49" s="49" t="s">
        <v>57</v>
      </c>
      <c r="R49" s="49" t="s">
        <v>57</v>
      </c>
      <c r="S49" s="51">
        <f t="shared" si="4"/>
        <v>3</v>
      </c>
      <c r="T49" s="52">
        <f t="shared" si="5"/>
        <v>0</v>
      </c>
      <c r="U49" s="52"/>
      <c r="V49" s="51">
        <f t="shared" si="6"/>
        <v>1</v>
      </c>
      <c r="W49" s="52">
        <f t="shared" si="7"/>
        <v>4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73</v>
      </c>
      <c r="C50" s="37">
        <v>31.0</v>
      </c>
      <c r="D50" s="37">
        <v>2.0</v>
      </c>
      <c r="E50" s="40">
        <f t="shared" si="2"/>
        <v>4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40</v>
      </c>
      <c r="O50" s="37">
        <f t="shared" si="55"/>
        <v>2</v>
      </c>
      <c r="P50" s="49" t="s">
        <v>57</v>
      </c>
      <c r="Q50" s="49" t="s">
        <v>57</v>
      </c>
      <c r="R50" s="49" t="s">
        <v>57</v>
      </c>
      <c r="S50" s="51">
        <f t="shared" si="4"/>
        <v>1</v>
      </c>
      <c r="T50" s="52">
        <f t="shared" si="5"/>
        <v>0</v>
      </c>
      <c r="U50" s="52"/>
      <c r="V50" s="51">
        <f t="shared" si="6"/>
        <v>3</v>
      </c>
      <c r="W50" s="52">
        <f t="shared" si="7"/>
        <v>-6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142</v>
      </c>
      <c r="C51" s="37">
        <v>31.0</v>
      </c>
      <c r="D51" s="37">
        <v>2.0</v>
      </c>
      <c r="E51" s="40">
        <f t="shared" si="2"/>
        <v>6.5</v>
      </c>
      <c r="F51" s="90">
        <v>1.0</v>
      </c>
      <c r="G51" s="91">
        <v>8.0</v>
      </c>
      <c r="H51" s="92">
        <v>0.0</v>
      </c>
      <c r="I51" s="91">
        <v>6.0</v>
      </c>
      <c r="J51" s="91">
        <v>2.0</v>
      </c>
      <c r="K51" s="91">
        <v>6.0</v>
      </c>
      <c r="L51" s="93">
        <v>14.0</v>
      </c>
      <c r="M51" s="91">
        <v>2.0</v>
      </c>
      <c r="N51" s="37">
        <f t="shared" ref="N51:O51" si="56">C51+L51</f>
        <v>45</v>
      </c>
      <c r="O51" s="37">
        <f t="shared" si="56"/>
        <v>4</v>
      </c>
      <c r="P51" s="49" t="s">
        <v>57</v>
      </c>
      <c r="Q51" s="49" t="s">
        <v>57</v>
      </c>
      <c r="R51" s="49" t="s">
        <v>57</v>
      </c>
      <c r="S51" s="51">
        <f t="shared" si="4"/>
        <v>2</v>
      </c>
      <c r="T51" s="52">
        <f t="shared" si="5"/>
        <v>0</v>
      </c>
      <c r="U51" s="52"/>
      <c r="V51" s="51">
        <f t="shared" si="6"/>
        <v>2</v>
      </c>
      <c r="W51" s="52">
        <f t="shared" si="7"/>
        <v>-6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143</v>
      </c>
      <c r="C52" s="37">
        <v>31.0</v>
      </c>
      <c r="D52" s="37">
        <v>2.0</v>
      </c>
      <c r="E52" s="40">
        <f t="shared" si="2"/>
        <v>4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40</v>
      </c>
      <c r="O52" s="37">
        <f t="shared" si="57"/>
        <v>2</v>
      </c>
      <c r="P52" s="49" t="s">
        <v>57</v>
      </c>
      <c r="Q52" s="49" t="s">
        <v>57</v>
      </c>
      <c r="R52" s="49" t="s">
        <v>57</v>
      </c>
      <c r="S52" s="51">
        <f t="shared" si="4"/>
        <v>1</v>
      </c>
      <c r="T52" s="52">
        <f t="shared" si="5"/>
        <v>0</v>
      </c>
      <c r="U52" s="52"/>
      <c r="V52" s="51">
        <f t="shared" si="6"/>
        <v>3</v>
      </c>
      <c r="W52" s="52">
        <f t="shared" si="7"/>
        <v>-5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107</v>
      </c>
      <c r="C53" s="37">
        <v>31.0</v>
      </c>
      <c r="D53" s="37">
        <v>2.0</v>
      </c>
      <c r="E53" s="40">
        <f t="shared" si="2"/>
        <v>4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40</v>
      </c>
      <c r="O53" s="37">
        <f t="shared" si="58"/>
        <v>2</v>
      </c>
      <c r="P53" s="49" t="s">
        <v>57</v>
      </c>
      <c r="Q53" s="49" t="s">
        <v>57</v>
      </c>
      <c r="R53" s="49" t="s">
        <v>57</v>
      </c>
      <c r="S53" s="51">
        <f t="shared" si="4"/>
        <v>1</v>
      </c>
      <c r="T53" s="52">
        <f t="shared" si="5"/>
        <v>0</v>
      </c>
      <c r="U53" s="52"/>
      <c r="V53" s="51">
        <f t="shared" si="6"/>
        <v>3</v>
      </c>
      <c r="W53" s="52">
        <f t="shared" si="7"/>
        <v>13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70</v>
      </c>
      <c r="C54" s="37">
        <v>31.0</v>
      </c>
      <c r="D54" s="37">
        <v>0.0</v>
      </c>
      <c r="E54" s="40">
        <f t="shared" si="2"/>
        <v>0</v>
      </c>
      <c r="F54" s="90">
        <v>2.0</v>
      </c>
      <c r="G54" s="91">
        <v>8.0</v>
      </c>
      <c r="H54" s="92">
        <v>0.0</v>
      </c>
      <c r="I54" s="91">
        <v>6.0</v>
      </c>
      <c r="J54" s="91">
        <v>6.0</v>
      </c>
      <c r="K54" s="91">
        <v>0.0</v>
      </c>
      <c r="L54" s="93">
        <v>12.0</v>
      </c>
      <c r="M54" s="91">
        <v>2.0</v>
      </c>
      <c r="N54" s="37">
        <f t="shared" ref="N54:O54" si="59">C54+L54</f>
        <v>43</v>
      </c>
      <c r="O54" s="37">
        <f t="shared" si="59"/>
        <v>2</v>
      </c>
      <c r="P54" s="49" t="s">
        <v>57</v>
      </c>
      <c r="Q54" s="49" t="s">
        <v>57</v>
      </c>
      <c r="R54" s="49" t="s">
        <v>57</v>
      </c>
      <c r="S54" s="51">
        <f t="shared" si="4"/>
        <v>1</v>
      </c>
      <c r="T54" s="52">
        <f t="shared" si="5"/>
        <v>1</v>
      </c>
      <c r="U54" s="52"/>
      <c r="V54" s="51">
        <f t="shared" si="6"/>
        <v>2</v>
      </c>
      <c r="W54" s="52">
        <f t="shared" si="7"/>
        <v>-5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134</v>
      </c>
      <c r="C55" s="37">
        <v>30.0</v>
      </c>
      <c r="D55" s="37">
        <v>3.0</v>
      </c>
      <c r="E55" s="40">
        <f t="shared" si="2"/>
        <v>7.5</v>
      </c>
      <c r="F55" s="90">
        <v>1.0</v>
      </c>
      <c r="G55" s="91">
        <v>8.0</v>
      </c>
      <c r="H55" s="92">
        <v>0.0</v>
      </c>
      <c r="I55" s="91">
        <v>4.0</v>
      </c>
      <c r="J55" s="91">
        <v>2.0</v>
      </c>
      <c r="K55" s="91">
        <v>0.0</v>
      </c>
      <c r="L55" s="93">
        <v>6.0</v>
      </c>
      <c r="M55" s="91">
        <v>0.0</v>
      </c>
      <c r="N55" s="37">
        <f t="shared" ref="N55:O55" si="60">C55+L55</f>
        <v>36</v>
      </c>
      <c r="O55" s="37">
        <f t="shared" si="60"/>
        <v>3</v>
      </c>
      <c r="P55" s="49" t="s">
        <v>57</v>
      </c>
      <c r="Q55" s="49" t="s">
        <v>57</v>
      </c>
      <c r="R55" s="49" t="s">
        <v>57</v>
      </c>
      <c r="S55" s="51">
        <f t="shared" si="4"/>
        <v>4</v>
      </c>
      <c r="T55" s="52">
        <f t="shared" si="5"/>
        <v>0</v>
      </c>
      <c r="U55" s="52"/>
      <c r="V55" s="51">
        <f t="shared" si="6"/>
        <v>0</v>
      </c>
      <c r="W55" s="52">
        <f t="shared" si="7"/>
        <v>-29</v>
      </c>
      <c r="X55" s="35">
        <f t="shared" si="12"/>
        <v>51</v>
      </c>
      <c r="Y55" s="35" t="str">
        <f t="shared" si="8"/>
        <v>Y</v>
      </c>
      <c r="Z55" s="19" t="str">
        <f t="shared" si="9"/>
        <v/>
      </c>
    </row>
    <row r="56">
      <c r="A56" s="35">
        <f t="shared" si="10"/>
        <v>52</v>
      </c>
      <c r="B56" s="36" t="s">
        <v>149</v>
      </c>
      <c r="C56" s="37">
        <v>30.0</v>
      </c>
      <c r="D56" s="37">
        <v>3.0</v>
      </c>
      <c r="E56" s="40">
        <f t="shared" si="2"/>
        <v>6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39</v>
      </c>
      <c r="O56" s="37">
        <f t="shared" si="61"/>
        <v>3</v>
      </c>
      <c r="P56" s="49" t="s">
        <v>57</v>
      </c>
      <c r="Q56" s="49" t="s">
        <v>57</v>
      </c>
      <c r="R56" s="49" t="s">
        <v>57</v>
      </c>
      <c r="S56" s="51">
        <f t="shared" si="4"/>
        <v>2</v>
      </c>
      <c r="T56" s="52">
        <f t="shared" si="5"/>
        <v>0</v>
      </c>
      <c r="U56" s="52"/>
      <c r="V56" s="51">
        <f t="shared" si="6"/>
        <v>2</v>
      </c>
      <c r="W56" s="52">
        <f t="shared" si="7"/>
        <v>-5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95</v>
      </c>
      <c r="C57" s="37">
        <v>30.0</v>
      </c>
      <c r="D57" s="37">
        <v>2.0</v>
      </c>
      <c r="E57" s="40">
        <f t="shared" si="2"/>
        <v>6</v>
      </c>
      <c r="F57" s="90">
        <v>1.0</v>
      </c>
      <c r="G57" s="91">
        <v>8.0</v>
      </c>
      <c r="H57" s="92">
        <v>0.0</v>
      </c>
      <c r="I57" s="91">
        <v>4.0</v>
      </c>
      <c r="J57" s="91">
        <v>6.0</v>
      </c>
      <c r="K57" s="91">
        <v>6.0</v>
      </c>
      <c r="L57" s="93">
        <v>16.0</v>
      </c>
      <c r="M57" s="91">
        <v>2.0</v>
      </c>
      <c r="N57" s="37">
        <f t="shared" ref="N57:O57" si="62">C57+L57</f>
        <v>46</v>
      </c>
      <c r="O57" s="37">
        <f t="shared" si="62"/>
        <v>4</v>
      </c>
      <c r="P57" s="49" t="s">
        <v>57</v>
      </c>
      <c r="Q57" s="49" t="s">
        <v>57</v>
      </c>
      <c r="R57" s="49" t="s">
        <v>57</v>
      </c>
      <c r="S57" s="51">
        <f t="shared" si="4"/>
        <v>2</v>
      </c>
      <c r="T57" s="52">
        <f t="shared" si="5"/>
        <v>0</v>
      </c>
      <c r="U57" s="52"/>
      <c r="V57" s="51">
        <f t="shared" si="6"/>
        <v>2</v>
      </c>
      <c r="W57" s="52">
        <f t="shared" si="7"/>
        <v>1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147</v>
      </c>
      <c r="C58" s="37">
        <v>30.0</v>
      </c>
      <c r="D58" s="37">
        <v>1.0</v>
      </c>
      <c r="E58" s="40">
        <f t="shared" si="2"/>
        <v>6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39</v>
      </c>
      <c r="O58" s="37">
        <f t="shared" si="63"/>
        <v>1</v>
      </c>
      <c r="P58" s="49" t="s">
        <v>57</v>
      </c>
      <c r="Q58" s="49" t="s">
        <v>57</v>
      </c>
      <c r="R58" s="49" t="s">
        <v>57</v>
      </c>
      <c r="S58" s="51">
        <f t="shared" si="4"/>
        <v>2</v>
      </c>
      <c r="T58" s="52">
        <f t="shared" si="5"/>
        <v>0</v>
      </c>
      <c r="U58" s="52"/>
      <c r="V58" s="51">
        <f t="shared" si="6"/>
        <v>2</v>
      </c>
      <c r="W58" s="52">
        <f t="shared" si="7"/>
        <v>-17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152</v>
      </c>
      <c r="C59" s="37">
        <v>29.0</v>
      </c>
      <c r="D59" s="37">
        <v>2.0</v>
      </c>
      <c r="E59" s="40">
        <f t="shared" si="2"/>
        <v>5.5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38</v>
      </c>
      <c r="O59" s="37">
        <f t="shared" si="64"/>
        <v>2</v>
      </c>
      <c r="P59" s="49" t="s">
        <v>57</v>
      </c>
      <c r="Q59" s="49" t="s">
        <v>57</v>
      </c>
      <c r="R59" s="49" t="s">
        <v>57</v>
      </c>
      <c r="S59" s="51">
        <f t="shared" si="4"/>
        <v>2</v>
      </c>
      <c r="T59" s="52">
        <f t="shared" si="5"/>
        <v>0</v>
      </c>
      <c r="U59" s="52"/>
      <c r="V59" s="51">
        <f t="shared" si="6"/>
        <v>2</v>
      </c>
      <c r="W59" s="52">
        <f t="shared" si="7"/>
        <v>-5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133</v>
      </c>
      <c r="C60" s="37">
        <v>29.0</v>
      </c>
      <c r="D60" s="37">
        <v>2.0</v>
      </c>
      <c r="E60" s="40">
        <f t="shared" si="2"/>
        <v>5.5</v>
      </c>
      <c r="F60" s="90">
        <v>3.0</v>
      </c>
      <c r="G60" s="91">
        <v>0.0</v>
      </c>
      <c r="H60" s="92">
        <v>9.0</v>
      </c>
      <c r="I60" s="91">
        <v>0.0</v>
      </c>
      <c r="J60" s="91">
        <v>0.0</v>
      </c>
      <c r="K60" s="91">
        <v>0.0</v>
      </c>
      <c r="L60" s="93">
        <v>9.0</v>
      </c>
      <c r="M60" s="91">
        <v>0.0</v>
      </c>
      <c r="N60" s="37">
        <f t="shared" ref="N60:O60" si="65">C60+L60</f>
        <v>38</v>
      </c>
      <c r="O60" s="37">
        <f t="shared" si="65"/>
        <v>2</v>
      </c>
      <c r="P60" s="49" t="s">
        <v>57</v>
      </c>
      <c r="Q60" s="49" t="s">
        <v>57</v>
      </c>
      <c r="R60" s="49" t="s">
        <v>57</v>
      </c>
      <c r="S60" s="51">
        <f t="shared" si="4"/>
        <v>2</v>
      </c>
      <c r="T60" s="52">
        <f t="shared" si="5"/>
        <v>0</v>
      </c>
      <c r="U60" s="52"/>
      <c r="V60" s="51">
        <f t="shared" si="6"/>
        <v>2</v>
      </c>
      <c r="W60" s="52">
        <f t="shared" si="7"/>
        <v>18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129</v>
      </c>
      <c r="C61" s="37">
        <v>28.0</v>
      </c>
      <c r="D61" s="37">
        <v>1.0</v>
      </c>
      <c r="E61" s="40">
        <f t="shared" si="2"/>
        <v>1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37</v>
      </c>
      <c r="O61" s="37">
        <f t="shared" si="66"/>
        <v>1</v>
      </c>
      <c r="P61" s="49" t="s">
        <v>57</v>
      </c>
      <c r="Q61" s="49" t="s">
        <v>57</v>
      </c>
      <c r="R61" s="49" t="s">
        <v>57</v>
      </c>
      <c r="S61" s="51">
        <f t="shared" si="4"/>
        <v>1</v>
      </c>
      <c r="T61" s="52">
        <f t="shared" si="5"/>
        <v>0</v>
      </c>
      <c r="U61" s="52"/>
      <c r="V61" s="51">
        <f t="shared" si="6"/>
        <v>3</v>
      </c>
      <c r="W61" s="52">
        <f t="shared" si="7"/>
        <v>-5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146</v>
      </c>
      <c r="C62" s="37">
        <v>27.0</v>
      </c>
      <c r="D62" s="37">
        <v>0.0</v>
      </c>
      <c r="E62" s="40">
        <f t="shared" si="2"/>
        <v>0</v>
      </c>
      <c r="F62" s="90">
        <v>1.0</v>
      </c>
      <c r="G62" s="91">
        <v>10.0</v>
      </c>
      <c r="H62" s="92">
        <v>0.0</v>
      </c>
      <c r="I62" s="91">
        <v>6.0</v>
      </c>
      <c r="J62" s="91">
        <v>1.0</v>
      </c>
      <c r="K62" s="91">
        <v>6.0</v>
      </c>
      <c r="L62" s="93">
        <v>13.0</v>
      </c>
      <c r="M62" s="91">
        <v>1.0</v>
      </c>
      <c r="N62" s="37">
        <f t="shared" ref="N62:O62" si="67">C62+L62</f>
        <v>40</v>
      </c>
      <c r="O62" s="37">
        <f t="shared" si="67"/>
        <v>1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0</v>
      </c>
      <c r="U62" s="52"/>
      <c r="V62" s="51">
        <f t="shared" si="6"/>
        <v>3</v>
      </c>
      <c r="W62" s="52">
        <f t="shared" si="7"/>
        <v>-5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125</v>
      </c>
      <c r="C63" s="37">
        <v>27.0</v>
      </c>
      <c r="D63" s="37">
        <v>0.0</v>
      </c>
      <c r="E63" s="40">
        <f t="shared" si="2"/>
        <v>0</v>
      </c>
      <c r="F63" s="90">
        <v>1.0</v>
      </c>
      <c r="G63" s="91">
        <v>10.0</v>
      </c>
      <c r="H63" s="92">
        <v>0.0</v>
      </c>
      <c r="I63" s="91">
        <v>7.0</v>
      </c>
      <c r="J63" s="91">
        <v>6.0</v>
      </c>
      <c r="K63" s="91">
        <v>6.0</v>
      </c>
      <c r="L63" s="93">
        <v>19.0</v>
      </c>
      <c r="M63" s="91">
        <v>3.0</v>
      </c>
      <c r="N63" s="37">
        <f t="shared" ref="N63:O63" si="68">C63+L63</f>
        <v>46</v>
      </c>
      <c r="O63" s="37">
        <f t="shared" si="68"/>
        <v>3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3</v>
      </c>
      <c r="W63" s="52">
        <f t="shared" si="7"/>
        <v>-4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148</v>
      </c>
      <c r="C64" s="37">
        <v>27.0</v>
      </c>
      <c r="D64" s="37">
        <v>0.0</v>
      </c>
      <c r="E64" s="40">
        <f t="shared" si="2"/>
        <v>0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36</v>
      </c>
      <c r="O64" s="37">
        <f t="shared" si="69"/>
        <v>0</v>
      </c>
      <c r="P64" s="49" t="s">
        <v>57</v>
      </c>
      <c r="Q64" s="49" t="s">
        <v>57</v>
      </c>
      <c r="R64" s="49" t="s">
        <v>57</v>
      </c>
      <c r="S64" s="51">
        <f t="shared" si="4"/>
        <v>0</v>
      </c>
      <c r="T64" s="52">
        <f t="shared" si="5"/>
        <v>0</v>
      </c>
      <c r="U64" s="52"/>
      <c r="V64" s="51">
        <f t="shared" si="6"/>
        <v>4</v>
      </c>
      <c r="W64" s="52">
        <f t="shared" si="7"/>
        <v>-3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124</v>
      </c>
      <c r="C65" s="37">
        <v>27.0</v>
      </c>
      <c r="D65" s="37">
        <v>0.0</v>
      </c>
      <c r="E65" s="40">
        <f t="shared" si="2"/>
        <v>0</v>
      </c>
      <c r="F65" s="90">
        <v>1.0</v>
      </c>
      <c r="G65" s="91">
        <v>10.0</v>
      </c>
      <c r="H65" s="92">
        <v>0.0</v>
      </c>
      <c r="I65" s="91">
        <v>7.0</v>
      </c>
      <c r="J65" s="91">
        <v>1.0</v>
      </c>
      <c r="K65" s="91">
        <v>3.0</v>
      </c>
      <c r="L65" s="93">
        <v>11.0</v>
      </c>
      <c r="M65" s="91">
        <v>1.0</v>
      </c>
      <c r="N65" s="37">
        <f t="shared" ref="N65:O65" si="70">C65+L65</f>
        <v>38</v>
      </c>
      <c r="O65" s="37">
        <f t="shared" si="70"/>
        <v>1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0</v>
      </c>
      <c r="U65" s="52"/>
      <c r="V65" s="51">
        <f t="shared" si="6"/>
        <v>3</v>
      </c>
      <c r="W65" s="52">
        <f t="shared" si="7"/>
        <v>-3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153</v>
      </c>
      <c r="C66" s="37">
        <v>27.0</v>
      </c>
      <c r="D66" s="37">
        <v>0.0</v>
      </c>
      <c r="E66" s="40">
        <f t="shared" si="2"/>
        <v>0</v>
      </c>
      <c r="F66" s="90">
        <v>3.0</v>
      </c>
      <c r="G66" s="91">
        <v>0.0</v>
      </c>
      <c r="H66" s="92">
        <v>9.0</v>
      </c>
      <c r="I66" s="91">
        <v>0.0</v>
      </c>
      <c r="J66" s="91">
        <v>0.0</v>
      </c>
      <c r="K66" s="91">
        <v>0.0</v>
      </c>
      <c r="L66" s="93">
        <v>9.0</v>
      </c>
      <c r="M66" s="91">
        <v>0.0</v>
      </c>
      <c r="N66" s="37">
        <f t="shared" ref="N66:O66" si="71">C66+L66</f>
        <v>36</v>
      </c>
      <c r="O66" s="37">
        <f t="shared" si="71"/>
        <v>0</v>
      </c>
      <c r="P66" s="49" t="s">
        <v>57</v>
      </c>
      <c r="Q66" s="49" t="s">
        <v>57</v>
      </c>
      <c r="R66" s="49" t="s">
        <v>57</v>
      </c>
      <c r="S66" s="51">
        <f t="shared" si="4"/>
        <v>0</v>
      </c>
      <c r="T66" s="52">
        <f t="shared" si="5"/>
        <v>0</v>
      </c>
      <c r="U66" s="52"/>
      <c r="V66" s="51">
        <f t="shared" si="6"/>
        <v>4</v>
      </c>
      <c r="W66" s="52">
        <f t="shared" si="7"/>
        <v>-3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54</v>
      </c>
      <c r="C67" s="37">
        <v>27.0</v>
      </c>
      <c r="D67" s="37">
        <v>0.0</v>
      </c>
      <c r="E67" s="40">
        <f t="shared" si="2"/>
        <v>0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36</v>
      </c>
      <c r="O67" s="37">
        <f t="shared" si="72"/>
        <v>0</v>
      </c>
      <c r="P67" s="49" t="s">
        <v>57</v>
      </c>
      <c r="Q67" s="49" t="s">
        <v>57</v>
      </c>
      <c r="R67" s="49" t="s">
        <v>57</v>
      </c>
      <c r="S67" s="51">
        <f t="shared" si="4"/>
        <v>0</v>
      </c>
      <c r="T67" s="52">
        <f t="shared" si="5"/>
        <v>0</v>
      </c>
      <c r="U67" s="52"/>
      <c r="V67" s="51">
        <f t="shared" si="6"/>
        <v>4</v>
      </c>
      <c r="W67" s="52">
        <f t="shared" si="7"/>
        <v>-3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105</v>
      </c>
      <c r="C68" s="37">
        <v>27.0</v>
      </c>
      <c r="D68" s="37">
        <v>0.0</v>
      </c>
      <c r="E68" s="40">
        <f t="shared" si="2"/>
        <v>0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36</v>
      </c>
      <c r="O68" s="37">
        <f t="shared" si="73"/>
        <v>0</v>
      </c>
      <c r="P68" s="49" t="s">
        <v>57</v>
      </c>
      <c r="Q68" s="49" t="s">
        <v>57</v>
      </c>
      <c r="R68" s="49" t="s">
        <v>57</v>
      </c>
      <c r="S68" s="51">
        <f t="shared" si="4"/>
        <v>0</v>
      </c>
      <c r="T68" s="52">
        <f t="shared" si="5"/>
        <v>0</v>
      </c>
      <c r="U68" s="52"/>
      <c r="V68" s="51">
        <f t="shared" si="6"/>
        <v>4</v>
      </c>
      <c r="W68" s="52">
        <f t="shared" si="7"/>
        <v>-3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51</v>
      </c>
      <c r="C69" s="37">
        <v>27.0</v>
      </c>
      <c r="D69" s="37">
        <v>0.0</v>
      </c>
      <c r="E69" s="40">
        <f t="shared" si="2"/>
        <v>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36</v>
      </c>
      <c r="O69" s="37">
        <f t="shared" si="74"/>
        <v>0</v>
      </c>
      <c r="P69" s="49" t="s">
        <v>57</v>
      </c>
      <c r="Q69" s="49" t="s">
        <v>57</v>
      </c>
      <c r="R69" s="49" t="s">
        <v>57</v>
      </c>
      <c r="S69" s="51">
        <f t="shared" si="4"/>
        <v>0</v>
      </c>
      <c r="T69" s="52">
        <f t="shared" si="5"/>
        <v>0</v>
      </c>
      <c r="U69" s="52"/>
      <c r="V69" s="51">
        <f t="shared" si="6"/>
        <v>4</v>
      </c>
      <c r="W69" s="52">
        <f t="shared" si="7"/>
        <v>-2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135</v>
      </c>
      <c r="C70" s="37">
        <v>27.0</v>
      </c>
      <c r="D70" s="37">
        <v>0.0</v>
      </c>
      <c r="E70" s="40">
        <f t="shared" si="2"/>
        <v>0</v>
      </c>
      <c r="F70" s="90">
        <v>1.0</v>
      </c>
      <c r="G70" s="91">
        <v>10.0</v>
      </c>
      <c r="H70" s="92">
        <v>0.0</v>
      </c>
      <c r="I70" s="91">
        <v>6.0</v>
      </c>
      <c r="J70" s="91">
        <v>6.0</v>
      </c>
      <c r="K70" s="91">
        <v>3.0</v>
      </c>
      <c r="L70" s="93">
        <v>15.0</v>
      </c>
      <c r="M70" s="91">
        <v>1.0</v>
      </c>
      <c r="N70" s="37">
        <f t="shared" ref="N70:O70" si="75">C70+L70</f>
        <v>42</v>
      </c>
      <c r="O70" s="37">
        <f t="shared" si="75"/>
        <v>1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3</v>
      </c>
      <c r="W70" s="52">
        <f t="shared" si="7"/>
        <v>-2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101</v>
      </c>
      <c r="C71" s="37">
        <v>27.0</v>
      </c>
      <c r="D71" s="37">
        <v>0.0</v>
      </c>
      <c r="E71" s="40">
        <f t="shared" si="2"/>
        <v>0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36</v>
      </c>
      <c r="O71" s="37">
        <f t="shared" si="76"/>
        <v>0</v>
      </c>
      <c r="P71" s="49" t="s">
        <v>57</v>
      </c>
      <c r="Q71" s="49" t="s">
        <v>57</v>
      </c>
      <c r="R71" s="49" t="s">
        <v>57</v>
      </c>
      <c r="S71" s="51">
        <f t="shared" si="4"/>
        <v>0</v>
      </c>
      <c r="T71" s="52">
        <f t="shared" si="5"/>
        <v>0</v>
      </c>
      <c r="U71" s="52"/>
      <c r="V71" s="51">
        <f t="shared" si="6"/>
        <v>4</v>
      </c>
      <c r="W71" s="52">
        <f t="shared" si="7"/>
        <v>-2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150</v>
      </c>
      <c r="C72" s="37">
        <v>27.0</v>
      </c>
      <c r="D72" s="37">
        <v>0.0</v>
      </c>
      <c r="E72" s="40">
        <f t="shared" si="2"/>
        <v>0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36</v>
      </c>
      <c r="O72" s="37">
        <f t="shared" si="77"/>
        <v>0</v>
      </c>
      <c r="P72" s="49" t="s">
        <v>57</v>
      </c>
      <c r="Q72" s="49" t="s">
        <v>57</v>
      </c>
      <c r="R72" s="49" t="s">
        <v>57</v>
      </c>
      <c r="S72" s="51">
        <f t="shared" si="4"/>
        <v>0</v>
      </c>
      <c r="T72" s="52">
        <f t="shared" si="5"/>
        <v>0</v>
      </c>
      <c r="U72" s="52"/>
      <c r="V72" s="51">
        <f t="shared" si="6"/>
        <v>4</v>
      </c>
      <c r="W72" s="52">
        <f t="shared" si="7"/>
        <v>-2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141</v>
      </c>
      <c r="C73" s="37">
        <v>27.0</v>
      </c>
      <c r="D73" s="37">
        <v>0.0</v>
      </c>
      <c r="E73" s="40">
        <f t="shared" si="2"/>
        <v>0</v>
      </c>
      <c r="F73" s="90">
        <v>3.0</v>
      </c>
      <c r="G73" s="91">
        <v>0.0</v>
      </c>
      <c r="H73" s="92">
        <v>9.0</v>
      </c>
      <c r="I73" s="91">
        <v>0.0</v>
      </c>
      <c r="J73" s="91">
        <v>0.0</v>
      </c>
      <c r="K73" s="91">
        <v>0.0</v>
      </c>
      <c r="L73" s="93">
        <v>9.0</v>
      </c>
      <c r="M73" s="91">
        <v>0.0</v>
      </c>
      <c r="N73" s="37">
        <f t="shared" ref="N73:O73" si="78">C73+L73</f>
        <v>36</v>
      </c>
      <c r="O73" s="37">
        <f t="shared" si="78"/>
        <v>0</v>
      </c>
      <c r="P73" s="49" t="s">
        <v>57</v>
      </c>
      <c r="Q73" s="49" t="s">
        <v>57</v>
      </c>
      <c r="R73" s="49" t="s">
        <v>57</v>
      </c>
      <c r="S73" s="51">
        <f t="shared" si="4"/>
        <v>0</v>
      </c>
      <c r="T73" s="52">
        <f t="shared" si="5"/>
        <v>0</v>
      </c>
      <c r="U73" s="52"/>
      <c r="V73" s="51">
        <f t="shared" si="6"/>
        <v>4</v>
      </c>
      <c r="W73" s="52">
        <f t="shared" si="7"/>
        <v>-2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87</v>
      </c>
      <c r="C74" s="37">
        <v>27.0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36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4</v>
      </c>
      <c r="W74" s="52">
        <f t="shared" si="7"/>
        <v>0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76</v>
      </c>
      <c r="C75" s="37">
        <v>25.0</v>
      </c>
      <c r="D75" s="37">
        <v>0.0</v>
      </c>
      <c r="E75" s="40">
        <f t="shared" si="2"/>
        <v>3.5</v>
      </c>
      <c r="F75" s="90">
        <v>1.0</v>
      </c>
      <c r="G75" s="91">
        <v>11.0</v>
      </c>
      <c r="H75" s="92">
        <v>0.0</v>
      </c>
      <c r="I75" s="91">
        <v>4.0</v>
      </c>
      <c r="J75" s="91">
        <v>6.0</v>
      </c>
      <c r="K75" s="91">
        <v>6.0</v>
      </c>
      <c r="L75" s="93">
        <v>16.0</v>
      </c>
      <c r="M75" s="91">
        <v>2.0</v>
      </c>
      <c r="N75" s="37">
        <f t="shared" ref="N75:O75" si="80">C75+L75</f>
        <v>41</v>
      </c>
      <c r="O75" s="37">
        <f t="shared" si="80"/>
        <v>2</v>
      </c>
      <c r="P75" s="49" t="s">
        <v>57</v>
      </c>
      <c r="Q75" s="49" t="s">
        <v>57</v>
      </c>
      <c r="R75" s="49" t="s">
        <v>57</v>
      </c>
      <c r="S75" s="51">
        <f t="shared" si="4"/>
        <v>2</v>
      </c>
      <c r="T75" s="52">
        <f t="shared" si="5"/>
        <v>0</v>
      </c>
      <c r="U75" s="52"/>
      <c r="V75" s="51">
        <f t="shared" si="6"/>
        <v>2</v>
      </c>
      <c r="W75" s="52">
        <f t="shared" si="7"/>
        <v>0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116</v>
      </c>
      <c r="C76" s="37">
        <v>24.0</v>
      </c>
      <c r="D76" s="37">
        <v>0.0</v>
      </c>
      <c r="E76" s="40">
        <f t="shared" si="2"/>
        <v>6</v>
      </c>
      <c r="F76" s="90">
        <v>1.0</v>
      </c>
      <c r="G76" s="91">
        <v>11.0</v>
      </c>
      <c r="H76" s="92">
        <v>0.0</v>
      </c>
      <c r="I76" s="91">
        <v>6.0</v>
      </c>
      <c r="J76" s="91">
        <v>6.0</v>
      </c>
      <c r="K76" s="91">
        <v>2.0</v>
      </c>
      <c r="L76" s="93">
        <v>14.0</v>
      </c>
      <c r="M76" s="91">
        <v>2.0</v>
      </c>
      <c r="N76" s="37">
        <f t="shared" ref="N76:O76" si="81">C76+L76</f>
        <v>38</v>
      </c>
      <c r="O76" s="37">
        <f t="shared" si="81"/>
        <v>2</v>
      </c>
      <c r="P76" s="49" t="s">
        <v>57</v>
      </c>
      <c r="Q76" s="49" t="s">
        <v>57</v>
      </c>
      <c r="R76" s="49" t="s">
        <v>57</v>
      </c>
      <c r="S76" s="51">
        <f t="shared" si="4"/>
        <v>4</v>
      </c>
      <c r="T76" s="52">
        <f t="shared" si="5"/>
        <v>0</v>
      </c>
      <c r="U76" s="52"/>
      <c r="V76" s="51">
        <f t="shared" si="6"/>
        <v>0</v>
      </c>
      <c r="W76" s="52">
        <f t="shared" si="7"/>
        <v>-21</v>
      </c>
      <c r="X76" s="35">
        <f t="shared" si="12"/>
        <v>72</v>
      </c>
      <c r="Y76" s="35" t="str">
        <f t="shared" si="8"/>
        <v>Y</v>
      </c>
      <c r="Z76" s="19" t="str">
        <f t="shared" si="9"/>
        <v/>
      </c>
    </row>
    <row r="77">
      <c r="A77" s="35">
        <f t="shared" si="10"/>
        <v>73</v>
      </c>
      <c r="B77" s="36" t="s">
        <v>126</v>
      </c>
      <c r="C77" s="37">
        <v>32.0</v>
      </c>
      <c r="D77" s="37">
        <v>1.0</v>
      </c>
      <c r="E77" s="40">
        <f t="shared" si="2"/>
        <v>5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41</v>
      </c>
      <c r="O77" s="37">
        <f t="shared" si="82"/>
        <v>1</v>
      </c>
      <c r="P77" s="49" t="s">
        <v>57</v>
      </c>
      <c r="Q77" s="49" t="s">
        <v>57</v>
      </c>
      <c r="R77" s="49" t="s">
        <v>57</v>
      </c>
      <c r="S77" s="51">
        <f t="shared" si="4"/>
        <v>1</v>
      </c>
      <c r="T77" s="52">
        <f t="shared" si="5"/>
        <v>0</v>
      </c>
      <c r="U77" s="52"/>
      <c r="V77" s="51">
        <f t="shared" si="6"/>
        <v>3</v>
      </c>
      <c r="W77" s="52">
        <f t="shared" si="7"/>
        <v>-1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98</v>
      </c>
      <c r="C78" s="37">
        <v>23.0</v>
      </c>
      <c r="D78" s="37">
        <v>0.0</v>
      </c>
      <c r="E78" s="40">
        <f t="shared" si="2"/>
        <v>2.5</v>
      </c>
      <c r="F78" s="90">
        <v>1.0</v>
      </c>
      <c r="G78" s="91">
        <v>11.0</v>
      </c>
      <c r="H78" s="92">
        <v>0.0</v>
      </c>
      <c r="I78" s="91">
        <v>4.0</v>
      </c>
      <c r="J78" s="91">
        <v>0.0</v>
      </c>
      <c r="K78" s="91">
        <v>2.0</v>
      </c>
      <c r="L78" s="93">
        <v>6.0</v>
      </c>
      <c r="M78" s="91">
        <v>0.0</v>
      </c>
      <c r="N78" s="37">
        <f t="shared" ref="N78:O78" si="83">C78+L78</f>
        <v>29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2</v>
      </c>
      <c r="T78" s="52">
        <f t="shared" si="5"/>
        <v>0</v>
      </c>
      <c r="U78" s="52"/>
      <c r="V78" s="51">
        <f t="shared" si="6"/>
        <v>2</v>
      </c>
      <c r="W78" s="52">
        <f t="shared" si="7"/>
        <v>-1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144</v>
      </c>
      <c r="C79" s="37">
        <v>21.0</v>
      </c>
      <c r="D79" s="37">
        <v>0.0</v>
      </c>
      <c r="E79" s="40">
        <f t="shared" si="2"/>
        <v>5.25</v>
      </c>
      <c r="F79" s="90">
        <v>1.0</v>
      </c>
      <c r="G79" s="91">
        <v>11.0</v>
      </c>
      <c r="H79" s="92">
        <v>0.0</v>
      </c>
      <c r="I79" s="91">
        <v>6.0</v>
      </c>
      <c r="J79" s="91">
        <v>0.0</v>
      </c>
      <c r="K79" s="91">
        <v>6.0</v>
      </c>
      <c r="L79" s="93">
        <v>12.0</v>
      </c>
      <c r="M79" s="91">
        <v>2.0</v>
      </c>
      <c r="N79" s="37">
        <f t="shared" ref="N79:O79" si="84">C79+L79</f>
        <v>33</v>
      </c>
      <c r="O79" s="37">
        <f t="shared" si="84"/>
        <v>2</v>
      </c>
      <c r="P79" s="49" t="s">
        <v>57</v>
      </c>
      <c r="Q79" s="49" t="s">
        <v>57</v>
      </c>
      <c r="R79" s="49" t="s">
        <v>57</v>
      </c>
      <c r="S79" s="51">
        <f t="shared" si="4"/>
        <v>4</v>
      </c>
      <c r="T79" s="52">
        <f t="shared" si="5"/>
        <v>0</v>
      </c>
      <c r="U79" s="52"/>
      <c r="V79" s="51">
        <f t="shared" si="6"/>
        <v>0</v>
      </c>
      <c r="W79" s="52">
        <f t="shared" si="7"/>
        <v>0</v>
      </c>
      <c r="X79" s="35">
        <f t="shared" si="12"/>
        <v>75</v>
      </c>
      <c r="Y79" s="35" t="str">
        <f t="shared" si="8"/>
        <v>Y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01/24/26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desc"",0)"),"Luis Hsu")</f>
        <v>Luis Hsu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IFERROR(__xludf.DUMMYFUNCTION("""COMPUTED_VALUE"""),9.0)</f>
        <v>9</v>
      </c>
      <c r="F91" s="5"/>
    </row>
    <row r="92">
      <c r="A92" s="5"/>
      <c r="B92" s="36" t="str">
        <f>IFERROR(__xludf.DUMMYFUNCTION("""COMPUTED_VALUE"""),"Jaya Sogata")</f>
        <v>Jaya Sogata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IFERROR(__xludf.DUMMYFUNCTION("""COMPUTED_VALUE"""),2.0)</f>
        <v>2</v>
      </c>
      <c r="F92" s="5"/>
    </row>
    <row r="93">
      <c r="A93" s="5"/>
      <c r="B93" s="36" t="str">
        <f>IFERROR(__xludf.DUMMYFUNCTION("""COMPUTED_VALUE"""),"Pulkit Mathur")</f>
        <v>Pulkit Mathur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IFERROR(__xludf.DUMMYFUNCTION("""COMPUTED_VALUE"""),7.0)</f>
        <v>7</v>
      </c>
      <c r="F93" s="5"/>
    </row>
    <row r="94">
      <c r="A94" s="5"/>
      <c r="B94" s="36" t="str">
        <f>IFERROR(__xludf.DUMMYFUNCTION("""COMPUTED_VALUE"""),"Sandeep Kamalon")</f>
        <v>Sandeep Kamalon</v>
      </c>
      <c r="C94" s="122">
        <f>IFERROR(__xludf.DUMMYFUNCTION("""COMPUTED_VALUE"""),18.0)</f>
        <v>18</v>
      </c>
      <c r="D94" s="122">
        <f>IFERROR(__xludf.DUMMYFUNCTION("""COMPUTED_VALUE"""),3.0)</f>
        <v>3</v>
      </c>
      <c r="E94" s="122">
        <f>IFERROR(__xludf.DUMMYFUNCTION("""COMPUTED_VALUE"""),1.0)</f>
        <v>1</v>
      </c>
      <c r="F94" s="5"/>
    </row>
    <row r="95">
      <c r="A95" s="5"/>
      <c r="B95" s="36" t="str">
        <f>IFERROR(__xludf.DUMMYFUNCTION("""COMPUTED_VALUE"""),"Frank Moon")</f>
        <v>Frank Moon</v>
      </c>
      <c r="C95" s="122">
        <f>IFERROR(__xludf.DUMMYFUNCTION("""COMPUTED_VALUE"""),18.0)</f>
        <v>18</v>
      </c>
      <c r="D95" s="122">
        <f>IFERROR(__xludf.DUMMYFUNCTION("""COMPUTED_VALUE"""),2.0)</f>
        <v>2</v>
      </c>
      <c r="E95" s="122">
        <f>IFERROR(__xludf.DUMMYFUNCTION("""COMPUTED_VALUE"""),3.0)</f>
        <v>3</v>
      </c>
      <c r="F95" s="5"/>
    </row>
    <row r="96">
      <c r="A96" s="5"/>
      <c r="B96" s="36" t="str">
        <f>IFERROR(__xludf.DUMMYFUNCTION("""COMPUTED_VALUE"""),"Jordan Tatang")</f>
        <v>Jordan Tatang</v>
      </c>
      <c r="C96" s="122">
        <f>IFERROR(__xludf.DUMMYFUNCTION("""COMPUTED_VALUE"""),18.0)</f>
        <v>18</v>
      </c>
      <c r="D96" s="122">
        <f>IFERROR(__xludf.DUMMYFUNCTION("""COMPUTED_VALUE"""),2.0)</f>
        <v>2</v>
      </c>
      <c r="E96" s="122">
        <f>IFERROR(__xludf.DUMMYFUNCTION("""COMPUTED_VALUE"""),6.0)</f>
        <v>6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10"")"),"Lenin Belangonda ")</f>
        <v>Lenin Belangonda </v>
      </c>
      <c r="C110" s="122">
        <f>IFERROR(__xludf.DUMMYFUNCTION("""COMPUTED_VALUE"""),35.0)</f>
        <v>35</v>
      </c>
      <c r="D110" s="122">
        <f t="shared" ref="D110:D119" si="85">VLOOKUP(B110,indirect($AC$2&amp;"!B$5:X$79"),23, false)</f>
        <v>69</v>
      </c>
      <c r="E110" s="122">
        <f t="shared" ref="E110:E119" si="86">VLOOKUP(B110,B$5:X$79,23, false)</f>
        <v>34</v>
      </c>
      <c r="F110" s="122">
        <f t="shared" ref="F110:F119" si="87">VLOOKUP(B110,indirect($AC$2&amp;"!B$5:U$79"),11, false)</f>
        <v>16</v>
      </c>
      <c r="G110" s="122">
        <f t="shared" ref="G110:G119" si="88">VLOOKUP(B110,indirect($AC$2&amp;"!B$5:U$79"),6, false)</f>
        <v>11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IFERROR(__xludf.DUMMYFUNCTION("""COMPUTED_VALUE"""),"Vicki Martinet")</f>
        <v>Vicki Martinet</v>
      </c>
      <c r="C111" s="122">
        <f>IFERROR(__xludf.DUMMYFUNCTION("""COMPUTED_VALUE"""),30.0)</f>
        <v>30</v>
      </c>
      <c r="D111" s="122">
        <f t="shared" si="85"/>
        <v>68</v>
      </c>
      <c r="E111" s="122">
        <f t="shared" si="86"/>
        <v>38</v>
      </c>
      <c r="F111" s="122">
        <f t="shared" si="87"/>
        <v>15</v>
      </c>
      <c r="G111" s="122">
        <f t="shared" si="88"/>
        <v>11</v>
      </c>
      <c r="L111" s="122" t="str">
        <f t="shared" si="89"/>
        <v>ok</v>
      </c>
    </row>
    <row r="112">
      <c r="A112" s="5"/>
      <c r="B112" s="36" t="str">
        <f>IFERROR(__xludf.DUMMYFUNCTION("""COMPUTED_VALUE"""),"Pulkit Mathur")</f>
        <v>Pulkit Mathur</v>
      </c>
      <c r="C112" s="122">
        <f>IFERROR(__xludf.DUMMYFUNCTION("""COMPUTED_VALUE"""),24.0)</f>
        <v>24</v>
      </c>
      <c r="D112" s="122">
        <f t="shared" si="85"/>
        <v>44</v>
      </c>
      <c r="E112" s="122">
        <f t="shared" si="86"/>
        <v>20</v>
      </c>
      <c r="F112" s="122">
        <f t="shared" si="87"/>
        <v>19</v>
      </c>
      <c r="G112" s="122">
        <f t="shared" si="88"/>
        <v>7</v>
      </c>
      <c r="L112" s="122" t="str">
        <f t="shared" si="89"/>
        <v>ok</v>
      </c>
    </row>
    <row r="113">
      <c r="A113" s="5"/>
      <c r="B113" s="36" t="str">
        <f>IFERROR(__xludf.DUMMYFUNCTION("""COMPUTED_VALUE"""),"Oscar Bonilla")</f>
        <v>Oscar Bonilla</v>
      </c>
      <c r="C113" s="122">
        <f>IFERROR(__xludf.DUMMYFUNCTION("""COMPUTED_VALUE"""),19.0)</f>
        <v>19</v>
      </c>
      <c r="D113" s="122">
        <f t="shared" si="85"/>
        <v>42</v>
      </c>
      <c r="E113" s="122">
        <f t="shared" si="86"/>
        <v>23</v>
      </c>
      <c r="F113" s="122">
        <f t="shared" si="87"/>
        <v>17</v>
      </c>
      <c r="G113" s="122">
        <f t="shared" si="88"/>
        <v>10</v>
      </c>
      <c r="L113" s="122" t="str">
        <f t="shared" si="89"/>
        <v>ok</v>
      </c>
    </row>
    <row r="114">
      <c r="A114" s="5"/>
      <c r="B114" s="36" t="str">
        <f>IFERROR(__xludf.DUMMYFUNCTION("""COMPUTED_VALUE"""),"Balaji Alahari")</f>
        <v>Balaji Alahari</v>
      </c>
      <c r="C114" s="122">
        <f>IFERROR(__xludf.DUMMYFUNCTION("""COMPUTED_VALUE"""),19.0)</f>
        <v>19</v>
      </c>
      <c r="D114" s="122">
        <f t="shared" si="85"/>
        <v>56</v>
      </c>
      <c r="E114" s="122">
        <f t="shared" si="86"/>
        <v>37</v>
      </c>
      <c r="F114" s="122">
        <f t="shared" si="87"/>
        <v>15</v>
      </c>
      <c r="G114" s="122">
        <f t="shared" si="88"/>
        <v>8</v>
      </c>
      <c r="L114" s="122" t="str">
        <f t="shared" si="89"/>
        <v>ok</v>
      </c>
    </row>
    <row r="115">
      <c r="A115" s="5"/>
      <c r="B115" s="36" t="str">
        <f>IFERROR(__xludf.DUMMYFUNCTION("""COMPUTED_VALUE"""),"Joyce Zhu")</f>
        <v>Joyce Zhu</v>
      </c>
      <c r="C115" s="122">
        <f>IFERROR(__xludf.DUMMYFUNCTION("""COMPUTED_VALUE"""),18.0)</f>
        <v>18</v>
      </c>
      <c r="D115" s="122">
        <f t="shared" si="85"/>
        <v>74</v>
      </c>
      <c r="E115" s="122">
        <f t="shared" si="86"/>
        <v>56</v>
      </c>
      <c r="F115" s="122">
        <f t="shared" si="87"/>
        <v>16</v>
      </c>
      <c r="G115" s="122">
        <f t="shared" si="88"/>
        <v>11</v>
      </c>
      <c r="L115" s="122" t="str">
        <f t="shared" si="89"/>
        <v>ok</v>
      </c>
    </row>
    <row r="116">
      <c r="A116" s="5"/>
      <c r="B116" s="36" t="str">
        <f>IFERROR(__xludf.DUMMYFUNCTION("""COMPUTED_VALUE"""),"Jordan Tatang")</f>
        <v>Jordan Tatang</v>
      </c>
      <c r="C116" s="122">
        <f>IFERROR(__xludf.DUMMYFUNCTION("""COMPUTED_VALUE"""),15.0)</f>
        <v>15</v>
      </c>
      <c r="D116" s="122">
        <f t="shared" si="85"/>
        <v>34</v>
      </c>
      <c r="E116" s="122">
        <f t="shared" si="86"/>
        <v>19</v>
      </c>
      <c r="F116" s="122">
        <f t="shared" si="87"/>
        <v>18</v>
      </c>
      <c r="G116" s="122">
        <f t="shared" si="88"/>
        <v>6</v>
      </c>
      <c r="L116" s="122" t="str">
        <f t="shared" si="89"/>
        <v>ok</v>
      </c>
    </row>
    <row r="117">
      <c r="A117" s="5"/>
      <c r="B117" s="36" t="str">
        <f>IFERROR(__xludf.DUMMYFUNCTION("""COMPUTED_VALUE"""),"Rajasekar Ramasamy")</f>
        <v>Rajasekar Ramasamy</v>
      </c>
      <c r="C117" s="122">
        <f>IFERROR(__xludf.DUMMYFUNCTION("""COMPUTED_VALUE"""),15.0)</f>
        <v>15</v>
      </c>
      <c r="D117" s="122">
        <f t="shared" si="85"/>
        <v>48</v>
      </c>
      <c r="E117" s="122">
        <f t="shared" si="86"/>
        <v>33</v>
      </c>
      <c r="F117" s="122">
        <f t="shared" si="87"/>
        <v>13</v>
      </c>
      <c r="G117" s="122">
        <f t="shared" si="88"/>
        <v>7</v>
      </c>
      <c r="L117" s="122" t="str">
        <f t="shared" si="89"/>
        <v>ok</v>
      </c>
    </row>
    <row r="118">
      <c r="A118" s="5"/>
      <c r="B118" s="36" t="str">
        <f>IFERROR(__xludf.DUMMYFUNCTION("""COMPUTED_VALUE"""),"Luis Hsu")</f>
        <v>Luis Hsu</v>
      </c>
      <c r="C118" s="122">
        <f>IFERROR(__xludf.DUMMYFUNCTION("""COMPUTED_VALUE"""),14.0)</f>
        <v>14</v>
      </c>
      <c r="D118" s="122">
        <f t="shared" si="85"/>
        <v>23</v>
      </c>
      <c r="E118" s="122">
        <f t="shared" si="86"/>
        <v>9</v>
      </c>
      <c r="F118" s="122">
        <f t="shared" si="87"/>
        <v>20</v>
      </c>
      <c r="G118" s="122">
        <f t="shared" si="88"/>
        <v>9</v>
      </c>
      <c r="L118" s="122" t="str">
        <f t="shared" si="89"/>
        <v>ok</v>
      </c>
    </row>
    <row r="119">
      <c r="A119" s="5"/>
      <c r="B119" s="36" t="str">
        <f>IFERROR(__xludf.DUMMYFUNCTION("""COMPUTED_VALUE"""),"Sean Chang")</f>
        <v>Sean Chang</v>
      </c>
      <c r="C119" s="122">
        <f>IFERROR(__xludf.DUMMYFUNCTION("""COMPUTED_VALUE"""),13.0)</f>
        <v>13</v>
      </c>
      <c r="D119" s="122">
        <f t="shared" si="85"/>
        <v>62</v>
      </c>
      <c r="E119" s="122">
        <f t="shared" si="86"/>
        <v>49</v>
      </c>
      <c r="F119" s="122">
        <f t="shared" si="87"/>
        <v>13</v>
      </c>
      <c r="G119" s="122">
        <f t="shared" si="88"/>
        <v>8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4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Sandeep Kamalon</v>
      </c>
      <c r="C128" s="122">
        <f t="shared" si="90"/>
        <v>52</v>
      </c>
      <c r="D128" s="122">
        <f t="shared" si="90"/>
        <v>7</v>
      </c>
      <c r="E128" s="122">
        <f t="shared" si="90"/>
        <v>13</v>
      </c>
      <c r="F128" s="5"/>
    </row>
    <row r="129">
      <c r="A129" s="122">
        <f t="shared" ref="A129:E129" si="91">A6</f>
        <v>2</v>
      </c>
      <c r="B129" s="36" t="str">
        <f t="shared" si="91"/>
        <v>Jaya Sogata</v>
      </c>
      <c r="C129" s="122">
        <f t="shared" si="91"/>
        <v>51</v>
      </c>
      <c r="D129" s="122">
        <f t="shared" si="91"/>
        <v>7</v>
      </c>
      <c r="E129" s="122">
        <f t="shared" si="91"/>
        <v>12.75</v>
      </c>
      <c r="F129" s="5"/>
    </row>
    <row r="130">
      <c r="A130" s="122">
        <f t="shared" ref="A130:E130" si="92">A7</f>
        <v>3</v>
      </c>
      <c r="B130" s="36" t="str">
        <f t="shared" si="92"/>
        <v>Andrew Yao</v>
      </c>
      <c r="C130" s="122">
        <f t="shared" si="92"/>
        <v>49</v>
      </c>
      <c r="D130" s="122">
        <f t="shared" si="92"/>
        <v>7</v>
      </c>
      <c r="E130" s="122">
        <f t="shared" si="92"/>
        <v>12.25</v>
      </c>
      <c r="F130" s="5"/>
    </row>
    <row r="131">
      <c r="A131" s="122">
        <f t="shared" ref="A131:E131" si="93">A8</f>
        <v>4</v>
      </c>
      <c r="B131" s="36" t="str">
        <f t="shared" si="93"/>
        <v>Frank Moon</v>
      </c>
      <c r="C131" s="122">
        <f t="shared" si="93"/>
        <v>49</v>
      </c>
      <c r="D131" s="122">
        <f t="shared" si="93"/>
        <v>5</v>
      </c>
      <c r="E131" s="122">
        <f t="shared" si="93"/>
        <v>12.25</v>
      </c>
      <c r="F131" s="5"/>
    </row>
    <row r="132">
      <c r="A132" s="122">
        <f t="shared" ref="A132:E132" si="94">A9</f>
        <v>5</v>
      </c>
      <c r="B132" s="36" t="str">
        <f t="shared" si="94"/>
        <v>Tina Hanson</v>
      </c>
      <c r="C132" s="122">
        <f t="shared" si="94"/>
        <v>46</v>
      </c>
      <c r="D132" s="122">
        <f t="shared" si="94"/>
        <v>5</v>
      </c>
      <c r="E132" s="122">
        <f t="shared" si="94"/>
        <v>12.33333333</v>
      </c>
      <c r="F132" s="5"/>
    </row>
    <row r="133">
      <c r="A133" s="122">
        <f t="shared" ref="A133:E133" si="95">A10</f>
        <v>6</v>
      </c>
      <c r="B133" s="36" t="str">
        <f t="shared" si="95"/>
        <v>Suleman Alidina</v>
      </c>
      <c r="C133" s="122">
        <f t="shared" si="95"/>
        <v>46</v>
      </c>
      <c r="D133" s="122">
        <f t="shared" si="95"/>
        <v>5</v>
      </c>
      <c r="E133" s="122">
        <f t="shared" si="95"/>
        <v>11.5</v>
      </c>
      <c r="F133" s="5"/>
    </row>
    <row r="134">
      <c r="A134" s="122">
        <f t="shared" ref="A134:E134" si="96">A11</f>
        <v>7</v>
      </c>
      <c r="B134" s="36" t="str">
        <f t="shared" si="96"/>
        <v>Mauricio Palacios</v>
      </c>
      <c r="C134" s="122">
        <f t="shared" si="96"/>
        <v>46</v>
      </c>
      <c r="D134" s="122">
        <f t="shared" si="96"/>
        <v>5</v>
      </c>
      <c r="E134" s="122">
        <f t="shared" si="96"/>
        <v>11.5</v>
      </c>
      <c r="F134" s="5"/>
    </row>
    <row r="135">
      <c r="A135" s="122">
        <f t="shared" ref="A135:E135" si="97">A12</f>
        <v>8</v>
      </c>
      <c r="B135" s="36" t="str">
        <f t="shared" si="97"/>
        <v>Ted Shen</v>
      </c>
      <c r="C135" s="122">
        <f t="shared" si="97"/>
        <v>45</v>
      </c>
      <c r="D135" s="122">
        <f t="shared" si="97"/>
        <v>5</v>
      </c>
      <c r="E135" s="122">
        <f t="shared" si="97"/>
        <v>11.25</v>
      </c>
      <c r="F135" s="5"/>
    </row>
    <row r="136">
      <c r="A136" s="122">
        <f t="shared" ref="A136:E136" si="98">A13</f>
        <v>9</v>
      </c>
      <c r="B136" s="36" t="str">
        <f t="shared" si="98"/>
        <v>Luis Hsu</v>
      </c>
      <c r="C136" s="122">
        <f t="shared" si="98"/>
        <v>45</v>
      </c>
      <c r="D136" s="122">
        <f t="shared" si="98"/>
        <v>5</v>
      </c>
      <c r="E136" s="122">
        <f t="shared" si="98"/>
        <v>13.5</v>
      </c>
      <c r="F136" s="5"/>
    </row>
    <row r="137">
      <c r="A137" s="122">
        <f t="shared" ref="A137:E137" si="99">A14</f>
        <v>10</v>
      </c>
      <c r="B137" s="36" t="str">
        <f t="shared" si="99"/>
        <v>Charles Choi</v>
      </c>
      <c r="C137" s="122">
        <f t="shared" si="99"/>
        <v>44</v>
      </c>
      <c r="D137" s="122">
        <f t="shared" si="99"/>
        <v>6</v>
      </c>
      <c r="E137" s="122">
        <f t="shared" si="99"/>
        <v>11.66666667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IFERROR(__xludf.DUMMYFUNCTION("""COMPUTED_VALUE"""),"Coco Yan")</f>
        <v>Coco Yan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IFERROR(__xludf.DUMMYFUNCTION("""COMPUTED_VALUE"""),"Eric Tan")</f>
        <v>Eric Tan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IFERROR(__xludf.DUMMYFUNCTION("""COMPUTED_VALUE"""),"Frank Moon")</f>
        <v>Frank Moon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IFERROR(__xludf.DUMMYFUNCTION("""COMPUTED_VALUE"""),"Hongyuan Wen")</f>
        <v>Hongyuan Wen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IFERROR(__xludf.DUMMYFUNCTION("""COMPUTED_VALUE"""),"Jaya Sogata")</f>
        <v>Jaya Sogata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IFERROR(__xludf.DUMMYFUNCTION("""COMPUTED_VALUE"""),"Jim Miao")</f>
        <v>Jim Miao</v>
      </c>
      <c r="C171" s="5"/>
      <c r="D171" s="5"/>
      <c r="E171" s="5"/>
      <c r="F171" s="5"/>
    </row>
    <row r="172">
      <c r="A172" s="122">
        <f t="shared" si="100"/>
        <v>10</v>
      </c>
      <c r="B172" s="36" t="str">
        <f>IFERROR(__xludf.DUMMYFUNCTION("""COMPUTED_VALUE"""),"Kumar Palakeel")</f>
        <v>Kumar Palakeel</v>
      </c>
      <c r="C172" s="5"/>
      <c r="D172" s="5"/>
      <c r="E172" s="5"/>
      <c r="F172" s="5"/>
    </row>
    <row r="173">
      <c r="A173" s="122">
        <f t="shared" si="100"/>
        <v>11</v>
      </c>
      <c r="B173" s="36" t="str">
        <f>IFERROR(__xludf.DUMMYFUNCTION("""COMPUTED_VALUE"""),"Mauricio Palacios")</f>
        <v>Mauricio Palacios</v>
      </c>
      <c r="C173" s="5"/>
      <c r="D173" s="5"/>
      <c r="E173" s="5"/>
      <c r="F173" s="5"/>
    </row>
    <row r="174">
      <c r="A174" s="122">
        <f t="shared" si="100"/>
        <v>12</v>
      </c>
      <c r="B174" s="36" t="str">
        <f>IFERROR(__xludf.DUMMYFUNCTION("""COMPUTED_VALUE"""),"Naveen Raj")</f>
        <v>Naveen Raj</v>
      </c>
      <c r="C174" s="5"/>
      <c r="D174" s="5"/>
      <c r="E174" s="5"/>
      <c r="F174" s="5"/>
    </row>
    <row r="175">
      <c r="A175" s="122">
        <f t="shared" si="100"/>
        <v>13</v>
      </c>
      <c r="B175" s="36" t="str">
        <f>IFERROR(__xludf.DUMMYFUNCTION("""COMPUTED_VALUE"""),"Ranjith Doraiswamy")</f>
        <v>Ranjith Doraiswamy</v>
      </c>
      <c r="C175" s="5"/>
      <c r="D175" s="5"/>
      <c r="E175" s="5"/>
      <c r="F175" s="5"/>
    </row>
    <row r="176">
      <c r="A176" s="122">
        <f t="shared" si="100"/>
        <v>14</v>
      </c>
      <c r="B176" s="36" t="str">
        <f>IFERROR(__xludf.DUMMYFUNCTION("""COMPUTED_VALUE"""),"Sandeep Kamalon")</f>
        <v>Sandeep Kamalon</v>
      </c>
      <c r="C176" s="5"/>
      <c r="D176" s="5"/>
      <c r="E176" s="5"/>
      <c r="F176" s="5"/>
    </row>
    <row r="177">
      <c r="A177" s="122">
        <f t="shared" si="100"/>
        <v>15</v>
      </c>
      <c r="B177" s="36" t="str">
        <f>IFERROR(__xludf.DUMMYFUNCTION("""COMPUTED_VALUE"""),"Suleman Alidina")</f>
        <v>Suleman Alidina</v>
      </c>
      <c r="C177" s="5"/>
      <c r="D177" s="5"/>
      <c r="E177" s="5"/>
      <c r="F177" s="5"/>
    </row>
    <row r="178">
      <c r="A178" s="122">
        <f t="shared" si="100"/>
        <v>16</v>
      </c>
      <c r="B178" s="36" t="str">
        <f>IFERROR(__xludf.DUMMYFUNCTION("""COMPUTED_VALUE"""),"Ted Shen")</f>
        <v>Ted Shen</v>
      </c>
      <c r="C178" s="5"/>
      <c r="D178" s="5"/>
      <c r="E178" s="5"/>
      <c r="F178" s="5"/>
    </row>
    <row r="179">
      <c r="A179" s="122">
        <f t="shared" si="100"/>
        <v>17</v>
      </c>
      <c r="B179" s="36" t="str">
        <f>IFERROR(__xludf.DUMMYFUNCTION("""COMPUTED_VALUE"""),"Trish Newlin")</f>
        <v>Trish Newlin</v>
      </c>
      <c r="C179" s="5"/>
      <c r="D179" s="5"/>
      <c r="E179" s="5"/>
      <c r="F179" s="5"/>
    </row>
    <row r="180">
      <c r="A180" s="122">
        <f t="shared" si="100"/>
        <v>18</v>
      </c>
      <c r="B180" s="36" t="str">
        <f>IFERROR(__xludf.DUMMYFUNCTION("""COMPUTED_VALUE"""),"Wayne Liu")</f>
        <v>Wayne Liu</v>
      </c>
      <c r="C180" s="5"/>
      <c r="D180" s="5"/>
      <c r="E180" s="5"/>
      <c r="F180" s="5"/>
    </row>
    <row r="181">
      <c r="A181" s="122">
        <f t="shared" si="100"/>
        <v>0</v>
      </c>
      <c r="B181" s="36"/>
      <c r="C181" s="5"/>
      <c r="D181" s="5"/>
      <c r="E181" s="5"/>
      <c r="F181" s="5"/>
    </row>
    <row r="182">
      <c r="A182" s="122">
        <f t="shared" si="100"/>
        <v>0</v>
      </c>
      <c r="B182" s="36"/>
      <c r="C182" s="5"/>
      <c r="D182" s="5"/>
      <c r="E182" s="5"/>
      <c r="F182" s="5"/>
    </row>
    <row r="183">
      <c r="A183" s="122">
        <f t="shared" si="100"/>
        <v>0</v>
      </c>
      <c r="B183" s="36"/>
      <c r="C183" s="5"/>
      <c r="D183" s="5"/>
      <c r="E183" s="5"/>
      <c r="F183" s="5"/>
    </row>
    <row r="184">
      <c r="A184" s="122">
        <f t="shared" si="100"/>
        <v>0</v>
      </c>
      <c r="B184" s="36"/>
      <c r="C184" s="5"/>
      <c r="D184" s="5"/>
      <c r="E184" s="5"/>
      <c r="F184" s="5"/>
    </row>
    <row r="185">
      <c r="A185" s="122">
        <f t="shared" si="100"/>
        <v>0</v>
      </c>
      <c r="B185" s="36"/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01/24/26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IFERROR(__xludf.DUMMYFUNCTION("""COMPUTED_VALUE"""),6.0)</f>
        <v>6</v>
      </c>
      <c r="D250" s="132">
        <f>IFERROR(__xludf.DUMMYFUNCTION("""COMPUTED_VALUE"""),2.0)</f>
        <v>2</v>
      </c>
      <c r="E250" s="132">
        <f>IFERROR(__xludf.DUMMYFUNCTION("""COMPUTED_VALUE"""),3.0)</f>
        <v>3</v>
      </c>
      <c r="F250" s="132">
        <f>IFERROR(__xludf.DUMMYFUNCTION("""COMPUTED_VALUE"""),11.0)</f>
        <v>11</v>
      </c>
      <c r="G250" s="132">
        <f>IFERROR(__xludf.DUMMYFUNCTION("""COMPUTED_VALUE"""),1.0)</f>
        <v>1</v>
      </c>
    </row>
    <row r="251">
      <c r="A251" s="122">
        <f>IFERROR(__xludf.DUMMYFUNCTION("""COMPUTED_VALUE"""),1.0)</f>
        <v>1</v>
      </c>
      <c r="B251" s="36" t="str">
        <f>IFERROR(__xludf.DUMMYFUNCTION("""COMPUTED_VALUE"""),"Alex Hou")</f>
        <v>Alex Hou</v>
      </c>
      <c r="C251" s="132">
        <f>IFERROR(__xludf.DUMMYFUNCTION("""COMPUTED_VALUE"""),0.0)</f>
        <v>0</v>
      </c>
      <c r="D251" s="132">
        <f>IFERROR(__xludf.DUMMYFUNCTION("""COMPUTED_VALUE"""),6.0)</f>
        <v>6</v>
      </c>
      <c r="E251" s="132">
        <f>IFERROR(__xludf.DUMMYFUNCTION("""COMPUTED_VALUE"""),3.0)</f>
        <v>3</v>
      </c>
      <c r="F251" s="132">
        <f>IFERROR(__xludf.DUMMYFUNCTION("""COMPUTED_VALUE"""),9.0)</f>
        <v>9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IFERROR(__xludf.DUMMYFUNCTION("""COMPUTED_VALUE"""),"Jim Miao")</f>
        <v>Jim Miao</v>
      </c>
      <c r="C252" s="132">
        <f>IFERROR(__xludf.DUMMYFUNCTION("""COMPUTED_VALUE"""),0.0)</f>
        <v>0</v>
      </c>
      <c r="D252" s="132">
        <f>IFERROR(__xludf.DUMMYFUNCTION("""COMPUTED_VALUE"""),2.0)</f>
        <v>2</v>
      </c>
      <c r="E252" s="132">
        <f>IFERROR(__xludf.DUMMYFUNCTION("""COMPUTED_VALUE"""),6.0)</f>
        <v>6</v>
      </c>
      <c r="F252" s="132">
        <f>IFERROR(__xludf.DUMMYFUNCTION("""COMPUTED_VALUE"""),8.0)</f>
        <v>8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IFERROR(__xludf.DUMMYFUNCTION("""COMPUTED_VALUE"""),"Sandeep Kamalon")</f>
        <v>Sandeep Kamalon</v>
      </c>
      <c r="C253" s="132">
        <f>IFERROR(__xludf.DUMMYFUNCTION("""COMPUTED_VALUE"""),6.0)</f>
        <v>6</v>
      </c>
      <c r="D253" s="132">
        <f>IFERROR(__xludf.DUMMYFUNCTION("""COMPUTED_VALUE"""),6.0)</f>
        <v>6</v>
      </c>
      <c r="E253" s="132">
        <f>IFERROR(__xludf.DUMMYFUNCTION("""COMPUTED_VALUE"""),6.0)</f>
        <v>6</v>
      </c>
      <c r="F253" s="132">
        <f>IFERROR(__xludf.DUMMYFUNCTION("""COMPUTED_VALUE"""),18.0)</f>
        <v>18</v>
      </c>
      <c r="G253" s="132">
        <f>IFERROR(__xludf.DUMMYFUNCTION("""COMPUTED_VALUE"""),3.0)</f>
        <v>3</v>
      </c>
    </row>
    <row r="254">
      <c r="A254" s="133">
        <f>IFERROR(__xludf.DUMMYFUNCTION("""COMPUTED_VALUE"""),2.0)</f>
        <v>2</v>
      </c>
      <c r="B254" s="134" t="str">
        <f>IFERROR(__xludf.DUMMYFUNCTION("""COMPUTED_VALUE"""),"Tina Hanson")</f>
        <v>Tina Hanson</v>
      </c>
      <c r="C254" s="135">
        <f>IFERROR(__xludf.DUMMYFUNCTION("""COMPUTED_VALUE"""),1.0)</f>
        <v>1</v>
      </c>
      <c r="D254" s="135">
        <f>IFERROR(__xludf.DUMMYFUNCTION("""COMPUTED_VALUE"""),7.0)</f>
        <v>7</v>
      </c>
      <c r="E254" s="135">
        <f>IFERROR(__xludf.DUMMYFUNCTION("""COMPUTED_VALUE"""),4.0)</f>
        <v>4</v>
      </c>
      <c r="F254" s="135">
        <f>IFERROR(__xludf.DUMMYFUNCTION("""COMPUTED_VALUE"""),12.0)</f>
        <v>12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IFERROR(__xludf.DUMMYFUNCTION("""COMPUTED_VALUE"""),"Ted Shen")</f>
        <v>Ted Shen</v>
      </c>
      <c r="C255" s="135">
        <f>IFERROR(__xludf.DUMMYFUNCTION("""COMPUTED_VALUE"""),1.0)</f>
        <v>1</v>
      </c>
      <c r="D255" s="135">
        <f>IFERROR(__xludf.DUMMYFUNCTION("""COMPUTED_VALUE"""),5.0)</f>
        <v>5</v>
      </c>
      <c r="E255" s="135">
        <f>IFERROR(__xludf.DUMMYFUNCTION("""COMPUTED_VALUE"""),6.0)</f>
        <v>6</v>
      </c>
      <c r="F255" s="135">
        <f>IFERROR(__xludf.DUMMYFUNCTION("""COMPUTED_VALUE"""),12.0)</f>
        <v>12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IFERROR(__xludf.DUMMYFUNCTION("""COMPUTED_VALUE"""),"Jaya Sogata")</f>
        <v>Jaya Sogata</v>
      </c>
      <c r="C256" s="135">
        <f>IFERROR(__xludf.DUMMYFUNCTION("""COMPUTED_VALUE"""),6.0)</f>
        <v>6</v>
      </c>
      <c r="D256" s="135">
        <f>IFERROR(__xludf.DUMMYFUNCTION("""COMPUTED_VALUE"""),7.0)</f>
        <v>7</v>
      </c>
      <c r="E256" s="135">
        <f>IFERROR(__xludf.DUMMYFUNCTION("""COMPUTED_VALUE"""),6.0)</f>
        <v>6</v>
      </c>
      <c r="F256" s="135">
        <f>IFERROR(__xludf.DUMMYFUNCTION("""COMPUTED_VALUE"""),19.0)</f>
        <v>19</v>
      </c>
      <c r="G256" s="135">
        <f>IFERROR(__xludf.DUMMYFUNCTION("""COMPUTED_VALUE"""),3.0)</f>
        <v>3</v>
      </c>
    </row>
    <row r="257">
      <c r="A257" s="133">
        <f>IFERROR(__xludf.DUMMYFUNCTION("""COMPUTED_VALUE"""),2.0)</f>
        <v>2</v>
      </c>
      <c r="B257" s="134" t="str">
        <f>IFERROR(__xludf.DUMMYFUNCTION("""COMPUTED_VALUE"""),"Suleman Alidina")</f>
        <v>Suleman Alidina</v>
      </c>
      <c r="C257" s="135">
        <f>IFERROR(__xludf.DUMMYFUNCTION("""COMPUTED_VALUE"""),6.0)</f>
        <v>6</v>
      </c>
      <c r="D257" s="135">
        <f>IFERROR(__xludf.DUMMYFUNCTION("""COMPUTED_VALUE"""),5.0)</f>
        <v>5</v>
      </c>
      <c r="E257" s="135">
        <f>IFERROR(__xludf.DUMMYFUNCTION("""COMPUTED_VALUE"""),4.0)</f>
        <v>4</v>
      </c>
      <c r="F257" s="135">
        <f>IFERROR(__xludf.DUMMYFUNCTION("""COMPUTED_VALUE"""),15.0)</f>
        <v>15</v>
      </c>
      <c r="G257" s="135">
        <f>IFERROR(__xludf.DUMMYFUNCTION("""COMPUTED_VALUE"""),1.0)</f>
        <v>1</v>
      </c>
    </row>
    <row r="258">
      <c r="A258" s="122">
        <f>IFERROR(__xludf.DUMMYFUNCTION("""COMPUTED_VALUE"""),3.0)</f>
        <v>3</v>
      </c>
      <c r="B258" s="36" t="str">
        <f>IFERROR(__xludf.DUMMYFUNCTION("""COMPUTED_VALUE"""),"Frank Moon")</f>
        <v>Frank Moon</v>
      </c>
      <c r="C258" s="132">
        <f>IFERROR(__xludf.DUMMYFUNCTION("""COMPUTED_VALUE"""),6.0)</f>
        <v>6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IFERROR(__xludf.DUMMYFUNCTION("""COMPUTED_VALUE"""),18.0)</f>
        <v>18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IFERROR(__xludf.DUMMYFUNCTION("""COMPUTED_VALUE"""),"Mauricio Palacios")</f>
        <v>Mauricio Palacios</v>
      </c>
      <c r="C259" s="132">
        <f>IFERROR(__xludf.DUMMYFUNCTION("""COMPUTED_VALUE"""),7.0)</f>
        <v>7</v>
      </c>
      <c r="D259" s="132">
        <f>IFERROR(__xludf.DUMMYFUNCTION("""COMPUTED_VALUE"""),6.0)</f>
        <v>6</v>
      </c>
      <c r="E259" s="132">
        <f>IFERROR(__xludf.DUMMYFUNCTION("""COMPUTED_VALUE"""),2.0)</f>
        <v>2</v>
      </c>
      <c r="F259" s="132">
        <f>IFERROR(__xludf.DUMMYFUNCTION("""COMPUTED_VALUE"""),15.0)</f>
        <v>15</v>
      </c>
      <c r="G259" s="132">
        <f>IFERROR(__xludf.DUMMYFUNCTION("""COMPUTED_VALUE"""),2.0)</f>
        <v>2</v>
      </c>
    </row>
    <row r="260">
      <c r="A260" s="122">
        <f>IFERROR(__xludf.DUMMYFUNCTION("""COMPUTED_VALUE"""),3.0)</f>
        <v>3</v>
      </c>
      <c r="B260" s="36" t="str">
        <f>IFERROR(__xludf.DUMMYFUNCTION("""COMPUTED_VALUE"""),"Herman Au")</f>
        <v>Herman Au</v>
      </c>
      <c r="C260" s="132">
        <f>IFERROR(__xludf.DUMMYFUNCTION("""COMPUTED_VALUE"""),7.0)</f>
        <v>7</v>
      </c>
      <c r="D260" s="132">
        <f>IFERROR(__xludf.DUMMYFUNCTION("""COMPUTED_VALUE"""),0.0)</f>
        <v>0</v>
      </c>
      <c r="E260" s="132">
        <f>IFERROR(__xludf.DUMMYFUNCTION("""COMPUTED_VALUE"""),6.0)</f>
        <v>6</v>
      </c>
      <c r="F260" s="132">
        <f>IFERROR(__xludf.DUMMYFUNCTION("""COMPUTED_VALUE"""),13.0)</f>
        <v>13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IFERROR(__xludf.DUMMYFUNCTION("""COMPUTED_VALUE"""),"Naveen Raj")</f>
        <v>Naveen Raj</v>
      </c>
      <c r="C261" s="132">
        <f>IFERROR(__xludf.DUMMYFUNCTION("""COMPUTED_VALUE"""),6.0)</f>
        <v>6</v>
      </c>
      <c r="D261" s="132">
        <f>IFERROR(__xludf.DUMMYFUNCTION("""COMPUTED_VALUE"""),0.0)</f>
        <v>0</v>
      </c>
      <c r="E261" s="132">
        <f>IFERROR(__xludf.DUMMYFUNCTION("""COMPUTED_VALUE"""),2.0)</f>
        <v>2</v>
      </c>
      <c r="F261" s="132">
        <f>IFERROR(__xludf.DUMMYFUNCTION("""COMPUTED_VALUE"""),8.0)</f>
        <v>8</v>
      </c>
      <c r="G261" s="132">
        <f>IFERROR(__xludf.DUMMYFUNCTION("""COMPUTED_VALUE"""),0.0)</f>
        <v>0</v>
      </c>
    </row>
    <row r="262">
      <c r="A262" s="133">
        <f>IFERROR(__xludf.DUMMYFUNCTION("""COMPUTED_VALUE"""),4.0)</f>
        <v>4</v>
      </c>
      <c r="B262" s="134" t="str">
        <f>IFERROR(__xludf.DUMMYFUNCTION("""COMPUTED_VALUE"""),"Charles Choi")</f>
        <v>Charles Choi</v>
      </c>
      <c r="C262" s="135">
        <f>IFERROR(__xludf.DUMMYFUNCTION("""COMPUTED_VALUE"""),3.0)</f>
        <v>3</v>
      </c>
      <c r="D262" s="135">
        <f>IFERROR(__xludf.DUMMYFUNCTION("""COMPUTED_VALUE"""),6.0)</f>
        <v>6</v>
      </c>
      <c r="E262" s="135">
        <f>IFERROR(__xludf.DUMMYFUNCTION("""COMPUTED_VALUE"""),6.0)</f>
        <v>6</v>
      </c>
      <c r="F262" s="135">
        <f>IFERROR(__xludf.DUMMYFUNCTION("""COMPUTED_VALUE"""),15.0)</f>
        <v>15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IFERROR(__xludf.DUMMYFUNCTION("""COMPUTED_VALUE"""),"Hongyuan Wen")</f>
        <v>Hongyuan Wen</v>
      </c>
      <c r="C263" s="135">
        <f>IFERROR(__xludf.DUMMYFUNCTION("""COMPUTED_VALUE"""),3.0)</f>
        <v>3</v>
      </c>
      <c r="D263" s="135">
        <f>IFERROR(__xludf.DUMMYFUNCTION("""COMPUTED_VALUE"""),3.0)</f>
        <v>3</v>
      </c>
      <c r="E263" s="135">
        <f>IFERROR(__xludf.DUMMYFUNCTION("""COMPUTED_VALUE"""),1.0)</f>
        <v>1</v>
      </c>
      <c r="F263" s="135">
        <f>IFERROR(__xludf.DUMMYFUNCTION("""COMPUTED_VALUE"""),7.0)</f>
        <v>7</v>
      </c>
      <c r="G263" s="135">
        <f>IFERROR(__xludf.DUMMYFUNCTION("""COMPUTED_VALUE"""),0.0)</f>
        <v>0</v>
      </c>
    </row>
    <row r="264">
      <c r="A264" s="133">
        <f>IFERROR(__xludf.DUMMYFUNCTION("""COMPUTED_VALUE"""),4.0)</f>
        <v>4</v>
      </c>
      <c r="B264" s="134" t="str">
        <f>IFERROR(__xludf.DUMMYFUNCTION("""COMPUTED_VALUE"""),"Lam Bui")</f>
        <v>Lam Bui</v>
      </c>
      <c r="C264" s="135">
        <f>IFERROR(__xludf.DUMMYFUNCTION("""COMPUTED_VALUE"""),6.0)</f>
        <v>6</v>
      </c>
      <c r="D264" s="135">
        <f>IFERROR(__xludf.DUMMYFUNCTION("""COMPUTED_VALUE"""),3.0)</f>
        <v>3</v>
      </c>
      <c r="E264" s="135">
        <f>IFERROR(__xludf.DUMMYFUNCTION("""COMPUTED_VALUE"""),6.0)</f>
        <v>6</v>
      </c>
      <c r="F264" s="135">
        <f>IFERROR(__xludf.DUMMYFUNCTION("""COMPUTED_VALUE"""),15.0)</f>
        <v>15</v>
      </c>
      <c r="G264" s="135">
        <f>IFERROR(__xludf.DUMMYFUNCTION("""COMPUTED_VALUE"""),2.0)</f>
        <v>2</v>
      </c>
    </row>
    <row r="265">
      <c r="A265" s="133">
        <f>IFERROR(__xludf.DUMMYFUNCTION("""COMPUTED_VALUE"""),4.0)</f>
        <v>4</v>
      </c>
      <c r="B265" s="134" t="str">
        <f>IFERROR(__xludf.DUMMYFUNCTION("""COMPUTED_VALUE"""),"Eric Pan")</f>
        <v>Eric Pan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IFERROR(__xludf.DUMMYFUNCTION("""COMPUTED_VALUE"""),1.0)</f>
        <v>1</v>
      </c>
      <c r="F265" s="135">
        <f>IFERROR(__xludf.DUMMYFUNCTION("""COMPUTED_VALUE"""),13.0)</f>
        <v>13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IFERROR(__xludf.DUMMYFUNCTION("""COMPUTED_VALUE"""),"Rudy Tatang")</f>
        <v>Rudy Tatang</v>
      </c>
      <c r="C266" s="132">
        <f>IFERROR(__xludf.DUMMYFUNCTION("""COMPUTED_VALUE"""),2.0)</f>
        <v>2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IFERROR(__xludf.DUMMYFUNCTION("""COMPUTED_VALUE"""),14.0)</f>
        <v>14</v>
      </c>
      <c r="G266" s="132">
        <f>IFERROR(__xludf.DUMMYFUNCTION("""COMPUTED_VALUE"""),2.0)</f>
        <v>2</v>
      </c>
    </row>
    <row r="267">
      <c r="A267" s="122">
        <f>IFERROR(__xludf.DUMMYFUNCTION("""COMPUTED_VALUE"""),5.0)</f>
        <v>5</v>
      </c>
      <c r="B267" s="36" t="str">
        <f>IFERROR(__xludf.DUMMYFUNCTION("""COMPUTED_VALUE"""),"Lloyd Sagar")</f>
        <v>Lloyd Sagar</v>
      </c>
      <c r="C267" s="132">
        <f>IFERROR(__xludf.DUMMYFUNCTION("""COMPUTED_VALUE"""),6.0)</f>
        <v>6</v>
      </c>
      <c r="D267" s="132">
        <f>IFERROR(__xludf.DUMMYFUNCTION("""COMPUTED_VALUE"""),6.0)</f>
        <v>6</v>
      </c>
      <c r="E267" s="132">
        <f>IFERROR(__xludf.DUMMYFUNCTION("""COMPUTED_VALUE"""),2.0)</f>
        <v>2</v>
      </c>
      <c r="F267" s="132">
        <f>IFERROR(__xludf.DUMMYFUNCTION("""COMPUTED_VALUE"""),14.0)</f>
        <v>14</v>
      </c>
      <c r="G267" s="132">
        <f>IFERROR(__xludf.DUMMYFUNCTION("""COMPUTED_VALUE"""),2.0)</f>
        <v>2</v>
      </c>
    </row>
    <row r="268">
      <c r="A268" s="122">
        <f>IFERROR(__xludf.DUMMYFUNCTION("""COMPUTED_VALUE"""),5.0)</f>
        <v>5</v>
      </c>
      <c r="B268" s="36" t="str">
        <f>IFERROR(__xludf.DUMMYFUNCTION("""COMPUTED_VALUE"""),"Pavan Akkimsetty")</f>
        <v>Pavan Akkimsetty</v>
      </c>
      <c r="C268" s="132">
        <f>IFERROR(__xludf.DUMMYFUNCTION("""COMPUTED_VALUE"""),6.0)</f>
        <v>6</v>
      </c>
      <c r="D268" s="132">
        <f>IFERROR(__xludf.DUMMYFUNCTION("""COMPUTED_VALUE"""),1.0)</f>
        <v>1</v>
      </c>
      <c r="E268" s="132">
        <f>IFERROR(__xludf.DUMMYFUNCTION("""COMPUTED_VALUE"""),6.0)</f>
        <v>6</v>
      </c>
      <c r="F268" s="132">
        <f>IFERROR(__xludf.DUMMYFUNCTION("""COMPUTED_VALUE"""),13.0)</f>
        <v>13</v>
      </c>
      <c r="G268" s="132">
        <f>IFERROR(__xludf.DUMMYFUNCTION("""COMPUTED_VALUE"""),2.0)</f>
        <v>2</v>
      </c>
    </row>
    <row r="269">
      <c r="A269" s="122">
        <f>IFERROR(__xludf.DUMMYFUNCTION("""COMPUTED_VALUE"""),5.0)</f>
        <v>5</v>
      </c>
      <c r="B269" s="36" t="str">
        <f>IFERROR(__xludf.DUMMYFUNCTION("""COMPUTED_VALUE"""),"Kumar Palakeel")</f>
        <v>Kumar Palakeel</v>
      </c>
      <c r="C269" s="132">
        <f>IFERROR(__xludf.DUMMYFUNCTION("""COMPUTED_VALUE"""),2.0)</f>
        <v>2</v>
      </c>
      <c r="D269" s="132">
        <f>IFERROR(__xludf.DUMMYFUNCTION("""COMPUTED_VALUE"""),1.0)</f>
        <v>1</v>
      </c>
      <c r="E269" s="132">
        <f>IFERROR(__xludf.DUMMYFUNCTION("""COMPUTED_VALUE"""),2.0)</f>
        <v>2</v>
      </c>
      <c r="F269" s="132">
        <f>IFERROR(__xludf.DUMMYFUNCTION("""COMPUTED_VALUE"""),5.0)</f>
        <v>5</v>
      </c>
      <c r="G269" s="132">
        <f>IFERROR(__xludf.DUMMYFUNCTION("""COMPUTED_VALUE"""),0.0)</f>
        <v>0</v>
      </c>
    </row>
    <row r="270">
      <c r="A270" s="133">
        <f>IFERROR(__xludf.DUMMYFUNCTION("""COMPUTED_VALUE"""),6.0)</f>
        <v>6</v>
      </c>
      <c r="B270" s="134" t="str">
        <f>IFERROR(__xludf.DUMMYFUNCTION("""COMPUTED_VALUE"""),"Jonathan Phan")</f>
        <v>Jonathan Phan</v>
      </c>
      <c r="C270" s="135">
        <f>IFERROR(__xludf.DUMMYFUNCTION("""COMPUTED_VALUE"""),0.0)</f>
        <v>0</v>
      </c>
      <c r="D270" s="135">
        <f>IFERROR(__xludf.DUMMYFUNCTION("""COMPUTED_VALUE"""),7.0)</f>
        <v>7</v>
      </c>
      <c r="E270" s="135">
        <f>IFERROR(__xludf.DUMMYFUNCTION("""COMPUTED_VALUE"""),6.0)</f>
        <v>6</v>
      </c>
      <c r="F270" s="135">
        <f>IFERROR(__xludf.DUMMYFUNCTION("""COMPUTED_VALUE"""),13.0)</f>
        <v>13</v>
      </c>
      <c r="G270" s="135">
        <f>IFERROR(__xludf.DUMMYFUNCTION("""COMPUTED_VALUE"""),2.0)</f>
        <v>2</v>
      </c>
    </row>
    <row r="271">
      <c r="A271" s="133">
        <f>IFERROR(__xludf.DUMMYFUNCTION("""COMPUTED_VALUE"""),6.0)</f>
        <v>6</v>
      </c>
      <c r="B271" s="134" t="str">
        <f>IFERROR(__xludf.DUMMYFUNCTION("""COMPUTED_VALUE"""),"Matthew Huang")</f>
        <v>Matthew Huang</v>
      </c>
      <c r="C271" s="135">
        <f>IFERROR(__xludf.DUMMYFUNCTION("""COMPUTED_VALUE"""),6.0)</f>
        <v>6</v>
      </c>
      <c r="D271" s="135">
        <f>IFERROR(__xludf.DUMMYFUNCTION("""COMPUTED_VALUE"""),7.0)</f>
        <v>7</v>
      </c>
      <c r="E271" s="135">
        <f>IFERROR(__xludf.DUMMYFUNCTION("""COMPUTED_VALUE"""),2.0)</f>
        <v>2</v>
      </c>
      <c r="F271" s="135">
        <f>IFERROR(__xludf.DUMMYFUNCTION("""COMPUTED_VALUE"""),15.0)</f>
        <v>15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IFERROR(__xludf.DUMMYFUNCTION("""COMPUTED_VALUE"""),"Trish Newlin")</f>
        <v>Trish Newlin</v>
      </c>
      <c r="C272" s="135">
        <f>IFERROR(__xludf.DUMMYFUNCTION("""COMPUTED_VALUE"""),0.0)</f>
        <v>0</v>
      </c>
      <c r="D272" s="135">
        <f>IFERROR(__xludf.DUMMYFUNCTION("""COMPUTED_VALUE"""),6.0)</f>
        <v>6</v>
      </c>
      <c r="E272" s="135">
        <f>IFERROR(__xludf.DUMMYFUNCTION("""COMPUTED_VALUE"""),2.0)</f>
        <v>2</v>
      </c>
      <c r="F272" s="135">
        <f>IFERROR(__xludf.DUMMYFUNCTION("""COMPUTED_VALUE"""),8.0)</f>
        <v>8</v>
      </c>
      <c r="G272" s="135">
        <f>IFERROR(__xludf.DUMMYFUNCTION("""COMPUTED_VALUE"""),0.0)</f>
        <v>0</v>
      </c>
    </row>
    <row r="273">
      <c r="A273" s="133">
        <f>IFERROR(__xludf.DUMMYFUNCTION("""COMPUTED_VALUE"""),6.0)</f>
        <v>6</v>
      </c>
      <c r="B273" s="134" t="str">
        <f>IFERROR(__xludf.DUMMYFUNCTION("""COMPUTED_VALUE"""),"Jordan Tatang")</f>
        <v>Jordan Tatang</v>
      </c>
      <c r="C273" s="135">
        <f>IFERROR(__xludf.DUMMYFUNCTION("""COMPUTED_VALUE"""),6.0)</f>
        <v>6</v>
      </c>
      <c r="D273" s="135">
        <f>IFERROR(__xludf.DUMMYFUNCTION("""COMPUTED_VALUE"""),6.0)</f>
        <v>6</v>
      </c>
      <c r="E273" s="135">
        <f>IFERROR(__xludf.DUMMYFUNCTION("""COMPUTED_VALUE"""),6.0)</f>
        <v>6</v>
      </c>
      <c r="F273" s="135">
        <f>IFERROR(__xludf.DUMMYFUNCTION("""COMPUTED_VALUE"""),18.0)</f>
        <v>18</v>
      </c>
      <c r="G273" s="135">
        <f>IFERROR(__xludf.DUMMYFUNCTION("""COMPUTED_VALUE"""),2.0)</f>
        <v>2</v>
      </c>
    </row>
    <row r="274">
      <c r="A274" s="122">
        <f>IFERROR(__xludf.DUMMYFUNCTION("""COMPUTED_VALUE"""),7.0)</f>
        <v>7</v>
      </c>
      <c r="B274" s="36" t="str">
        <f>IFERROR(__xludf.DUMMYFUNCTION("""COMPUTED_VALUE"""),"Pulkit Mathur")</f>
        <v>Pulkit Mathur</v>
      </c>
      <c r="C274" s="132">
        <f>IFERROR(__xludf.DUMMYFUNCTION("""COMPUTED_VALUE"""),6.0)</f>
        <v>6</v>
      </c>
      <c r="D274" s="132">
        <f>IFERROR(__xludf.DUMMYFUNCTION("""COMPUTED_VALUE"""),7.0)</f>
        <v>7</v>
      </c>
      <c r="E274" s="132">
        <f>IFERROR(__xludf.DUMMYFUNCTION("""COMPUTED_VALUE"""),6.0)</f>
        <v>6</v>
      </c>
      <c r="F274" s="132">
        <f>IFERROR(__xludf.DUMMYFUNCTION("""COMPUTED_VALUE"""),19.0)</f>
        <v>19</v>
      </c>
      <c r="G274" s="132">
        <f>IFERROR(__xludf.DUMMYFUNCTION("""COMPUTED_VALUE"""),3.0)</f>
        <v>3</v>
      </c>
    </row>
    <row r="275">
      <c r="A275" s="122">
        <f>IFERROR(__xludf.DUMMYFUNCTION("""COMPUTED_VALUE"""),7.0)</f>
        <v>7</v>
      </c>
      <c r="B275" s="36" t="str">
        <f>IFERROR(__xludf.DUMMYFUNCTION("""COMPUTED_VALUE"""),"Erik Hoeckmann")</f>
        <v>Erik Hoeckmann</v>
      </c>
      <c r="C275" s="132">
        <f>IFERROR(__xludf.DUMMYFUNCTION("""COMPUTED_VALUE"""),1.0)</f>
        <v>1</v>
      </c>
      <c r="D275" s="132">
        <f>IFERROR(__xludf.DUMMYFUNCTION("""COMPUTED_VALUE"""),5.0)</f>
        <v>5</v>
      </c>
      <c r="E275" s="132">
        <f>IFERROR(__xludf.DUMMYFUNCTION("""COMPUTED_VALUE"""),6.0)</f>
        <v>6</v>
      </c>
      <c r="F275" s="132">
        <f>IFERROR(__xludf.DUMMYFUNCTION("""COMPUTED_VALUE"""),12.0)</f>
        <v>12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IFERROR(__xludf.DUMMYFUNCTION("""COMPUTED_VALUE"""),"Rajasekar Ramasamy")</f>
        <v>Rajasekar Ramasamy</v>
      </c>
      <c r="C276" s="132">
        <f>IFERROR(__xludf.DUMMYFUNCTION("""COMPUTED_VALUE"""),6.0)</f>
        <v>6</v>
      </c>
      <c r="D276" s="132">
        <f>IFERROR(__xludf.DUMMYFUNCTION("""COMPUTED_VALUE"""),5.0)</f>
        <v>5</v>
      </c>
      <c r="E276" s="132">
        <f>IFERROR(__xludf.DUMMYFUNCTION("""COMPUTED_VALUE"""),2.0)</f>
        <v>2</v>
      </c>
      <c r="F276" s="132">
        <f>IFERROR(__xludf.DUMMYFUNCTION("""COMPUTED_VALUE"""),13.0)</f>
        <v>13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IFERROR(__xludf.DUMMYFUNCTION("""COMPUTED_VALUE"""),"Manuel Rivera")</f>
        <v>Manuel Rivera</v>
      </c>
      <c r="C277" s="132">
        <f>IFERROR(__xludf.DUMMYFUNCTION("""COMPUTED_VALUE"""),1.0)</f>
        <v>1</v>
      </c>
      <c r="D277" s="132">
        <f>IFERROR(__xludf.DUMMYFUNCTION("""COMPUTED_VALUE"""),7.0)</f>
        <v>7</v>
      </c>
      <c r="E277" s="132">
        <f>IFERROR(__xludf.DUMMYFUNCTION("""COMPUTED_VALUE"""),2.0)</f>
        <v>2</v>
      </c>
      <c r="F277" s="132">
        <f>IFERROR(__xludf.DUMMYFUNCTION("""COMPUTED_VALUE"""),10.0)</f>
        <v>10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IFERROR(__xludf.DUMMYFUNCTION("""COMPUTED_VALUE"""),"Eric Tan")</f>
        <v>Eric Tan</v>
      </c>
      <c r="C278" s="135">
        <f>IFERROR(__xludf.DUMMYFUNCTION("""COMPUTED_VALUE"""),0.0)</f>
        <v>0</v>
      </c>
      <c r="D278" s="135">
        <f>IFERROR(__xludf.DUMMYFUNCTION("""COMPUTED_VALUE"""),3.0)</f>
        <v>3</v>
      </c>
      <c r="E278" s="135">
        <f>IFERROR(__xludf.DUMMYFUNCTION("""COMPUTED_VALUE"""),1.0)</f>
        <v>1</v>
      </c>
      <c r="F278" s="135">
        <f>IFERROR(__xludf.DUMMYFUNCTION("""COMPUTED_VALUE"""),4.0)</f>
        <v>4</v>
      </c>
      <c r="G278" s="135">
        <f>IFERROR(__xludf.DUMMYFUNCTION("""COMPUTED_VALUE"""),0.0)</f>
        <v>0</v>
      </c>
    </row>
    <row r="279">
      <c r="A279" s="133">
        <f>IFERROR(__xludf.DUMMYFUNCTION("""COMPUTED_VALUE"""),8.0)</f>
        <v>8</v>
      </c>
      <c r="B279" s="134" t="str">
        <f>IFERROR(__xludf.DUMMYFUNCTION("""COMPUTED_VALUE"""),"Manish Anand")</f>
        <v>Manish Anand</v>
      </c>
      <c r="C279" s="135">
        <f>IFERROR(__xludf.DUMMYFUNCTION("""COMPUTED_VALUE"""),0.0)</f>
        <v>0</v>
      </c>
      <c r="D279" s="135">
        <f>IFERROR(__xludf.DUMMYFUNCTION("""COMPUTED_VALUE"""),6.0)</f>
        <v>6</v>
      </c>
      <c r="E279" s="135">
        <f>IFERROR(__xludf.DUMMYFUNCTION("""COMPUTED_VALUE"""),6.0)</f>
        <v>6</v>
      </c>
      <c r="F279" s="135">
        <f>IFERROR(__xludf.DUMMYFUNCTION("""COMPUTED_VALUE"""),12.0)</f>
        <v>12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IFERROR(__xludf.DUMMYFUNCTION("""COMPUTED_VALUE"""),"Balaji Alahari")</f>
        <v>Balaji Alahari</v>
      </c>
      <c r="C280" s="135">
        <f>IFERROR(__xludf.DUMMYFUNCTION("""COMPUTED_VALUE"""),6.0)</f>
        <v>6</v>
      </c>
      <c r="D280" s="135">
        <f>IFERROR(__xludf.DUMMYFUNCTION("""COMPUTED_VALUE"""),3.0)</f>
        <v>3</v>
      </c>
      <c r="E280" s="135">
        <f>IFERROR(__xludf.DUMMYFUNCTION("""COMPUTED_VALUE"""),6.0)</f>
        <v>6</v>
      </c>
      <c r="F280" s="135">
        <f>IFERROR(__xludf.DUMMYFUNCTION("""COMPUTED_VALUE"""),15.0)</f>
        <v>15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IFERROR(__xludf.DUMMYFUNCTION("""COMPUTED_VALUE"""),"Sean Chang")</f>
        <v>Sean Chang</v>
      </c>
      <c r="C281" s="135">
        <f>IFERROR(__xludf.DUMMYFUNCTION("""COMPUTED_VALUE"""),6.0)</f>
        <v>6</v>
      </c>
      <c r="D281" s="135">
        <f>IFERROR(__xludf.DUMMYFUNCTION("""COMPUTED_VALUE"""),6.0)</f>
        <v>6</v>
      </c>
      <c r="E281" s="135">
        <f>IFERROR(__xludf.DUMMYFUNCTION("""COMPUTED_VALUE"""),1.0)</f>
        <v>1</v>
      </c>
      <c r="F281" s="135">
        <f>IFERROR(__xludf.DUMMYFUNCTION("""COMPUTED_VALUE"""),13.0)</f>
        <v>13</v>
      </c>
      <c r="G281" s="135">
        <f>IFERROR(__xludf.DUMMYFUNCTION("""COMPUTED_VALUE"""),2.0)</f>
        <v>2</v>
      </c>
    </row>
    <row r="282">
      <c r="A282" s="122">
        <f>IFERROR(__xludf.DUMMYFUNCTION("""COMPUTED_VALUE"""),9.0)</f>
        <v>9</v>
      </c>
      <c r="B282" s="36" t="str">
        <f>IFERROR(__xludf.DUMMYFUNCTION("""COMPUTED_VALUE"""),"Luis Hsu")</f>
        <v>Luis Hsu</v>
      </c>
      <c r="C282" s="132">
        <f>IFERROR(__xludf.DUMMYFUNCTION("""COMPUTED_VALUE"""),7.0)</f>
        <v>7</v>
      </c>
      <c r="D282" s="132">
        <f>IFERROR(__xludf.DUMMYFUNCTION("""COMPUTED_VALUE"""),6.0)</f>
        <v>6</v>
      </c>
      <c r="E282" s="132">
        <f>IFERROR(__xludf.DUMMYFUNCTION("""COMPUTED_VALUE"""),7.0)</f>
        <v>7</v>
      </c>
      <c r="F282" s="132">
        <f>IFERROR(__xludf.DUMMYFUNCTION("""COMPUTED_VALUE"""),20.0)</f>
        <v>20</v>
      </c>
      <c r="G282" s="132">
        <f>IFERROR(__xludf.DUMMYFUNCTION("""COMPUTED_VALUE"""),3.0)</f>
        <v>3</v>
      </c>
    </row>
    <row r="283">
      <c r="A283" s="122">
        <f>IFERROR(__xludf.DUMMYFUNCTION("""COMPUTED_VALUE"""),9.0)</f>
        <v>9</v>
      </c>
      <c r="B283" s="36" t="str">
        <f>IFERROR(__xludf.DUMMYFUNCTION("""COMPUTED_VALUE"""),"Wayne Liu")</f>
        <v>Wayne Liu</v>
      </c>
      <c r="C283" s="132">
        <f>IFERROR(__xludf.DUMMYFUNCTION("""COMPUTED_VALUE"""),7.0)</f>
        <v>7</v>
      </c>
      <c r="D283" s="132">
        <f>IFERROR(__xludf.DUMMYFUNCTION("""COMPUTED_VALUE"""),1.0)</f>
        <v>1</v>
      </c>
      <c r="E283" s="132">
        <f>IFERROR(__xludf.DUMMYFUNCTION("""COMPUTED_VALUE"""),6.0)</f>
        <v>6</v>
      </c>
      <c r="F283" s="132">
        <f>IFERROR(__xludf.DUMMYFUNCTION("""COMPUTED_VALUE"""),14.0)</f>
        <v>14</v>
      </c>
      <c r="G283" s="132">
        <f>IFERROR(__xludf.DUMMYFUNCTION("""COMPUTED_VALUE"""),1.0)</f>
        <v>1</v>
      </c>
    </row>
    <row r="284">
      <c r="A284" s="122">
        <f>IFERROR(__xludf.DUMMYFUNCTION("""COMPUTED_VALUE"""),9.0)</f>
        <v>9</v>
      </c>
      <c r="B284" s="36" t="str">
        <f>IFERROR(__xludf.DUMMYFUNCTION("""COMPUTED_VALUE"""),"Allen Zhang")</f>
        <v>Allen Zhang</v>
      </c>
      <c r="C284" s="132">
        <f>IFERROR(__xludf.DUMMYFUNCTION("""COMPUTED_VALUE"""),5.0)</f>
        <v>5</v>
      </c>
      <c r="D284" s="132">
        <f>IFERROR(__xludf.DUMMYFUNCTION("""COMPUTED_VALUE"""),1.0)</f>
        <v>1</v>
      </c>
      <c r="E284" s="132">
        <f>IFERROR(__xludf.DUMMYFUNCTION("""COMPUTED_VALUE"""),7.0)</f>
        <v>7</v>
      </c>
      <c r="F284" s="132">
        <f>IFERROR(__xludf.DUMMYFUNCTION("""COMPUTED_VALUE"""),13.0)</f>
        <v>13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IFERROR(__xludf.DUMMYFUNCTION("""COMPUTED_VALUE"""),"David Shin")</f>
        <v>David Shin</v>
      </c>
      <c r="C285" s="132">
        <f>IFERROR(__xludf.DUMMYFUNCTION("""COMPUTED_VALUE"""),5.0)</f>
        <v>5</v>
      </c>
      <c r="D285" s="132">
        <f>IFERROR(__xludf.DUMMYFUNCTION("""COMPUTED_VALUE"""),6.0)</f>
        <v>6</v>
      </c>
      <c r="E285" s="132">
        <f>IFERROR(__xludf.DUMMYFUNCTION("""COMPUTED_VALUE"""),6.0)</f>
        <v>6</v>
      </c>
      <c r="F285" s="132">
        <f>IFERROR(__xludf.DUMMYFUNCTION("""COMPUTED_VALUE"""),17.0)</f>
        <v>17</v>
      </c>
      <c r="G285" s="132">
        <f>IFERROR(__xludf.DUMMYFUNCTION("""COMPUTED_VALUE"""),1.0)</f>
        <v>1</v>
      </c>
    </row>
    <row r="286">
      <c r="A286" s="133">
        <f>IFERROR(__xludf.DUMMYFUNCTION("""COMPUTED_VALUE"""),10.0)</f>
        <v>10</v>
      </c>
      <c r="B286" s="134" t="str">
        <f>IFERROR(__xludf.DUMMYFUNCTION("""COMPUTED_VALUE"""),"Joe Luzzi")</f>
        <v>Joe Luzzi</v>
      </c>
      <c r="C286" s="135">
        <f>IFERROR(__xludf.DUMMYFUNCTION("""COMPUTED_VALUE"""),1.0)</f>
        <v>1</v>
      </c>
      <c r="D286" s="135">
        <f>IFERROR(__xludf.DUMMYFUNCTION("""COMPUTED_VALUE"""),7.0)</f>
        <v>7</v>
      </c>
      <c r="E286" s="135">
        <f>IFERROR(__xludf.DUMMYFUNCTION("""COMPUTED_VALUE"""),6.0)</f>
        <v>6</v>
      </c>
      <c r="F286" s="135">
        <f>IFERROR(__xludf.DUMMYFUNCTION("""COMPUTED_VALUE"""),14.0)</f>
        <v>14</v>
      </c>
      <c r="G286" s="135">
        <f>IFERROR(__xludf.DUMMYFUNCTION("""COMPUTED_VALUE"""),2.0)</f>
        <v>2</v>
      </c>
    </row>
    <row r="287">
      <c r="A287" s="133">
        <f>IFERROR(__xludf.DUMMYFUNCTION("""COMPUTED_VALUE"""),10.0)</f>
        <v>10</v>
      </c>
      <c r="B287" s="134" t="str">
        <f>IFERROR(__xludf.DUMMYFUNCTION("""COMPUTED_VALUE"""),"Vishnu Amarnath")</f>
        <v>Vishnu Amarnath</v>
      </c>
      <c r="C287" s="135">
        <f>IFERROR(__xludf.DUMMYFUNCTION("""COMPUTED_VALUE"""),1.0)</f>
        <v>1</v>
      </c>
      <c r="D287" s="135">
        <f>IFERROR(__xludf.DUMMYFUNCTION("""COMPUTED_VALUE"""),5.0)</f>
        <v>5</v>
      </c>
      <c r="E287" s="135">
        <f>IFERROR(__xludf.DUMMYFUNCTION("""COMPUTED_VALUE"""),1.0)</f>
        <v>1</v>
      </c>
      <c r="F287" s="135">
        <f>IFERROR(__xludf.DUMMYFUNCTION("""COMPUTED_VALUE"""),7.0)</f>
        <v>7</v>
      </c>
      <c r="G287" s="135">
        <f>IFERROR(__xludf.DUMMYFUNCTION("""COMPUTED_VALUE"""),0.0)</f>
        <v>0</v>
      </c>
    </row>
    <row r="288">
      <c r="A288" s="133">
        <f>IFERROR(__xludf.DUMMYFUNCTION("""COMPUTED_VALUE"""),10.0)</f>
        <v>10</v>
      </c>
      <c r="B288" s="134" t="str">
        <f>IFERROR(__xludf.DUMMYFUNCTION("""COMPUTED_VALUE"""),"Coco Yan")</f>
        <v>Coco Yan</v>
      </c>
      <c r="C288" s="135">
        <f>IFERROR(__xludf.DUMMYFUNCTION("""COMPUTED_VALUE"""),6.0)</f>
        <v>6</v>
      </c>
      <c r="D288" s="135">
        <f>IFERROR(__xludf.DUMMYFUNCTION("""COMPUTED_VALUE"""),7.0)</f>
        <v>7</v>
      </c>
      <c r="E288" s="135">
        <f>IFERROR(__xludf.DUMMYFUNCTION("""COMPUTED_VALUE"""),1.0)</f>
        <v>1</v>
      </c>
      <c r="F288" s="135">
        <f>IFERROR(__xludf.DUMMYFUNCTION("""COMPUTED_VALUE"""),14.0)</f>
        <v>14</v>
      </c>
      <c r="G288" s="135">
        <f>IFERROR(__xludf.DUMMYFUNCTION("""COMPUTED_VALUE"""),2.0)</f>
        <v>2</v>
      </c>
    </row>
    <row r="289">
      <c r="A289" s="133">
        <f>IFERROR(__xludf.DUMMYFUNCTION("""COMPUTED_VALUE"""),10.0)</f>
        <v>10</v>
      </c>
      <c r="B289" s="134" t="str">
        <f>IFERROR(__xludf.DUMMYFUNCTION("""COMPUTED_VALUE"""),"Oscar Bonilla")</f>
        <v>Oscar Bonilla</v>
      </c>
      <c r="C289" s="135">
        <f>IFERROR(__xludf.DUMMYFUNCTION("""COMPUTED_VALUE"""),6.0)</f>
        <v>6</v>
      </c>
      <c r="D289" s="135">
        <f>IFERROR(__xludf.DUMMYFUNCTION("""COMPUTED_VALUE"""),5.0)</f>
        <v>5</v>
      </c>
      <c r="E289" s="135">
        <f>IFERROR(__xludf.DUMMYFUNCTION("""COMPUTED_VALUE"""),6.0)</f>
        <v>6</v>
      </c>
      <c r="F289" s="135">
        <f>IFERROR(__xludf.DUMMYFUNCTION("""COMPUTED_VALUE"""),17.0)</f>
        <v>17</v>
      </c>
      <c r="G289" s="135">
        <f>IFERROR(__xludf.DUMMYFUNCTION("""COMPUTED_VALUE"""),2.0)</f>
        <v>2</v>
      </c>
    </row>
    <row r="290">
      <c r="A290" s="122">
        <f>IFERROR(__xludf.DUMMYFUNCTION("""COMPUTED_VALUE"""),11.0)</f>
        <v>11</v>
      </c>
      <c r="B290" s="36" t="str">
        <f>IFERROR(__xludf.DUMMYFUNCTION("""COMPUTED_VALUE"""),"Vicki Martinet")</f>
        <v>Vicki Martinet</v>
      </c>
      <c r="C290" s="132">
        <f>IFERROR(__xludf.DUMMYFUNCTION("""COMPUTED_VALUE"""),6.0)</f>
        <v>6</v>
      </c>
      <c r="D290" s="132">
        <f>IFERROR(__xludf.DUMMYFUNCTION("""COMPUTED_VALUE"""),6.0)</f>
        <v>6</v>
      </c>
      <c r="E290" s="132">
        <f>IFERROR(__xludf.DUMMYFUNCTION("""COMPUTED_VALUE"""),3.0)</f>
        <v>3</v>
      </c>
      <c r="F290" s="132">
        <f>IFERROR(__xludf.DUMMYFUNCTION("""COMPUTED_VALUE"""),15.0)</f>
        <v>15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IFERROR(__xludf.DUMMYFUNCTION("""COMPUTED_VALUE"""),"Lenin Belangonda ")</f>
        <v>Lenin Belangonda </v>
      </c>
      <c r="C291" s="132">
        <f>IFERROR(__xludf.DUMMYFUNCTION("""COMPUTED_VALUE"""),4.0)</f>
        <v>4</v>
      </c>
      <c r="D291" s="132">
        <f>IFERROR(__xludf.DUMMYFUNCTION("""COMPUTED_VALUE"""),6.0)</f>
        <v>6</v>
      </c>
      <c r="E291" s="132">
        <f>IFERROR(__xludf.DUMMYFUNCTION("""COMPUTED_VALUE"""),6.0)</f>
        <v>6</v>
      </c>
      <c r="F291" s="132">
        <f>IFERROR(__xludf.DUMMYFUNCTION("""COMPUTED_VALUE"""),16.0)</f>
        <v>16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IFERROR(__xludf.DUMMYFUNCTION("""COMPUTED_VALUE"""),"Joyce Zhu")</f>
        <v>Joyce Zhu</v>
      </c>
      <c r="C292" s="132">
        <f>IFERROR(__xludf.DUMMYFUNCTION("""COMPUTED_VALUE"""),6.0)</f>
        <v>6</v>
      </c>
      <c r="D292" s="132">
        <f>IFERROR(__xludf.DUMMYFUNCTION("""COMPUTED_VALUE"""),4.0)</f>
        <v>4</v>
      </c>
      <c r="E292" s="132">
        <f>IFERROR(__xludf.DUMMYFUNCTION("""COMPUTED_VALUE"""),6.0)</f>
        <v>6</v>
      </c>
      <c r="F292" s="132">
        <f>IFERROR(__xludf.DUMMYFUNCTION("""COMPUTED_VALUE"""),16.0)</f>
        <v>16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IFERROR(__xludf.DUMMYFUNCTION("""COMPUTED_VALUE"""),"Ranjith Doraiswamy")</f>
        <v>Ranjith Doraiswamy</v>
      </c>
      <c r="C293" s="132">
        <f>IFERROR(__xludf.DUMMYFUNCTION("""COMPUTED_VALUE"""),4.0)</f>
        <v>4</v>
      </c>
      <c r="D293" s="132">
        <f>IFERROR(__xludf.DUMMYFUNCTION("""COMPUTED_VALUE"""),4.0)</f>
        <v>4</v>
      </c>
      <c r="E293" s="132">
        <f>IFERROR(__xludf.DUMMYFUNCTION("""COMPUTED_VALUE"""),3.0)</f>
        <v>3</v>
      </c>
      <c r="F293" s="132">
        <f>IFERROR(__xludf.DUMMYFUNCTION("""COMPUTED_VALUE"""),11.0)</f>
        <v>11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asc"",0)"),"Alejandro Mejia")</f>
        <v>Alejandro Mejia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IFERROR(__xludf.DUMMYFUNCTION("""COMPUTED_VALUE"""),"Alex Hou")</f>
        <v>Alex Hou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IFERROR(__xludf.DUMMYFUNCTION("""COMPUTED_VALUE"""),"Allen Zhang")</f>
        <v>Allen Zhang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IFERROR(__xludf.DUMMYFUNCTION("""COMPUTED_VALUE"""),"Andrew Wen")</f>
        <v>Andrew Wen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IFERROR(__xludf.DUMMYFUNCTION("""COMPUTED_VALUE"""),"Balaji Alahari")</f>
        <v>Balaji Alahari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IFERROR(__xludf.DUMMYFUNCTION("""COMPUTED_VALUE"""),"Basudev Thoppai Vidyasankar")</f>
        <v>Basudev Thoppai Vidyasankar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IFERROR(__xludf.DUMMYFUNCTION("""COMPUTED_VALUE"""),"Charles Choi")</f>
        <v>Charles Choi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IFERROR(__xludf.DUMMYFUNCTION("""COMPUTED_VALUE"""),"Cid Macaraeg")</f>
        <v>Cid Macaraeg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IFERROR(__xludf.DUMMYFUNCTION("""COMPUTED_VALUE"""),"Coco Yan")</f>
        <v>Coco Yan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IFERROR(__xludf.DUMMYFUNCTION("""COMPUTED_VALUE"""),"Darren Wong")</f>
        <v>Darren Wong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IFERROR(__xludf.DUMMYFUNCTION("""COMPUTED_VALUE"""),"David Shin")</f>
        <v>David Shin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IFERROR(__xludf.DUMMYFUNCTION("""COMPUTED_VALUE"""),"Elayaraja Thangaraj")</f>
        <v>Elayaraja Thangaraj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IFERROR(__xludf.DUMMYFUNCTION("""COMPUTED_VALUE"""),"Eric Pan")</f>
        <v>Eric Pan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IFERROR(__xludf.DUMMYFUNCTION("""COMPUTED_VALUE"""),"Erik Hoeckmann")</f>
        <v>Erik Hoeckmann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IFERROR(__xludf.DUMMYFUNCTION("""COMPUTED_VALUE"""),"Ethan Gu")</f>
        <v>Ethan Gu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IFERROR(__xludf.DUMMYFUNCTION("""COMPUTED_VALUE"""),"Frank Moon")</f>
        <v>Frank Moon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IFERROR(__xludf.DUMMYFUNCTION("""COMPUTED_VALUE"""),"Herman Au")</f>
        <v>Herman Au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IFERROR(__xludf.DUMMYFUNCTION("""COMPUTED_VALUE"""),"Hongyuan Wen")</f>
        <v>Hongyuan Wen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IFERROR(__xludf.DUMMYFUNCTION("""COMPUTED_VALUE"""),"Hubert J Sung")</f>
        <v>Hubert J Sung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IFERROR(__xludf.DUMMYFUNCTION("""COMPUTED_VALUE"""),"James Phan")</f>
        <v>James Phan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IFERROR(__xludf.DUMMYFUNCTION("""COMPUTED_VALUE"""),"Jaya Sogata")</f>
        <v>Jaya Sogata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IFERROR(__xludf.DUMMYFUNCTION("""COMPUTED_VALUE"""),"Jim Miao")</f>
        <v>Jim Miao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IFERROR(__xludf.DUMMYFUNCTION("""COMPUTED_VALUE"""),"Jimmy Awolesi")</f>
        <v>Jimmy Awolesi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IFERROR(__xludf.DUMMYFUNCTION("""COMPUTED_VALUE"""),"Joe Luzzi")</f>
        <v>Joe Luzzi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IFERROR(__xludf.DUMMYFUNCTION("""COMPUTED_VALUE"""),"Jonathan Phan")</f>
        <v>Jonathan Phan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IFERROR(__xludf.DUMMYFUNCTION("""COMPUTED_VALUE"""),"Jordan Tatang")</f>
        <v>Jordan Tatang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IFERROR(__xludf.DUMMYFUNCTION("""COMPUTED_VALUE"""),"Joyce Zhu")</f>
        <v>Joyce Zhu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IFERROR(__xludf.DUMMYFUNCTION("""COMPUTED_VALUE"""),"Kumar Palakeel")</f>
        <v>Kumar Palakeel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IFERROR(__xludf.DUMMYFUNCTION("""COMPUTED_VALUE"""),"Lam Bui")</f>
        <v>Lam Bui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IFERROR(__xludf.DUMMYFUNCTION("""COMPUTED_VALUE"""),"Leigh-Anh Nguyen")</f>
        <v>Leigh-Anh Nguyen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IFERROR(__xludf.DUMMYFUNCTION("""COMPUTED_VALUE"""),"Lenin Belangonda ")</f>
        <v>Lenin Belangonda 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IFERROR(__xludf.DUMMYFUNCTION("""COMPUTED_VALUE"""),"Vicki Martinet")</f>
        <v>Vicki Martinet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IFERROR(__xludf.DUMMYFUNCTION("""COMPUTED_VALUE"""),"Vinaya Kajla")</f>
        <v>Vinaya Kajla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46046.0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3.0</v>
      </c>
      <c r="E2" s="5"/>
      <c r="F2" s="5"/>
      <c r="R2" s="18"/>
      <c r="AC2" s="22" t="str">
        <f>text(C1-7,"mm/dd/yy")</f>
        <v>01/17/26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38.0</v>
      </c>
      <c r="D5" s="37">
        <v>6.0</v>
      </c>
      <c r="E5" s="40">
        <f t="shared" ref="E5:E79" si="2">if(S5&gt;0,(C5-(V5*9)-(T5*13))/S5,0)</f>
        <v>12.66666667</v>
      </c>
      <c r="F5" s="90">
        <v>1.0</v>
      </c>
      <c r="G5" s="91">
        <v>1.0</v>
      </c>
      <c r="H5" s="92">
        <v>0.0</v>
      </c>
      <c r="I5" s="91">
        <v>6.0</v>
      </c>
      <c r="J5" s="91">
        <v>2.0</v>
      </c>
      <c r="K5" s="91">
        <v>3.0</v>
      </c>
      <c r="L5" s="93">
        <v>11.0</v>
      </c>
      <c r="M5" s="91">
        <v>1.0</v>
      </c>
      <c r="N5" s="37">
        <f t="shared" ref="N5:O5" si="1">C5+L5</f>
        <v>49</v>
      </c>
      <c r="O5" s="37">
        <f t="shared" si="1"/>
        <v>7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3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0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59</v>
      </c>
      <c r="C6" s="37">
        <v>35.0</v>
      </c>
      <c r="D6" s="37">
        <v>4.0</v>
      </c>
      <c r="E6" s="40">
        <f t="shared" si="2"/>
        <v>11.66666667</v>
      </c>
      <c r="F6" s="90">
        <v>1.0</v>
      </c>
      <c r="G6" s="91">
        <v>1.0</v>
      </c>
      <c r="H6" s="92">
        <v>0.0</v>
      </c>
      <c r="I6" s="91">
        <v>0.0</v>
      </c>
      <c r="J6" s="91">
        <v>6.0</v>
      </c>
      <c r="K6" s="91">
        <v>3.0</v>
      </c>
      <c r="L6" s="93">
        <v>9.0</v>
      </c>
      <c r="M6" s="91">
        <v>1.0</v>
      </c>
      <c r="N6" s="37">
        <f t="shared" ref="N6:O6" si="3">C6+L6</f>
        <v>44</v>
      </c>
      <c r="O6" s="37">
        <f t="shared" si="3"/>
        <v>5</v>
      </c>
      <c r="P6" s="49" t="s">
        <v>57</v>
      </c>
      <c r="Q6" s="49" t="s">
        <v>57</v>
      </c>
      <c r="R6" s="49" t="s">
        <v>57</v>
      </c>
      <c r="S6" s="51">
        <f t="shared" si="4"/>
        <v>3</v>
      </c>
      <c r="T6" s="52">
        <f t="shared" si="5"/>
        <v>0</v>
      </c>
      <c r="U6" s="52"/>
      <c r="V6" s="51">
        <f t="shared" si="6"/>
        <v>0</v>
      </c>
      <c r="W6" s="52">
        <f t="shared" si="7"/>
        <v>3</v>
      </c>
      <c r="X6" s="35">
        <f t="shared" ref="X6:X79" si="12">X5+1</f>
        <v>2</v>
      </c>
      <c r="Y6" s="35" t="str">
        <f t="shared" si="8"/>
        <v>Y</v>
      </c>
      <c r="Z6" s="19" t="str">
        <f t="shared" si="9"/>
        <v/>
      </c>
    </row>
    <row r="7">
      <c r="A7" s="35">
        <f t="shared" si="10"/>
        <v>3</v>
      </c>
      <c r="B7" s="36" t="s">
        <v>128</v>
      </c>
      <c r="C7" s="37">
        <v>35.0</v>
      </c>
      <c r="D7" s="37">
        <v>4.0</v>
      </c>
      <c r="E7" s="40">
        <f t="shared" si="2"/>
        <v>11.66666667</v>
      </c>
      <c r="F7" s="90">
        <v>1.0</v>
      </c>
      <c r="G7" s="91">
        <v>1.0</v>
      </c>
      <c r="H7" s="92">
        <v>0.0</v>
      </c>
      <c r="I7" s="91">
        <v>0.0</v>
      </c>
      <c r="J7" s="91">
        <v>2.0</v>
      </c>
      <c r="K7" s="91">
        <v>6.0</v>
      </c>
      <c r="L7" s="93">
        <v>8.0</v>
      </c>
      <c r="M7" s="91">
        <v>1.0</v>
      </c>
      <c r="N7" s="37">
        <f t="shared" ref="N7:O7" si="11">C7+L7</f>
        <v>43</v>
      </c>
      <c r="O7" s="37">
        <f t="shared" si="11"/>
        <v>5</v>
      </c>
      <c r="P7" s="49" t="s">
        <v>57</v>
      </c>
      <c r="Q7" s="49" t="s">
        <v>57</v>
      </c>
      <c r="R7" s="49" t="s">
        <v>57</v>
      </c>
      <c r="S7" s="51">
        <f t="shared" si="4"/>
        <v>3</v>
      </c>
      <c r="T7" s="52">
        <f t="shared" si="5"/>
        <v>0</v>
      </c>
      <c r="U7" s="52"/>
      <c r="V7" s="51">
        <f t="shared" si="6"/>
        <v>0</v>
      </c>
      <c r="W7" s="52">
        <f t="shared" si="7"/>
        <v>7</v>
      </c>
      <c r="X7" s="35">
        <f t="shared" si="12"/>
        <v>3</v>
      </c>
      <c r="Y7" s="35" t="str">
        <f t="shared" si="8"/>
        <v>Y</v>
      </c>
      <c r="Z7" s="19" t="str">
        <f t="shared" si="9"/>
        <v/>
      </c>
    </row>
    <row r="8">
      <c r="A8" s="35">
        <f t="shared" si="10"/>
        <v>4</v>
      </c>
      <c r="B8" s="36" t="s">
        <v>68</v>
      </c>
      <c r="C8" s="37">
        <v>34.0</v>
      </c>
      <c r="D8" s="37">
        <v>4.0</v>
      </c>
      <c r="E8" s="40">
        <f t="shared" si="2"/>
        <v>11.33333333</v>
      </c>
      <c r="F8" s="90">
        <v>1.0</v>
      </c>
      <c r="G8" s="91">
        <v>1.0</v>
      </c>
      <c r="H8" s="92">
        <v>0.0</v>
      </c>
      <c r="I8" s="91">
        <v>6.0</v>
      </c>
      <c r="J8" s="91">
        <v>6.0</v>
      </c>
      <c r="K8" s="91">
        <v>6.0</v>
      </c>
      <c r="L8" s="93">
        <v>18.0</v>
      </c>
      <c r="M8" s="91">
        <v>3.0</v>
      </c>
      <c r="N8" s="37">
        <f t="shared" ref="N8:O8" si="13">C8+L8</f>
        <v>52</v>
      </c>
      <c r="O8" s="37">
        <f t="shared" si="13"/>
        <v>7</v>
      </c>
      <c r="P8" s="49" t="s">
        <v>57</v>
      </c>
      <c r="Q8" s="49" t="s">
        <v>57</v>
      </c>
      <c r="R8" s="49" t="s">
        <v>57</v>
      </c>
      <c r="S8" s="51">
        <f t="shared" si="4"/>
        <v>3</v>
      </c>
      <c r="T8" s="52">
        <f t="shared" si="5"/>
        <v>0</v>
      </c>
      <c r="U8" s="52"/>
      <c r="V8" s="51">
        <f t="shared" si="6"/>
        <v>0</v>
      </c>
      <c r="W8" s="52">
        <f t="shared" si="7"/>
        <v>2</v>
      </c>
      <c r="X8" s="35">
        <f t="shared" si="12"/>
        <v>4</v>
      </c>
      <c r="Y8" s="35" t="str">
        <f t="shared" si="8"/>
        <v>Y</v>
      </c>
      <c r="Z8" s="19" t="str">
        <f t="shared" si="9"/>
        <v/>
      </c>
    </row>
    <row r="9">
      <c r="A9" s="35">
        <f t="shared" si="10"/>
        <v>5</v>
      </c>
      <c r="B9" s="36" t="s">
        <v>115</v>
      </c>
      <c r="C9" s="37">
        <v>34.0</v>
      </c>
      <c r="D9" s="37">
        <v>4.0</v>
      </c>
      <c r="E9" s="40">
        <f t="shared" si="2"/>
        <v>11.33333333</v>
      </c>
      <c r="F9" s="90">
        <v>1.0</v>
      </c>
      <c r="G9" s="91">
        <v>2.0</v>
      </c>
      <c r="H9" s="92">
        <v>0.0</v>
      </c>
      <c r="I9" s="91">
        <v>1.0</v>
      </c>
      <c r="J9" s="91">
        <v>7.0</v>
      </c>
      <c r="K9" s="91">
        <v>4.0</v>
      </c>
      <c r="L9" s="93">
        <v>12.0</v>
      </c>
      <c r="M9" s="91">
        <v>1.0</v>
      </c>
      <c r="N9" s="37">
        <f t="shared" ref="N9:O9" si="14">C9+L9</f>
        <v>46</v>
      </c>
      <c r="O9" s="37">
        <f t="shared" si="14"/>
        <v>5</v>
      </c>
      <c r="P9" s="49" t="s">
        <v>57</v>
      </c>
      <c r="Q9" s="49" t="s">
        <v>57</v>
      </c>
      <c r="R9" s="49" t="s">
        <v>57</v>
      </c>
      <c r="S9" s="51">
        <f t="shared" si="4"/>
        <v>3</v>
      </c>
      <c r="T9" s="52">
        <f t="shared" si="5"/>
        <v>0</v>
      </c>
      <c r="U9" s="52"/>
      <c r="V9" s="51">
        <f t="shared" si="6"/>
        <v>0</v>
      </c>
      <c r="W9" s="52">
        <f t="shared" si="7"/>
        <v>19</v>
      </c>
      <c r="X9" s="35">
        <f t="shared" si="12"/>
        <v>5</v>
      </c>
      <c r="Y9" s="35" t="str">
        <f t="shared" si="8"/>
        <v>Y</v>
      </c>
      <c r="Z9" s="19" t="str">
        <f t="shared" si="9"/>
        <v/>
      </c>
    </row>
    <row r="10">
      <c r="A10" s="35">
        <f t="shared" si="10"/>
        <v>6</v>
      </c>
      <c r="B10" s="36" t="s">
        <v>108</v>
      </c>
      <c r="C10" s="37">
        <v>33.0</v>
      </c>
      <c r="D10" s="37">
        <v>4.0</v>
      </c>
      <c r="E10" s="40">
        <f t="shared" si="2"/>
        <v>11</v>
      </c>
      <c r="F10" s="90">
        <v>1.0</v>
      </c>
      <c r="G10" s="91">
        <v>2.0</v>
      </c>
      <c r="H10" s="92">
        <v>0.0</v>
      </c>
      <c r="I10" s="91">
        <v>1.0</v>
      </c>
      <c r="J10" s="91">
        <v>5.0</v>
      </c>
      <c r="K10" s="91">
        <v>6.0</v>
      </c>
      <c r="L10" s="93">
        <v>12.0</v>
      </c>
      <c r="M10" s="91">
        <v>1.0</v>
      </c>
      <c r="N10" s="37">
        <f t="shared" ref="N10:O10" si="15">C10+L10</f>
        <v>45</v>
      </c>
      <c r="O10" s="37">
        <f t="shared" si="15"/>
        <v>5</v>
      </c>
      <c r="P10" s="49" t="s">
        <v>57</v>
      </c>
      <c r="Q10" s="49" t="s">
        <v>57</v>
      </c>
      <c r="R10" s="49" t="s">
        <v>57</v>
      </c>
      <c r="S10" s="51">
        <f t="shared" si="4"/>
        <v>3</v>
      </c>
      <c r="T10" s="52">
        <f t="shared" si="5"/>
        <v>0</v>
      </c>
      <c r="U10" s="52"/>
      <c r="V10" s="51">
        <f t="shared" si="6"/>
        <v>0</v>
      </c>
      <c r="W10" s="52">
        <f t="shared" si="7"/>
        <v>-4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111</v>
      </c>
      <c r="C11" s="37">
        <v>32.0</v>
      </c>
      <c r="D11" s="37">
        <v>4.0</v>
      </c>
      <c r="E11" s="40">
        <f t="shared" si="2"/>
        <v>10.66666667</v>
      </c>
      <c r="F11" s="90">
        <v>1.0</v>
      </c>
      <c r="G11" s="91">
        <v>2.0</v>
      </c>
      <c r="H11" s="92">
        <v>0.0</v>
      </c>
      <c r="I11" s="91">
        <v>6.0</v>
      </c>
      <c r="J11" s="91">
        <v>7.0</v>
      </c>
      <c r="K11" s="91">
        <v>6.0</v>
      </c>
      <c r="L11" s="93">
        <v>19.0</v>
      </c>
      <c r="M11" s="91">
        <v>3.0</v>
      </c>
      <c r="N11" s="37">
        <f t="shared" ref="N11:O11" si="16">C11+L11</f>
        <v>51</v>
      </c>
      <c r="O11" s="37">
        <f t="shared" si="16"/>
        <v>7</v>
      </c>
      <c r="P11" s="49" t="s">
        <v>57</v>
      </c>
      <c r="Q11" s="49" t="s">
        <v>57</v>
      </c>
      <c r="R11" s="49" t="s">
        <v>57</v>
      </c>
      <c r="S11" s="51">
        <f t="shared" si="4"/>
        <v>3</v>
      </c>
      <c r="T11" s="52">
        <f t="shared" si="5"/>
        <v>0</v>
      </c>
      <c r="U11" s="52"/>
      <c r="V11" s="51">
        <f t="shared" si="6"/>
        <v>0</v>
      </c>
      <c r="W11" s="52">
        <f t="shared" si="7"/>
        <v>0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89</v>
      </c>
      <c r="C12" s="37">
        <v>32.0</v>
      </c>
      <c r="D12" s="37">
        <v>4.0</v>
      </c>
      <c r="E12" s="40">
        <f t="shared" si="2"/>
        <v>11.5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41</v>
      </c>
      <c r="O12" s="37">
        <f t="shared" si="17"/>
        <v>4</v>
      </c>
      <c r="P12" s="49" t="s">
        <v>57</v>
      </c>
      <c r="Q12" s="49" t="s">
        <v>57</v>
      </c>
      <c r="R12" s="49" t="s">
        <v>57</v>
      </c>
      <c r="S12" s="51">
        <f t="shared" si="4"/>
        <v>2</v>
      </c>
      <c r="T12" s="52">
        <f t="shared" si="5"/>
        <v>0</v>
      </c>
      <c r="U12" s="52"/>
      <c r="V12" s="51">
        <f t="shared" si="6"/>
        <v>1</v>
      </c>
      <c r="W12" s="52">
        <f t="shared" si="7"/>
        <v>17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77</v>
      </c>
      <c r="C13" s="37">
        <v>31.0</v>
      </c>
      <c r="D13" s="37">
        <v>4.0</v>
      </c>
      <c r="E13" s="40">
        <f t="shared" si="2"/>
        <v>10.33333333</v>
      </c>
      <c r="F13" s="90">
        <v>1.0</v>
      </c>
      <c r="G13" s="91">
        <v>2.0</v>
      </c>
      <c r="H13" s="92">
        <v>0.0</v>
      </c>
      <c r="I13" s="91">
        <v>6.0</v>
      </c>
      <c r="J13" s="91">
        <v>5.0</v>
      </c>
      <c r="K13" s="91">
        <v>4.0</v>
      </c>
      <c r="L13" s="93">
        <v>15.0</v>
      </c>
      <c r="M13" s="91">
        <v>1.0</v>
      </c>
      <c r="N13" s="37">
        <f t="shared" ref="N13:O13" si="18">C13+L13</f>
        <v>46</v>
      </c>
      <c r="O13" s="37">
        <f t="shared" si="18"/>
        <v>5</v>
      </c>
      <c r="P13" s="49" t="s">
        <v>57</v>
      </c>
      <c r="Q13" s="49" t="s">
        <v>57</v>
      </c>
      <c r="R13" s="49" t="s">
        <v>57</v>
      </c>
      <c r="S13" s="51">
        <f t="shared" si="4"/>
        <v>3</v>
      </c>
      <c r="T13" s="52">
        <f t="shared" si="5"/>
        <v>0</v>
      </c>
      <c r="U13" s="52"/>
      <c r="V13" s="51">
        <f t="shared" si="6"/>
        <v>0</v>
      </c>
      <c r="W13" s="52">
        <f t="shared" si="7"/>
        <v>22</v>
      </c>
      <c r="X13" s="35">
        <f t="shared" si="12"/>
        <v>9</v>
      </c>
      <c r="Y13" s="35" t="str">
        <f t="shared" si="8"/>
        <v>Y</v>
      </c>
      <c r="Z13" s="19" t="str">
        <f t="shared" si="9"/>
        <v/>
      </c>
    </row>
    <row r="14">
      <c r="A14" s="35">
        <f t="shared" si="10"/>
        <v>10</v>
      </c>
      <c r="B14" s="36" t="s">
        <v>96</v>
      </c>
      <c r="C14" s="37">
        <v>31.0</v>
      </c>
      <c r="D14" s="37">
        <v>3.0</v>
      </c>
      <c r="E14" s="40">
        <f t="shared" si="2"/>
        <v>10.33333333</v>
      </c>
      <c r="F14" s="90">
        <v>1.0</v>
      </c>
      <c r="G14" s="91">
        <v>3.0</v>
      </c>
      <c r="H14" s="92">
        <v>0.0</v>
      </c>
      <c r="I14" s="91">
        <v>6.0</v>
      </c>
      <c r="J14" s="91">
        <v>6.0</v>
      </c>
      <c r="K14" s="91">
        <v>6.0</v>
      </c>
      <c r="L14" s="93">
        <v>18.0</v>
      </c>
      <c r="M14" s="91">
        <v>2.0</v>
      </c>
      <c r="N14" s="37">
        <f t="shared" ref="N14:O14" si="19">C14+L14</f>
        <v>49</v>
      </c>
      <c r="O14" s="37">
        <f t="shared" si="19"/>
        <v>5</v>
      </c>
      <c r="P14" s="49" t="s">
        <v>57</v>
      </c>
      <c r="Q14" s="49" t="s">
        <v>57</v>
      </c>
      <c r="R14" s="49" t="s">
        <v>57</v>
      </c>
      <c r="S14" s="51">
        <f t="shared" si="4"/>
        <v>3</v>
      </c>
      <c r="T14" s="52">
        <f t="shared" si="5"/>
        <v>0</v>
      </c>
      <c r="U14" s="52"/>
      <c r="V14" s="51">
        <f t="shared" si="6"/>
        <v>0</v>
      </c>
      <c r="W14" s="52">
        <f t="shared" si="7"/>
        <v>-2</v>
      </c>
      <c r="X14" s="35">
        <f t="shared" si="12"/>
        <v>10</v>
      </c>
      <c r="Y14" s="35" t="str">
        <f t="shared" si="8"/>
        <v>Y</v>
      </c>
      <c r="Z14" s="19" t="str">
        <f t="shared" si="9"/>
        <v/>
      </c>
    </row>
    <row r="15">
      <c r="A15" s="35">
        <f t="shared" si="10"/>
        <v>11</v>
      </c>
      <c r="B15" s="36" t="s">
        <v>99</v>
      </c>
      <c r="C15" s="37">
        <v>31.0</v>
      </c>
      <c r="D15" s="37">
        <v>3.0</v>
      </c>
      <c r="E15" s="40">
        <f t="shared" si="2"/>
        <v>10.33333333</v>
      </c>
      <c r="F15" s="90">
        <v>2.0</v>
      </c>
      <c r="G15" s="91">
        <v>3.0</v>
      </c>
      <c r="H15" s="92">
        <v>0.0</v>
      </c>
      <c r="I15" s="91">
        <v>7.0</v>
      </c>
      <c r="J15" s="91">
        <v>6.0</v>
      </c>
      <c r="K15" s="91">
        <v>2.0</v>
      </c>
      <c r="L15" s="93">
        <v>15.0</v>
      </c>
      <c r="M15" s="91">
        <v>2.0</v>
      </c>
      <c r="N15" s="37">
        <f t="shared" ref="N15:O15" si="20">C15+L15</f>
        <v>46</v>
      </c>
      <c r="O15" s="37">
        <f t="shared" si="20"/>
        <v>5</v>
      </c>
      <c r="P15" s="49" t="s">
        <v>57</v>
      </c>
      <c r="Q15" s="49" t="s">
        <v>57</v>
      </c>
      <c r="R15" s="49" t="s">
        <v>57</v>
      </c>
      <c r="S15" s="51">
        <f t="shared" si="4"/>
        <v>3</v>
      </c>
      <c r="T15" s="52">
        <f t="shared" si="5"/>
        <v>0</v>
      </c>
      <c r="U15" s="52"/>
      <c r="V15" s="51">
        <f t="shared" si="6"/>
        <v>0</v>
      </c>
      <c r="W15" s="52">
        <f t="shared" si="7"/>
        <v>7</v>
      </c>
      <c r="X15" s="35">
        <f t="shared" si="12"/>
        <v>11</v>
      </c>
      <c r="Y15" s="35" t="str">
        <f t="shared" si="8"/>
        <v>Y</v>
      </c>
      <c r="Z15" s="19" t="str">
        <f t="shared" si="9"/>
        <v/>
      </c>
    </row>
    <row r="16">
      <c r="A16" s="35">
        <f t="shared" si="10"/>
        <v>12</v>
      </c>
      <c r="B16" s="36" t="s">
        <v>117</v>
      </c>
      <c r="C16" s="37">
        <v>30.0</v>
      </c>
      <c r="D16" s="37">
        <v>3.0</v>
      </c>
      <c r="E16" s="40">
        <f t="shared" si="2"/>
        <v>10</v>
      </c>
      <c r="F16" s="90">
        <v>2.0</v>
      </c>
      <c r="G16" s="91">
        <v>3.0</v>
      </c>
      <c r="H16" s="92">
        <v>0.0</v>
      </c>
      <c r="I16" s="91">
        <v>7.0</v>
      </c>
      <c r="J16" s="91">
        <v>0.0</v>
      </c>
      <c r="K16" s="91">
        <v>6.0</v>
      </c>
      <c r="L16" s="93">
        <v>13.0</v>
      </c>
      <c r="M16" s="91">
        <v>2.0</v>
      </c>
      <c r="N16" s="37">
        <f t="shared" ref="N16:O16" si="21">C16+L16</f>
        <v>43</v>
      </c>
      <c r="O16" s="37">
        <f t="shared" si="21"/>
        <v>5</v>
      </c>
      <c r="P16" s="49" t="s">
        <v>57</v>
      </c>
      <c r="Q16" s="49" t="s">
        <v>57</v>
      </c>
      <c r="R16" s="49" t="s">
        <v>57</v>
      </c>
      <c r="S16" s="51">
        <f t="shared" si="4"/>
        <v>3</v>
      </c>
      <c r="T16" s="52">
        <f t="shared" si="5"/>
        <v>0</v>
      </c>
      <c r="U16" s="52"/>
      <c r="V16" s="51">
        <f t="shared" si="6"/>
        <v>0</v>
      </c>
      <c r="W16" s="52">
        <f t="shared" si="7"/>
        <v>-3</v>
      </c>
      <c r="X16" s="35">
        <f t="shared" si="12"/>
        <v>12</v>
      </c>
      <c r="Y16" s="35" t="str">
        <f t="shared" si="8"/>
        <v>Y</v>
      </c>
      <c r="Z16" s="19" t="str">
        <f t="shared" si="9"/>
        <v/>
      </c>
    </row>
    <row r="17">
      <c r="A17" s="35">
        <f t="shared" si="10"/>
        <v>13</v>
      </c>
      <c r="B17" s="36" t="s">
        <v>139</v>
      </c>
      <c r="C17" s="37">
        <v>29.0</v>
      </c>
      <c r="D17" s="37">
        <v>4.0</v>
      </c>
      <c r="E17" s="40">
        <f t="shared" si="2"/>
        <v>9.666666667</v>
      </c>
      <c r="F17" s="90">
        <v>2.0</v>
      </c>
      <c r="G17" s="91">
        <v>3.0</v>
      </c>
      <c r="H17" s="92">
        <v>0.0</v>
      </c>
      <c r="I17" s="91">
        <v>6.0</v>
      </c>
      <c r="J17" s="91">
        <v>0.0</v>
      </c>
      <c r="K17" s="91">
        <v>2.0</v>
      </c>
      <c r="L17" s="93">
        <v>8.0</v>
      </c>
      <c r="M17" s="91">
        <v>0.0</v>
      </c>
      <c r="N17" s="37">
        <f t="shared" ref="N17:O17" si="22">C17+L17</f>
        <v>37</v>
      </c>
      <c r="O17" s="37">
        <f t="shared" si="22"/>
        <v>4</v>
      </c>
      <c r="P17" s="49" t="s">
        <v>57</v>
      </c>
      <c r="Q17" s="49" t="s">
        <v>57</v>
      </c>
      <c r="R17" s="49" t="s">
        <v>57</v>
      </c>
      <c r="S17" s="51">
        <f t="shared" si="4"/>
        <v>3</v>
      </c>
      <c r="T17" s="52">
        <f t="shared" si="5"/>
        <v>0</v>
      </c>
      <c r="U17" s="52"/>
      <c r="V17" s="51">
        <f t="shared" si="6"/>
        <v>0</v>
      </c>
      <c r="W17" s="52">
        <f t="shared" si="7"/>
        <v>3</v>
      </c>
      <c r="X17" s="35">
        <f t="shared" si="12"/>
        <v>13</v>
      </c>
      <c r="Y17" s="35" t="str">
        <f t="shared" si="8"/>
        <v>Y</v>
      </c>
      <c r="Z17" s="19" t="str">
        <f t="shared" si="9"/>
        <v/>
      </c>
    </row>
    <row r="18">
      <c r="A18" s="35">
        <f t="shared" si="10"/>
        <v>14</v>
      </c>
      <c r="B18" s="36" t="s">
        <v>100</v>
      </c>
      <c r="C18" s="37">
        <v>29.0</v>
      </c>
      <c r="D18" s="37">
        <v>4.0</v>
      </c>
      <c r="E18" s="40">
        <f t="shared" si="2"/>
        <v>9.666666667</v>
      </c>
      <c r="F18" s="90">
        <v>1.0</v>
      </c>
      <c r="G18" s="91">
        <v>4.0</v>
      </c>
      <c r="H18" s="92">
        <v>0.0</v>
      </c>
      <c r="I18" s="91">
        <v>3.0</v>
      </c>
      <c r="J18" s="91">
        <v>6.0</v>
      </c>
      <c r="K18" s="91">
        <v>6.0</v>
      </c>
      <c r="L18" s="93">
        <v>15.0</v>
      </c>
      <c r="M18" s="91">
        <v>2.0</v>
      </c>
      <c r="N18" s="37">
        <f t="shared" ref="N18:O18" si="23">C18+L18</f>
        <v>44</v>
      </c>
      <c r="O18" s="37">
        <f t="shared" si="23"/>
        <v>6</v>
      </c>
      <c r="P18" s="49" t="s">
        <v>57</v>
      </c>
      <c r="Q18" s="49" t="s">
        <v>57</v>
      </c>
      <c r="R18" s="49" t="s">
        <v>57</v>
      </c>
      <c r="S18" s="51">
        <f t="shared" si="4"/>
        <v>3</v>
      </c>
      <c r="T18" s="52">
        <f t="shared" si="5"/>
        <v>0</v>
      </c>
      <c r="U18" s="52"/>
      <c r="V18" s="51">
        <f t="shared" si="6"/>
        <v>0</v>
      </c>
      <c r="W18" s="52">
        <f t="shared" si="7"/>
        <v>3</v>
      </c>
      <c r="X18" s="35">
        <f t="shared" si="12"/>
        <v>14</v>
      </c>
      <c r="Y18" s="35" t="str">
        <f t="shared" si="8"/>
        <v>Y</v>
      </c>
      <c r="Z18" s="19" t="str">
        <f t="shared" si="9"/>
        <v/>
      </c>
    </row>
    <row r="19">
      <c r="A19" s="35">
        <f t="shared" si="10"/>
        <v>15</v>
      </c>
      <c r="B19" s="36" t="s">
        <v>118</v>
      </c>
      <c r="C19" s="37">
        <v>29.0</v>
      </c>
      <c r="D19" s="37">
        <v>2.0</v>
      </c>
      <c r="E19" s="40">
        <f t="shared" si="2"/>
        <v>9.666666667</v>
      </c>
      <c r="F19" s="90">
        <v>1.0</v>
      </c>
      <c r="G19" s="91">
        <v>4.0</v>
      </c>
      <c r="H19" s="92">
        <v>0.0</v>
      </c>
      <c r="I19" s="91">
        <v>3.0</v>
      </c>
      <c r="J19" s="91">
        <v>3.0</v>
      </c>
      <c r="K19" s="91">
        <v>1.0</v>
      </c>
      <c r="L19" s="93">
        <v>7.0</v>
      </c>
      <c r="M19" s="91">
        <v>0.0</v>
      </c>
      <c r="N19" s="37">
        <f t="shared" ref="N19:O19" si="24">C19+L19</f>
        <v>36</v>
      </c>
      <c r="O19" s="37">
        <f t="shared" si="24"/>
        <v>2</v>
      </c>
      <c r="P19" s="49" t="s">
        <v>57</v>
      </c>
      <c r="Q19" s="49" t="s">
        <v>57</v>
      </c>
      <c r="R19" s="49" t="s">
        <v>57</v>
      </c>
      <c r="S19" s="51">
        <f t="shared" si="4"/>
        <v>3</v>
      </c>
      <c r="T19" s="52">
        <f t="shared" si="5"/>
        <v>0</v>
      </c>
      <c r="U19" s="52"/>
      <c r="V19" s="51">
        <f t="shared" si="6"/>
        <v>0</v>
      </c>
      <c r="W19" s="52">
        <f t="shared" si="7"/>
        <v>4</v>
      </c>
      <c r="X19" s="35">
        <f t="shared" si="12"/>
        <v>15</v>
      </c>
      <c r="Y19" s="35" t="str">
        <f t="shared" si="8"/>
        <v>Y</v>
      </c>
      <c r="Z19" s="19" t="str">
        <f t="shared" si="9"/>
        <v/>
      </c>
    </row>
    <row r="20">
      <c r="A20" s="35">
        <f t="shared" si="10"/>
        <v>16</v>
      </c>
      <c r="B20" s="36" t="s">
        <v>104</v>
      </c>
      <c r="C20" s="37">
        <v>28.0</v>
      </c>
      <c r="D20" s="37">
        <v>3.0</v>
      </c>
      <c r="E20" s="40">
        <f t="shared" si="2"/>
        <v>9.5</v>
      </c>
      <c r="F20" s="90">
        <v>2.0</v>
      </c>
      <c r="G20" s="91">
        <v>4.0</v>
      </c>
      <c r="H20" s="92">
        <v>0.0</v>
      </c>
      <c r="I20" s="91">
        <v>6.0</v>
      </c>
      <c r="J20" s="91">
        <v>3.0</v>
      </c>
      <c r="K20" s="91">
        <v>6.0</v>
      </c>
      <c r="L20" s="93">
        <v>15.0</v>
      </c>
      <c r="M20" s="91">
        <v>2.0</v>
      </c>
      <c r="N20" s="37">
        <f t="shared" ref="N20:O20" si="25">C20+L20</f>
        <v>43</v>
      </c>
      <c r="O20" s="37">
        <f t="shared" si="25"/>
        <v>5</v>
      </c>
      <c r="P20" s="49" t="s">
        <v>57</v>
      </c>
      <c r="Q20" s="49" t="s">
        <v>57</v>
      </c>
      <c r="R20" s="49" t="s">
        <v>57</v>
      </c>
      <c r="S20" s="51">
        <f t="shared" si="4"/>
        <v>2</v>
      </c>
      <c r="T20" s="52">
        <f t="shared" si="5"/>
        <v>0</v>
      </c>
      <c r="U20" s="52"/>
      <c r="V20" s="51">
        <f t="shared" si="6"/>
        <v>1</v>
      </c>
      <c r="W20" s="52">
        <f t="shared" si="7"/>
        <v>-13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114</v>
      </c>
      <c r="C21" s="37">
        <v>28.0</v>
      </c>
      <c r="D21" s="37">
        <v>3.0</v>
      </c>
      <c r="E21" s="40">
        <f t="shared" si="2"/>
        <v>9.5</v>
      </c>
      <c r="F21" s="90">
        <v>1.0</v>
      </c>
      <c r="G21" s="91">
        <v>4.0</v>
      </c>
      <c r="H21" s="92">
        <v>0.0</v>
      </c>
      <c r="I21" s="91">
        <v>6.0</v>
      </c>
      <c r="J21" s="91">
        <v>6.0</v>
      </c>
      <c r="K21" s="91">
        <v>1.0</v>
      </c>
      <c r="L21" s="93">
        <v>13.0</v>
      </c>
      <c r="M21" s="91">
        <v>2.0</v>
      </c>
      <c r="N21" s="37">
        <f t="shared" ref="N21:O21" si="26">C21+L21</f>
        <v>41</v>
      </c>
      <c r="O21" s="37">
        <f t="shared" si="26"/>
        <v>5</v>
      </c>
      <c r="P21" s="49" t="s">
        <v>57</v>
      </c>
      <c r="Q21" s="49" t="s">
        <v>57</v>
      </c>
      <c r="R21" s="49" t="s">
        <v>57</v>
      </c>
      <c r="S21" s="51">
        <f t="shared" si="4"/>
        <v>2</v>
      </c>
      <c r="T21" s="52">
        <f t="shared" si="5"/>
        <v>0</v>
      </c>
      <c r="U21" s="52"/>
      <c r="V21" s="51">
        <f t="shared" si="6"/>
        <v>1</v>
      </c>
      <c r="W21" s="52">
        <f t="shared" si="7"/>
        <v>-13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127</v>
      </c>
      <c r="C22" s="37">
        <v>28.0</v>
      </c>
      <c r="D22" s="37">
        <v>3.0</v>
      </c>
      <c r="E22" s="40">
        <f t="shared" si="2"/>
        <v>9.5</v>
      </c>
      <c r="F22" s="90">
        <v>1.0</v>
      </c>
      <c r="G22" s="91">
        <v>5.0</v>
      </c>
      <c r="H22" s="92">
        <v>0.0</v>
      </c>
      <c r="I22" s="91">
        <v>2.0</v>
      </c>
      <c r="J22" s="91">
        <v>6.0</v>
      </c>
      <c r="K22" s="91">
        <v>6.0</v>
      </c>
      <c r="L22" s="93">
        <v>14.0</v>
      </c>
      <c r="M22" s="91">
        <v>2.0</v>
      </c>
      <c r="N22" s="37">
        <f t="shared" ref="N22:O22" si="27">C22+L22</f>
        <v>42</v>
      </c>
      <c r="O22" s="37">
        <f t="shared" si="27"/>
        <v>5</v>
      </c>
      <c r="P22" s="49" t="s">
        <v>57</v>
      </c>
      <c r="Q22" s="49" t="s">
        <v>57</v>
      </c>
      <c r="R22" s="49" t="s">
        <v>57</v>
      </c>
      <c r="S22" s="51">
        <f t="shared" si="4"/>
        <v>2</v>
      </c>
      <c r="T22" s="52">
        <f t="shared" si="5"/>
        <v>0</v>
      </c>
      <c r="U22" s="52"/>
      <c r="V22" s="51">
        <f t="shared" si="6"/>
        <v>1</v>
      </c>
      <c r="W22" s="52">
        <f t="shared" si="7"/>
        <v>40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140</v>
      </c>
      <c r="C23" s="37">
        <v>28.0</v>
      </c>
      <c r="D23" s="37">
        <v>2.0</v>
      </c>
      <c r="E23" s="40">
        <f t="shared" si="2"/>
        <v>9.5</v>
      </c>
      <c r="F23" s="90">
        <v>3.0</v>
      </c>
      <c r="G23" s="91">
        <v>0.0</v>
      </c>
      <c r="H23" s="92">
        <v>9.0</v>
      </c>
      <c r="I23" s="91">
        <v>0.0</v>
      </c>
      <c r="J23" s="91">
        <v>0.0</v>
      </c>
      <c r="K23" s="91">
        <v>0.0</v>
      </c>
      <c r="L23" s="93">
        <v>9.0</v>
      </c>
      <c r="M23" s="91">
        <v>0.0</v>
      </c>
      <c r="N23" s="37">
        <f t="shared" ref="N23:O23" si="28">C23+L23</f>
        <v>37</v>
      </c>
      <c r="O23" s="37">
        <f t="shared" si="28"/>
        <v>2</v>
      </c>
      <c r="P23" s="49" t="s">
        <v>57</v>
      </c>
      <c r="Q23" s="49" t="s">
        <v>57</v>
      </c>
      <c r="R23" s="49" t="s">
        <v>57</v>
      </c>
      <c r="S23" s="51">
        <f t="shared" si="4"/>
        <v>2</v>
      </c>
      <c r="T23" s="52">
        <f t="shared" si="5"/>
        <v>0</v>
      </c>
      <c r="U23" s="52"/>
      <c r="V23" s="51">
        <f t="shared" si="6"/>
        <v>1</v>
      </c>
      <c r="W23" s="52">
        <f t="shared" si="7"/>
        <v>1</v>
      </c>
      <c r="X23" s="35">
        <f t="shared" si="12"/>
        <v>19</v>
      </c>
      <c r="Y23" s="35" t="str">
        <f t="shared" si="8"/>
        <v>N</v>
      </c>
      <c r="Z23" s="19" t="str">
        <f t="shared" si="9"/>
        <v/>
      </c>
    </row>
    <row r="24">
      <c r="A24" s="35">
        <f t="shared" si="10"/>
        <v>20</v>
      </c>
      <c r="B24" s="36" t="s">
        <v>137</v>
      </c>
      <c r="C24" s="37">
        <v>27.0</v>
      </c>
      <c r="D24" s="37">
        <v>3.0</v>
      </c>
      <c r="E24" s="40">
        <f t="shared" si="2"/>
        <v>9</v>
      </c>
      <c r="F24" s="90">
        <v>1.0</v>
      </c>
      <c r="G24" s="91">
        <v>5.0</v>
      </c>
      <c r="H24" s="92">
        <v>0.0</v>
      </c>
      <c r="I24" s="91">
        <v>6.0</v>
      </c>
      <c r="J24" s="91">
        <v>6.0</v>
      </c>
      <c r="K24" s="91">
        <v>2.0</v>
      </c>
      <c r="L24" s="93">
        <v>14.0</v>
      </c>
      <c r="M24" s="91">
        <v>2.0</v>
      </c>
      <c r="N24" s="37">
        <f t="shared" ref="N24:O24" si="29">C24+L24</f>
        <v>41</v>
      </c>
      <c r="O24" s="37">
        <f t="shared" si="29"/>
        <v>5</v>
      </c>
      <c r="P24" s="49" t="s">
        <v>57</v>
      </c>
      <c r="Q24" s="49" t="s">
        <v>57</v>
      </c>
      <c r="R24" s="49" t="s">
        <v>57</v>
      </c>
      <c r="S24" s="51">
        <f t="shared" si="4"/>
        <v>3</v>
      </c>
      <c r="T24" s="52">
        <f t="shared" si="5"/>
        <v>0</v>
      </c>
      <c r="U24" s="52"/>
      <c r="V24" s="51">
        <f t="shared" si="6"/>
        <v>0</v>
      </c>
      <c r="W24" s="52">
        <f t="shared" si="7"/>
        <v>-9</v>
      </c>
      <c r="X24" s="35">
        <f t="shared" si="12"/>
        <v>20</v>
      </c>
      <c r="Y24" s="35" t="str">
        <f t="shared" si="8"/>
        <v>Y</v>
      </c>
      <c r="Z24" s="19" t="str">
        <f t="shared" si="9"/>
        <v/>
      </c>
    </row>
    <row r="25">
      <c r="A25" s="35">
        <f t="shared" si="10"/>
        <v>21</v>
      </c>
      <c r="B25" s="36" t="s">
        <v>80</v>
      </c>
      <c r="C25" s="37">
        <v>27.0</v>
      </c>
      <c r="D25" s="37">
        <v>3.0</v>
      </c>
      <c r="E25" s="40">
        <f t="shared" si="2"/>
        <v>9</v>
      </c>
      <c r="F25" s="90">
        <v>1.0</v>
      </c>
      <c r="G25" s="91">
        <v>5.0</v>
      </c>
      <c r="H25" s="92">
        <v>0.0</v>
      </c>
      <c r="I25" s="91">
        <v>6.0</v>
      </c>
      <c r="J25" s="91">
        <v>1.0</v>
      </c>
      <c r="K25" s="91">
        <v>6.0</v>
      </c>
      <c r="L25" s="93">
        <v>13.0</v>
      </c>
      <c r="M25" s="91">
        <v>2.0</v>
      </c>
      <c r="N25" s="37">
        <f t="shared" ref="N25:O25" si="30">C25+L25</f>
        <v>40</v>
      </c>
      <c r="O25" s="37">
        <f t="shared" si="30"/>
        <v>5</v>
      </c>
      <c r="P25" s="49" t="s">
        <v>57</v>
      </c>
      <c r="Q25" s="49" t="s">
        <v>57</v>
      </c>
      <c r="R25" s="49" t="s">
        <v>57</v>
      </c>
      <c r="S25" s="51">
        <f t="shared" si="4"/>
        <v>3</v>
      </c>
      <c r="T25" s="52">
        <f t="shared" si="5"/>
        <v>0</v>
      </c>
      <c r="U25" s="52"/>
      <c r="V25" s="51">
        <f t="shared" si="6"/>
        <v>0</v>
      </c>
      <c r="W25" s="52">
        <f t="shared" si="7"/>
        <v>13</v>
      </c>
      <c r="X25" s="35">
        <f t="shared" si="12"/>
        <v>21</v>
      </c>
      <c r="Y25" s="35" t="str">
        <f t="shared" si="8"/>
        <v>Y</v>
      </c>
      <c r="Z25" s="19" t="str">
        <f t="shared" si="9"/>
        <v/>
      </c>
    </row>
    <row r="26">
      <c r="A26" s="35">
        <f t="shared" si="10"/>
        <v>22</v>
      </c>
      <c r="B26" s="36" t="s">
        <v>134</v>
      </c>
      <c r="C26" s="37">
        <v>25.0</v>
      </c>
      <c r="D26" s="37">
        <v>3.0</v>
      </c>
      <c r="E26" s="40">
        <f t="shared" si="2"/>
        <v>8.333333333</v>
      </c>
      <c r="F26" s="90">
        <v>1.0</v>
      </c>
      <c r="G26" s="91">
        <v>5.0</v>
      </c>
      <c r="H26" s="92">
        <v>0.0</v>
      </c>
      <c r="I26" s="91">
        <v>2.0</v>
      </c>
      <c r="J26" s="91">
        <v>1.0</v>
      </c>
      <c r="K26" s="91">
        <v>2.0</v>
      </c>
      <c r="L26" s="93">
        <v>5.0</v>
      </c>
      <c r="M26" s="91">
        <v>0.0</v>
      </c>
      <c r="N26" s="37">
        <f t="shared" ref="N26:O26" si="31">C26+L26</f>
        <v>30</v>
      </c>
      <c r="O26" s="37">
        <f t="shared" si="31"/>
        <v>3</v>
      </c>
      <c r="P26" s="49" t="s">
        <v>57</v>
      </c>
      <c r="Q26" s="49" t="s">
        <v>57</v>
      </c>
      <c r="R26" s="49" t="s">
        <v>57</v>
      </c>
      <c r="S26" s="51">
        <f t="shared" si="4"/>
        <v>3</v>
      </c>
      <c r="T26" s="52">
        <f t="shared" si="5"/>
        <v>0</v>
      </c>
      <c r="U26" s="52"/>
      <c r="V26" s="51">
        <f t="shared" si="6"/>
        <v>0</v>
      </c>
      <c r="W26" s="52">
        <f t="shared" si="7"/>
        <v>13</v>
      </c>
      <c r="X26" s="35">
        <f t="shared" si="12"/>
        <v>22</v>
      </c>
      <c r="Y26" s="35" t="str">
        <f t="shared" si="8"/>
        <v>Y</v>
      </c>
      <c r="Z26" s="19" t="str">
        <f t="shared" si="9"/>
        <v/>
      </c>
    </row>
    <row r="27">
      <c r="A27" s="35">
        <f t="shared" si="10"/>
        <v>23</v>
      </c>
      <c r="B27" s="36" t="s">
        <v>120</v>
      </c>
      <c r="C27" s="37">
        <v>25.0</v>
      </c>
      <c r="D27" s="37">
        <v>2.0</v>
      </c>
      <c r="E27" s="40">
        <f t="shared" si="2"/>
        <v>8</v>
      </c>
      <c r="F27" s="90">
        <v>1.0</v>
      </c>
      <c r="G27" s="91">
        <v>9.0</v>
      </c>
      <c r="H27" s="92">
        <v>0.0</v>
      </c>
      <c r="I27" s="91">
        <v>7.0</v>
      </c>
      <c r="J27" s="91">
        <v>6.0</v>
      </c>
      <c r="K27" s="91">
        <v>7.0</v>
      </c>
      <c r="L27" s="93">
        <v>20.0</v>
      </c>
      <c r="M27" s="91">
        <v>3.0</v>
      </c>
      <c r="N27" s="37">
        <f t="shared" ref="N27:O27" si="32">C27+L27</f>
        <v>45</v>
      </c>
      <c r="O27" s="37">
        <f t="shared" si="32"/>
        <v>5</v>
      </c>
      <c r="P27" s="49" t="s">
        <v>57</v>
      </c>
      <c r="Q27" s="49" t="s">
        <v>57</v>
      </c>
      <c r="R27" s="49" t="s">
        <v>57</v>
      </c>
      <c r="S27" s="51">
        <f t="shared" si="4"/>
        <v>2</v>
      </c>
      <c r="T27" s="52">
        <f t="shared" si="5"/>
        <v>0</v>
      </c>
      <c r="U27" s="52"/>
      <c r="V27" s="51">
        <f t="shared" si="6"/>
        <v>1</v>
      </c>
      <c r="W27" s="52">
        <f t="shared" si="7"/>
        <v>33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130</v>
      </c>
      <c r="C28" s="37">
        <v>24.0</v>
      </c>
      <c r="D28" s="37">
        <v>3.0</v>
      </c>
      <c r="E28" s="40">
        <f t="shared" si="2"/>
        <v>8</v>
      </c>
      <c r="F28" s="90">
        <v>1.0</v>
      </c>
      <c r="G28" s="91">
        <v>9.0</v>
      </c>
      <c r="H28" s="92">
        <v>0.0</v>
      </c>
      <c r="I28" s="91">
        <v>7.0</v>
      </c>
      <c r="J28" s="91">
        <v>1.0</v>
      </c>
      <c r="K28" s="91">
        <v>6.0</v>
      </c>
      <c r="L28" s="93">
        <v>14.0</v>
      </c>
      <c r="M28" s="91">
        <v>1.0</v>
      </c>
      <c r="N28" s="37">
        <f t="shared" ref="N28:O28" si="33">C28+L28</f>
        <v>38</v>
      </c>
      <c r="O28" s="37">
        <f t="shared" si="33"/>
        <v>4</v>
      </c>
      <c r="P28" s="49" t="s">
        <v>57</v>
      </c>
      <c r="Q28" s="49" t="s">
        <v>57</v>
      </c>
      <c r="R28" s="49" t="s">
        <v>57</v>
      </c>
      <c r="S28" s="51">
        <f t="shared" si="4"/>
        <v>3</v>
      </c>
      <c r="T28" s="52">
        <f t="shared" si="5"/>
        <v>0</v>
      </c>
      <c r="U28" s="52"/>
      <c r="V28" s="51">
        <f t="shared" si="6"/>
        <v>0</v>
      </c>
      <c r="W28" s="52">
        <f t="shared" si="7"/>
        <v>14</v>
      </c>
      <c r="X28" s="35">
        <f t="shared" si="12"/>
        <v>24</v>
      </c>
      <c r="Y28" s="35" t="str">
        <f t="shared" si="8"/>
        <v>Y</v>
      </c>
      <c r="Z28" s="19" t="str">
        <f t="shared" si="9"/>
        <v/>
      </c>
    </row>
    <row r="29">
      <c r="A29" s="35">
        <f t="shared" si="10"/>
        <v>25</v>
      </c>
      <c r="B29" s="36" t="s">
        <v>64</v>
      </c>
      <c r="C29" s="37">
        <v>24.0</v>
      </c>
      <c r="D29" s="37">
        <v>2.0</v>
      </c>
      <c r="E29" s="40">
        <f t="shared" si="2"/>
        <v>8</v>
      </c>
      <c r="F29" s="90">
        <v>1.0</v>
      </c>
      <c r="G29" s="91">
        <v>9.0</v>
      </c>
      <c r="H29" s="92">
        <v>0.0</v>
      </c>
      <c r="I29" s="91">
        <v>5.0</v>
      </c>
      <c r="J29" s="91">
        <v>1.0</v>
      </c>
      <c r="K29" s="91">
        <v>7.0</v>
      </c>
      <c r="L29" s="93">
        <v>13.0</v>
      </c>
      <c r="M29" s="91">
        <v>1.0</v>
      </c>
      <c r="N29" s="37">
        <f t="shared" ref="N29:O29" si="34">C29+L29</f>
        <v>37</v>
      </c>
      <c r="O29" s="37">
        <f t="shared" si="34"/>
        <v>3</v>
      </c>
      <c r="P29" s="49" t="s">
        <v>57</v>
      </c>
      <c r="Q29" s="49" t="s">
        <v>57</v>
      </c>
      <c r="R29" s="49" t="s">
        <v>57</v>
      </c>
      <c r="S29" s="51">
        <f t="shared" si="4"/>
        <v>3</v>
      </c>
      <c r="T29" s="52">
        <f t="shared" si="5"/>
        <v>0</v>
      </c>
      <c r="U29" s="52"/>
      <c r="V29" s="51">
        <f t="shared" si="6"/>
        <v>0</v>
      </c>
      <c r="W29" s="52">
        <f t="shared" si="7"/>
        <v>4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109</v>
      </c>
      <c r="C30" s="37">
        <v>24.0</v>
      </c>
      <c r="D30" s="37">
        <v>2.0</v>
      </c>
      <c r="E30" s="40">
        <f t="shared" si="2"/>
        <v>7.5</v>
      </c>
      <c r="F30" s="90">
        <v>3.0</v>
      </c>
      <c r="G30" s="91">
        <v>0.0</v>
      </c>
      <c r="H30" s="92">
        <v>9.0</v>
      </c>
      <c r="I30" s="91">
        <v>0.0</v>
      </c>
      <c r="J30" s="91">
        <v>0.0</v>
      </c>
      <c r="K30" s="91">
        <v>0.0</v>
      </c>
      <c r="L30" s="93">
        <v>9.0</v>
      </c>
      <c r="M30" s="91">
        <v>0.0</v>
      </c>
      <c r="N30" s="37">
        <f t="shared" ref="N30:O30" si="35">C30+L30</f>
        <v>33</v>
      </c>
      <c r="O30" s="37">
        <f t="shared" si="35"/>
        <v>2</v>
      </c>
      <c r="P30" s="49" t="s">
        <v>57</v>
      </c>
      <c r="Q30" s="49" t="s">
        <v>57</v>
      </c>
      <c r="R30" s="49" t="s">
        <v>57</v>
      </c>
      <c r="S30" s="51">
        <f t="shared" si="4"/>
        <v>2</v>
      </c>
      <c r="T30" s="52">
        <f t="shared" si="5"/>
        <v>0</v>
      </c>
      <c r="U30" s="52"/>
      <c r="V30" s="51">
        <f t="shared" si="6"/>
        <v>1</v>
      </c>
      <c r="W30" s="52">
        <f t="shared" si="7"/>
        <v>7</v>
      </c>
      <c r="X30" s="35">
        <f t="shared" si="12"/>
        <v>26</v>
      </c>
      <c r="Y30" s="35" t="str">
        <f t="shared" si="8"/>
        <v>N</v>
      </c>
      <c r="Z30" s="19" t="str">
        <f t="shared" si="9"/>
        <v/>
      </c>
    </row>
    <row r="31">
      <c r="A31" s="35">
        <f t="shared" si="10"/>
        <v>27</v>
      </c>
      <c r="B31" s="36" t="s">
        <v>94</v>
      </c>
      <c r="C31" s="37">
        <v>24.0</v>
      </c>
      <c r="D31" s="37">
        <v>2.0</v>
      </c>
      <c r="E31" s="40">
        <f t="shared" si="2"/>
        <v>7.5</v>
      </c>
      <c r="F31" s="90">
        <v>1.0</v>
      </c>
      <c r="G31" s="91">
        <v>9.0</v>
      </c>
      <c r="H31" s="92">
        <v>0.0</v>
      </c>
      <c r="I31" s="91">
        <v>5.0</v>
      </c>
      <c r="J31" s="91">
        <v>6.0</v>
      </c>
      <c r="K31" s="91">
        <v>6.0</v>
      </c>
      <c r="L31" s="93">
        <v>17.0</v>
      </c>
      <c r="M31" s="91">
        <v>1.0</v>
      </c>
      <c r="N31" s="37">
        <f t="shared" ref="N31:O31" si="36">C31+L31</f>
        <v>41</v>
      </c>
      <c r="O31" s="37">
        <f t="shared" si="36"/>
        <v>3</v>
      </c>
      <c r="P31" s="49" t="s">
        <v>57</v>
      </c>
      <c r="Q31" s="49" t="s">
        <v>57</v>
      </c>
      <c r="R31" s="49" t="s">
        <v>57</v>
      </c>
      <c r="S31" s="51">
        <f t="shared" si="4"/>
        <v>2</v>
      </c>
      <c r="T31" s="52">
        <f t="shared" si="5"/>
        <v>0</v>
      </c>
      <c r="U31" s="52"/>
      <c r="V31" s="51">
        <f t="shared" si="6"/>
        <v>1</v>
      </c>
      <c r="W31" s="52">
        <f t="shared" si="7"/>
        <v>13</v>
      </c>
      <c r="X31" s="35">
        <f t="shared" si="12"/>
        <v>27</v>
      </c>
      <c r="Y31" s="35" t="str">
        <f t="shared" si="8"/>
        <v>N</v>
      </c>
      <c r="Z31" s="19" t="str">
        <f t="shared" si="9"/>
        <v/>
      </c>
    </row>
    <row r="32">
      <c r="A32" s="35">
        <f t="shared" si="10"/>
        <v>28</v>
      </c>
      <c r="B32" s="36" t="s">
        <v>131</v>
      </c>
      <c r="C32" s="37">
        <v>24.0</v>
      </c>
      <c r="D32" s="37">
        <v>2.0</v>
      </c>
      <c r="E32" s="40">
        <f t="shared" si="2"/>
        <v>7.5</v>
      </c>
      <c r="F32" s="90">
        <v>1.0</v>
      </c>
      <c r="G32" s="91">
        <v>6.0</v>
      </c>
      <c r="H32" s="92">
        <v>0.0</v>
      </c>
      <c r="I32" s="91">
        <v>0.0</v>
      </c>
      <c r="J32" s="91">
        <v>7.0</v>
      </c>
      <c r="K32" s="91">
        <v>6.0</v>
      </c>
      <c r="L32" s="93">
        <v>13.0</v>
      </c>
      <c r="M32" s="91">
        <v>2.0</v>
      </c>
      <c r="N32" s="37">
        <f t="shared" ref="N32:O32" si="37">C32+L32</f>
        <v>37</v>
      </c>
      <c r="O32" s="37">
        <f t="shared" si="37"/>
        <v>4</v>
      </c>
      <c r="P32" s="49" t="s">
        <v>57</v>
      </c>
      <c r="Q32" s="49" t="s">
        <v>57</v>
      </c>
      <c r="R32" s="49" t="s">
        <v>57</v>
      </c>
      <c r="S32" s="51">
        <f t="shared" si="4"/>
        <v>2</v>
      </c>
      <c r="T32" s="52">
        <f t="shared" si="5"/>
        <v>0</v>
      </c>
      <c r="U32" s="52"/>
      <c r="V32" s="51">
        <f t="shared" si="6"/>
        <v>1</v>
      </c>
      <c r="W32" s="52">
        <f t="shared" si="7"/>
        <v>36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106</v>
      </c>
      <c r="C33" s="37">
        <v>24.0</v>
      </c>
      <c r="D33" s="37">
        <v>1.0</v>
      </c>
      <c r="E33" s="40">
        <f t="shared" si="2"/>
        <v>6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33</v>
      </c>
      <c r="O33" s="37">
        <f t="shared" si="38"/>
        <v>1</v>
      </c>
      <c r="P33" s="49" t="s">
        <v>57</v>
      </c>
      <c r="Q33" s="49" t="s">
        <v>57</v>
      </c>
      <c r="R33" s="49" t="s">
        <v>57</v>
      </c>
      <c r="S33" s="51">
        <f t="shared" si="4"/>
        <v>1</v>
      </c>
      <c r="T33" s="52">
        <f t="shared" si="5"/>
        <v>0</v>
      </c>
      <c r="U33" s="52"/>
      <c r="V33" s="51">
        <f t="shared" si="6"/>
        <v>2</v>
      </c>
      <c r="W33" s="52">
        <f t="shared" si="7"/>
        <v>-17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90</v>
      </c>
      <c r="C34" s="37">
        <v>24.0</v>
      </c>
      <c r="D34" s="37">
        <v>1.0</v>
      </c>
      <c r="E34" s="40">
        <f t="shared" si="2"/>
        <v>6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33</v>
      </c>
      <c r="O34" s="37">
        <f t="shared" si="39"/>
        <v>1</v>
      </c>
      <c r="P34" s="49" t="s">
        <v>57</v>
      </c>
      <c r="Q34" s="49" t="s">
        <v>57</v>
      </c>
      <c r="R34" s="49" t="s">
        <v>57</v>
      </c>
      <c r="S34" s="51">
        <f t="shared" si="4"/>
        <v>1</v>
      </c>
      <c r="T34" s="52">
        <f t="shared" si="5"/>
        <v>0</v>
      </c>
      <c r="U34" s="52"/>
      <c r="V34" s="51">
        <f t="shared" si="6"/>
        <v>2</v>
      </c>
      <c r="W34" s="52">
        <f t="shared" si="7"/>
        <v>-17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92</v>
      </c>
      <c r="C35" s="37">
        <v>24.0</v>
      </c>
      <c r="D35" s="37">
        <v>1.0</v>
      </c>
      <c r="E35" s="40">
        <f t="shared" si="2"/>
        <v>6</v>
      </c>
      <c r="F35" s="90">
        <v>3.0</v>
      </c>
      <c r="G35" s="91">
        <v>0.0</v>
      </c>
      <c r="H35" s="92">
        <v>9.0</v>
      </c>
      <c r="I35" s="91">
        <v>0.0</v>
      </c>
      <c r="J35" s="91">
        <v>0.0</v>
      </c>
      <c r="K35" s="91">
        <v>0.0</v>
      </c>
      <c r="L35" s="93">
        <v>9.0</v>
      </c>
      <c r="M35" s="91">
        <v>0.0</v>
      </c>
      <c r="N35" s="37">
        <f t="shared" ref="N35:O35" si="40">C35+L35</f>
        <v>33</v>
      </c>
      <c r="O35" s="37">
        <f t="shared" si="40"/>
        <v>1</v>
      </c>
      <c r="P35" s="49" t="s">
        <v>57</v>
      </c>
      <c r="Q35" s="49" t="s">
        <v>57</v>
      </c>
      <c r="R35" s="49" t="s">
        <v>57</v>
      </c>
      <c r="S35" s="51">
        <f t="shared" si="4"/>
        <v>1</v>
      </c>
      <c r="T35" s="52">
        <f t="shared" si="5"/>
        <v>0</v>
      </c>
      <c r="U35" s="52"/>
      <c r="V35" s="51">
        <f t="shared" si="6"/>
        <v>2</v>
      </c>
      <c r="W35" s="52">
        <f t="shared" si="7"/>
        <v>-17</v>
      </c>
      <c r="X35" s="35">
        <f t="shared" si="12"/>
        <v>31</v>
      </c>
      <c r="Y35" s="35" t="str">
        <f t="shared" si="8"/>
        <v>N</v>
      </c>
      <c r="Z35" s="19" t="str">
        <f t="shared" si="9"/>
        <v/>
      </c>
    </row>
    <row r="36">
      <c r="A36" s="35">
        <f t="shared" si="10"/>
        <v>32</v>
      </c>
      <c r="B36" s="36" t="s">
        <v>91</v>
      </c>
      <c r="C36" s="37">
        <v>24.0</v>
      </c>
      <c r="D36" s="37">
        <v>1.0</v>
      </c>
      <c r="E36" s="40">
        <f t="shared" si="2"/>
        <v>7.5</v>
      </c>
      <c r="F36" s="90">
        <v>1.0</v>
      </c>
      <c r="G36" s="91">
        <v>6.0</v>
      </c>
      <c r="H36" s="92">
        <v>0.0</v>
      </c>
      <c r="I36" s="91">
        <v>6.0</v>
      </c>
      <c r="J36" s="91">
        <v>7.0</v>
      </c>
      <c r="K36" s="91">
        <v>2.0</v>
      </c>
      <c r="L36" s="93">
        <v>15.0</v>
      </c>
      <c r="M36" s="91">
        <v>2.0</v>
      </c>
      <c r="N36" s="37">
        <f t="shared" ref="N36:O36" si="41">C36+L36</f>
        <v>39</v>
      </c>
      <c r="O36" s="37">
        <f t="shared" si="41"/>
        <v>3</v>
      </c>
      <c r="P36" s="49" t="s">
        <v>57</v>
      </c>
      <c r="Q36" s="49" t="s">
        <v>57</v>
      </c>
      <c r="R36" s="49" t="s">
        <v>57</v>
      </c>
      <c r="S36" s="51">
        <f t="shared" si="4"/>
        <v>2</v>
      </c>
      <c r="T36" s="52">
        <f t="shared" si="5"/>
        <v>0</v>
      </c>
      <c r="U36" s="52"/>
      <c r="V36" s="51">
        <f t="shared" si="6"/>
        <v>1</v>
      </c>
      <c r="W36" s="52">
        <f t="shared" si="7"/>
        <v>30</v>
      </c>
      <c r="X36" s="35">
        <f t="shared" si="12"/>
        <v>32</v>
      </c>
      <c r="Y36" s="35" t="str">
        <f t="shared" si="8"/>
        <v>N</v>
      </c>
      <c r="Z36" s="19" t="str">
        <f t="shared" si="9"/>
        <v/>
      </c>
    </row>
    <row r="37">
      <c r="A37" s="35">
        <f t="shared" si="10"/>
        <v>33</v>
      </c>
      <c r="B37" s="36" t="s">
        <v>151</v>
      </c>
      <c r="C37" s="37">
        <v>23.0</v>
      </c>
      <c r="D37" s="37">
        <v>3.0</v>
      </c>
      <c r="E37" s="40">
        <f t="shared" si="2"/>
        <v>7.666666667</v>
      </c>
      <c r="F37" s="90">
        <v>2.0</v>
      </c>
      <c r="G37" s="91">
        <v>6.0</v>
      </c>
      <c r="H37" s="92">
        <v>0.0</v>
      </c>
      <c r="I37" s="91">
        <v>0.0</v>
      </c>
      <c r="J37" s="91">
        <v>6.0</v>
      </c>
      <c r="K37" s="91">
        <v>2.0</v>
      </c>
      <c r="L37" s="93">
        <v>8.0</v>
      </c>
      <c r="M37" s="91">
        <v>0.0</v>
      </c>
      <c r="N37" s="37">
        <f t="shared" ref="N37:O37" si="42">C37+L37</f>
        <v>31</v>
      </c>
      <c r="O37" s="37">
        <f t="shared" si="42"/>
        <v>3</v>
      </c>
      <c r="P37" s="49" t="s">
        <v>57</v>
      </c>
      <c r="Q37" s="49" t="s">
        <v>57</v>
      </c>
      <c r="R37" s="49" t="s">
        <v>57</v>
      </c>
      <c r="S37" s="51">
        <f t="shared" si="4"/>
        <v>3</v>
      </c>
      <c r="T37" s="52">
        <f t="shared" si="5"/>
        <v>0</v>
      </c>
      <c r="U37" s="52"/>
      <c r="V37" s="51">
        <f t="shared" si="6"/>
        <v>0</v>
      </c>
      <c r="W37" s="52">
        <f t="shared" si="7"/>
        <v>-7</v>
      </c>
      <c r="X37" s="35">
        <f t="shared" si="12"/>
        <v>33</v>
      </c>
      <c r="Y37" s="35" t="str">
        <f t="shared" si="8"/>
        <v>Y</v>
      </c>
      <c r="Z37" s="19" t="str">
        <f t="shared" si="9"/>
        <v/>
      </c>
    </row>
    <row r="38">
      <c r="A38" s="35">
        <f t="shared" si="10"/>
        <v>34</v>
      </c>
      <c r="B38" s="36" t="s">
        <v>132</v>
      </c>
      <c r="C38" s="37">
        <v>23.0</v>
      </c>
      <c r="D38" s="37">
        <v>2.0</v>
      </c>
      <c r="E38" s="40">
        <f t="shared" si="2"/>
        <v>7</v>
      </c>
      <c r="F38" s="90">
        <v>2.0</v>
      </c>
      <c r="G38" s="91">
        <v>6.0</v>
      </c>
      <c r="H38" s="92">
        <v>0.0</v>
      </c>
      <c r="I38" s="91">
        <v>6.0</v>
      </c>
      <c r="J38" s="91">
        <v>6.0</v>
      </c>
      <c r="K38" s="91">
        <v>6.0</v>
      </c>
      <c r="L38" s="93">
        <v>18.0</v>
      </c>
      <c r="M38" s="91">
        <v>2.0</v>
      </c>
      <c r="N38" s="37">
        <f t="shared" ref="N38:O38" si="43">C38+L38</f>
        <v>41</v>
      </c>
      <c r="O38" s="37">
        <f t="shared" si="43"/>
        <v>4</v>
      </c>
      <c r="P38" s="49" t="s">
        <v>57</v>
      </c>
      <c r="Q38" s="49" t="s">
        <v>57</v>
      </c>
      <c r="R38" s="49" t="s">
        <v>57</v>
      </c>
      <c r="S38" s="51">
        <f t="shared" si="4"/>
        <v>2</v>
      </c>
      <c r="T38" s="52">
        <f t="shared" si="5"/>
        <v>0</v>
      </c>
      <c r="U38" s="52"/>
      <c r="V38" s="51">
        <f t="shared" si="6"/>
        <v>1</v>
      </c>
      <c r="W38" s="52">
        <f t="shared" si="7"/>
        <v>18</v>
      </c>
      <c r="X38" s="35">
        <f t="shared" si="12"/>
        <v>34</v>
      </c>
      <c r="Y38" s="35" t="str">
        <f t="shared" si="8"/>
        <v>N</v>
      </c>
      <c r="Z38" s="19" t="str">
        <f t="shared" si="9"/>
        <v/>
      </c>
    </row>
    <row r="39">
      <c r="A39" s="35">
        <f t="shared" si="10"/>
        <v>35</v>
      </c>
      <c r="B39" s="36" t="s">
        <v>103</v>
      </c>
      <c r="C39" s="37">
        <v>23.0</v>
      </c>
      <c r="D39" s="37">
        <v>2.0</v>
      </c>
      <c r="E39" s="40">
        <f t="shared" si="2"/>
        <v>7</v>
      </c>
      <c r="F39" s="90">
        <v>2.0</v>
      </c>
      <c r="G39" s="91">
        <v>10.0</v>
      </c>
      <c r="H39" s="92">
        <v>0.0</v>
      </c>
      <c r="I39" s="91">
        <v>1.0</v>
      </c>
      <c r="J39" s="91">
        <v>7.0</v>
      </c>
      <c r="K39" s="91">
        <v>6.0</v>
      </c>
      <c r="L39" s="93">
        <v>14.0</v>
      </c>
      <c r="M39" s="91">
        <v>2.0</v>
      </c>
      <c r="N39" s="37">
        <f t="shared" ref="N39:O39" si="44">C39+L39</f>
        <v>37</v>
      </c>
      <c r="O39" s="37">
        <f t="shared" si="44"/>
        <v>4</v>
      </c>
      <c r="P39" s="49" t="s">
        <v>57</v>
      </c>
      <c r="Q39" s="49" t="s">
        <v>57</v>
      </c>
      <c r="R39" s="49" t="s">
        <v>57</v>
      </c>
      <c r="S39" s="51">
        <f t="shared" si="4"/>
        <v>2</v>
      </c>
      <c r="T39" s="52">
        <f t="shared" si="5"/>
        <v>0</v>
      </c>
      <c r="U39" s="52"/>
      <c r="V39" s="51">
        <f t="shared" si="6"/>
        <v>1</v>
      </c>
      <c r="W39" s="52">
        <f t="shared" si="7"/>
        <v>32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97</v>
      </c>
      <c r="C40" s="37">
        <v>23.0</v>
      </c>
      <c r="D40" s="37">
        <v>1.0</v>
      </c>
      <c r="E40" s="40">
        <f t="shared" si="2"/>
        <v>5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32</v>
      </c>
      <c r="O40" s="37">
        <f t="shared" si="45"/>
        <v>1</v>
      </c>
      <c r="P40" s="49" t="s">
        <v>57</v>
      </c>
      <c r="Q40" s="49" t="s">
        <v>57</v>
      </c>
      <c r="R40" s="49" t="s">
        <v>57</v>
      </c>
      <c r="S40" s="51">
        <f t="shared" si="4"/>
        <v>1</v>
      </c>
      <c r="T40" s="52">
        <f t="shared" si="5"/>
        <v>0</v>
      </c>
      <c r="U40" s="52"/>
      <c r="V40" s="51">
        <f t="shared" si="6"/>
        <v>2</v>
      </c>
      <c r="W40" s="52">
        <f t="shared" si="7"/>
        <v>-15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147</v>
      </c>
      <c r="C41" s="37">
        <v>23.0</v>
      </c>
      <c r="D41" s="37">
        <v>1.0</v>
      </c>
      <c r="E41" s="40">
        <f t="shared" si="2"/>
        <v>7</v>
      </c>
      <c r="F41" s="90">
        <v>1.0</v>
      </c>
      <c r="G41" s="91">
        <v>10.0</v>
      </c>
      <c r="H41" s="92">
        <v>0.0</v>
      </c>
      <c r="I41" s="91">
        <v>1.0</v>
      </c>
      <c r="J41" s="91">
        <v>5.0</v>
      </c>
      <c r="K41" s="91">
        <v>1.0</v>
      </c>
      <c r="L41" s="93">
        <v>7.0</v>
      </c>
      <c r="M41" s="91">
        <v>0.0</v>
      </c>
      <c r="N41" s="37">
        <f t="shared" ref="N41:O41" si="46">C41+L41</f>
        <v>30</v>
      </c>
      <c r="O41" s="37">
        <f t="shared" si="46"/>
        <v>1</v>
      </c>
      <c r="P41" s="49" t="s">
        <v>57</v>
      </c>
      <c r="Q41" s="49" t="s">
        <v>57</v>
      </c>
      <c r="R41" s="49" t="s">
        <v>57</v>
      </c>
      <c r="S41" s="51">
        <f t="shared" si="4"/>
        <v>2</v>
      </c>
      <c r="T41" s="52">
        <f t="shared" si="5"/>
        <v>0</v>
      </c>
      <c r="U41" s="52"/>
      <c r="V41" s="51">
        <f t="shared" si="6"/>
        <v>1</v>
      </c>
      <c r="W41" s="52">
        <f t="shared" si="7"/>
        <v>-14</v>
      </c>
      <c r="X41" s="35">
        <f t="shared" si="12"/>
        <v>37</v>
      </c>
      <c r="Y41" s="35" t="str">
        <f t="shared" si="8"/>
        <v>N</v>
      </c>
      <c r="Z41" s="19" t="str">
        <f t="shared" si="9"/>
        <v/>
      </c>
    </row>
    <row r="42">
      <c r="A42" s="35">
        <f t="shared" si="10"/>
        <v>38</v>
      </c>
      <c r="B42" s="36" t="s">
        <v>145</v>
      </c>
      <c r="C42" s="37">
        <v>22.0</v>
      </c>
      <c r="D42" s="37">
        <v>3.0</v>
      </c>
      <c r="E42" s="40">
        <f t="shared" si="2"/>
        <v>6.5</v>
      </c>
      <c r="F42" s="90">
        <v>3.0</v>
      </c>
      <c r="G42" s="91">
        <v>0.0</v>
      </c>
      <c r="H42" s="92">
        <v>9.0</v>
      </c>
      <c r="I42" s="91">
        <v>0.0</v>
      </c>
      <c r="J42" s="91">
        <v>0.0</v>
      </c>
      <c r="K42" s="91">
        <v>0.0</v>
      </c>
      <c r="L42" s="93">
        <v>9.0</v>
      </c>
      <c r="M42" s="91">
        <v>0.0</v>
      </c>
      <c r="N42" s="37">
        <f t="shared" ref="N42:O42" si="47">C42+L42</f>
        <v>31</v>
      </c>
      <c r="O42" s="37">
        <f t="shared" si="47"/>
        <v>3</v>
      </c>
      <c r="P42" s="49" t="s">
        <v>57</v>
      </c>
      <c r="Q42" s="49" t="s">
        <v>57</v>
      </c>
      <c r="R42" s="49" t="s">
        <v>57</v>
      </c>
      <c r="S42" s="51">
        <f t="shared" si="4"/>
        <v>2</v>
      </c>
      <c r="T42" s="52">
        <f t="shared" si="5"/>
        <v>0</v>
      </c>
      <c r="U42" s="52"/>
      <c r="V42" s="51">
        <f t="shared" si="6"/>
        <v>1</v>
      </c>
      <c r="W42" s="52">
        <f t="shared" si="7"/>
        <v>-11</v>
      </c>
      <c r="X42" s="35">
        <f t="shared" si="12"/>
        <v>38</v>
      </c>
      <c r="Y42" s="35" t="str">
        <f t="shared" si="8"/>
        <v>N</v>
      </c>
      <c r="Z42" s="19" t="str">
        <f t="shared" si="9"/>
        <v/>
      </c>
    </row>
    <row r="43">
      <c r="A43" s="35">
        <f t="shared" si="10"/>
        <v>39</v>
      </c>
      <c r="B43" s="36" t="s">
        <v>110</v>
      </c>
      <c r="C43" s="37">
        <v>22.0</v>
      </c>
      <c r="D43" s="37">
        <v>2.0</v>
      </c>
      <c r="E43" s="40">
        <f t="shared" si="2"/>
        <v>7.333333333</v>
      </c>
      <c r="F43" s="90">
        <v>1.0</v>
      </c>
      <c r="G43" s="91">
        <v>10.0</v>
      </c>
      <c r="H43" s="92">
        <v>0.0</v>
      </c>
      <c r="I43" s="91">
        <v>6.0</v>
      </c>
      <c r="J43" s="91">
        <v>7.0</v>
      </c>
      <c r="K43" s="91">
        <v>1.0</v>
      </c>
      <c r="L43" s="93">
        <v>14.0</v>
      </c>
      <c r="M43" s="91">
        <v>2.0</v>
      </c>
      <c r="N43" s="37">
        <f t="shared" ref="N43:O43" si="48">C43+L43</f>
        <v>36</v>
      </c>
      <c r="O43" s="37">
        <f t="shared" si="48"/>
        <v>4</v>
      </c>
      <c r="P43" s="49" t="s">
        <v>57</v>
      </c>
      <c r="Q43" s="49" t="s">
        <v>57</v>
      </c>
      <c r="R43" s="49" t="s">
        <v>57</v>
      </c>
      <c r="S43" s="51">
        <f t="shared" si="4"/>
        <v>3</v>
      </c>
      <c r="T43" s="52">
        <f t="shared" si="5"/>
        <v>0</v>
      </c>
      <c r="U43" s="52"/>
      <c r="V43" s="51">
        <f t="shared" si="6"/>
        <v>0</v>
      </c>
      <c r="W43" s="52">
        <f t="shared" si="7"/>
        <v>-11</v>
      </c>
      <c r="X43" s="35">
        <f t="shared" si="12"/>
        <v>39</v>
      </c>
      <c r="Y43" s="35" t="str">
        <f t="shared" si="8"/>
        <v>Y</v>
      </c>
      <c r="Z43" s="19" t="str">
        <f t="shared" si="9"/>
        <v/>
      </c>
    </row>
    <row r="44">
      <c r="A44" s="35">
        <f t="shared" si="10"/>
        <v>40</v>
      </c>
      <c r="B44" s="36" t="s">
        <v>73</v>
      </c>
      <c r="C44" s="37">
        <v>22.0</v>
      </c>
      <c r="D44" s="37">
        <v>2.0</v>
      </c>
      <c r="E44" s="40">
        <f t="shared" si="2"/>
        <v>4</v>
      </c>
      <c r="F44" s="90">
        <v>3.0</v>
      </c>
      <c r="G44" s="91">
        <v>0.0</v>
      </c>
      <c r="H44" s="92">
        <v>9.0</v>
      </c>
      <c r="I44" s="91">
        <v>0.0</v>
      </c>
      <c r="J44" s="91">
        <v>0.0</v>
      </c>
      <c r="K44" s="91">
        <v>0.0</v>
      </c>
      <c r="L44" s="93">
        <v>9.0</v>
      </c>
      <c r="M44" s="91">
        <v>0.0</v>
      </c>
      <c r="N44" s="37">
        <f t="shared" ref="N44:O44" si="49">C44+L44</f>
        <v>31</v>
      </c>
      <c r="O44" s="37">
        <f t="shared" si="49"/>
        <v>2</v>
      </c>
      <c r="P44" s="49" t="s">
        <v>57</v>
      </c>
      <c r="Q44" s="49" t="s">
        <v>57</v>
      </c>
      <c r="R44" s="49" t="s">
        <v>57</v>
      </c>
      <c r="S44" s="51">
        <f t="shared" si="4"/>
        <v>1</v>
      </c>
      <c r="T44" s="52">
        <f t="shared" si="5"/>
        <v>0</v>
      </c>
      <c r="U44" s="52"/>
      <c r="V44" s="51">
        <f t="shared" si="6"/>
        <v>2</v>
      </c>
      <c r="W44" s="52">
        <f t="shared" si="7"/>
        <v>1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142</v>
      </c>
      <c r="C45" s="37">
        <v>22.0</v>
      </c>
      <c r="D45" s="37">
        <v>2.0</v>
      </c>
      <c r="E45" s="40">
        <f t="shared" si="2"/>
        <v>4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31</v>
      </c>
      <c r="O45" s="37">
        <f t="shared" si="50"/>
        <v>2</v>
      </c>
      <c r="P45" s="49" t="s">
        <v>57</v>
      </c>
      <c r="Q45" s="49" t="s">
        <v>57</v>
      </c>
      <c r="R45" s="49" t="s">
        <v>57</v>
      </c>
      <c r="S45" s="51">
        <f t="shared" si="4"/>
        <v>1</v>
      </c>
      <c r="T45" s="52">
        <f t="shared" si="5"/>
        <v>0</v>
      </c>
      <c r="U45" s="52"/>
      <c r="V45" s="51">
        <f t="shared" si="6"/>
        <v>2</v>
      </c>
      <c r="W45" s="52">
        <f t="shared" si="7"/>
        <v>3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113</v>
      </c>
      <c r="C46" s="37">
        <v>22.0</v>
      </c>
      <c r="D46" s="37">
        <v>2.0</v>
      </c>
      <c r="E46" s="40">
        <f t="shared" si="2"/>
        <v>6.5</v>
      </c>
      <c r="F46" s="90">
        <v>1.0</v>
      </c>
      <c r="G46" s="91">
        <v>10.0</v>
      </c>
      <c r="H46" s="92">
        <v>0.0</v>
      </c>
      <c r="I46" s="91">
        <v>6.0</v>
      </c>
      <c r="J46" s="91">
        <v>5.0</v>
      </c>
      <c r="K46" s="91">
        <v>6.0</v>
      </c>
      <c r="L46" s="93">
        <v>17.0</v>
      </c>
      <c r="M46" s="91">
        <v>2.0</v>
      </c>
      <c r="N46" s="37">
        <f t="shared" ref="N46:O46" si="51">C46+L46</f>
        <v>39</v>
      </c>
      <c r="O46" s="37">
        <f t="shared" si="51"/>
        <v>4</v>
      </c>
      <c r="P46" s="49" t="s">
        <v>57</v>
      </c>
      <c r="Q46" s="49" t="s">
        <v>57</v>
      </c>
      <c r="R46" s="49" t="s">
        <v>57</v>
      </c>
      <c r="S46" s="51">
        <f t="shared" si="4"/>
        <v>2</v>
      </c>
      <c r="T46" s="52">
        <f t="shared" si="5"/>
        <v>0</v>
      </c>
      <c r="U46" s="52"/>
      <c r="V46" s="51">
        <f t="shared" si="6"/>
        <v>1</v>
      </c>
      <c r="W46" s="52">
        <f t="shared" si="7"/>
        <v>13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143</v>
      </c>
      <c r="C47" s="37">
        <v>22.0</v>
      </c>
      <c r="D47" s="37">
        <v>2.0</v>
      </c>
      <c r="E47" s="40">
        <f t="shared" si="2"/>
        <v>4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31</v>
      </c>
      <c r="O47" s="37">
        <f t="shared" si="52"/>
        <v>2</v>
      </c>
      <c r="P47" s="49" t="s">
        <v>57</v>
      </c>
      <c r="Q47" s="49" t="s">
        <v>57</v>
      </c>
      <c r="R47" s="49" t="s">
        <v>57</v>
      </c>
      <c r="S47" s="51">
        <f t="shared" si="4"/>
        <v>1</v>
      </c>
      <c r="T47" s="52">
        <f t="shared" si="5"/>
        <v>0</v>
      </c>
      <c r="U47" s="52"/>
      <c r="V47" s="51">
        <f t="shared" si="6"/>
        <v>2</v>
      </c>
      <c r="W47" s="52">
        <f t="shared" si="7"/>
        <v>26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63</v>
      </c>
      <c r="C48" s="37">
        <v>22.0</v>
      </c>
      <c r="D48" s="37">
        <v>1.0</v>
      </c>
      <c r="E48" s="40">
        <f t="shared" si="2"/>
        <v>6.5</v>
      </c>
      <c r="F48" s="90">
        <v>1.0</v>
      </c>
      <c r="G48" s="91">
        <v>7.0</v>
      </c>
      <c r="H48" s="92">
        <v>0.0</v>
      </c>
      <c r="I48" s="91">
        <v>6.0</v>
      </c>
      <c r="J48" s="91">
        <v>7.0</v>
      </c>
      <c r="K48" s="91">
        <v>6.0</v>
      </c>
      <c r="L48" s="93">
        <v>19.0</v>
      </c>
      <c r="M48" s="91">
        <v>3.0</v>
      </c>
      <c r="N48" s="37">
        <f t="shared" ref="N48:O48" si="53">C48+L48</f>
        <v>41</v>
      </c>
      <c r="O48" s="37">
        <f t="shared" si="53"/>
        <v>4</v>
      </c>
      <c r="P48" s="49" t="s">
        <v>57</v>
      </c>
      <c r="Q48" s="49" t="s">
        <v>57</v>
      </c>
      <c r="R48" s="49" t="s">
        <v>57</v>
      </c>
      <c r="S48" s="51">
        <f t="shared" si="4"/>
        <v>2</v>
      </c>
      <c r="T48" s="52">
        <f t="shared" si="5"/>
        <v>0</v>
      </c>
      <c r="U48" s="52"/>
      <c r="V48" s="51">
        <f t="shared" si="6"/>
        <v>1</v>
      </c>
      <c r="W48" s="52">
        <f t="shared" si="7"/>
        <v>-14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70</v>
      </c>
      <c r="C49" s="37">
        <v>22.0</v>
      </c>
      <c r="D49" s="37">
        <v>0.0</v>
      </c>
      <c r="E49" s="40">
        <f t="shared" si="2"/>
        <v>0</v>
      </c>
      <c r="F49" s="90">
        <v>3.0</v>
      </c>
      <c r="G49" s="91">
        <v>0.0</v>
      </c>
      <c r="H49" s="92">
        <v>9.0</v>
      </c>
      <c r="I49" s="91">
        <v>0.0</v>
      </c>
      <c r="J49" s="91">
        <v>0.0</v>
      </c>
      <c r="K49" s="91">
        <v>0.0</v>
      </c>
      <c r="L49" s="93">
        <v>9.0</v>
      </c>
      <c r="M49" s="91">
        <v>0.0</v>
      </c>
      <c r="N49" s="37">
        <f t="shared" ref="N49:O49" si="54">C49+L49</f>
        <v>31</v>
      </c>
      <c r="O49" s="37">
        <f t="shared" si="54"/>
        <v>0</v>
      </c>
      <c r="P49" s="49" t="s">
        <v>57</v>
      </c>
      <c r="Q49" s="49" t="s">
        <v>57</v>
      </c>
      <c r="R49" s="49" t="s">
        <v>57</v>
      </c>
      <c r="S49" s="51">
        <f t="shared" si="4"/>
        <v>0</v>
      </c>
      <c r="T49" s="52">
        <f t="shared" si="5"/>
        <v>1</v>
      </c>
      <c r="U49" s="52"/>
      <c r="V49" s="51">
        <f t="shared" si="6"/>
        <v>2</v>
      </c>
      <c r="W49" s="52">
        <f t="shared" si="7"/>
        <v>25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93</v>
      </c>
      <c r="C50" s="37">
        <v>22.0</v>
      </c>
      <c r="D50" s="37">
        <v>0.0</v>
      </c>
      <c r="E50" s="40">
        <f t="shared" si="2"/>
        <v>0</v>
      </c>
      <c r="F50" s="90">
        <v>2.0</v>
      </c>
      <c r="G50" s="91">
        <v>7.0</v>
      </c>
      <c r="H50" s="92">
        <v>0.0</v>
      </c>
      <c r="I50" s="91">
        <v>1.0</v>
      </c>
      <c r="J50" s="91">
        <v>5.0</v>
      </c>
      <c r="K50" s="91">
        <v>6.0</v>
      </c>
      <c r="L50" s="93">
        <v>12.0</v>
      </c>
      <c r="M50" s="91">
        <v>1.0</v>
      </c>
      <c r="N50" s="37">
        <f t="shared" ref="N50:O50" si="55">C50+L50</f>
        <v>34</v>
      </c>
      <c r="O50" s="37">
        <f t="shared" si="55"/>
        <v>1</v>
      </c>
      <c r="P50" s="49" t="s">
        <v>57</v>
      </c>
      <c r="Q50" s="49" t="s">
        <v>57</v>
      </c>
      <c r="R50" s="49" t="s">
        <v>57</v>
      </c>
      <c r="S50" s="51">
        <f t="shared" si="4"/>
        <v>1</v>
      </c>
      <c r="T50" s="52">
        <f t="shared" si="5"/>
        <v>1</v>
      </c>
      <c r="U50" s="52"/>
      <c r="V50" s="51">
        <f t="shared" si="6"/>
        <v>1</v>
      </c>
      <c r="W50" s="52">
        <f t="shared" si="7"/>
        <v>26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149</v>
      </c>
      <c r="C51" s="37">
        <v>21.0</v>
      </c>
      <c r="D51" s="37">
        <v>3.0</v>
      </c>
      <c r="E51" s="40">
        <f t="shared" si="2"/>
        <v>6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30</v>
      </c>
      <c r="O51" s="37">
        <f t="shared" si="56"/>
        <v>3</v>
      </c>
      <c r="P51" s="49" t="s">
        <v>57</v>
      </c>
      <c r="Q51" s="49" t="s">
        <v>57</v>
      </c>
      <c r="R51" s="49" t="s">
        <v>57</v>
      </c>
      <c r="S51" s="51">
        <f t="shared" si="4"/>
        <v>2</v>
      </c>
      <c r="T51" s="52">
        <f t="shared" si="5"/>
        <v>0</v>
      </c>
      <c r="U51" s="52"/>
      <c r="V51" s="51">
        <f t="shared" si="6"/>
        <v>1</v>
      </c>
      <c r="W51" s="52">
        <f t="shared" si="7"/>
        <v>-15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112</v>
      </c>
      <c r="C52" s="37">
        <v>21.0</v>
      </c>
      <c r="D52" s="37">
        <v>1.0</v>
      </c>
      <c r="E52" s="40">
        <f t="shared" si="2"/>
        <v>6</v>
      </c>
      <c r="F52" s="90">
        <v>1.0</v>
      </c>
      <c r="G52" s="91">
        <v>7.0</v>
      </c>
      <c r="H52" s="92">
        <v>0.0</v>
      </c>
      <c r="I52" s="91">
        <v>6.0</v>
      </c>
      <c r="J52" s="91">
        <v>5.0</v>
      </c>
      <c r="K52" s="91">
        <v>2.0</v>
      </c>
      <c r="L52" s="93">
        <v>13.0</v>
      </c>
      <c r="M52" s="91">
        <v>1.0</v>
      </c>
      <c r="N52" s="37">
        <f t="shared" ref="N52:O52" si="57">C52+L52</f>
        <v>34</v>
      </c>
      <c r="O52" s="37">
        <f t="shared" si="57"/>
        <v>2</v>
      </c>
      <c r="P52" s="49" t="s">
        <v>57</v>
      </c>
      <c r="Q52" s="49" t="s">
        <v>57</v>
      </c>
      <c r="R52" s="49" t="s">
        <v>57</v>
      </c>
      <c r="S52" s="51">
        <f t="shared" si="4"/>
        <v>2</v>
      </c>
      <c r="T52" s="52">
        <f t="shared" si="5"/>
        <v>0</v>
      </c>
      <c r="U52" s="52"/>
      <c r="V52" s="51">
        <f t="shared" si="6"/>
        <v>1</v>
      </c>
      <c r="W52" s="52">
        <f t="shared" si="7"/>
        <v>11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138</v>
      </c>
      <c r="C53" s="37">
        <v>21.0</v>
      </c>
      <c r="D53" s="37">
        <v>1.0</v>
      </c>
      <c r="E53" s="40">
        <f t="shared" si="2"/>
        <v>6</v>
      </c>
      <c r="F53" s="90">
        <v>2.0</v>
      </c>
      <c r="G53" s="91">
        <v>7.0</v>
      </c>
      <c r="H53" s="92">
        <v>0.0</v>
      </c>
      <c r="I53" s="91">
        <v>1.0</v>
      </c>
      <c r="J53" s="91">
        <v>7.0</v>
      </c>
      <c r="K53" s="91">
        <v>2.0</v>
      </c>
      <c r="L53" s="93">
        <v>10.0</v>
      </c>
      <c r="M53" s="91">
        <v>1.0</v>
      </c>
      <c r="N53" s="37">
        <f t="shared" ref="N53:O53" si="58">C53+L53</f>
        <v>31</v>
      </c>
      <c r="O53" s="37">
        <f t="shared" si="58"/>
        <v>2</v>
      </c>
      <c r="P53" s="49" t="s">
        <v>57</v>
      </c>
      <c r="Q53" s="49" t="s">
        <v>57</v>
      </c>
      <c r="R53" s="49" t="s">
        <v>57</v>
      </c>
      <c r="S53" s="51">
        <f t="shared" si="4"/>
        <v>2</v>
      </c>
      <c r="T53" s="52">
        <f t="shared" si="5"/>
        <v>0</v>
      </c>
      <c r="U53" s="52"/>
      <c r="V53" s="51">
        <f t="shared" si="6"/>
        <v>1</v>
      </c>
      <c r="W53" s="52">
        <f t="shared" si="7"/>
        <v>14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152</v>
      </c>
      <c r="C54" s="37">
        <v>20.0</v>
      </c>
      <c r="D54" s="37">
        <v>2.0</v>
      </c>
      <c r="E54" s="40">
        <f t="shared" si="2"/>
        <v>5.5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29</v>
      </c>
      <c r="O54" s="37">
        <f t="shared" si="59"/>
        <v>2</v>
      </c>
      <c r="P54" s="49" t="s">
        <v>57</v>
      </c>
      <c r="Q54" s="49" t="s">
        <v>57</v>
      </c>
      <c r="R54" s="49" t="s">
        <v>57</v>
      </c>
      <c r="S54" s="51">
        <f t="shared" si="4"/>
        <v>2</v>
      </c>
      <c r="T54" s="52">
        <f t="shared" si="5"/>
        <v>0</v>
      </c>
      <c r="U54" s="52"/>
      <c r="V54" s="51">
        <f t="shared" si="6"/>
        <v>1</v>
      </c>
      <c r="W54" s="52">
        <f t="shared" si="7"/>
        <v>-35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116</v>
      </c>
      <c r="C55" s="37">
        <v>20.0</v>
      </c>
      <c r="D55" s="37">
        <v>0.0</v>
      </c>
      <c r="E55" s="40">
        <f t="shared" si="2"/>
        <v>6.666666667</v>
      </c>
      <c r="F55" s="90">
        <v>1.0</v>
      </c>
      <c r="G55" s="91">
        <v>8.0</v>
      </c>
      <c r="H55" s="92">
        <v>0.0</v>
      </c>
      <c r="I55" s="91">
        <v>0.0</v>
      </c>
      <c r="J55" s="91">
        <v>3.0</v>
      </c>
      <c r="K55" s="91">
        <v>1.0</v>
      </c>
      <c r="L55" s="93">
        <v>4.0</v>
      </c>
      <c r="M55" s="91">
        <v>0.0</v>
      </c>
      <c r="N55" s="37">
        <f t="shared" ref="N55:O55" si="60">C55+L55</f>
        <v>24</v>
      </c>
      <c r="O55" s="37">
        <f t="shared" si="60"/>
        <v>0</v>
      </c>
      <c r="P55" s="49" t="s">
        <v>57</v>
      </c>
      <c r="Q55" s="49" t="s">
        <v>57</v>
      </c>
      <c r="R55" s="49" t="s">
        <v>57</v>
      </c>
      <c r="S55" s="51">
        <f t="shared" si="4"/>
        <v>3</v>
      </c>
      <c r="T55" s="52">
        <f t="shared" si="5"/>
        <v>0</v>
      </c>
      <c r="U55" s="52"/>
      <c r="V55" s="51">
        <f t="shared" si="6"/>
        <v>0</v>
      </c>
      <c r="W55" s="52">
        <f t="shared" si="7"/>
        <v>-14</v>
      </c>
      <c r="X55" s="35">
        <f t="shared" si="12"/>
        <v>51</v>
      </c>
      <c r="Y55" s="35" t="str">
        <f t="shared" si="8"/>
        <v>Y</v>
      </c>
      <c r="Z55" s="19" t="str">
        <f t="shared" si="9"/>
        <v/>
      </c>
    </row>
    <row r="56">
      <c r="A56" s="35">
        <f t="shared" si="10"/>
        <v>52</v>
      </c>
      <c r="B56" s="36" t="s">
        <v>129</v>
      </c>
      <c r="C56" s="37">
        <v>19.0</v>
      </c>
      <c r="D56" s="37">
        <v>1.0</v>
      </c>
      <c r="E56" s="40">
        <f t="shared" si="2"/>
        <v>1</v>
      </c>
      <c r="F56" s="90">
        <v>3.0</v>
      </c>
      <c r="G56" s="91">
        <v>0.0</v>
      </c>
      <c r="H56" s="92">
        <v>9.0</v>
      </c>
      <c r="I56" s="91">
        <v>0.0</v>
      </c>
      <c r="J56" s="91">
        <v>0.0</v>
      </c>
      <c r="K56" s="91">
        <v>0.0</v>
      </c>
      <c r="L56" s="93">
        <v>9.0</v>
      </c>
      <c r="M56" s="91">
        <v>0.0</v>
      </c>
      <c r="N56" s="37">
        <f t="shared" ref="N56:O56" si="61">C56+L56</f>
        <v>28</v>
      </c>
      <c r="O56" s="37">
        <f t="shared" si="61"/>
        <v>1</v>
      </c>
      <c r="P56" s="49" t="s">
        <v>57</v>
      </c>
      <c r="Q56" s="49" t="s">
        <v>57</v>
      </c>
      <c r="R56" s="49" t="s">
        <v>57</v>
      </c>
      <c r="S56" s="51">
        <f t="shared" si="4"/>
        <v>1</v>
      </c>
      <c r="T56" s="52">
        <f t="shared" si="5"/>
        <v>0</v>
      </c>
      <c r="U56" s="52"/>
      <c r="V56" s="51">
        <f t="shared" si="6"/>
        <v>2</v>
      </c>
      <c r="W56" s="52">
        <f t="shared" si="7"/>
        <v>-16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146</v>
      </c>
      <c r="C57" s="37">
        <v>18.0</v>
      </c>
      <c r="D57" s="37">
        <v>0.0</v>
      </c>
      <c r="E57" s="40">
        <f t="shared" si="2"/>
        <v>0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27</v>
      </c>
      <c r="O57" s="37">
        <f t="shared" si="62"/>
        <v>0</v>
      </c>
      <c r="P57" s="49" t="s">
        <v>57</v>
      </c>
      <c r="Q57" s="49" t="s">
        <v>57</v>
      </c>
      <c r="R57" s="49" t="s">
        <v>57</v>
      </c>
      <c r="S57" s="51">
        <f t="shared" si="4"/>
        <v>0</v>
      </c>
      <c r="T57" s="52">
        <f t="shared" si="5"/>
        <v>0</v>
      </c>
      <c r="U57" s="52"/>
      <c r="V57" s="51">
        <f t="shared" si="6"/>
        <v>3</v>
      </c>
      <c r="W57" s="52">
        <f t="shared" si="7"/>
        <v>-14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95</v>
      </c>
      <c r="C58" s="37">
        <v>18.0</v>
      </c>
      <c r="D58" s="37">
        <v>0.0</v>
      </c>
      <c r="E58" s="40">
        <f t="shared" si="2"/>
        <v>0</v>
      </c>
      <c r="F58" s="90">
        <v>1.0</v>
      </c>
      <c r="G58" s="91">
        <v>8.0</v>
      </c>
      <c r="H58" s="92">
        <v>0.0</v>
      </c>
      <c r="I58" s="91">
        <v>0.0</v>
      </c>
      <c r="J58" s="91">
        <v>6.0</v>
      </c>
      <c r="K58" s="91">
        <v>6.0</v>
      </c>
      <c r="L58" s="93">
        <v>12.0</v>
      </c>
      <c r="M58" s="91">
        <v>2.0</v>
      </c>
      <c r="N58" s="37">
        <f t="shared" ref="N58:O58" si="63">C58+L58</f>
        <v>30</v>
      </c>
      <c r="O58" s="37">
        <f t="shared" si="63"/>
        <v>2</v>
      </c>
      <c r="P58" s="49" t="s">
        <v>57</v>
      </c>
      <c r="Q58" s="49" t="s">
        <v>57</v>
      </c>
      <c r="R58" s="49" t="s">
        <v>57</v>
      </c>
      <c r="S58" s="51">
        <f t="shared" si="4"/>
        <v>1</v>
      </c>
      <c r="T58" s="52">
        <f t="shared" si="5"/>
        <v>0</v>
      </c>
      <c r="U58" s="52"/>
      <c r="V58" s="51">
        <f t="shared" si="6"/>
        <v>2</v>
      </c>
      <c r="W58" s="52">
        <f t="shared" si="7"/>
        <v>-12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125</v>
      </c>
      <c r="C59" s="37">
        <v>18.0</v>
      </c>
      <c r="D59" s="37">
        <v>0.0</v>
      </c>
      <c r="E59" s="40">
        <f t="shared" si="2"/>
        <v>0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27</v>
      </c>
      <c r="O59" s="37">
        <f t="shared" si="64"/>
        <v>0</v>
      </c>
      <c r="P59" s="49" t="s">
        <v>57</v>
      </c>
      <c r="Q59" s="49" t="s">
        <v>57</v>
      </c>
      <c r="R59" s="49" t="s">
        <v>57</v>
      </c>
      <c r="S59" s="51">
        <f t="shared" si="4"/>
        <v>0</v>
      </c>
      <c r="T59" s="52">
        <f t="shared" si="5"/>
        <v>0</v>
      </c>
      <c r="U59" s="52"/>
      <c r="V59" s="51">
        <f t="shared" si="6"/>
        <v>3</v>
      </c>
      <c r="W59" s="52">
        <f t="shared" si="7"/>
        <v>-12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78</v>
      </c>
      <c r="C60" s="37">
        <v>18.0</v>
      </c>
      <c r="D60" s="37">
        <v>0.0</v>
      </c>
      <c r="E60" s="40">
        <f t="shared" si="2"/>
        <v>0</v>
      </c>
      <c r="F60" s="90">
        <v>1.0</v>
      </c>
      <c r="G60" s="91">
        <v>8.0</v>
      </c>
      <c r="H60" s="92">
        <v>0.0</v>
      </c>
      <c r="I60" s="91">
        <v>6.0</v>
      </c>
      <c r="J60" s="91">
        <v>3.0</v>
      </c>
      <c r="K60" s="91">
        <v>6.0</v>
      </c>
      <c r="L60" s="93">
        <v>15.0</v>
      </c>
      <c r="M60" s="91">
        <v>2.0</v>
      </c>
      <c r="N60" s="37">
        <f t="shared" ref="N60:O60" si="65">C60+L60</f>
        <v>33</v>
      </c>
      <c r="O60" s="37">
        <f t="shared" si="65"/>
        <v>2</v>
      </c>
      <c r="P60" s="49" t="s">
        <v>57</v>
      </c>
      <c r="Q60" s="49" t="s">
        <v>57</v>
      </c>
      <c r="R60" s="49" t="s">
        <v>57</v>
      </c>
      <c r="S60" s="51">
        <f t="shared" si="4"/>
        <v>1</v>
      </c>
      <c r="T60" s="52">
        <f t="shared" si="5"/>
        <v>0</v>
      </c>
      <c r="U60" s="52"/>
      <c r="V60" s="51">
        <f t="shared" si="6"/>
        <v>2</v>
      </c>
      <c r="W60" s="52">
        <f t="shared" si="7"/>
        <v>-10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148</v>
      </c>
      <c r="C61" s="37">
        <v>18.0</v>
      </c>
      <c r="D61" s="37">
        <v>0.0</v>
      </c>
      <c r="E61" s="40">
        <f t="shared" si="2"/>
        <v>0</v>
      </c>
      <c r="F61" s="90">
        <v>3.0</v>
      </c>
      <c r="G61" s="91">
        <v>0.0</v>
      </c>
      <c r="H61" s="92">
        <v>9.0</v>
      </c>
      <c r="I61" s="91">
        <v>0.0</v>
      </c>
      <c r="J61" s="91">
        <v>0.0</v>
      </c>
      <c r="K61" s="91">
        <v>0.0</v>
      </c>
      <c r="L61" s="93">
        <v>9.0</v>
      </c>
      <c r="M61" s="91">
        <v>0.0</v>
      </c>
      <c r="N61" s="37">
        <f t="shared" ref="N61:O61" si="66">C61+L61</f>
        <v>27</v>
      </c>
      <c r="O61" s="37">
        <f t="shared" si="66"/>
        <v>0</v>
      </c>
      <c r="P61" s="49" t="s">
        <v>57</v>
      </c>
      <c r="Q61" s="49" t="s">
        <v>57</v>
      </c>
      <c r="R61" s="49" t="s">
        <v>57</v>
      </c>
      <c r="S61" s="51">
        <f t="shared" si="4"/>
        <v>0</v>
      </c>
      <c r="T61" s="52">
        <f t="shared" si="5"/>
        <v>0</v>
      </c>
      <c r="U61" s="52"/>
      <c r="V61" s="51">
        <f t="shared" si="6"/>
        <v>3</v>
      </c>
      <c r="W61" s="52">
        <f t="shared" si="7"/>
        <v>-10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124</v>
      </c>
      <c r="C62" s="37">
        <v>18.0</v>
      </c>
      <c r="D62" s="37">
        <v>0.0</v>
      </c>
      <c r="E62" s="40">
        <f t="shared" si="2"/>
        <v>0</v>
      </c>
      <c r="F62" s="90">
        <v>3.0</v>
      </c>
      <c r="G62" s="91">
        <v>0.0</v>
      </c>
      <c r="H62" s="92">
        <v>9.0</v>
      </c>
      <c r="I62" s="91">
        <v>0.0</v>
      </c>
      <c r="J62" s="91">
        <v>0.0</v>
      </c>
      <c r="K62" s="91">
        <v>0.0</v>
      </c>
      <c r="L62" s="93">
        <v>9.0</v>
      </c>
      <c r="M62" s="91">
        <v>0.0</v>
      </c>
      <c r="N62" s="37">
        <f t="shared" ref="N62:O62" si="67">C62+L62</f>
        <v>27</v>
      </c>
      <c r="O62" s="37">
        <f t="shared" si="67"/>
        <v>0</v>
      </c>
      <c r="P62" s="49" t="s">
        <v>57</v>
      </c>
      <c r="Q62" s="49" t="s">
        <v>57</v>
      </c>
      <c r="R62" s="49" t="s">
        <v>57</v>
      </c>
      <c r="S62" s="51">
        <f t="shared" si="4"/>
        <v>0</v>
      </c>
      <c r="T62" s="52">
        <f t="shared" si="5"/>
        <v>0</v>
      </c>
      <c r="U62" s="52"/>
      <c r="V62" s="51">
        <f t="shared" si="6"/>
        <v>3</v>
      </c>
      <c r="W62" s="52">
        <f t="shared" si="7"/>
        <v>-10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153</v>
      </c>
      <c r="C63" s="37">
        <v>18.0</v>
      </c>
      <c r="D63" s="37">
        <v>0.0</v>
      </c>
      <c r="E63" s="40">
        <f t="shared" si="2"/>
        <v>0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27</v>
      </c>
      <c r="O63" s="37">
        <f t="shared" si="68"/>
        <v>0</v>
      </c>
      <c r="P63" s="49" t="s">
        <v>57</v>
      </c>
      <c r="Q63" s="49" t="s">
        <v>57</v>
      </c>
      <c r="R63" s="49" t="s">
        <v>57</v>
      </c>
      <c r="S63" s="51">
        <f t="shared" si="4"/>
        <v>0</v>
      </c>
      <c r="T63" s="52">
        <f t="shared" si="5"/>
        <v>0</v>
      </c>
      <c r="U63" s="52"/>
      <c r="V63" s="51">
        <f t="shared" si="6"/>
        <v>3</v>
      </c>
      <c r="W63" s="52">
        <f t="shared" si="7"/>
        <v>-10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54</v>
      </c>
      <c r="C64" s="37">
        <v>18.0</v>
      </c>
      <c r="D64" s="37">
        <v>0.0</v>
      </c>
      <c r="E64" s="40">
        <f t="shared" si="2"/>
        <v>0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27</v>
      </c>
      <c r="O64" s="37">
        <f t="shared" si="69"/>
        <v>0</v>
      </c>
      <c r="P64" s="49" t="s">
        <v>57</v>
      </c>
      <c r="Q64" s="49" t="s">
        <v>57</v>
      </c>
      <c r="R64" s="49" t="s">
        <v>57</v>
      </c>
      <c r="S64" s="51">
        <f t="shared" si="4"/>
        <v>0</v>
      </c>
      <c r="T64" s="52">
        <f t="shared" si="5"/>
        <v>0</v>
      </c>
      <c r="U64" s="52"/>
      <c r="V64" s="51">
        <f t="shared" si="6"/>
        <v>3</v>
      </c>
      <c r="W64" s="52">
        <f t="shared" si="7"/>
        <v>-10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105</v>
      </c>
      <c r="C65" s="37">
        <v>18.0</v>
      </c>
      <c r="D65" s="37">
        <v>0.0</v>
      </c>
      <c r="E65" s="40">
        <f t="shared" si="2"/>
        <v>0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27</v>
      </c>
      <c r="O65" s="37">
        <f t="shared" si="70"/>
        <v>0</v>
      </c>
      <c r="P65" s="49" t="s">
        <v>57</v>
      </c>
      <c r="Q65" s="49" t="s">
        <v>57</v>
      </c>
      <c r="R65" s="49" t="s">
        <v>57</v>
      </c>
      <c r="S65" s="51">
        <f t="shared" si="4"/>
        <v>0</v>
      </c>
      <c r="T65" s="52">
        <f t="shared" si="5"/>
        <v>0</v>
      </c>
      <c r="U65" s="52"/>
      <c r="V65" s="51">
        <f t="shared" si="6"/>
        <v>3</v>
      </c>
      <c r="W65" s="52">
        <f t="shared" si="7"/>
        <v>-10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107</v>
      </c>
      <c r="C66" s="37">
        <v>18.0</v>
      </c>
      <c r="D66" s="37">
        <v>0.0</v>
      </c>
      <c r="E66" s="40">
        <f t="shared" si="2"/>
        <v>0</v>
      </c>
      <c r="F66" s="90">
        <v>2.0</v>
      </c>
      <c r="G66" s="91">
        <v>8.0</v>
      </c>
      <c r="H66" s="92">
        <v>0.0</v>
      </c>
      <c r="I66" s="91">
        <v>6.0</v>
      </c>
      <c r="J66" s="91">
        <v>6.0</v>
      </c>
      <c r="K66" s="91">
        <v>1.0</v>
      </c>
      <c r="L66" s="93">
        <v>13.0</v>
      </c>
      <c r="M66" s="91">
        <v>2.0</v>
      </c>
      <c r="N66" s="37">
        <f t="shared" ref="N66:O66" si="71">C66+L66</f>
        <v>31</v>
      </c>
      <c r="O66" s="37">
        <f t="shared" si="71"/>
        <v>2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2</v>
      </c>
      <c r="W66" s="52">
        <f t="shared" si="7"/>
        <v>-9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51</v>
      </c>
      <c r="C67" s="37">
        <v>18.0</v>
      </c>
      <c r="D67" s="37">
        <v>0.0</v>
      </c>
      <c r="E67" s="40">
        <f t="shared" si="2"/>
        <v>0</v>
      </c>
      <c r="F67" s="90">
        <v>3.0</v>
      </c>
      <c r="G67" s="91">
        <v>0.0</v>
      </c>
      <c r="H67" s="92">
        <v>9.0</v>
      </c>
      <c r="I67" s="91">
        <v>0.0</v>
      </c>
      <c r="J67" s="91">
        <v>0.0</v>
      </c>
      <c r="K67" s="91">
        <v>0.0</v>
      </c>
      <c r="L67" s="93">
        <v>9.0</v>
      </c>
      <c r="M67" s="91">
        <v>0.0</v>
      </c>
      <c r="N67" s="37">
        <f t="shared" ref="N67:O67" si="72">C67+L67</f>
        <v>27</v>
      </c>
      <c r="O67" s="37">
        <f t="shared" si="72"/>
        <v>0</v>
      </c>
      <c r="P67" s="49" t="s">
        <v>57</v>
      </c>
      <c r="Q67" s="49" t="s">
        <v>57</v>
      </c>
      <c r="R67" s="49" t="s">
        <v>57</v>
      </c>
      <c r="S67" s="51">
        <f t="shared" si="4"/>
        <v>0</v>
      </c>
      <c r="T67" s="52">
        <f t="shared" si="5"/>
        <v>0</v>
      </c>
      <c r="U67" s="52"/>
      <c r="V67" s="51">
        <f t="shared" si="6"/>
        <v>3</v>
      </c>
      <c r="W67" s="52">
        <f t="shared" si="7"/>
        <v>-9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135</v>
      </c>
      <c r="C68" s="37">
        <v>18.0</v>
      </c>
      <c r="D68" s="37">
        <v>0.0</v>
      </c>
      <c r="E68" s="40">
        <f t="shared" si="2"/>
        <v>0</v>
      </c>
      <c r="F68" s="90">
        <v>3.0</v>
      </c>
      <c r="G68" s="91">
        <v>0.0</v>
      </c>
      <c r="H68" s="92">
        <v>9.0</v>
      </c>
      <c r="I68" s="91">
        <v>0.0</v>
      </c>
      <c r="J68" s="91">
        <v>0.0</v>
      </c>
      <c r="K68" s="91">
        <v>0.0</v>
      </c>
      <c r="L68" s="93">
        <v>9.0</v>
      </c>
      <c r="M68" s="91">
        <v>0.0</v>
      </c>
      <c r="N68" s="37">
        <f t="shared" ref="N68:O68" si="73">C68+L68</f>
        <v>27</v>
      </c>
      <c r="O68" s="37">
        <f t="shared" si="73"/>
        <v>0</v>
      </c>
      <c r="P68" s="49" t="s">
        <v>57</v>
      </c>
      <c r="Q68" s="49" t="s">
        <v>57</v>
      </c>
      <c r="R68" s="49" t="s">
        <v>57</v>
      </c>
      <c r="S68" s="51">
        <f t="shared" si="4"/>
        <v>0</v>
      </c>
      <c r="T68" s="52">
        <f t="shared" si="5"/>
        <v>0</v>
      </c>
      <c r="U68" s="52"/>
      <c r="V68" s="51">
        <f t="shared" si="6"/>
        <v>3</v>
      </c>
      <c r="W68" s="52">
        <f t="shared" si="7"/>
        <v>-4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101</v>
      </c>
      <c r="C69" s="37">
        <v>18.0</v>
      </c>
      <c r="D69" s="37">
        <v>0.0</v>
      </c>
      <c r="E69" s="40">
        <f t="shared" si="2"/>
        <v>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27</v>
      </c>
      <c r="O69" s="37">
        <f t="shared" si="74"/>
        <v>0</v>
      </c>
      <c r="P69" s="49" t="s">
        <v>57</v>
      </c>
      <c r="Q69" s="49" t="s">
        <v>57</v>
      </c>
      <c r="R69" s="49" t="s">
        <v>57</v>
      </c>
      <c r="S69" s="51">
        <f t="shared" si="4"/>
        <v>0</v>
      </c>
      <c r="T69" s="52">
        <f t="shared" si="5"/>
        <v>0</v>
      </c>
      <c r="U69" s="52"/>
      <c r="V69" s="51">
        <f t="shared" si="6"/>
        <v>3</v>
      </c>
      <c r="W69" s="52">
        <f t="shared" si="7"/>
        <v>-4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150</v>
      </c>
      <c r="C70" s="37">
        <v>18.0</v>
      </c>
      <c r="D70" s="37">
        <v>0.0</v>
      </c>
      <c r="E70" s="40">
        <f t="shared" si="2"/>
        <v>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27</v>
      </c>
      <c r="O70" s="37">
        <f t="shared" si="75"/>
        <v>0</v>
      </c>
      <c r="P70" s="49" t="s">
        <v>57</v>
      </c>
      <c r="Q70" s="49" t="s">
        <v>57</v>
      </c>
      <c r="R70" s="49" t="s">
        <v>57</v>
      </c>
      <c r="S70" s="51">
        <f t="shared" si="4"/>
        <v>0</v>
      </c>
      <c r="T70" s="52">
        <f t="shared" si="5"/>
        <v>0</v>
      </c>
      <c r="U70" s="52"/>
      <c r="V70" s="51">
        <f t="shared" si="6"/>
        <v>3</v>
      </c>
      <c r="W70" s="52">
        <f t="shared" si="7"/>
        <v>-1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141</v>
      </c>
      <c r="C71" s="37">
        <v>18.0</v>
      </c>
      <c r="D71" s="37">
        <v>0.0</v>
      </c>
      <c r="E71" s="40">
        <f t="shared" si="2"/>
        <v>0</v>
      </c>
      <c r="F71" s="90">
        <v>3.0</v>
      </c>
      <c r="G71" s="91">
        <v>0.0</v>
      </c>
      <c r="H71" s="92">
        <v>9.0</v>
      </c>
      <c r="I71" s="91">
        <v>0.0</v>
      </c>
      <c r="J71" s="91">
        <v>0.0</v>
      </c>
      <c r="K71" s="91">
        <v>0.0</v>
      </c>
      <c r="L71" s="93">
        <v>9.0</v>
      </c>
      <c r="M71" s="91">
        <v>0.0</v>
      </c>
      <c r="N71" s="37">
        <f t="shared" ref="N71:O71" si="76">C71+L71</f>
        <v>27</v>
      </c>
      <c r="O71" s="37">
        <f t="shared" si="76"/>
        <v>0</v>
      </c>
      <c r="P71" s="49" t="s">
        <v>57</v>
      </c>
      <c r="Q71" s="49" t="s">
        <v>57</v>
      </c>
      <c r="R71" s="49" t="s">
        <v>57</v>
      </c>
      <c r="S71" s="51">
        <f t="shared" si="4"/>
        <v>0</v>
      </c>
      <c r="T71" s="52">
        <f t="shared" si="5"/>
        <v>0</v>
      </c>
      <c r="U71" s="52"/>
      <c r="V71" s="51">
        <f t="shared" si="6"/>
        <v>3</v>
      </c>
      <c r="W71" s="52">
        <f t="shared" si="7"/>
        <v>-1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154</v>
      </c>
      <c r="C72" s="37">
        <v>18.0</v>
      </c>
      <c r="D72" s="37">
        <v>0.0</v>
      </c>
      <c r="E72" s="40">
        <f t="shared" si="2"/>
        <v>0</v>
      </c>
      <c r="F72" s="90">
        <v>1.0</v>
      </c>
      <c r="G72" s="91">
        <v>11.0</v>
      </c>
      <c r="H72" s="92">
        <v>0.0</v>
      </c>
      <c r="I72" s="91">
        <v>6.0</v>
      </c>
      <c r="J72" s="91">
        <v>6.0</v>
      </c>
      <c r="K72" s="91">
        <v>3.0</v>
      </c>
      <c r="L72" s="93">
        <v>15.0</v>
      </c>
      <c r="M72" s="91">
        <v>2.0</v>
      </c>
      <c r="N72" s="37">
        <f t="shared" ref="N72:O72" si="77">C72+L72</f>
        <v>33</v>
      </c>
      <c r="O72" s="37">
        <f t="shared" si="77"/>
        <v>2</v>
      </c>
      <c r="P72" s="49" t="s">
        <v>57</v>
      </c>
      <c r="Q72" s="49" t="s">
        <v>57</v>
      </c>
      <c r="R72" s="49" t="s">
        <v>57</v>
      </c>
      <c r="S72" s="51">
        <f t="shared" si="4"/>
        <v>1</v>
      </c>
      <c r="T72" s="52">
        <f t="shared" si="5"/>
        <v>0</v>
      </c>
      <c r="U72" s="52"/>
      <c r="V72" s="51">
        <f t="shared" si="6"/>
        <v>2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136</v>
      </c>
      <c r="C73" s="37">
        <v>18.0</v>
      </c>
      <c r="D73" s="37">
        <v>0.0</v>
      </c>
      <c r="E73" s="40">
        <f t="shared" si="2"/>
        <v>0</v>
      </c>
      <c r="F73" s="90">
        <v>1.0</v>
      </c>
      <c r="G73" s="91">
        <v>11.0</v>
      </c>
      <c r="H73" s="92">
        <v>0.0</v>
      </c>
      <c r="I73" s="91">
        <v>4.0</v>
      </c>
      <c r="J73" s="91">
        <v>6.0</v>
      </c>
      <c r="K73" s="91">
        <v>6.0</v>
      </c>
      <c r="L73" s="93">
        <v>16.0</v>
      </c>
      <c r="M73" s="91">
        <v>2.0</v>
      </c>
      <c r="N73" s="37">
        <f t="shared" ref="N73:O73" si="78">C73+L73</f>
        <v>34</v>
      </c>
      <c r="O73" s="37">
        <f t="shared" si="78"/>
        <v>2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2</v>
      </c>
      <c r="W73" s="52">
        <f t="shared" si="7"/>
        <v>2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87</v>
      </c>
      <c r="C74" s="37">
        <v>18.0</v>
      </c>
      <c r="D74" s="37">
        <v>0.0</v>
      </c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27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3</v>
      </c>
      <c r="W74" s="52">
        <f t="shared" si="7"/>
        <v>3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76</v>
      </c>
      <c r="C75" s="37">
        <v>16.0</v>
      </c>
      <c r="D75" s="37">
        <v>0.0</v>
      </c>
      <c r="E75" s="40">
        <f t="shared" si="2"/>
        <v>-2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25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2</v>
      </c>
      <c r="W75" s="52">
        <f t="shared" si="7"/>
        <v>-14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126</v>
      </c>
      <c r="C76" s="37">
        <v>23.0</v>
      </c>
      <c r="D76" s="37">
        <v>1.0</v>
      </c>
      <c r="E76" s="40">
        <f t="shared" si="2"/>
        <v>5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32</v>
      </c>
      <c r="O76" s="37">
        <f t="shared" si="81"/>
        <v>1</v>
      </c>
      <c r="P76" s="49" t="s">
        <v>57</v>
      </c>
      <c r="Q76" s="49" t="s">
        <v>57</v>
      </c>
      <c r="R76" s="49" t="s">
        <v>57</v>
      </c>
      <c r="S76" s="51">
        <f t="shared" si="4"/>
        <v>1</v>
      </c>
      <c r="T76" s="52">
        <f t="shared" si="5"/>
        <v>0</v>
      </c>
      <c r="U76" s="52"/>
      <c r="V76" s="51">
        <f t="shared" si="6"/>
        <v>2</v>
      </c>
      <c r="W76" s="52">
        <f t="shared" si="7"/>
        <v>-50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98</v>
      </c>
      <c r="C77" s="37">
        <v>14.0</v>
      </c>
      <c r="D77" s="37">
        <v>0.0</v>
      </c>
      <c r="E77" s="40">
        <f t="shared" si="2"/>
        <v>-4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23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1</v>
      </c>
      <c r="T77" s="52">
        <f t="shared" si="5"/>
        <v>0</v>
      </c>
      <c r="U77" s="52"/>
      <c r="V77" s="51">
        <f t="shared" si="6"/>
        <v>2</v>
      </c>
      <c r="W77" s="52">
        <f t="shared" si="7"/>
        <v>-28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133</v>
      </c>
      <c r="C78" s="37">
        <v>13.0</v>
      </c>
      <c r="D78" s="37">
        <v>0.0</v>
      </c>
      <c r="E78" s="40">
        <f t="shared" si="2"/>
        <v>2</v>
      </c>
      <c r="F78" s="90">
        <v>1.0</v>
      </c>
      <c r="G78" s="91">
        <v>11.0</v>
      </c>
      <c r="H78" s="92">
        <v>0.0</v>
      </c>
      <c r="I78" s="91">
        <v>6.0</v>
      </c>
      <c r="J78" s="91">
        <v>4.0</v>
      </c>
      <c r="K78" s="91">
        <v>6.0</v>
      </c>
      <c r="L78" s="93">
        <v>16.0</v>
      </c>
      <c r="M78" s="91">
        <v>2.0</v>
      </c>
      <c r="N78" s="37">
        <f t="shared" ref="N78:O78" si="83">C78+L78</f>
        <v>29</v>
      </c>
      <c r="O78" s="37">
        <f t="shared" si="83"/>
        <v>2</v>
      </c>
      <c r="P78" s="49" t="s">
        <v>57</v>
      </c>
      <c r="Q78" s="49" t="s">
        <v>57</v>
      </c>
      <c r="R78" s="49" t="s">
        <v>57</v>
      </c>
      <c r="S78" s="51">
        <f t="shared" si="4"/>
        <v>2</v>
      </c>
      <c r="T78" s="52">
        <f t="shared" si="5"/>
        <v>0</v>
      </c>
      <c r="U78" s="52"/>
      <c r="V78" s="51">
        <f t="shared" si="6"/>
        <v>1</v>
      </c>
      <c r="W78" s="52">
        <f t="shared" si="7"/>
        <v>1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144</v>
      </c>
      <c r="C79" s="37">
        <v>10.0</v>
      </c>
      <c r="D79" s="37">
        <v>0.0</v>
      </c>
      <c r="E79" s="40">
        <f t="shared" si="2"/>
        <v>3.333333333</v>
      </c>
      <c r="F79" s="90">
        <v>1.0</v>
      </c>
      <c r="G79" s="91">
        <v>11.0</v>
      </c>
      <c r="H79" s="92">
        <v>0.0</v>
      </c>
      <c r="I79" s="91">
        <v>4.0</v>
      </c>
      <c r="J79" s="91">
        <v>4.0</v>
      </c>
      <c r="K79" s="91">
        <v>3.0</v>
      </c>
      <c r="L79" s="93">
        <v>11.0</v>
      </c>
      <c r="M79" s="91">
        <v>0.0</v>
      </c>
      <c r="N79" s="37">
        <f t="shared" ref="N79:O79" si="84">C79+L79</f>
        <v>21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3</v>
      </c>
      <c r="T79" s="52">
        <f t="shared" si="5"/>
        <v>0</v>
      </c>
      <c r="U79" s="52"/>
      <c r="V79" s="51">
        <f t="shared" si="6"/>
        <v>0</v>
      </c>
      <c r="W79" s="52">
        <f t="shared" si="7"/>
        <v>-1</v>
      </c>
      <c r="X79" s="35">
        <f t="shared" si="12"/>
        <v>75</v>
      </c>
      <c r="Y79" s="35" t="str">
        <f t="shared" si="8"/>
        <v>Y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01/17/26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desc"",0)"),"Tina Hanson")</f>
        <v>Tina Hanson</v>
      </c>
      <c r="C91" s="122">
        <f>IFERROR(__xludf.DUMMYFUNCTION("""COMPUTED_VALUE"""),20.0)</f>
        <v>20</v>
      </c>
      <c r="D91" s="122">
        <f>IFERROR(__xludf.DUMMYFUNCTION("""COMPUTED_VALUE"""),3.0)</f>
        <v>3</v>
      </c>
      <c r="E91" s="122">
        <f>IFERROR(__xludf.DUMMYFUNCTION("""COMPUTED_VALUE"""),4.0)</f>
        <v>4</v>
      </c>
      <c r="F91" s="5"/>
    </row>
    <row r="92">
      <c r="A92" s="5"/>
      <c r="B92" s="36" t="str">
        <f>IFERROR(__xludf.DUMMYFUNCTION("""COMPUTED_VALUE"""),"Andrew Yao")</f>
        <v>Andrew Yao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IFERROR(__xludf.DUMMYFUNCTION("""COMPUTED_VALUE"""),1.0)</f>
        <v>1</v>
      </c>
      <c r="F92" s="5"/>
    </row>
    <row r="93">
      <c r="A93" s="5"/>
      <c r="B93" s="36" t="str">
        <f>IFERROR(__xludf.DUMMYFUNCTION("""COMPUTED_VALUE"""),"Jim Miao")</f>
        <v>Jim Miao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IFERROR(__xludf.DUMMYFUNCTION("""COMPUTED_VALUE"""),2.0)</f>
        <v>2</v>
      </c>
      <c r="F93" s="5"/>
    </row>
    <row r="94">
      <c r="A94" s="5"/>
      <c r="B94" s="36" t="str">
        <f>IFERROR(__xludf.DUMMYFUNCTION("""COMPUTED_VALUE"""),"Rudy Tatang")</f>
        <v>Rudy Tatang</v>
      </c>
      <c r="C94" s="122">
        <f>IFERROR(__xludf.DUMMYFUNCTION("""COMPUTED_VALUE"""),19.0)</f>
        <v>19</v>
      </c>
      <c r="D94" s="122">
        <f>IFERROR(__xludf.DUMMYFUNCTION("""COMPUTED_VALUE"""),3.0)</f>
        <v>3</v>
      </c>
      <c r="E94" s="122">
        <f>IFERROR(__xludf.DUMMYFUNCTION("""COMPUTED_VALUE"""),10.0)</f>
        <v>10</v>
      </c>
      <c r="F94" s="5"/>
    </row>
    <row r="95">
      <c r="A95" s="5"/>
      <c r="B95" s="36" t="str">
        <f>IFERROR(__xludf.DUMMYFUNCTION("""COMPUTED_VALUE"""),"Darren Wong")</f>
        <v>Darren Wong</v>
      </c>
      <c r="C95" s="122">
        <f>IFERROR(__xludf.DUMMYFUNCTION("""COMPUTED_VALUE"""),18.0)</f>
        <v>18</v>
      </c>
      <c r="D95" s="122">
        <f>IFERROR(__xludf.DUMMYFUNCTION("""COMPUTED_VALUE"""),3.0)</f>
        <v>3</v>
      </c>
      <c r="E95" s="122">
        <f>IFERROR(__xludf.DUMMYFUNCTION("""COMPUTED_VALUE"""),5.0)</f>
        <v>5</v>
      </c>
      <c r="F95" s="5"/>
    </row>
    <row r="96">
      <c r="A96" s="5"/>
      <c r="B96" s="36" t="str">
        <f>IFERROR(__xludf.DUMMYFUNCTION("""COMPUTED_VALUE"""),"Suleman Alidina")</f>
        <v>Suleman Alidina</v>
      </c>
      <c r="C96" s="122">
        <f>IFERROR(__xludf.DUMMYFUNCTION("""COMPUTED_VALUE"""),18.0)</f>
        <v>18</v>
      </c>
      <c r="D96" s="122">
        <f>IFERROR(__xludf.DUMMYFUNCTION("""COMPUTED_VALUE"""),3.0)</f>
        <v>3</v>
      </c>
      <c r="E96" s="122">
        <f>IFERROR(__xludf.DUMMYFUNCTION("""COMPUTED_VALUE"""),6.0)</f>
        <v>6</v>
      </c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10"")"),"Rudy Tatang")</f>
        <v>Rudy Tatang</v>
      </c>
      <c r="C110" s="122">
        <f>IFERROR(__xludf.DUMMYFUNCTION("""COMPUTED_VALUE"""),40.0)</f>
        <v>40</v>
      </c>
      <c r="D110" s="122">
        <f t="shared" ref="D110:D119" si="85">VLOOKUP(B110,indirect($AC$2&amp;"!B$5:X$79"),23, false)</f>
        <v>58</v>
      </c>
      <c r="E110" s="122">
        <f t="shared" ref="E110:E119" si="86">VLOOKUP(B110,B$5:X$79,23, false)</f>
        <v>18</v>
      </c>
      <c r="F110" s="122">
        <f t="shared" ref="F110:F119" si="87">VLOOKUP(B110,indirect($AC$2&amp;"!B$5:U$79"),11, false)</f>
        <v>19</v>
      </c>
      <c r="G110" s="122">
        <f t="shared" ref="G110:G119" si="88">VLOOKUP(B110,indirect($AC$2&amp;"!B$5:U$79"),6, false)</f>
        <v>10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IFERROR(__xludf.DUMMYFUNCTION("""COMPUTED_VALUE"""),"Jonathan Phan")</f>
        <v>Jonathan Phan</v>
      </c>
      <c r="C111" s="122">
        <f>IFERROR(__xludf.DUMMYFUNCTION("""COMPUTED_VALUE"""),36.0)</f>
        <v>36</v>
      </c>
      <c r="D111" s="122">
        <f t="shared" si="85"/>
        <v>64</v>
      </c>
      <c r="E111" s="122">
        <f t="shared" si="86"/>
        <v>28</v>
      </c>
      <c r="F111" s="122">
        <f t="shared" si="87"/>
        <v>15</v>
      </c>
      <c r="G111" s="122">
        <f t="shared" si="88"/>
        <v>11</v>
      </c>
      <c r="L111" s="122" t="str">
        <f t="shared" si="89"/>
        <v>ok</v>
      </c>
    </row>
    <row r="112">
      <c r="A112" s="5"/>
      <c r="B112" s="36" t="str">
        <f>IFERROR(__xludf.DUMMYFUNCTION("""COMPUTED_VALUE"""),"Luis Hsu")</f>
        <v>Luis Hsu</v>
      </c>
      <c r="C112" s="122">
        <f>IFERROR(__xludf.DUMMYFUNCTION("""COMPUTED_VALUE"""),33.0)</f>
        <v>33</v>
      </c>
      <c r="D112" s="122">
        <f t="shared" si="85"/>
        <v>56</v>
      </c>
      <c r="E112" s="122">
        <f t="shared" si="86"/>
        <v>23</v>
      </c>
      <c r="F112" s="122">
        <f t="shared" si="87"/>
        <v>16</v>
      </c>
      <c r="G112" s="122">
        <f t="shared" si="88"/>
        <v>9</v>
      </c>
      <c r="L112" s="122" t="str">
        <f t="shared" si="89"/>
        <v>ok</v>
      </c>
    </row>
    <row r="113">
      <c r="A113" s="5"/>
      <c r="B113" s="36" t="str">
        <f>IFERROR(__xludf.DUMMYFUNCTION("""COMPUTED_VALUE"""),"Joe Luzzi")</f>
        <v>Joe Luzzi</v>
      </c>
      <c r="C113" s="122">
        <f>IFERROR(__xludf.DUMMYFUNCTION("""COMPUTED_VALUE"""),32.0)</f>
        <v>32</v>
      </c>
      <c r="D113" s="122">
        <f t="shared" si="85"/>
        <v>67</v>
      </c>
      <c r="E113" s="122">
        <f t="shared" si="86"/>
        <v>35</v>
      </c>
      <c r="F113" s="122">
        <f t="shared" si="87"/>
        <v>14</v>
      </c>
      <c r="G113" s="122">
        <f t="shared" si="88"/>
        <v>11</v>
      </c>
      <c r="L113" s="122" t="str">
        <f t="shared" si="89"/>
        <v>ok</v>
      </c>
    </row>
    <row r="114">
      <c r="A114" s="5"/>
      <c r="B114" s="36" t="str">
        <f>IFERROR(__xludf.DUMMYFUNCTION("""COMPUTED_VALUE"""),"Matthew Huang")</f>
        <v>Matthew Huang</v>
      </c>
      <c r="C114" s="122">
        <f>IFERROR(__xludf.DUMMYFUNCTION("""COMPUTED_VALUE"""),30.0)</f>
        <v>30</v>
      </c>
      <c r="D114" s="122">
        <f t="shared" si="85"/>
        <v>62</v>
      </c>
      <c r="E114" s="122">
        <f t="shared" si="86"/>
        <v>32</v>
      </c>
      <c r="F114" s="122">
        <f t="shared" si="87"/>
        <v>15</v>
      </c>
      <c r="G114" s="122">
        <f t="shared" si="88"/>
        <v>10</v>
      </c>
      <c r="L114" s="122" t="str">
        <f t="shared" si="89"/>
        <v>ok</v>
      </c>
    </row>
    <row r="115">
      <c r="A115" s="5"/>
      <c r="B115" s="36" t="str">
        <f>IFERROR(__xludf.DUMMYFUNCTION("""COMPUTED_VALUE"""),"Ramesh Bandaru")</f>
        <v>Ramesh Bandaru</v>
      </c>
      <c r="C115" s="122">
        <f>IFERROR(__xludf.DUMMYFUNCTION("""COMPUTED_VALUE"""),26.0)</f>
        <v>26</v>
      </c>
      <c r="D115" s="122">
        <f t="shared" si="85"/>
        <v>69</v>
      </c>
      <c r="E115" s="122">
        <f t="shared" si="86"/>
        <v>43</v>
      </c>
      <c r="F115" s="122">
        <f t="shared" si="87"/>
        <v>13</v>
      </c>
      <c r="G115" s="122">
        <f t="shared" si="88"/>
        <v>11</v>
      </c>
      <c r="L115" s="122" t="str">
        <f t="shared" si="89"/>
        <v>ok</v>
      </c>
    </row>
    <row r="116">
      <c r="A116" s="5"/>
      <c r="B116" s="36" t="str">
        <f>IFERROR(__xludf.DUMMYFUNCTION("""COMPUTED_VALUE"""),"Erik Hoeckmann")</f>
        <v>Erik Hoeckmann</v>
      </c>
      <c r="C116" s="122">
        <f>IFERROR(__xludf.DUMMYFUNCTION("""COMPUTED_VALUE"""),26.0)</f>
        <v>26</v>
      </c>
      <c r="D116" s="122">
        <f t="shared" si="85"/>
        <v>72</v>
      </c>
      <c r="E116" s="122">
        <f t="shared" si="86"/>
        <v>46</v>
      </c>
      <c r="F116" s="122">
        <f t="shared" si="87"/>
        <v>13</v>
      </c>
      <c r="G116" s="122">
        <f t="shared" si="88"/>
        <v>0</v>
      </c>
      <c r="L116" s="122" t="str">
        <f t="shared" si="89"/>
        <v>ok</v>
      </c>
    </row>
    <row r="117">
      <c r="A117" s="5"/>
      <c r="B117" s="36" t="str">
        <f>IFERROR(__xludf.DUMMYFUNCTION("""COMPUTED_VALUE"""),"Andrew Wen")</f>
        <v>Andrew Wen</v>
      </c>
      <c r="C117" s="122">
        <f>IFERROR(__xludf.DUMMYFUNCTION("""COMPUTED_VALUE"""),25.0)</f>
        <v>25</v>
      </c>
      <c r="D117" s="122">
        <f t="shared" si="85"/>
        <v>70</v>
      </c>
      <c r="E117" s="122">
        <f t="shared" si="86"/>
        <v>45</v>
      </c>
      <c r="F117" s="122">
        <f t="shared" si="87"/>
        <v>13</v>
      </c>
      <c r="G117" s="122">
        <f t="shared" si="88"/>
        <v>0</v>
      </c>
      <c r="L117" s="122" t="str">
        <f t="shared" si="89"/>
        <v>ok</v>
      </c>
    </row>
    <row r="118">
      <c r="A118" s="5"/>
      <c r="B118" s="36" t="str">
        <f>IFERROR(__xludf.DUMMYFUNCTION("""COMPUTED_VALUE"""),"Suleman Alidina")</f>
        <v>Suleman Alidina</v>
      </c>
      <c r="C118" s="122">
        <f>IFERROR(__xludf.DUMMYFUNCTION("""COMPUTED_VALUE"""),22.0)</f>
        <v>22</v>
      </c>
      <c r="D118" s="122">
        <f t="shared" si="85"/>
        <v>31</v>
      </c>
      <c r="E118" s="122">
        <f t="shared" si="86"/>
        <v>9</v>
      </c>
      <c r="F118" s="122">
        <f t="shared" si="87"/>
        <v>18</v>
      </c>
      <c r="G118" s="122">
        <f t="shared" si="88"/>
        <v>6</v>
      </c>
      <c r="L118" s="122" t="str">
        <f t="shared" si="89"/>
        <v>ok</v>
      </c>
    </row>
    <row r="119">
      <c r="A119" s="5"/>
      <c r="B119" s="36" t="str">
        <f>IFERROR(__xludf.DUMMYFUNCTION("""COMPUTED_VALUE"""),"Tina Hanson")</f>
        <v>Tina Hanson</v>
      </c>
      <c r="C119" s="122">
        <f>IFERROR(__xludf.DUMMYFUNCTION("""COMPUTED_VALUE"""),19.0)</f>
        <v>19</v>
      </c>
      <c r="D119" s="122">
        <f t="shared" si="85"/>
        <v>24</v>
      </c>
      <c r="E119" s="122">
        <f t="shared" si="86"/>
        <v>5</v>
      </c>
      <c r="F119" s="122">
        <f t="shared" si="87"/>
        <v>20</v>
      </c>
      <c r="G119" s="122">
        <f t="shared" si="88"/>
        <v>4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3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38</v>
      </c>
      <c r="D128" s="122">
        <f t="shared" si="90"/>
        <v>6</v>
      </c>
      <c r="E128" s="122">
        <f t="shared" si="90"/>
        <v>12.66666667</v>
      </c>
      <c r="F128" s="5"/>
    </row>
    <row r="129">
      <c r="A129" s="122">
        <f t="shared" ref="A129:E129" si="91">A6</f>
        <v>2</v>
      </c>
      <c r="B129" s="36" t="str">
        <f t="shared" si="91"/>
        <v>Alex Hou</v>
      </c>
      <c r="C129" s="122">
        <f t="shared" si="91"/>
        <v>35</v>
      </c>
      <c r="D129" s="122">
        <f t="shared" si="91"/>
        <v>4</v>
      </c>
      <c r="E129" s="122">
        <f t="shared" si="91"/>
        <v>11.66666667</v>
      </c>
      <c r="F129" s="5"/>
    </row>
    <row r="130">
      <c r="A130" s="122">
        <f t="shared" ref="A130:E130" si="92">A7</f>
        <v>3</v>
      </c>
      <c r="B130" s="36" t="str">
        <f t="shared" si="92"/>
        <v>Jim Miao</v>
      </c>
      <c r="C130" s="122">
        <f t="shared" si="92"/>
        <v>35</v>
      </c>
      <c r="D130" s="122">
        <f t="shared" si="92"/>
        <v>4</v>
      </c>
      <c r="E130" s="122">
        <f t="shared" si="92"/>
        <v>11.66666667</v>
      </c>
      <c r="F130" s="5"/>
    </row>
    <row r="131">
      <c r="A131" s="122">
        <f t="shared" ref="A131:E131" si="93">A8</f>
        <v>4</v>
      </c>
      <c r="B131" s="36" t="str">
        <f t="shared" si="93"/>
        <v>Sandeep Kamalon</v>
      </c>
      <c r="C131" s="122">
        <f t="shared" si="93"/>
        <v>34</v>
      </c>
      <c r="D131" s="122">
        <f t="shared" si="93"/>
        <v>4</v>
      </c>
      <c r="E131" s="122">
        <f t="shared" si="93"/>
        <v>11.33333333</v>
      </c>
      <c r="F131" s="5"/>
    </row>
    <row r="132">
      <c r="A132" s="122">
        <f t="shared" ref="A132:E132" si="94">A9</f>
        <v>5</v>
      </c>
      <c r="B132" s="36" t="str">
        <f t="shared" si="94"/>
        <v>Tina Hanson</v>
      </c>
      <c r="C132" s="122">
        <f t="shared" si="94"/>
        <v>34</v>
      </c>
      <c r="D132" s="122">
        <f t="shared" si="94"/>
        <v>4</v>
      </c>
      <c r="E132" s="122">
        <f t="shared" si="94"/>
        <v>11.33333333</v>
      </c>
      <c r="F132" s="5"/>
    </row>
    <row r="133">
      <c r="A133" s="122">
        <f t="shared" ref="A133:E133" si="95">A10</f>
        <v>6</v>
      </c>
      <c r="B133" s="36" t="str">
        <f t="shared" si="95"/>
        <v>Ted Shen</v>
      </c>
      <c r="C133" s="122">
        <f t="shared" si="95"/>
        <v>33</v>
      </c>
      <c r="D133" s="122">
        <f t="shared" si="95"/>
        <v>4</v>
      </c>
      <c r="E133" s="122">
        <f t="shared" si="95"/>
        <v>11</v>
      </c>
      <c r="F133" s="5"/>
    </row>
    <row r="134">
      <c r="A134" s="122">
        <f t="shared" ref="A134:E134" si="96">A11</f>
        <v>7</v>
      </c>
      <c r="B134" s="36" t="str">
        <f t="shared" si="96"/>
        <v>Jaya Sogata</v>
      </c>
      <c r="C134" s="122">
        <f t="shared" si="96"/>
        <v>32</v>
      </c>
      <c r="D134" s="122">
        <f t="shared" si="96"/>
        <v>4</v>
      </c>
      <c r="E134" s="122">
        <f t="shared" si="96"/>
        <v>10.66666667</v>
      </c>
      <c r="F134" s="5"/>
    </row>
    <row r="135">
      <c r="A135" s="122">
        <f t="shared" ref="A135:E135" si="97">A12</f>
        <v>8</v>
      </c>
      <c r="B135" s="36" t="str">
        <f t="shared" si="97"/>
        <v>Darren Wong</v>
      </c>
      <c r="C135" s="122">
        <f t="shared" si="97"/>
        <v>32</v>
      </c>
      <c r="D135" s="122">
        <f t="shared" si="97"/>
        <v>4</v>
      </c>
      <c r="E135" s="122">
        <f t="shared" si="97"/>
        <v>11.5</v>
      </c>
      <c r="F135" s="5"/>
    </row>
    <row r="136">
      <c r="A136" s="122">
        <f t="shared" ref="A136:E136" si="98">A13</f>
        <v>9</v>
      </c>
      <c r="B136" s="36" t="str">
        <f t="shared" si="98"/>
        <v>Suleman Alidina</v>
      </c>
      <c r="C136" s="122">
        <f t="shared" si="98"/>
        <v>31</v>
      </c>
      <c r="D136" s="122">
        <f t="shared" si="98"/>
        <v>4</v>
      </c>
      <c r="E136" s="122">
        <f t="shared" si="98"/>
        <v>10.33333333</v>
      </c>
      <c r="F136" s="5"/>
    </row>
    <row r="137">
      <c r="A137" s="122">
        <f t="shared" ref="A137:E137" si="99">A14</f>
        <v>10</v>
      </c>
      <c r="B137" s="36" t="str">
        <f t="shared" si="99"/>
        <v>Frank Moon</v>
      </c>
      <c r="C137" s="122">
        <f t="shared" si="99"/>
        <v>31</v>
      </c>
      <c r="D137" s="122">
        <f t="shared" si="99"/>
        <v>3</v>
      </c>
      <c r="E137" s="122">
        <f t="shared" si="99"/>
        <v>10.33333333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IFERROR(__xludf.DUMMYFUNCTION("""COMPUTED_VALUE"""),"Charles Choi")</f>
        <v>Charles Choi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IFERROR(__xludf.DUMMYFUNCTION("""COMPUTED_VALUE"""),"Coco Yan")</f>
        <v>Coco Yan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IFERROR(__xludf.DUMMYFUNCTION("""COMPUTED_VALUE"""),"Eric Tan")</f>
        <v>Eric Tan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IFERROR(__xludf.DUMMYFUNCTION("""COMPUTED_VALUE"""),"Frank Moon")</f>
        <v>Frank Moon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IFERROR(__xludf.DUMMYFUNCTION("""COMPUTED_VALUE"""),"Herman Au")</f>
        <v>Herman Au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IFERROR(__xludf.DUMMYFUNCTION("""COMPUTED_VALUE"""),"Hongyuan Wen")</f>
        <v>Hongyuan Wen</v>
      </c>
      <c r="C171" s="5"/>
      <c r="D171" s="5"/>
      <c r="E171" s="5"/>
      <c r="F171" s="5"/>
    </row>
    <row r="172">
      <c r="A172" s="122">
        <f t="shared" si="100"/>
        <v>10</v>
      </c>
      <c r="B172" s="36" t="str">
        <f>IFERROR(__xludf.DUMMYFUNCTION("""COMPUTED_VALUE"""),"Jaya Sogata")</f>
        <v>Jaya Sogata</v>
      </c>
      <c r="C172" s="5"/>
      <c r="D172" s="5"/>
      <c r="E172" s="5"/>
      <c r="F172" s="5"/>
    </row>
    <row r="173">
      <c r="A173" s="122">
        <f t="shared" si="100"/>
        <v>11</v>
      </c>
      <c r="B173" s="36" t="str">
        <f>IFERROR(__xludf.DUMMYFUNCTION("""COMPUTED_VALUE"""),"Jim Miao")</f>
        <v>Jim Miao</v>
      </c>
      <c r="C173" s="5"/>
      <c r="D173" s="5"/>
      <c r="E173" s="5"/>
      <c r="F173" s="5"/>
    </row>
    <row r="174">
      <c r="A174" s="122">
        <f t="shared" si="100"/>
        <v>12</v>
      </c>
      <c r="B174" s="36" t="str">
        <f>IFERROR(__xludf.DUMMYFUNCTION("""COMPUTED_VALUE"""),"Kumar Palakeel")</f>
        <v>Kumar Palakeel</v>
      </c>
      <c r="C174" s="5"/>
      <c r="D174" s="5"/>
      <c r="E174" s="5"/>
      <c r="F174" s="5"/>
    </row>
    <row r="175">
      <c r="A175" s="122">
        <f t="shared" si="100"/>
        <v>13</v>
      </c>
      <c r="B175" s="36" t="str">
        <f>IFERROR(__xludf.DUMMYFUNCTION("""COMPUTED_VALUE"""),"Lloyd Sagar")</f>
        <v>Lloyd Sagar</v>
      </c>
      <c r="C175" s="5"/>
      <c r="D175" s="5"/>
      <c r="E175" s="5"/>
      <c r="F175" s="5"/>
    </row>
    <row r="176">
      <c r="A176" s="122">
        <f t="shared" si="100"/>
        <v>14</v>
      </c>
      <c r="B176" s="36" t="str">
        <f>IFERROR(__xludf.DUMMYFUNCTION("""COMPUTED_VALUE"""),"Mauricio Palacios")</f>
        <v>Mauricio Palacios</v>
      </c>
      <c r="C176" s="5"/>
      <c r="D176" s="5"/>
      <c r="E176" s="5"/>
      <c r="F176" s="5"/>
    </row>
    <row r="177">
      <c r="A177" s="122">
        <f t="shared" si="100"/>
        <v>15</v>
      </c>
      <c r="B177" s="36" t="str">
        <f>IFERROR(__xludf.DUMMYFUNCTION("""COMPUTED_VALUE"""),"Naveen Raj")</f>
        <v>Naveen Raj</v>
      </c>
      <c r="C177" s="5"/>
      <c r="D177" s="5"/>
      <c r="E177" s="5"/>
      <c r="F177" s="5"/>
    </row>
    <row r="178">
      <c r="A178" s="122">
        <f t="shared" si="100"/>
        <v>16</v>
      </c>
      <c r="B178" s="36" t="str">
        <f>IFERROR(__xludf.DUMMYFUNCTION("""COMPUTED_VALUE"""),"Pavan Akkimsetty")</f>
        <v>Pavan Akkimsetty</v>
      </c>
      <c r="C178" s="5"/>
      <c r="D178" s="5"/>
      <c r="E178" s="5"/>
      <c r="F178" s="5"/>
    </row>
    <row r="179">
      <c r="A179" s="122">
        <f t="shared" si="100"/>
        <v>17</v>
      </c>
      <c r="B179" s="36" t="str">
        <f>IFERROR(__xludf.DUMMYFUNCTION("""COMPUTED_VALUE"""),"Ranjith Doraiswamy")</f>
        <v>Ranjith Doraiswamy</v>
      </c>
      <c r="C179" s="5"/>
      <c r="D179" s="5"/>
      <c r="E179" s="5"/>
      <c r="F179" s="5"/>
    </row>
    <row r="180">
      <c r="A180" s="122">
        <f t="shared" si="100"/>
        <v>18</v>
      </c>
      <c r="B180" s="36" t="str">
        <f>IFERROR(__xludf.DUMMYFUNCTION("""COMPUTED_VALUE"""),"Sandeep Kamalon")</f>
        <v>Sandeep Kamalon</v>
      </c>
      <c r="C180" s="5"/>
      <c r="D180" s="5"/>
      <c r="E180" s="5"/>
      <c r="F180" s="5"/>
    </row>
    <row r="181">
      <c r="A181" s="122">
        <f t="shared" si="100"/>
        <v>19</v>
      </c>
      <c r="B181" s="36" t="str">
        <f>IFERROR(__xludf.DUMMYFUNCTION("""COMPUTED_VALUE"""),"Suleman Alidina")</f>
        <v>Suleman Alidina</v>
      </c>
      <c r="C181" s="5"/>
      <c r="D181" s="5"/>
      <c r="E181" s="5"/>
      <c r="F181" s="5"/>
    </row>
    <row r="182">
      <c r="A182" s="122">
        <f t="shared" si="100"/>
        <v>20</v>
      </c>
      <c r="B182" s="36" t="str">
        <f>IFERROR(__xludf.DUMMYFUNCTION("""COMPUTED_VALUE"""),"Ted Shen")</f>
        <v>Ted Shen</v>
      </c>
      <c r="C182" s="5"/>
      <c r="D182" s="5"/>
      <c r="E182" s="5"/>
      <c r="F182" s="5"/>
    </row>
    <row r="183">
      <c r="A183" s="122">
        <f t="shared" si="100"/>
        <v>21</v>
      </c>
      <c r="B183" s="36" t="str">
        <f>IFERROR(__xludf.DUMMYFUNCTION("""COMPUTED_VALUE"""),"Tina Hanson")</f>
        <v>Tina Hanson</v>
      </c>
      <c r="C183" s="5"/>
      <c r="D183" s="5"/>
      <c r="E183" s="5"/>
      <c r="F183" s="5"/>
    </row>
    <row r="184">
      <c r="A184" s="122">
        <f t="shared" si="100"/>
        <v>22</v>
      </c>
      <c r="B184" s="36" t="str">
        <f>IFERROR(__xludf.DUMMYFUNCTION("""COMPUTED_VALUE"""),"Trish Newlin")</f>
        <v>Trish Newlin</v>
      </c>
      <c r="C184" s="5"/>
      <c r="D184" s="5"/>
      <c r="E184" s="5"/>
      <c r="F184" s="5"/>
    </row>
    <row r="185">
      <c r="A185" s="122">
        <f t="shared" si="100"/>
        <v>23</v>
      </c>
      <c r="B185" s="36" t="str">
        <f>IFERROR(__xludf.DUMMYFUNCTION("""COMPUTED_VALUE"""),"Wayne Liu")</f>
        <v>Wayne Liu</v>
      </c>
      <c r="C185" s="5"/>
      <c r="D185" s="5"/>
      <c r="E185" s="5"/>
      <c r="F185" s="5"/>
    </row>
    <row r="186">
      <c r="A186" s="122">
        <f t="shared" si="100"/>
        <v>0</v>
      </c>
      <c r="B186" s="36"/>
      <c r="C186" s="5"/>
      <c r="D186" s="5"/>
      <c r="E186" s="5"/>
      <c r="F186" s="5"/>
    </row>
    <row r="187">
      <c r="A187" s="122">
        <f t="shared" si="100"/>
        <v>0</v>
      </c>
      <c r="B187" s="36"/>
      <c r="C187" s="5"/>
      <c r="D187" s="5"/>
      <c r="E187" s="5"/>
      <c r="F187" s="5"/>
    </row>
    <row r="188">
      <c r="A188" s="122">
        <f t="shared" si="100"/>
        <v>0</v>
      </c>
      <c r="B188" s="36"/>
      <c r="C188" s="5"/>
      <c r="D188" s="5"/>
      <c r="E188" s="5"/>
      <c r="F188" s="5"/>
    </row>
    <row r="189">
      <c r="A189" s="122">
        <f t="shared" si="100"/>
        <v>0</v>
      </c>
      <c r="B189" s="36"/>
      <c r="C189" s="5"/>
      <c r="D189" s="5"/>
      <c r="E189" s="5"/>
      <c r="F189" s="5"/>
    </row>
    <row r="190">
      <c r="A190" s="122">
        <f t="shared" si="100"/>
        <v>0</v>
      </c>
      <c r="B190" s="36"/>
      <c r="C190" s="5"/>
      <c r="D190" s="5"/>
      <c r="E190" s="5"/>
      <c r="F190" s="5"/>
    </row>
    <row r="191">
      <c r="A191" s="122">
        <f t="shared" si="100"/>
        <v>0</v>
      </c>
      <c r="B191" s="36"/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01/17/26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IFERROR(__xludf.DUMMYFUNCTION("""COMPUTED_VALUE"""),"Andrew Yao")</f>
        <v>Andrew Yao</v>
      </c>
      <c r="C250" s="132">
        <f>IFERROR(__xludf.DUMMYFUNCTION("""COMPUTED_VALUE"""),7.0)</f>
        <v>7</v>
      </c>
      <c r="D250" s="132">
        <f>IFERROR(__xludf.DUMMYFUNCTION("""COMPUTED_VALUE"""),6.0)</f>
        <v>6</v>
      </c>
      <c r="E250" s="132">
        <f>IFERROR(__xludf.DUMMYFUNCTION("""COMPUTED_VALUE"""),6.0)</f>
        <v>6</v>
      </c>
      <c r="F250" s="132">
        <f>IFERROR(__xludf.DUMMYFUNCTION("""COMPUTED_VALUE"""),19.0)</f>
        <v>19</v>
      </c>
      <c r="G250" s="132">
        <f>IFERROR(__xludf.DUMMYFUNCTION("""COMPUTED_VALUE"""),3.0)</f>
        <v>3</v>
      </c>
    </row>
    <row r="251">
      <c r="A251" s="122">
        <f>IFERROR(__xludf.DUMMYFUNCTION("""COMPUTED_VALUE"""),1.0)</f>
        <v>1</v>
      </c>
      <c r="B251" s="36" t="str">
        <f>IFERROR(__xludf.DUMMYFUNCTION("""COMPUTED_VALUE"""),"Ted Shen")</f>
        <v>Ted Shen</v>
      </c>
      <c r="C251" s="132">
        <f>IFERROR(__xludf.DUMMYFUNCTION("""COMPUTED_VALUE"""),7.0)</f>
        <v>7</v>
      </c>
      <c r="D251" s="132">
        <f>IFERROR(__xludf.DUMMYFUNCTION("""COMPUTED_VALUE"""),4.0)</f>
        <v>4</v>
      </c>
      <c r="E251" s="132">
        <f>IFERROR(__xludf.DUMMYFUNCTION("""COMPUTED_VALUE"""),3.0)</f>
        <v>3</v>
      </c>
      <c r="F251" s="132">
        <f>IFERROR(__xludf.DUMMYFUNCTION("""COMPUTED_VALUE"""),14.0)</f>
        <v>14</v>
      </c>
      <c r="G251" s="132">
        <f>IFERROR(__xludf.DUMMYFUNCTION("""COMPUTED_VALUE"""),1.0)</f>
        <v>1</v>
      </c>
    </row>
    <row r="252">
      <c r="A252" s="122">
        <f>IFERROR(__xludf.DUMMYFUNCTION("""COMPUTED_VALUE"""),1.0)</f>
        <v>1</v>
      </c>
      <c r="B252" s="36" t="str">
        <f>IFERROR(__xludf.DUMMYFUNCTION("""COMPUTED_VALUE"""),"Alex Hou")</f>
        <v>Alex Hou</v>
      </c>
      <c r="C252" s="132">
        <f>IFERROR(__xludf.DUMMYFUNCTION("""COMPUTED_VALUE"""),6.0)</f>
        <v>6</v>
      </c>
      <c r="D252" s="132">
        <f>IFERROR(__xludf.DUMMYFUNCTION("""COMPUTED_VALUE"""),4.0)</f>
        <v>4</v>
      </c>
      <c r="E252" s="132">
        <f>IFERROR(__xludf.DUMMYFUNCTION("""COMPUTED_VALUE"""),6.0)</f>
        <v>6</v>
      </c>
      <c r="F252" s="132">
        <f>IFERROR(__xludf.DUMMYFUNCTION("""COMPUTED_VALUE"""),16.0)</f>
        <v>16</v>
      </c>
      <c r="G252" s="132">
        <f>IFERROR(__xludf.DUMMYFUNCTION("""COMPUTED_VALUE"""),1.0)</f>
        <v>1</v>
      </c>
    </row>
    <row r="253">
      <c r="A253" s="122">
        <f>IFERROR(__xludf.DUMMYFUNCTION("""COMPUTED_VALUE"""),1.0)</f>
        <v>1</v>
      </c>
      <c r="B253" s="36" t="str">
        <f>IFERROR(__xludf.DUMMYFUNCTION("""COMPUTED_VALUE"""),"Sandeep Kamalon")</f>
        <v>Sandeep Kamalon</v>
      </c>
      <c r="C253" s="132">
        <f>IFERROR(__xludf.DUMMYFUNCTION("""COMPUTED_VALUE"""),6.0)</f>
        <v>6</v>
      </c>
      <c r="D253" s="132">
        <f>IFERROR(__xludf.DUMMYFUNCTION("""COMPUTED_VALUE"""),6.0)</f>
        <v>6</v>
      </c>
      <c r="E253" s="132">
        <f>IFERROR(__xludf.DUMMYFUNCTION("""COMPUTED_VALUE"""),3.0)</f>
        <v>3</v>
      </c>
      <c r="F253" s="132">
        <f>IFERROR(__xludf.DUMMYFUNCTION("""COMPUTED_VALUE"""),15.0)</f>
        <v>15</v>
      </c>
      <c r="G253" s="132">
        <f>IFERROR(__xludf.DUMMYFUNCTION("""COMPUTED_VALUE"""),1.0)</f>
        <v>1</v>
      </c>
    </row>
    <row r="254">
      <c r="A254" s="133">
        <f>IFERROR(__xludf.DUMMYFUNCTION("""COMPUTED_VALUE"""),2.0)</f>
        <v>2</v>
      </c>
      <c r="B254" s="134" t="str">
        <f>IFERROR(__xludf.DUMMYFUNCTION("""COMPUTED_VALUE"""),"Jaya Sogata")</f>
        <v>Jaya Sogata</v>
      </c>
      <c r="C254" s="135">
        <f>IFERROR(__xludf.DUMMYFUNCTION("""COMPUTED_VALUE"""),6.0)</f>
        <v>6</v>
      </c>
      <c r="D254" s="135">
        <f>IFERROR(__xludf.DUMMYFUNCTION("""COMPUTED_VALUE"""),5.0)</f>
        <v>5</v>
      </c>
      <c r="E254" s="135">
        <f>IFERROR(__xludf.DUMMYFUNCTION("""COMPUTED_VALUE"""),3.0)</f>
        <v>3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IFERROR(__xludf.DUMMYFUNCTION("""COMPUTED_VALUE"""),"Frank Moon")</f>
        <v>Frank Moon</v>
      </c>
      <c r="C255" s="135">
        <f>IFERROR(__xludf.DUMMYFUNCTION("""COMPUTED_VALUE"""),3.0)</f>
        <v>3</v>
      </c>
      <c r="D255" s="135">
        <f>IFERROR(__xludf.DUMMYFUNCTION("""COMPUTED_VALUE"""),7.0)</f>
        <v>7</v>
      </c>
      <c r="E255" s="135">
        <f>IFERROR(__xludf.DUMMYFUNCTION("""COMPUTED_VALUE"""),3.0)</f>
        <v>3</v>
      </c>
      <c r="F255" s="135">
        <f>IFERROR(__xludf.DUMMYFUNCTION("""COMPUTED_VALUE"""),13.0)</f>
        <v>13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IFERROR(__xludf.DUMMYFUNCTION("""COMPUTED_VALUE"""),"Herman Au")</f>
        <v>Herman Au</v>
      </c>
      <c r="C256" s="135">
        <f>IFERROR(__xludf.DUMMYFUNCTION("""COMPUTED_VALUE"""),3.0)</f>
        <v>3</v>
      </c>
      <c r="D256" s="135">
        <f>IFERROR(__xludf.DUMMYFUNCTION("""COMPUTED_VALUE"""),5.0)</f>
        <v>5</v>
      </c>
      <c r="E256" s="135">
        <f>IFERROR(__xludf.DUMMYFUNCTION("""COMPUTED_VALUE"""),6.0)</f>
        <v>6</v>
      </c>
      <c r="F256" s="135">
        <f>IFERROR(__xludf.DUMMYFUNCTION("""COMPUTED_VALUE"""),14.0)</f>
        <v>14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IFERROR(__xludf.DUMMYFUNCTION("""COMPUTED_VALUE"""),"Jim Miao")</f>
        <v>Jim Miao</v>
      </c>
      <c r="C257" s="135">
        <f>IFERROR(__xludf.DUMMYFUNCTION("""COMPUTED_VALUE"""),6.0)</f>
        <v>6</v>
      </c>
      <c r="D257" s="135">
        <f>IFERROR(__xludf.DUMMYFUNCTION("""COMPUTED_VALUE"""),7.0)</f>
        <v>7</v>
      </c>
      <c r="E257" s="135">
        <f>IFERROR(__xludf.DUMMYFUNCTION("""COMPUTED_VALUE"""),6.0)</f>
        <v>6</v>
      </c>
      <c r="F257" s="135">
        <f>IFERROR(__xludf.DUMMYFUNCTION("""COMPUTED_VALUE"""),19.0)</f>
        <v>19</v>
      </c>
      <c r="G257" s="135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IFERROR(__xludf.DUMMYFUNCTION("""COMPUTED_VALUE"""),"Lloyd Sagar")</f>
        <v>Lloyd Sagar</v>
      </c>
      <c r="C258" s="132">
        <f>IFERROR(__xludf.DUMMYFUNCTION("""COMPUTED_VALUE"""),6.0)</f>
        <v>6</v>
      </c>
      <c r="D258" s="132">
        <f>IFERROR(__xludf.DUMMYFUNCTION("""COMPUTED_VALUE"""),0.0)</f>
        <v>0</v>
      </c>
      <c r="E258" s="132">
        <f>IFERROR(__xludf.DUMMYFUNCTION("""COMPUTED_VALUE"""),6.0)</f>
        <v>6</v>
      </c>
      <c r="F258" s="132">
        <f>IFERROR(__xludf.DUMMYFUNCTION("""COMPUTED_VALUE"""),12.0)</f>
        <v>12</v>
      </c>
      <c r="G258" s="132">
        <f>IFERROR(__xludf.DUMMYFUNCTION("""COMPUTED_VALUE"""),2.0)</f>
        <v>2</v>
      </c>
    </row>
    <row r="259">
      <c r="A259" s="122">
        <f>IFERROR(__xludf.DUMMYFUNCTION("""COMPUTED_VALUE"""),3.0)</f>
        <v>3</v>
      </c>
      <c r="B259" s="36" t="str">
        <f>IFERROR(__xludf.DUMMYFUNCTION("""COMPUTED_VALUE"""),"Vinaya Kajla")</f>
        <v>Vinaya Kajla</v>
      </c>
      <c r="C259" s="132">
        <f>IFERROR(__xludf.DUMMYFUNCTION("""COMPUTED_VALUE"""),3.0)</f>
        <v>3</v>
      </c>
      <c r="D259" s="132">
        <f>IFERROR(__xludf.DUMMYFUNCTION("""COMPUTED_VALUE"""),0.0)</f>
        <v>0</v>
      </c>
      <c r="E259" s="132">
        <f>IFERROR(__xludf.DUMMYFUNCTION("""COMPUTED_VALUE"""),3.0)</f>
        <v>3</v>
      </c>
      <c r="F259" s="132">
        <f>IFERROR(__xludf.DUMMYFUNCTION("""COMPUTED_VALUE"""),6.0)</f>
        <v>6</v>
      </c>
      <c r="G259" s="132">
        <f>IFERROR(__xludf.DUMMYFUNCTION("""COMPUTED_VALUE"""),0.0)</f>
        <v>0</v>
      </c>
    </row>
    <row r="260">
      <c r="A260" s="122">
        <f>IFERROR(__xludf.DUMMYFUNCTION("""COMPUTED_VALUE"""),3.0)</f>
        <v>3</v>
      </c>
      <c r="B260" s="36" t="str">
        <f>IFERROR(__xludf.DUMMYFUNCTION("""COMPUTED_VALUE"""),"Naveen Raj")</f>
        <v>Naveen Raj</v>
      </c>
      <c r="C260" s="132">
        <f>IFERROR(__xludf.DUMMYFUNCTION("""COMPUTED_VALUE"""),3.0)</f>
        <v>3</v>
      </c>
      <c r="D260" s="132">
        <f>IFERROR(__xludf.DUMMYFUNCTION("""COMPUTED_VALUE"""),6.0)</f>
        <v>6</v>
      </c>
      <c r="E260" s="132">
        <f>IFERROR(__xludf.DUMMYFUNCTION("""COMPUTED_VALUE"""),6.0)</f>
        <v>6</v>
      </c>
      <c r="F260" s="132">
        <f>IFERROR(__xludf.DUMMYFUNCTION("""COMPUTED_VALUE"""),15.0)</f>
        <v>15</v>
      </c>
      <c r="G260" s="132">
        <f>IFERROR(__xludf.DUMMYFUNCTION("""COMPUTED_VALUE"""),2.0)</f>
        <v>2</v>
      </c>
    </row>
    <row r="261">
      <c r="A261" s="122">
        <f>IFERROR(__xludf.DUMMYFUNCTION("""COMPUTED_VALUE"""),3.0)</f>
        <v>3</v>
      </c>
      <c r="B261" s="36" t="str">
        <f>IFERROR(__xludf.DUMMYFUNCTION("""COMPUTED_VALUE"""),"Charles Choi")</f>
        <v>Charles Choi</v>
      </c>
      <c r="C261" s="132">
        <f>IFERROR(__xludf.DUMMYFUNCTION("""COMPUTED_VALUE"""),6.0)</f>
        <v>6</v>
      </c>
      <c r="D261" s="132">
        <f>IFERROR(__xludf.DUMMYFUNCTION("""COMPUTED_VALUE"""),6.0)</f>
        <v>6</v>
      </c>
      <c r="E261" s="132">
        <f>IFERROR(__xludf.DUMMYFUNCTION("""COMPUTED_VALUE"""),3.0)</f>
        <v>3</v>
      </c>
      <c r="F261" s="132">
        <f>IFERROR(__xludf.DUMMYFUNCTION("""COMPUTED_VALUE"""),15.0)</f>
        <v>15</v>
      </c>
      <c r="G261" s="132">
        <f>IFERROR(__xludf.DUMMYFUNCTION("""COMPUTED_VALUE"""),2.0)</f>
        <v>2</v>
      </c>
    </row>
    <row r="262">
      <c r="A262" s="133">
        <f>IFERROR(__xludf.DUMMYFUNCTION("""COMPUTED_VALUE"""),4.0)</f>
        <v>4</v>
      </c>
      <c r="B262" s="134" t="str">
        <f>IFERROR(__xludf.DUMMYFUNCTION("""COMPUTED_VALUE"""),"Mauricio Palacios")</f>
        <v>Mauricio Palacios</v>
      </c>
      <c r="C262" s="135">
        <f>IFERROR(__xludf.DUMMYFUNCTION("""COMPUTED_VALUE"""),6.0)</f>
        <v>6</v>
      </c>
      <c r="D262" s="135">
        <f>IFERROR(__xludf.DUMMYFUNCTION("""COMPUTED_VALUE"""),5.0)</f>
        <v>5</v>
      </c>
      <c r="E262" s="135">
        <f>IFERROR(__xludf.DUMMYFUNCTION("""COMPUTED_VALUE"""),6.0)</f>
        <v>6</v>
      </c>
      <c r="F262" s="135">
        <f>IFERROR(__xludf.DUMMYFUNCTION("""COMPUTED_VALUE"""),17.0)</f>
        <v>17</v>
      </c>
      <c r="G262" s="135">
        <f>IFERROR(__xludf.DUMMYFUNCTION("""COMPUTED_VALUE"""),1.0)</f>
        <v>1</v>
      </c>
    </row>
    <row r="263">
      <c r="A263" s="133">
        <f>IFERROR(__xludf.DUMMYFUNCTION("""COMPUTED_VALUE"""),4.0)</f>
        <v>4</v>
      </c>
      <c r="B263" s="134" t="str">
        <f>IFERROR(__xludf.DUMMYFUNCTION("""COMPUTED_VALUE"""),"Hongyuan Wen")</f>
        <v>Hongyuan Wen</v>
      </c>
      <c r="C263" s="135">
        <f>IFERROR(__xludf.DUMMYFUNCTION("""COMPUTED_VALUE"""),2.0)</f>
        <v>2</v>
      </c>
      <c r="D263" s="135">
        <f>IFERROR(__xludf.DUMMYFUNCTION("""COMPUTED_VALUE"""),7.0)</f>
        <v>7</v>
      </c>
      <c r="E263" s="135">
        <f>IFERROR(__xludf.DUMMYFUNCTION("""COMPUTED_VALUE"""),6.0)</f>
        <v>6</v>
      </c>
      <c r="F263" s="135">
        <f>IFERROR(__xludf.DUMMYFUNCTION("""COMPUTED_VALUE"""),15.0)</f>
        <v>15</v>
      </c>
      <c r="G263" s="135">
        <f>IFERROR(__xludf.DUMMYFUNCTION("""COMPUTED_VALUE"""),1.0)</f>
        <v>1</v>
      </c>
    </row>
    <row r="264">
      <c r="A264" s="133">
        <f>IFERROR(__xludf.DUMMYFUNCTION("""COMPUTED_VALUE"""),4.0)</f>
        <v>4</v>
      </c>
      <c r="B264" s="134" t="str">
        <f>IFERROR(__xludf.DUMMYFUNCTION("""COMPUTED_VALUE"""),"Nicole Ni")</f>
        <v>Nicole Ni</v>
      </c>
      <c r="C264" s="135">
        <f>IFERROR(__xludf.DUMMYFUNCTION("""COMPUTED_VALUE"""),2.0)</f>
        <v>2</v>
      </c>
      <c r="D264" s="135">
        <f>IFERROR(__xludf.DUMMYFUNCTION("""COMPUTED_VALUE"""),5.0)</f>
        <v>5</v>
      </c>
      <c r="E264" s="135">
        <f>IFERROR(__xludf.DUMMYFUNCTION("""COMPUTED_VALUE"""),7.0)</f>
        <v>7</v>
      </c>
      <c r="F264" s="135">
        <f>IFERROR(__xludf.DUMMYFUNCTION("""COMPUTED_VALUE"""),14.0)</f>
        <v>14</v>
      </c>
      <c r="G264" s="135">
        <f>IFERROR(__xludf.DUMMYFUNCTION("""COMPUTED_VALUE"""),1.0)</f>
        <v>1</v>
      </c>
    </row>
    <row r="265">
      <c r="A265" s="133">
        <f>IFERROR(__xludf.DUMMYFUNCTION("""COMPUTED_VALUE"""),4.0)</f>
        <v>4</v>
      </c>
      <c r="B265" s="134" t="str">
        <f>IFERROR(__xludf.DUMMYFUNCTION("""COMPUTED_VALUE"""),"Tina Hanson")</f>
        <v>Tina Hanson</v>
      </c>
      <c r="C265" s="135">
        <f>IFERROR(__xludf.DUMMYFUNCTION("""COMPUTED_VALUE"""),6.0)</f>
        <v>6</v>
      </c>
      <c r="D265" s="135">
        <f>IFERROR(__xludf.DUMMYFUNCTION("""COMPUTED_VALUE"""),7.0)</f>
        <v>7</v>
      </c>
      <c r="E265" s="135">
        <f>IFERROR(__xludf.DUMMYFUNCTION("""COMPUTED_VALUE"""),7.0)</f>
        <v>7</v>
      </c>
      <c r="F265" s="135">
        <f>IFERROR(__xludf.DUMMYFUNCTION("""COMPUTED_VALUE"""),20.0)</f>
        <v>20</v>
      </c>
      <c r="G265" s="135">
        <f>IFERROR(__xludf.DUMMYFUNCTION("""COMPUTED_VALUE"""),3.0)</f>
        <v>3</v>
      </c>
    </row>
    <row r="266">
      <c r="A266" s="122">
        <f>IFERROR(__xludf.DUMMYFUNCTION("""COMPUTED_VALUE"""),5.0)</f>
        <v>5</v>
      </c>
      <c r="B266" s="36" t="str">
        <f>IFERROR(__xludf.DUMMYFUNCTION("""COMPUTED_VALUE"""),"Darren Wong")</f>
        <v>Darren Wong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IFERROR(__xludf.DUMMYFUNCTION("""COMPUTED_VALUE"""),6.0)</f>
        <v>6</v>
      </c>
      <c r="F266" s="132">
        <f>IFERROR(__xludf.DUMMYFUNCTION("""COMPUTED_VALUE"""),18.0)</f>
        <v>18</v>
      </c>
      <c r="G266" s="132">
        <f>IFERROR(__xludf.DUMMYFUNCTION("""COMPUTED_VALUE"""),3.0)</f>
        <v>3</v>
      </c>
    </row>
    <row r="267">
      <c r="A267" s="122">
        <f>IFERROR(__xludf.DUMMYFUNCTION("""COMPUTED_VALUE"""),5.0)</f>
        <v>5</v>
      </c>
      <c r="B267" s="36" t="str">
        <f>IFERROR(__xludf.DUMMYFUNCTION("""COMPUTED_VALUE"""),"Trish Newlin")</f>
        <v>Trish Newlin</v>
      </c>
      <c r="C267" s="132">
        <f>IFERROR(__xludf.DUMMYFUNCTION("""COMPUTED_VALUE"""),2.0)</f>
        <v>2</v>
      </c>
      <c r="D267" s="132">
        <f>IFERROR(__xludf.DUMMYFUNCTION("""COMPUTED_VALUE"""),2.0)</f>
        <v>2</v>
      </c>
      <c r="E267" s="132">
        <f>IFERROR(__xludf.DUMMYFUNCTION("""COMPUTED_VALUE"""),6.0)</f>
        <v>6</v>
      </c>
      <c r="F267" s="132">
        <f>IFERROR(__xludf.DUMMYFUNCTION("""COMPUTED_VALUE"""),10.0)</f>
        <v>10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IFERROR(__xludf.DUMMYFUNCTION("""COMPUTED_VALUE"""),"Sandy Weyant")</f>
        <v>Sandy Weyant</v>
      </c>
      <c r="C268" s="132">
        <f>IFERROR(__xludf.DUMMYFUNCTION("""COMPUTED_VALUE"""),2.0)</f>
        <v>2</v>
      </c>
      <c r="D268" s="132">
        <f>IFERROR(__xludf.DUMMYFUNCTION("""COMPUTED_VALUE"""),6.0)</f>
        <v>6</v>
      </c>
      <c r="E268" s="132">
        <f>IFERROR(__xludf.DUMMYFUNCTION("""COMPUTED_VALUE"""),1.0)</f>
        <v>1</v>
      </c>
      <c r="F268" s="132">
        <f>IFERROR(__xludf.DUMMYFUNCTION("""COMPUTED_VALUE"""),9.0)</f>
        <v>9</v>
      </c>
      <c r="G268" s="132">
        <f>IFERROR(__xludf.DUMMYFUNCTION("""COMPUTED_VALUE"""),1.0)</f>
        <v>1</v>
      </c>
    </row>
    <row r="269">
      <c r="A269" s="122">
        <f>IFERROR(__xludf.DUMMYFUNCTION("""COMPUTED_VALUE"""),5.0)</f>
        <v>5</v>
      </c>
      <c r="B269" s="36" t="str">
        <f>IFERROR(__xludf.DUMMYFUNCTION("""COMPUTED_VALUE"""),"Coco Yan")</f>
        <v>Coco Yan</v>
      </c>
      <c r="C269" s="132">
        <f>IFERROR(__xludf.DUMMYFUNCTION("""COMPUTED_VALUE"""),6.0)</f>
        <v>6</v>
      </c>
      <c r="D269" s="132">
        <f>IFERROR(__xludf.DUMMYFUNCTION("""COMPUTED_VALUE"""),2.0)</f>
        <v>2</v>
      </c>
      <c r="E269" s="132">
        <f>IFERROR(__xludf.DUMMYFUNCTION("""COMPUTED_VALUE"""),1.0)</f>
        <v>1</v>
      </c>
      <c r="F269" s="132">
        <f>IFERROR(__xludf.DUMMYFUNCTION("""COMPUTED_VALUE"""),9.0)</f>
        <v>9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IFERROR(__xludf.DUMMYFUNCTION("""COMPUTED_VALUE"""),"Allen Zhang")</f>
        <v>Allen Zhang</v>
      </c>
      <c r="C270" s="135">
        <f>IFERROR(__xludf.DUMMYFUNCTION("""COMPUTED_VALUE"""),1.0)</f>
        <v>1</v>
      </c>
      <c r="D270" s="135">
        <f>IFERROR(__xludf.DUMMYFUNCTION("""COMPUTED_VALUE"""),6.0)</f>
        <v>6</v>
      </c>
      <c r="E270" s="135">
        <f>IFERROR(__xludf.DUMMYFUNCTION("""COMPUTED_VALUE"""),4.0)</f>
        <v>4</v>
      </c>
      <c r="F270" s="135">
        <f>IFERROR(__xludf.DUMMYFUNCTION("""COMPUTED_VALUE"""),11.0)</f>
        <v>11</v>
      </c>
      <c r="G270" s="135">
        <f>IFERROR(__xludf.DUMMYFUNCTION("""COMPUTED_VALUE"""),1.0)</f>
        <v>1</v>
      </c>
    </row>
    <row r="271">
      <c r="A271" s="133">
        <f>IFERROR(__xludf.DUMMYFUNCTION("""COMPUTED_VALUE"""),6.0)</f>
        <v>6</v>
      </c>
      <c r="B271" s="134" t="str">
        <f>IFERROR(__xludf.DUMMYFUNCTION("""COMPUTED_VALUE"""),"Suleman Alidina")</f>
        <v>Suleman Alidina</v>
      </c>
      <c r="C271" s="135">
        <f>IFERROR(__xludf.DUMMYFUNCTION("""COMPUTED_VALUE"""),6.0)</f>
        <v>6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IFERROR(__xludf.DUMMYFUNCTION("""COMPUTED_VALUE"""),18.0)</f>
        <v>18</v>
      </c>
      <c r="G271" s="135">
        <f>IFERROR(__xludf.DUMMYFUNCTION("""COMPUTED_VALUE"""),3.0)</f>
        <v>3</v>
      </c>
    </row>
    <row r="272">
      <c r="A272" s="133">
        <f>IFERROR(__xludf.DUMMYFUNCTION("""COMPUTED_VALUE"""),6.0)</f>
        <v>6</v>
      </c>
      <c r="B272" s="134" t="str">
        <f>IFERROR(__xludf.DUMMYFUNCTION("""COMPUTED_VALUE"""),"Saravanan Veerapandian")</f>
        <v>Saravanan Veerapandian</v>
      </c>
      <c r="C272" s="135">
        <f>IFERROR(__xludf.DUMMYFUNCTION("""COMPUTED_VALUE"""),1.0)</f>
        <v>1</v>
      </c>
      <c r="D272" s="135">
        <f>IFERROR(__xludf.DUMMYFUNCTION("""COMPUTED_VALUE"""),2.0)</f>
        <v>2</v>
      </c>
      <c r="E272" s="135">
        <f>IFERROR(__xludf.DUMMYFUNCTION("""COMPUTED_VALUE"""),6.0)</f>
        <v>6</v>
      </c>
      <c r="F272" s="135">
        <f>IFERROR(__xludf.DUMMYFUNCTION("""COMPUTED_VALUE"""),9.0)</f>
        <v>9</v>
      </c>
      <c r="G272" s="135">
        <f>IFERROR(__xludf.DUMMYFUNCTION("""COMPUTED_VALUE"""),1.0)</f>
        <v>1</v>
      </c>
    </row>
    <row r="273">
      <c r="A273" s="133">
        <f>IFERROR(__xludf.DUMMYFUNCTION("""COMPUTED_VALUE"""),6.0)</f>
        <v>6</v>
      </c>
      <c r="B273" s="134" t="str">
        <f>IFERROR(__xludf.DUMMYFUNCTION("""COMPUTED_VALUE"""),"Cid Macaraeg")</f>
        <v>Cid Macaraeg</v>
      </c>
      <c r="C273" s="135">
        <f>IFERROR(__xludf.DUMMYFUNCTION("""COMPUTED_VALUE"""),6.0)</f>
        <v>6</v>
      </c>
      <c r="D273" s="135">
        <f>IFERROR(__xludf.DUMMYFUNCTION("""COMPUTED_VALUE"""),2.0)</f>
        <v>2</v>
      </c>
      <c r="E273" s="135">
        <f>IFERROR(__xludf.DUMMYFUNCTION("""COMPUTED_VALUE"""),4.0)</f>
        <v>4</v>
      </c>
      <c r="F273" s="135">
        <f>IFERROR(__xludf.DUMMYFUNCTION("""COMPUTED_VALUE"""),12.0)</f>
        <v>12</v>
      </c>
      <c r="G273" s="135">
        <f>IFERROR(__xludf.DUMMYFUNCTION("""COMPUTED_VALUE"""),1.0)</f>
        <v>1</v>
      </c>
    </row>
    <row r="274">
      <c r="A274" s="122">
        <f>IFERROR(__xludf.DUMMYFUNCTION("""COMPUTED_VALUE"""),7.0)</f>
        <v>7</v>
      </c>
      <c r="B274" s="36" t="str">
        <f>IFERROR(__xludf.DUMMYFUNCTION("""COMPUTED_VALUE"""),"Pavan Akkimsetty")</f>
        <v>Pavan Akkimsetty</v>
      </c>
      <c r="C274" s="132">
        <f>IFERROR(__xludf.DUMMYFUNCTION("""COMPUTED_VALUE"""),6.0)</f>
        <v>6</v>
      </c>
      <c r="D274" s="132">
        <f>IFERROR(__xludf.DUMMYFUNCTION("""COMPUTED_VALUE"""),4.0)</f>
        <v>4</v>
      </c>
      <c r="E274" s="132">
        <f>IFERROR(__xludf.DUMMYFUNCTION("""COMPUTED_VALUE"""),6.0)</f>
        <v>6</v>
      </c>
      <c r="F274" s="132">
        <f>IFERROR(__xludf.DUMMYFUNCTION("""COMPUTED_VALUE"""),16.0)</f>
        <v>16</v>
      </c>
      <c r="G274" s="132">
        <f>IFERROR(__xludf.DUMMYFUNCTION("""COMPUTED_VALUE"""),2.0)</f>
        <v>2</v>
      </c>
    </row>
    <row r="275">
      <c r="A275" s="122">
        <f>IFERROR(__xludf.DUMMYFUNCTION("""COMPUTED_VALUE"""),7.0)</f>
        <v>7</v>
      </c>
      <c r="B275" s="36" t="str">
        <f>IFERROR(__xludf.DUMMYFUNCTION("""COMPUTED_VALUE"""),"Kumar Palakeel")</f>
        <v>Kumar Palakeel</v>
      </c>
      <c r="C275" s="132">
        <f>IFERROR(__xludf.DUMMYFUNCTION("""COMPUTED_VALUE"""),3.0)</f>
        <v>3</v>
      </c>
      <c r="D275" s="132">
        <f>IFERROR(__xludf.DUMMYFUNCTION("""COMPUTED_VALUE"""),6.0)</f>
        <v>6</v>
      </c>
      <c r="E275" s="132">
        <f>IFERROR(__xludf.DUMMYFUNCTION("""COMPUTED_VALUE"""),6.0)</f>
        <v>6</v>
      </c>
      <c r="F275" s="132">
        <f>IFERROR(__xludf.DUMMYFUNCTION("""COMPUTED_VALUE"""),15.0)</f>
        <v>15</v>
      </c>
      <c r="G275" s="132">
        <f>IFERROR(__xludf.DUMMYFUNCTION("""COMPUTED_VALUE"""),2.0)</f>
        <v>2</v>
      </c>
    </row>
    <row r="276">
      <c r="A276" s="122">
        <f>IFERROR(__xludf.DUMMYFUNCTION("""COMPUTED_VALUE"""),7.0)</f>
        <v>7</v>
      </c>
      <c r="B276" s="36" t="str">
        <f>IFERROR(__xludf.DUMMYFUNCTION("""COMPUTED_VALUE"""),"Eric Tan")</f>
        <v>Eric Tan</v>
      </c>
      <c r="C276" s="132">
        <f>IFERROR(__xludf.DUMMYFUNCTION("""COMPUTED_VALUE"""),3.0)</f>
        <v>3</v>
      </c>
      <c r="D276" s="132">
        <f>IFERROR(__xludf.DUMMYFUNCTION("""COMPUTED_VALUE"""),4.0)</f>
        <v>4</v>
      </c>
      <c r="E276" s="132">
        <f>IFERROR(__xludf.DUMMYFUNCTION("""COMPUTED_VALUE"""),3.0)</f>
        <v>3</v>
      </c>
      <c r="F276" s="132">
        <f>IFERROR(__xludf.DUMMYFUNCTION("""COMPUTED_VALUE"""),10.0)</f>
        <v>10</v>
      </c>
      <c r="G276" s="132">
        <f>IFERROR(__xludf.DUMMYFUNCTION("""COMPUTED_VALUE"""),0.0)</f>
        <v>0</v>
      </c>
    </row>
    <row r="277">
      <c r="A277" s="122">
        <f>IFERROR(__xludf.DUMMYFUNCTION("""COMPUTED_VALUE"""),7.0)</f>
        <v>7</v>
      </c>
      <c r="B277" s="36" t="str">
        <f>IFERROR(__xludf.DUMMYFUNCTION("""COMPUTED_VALUE"""),"Wayne Liu")</f>
        <v>Wayne Liu</v>
      </c>
      <c r="C277" s="132">
        <f>IFERROR(__xludf.DUMMYFUNCTION("""COMPUTED_VALUE"""),6.0)</f>
        <v>6</v>
      </c>
      <c r="D277" s="132">
        <f>IFERROR(__xludf.DUMMYFUNCTION("""COMPUTED_VALUE"""),6.0)</f>
        <v>6</v>
      </c>
      <c r="E277" s="132">
        <f>IFERROR(__xludf.DUMMYFUNCTION("""COMPUTED_VALUE"""),3.0)</f>
        <v>3</v>
      </c>
      <c r="F277" s="132">
        <f>IFERROR(__xludf.DUMMYFUNCTION("""COMPUTED_VALUE"""),15.0)</f>
        <v>15</v>
      </c>
      <c r="G277" s="132">
        <f>IFERROR(__xludf.DUMMYFUNCTION("""COMPUTED_VALUE"""),2.0)</f>
        <v>2</v>
      </c>
    </row>
    <row r="278">
      <c r="A278" s="133">
        <f>IFERROR(__xludf.DUMMYFUNCTION("""COMPUTED_VALUE"""),8.0)</f>
        <v>8</v>
      </c>
      <c r="B278" s="134" t="str">
        <f>IFERROR(__xludf.DUMMYFUNCTION("""COMPUTED_VALUE"""),"David Shin")</f>
        <v>David Shin</v>
      </c>
      <c r="C278" s="135">
        <f>IFERROR(__xludf.DUMMYFUNCTION("""COMPUTED_VALUE"""),3.0)</f>
        <v>3</v>
      </c>
      <c r="D278" s="135">
        <f>IFERROR(__xludf.DUMMYFUNCTION("""COMPUTED_VALUE"""),6.0)</f>
        <v>6</v>
      </c>
      <c r="E278" s="135">
        <f>IFERROR(__xludf.DUMMYFUNCTION("""COMPUTED_VALUE"""),6.0)</f>
        <v>6</v>
      </c>
      <c r="F278" s="135">
        <f>IFERROR(__xludf.DUMMYFUNCTION("""COMPUTED_VALUE"""),15.0)</f>
        <v>15</v>
      </c>
      <c r="G278" s="135">
        <f>IFERROR(__xludf.DUMMYFUNCTION("""COMPUTED_VALUE"""),2.0)</f>
        <v>2</v>
      </c>
    </row>
    <row r="279">
      <c r="A279" s="133">
        <f>IFERROR(__xludf.DUMMYFUNCTION("""COMPUTED_VALUE"""),8.0)</f>
        <v>8</v>
      </c>
      <c r="B279" s="134" t="str">
        <f>IFERROR(__xludf.DUMMYFUNCTION("""COMPUTED_VALUE"""),"Tom Le")</f>
        <v>Tom Le</v>
      </c>
      <c r="C279" s="135">
        <f>IFERROR(__xludf.DUMMYFUNCTION("""COMPUTED_VALUE"""),6.0)</f>
        <v>6</v>
      </c>
      <c r="D279" s="135">
        <f>IFERROR(__xludf.DUMMYFUNCTION("""COMPUTED_VALUE"""),1.0)</f>
        <v>1</v>
      </c>
      <c r="E279" s="135">
        <f>IFERROR(__xludf.DUMMYFUNCTION("""COMPUTED_VALUE"""),6.0)</f>
        <v>6</v>
      </c>
      <c r="F279" s="135">
        <f>IFERROR(__xludf.DUMMYFUNCTION("""COMPUTED_VALUE"""),13.0)</f>
        <v>13</v>
      </c>
      <c r="G279" s="135">
        <f>IFERROR(__xludf.DUMMYFUNCTION("""COMPUTED_VALUE"""),2.0)</f>
        <v>2</v>
      </c>
    </row>
    <row r="280">
      <c r="A280" s="133">
        <f>IFERROR(__xludf.DUMMYFUNCTION("""COMPUTED_VALUE"""),8.0)</f>
        <v>8</v>
      </c>
      <c r="B280" s="134" t="str">
        <f>IFERROR(__xludf.DUMMYFUNCTION("""COMPUTED_VALUE"""),"Ruben Ron")</f>
        <v>Ruben Ron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IFERROR(__xludf.DUMMYFUNCTION("""COMPUTED_VALUE"""),1.0)</f>
        <v>1</v>
      </c>
      <c r="F280" s="135">
        <f>IFERROR(__xludf.DUMMYFUNCTION("""COMPUTED_VALUE"""),13.0)</f>
        <v>13</v>
      </c>
      <c r="G280" s="135">
        <f>IFERROR(__xludf.DUMMYFUNCTION("""COMPUTED_VALUE"""),2.0)</f>
        <v>2</v>
      </c>
    </row>
    <row r="281">
      <c r="A281" s="133">
        <f>IFERROR(__xludf.DUMMYFUNCTION("""COMPUTED_VALUE"""),8.0)</f>
        <v>8</v>
      </c>
      <c r="B281" s="134" t="str">
        <f>IFERROR(__xludf.DUMMYFUNCTION("""COMPUTED_VALUE"""),"Camille Jung")</f>
        <v>Camille Jung</v>
      </c>
      <c r="C281" s="135">
        <f>IFERROR(__xludf.DUMMYFUNCTION("""COMPUTED_VALUE"""),3.0)</f>
        <v>3</v>
      </c>
      <c r="D281" s="135">
        <f>IFERROR(__xludf.DUMMYFUNCTION("""COMPUTED_VALUE"""),1.0)</f>
        <v>1</v>
      </c>
      <c r="E281" s="135">
        <f>IFERROR(__xludf.DUMMYFUNCTION("""COMPUTED_VALUE"""),1.0)</f>
        <v>1</v>
      </c>
      <c r="F281" s="135">
        <f>IFERROR(__xludf.DUMMYFUNCTION("""COMPUTED_VALUE"""),5.0)</f>
        <v>5</v>
      </c>
      <c r="G281" s="135">
        <f>IFERROR(__xludf.DUMMYFUNCTION("""COMPUTED_VALUE"""),0.0)</f>
        <v>0</v>
      </c>
    </row>
    <row r="282">
      <c r="A282" s="122">
        <f>IFERROR(__xludf.DUMMYFUNCTION("""COMPUTED_VALUE"""),9.0)</f>
        <v>9</v>
      </c>
      <c r="B282" s="36" t="str">
        <f>IFERROR(__xludf.DUMMYFUNCTION("""COMPUTED_VALUE"""),"Jordan Tatang")</f>
        <v>Jordan Tatang</v>
      </c>
      <c r="C282" s="132">
        <f>IFERROR(__xludf.DUMMYFUNCTION("""COMPUTED_VALUE"""),2.0)</f>
        <v>2</v>
      </c>
      <c r="D282" s="132">
        <f>IFERROR(__xludf.DUMMYFUNCTION("""COMPUTED_VALUE"""),6.0)</f>
        <v>6</v>
      </c>
      <c r="E282" s="132">
        <f>IFERROR(__xludf.DUMMYFUNCTION("""COMPUTED_VALUE"""),6.0)</f>
        <v>6</v>
      </c>
      <c r="F282" s="132">
        <f>IFERROR(__xludf.DUMMYFUNCTION("""COMPUTED_VALUE"""),14.0)</f>
        <v>14</v>
      </c>
      <c r="G282" s="132">
        <f>IFERROR(__xludf.DUMMYFUNCTION("""COMPUTED_VALUE"""),2.0)</f>
        <v>2</v>
      </c>
    </row>
    <row r="283">
      <c r="A283" s="122">
        <f>IFERROR(__xludf.DUMMYFUNCTION("""COMPUTED_VALUE"""),9.0)</f>
        <v>9</v>
      </c>
      <c r="B283" s="36" t="str">
        <f>IFERROR(__xludf.DUMMYFUNCTION("""COMPUTED_VALUE"""),"Oscar Bonilla")</f>
        <v>Oscar Bonilla</v>
      </c>
      <c r="C283" s="132">
        <f>IFERROR(__xludf.DUMMYFUNCTION("""COMPUTED_VALUE"""),6.0)</f>
        <v>6</v>
      </c>
      <c r="D283" s="132">
        <f>IFERROR(__xludf.DUMMYFUNCTION("""COMPUTED_VALUE"""),1.0)</f>
        <v>1</v>
      </c>
      <c r="E283" s="132">
        <f>IFERROR(__xludf.DUMMYFUNCTION("""COMPUTED_VALUE"""),6.0)</f>
        <v>6</v>
      </c>
      <c r="F283" s="132">
        <f>IFERROR(__xludf.DUMMYFUNCTION("""COMPUTED_VALUE"""),13.0)</f>
        <v>13</v>
      </c>
      <c r="G283" s="132">
        <f>IFERROR(__xludf.DUMMYFUNCTION("""COMPUTED_VALUE"""),2.0)</f>
        <v>2</v>
      </c>
    </row>
    <row r="284">
      <c r="A284" s="122">
        <f>IFERROR(__xludf.DUMMYFUNCTION("""COMPUTED_VALUE"""),9.0)</f>
        <v>9</v>
      </c>
      <c r="B284" s="36" t="str">
        <f>IFERROR(__xludf.DUMMYFUNCTION("""COMPUTED_VALUE"""),"Luis Hsu")</f>
        <v>Luis Hsu</v>
      </c>
      <c r="C284" s="132">
        <f>IFERROR(__xludf.DUMMYFUNCTION("""COMPUTED_VALUE"""),6.0)</f>
        <v>6</v>
      </c>
      <c r="D284" s="132">
        <f>IFERROR(__xludf.DUMMYFUNCTION("""COMPUTED_VALUE"""),6.0)</f>
        <v>6</v>
      </c>
      <c r="E284" s="132">
        <f>IFERROR(__xludf.DUMMYFUNCTION("""COMPUTED_VALUE"""),4.0)</f>
        <v>4</v>
      </c>
      <c r="F284" s="132">
        <f>IFERROR(__xludf.DUMMYFUNCTION("""COMPUTED_VALUE"""),16.0)</f>
        <v>16</v>
      </c>
      <c r="G284" s="132">
        <f>IFERROR(__xludf.DUMMYFUNCTION("""COMPUTED_VALUE"""),2.0)</f>
        <v>2</v>
      </c>
    </row>
    <row r="285">
      <c r="A285" s="122">
        <f>IFERROR(__xludf.DUMMYFUNCTION("""COMPUTED_VALUE"""),9.0)</f>
        <v>9</v>
      </c>
      <c r="B285" s="36" t="str">
        <f>IFERROR(__xludf.DUMMYFUNCTION("""COMPUTED_VALUE"""),"Art Hui")</f>
        <v>Art Hui</v>
      </c>
      <c r="C285" s="132">
        <f>IFERROR(__xludf.DUMMYFUNCTION("""COMPUTED_VALUE"""),2.0)</f>
        <v>2</v>
      </c>
      <c r="D285" s="132">
        <f>IFERROR(__xludf.DUMMYFUNCTION("""COMPUTED_VALUE"""),1.0)</f>
        <v>1</v>
      </c>
      <c r="E285" s="132">
        <f>IFERROR(__xludf.DUMMYFUNCTION("""COMPUTED_VALUE"""),4.0)</f>
        <v>4</v>
      </c>
      <c r="F285" s="132">
        <f>IFERROR(__xludf.DUMMYFUNCTION("""COMPUTED_VALUE"""),7.0)</f>
        <v>7</v>
      </c>
      <c r="G285" s="132">
        <f>IFERROR(__xludf.DUMMYFUNCTION("""COMPUTED_VALUE"""),0.0)</f>
        <v>0</v>
      </c>
    </row>
    <row r="286">
      <c r="A286" s="133">
        <f>IFERROR(__xludf.DUMMYFUNCTION("""COMPUTED_VALUE"""),10.0)</f>
        <v>10</v>
      </c>
      <c r="B286" s="134" t="str">
        <f>IFERROR(__xludf.DUMMYFUNCTION("""COMPUTED_VALUE"""),"Rudy Tatang")</f>
        <v>Rudy Tatang</v>
      </c>
      <c r="C286" s="135">
        <f>IFERROR(__xludf.DUMMYFUNCTION("""COMPUTED_VALUE"""),7.0)</f>
        <v>7</v>
      </c>
      <c r="D286" s="135">
        <f>IFERROR(__xludf.DUMMYFUNCTION("""COMPUTED_VALUE"""),6.0)</f>
        <v>6</v>
      </c>
      <c r="E286" s="135">
        <f>IFERROR(__xludf.DUMMYFUNCTION("""COMPUTED_VALUE"""),6.0)</f>
        <v>6</v>
      </c>
      <c r="F286" s="135">
        <f>IFERROR(__xludf.DUMMYFUNCTION("""COMPUTED_VALUE"""),19.0)</f>
        <v>19</v>
      </c>
      <c r="G286" s="135">
        <f>IFERROR(__xludf.DUMMYFUNCTION("""COMPUTED_VALUE"""),3.0)</f>
        <v>3</v>
      </c>
    </row>
    <row r="287">
      <c r="A287" s="133">
        <f>IFERROR(__xludf.DUMMYFUNCTION("""COMPUTED_VALUE"""),10.0)</f>
        <v>10</v>
      </c>
      <c r="B287" s="134" t="str">
        <f>IFERROR(__xludf.DUMMYFUNCTION("""COMPUTED_VALUE"""),"Rajasekar Ramasamy")</f>
        <v>Rajasekar Ramasamy</v>
      </c>
      <c r="C287" s="135">
        <f>IFERROR(__xludf.DUMMYFUNCTION("""COMPUTED_VALUE"""),5.0)</f>
        <v>5</v>
      </c>
      <c r="D287" s="135">
        <f>IFERROR(__xludf.DUMMYFUNCTION("""COMPUTED_VALUE"""),1.0)</f>
        <v>1</v>
      </c>
      <c r="E287" s="135">
        <f>IFERROR(__xludf.DUMMYFUNCTION("""COMPUTED_VALUE"""),6.0)</f>
        <v>6</v>
      </c>
      <c r="F287" s="135">
        <f>IFERROR(__xludf.DUMMYFUNCTION("""COMPUTED_VALUE"""),12.0)</f>
        <v>12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IFERROR(__xludf.DUMMYFUNCTION("""COMPUTED_VALUE"""),"Matthew Huang")</f>
        <v>Matthew Huang</v>
      </c>
      <c r="C288" s="135">
        <f>IFERROR(__xludf.DUMMYFUNCTION("""COMPUTED_VALUE"""),5.0)</f>
        <v>5</v>
      </c>
      <c r="D288" s="135">
        <f>IFERROR(__xludf.DUMMYFUNCTION("""COMPUTED_VALUE"""),6.0)</f>
        <v>6</v>
      </c>
      <c r="E288" s="135">
        <f>IFERROR(__xludf.DUMMYFUNCTION("""COMPUTED_VALUE"""),4.0)</f>
        <v>4</v>
      </c>
      <c r="F288" s="135">
        <f>IFERROR(__xludf.DUMMYFUNCTION("""COMPUTED_VALUE"""),15.0)</f>
        <v>15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IFERROR(__xludf.DUMMYFUNCTION("""COMPUTED_VALUE"""),"Manuel Rivera")</f>
        <v>Manuel Rivera</v>
      </c>
      <c r="C289" s="135">
        <f>IFERROR(__xludf.DUMMYFUNCTION("""COMPUTED_VALUE"""),7.0)</f>
        <v>7</v>
      </c>
      <c r="D289" s="135">
        <f>IFERROR(__xludf.DUMMYFUNCTION("""COMPUTED_VALUE"""),1.0)</f>
        <v>1</v>
      </c>
      <c r="E289" s="135">
        <f>IFERROR(__xludf.DUMMYFUNCTION("""COMPUTED_VALUE"""),4.0)</f>
        <v>4</v>
      </c>
      <c r="F289" s="135">
        <f>IFERROR(__xludf.DUMMYFUNCTION("""COMPUTED_VALUE"""),12.0)</f>
        <v>12</v>
      </c>
      <c r="G289" s="135">
        <f>IFERROR(__xludf.DUMMYFUNCTION("""COMPUTED_VALUE"""),1.0)</f>
        <v>1</v>
      </c>
    </row>
    <row r="290">
      <c r="A290" s="122">
        <f>IFERROR(__xludf.DUMMYFUNCTION("""COMPUTED_VALUE"""),11.0)</f>
        <v>11</v>
      </c>
      <c r="B290" s="36" t="str">
        <f>IFERROR(__xludf.DUMMYFUNCTION("""COMPUTED_VALUE"""),"Jonathan Phan")</f>
        <v>Jonathan Phan</v>
      </c>
      <c r="C290" s="132">
        <f>IFERROR(__xludf.DUMMYFUNCTION("""COMPUTED_VALUE"""),6.0)</f>
        <v>6</v>
      </c>
      <c r="D290" s="132">
        <f>IFERROR(__xludf.DUMMYFUNCTION("""COMPUTED_VALUE"""),3.0)</f>
        <v>3</v>
      </c>
      <c r="E290" s="132">
        <f>IFERROR(__xludf.DUMMYFUNCTION("""COMPUTED_VALUE"""),6.0)</f>
        <v>6</v>
      </c>
      <c r="F290" s="132">
        <f>IFERROR(__xludf.DUMMYFUNCTION("""COMPUTED_VALUE"""),15.0)</f>
        <v>15</v>
      </c>
      <c r="G290" s="132">
        <f>IFERROR(__xludf.DUMMYFUNCTION("""COMPUTED_VALUE"""),2.0)</f>
        <v>2</v>
      </c>
    </row>
    <row r="291">
      <c r="A291" s="122">
        <f>IFERROR(__xludf.DUMMYFUNCTION("""COMPUTED_VALUE"""),11.0)</f>
        <v>11</v>
      </c>
      <c r="B291" s="36" t="str">
        <f>IFERROR(__xludf.DUMMYFUNCTION("""COMPUTED_VALUE"""),"Joe Luzzi")</f>
        <v>Joe Luzzi</v>
      </c>
      <c r="C291" s="132">
        <f>IFERROR(__xludf.DUMMYFUNCTION("""COMPUTED_VALUE"""),2.0)</f>
        <v>2</v>
      </c>
      <c r="D291" s="132">
        <f>IFERROR(__xludf.DUMMYFUNCTION("""COMPUTED_VALUE"""),6.0)</f>
        <v>6</v>
      </c>
      <c r="E291" s="132">
        <f>IFERROR(__xludf.DUMMYFUNCTION("""COMPUTED_VALUE"""),6.0)</f>
        <v>6</v>
      </c>
      <c r="F291" s="132">
        <f>IFERROR(__xludf.DUMMYFUNCTION("""COMPUTED_VALUE"""),14.0)</f>
        <v>14</v>
      </c>
      <c r="G291" s="132">
        <f>IFERROR(__xludf.DUMMYFUNCTION("""COMPUTED_VALUE"""),2.0)</f>
        <v>2</v>
      </c>
    </row>
    <row r="292">
      <c r="A292" s="122">
        <f>IFERROR(__xludf.DUMMYFUNCTION("""COMPUTED_VALUE"""),11.0)</f>
        <v>11</v>
      </c>
      <c r="B292" s="36" t="str">
        <f>IFERROR(__xludf.DUMMYFUNCTION("""COMPUTED_VALUE"""),"Ramesh Bandaru")</f>
        <v>Ramesh Bandaru</v>
      </c>
      <c r="C292" s="132">
        <f>IFERROR(__xludf.DUMMYFUNCTION("""COMPUTED_VALUE"""),6.0)</f>
        <v>6</v>
      </c>
      <c r="D292" s="132">
        <f>IFERROR(__xludf.DUMMYFUNCTION("""COMPUTED_VALUE"""),6.0)</f>
        <v>6</v>
      </c>
      <c r="E292" s="132">
        <f>IFERROR(__xludf.DUMMYFUNCTION("""COMPUTED_VALUE"""),1.0)</f>
        <v>1</v>
      </c>
      <c r="F292" s="132">
        <f>IFERROR(__xludf.DUMMYFUNCTION("""COMPUTED_VALUE"""),13.0)</f>
        <v>13</v>
      </c>
      <c r="G292" s="132">
        <f>IFERROR(__xludf.DUMMYFUNCTION("""COMPUTED_VALUE"""),2.0)</f>
        <v>2</v>
      </c>
    </row>
    <row r="293">
      <c r="A293" s="122">
        <f>IFERROR(__xludf.DUMMYFUNCTION("""COMPUTED_VALUE"""),11.0)</f>
        <v>11</v>
      </c>
      <c r="B293" s="36" t="str">
        <f>IFERROR(__xludf.DUMMYFUNCTION("""COMPUTED_VALUE"""),"Ranjith Doraiswamy")</f>
        <v>Ranjith Doraiswamy</v>
      </c>
      <c r="C293" s="132">
        <f>IFERROR(__xludf.DUMMYFUNCTION("""COMPUTED_VALUE"""),2.0)</f>
        <v>2</v>
      </c>
      <c r="D293" s="132">
        <f>IFERROR(__xludf.DUMMYFUNCTION("""COMPUTED_VALUE"""),3.0)</f>
        <v>3</v>
      </c>
      <c r="E293" s="132">
        <f>IFERROR(__xludf.DUMMYFUNCTION("""COMPUTED_VALUE"""),1.0)</f>
        <v>1</v>
      </c>
      <c r="F293" s="132">
        <f>IFERROR(__xludf.DUMMYFUNCTION("""COMPUTED_VALUE"""),6.0)</f>
        <v>6</v>
      </c>
      <c r="G293" s="132">
        <f>IFERROR(__xludf.DUMMYFUNCTION("""COMPUTED_VALUE"""),0.0)</f>
        <v>0</v>
      </c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Wen")</f>
        <v>Andrew Wen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IFERROR(__xludf.DUMMYFUNCTION("""COMPUTED_VALUE"""),"Andrew Yao")</f>
        <v>Andrew Yao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IFERROR(__xludf.DUMMYFUNCTION("""COMPUTED_VALUE"""),"Charles Choi")</f>
        <v>Charles Choi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IFERROR(__xludf.DUMMYFUNCTION("""COMPUTED_VALUE"""),"Cid Macaraeg")</f>
        <v>Cid Macaraeg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IFERROR(__xludf.DUMMYFUNCTION("""COMPUTED_VALUE"""),"Coco Yan")</f>
        <v>Coco Yan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IFERROR(__xludf.DUMMYFUNCTION("""COMPUTED_VALUE"""),"Darren Wong")</f>
        <v>Darren Wong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IFERROR(__xludf.DUMMYFUNCTION("""COMPUTED_VALUE"""),"David Shin")</f>
        <v>David Shin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IFERROR(__xludf.DUMMYFUNCTION("""COMPUTED_VALUE"""),"Elayaraja Thangaraj")</f>
        <v>Elayaraja Thangaraj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IFERROR(__xludf.DUMMYFUNCTION("""COMPUTED_VALUE"""),"Eric Pan")</f>
        <v>Eric Pan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IFERROR(__xludf.DUMMYFUNCTION("""COMPUTED_VALUE"""),"Eric Tan")</f>
        <v>Eric Tan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IFERROR(__xludf.DUMMYFUNCTION("""COMPUTED_VALUE"""),"Erik Hoeckmann")</f>
        <v>Erik Hoeckmann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IFERROR(__xludf.DUMMYFUNCTION("""COMPUTED_VALUE"""),"Ethan Gu")</f>
        <v>Ethan Gu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IFERROR(__xludf.DUMMYFUNCTION("""COMPUTED_VALUE"""),"Frank Moon")</f>
        <v>Frank Moon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IFERROR(__xludf.DUMMYFUNCTION("""COMPUTED_VALUE"""),"Herman Au")</f>
        <v>Herman Au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IFERROR(__xludf.DUMMYFUNCTION("""COMPUTED_VALUE"""),"Hongyuan Wen")</f>
        <v>Hongyuan Wen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IFERROR(__xludf.DUMMYFUNCTION("""COMPUTED_VALUE"""),"Hubert J Sung")</f>
        <v>Hubert J Sung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IFERROR(__xludf.DUMMYFUNCTION("""COMPUTED_VALUE"""),"James Phan")</f>
        <v>James Phan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IFERROR(__xludf.DUMMYFUNCTION("""COMPUTED_VALUE"""),"Jaya Sogata")</f>
        <v>Jaya Sogata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IFERROR(__xludf.DUMMYFUNCTION("""COMPUTED_VALUE"""),"Jim Miao")</f>
        <v>Jim Miao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IFERROR(__xludf.DUMMYFUNCTION("""COMPUTED_VALUE"""),"Jimmy Awolesi")</f>
        <v>Jimmy Awolesi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IFERROR(__xludf.DUMMYFUNCTION("""COMPUTED_VALUE"""),"Joe Luzzi")</f>
        <v>Joe Luzzi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IFERROR(__xludf.DUMMYFUNCTION("""COMPUTED_VALUE"""),"Leigh-Anh Nguyen")</f>
        <v>Leigh-Anh Nguyen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IFERROR(__xludf.DUMMYFUNCTION("""COMPUTED_VALUE"""),"Ramesh Bandaru")</f>
        <v>Ramesh Bandaru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IFERROR(__xludf.DUMMYFUNCTION("""COMPUTED_VALUE"""),"Robert Chang")</f>
        <v>Robert Chang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IFERROR(__xludf.DUMMYFUNCTION("""COMPUTED_VALUE"""),"Ruben Ron")</f>
        <v>Ruben Ron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IFERROR(__xludf.DUMMYFUNCTION("""COMPUTED_VALUE"""),"Rudy Tatang")</f>
        <v>Rudy Tatang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IFERROR(__xludf.DUMMYFUNCTION("""COMPUTED_VALUE"""),"Sandeep Kamalon")</f>
        <v>Sandeep Kamalon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IFERROR(__xludf.DUMMYFUNCTION("""COMPUTED_VALUE"""),"Sandy Weyant")</f>
        <v>Sandy Weyant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IFERROR(__xludf.DUMMYFUNCTION("""COMPUTED_VALUE"""),"Sanjaye Elayattu")</f>
        <v>Sanjaye Elayattu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IFERROR(__xludf.DUMMYFUNCTION("""COMPUTED_VALUE"""),"Santosh Sundaresan")</f>
        <v>Santosh Sundaresan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IFERROR(__xludf.DUMMYFUNCTION("""COMPUTED_VALUE"""),"Saravanan Veerapandian")</f>
        <v>Saravanan Veerapandian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IFERROR(__xludf.DUMMYFUNCTION("""COMPUTED_VALUE"""),"Scott Li")</f>
        <v>Scott Li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IFERROR(__xludf.DUMMYFUNCTION("""COMPUTED_VALUE"""),"Sean Chang")</f>
        <v>Sean Chang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IFERROR(__xludf.DUMMYFUNCTION("""COMPUTED_VALUE"""),"Suleman Alidina")</f>
        <v>Suleman Alidina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IFERROR(__xludf.DUMMYFUNCTION("""COMPUTED_VALUE"""),"Ted Shen")</f>
        <v>Ted Shen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IFERROR(__xludf.DUMMYFUNCTION("""COMPUTED_VALUE"""),"Tina Hanson")</f>
        <v>Tina Hanson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IFERROR(__xludf.DUMMYFUNCTION("""COMPUTED_VALUE"""),"Tom Le")</f>
        <v>Tom Le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IFERROR(__xludf.DUMMYFUNCTION("""COMPUTED_VALUE"""),"Trish Newlin")</f>
        <v>Trish Newlin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IFERROR(__xludf.DUMMYFUNCTION("""COMPUTED_VALUE"""),"Troy Wong")</f>
        <v>Troy Wong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IFERROR(__xludf.DUMMYFUNCTION("""COMPUTED_VALUE"""),"Vinaya Kajla")</f>
        <v>Vinaya Kajla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46039.0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2.0</v>
      </c>
      <c r="E2" s="5"/>
      <c r="F2" s="5"/>
      <c r="R2" s="18"/>
      <c r="AC2" s="22" t="str">
        <f>text(C1-7,"mm/dd/yy")</f>
        <v>01/10/26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50</v>
      </c>
      <c r="C5" s="37">
        <v>19.0</v>
      </c>
      <c r="D5" s="37">
        <v>3.0</v>
      </c>
      <c r="E5" s="40">
        <f t="shared" ref="E5:E79" si="2">if(S5&gt;0,(C5-(V5*9)-(T5*13))/S5,0)</f>
        <v>9.5</v>
      </c>
      <c r="F5" s="90">
        <v>1.0</v>
      </c>
      <c r="G5" s="91">
        <v>1.0</v>
      </c>
      <c r="H5" s="92">
        <v>0.0</v>
      </c>
      <c r="I5" s="91">
        <v>7.0</v>
      </c>
      <c r="J5" s="91">
        <v>6.0</v>
      </c>
      <c r="K5" s="91">
        <v>6.0</v>
      </c>
      <c r="L5" s="93">
        <v>19.0</v>
      </c>
      <c r="M5" s="91">
        <v>3.0</v>
      </c>
      <c r="N5" s="37">
        <f t="shared" ref="N5:O5" si="1">C5+L5</f>
        <v>38</v>
      </c>
      <c r="O5" s="37">
        <f t="shared" si="1"/>
        <v>6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2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0</v>
      </c>
      <c r="W5" s="52">
        <f t="shared" ref="W5:W79" si="7">vlookup(B5,indirect("'" &amp; AC$2 &amp; "'!B5:x79"),23,false)-X5</f>
        <v>25</v>
      </c>
      <c r="X5" s="35">
        <v>1.0</v>
      </c>
      <c r="Y5" s="35" t="str">
        <f t="shared" ref="Y5:Y79" si="8">if(S5=D$2,"Y","N")</f>
        <v>Y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108</v>
      </c>
      <c r="C6" s="37">
        <v>19.0</v>
      </c>
      <c r="D6" s="37">
        <v>3.0</v>
      </c>
      <c r="E6" s="40">
        <f t="shared" si="2"/>
        <v>9.5</v>
      </c>
      <c r="F6" s="90">
        <v>1.0</v>
      </c>
      <c r="G6" s="91">
        <v>1.0</v>
      </c>
      <c r="H6" s="92">
        <v>0.0</v>
      </c>
      <c r="I6" s="91">
        <v>7.0</v>
      </c>
      <c r="J6" s="91">
        <v>4.0</v>
      </c>
      <c r="K6" s="91">
        <v>3.0</v>
      </c>
      <c r="L6" s="93">
        <v>14.0</v>
      </c>
      <c r="M6" s="91">
        <v>1.0</v>
      </c>
      <c r="N6" s="37">
        <f t="shared" ref="N6:O6" si="3">C6+L6</f>
        <v>33</v>
      </c>
      <c r="O6" s="37">
        <f t="shared" si="3"/>
        <v>4</v>
      </c>
      <c r="P6" s="49" t="s">
        <v>57</v>
      </c>
      <c r="Q6" s="49" t="s">
        <v>57</v>
      </c>
      <c r="R6" s="49" t="s">
        <v>57</v>
      </c>
      <c r="S6" s="51">
        <f t="shared" si="4"/>
        <v>2</v>
      </c>
      <c r="T6" s="52">
        <f t="shared" si="5"/>
        <v>0</v>
      </c>
      <c r="U6" s="52"/>
      <c r="V6" s="51">
        <f t="shared" si="6"/>
        <v>0</v>
      </c>
      <c r="W6" s="52">
        <f t="shared" si="7"/>
        <v>29</v>
      </c>
      <c r="X6" s="35">
        <f t="shared" ref="X6:X79" si="12">X5+1</f>
        <v>2</v>
      </c>
      <c r="Y6" s="35" t="str">
        <f t="shared" si="8"/>
        <v>Y</v>
      </c>
      <c r="Z6" s="19" t="str">
        <f t="shared" si="9"/>
        <v/>
      </c>
    </row>
    <row r="7">
      <c r="A7" s="35">
        <f t="shared" si="10"/>
        <v>3</v>
      </c>
      <c r="B7" s="36" t="s">
        <v>104</v>
      </c>
      <c r="C7" s="37">
        <v>19.0</v>
      </c>
      <c r="D7" s="37">
        <v>3.0</v>
      </c>
      <c r="E7" s="40">
        <f t="shared" si="2"/>
        <v>10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28</v>
      </c>
      <c r="O7" s="37">
        <f t="shared" si="11"/>
        <v>3</v>
      </c>
      <c r="P7" s="49" t="s">
        <v>57</v>
      </c>
      <c r="Q7" s="49" t="s">
        <v>57</v>
      </c>
      <c r="R7" s="49" t="s">
        <v>57</v>
      </c>
      <c r="S7" s="51">
        <f t="shared" si="4"/>
        <v>1</v>
      </c>
      <c r="T7" s="52">
        <f t="shared" si="5"/>
        <v>0</v>
      </c>
      <c r="U7" s="52"/>
      <c r="V7" s="51">
        <f t="shared" si="6"/>
        <v>1</v>
      </c>
      <c r="W7" s="52">
        <f t="shared" si="7"/>
        <v>31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114</v>
      </c>
      <c r="C8" s="37">
        <v>19.0</v>
      </c>
      <c r="D8" s="37">
        <v>3.0</v>
      </c>
      <c r="E8" s="40">
        <f t="shared" si="2"/>
        <v>10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28</v>
      </c>
      <c r="O8" s="37">
        <f t="shared" si="13"/>
        <v>3</v>
      </c>
      <c r="P8" s="49" t="s">
        <v>57</v>
      </c>
      <c r="Q8" s="49" t="s">
        <v>57</v>
      </c>
      <c r="R8" s="49" t="s">
        <v>57</v>
      </c>
      <c r="S8" s="51">
        <f t="shared" si="4"/>
        <v>1</v>
      </c>
      <c r="T8" s="52">
        <f t="shared" si="5"/>
        <v>0</v>
      </c>
      <c r="U8" s="52"/>
      <c r="V8" s="51">
        <f t="shared" si="6"/>
        <v>1</v>
      </c>
      <c r="W8" s="52">
        <f t="shared" si="7"/>
        <v>43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59</v>
      </c>
      <c r="C9" s="37">
        <v>19.0</v>
      </c>
      <c r="D9" s="37">
        <v>3.0</v>
      </c>
      <c r="E9" s="40">
        <f t="shared" si="2"/>
        <v>9.5</v>
      </c>
      <c r="F9" s="90">
        <v>1.0</v>
      </c>
      <c r="G9" s="91">
        <v>1.0</v>
      </c>
      <c r="H9" s="92">
        <v>0.0</v>
      </c>
      <c r="I9" s="91">
        <v>6.0</v>
      </c>
      <c r="J9" s="91">
        <v>4.0</v>
      </c>
      <c r="K9" s="91">
        <v>6.0</v>
      </c>
      <c r="L9" s="93">
        <v>16.0</v>
      </c>
      <c r="M9" s="91">
        <v>1.0</v>
      </c>
      <c r="N9" s="37">
        <f t="shared" ref="N9:O9" si="14">C9+L9</f>
        <v>35</v>
      </c>
      <c r="O9" s="37">
        <f t="shared" si="14"/>
        <v>4</v>
      </c>
      <c r="P9" s="49" t="s">
        <v>57</v>
      </c>
      <c r="Q9" s="49" t="s">
        <v>57</v>
      </c>
      <c r="R9" s="49" t="s">
        <v>57</v>
      </c>
      <c r="S9" s="51">
        <f t="shared" si="4"/>
        <v>2</v>
      </c>
      <c r="T9" s="52">
        <f t="shared" si="5"/>
        <v>0</v>
      </c>
      <c r="U9" s="52"/>
      <c r="V9" s="51">
        <f t="shared" si="6"/>
        <v>0</v>
      </c>
      <c r="W9" s="52">
        <f t="shared" si="7"/>
        <v>58</v>
      </c>
      <c r="X9" s="35">
        <f t="shared" si="12"/>
        <v>5</v>
      </c>
      <c r="Y9" s="35" t="str">
        <f t="shared" si="8"/>
        <v>Y</v>
      </c>
      <c r="Z9" s="19" t="str">
        <f t="shared" si="9"/>
        <v/>
      </c>
    </row>
    <row r="10">
      <c r="A10" s="35">
        <f t="shared" si="10"/>
        <v>6</v>
      </c>
      <c r="B10" s="36" t="s">
        <v>68</v>
      </c>
      <c r="C10" s="37">
        <v>19.0</v>
      </c>
      <c r="D10" s="37">
        <v>3.0</v>
      </c>
      <c r="E10" s="40">
        <f t="shared" si="2"/>
        <v>9.5</v>
      </c>
      <c r="F10" s="90">
        <v>1.0</v>
      </c>
      <c r="G10" s="91">
        <v>1.0</v>
      </c>
      <c r="H10" s="92">
        <v>0.0</v>
      </c>
      <c r="I10" s="91">
        <v>6.0</v>
      </c>
      <c r="J10" s="91">
        <v>6.0</v>
      </c>
      <c r="K10" s="91">
        <v>3.0</v>
      </c>
      <c r="L10" s="93">
        <v>15.0</v>
      </c>
      <c r="M10" s="91">
        <v>1.0</v>
      </c>
      <c r="N10" s="37">
        <f t="shared" ref="N10:O10" si="15">C10+L10</f>
        <v>34</v>
      </c>
      <c r="O10" s="37">
        <f t="shared" si="15"/>
        <v>4</v>
      </c>
      <c r="P10" s="49" t="s">
        <v>57</v>
      </c>
      <c r="Q10" s="49" t="s">
        <v>57</v>
      </c>
      <c r="R10" s="49" t="s">
        <v>57</v>
      </c>
      <c r="S10" s="51">
        <f t="shared" si="4"/>
        <v>2</v>
      </c>
      <c r="T10" s="52">
        <f t="shared" si="5"/>
        <v>0</v>
      </c>
      <c r="U10" s="52"/>
      <c r="V10" s="51">
        <f t="shared" si="6"/>
        <v>0</v>
      </c>
      <c r="W10" s="52">
        <f t="shared" si="7"/>
        <v>60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111</v>
      </c>
      <c r="C11" s="37">
        <v>18.0</v>
      </c>
      <c r="D11" s="37">
        <v>3.0</v>
      </c>
      <c r="E11" s="40">
        <f t="shared" si="2"/>
        <v>9</v>
      </c>
      <c r="F11" s="90">
        <v>1.0</v>
      </c>
      <c r="G11" s="91">
        <v>2.0</v>
      </c>
      <c r="H11" s="92">
        <v>0.0</v>
      </c>
      <c r="I11" s="91">
        <v>6.0</v>
      </c>
      <c r="J11" s="91">
        <v>5.0</v>
      </c>
      <c r="K11" s="91">
        <v>3.0</v>
      </c>
      <c r="L11" s="93">
        <v>14.0</v>
      </c>
      <c r="M11" s="91">
        <v>1.0</v>
      </c>
      <c r="N11" s="37">
        <f t="shared" ref="N11:O11" si="16">C11+L11</f>
        <v>32</v>
      </c>
      <c r="O11" s="37">
        <f t="shared" si="16"/>
        <v>4</v>
      </c>
      <c r="P11" s="49" t="s">
        <v>57</v>
      </c>
      <c r="Q11" s="49" t="s">
        <v>57</v>
      </c>
      <c r="R11" s="49" t="s">
        <v>57</v>
      </c>
      <c r="S11" s="51">
        <f t="shared" si="4"/>
        <v>2</v>
      </c>
      <c r="T11" s="52">
        <f t="shared" si="5"/>
        <v>0</v>
      </c>
      <c r="U11" s="52"/>
      <c r="V11" s="51">
        <f t="shared" si="6"/>
        <v>0</v>
      </c>
      <c r="W11" s="52">
        <f t="shared" si="7"/>
        <v>49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96</v>
      </c>
      <c r="C12" s="37">
        <v>18.0</v>
      </c>
      <c r="D12" s="37">
        <v>2.0</v>
      </c>
      <c r="E12" s="40">
        <f t="shared" si="2"/>
        <v>9</v>
      </c>
      <c r="F12" s="90">
        <v>1.0</v>
      </c>
      <c r="G12" s="91">
        <v>2.0</v>
      </c>
      <c r="H12" s="92">
        <v>0.0</v>
      </c>
      <c r="I12" s="91">
        <v>3.0</v>
      </c>
      <c r="J12" s="91">
        <v>7.0</v>
      </c>
      <c r="K12" s="91">
        <v>3.0</v>
      </c>
      <c r="L12" s="93">
        <v>13.0</v>
      </c>
      <c r="M12" s="91">
        <v>1.0</v>
      </c>
      <c r="N12" s="37">
        <f t="shared" ref="N12:O12" si="17">C12+L12</f>
        <v>31</v>
      </c>
      <c r="O12" s="37">
        <f t="shared" si="17"/>
        <v>3</v>
      </c>
      <c r="P12" s="49" t="s">
        <v>57</v>
      </c>
      <c r="Q12" s="49" t="s">
        <v>57</v>
      </c>
      <c r="R12" s="49" t="s">
        <v>57</v>
      </c>
      <c r="S12" s="51">
        <f t="shared" si="4"/>
        <v>2</v>
      </c>
      <c r="T12" s="52">
        <f t="shared" si="5"/>
        <v>0</v>
      </c>
      <c r="U12" s="52"/>
      <c r="V12" s="51">
        <f t="shared" si="6"/>
        <v>0</v>
      </c>
      <c r="W12" s="52">
        <f t="shared" si="7"/>
        <v>4</v>
      </c>
      <c r="X12" s="35">
        <f t="shared" si="12"/>
        <v>8</v>
      </c>
      <c r="Y12" s="35" t="str">
        <f t="shared" si="8"/>
        <v>Y</v>
      </c>
      <c r="Z12" s="19" t="str">
        <f t="shared" si="9"/>
        <v/>
      </c>
    </row>
    <row r="13">
      <c r="A13" s="35">
        <f t="shared" si="10"/>
        <v>9</v>
      </c>
      <c r="B13" s="36" t="s">
        <v>117</v>
      </c>
      <c r="C13" s="37">
        <v>16.0</v>
      </c>
      <c r="D13" s="37">
        <v>2.0</v>
      </c>
      <c r="E13" s="40">
        <f t="shared" si="2"/>
        <v>8</v>
      </c>
      <c r="F13" s="90">
        <v>2.0</v>
      </c>
      <c r="G13" s="91">
        <v>2.0</v>
      </c>
      <c r="H13" s="92">
        <v>0.0</v>
      </c>
      <c r="I13" s="91">
        <v>3.0</v>
      </c>
      <c r="J13" s="91">
        <v>5.0</v>
      </c>
      <c r="K13" s="91">
        <v>6.0</v>
      </c>
      <c r="L13" s="93">
        <v>14.0</v>
      </c>
      <c r="M13" s="91">
        <v>1.0</v>
      </c>
      <c r="N13" s="37">
        <f t="shared" ref="N13:O13" si="18">C13+L13</f>
        <v>30</v>
      </c>
      <c r="O13" s="37">
        <f t="shared" si="18"/>
        <v>3</v>
      </c>
      <c r="P13" s="49" t="s">
        <v>57</v>
      </c>
      <c r="Q13" s="49" t="s">
        <v>57</v>
      </c>
      <c r="R13" s="49" t="s">
        <v>57</v>
      </c>
      <c r="S13" s="51">
        <f t="shared" si="4"/>
        <v>2</v>
      </c>
      <c r="T13" s="52">
        <f t="shared" si="5"/>
        <v>0</v>
      </c>
      <c r="U13" s="52"/>
      <c r="V13" s="51">
        <f t="shared" si="6"/>
        <v>0</v>
      </c>
      <c r="W13" s="52">
        <f t="shared" si="7"/>
        <v>-3</v>
      </c>
      <c r="X13" s="35">
        <f t="shared" si="12"/>
        <v>9</v>
      </c>
      <c r="Y13" s="35" t="str">
        <f t="shared" si="8"/>
        <v>Y</v>
      </c>
      <c r="Z13" s="19" t="str">
        <f t="shared" si="9"/>
        <v/>
      </c>
    </row>
    <row r="14">
      <c r="A14" s="35">
        <f t="shared" si="10"/>
        <v>10</v>
      </c>
      <c r="B14" s="36" t="s">
        <v>128</v>
      </c>
      <c r="C14" s="37">
        <v>16.0</v>
      </c>
      <c r="D14" s="37">
        <v>1.0</v>
      </c>
      <c r="E14" s="40">
        <f t="shared" si="2"/>
        <v>8</v>
      </c>
      <c r="F14" s="90">
        <v>1.0</v>
      </c>
      <c r="G14" s="91">
        <v>2.0</v>
      </c>
      <c r="H14" s="92">
        <v>0.0</v>
      </c>
      <c r="I14" s="91">
        <v>6.0</v>
      </c>
      <c r="J14" s="91">
        <v>7.0</v>
      </c>
      <c r="K14" s="91">
        <v>6.0</v>
      </c>
      <c r="L14" s="93">
        <v>19.0</v>
      </c>
      <c r="M14" s="91">
        <v>3.0</v>
      </c>
      <c r="N14" s="37">
        <f t="shared" ref="N14:O14" si="19">C14+L14</f>
        <v>35</v>
      </c>
      <c r="O14" s="37">
        <f t="shared" si="19"/>
        <v>4</v>
      </c>
      <c r="P14" s="49" t="s">
        <v>57</v>
      </c>
      <c r="Q14" s="49" t="s">
        <v>57</v>
      </c>
      <c r="R14" s="49" t="s">
        <v>57</v>
      </c>
      <c r="S14" s="51">
        <f t="shared" si="4"/>
        <v>2</v>
      </c>
      <c r="T14" s="52">
        <f t="shared" si="5"/>
        <v>0</v>
      </c>
      <c r="U14" s="52"/>
      <c r="V14" s="51">
        <f t="shared" si="6"/>
        <v>0</v>
      </c>
      <c r="W14" s="52">
        <f t="shared" si="7"/>
        <v>20</v>
      </c>
      <c r="X14" s="35">
        <f t="shared" si="12"/>
        <v>10</v>
      </c>
      <c r="Y14" s="35" t="str">
        <f t="shared" si="8"/>
        <v>Y</v>
      </c>
      <c r="Z14" s="19" t="str">
        <f t="shared" si="9"/>
        <v/>
      </c>
    </row>
    <row r="15">
      <c r="A15" s="35">
        <f t="shared" si="10"/>
        <v>11</v>
      </c>
      <c r="B15" s="36" t="s">
        <v>137</v>
      </c>
      <c r="C15" s="37">
        <v>15.0</v>
      </c>
      <c r="D15" s="37">
        <v>1.0</v>
      </c>
      <c r="E15" s="40">
        <f t="shared" si="2"/>
        <v>7.5</v>
      </c>
      <c r="F15" s="90">
        <v>1.0</v>
      </c>
      <c r="G15" s="91">
        <v>3.0</v>
      </c>
      <c r="H15" s="92">
        <v>0.0</v>
      </c>
      <c r="I15" s="91">
        <v>6.0</v>
      </c>
      <c r="J15" s="91">
        <v>0.0</v>
      </c>
      <c r="K15" s="91">
        <v>6.0</v>
      </c>
      <c r="L15" s="93">
        <v>12.0</v>
      </c>
      <c r="M15" s="91">
        <v>2.0</v>
      </c>
      <c r="N15" s="37">
        <f t="shared" ref="N15:O15" si="20">C15+L15</f>
        <v>27</v>
      </c>
      <c r="O15" s="37">
        <f t="shared" si="20"/>
        <v>3</v>
      </c>
      <c r="P15" s="49" t="s">
        <v>57</v>
      </c>
      <c r="Q15" s="49" t="s">
        <v>57</v>
      </c>
      <c r="R15" s="49" t="s">
        <v>57</v>
      </c>
      <c r="S15" s="51">
        <f t="shared" si="4"/>
        <v>2</v>
      </c>
      <c r="T15" s="52">
        <f t="shared" si="5"/>
        <v>0</v>
      </c>
      <c r="U15" s="52"/>
      <c r="V15" s="51">
        <f t="shared" si="6"/>
        <v>0</v>
      </c>
      <c r="W15" s="52">
        <f t="shared" si="7"/>
        <v>12</v>
      </c>
      <c r="X15" s="35">
        <f t="shared" si="12"/>
        <v>11</v>
      </c>
      <c r="Y15" s="35" t="str">
        <f t="shared" si="8"/>
        <v>Y</v>
      </c>
      <c r="Z15" s="19" t="str">
        <f t="shared" si="9"/>
        <v/>
      </c>
    </row>
    <row r="16">
      <c r="A16" s="35">
        <f t="shared" si="10"/>
        <v>12</v>
      </c>
      <c r="B16" s="36" t="s">
        <v>106</v>
      </c>
      <c r="C16" s="37">
        <v>15.0</v>
      </c>
      <c r="D16" s="37">
        <v>1.0</v>
      </c>
      <c r="E16" s="40">
        <f t="shared" si="2"/>
        <v>6</v>
      </c>
      <c r="F16" s="90">
        <v>3.0</v>
      </c>
      <c r="G16" s="91">
        <v>0.0</v>
      </c>
      <c r="H16" s="92">
        <v>9.0</v>
      </c>
      <c r="I16" s="91">
        <v>0.0</v>
      </c>
      <c r="J16" s="91">
        <v>0.0</v>
      </c>
      <c r="K16" s="91">
        <v>0.0</v>
      </c>
      <c r="L16" s="93">
        <v>9.0</v>
      </c>
      <c r="M16" s="91">
        <v>0.0</v>
      </c>
      <c r="N16" s="37">
        <f t="shared" ref="N16:O16" si="21">C16+L16</f>
        <v>24</v>
      </c>
      <c r="O16" s="37">
        <f t="shared" si="21"/>
        <v>1</v>
      </c>
      <c r="P16" s="49" t="s">
        <v>57</v>
      </c>
      <c r="Q16" s="49" t="s">
        <v>57</v>
      </c>
      <c r="R16" s="49" t="s">
        <v>57</v>
      </c>
      <c r="S16" s="51">
        <f t="shared" si="4"/>
        <v>1</v>
      </c>
      <c r="T16" s="52">
        <f t="shared" si="5"/>
        <v>0</v>
      </c>
      <c r="U16" s="52"/>
      <c r="V16" s="51">
        <f t="shared" si="6"/>
        <v>1</v>
      </c>
      <c r="W16" s="52">
        <f t="shared" si="7"/>
        <v>15</v>
      </c>
      <c r="X16" s="35">
        <f t="shared" si="12"/>
        <v>12</v>
      </c>
      <c r="Y16" s="35" t="str">
        <f t="shared" si="8"/>
        <v>N</v>
      </c>
      <c r="Z16" s="19" t="str">
        <f t="shared" si="9"/>
        <v/>
      </c>
    </row>
    <row r="17">
      <c r="A17" s="35">
        <f t="shared" si="10"/>
        <v>13</v>
      </c>
      <c r="B17" s="36" t="s">
        <v>90</v>
      </c>
      <c r="C17" s="37">
        <v>15.0</v>
      </c>
      <c r="D17" s="37">
        <v>1.0</v>
      </c>
      <c r="E17" s="40">
        <f t="shared" si="2"/>
        <v>6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24</v>
      </c>
      <c r="O17" s="37">
        <f t="shared" si="22"/>
        <v>1</v>
      </c>
      <c r="P17" s="49" t="s">
        <v>57</v>
      </c>
      <c r="Q17" s="49" t="s">
        <v>57</v>
      </c>
      <c r="R17" s="49" t="s">
        <v>57</v>
      </c>
      <c r="S17" s="51">
        <f t="shared" si="4"/>
        <v>1</v>
      </c>
      <c r="T17" s="52">
        <f t="shared" si="5"/>
        <v>0</v>
      </c>
      <c r="U17" s="52"/>
      <c r="V17" s="51">
        <f t="shared" si="6"/>
        <v>1</v>
      </c>
      <c r="W17" s="52">
        <f t="shared" si="7"/>
        <v>20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92</v>
      </c>
      <c r="C18" s="37">
        <v>15.0</v>
      </c>
      <c r="D18" s="37">
        <v>1.0</v>
      </c>
      <c r="E18" s="40">
        <f t="shared" si="2"/>
        <v>6</v>
      </c>
      <c r="F18" s="90">
        <v>3.0</v>
      </c>
      <c r="G18" s="91">
        <v>0.0</v>
      </c>
      <c r="H18" s="92">
        <v>9.0</v>
      </c>
      <c r="I18" s="91">
        <v>0.0</v>
      </c>
      <c r="J18" s="91">
        <v>0.0</v>
      </c>
      <c r="K18" s="91">
        <v>0.0</v>
      </c>
      <c r="L18" s="93">
        <v>9.0</v>
      </c>
      <c r="M18" s="91">
        <v>0.0</v>
      </c>
      <c r="N18" s="37">
        <f t="shared" ref="N18:O18" si="23">C18+L18</f>
        <v>24</v>
      </c>
      <c r="O18" s="37">
        <f t="shared" si="23"/>
        <v>1</v>
      </c>
      <c r="P18" s="49" t="s">
        <v>57</v>
      </c>
      <c r="Q18" s="49" t="s">
        <v>57</v>
      </c>
      <c r="R18" s="49" t="s">
        <v>57</v>
      </c>
      <c r="S18" s="51">
        <f t="shared" si="4"/>
        <v>1</v>
      </c>
      <c r="T18" s="52">
        <f t="shared" si="5"/>
        <v>0</v>
      </c>
      <c r="U18" s="52"/>
      <c r="V18" s="51">
        <f t="shared" si="6"/>
        <v>1</v>
      </c>
      <c r="W18" s="52">
        <f t="shared" si="7"/>
        <v>50</v>
      </c>
      <c r="X18" s="35">
        <f t="shared" si="12"/>
        <v>14</v>
      </c>
      <c r="Y18" s="35" t="str">
        <f t="shared" si="8"/>
        <v>N</v>
      </c>
      <c r="Z18" s="19" t="str">
        <f t="shared" si="9"/>
        <v/>
      </c>
    </row>
    <row r="19">
      <c r="A19" s="35">
        <f t="shared" si="10"/>
        <v>15</v>
      </c>
      <c r="B19" s="36" t="s">
        <v>152</v>
      </c>
      <c r="C19" s="37">
        <v>14.0</v>
      </c>
      <c r="D19" s="37">
        <v>2.0</v>
      </c>
      <c r="E19" s="40">
        <f t="shared" si="2"/>
        <v>7</v>
      </c>
      <c r="F19" s="90">
        <v>1.0</v>
      </c>
      <c r="G19" s="91">
        <v>3.0</v>
      </c>
      <c r="H19" s="92">
        <v>0.0</v>
      </c>
      <c r="I19" s="91">
        <v>3.0</v>
      </c>
      <c r="J19" s="91">
        <v>0.0</v>
      </c>
      <c r="K19" s="91">
        <v>3.0</v>
      </c>
      <c r="L19" s="93">
        <v>6.0</v>
      </c>
      <c r="M19" s="91">
        <v>0.0</v>
      </c>
      <c r="N19" s="37">
        <f t="shared" ref="N19:O19" si="24">C19+L19</f>
        <v>20</v>
      </c>
      <c r="O19" s="37">
        <f t="shared" si="24"/>
        <v>2</v>
      </c>
      <c r="P19" s="49" t="s">
        <v>57</v>
      </c>
      <c r="Q19" s="49" t="s">
        <v>57</v>
      </c>
      <c r="R19" s="49" t="s">
        <v>57</v>
      </c>
      <c r="S19" s="51">
        <f t="shared" si="4"/>
        <v>2</v>
      </c>
      <c r="T19" s="52">
        <f t="shared" si="5"/>
        <v>0</v>
      </c>
      <c r="U19" s="52"/>
      <c r="V19" s="51">
        <f t="shared" si="6"/>
        <v>0</v>
      </c>
      <c r="W19" s="52">
        <f t="shared" si="7"/>
        <v>-8</v>
      </c>
      <c r="X19" s="35">
        <f t="shared" si="12"/>
        <v>15</v>
      </c>
      <c r="Y19" s="35" t="str">
        <f t="shared" si="8"/>
        <v>Y</v>
      </c>
      <c r="Z19" s="19" t="str">
        <f t="shared" si="9"/>
        <v/>
      </c>
    </row>
    <row r="20">
      <c r="A20" s="35">
        <f t="shared" si="10"/>
        <v>16</v>
      </c>
      <c r="B20" s="36" t="s">
        <v>139</v>
      </c>
      <c r="C20" s="37">
        <v>14.0</v>
      </c>
      <c r="D20" s="37">
        <v>2.0</v>
      </c>
      <c r="E20" s="40">
        <f t="shared" si="2"/>
        <v>7</v>
      </c>
      <c r="F20" s="90">
        <v>1.0</v>
      </c>
      <c r="G20" s="91">
        <v>3.0</v>
      </c>
      <c r="H20" s="92">
        <v>0.0</v>
      </c>
      <c r="I20" s="91">
        <v>3.0</v>
      </c>
      <c r="J20" s="91">
        <v>6.0</v>
      </c>
      <c r="K20" s="91">
        <v>6.0</v>
      </c>
      <c r="L20" s="93">
        <v>15.0</v>
      </c>
      <c r="M20" s="91">
        <v>2.0</v>
      </c>
      <c r="N20" s="37">
        <f t="shared" ref="N20:O20" si="25">C20+L20</f>
        <v>29</v>
      </c>
      <c r="O20" s="37">
        <f t="shared" si="25"/>
        <v>4</v>
      </c>
      <c r="P20" s="49" t="s">
        <v>57</v>
      </c>
      <c r="Q20" s="49" t="s">
        <v>57</v>
      </c>
      <c r="R20" s="49" t="s">
        <v>57</v>
      </c>
      <c r="S20" s="51">
        <f t="shared" si="4"/>
        <v>2</v>
      </c>
      <c r="T20" s="52">
        <f t="shared" si="5"/>
        <v>0</v>
      </c>
      <c r="U20" s="52"/>
      <c r="V20" s="51">
        <f t="shared" si="6"/>
        <v>0</v>
      </c>
      <c r="W20" s="52">
        <f t="shared" si="7"/>
        <v>22</v>
      </c>
      <c r="X20" s="35">
        <f t="shared" si="12"/>
        <v>16</v>
      </c>
      <c r="Y20" s="35" t="str">
        <f t="shared" si="8"/>
        <v>Y</v>
      </c>
      <c r="Z20" s="19" t="str">
        <f t="shared" si="9"/>
        <v/>
      </c>
    </row>
    <row r="21">
      <c r="A21" s="35">
        <f t="shared" si="10"/>
        <v>17</v>
      </c>
      <c r="B21" s="36" t="s">
        <v>100</v>
      </c>
      <c r="C21" s="37">
        <v>14.0</v>
      </c>
      <c r="D21" s="37">
        <v>2.0</v>
      </c>
      <c r="E21" s="40">
        <f t="shared" si="2"/>
        <v>7</v>
      </c>
      <c r="F21" s="90">
        <v>1.0</v>
      </c>
      <c r="G21" s="91">
        <v>3.0</v>
      </c>
      <c r="H21" s="92">
        <v>0.0</v>
      </c>
      <c r="I21" s="91">
        <v>6.0</v>
      </c>
      <c r="J21" s="91">
        <v>6.0</v>
      </c>
      <c r="K21" s="91">
        <v>3.0</v>
      </c>
      <c r="L21" s="93">
        <v>15.0</v>
      </c>
      <c r="M21" s="91">
        <v>2.0</v>
      </c>
      <c r="N21" s="37">
        <f t="shared" ref="N21:O21" si="26">C21+L21</f>
        <v>29</v>
      </c>
      <c r="O21" s="37">
        <f t="shared" si="26"/>
        <v>4</v>
      </c>
      <c r="P21" s="49" t="s">
        <v>57</v>
      </c>
      <c r="Q21" s="49" t="s">
        <v>57</v>
      </c>
      <c r="R21" s="49" t="s">
        <v>57</v>
      </c>
      <c r="S21" s="51">
        <f t="shared" si="4"/>
        <v>2</v>
      </c>
      <c r="T21" s="52">
        <f t="shared" si="5"/>
        <v>0</v>
      </c>
      <c r="U21" s="52"/>
      <c r="V21" s="51">
        <f t="shared" si="6"/>
        <v>0</v>
      </c>
      <c r="W21" s="52">
        <f t="shared" si="7"/>
        <v>36</v>
      </c>
      <c r="X21" s="35">
        <f t="shared" si="12"/>
        <v>17</v>
      </c>
      <c r="Y21" s="35" t="str">
        <f t="shared" si="8"/>
        <v>Y</v>
      </c>
      <c r="Z21" s="19" t="str">
        <f t="shared" si="9"/>
        <v/>
      </c>
    </row>
    <row r="22">
      <c r="A22" s="35">
        <f t="shared" si="10"/>
        <v>18</v>
      </c>
      <c r="B22" s="36" t="s">
        <v>99</v>
      </c>
      <c r="C22" s="37">
        <v>14.0</v>
      </c>
      <c r="D22" s="37">
        <v>2.0</v>
      </c>
      <c r="E22" s="40">
        <f t="shared" si="2"/>
        <v>7</v>
      </c>
      <c r="F22" s="90">
        <v>2.0</v>
      </c>
      <c r="G22" s="91">
        <v>4.0</v>
      </c>
      <c r="H22" s="92">
        <v>0.0</v>
      </c>
      <c r="I22" s="91">
        <v>6.0</v>
      </c>
      <c r="J22" s="91">
        <v>5.0</v>
      </c>
      <c r="K22" s="91">
        <v>6.0</v>
      </c>
      <c r="L22" s="93">
        <v>17.0</v>
      </c>
      <c r="M22" s="91">
        <v>1.0</v>
      </c>
      <c r="N22" s="37">
        <f t="shared" ref="N22:O22" si="27">C22+L22</f>
        <v>31</v>
      </c>
      <c r="O22" s="37">
        <f t="shared" si="27"/>
        <v>3</v>
      </c>
      <c r="P22" s="49" t="s">
        <v>57</v>
      </c>
      <c r="Q22" s="49" t="s">
        <v>57</v>
      </c>
      <c r="R22" s="49" t="s">
        <v>57</v>
      </c>
      <c r="S22" s="51">
        <f t="shared" si="4"/>
        <v>2</v>
      </c>
      <c r="T22" s="52">
        <f t="shared" si="5"/>
        <v>0</v>
      </c>
      <c r="U22" s="52"/>
      <c r="V22" s="51">
        <f t="shared" si="6"/>
        <v>0</v>
      </c>
      <c r="W22" s="52">
        <f t="shared" si="7"/>
        <v>36</v>
      </c>
      <c r="X22" s="35">
        <f t="shared" si="12"/>
        <v>18</v>
      </c>
      <c r="Y22" s="35" t="str">
        <f t="shared" si="8"/>
        <v>Y</v>
      </c>
      <c r="Z22" s="19" t="str">
        <f t="shared" si="9"/>
        <v/>
      </c>
    </row>
    <row r="23">
      <c r="A23" s="35">
        <f t="shared" si="10"/>
        <v>19</v>
      </c>
      <c r="B23" s="36" t="s">
        <v>118</v>
      </c>
      <c r="C23" s="37">
        <v>14.0</v>
      </c>
      <c r="D23" s="37">
        <v>1.0</v>
      </c>
      <c r="E23" s="40">
        <f t="shared" si="2"/>
        <v>7</v>
      </c>
      <c r="F23" s="90">
        <v>1.0</v>
      </c>
      <c r="G23" s="91">
        <v>4.0</v>
      </c>
      <c r="H23" s="92">
        <v>0.0</v>
      </c>
      <c r="I23" s="91">
        <v>2.0</v>
      </c>
      <c r="J23" s="91">
        <v>7.0</v>
      </c>
      <c r="K23" s="91">
        <v>6.0</v>
      </c>
      <c r="L23" s="93">
        <v>15.0</v>
      </c>
      <c r="M23" s="91">
        <v>1.0</v>
      </c>
      <c r="N23" s="37">
        <f t="shared" ref="N23:O23" si="28">C23+L23</f>
        <v>29</v>
      </c>
      <c r="O23" s="37">
        <f t="shared" si="28"/>
        <v>2</v>
      </c>
      <c r="P23" s="49" t="s">
        <v>57</v>
      </c>
      <c r="Q23" s="49" t="s">
        <v>57</v>
      </c>
      <c r="R23" s="49" t="s">
        <v>57</v>
      </c>
      <c r="S23" s="51">
        <f t="shared" si="4"/>
        <v>2</v>
      </c>
      <c r="T23" s="52">
        <f t="shared" si="5"/>
        <v>0</v>
      </c>
      <c r="U23" s="52"/>
      <c r="V23" s="51">
        <f t="shared" si="6"/>
        <v>0</v>
      </c>
      <c r="W23" s="52">
        <f t="shared" si="7"/>
        <v>0</v>
      </c>
      <c r="X23" s="35">
        <f t="shared" si="12"/>
        <v>19</v>
      </c>
      <c r="Y23" s="35" t="str">
        <f t="shared" si="8"/>
        <v>Y</v>
      </c>
      <c r="Z23" s="19" t="str">
        <f t="shared" si="9"/>
        <v/>
      </c>
    </row>
    <row r="24">
      <c r="A24" s="35">
        <f t="shared" si="10"/>
        <v>20</v>
      </c>
      <c r="B24" s="36" t="s">
        <v>140</v>
      </c>
      <c r="C24" s="37">
        <v>14.0</v>
      </c>
      <c r="D24" s="37">
        <v>1.0</v>
      </c>
      <c r="E24" s="40">
        <f t="shared" si="2"/>
        <v>7</v>
      </c>
      <c r="F24" s="90">
        <v>1.0</v>
      </c>
      <c r="G24" s="91">
        <v>4.0</v>
      </c>
      <c r="H24" s="92">
        <v>0.0</v>
      </c>
      <c r="I24" s="91">
        <v>2.0</v>
      </c>
      <c r="J24" s="91">
        <v>5.0</v>
      </c>
      <c r="K24" s="91">
        <v>7.0</v>
      </c>
      <c r="L24" s="93">
        <v>14.0</v>
      </c>
      <c r="M24" s="91">
        <v>1.0</v>
      </c>
      <c r="N24" s="37">
        <f t="shared" ref="N24:O24" si="29">C24+L24</f>
        <v>28</v>
      </c>
      <c r="O24" s="37">
        <f t="shared" si="29"/>
        <v>2</v>
      </c>
      <c r="P24" s="49" t="s">
        <v>57</v>
      </c>
      <c r="Q24" s="49" t="s">
        <v>57</v>
      </c>
      <c r="R24" s="49" t="s">
        <v>57</v>
      </c>
      <c r="S24" s="51">
        <f t="shared" si="4"/>
        <v>2</v>
      </c>
      <c r="T24" s="52">
        <f t="shared" si="5"/>
        <v>0</v>
      </c>
      <c r="U24" s="52"/>
      <c r="V24" s="51">
        <f t="shared" si="6"/>
        <v>0</v>
      </c>
      <c r="W24" s="52">
        <f t="shared" si="7"/>
        <v>2</v>
      </c>
      <c r="X24" s="35">
        <f t="shared" si="12"/>
        <v>20</v>
      </c>
      <c r="Y24" s="35" t="str">
        <f t="shared" si="8"/>
        <v>Y</v>
      </c>
      <c r="Z24" s="19" t="str">
        <f t="shared" si="9"/>
        <v/>
      </c>
    </row>
    <row r="25">
      <c r="A25" s="35">
        <f t="shared" si="10"/>
        <v>21</v>
      </c>
      <c r="B25" s="36" t="s">
        <v>97</v>
      </c>
      <c r="C25" s="37">
        <v>14.0</v>
      </c>
      <c r="D25" s="37">
        <v>1.0</v>
      </c>
      <c r="E25" s="40">
        <f t="shared" si="2"/>
        <v>5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23</v>
      </c>
      <c r="O25" s="37">
        <f t="shared" si="30"/>
        <v>1</v>
      </c>
      <c r="P25" s="49" t="s">
        <v>57</v>
      </c>
      <c r="Q25" s="49" t="s">
        <v>57</v>
      </c>
      <c r="R25" s="49" t="s">
        <v>57</v>
      </c>
      <c r="S25" s="51">
        <f t="shared" si="4"/>
        <v>1</v>
      </c>
      <c r="T25" s="52">
        <f t="shared" si="5"/>
        <v>0</v>
      </c>
      <c r="U25" s="52"/>
      <c r="V25" s="51">
        <f t="shared" si="6"/>
        <v>1</v>
      </c>
      <c r="W25" s="52">
        <f t="shared" si="7"/>
        <v>11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126</v>
      </c>
      <c r="C26" s="37">
        <v>14.0</v>
      </c>
      <c r="D26" s="37">
        <v>1.0</v>
      </c>
      <c r="E26" s="40">
        <f t="shared" si="2"/>
        <v>5</v>
      </c>
      <c r="F26" s="90">
        <v>0.0</v>
      </c>
      <c r="G26" s="91">
        <v>0.0</v>
      </c>
      <c r="H26" s="92">
        <v>9.0</v>
      </c>
      <c r="I26" s="91">
        <v>0.0</v>
      </c>
      <c r="J26" s="91">
        <v>0.0</v>
      </c>
      <c r="K26" s="91">
        <v>0.0</v>
      </c>
      <c r="L26" s="93">
        <v>9.0</v>
      </c>
      <c r="M26" s="91">
        <v>0.0</v>
      </c>
      <c r="N26" s="37">
        <f t="shared" ref="N26:O26" si="31">C26+L26</f>
        <v>23</v>
      </c>
      <c r="O26" s="37">
        <f t="shared" si="31"/>
        <v>1</v>
      </c>
      <c r="P26" s="49" t="s">
        <v>57</v>
      </c>
      <c r="Q26" s="49" t="s">
        <v>57</v>
      </c>
      <c r="R26" s="49" t="s">
        <v>57</v>
      </c>
      <c r="S26" s="51">
        <f t="shared" si="4"/>
        <v>1</v>
      </c>
      <c r="T26" s="52">
        <f t="shared" si="5"/>
        <v>0</v>
      </c>
      <c r="U26" s="52"/>
      <c r="V26" s="51">
        <f t="shared" si="6"/>
        <v>1</v>
      </c>
      <c r="W26" s="52">
        <f t="shared" si="7"/>
        <v>36</v>
      </c>
      <c r="X26" s="35">
        <f t="shared" si="12"/>
        <v>22</v>
      </c>
      <c r="Y26" s="35" t="str">
        <f t="shared" si="8"/>
        <v>N</v>
      </c>
      <c r="Z26" s="19" t="str">
        <f t="shared" si="9"/>
        <v/>
      </c>
    </row>
    <row r="27">
      <c r="A27" s="35">
        <f t="shared" si="10"/>
        <v>23</v>
      </c>
      <c r="B27" s="36" t="s">
        <v>147</v>
      </c>
      <c r="C27" s="37">
        <v>14.0</v>
      </c>
      <c r="D27" s="37">
        <v>1.0</v>
      </c>
      <c r="E27" s="40">
        <f t="shared" si="2"/>
        <v>5</v>
      </c>
      <c r="F27" s="90">
        <v>3.0</v>
      </c>
      <c r="G27" s="91">
        <v>0.0</v>
      </c>
      <c r="H27" s="92">
        <v>9.0</v>
      </c>
      <c r="I27" s="91">
        <v>0.0</v>
      </c>
      <c r="J27" s="91">
        <v>0.0</v>
      </c>
      <c r="K27" s="91">
        <v>0.0</v>
      </c>
      <c r="L27" s="93">
        <v>9.0</v>
      </c>
      <c r="M27" s="91">
        <v>0.0</v>
      </c>
      <c r="N27" s="37">
        <f t="shared" ref="N27:O27" si="32">C27+L27</f>
        <v>23</v>
      </c>
      <c r="O27" s="37">
        <f t="shared" si="32"/>
        <v>1</v>
      </c>
      <c r="P27" s="49" t="s">
        <v>57</v>
      </c>
      <c r="Q27" s="49" t="s">
        <v>57</v>
      </c>
      <c r="R27" s="49" t="s">
        <v>57</v>
      </c>
      <c r="S27" s="51">
        <f t="shared" si="4"/>
        <v>1</v>
      </c>
      <c r="T27" s="52">
        <f t="shared" si="5"/>
        <v>0</v>
      </c>
      <c r="U27" s="52"/>
      <c r="V27" s="51">
        <f t="shared" si="6"/>
        <v>1</v>
      </c>
      <c r="W27" s="52">
        <f t="shared" si="7"/>
        <v>38</v>
      </c>
      <c r="X27" s="35">
        <f t="shared" si="12"/>
        <v>23</v>
      </c>
      <c r="Y27" s="35" t="str">
        <f t="shared" si="8"/>
        <v>N</v>
      </c>
      <c r="Z27" s="19" t="str">
        <f t="shared" si="9"/>
        <v/>
      </c>
    </row>
    <row r="28">
      <c r="A28" s="35">
        <f t="shared" si="10"/>
        <v>24</v>
      </c>
      <c r="B28" s="36" t="s">
        <v>115</v>
      </c>
      <c r="C28" s="37">
        <v>14.0</v>
      </c>
      <c r="D28" s="37">
        <v>1.0</v>
      </c>
      <c r="E28" s="40">
        <f t="shared" si="2"/>
        <v>7</v>
      </c>
      <c r="F28" s="90">
        <v>1.0</v>
      </c>
      <c r="G28" s="91">
        <v>4.0</v>
      </c>
      <c r="H28" s="92">
        <v>0.0</v>
      </c>
      <c r="I28" s="91">
        <v>6.0</v>
      </c>
      <c r="J28" s="91">
        <v>7.0</v>
      </c>
      <c r="K28" s="91">
        <v>7.0</v>
      </c>
      <c r="L28" s="93">
        <v>20.0</v>
      </c>
      <c r="M28" s="91">
        <v>3.0</v>
      </c>
      <c r="N28" s="37">
        <f t="shared" ref="N28:O28" si="33">C28+L28</f>
        <v>34</v>
      </c>
      <c r="O28" s="37">
        <f t="shared" si="33"/>
        <v>4</v>
      </c>
      <c r="P28" s="49" t="s">
        <v>57</v>
      </c>
      <c r="Q28" s="49" t="s">
        <v>57</v>
      </c>
      <c r="R28" s="49" t="s">
        <v>57</v>
      </c>
      <c r="S28" s="51">
        <f t="shared" si="4"/>
        <v>2</v>
      </c>
      <c r="T28" s="52">
        <f t="shared" si="5"/>
        <v>0</v>
      </c>
      <c r="U28" s="52"/>
      <c r="V28" s="51">
        <f t="shared" si="6"/>
        <v>0</v>
      </c>
      <c r="W28" s="52">
        <f t="shared" si="7"/>
        <v>38</v>
      </c>
      <c r="X28" s="35">
        <f t="shared" si="12"/>
        <v>24</v>
      </c>
      <c r="Y28" s="35" t="str">
        <f t="shared" si="8"/>
        <v>Y</v>
      </c>
      <c r="Z28" s="19" t="str">
        <f t="shared" si="9"/>
        <v/>
      </c>
    </row>
    <row r="29">
      <c r="A29" s="35">
        <f t="shared" si="10"/>
        <v>25</v>
      </c>
      <c r="B29" s="36" t="s">
        <v>89</v>
      </c>
      <c r="C29" s="37">
        <v>14.0</v>
      </c>
      <c r="D29" s="37">
        <v>1.0</v>
      </c>
      <c r="E29" s="40">
        <f t="shared" si="2"/>
        <v>7</v>
      </c>
      <c r="F29" s="90">
        <v>2.0</v>
      </c>
      <c r="G29" s="91">
        <v>5.0</v>
      </c>
      <c r="H29" s="92">
        <v>0.0</v>
      </c>
      <c r="I29" s="91">
        <v>6.0</v>
      </c>
      <c r="J29" s="91">
        <v>6.0</v>
      </c>
      <c r="K29" s="91">
        <v>6.0</v>
      </c>
      <c r="L29" s="93">
        <v>18.0</v>
      </c>
      <c r="M29" s="91">
        <v>3.0</v>
      </c>
      <c r="N29" s="37">
        <f t="shared" ref="N29:O29" si="34">C29+L29</f>
        <v>32</v>
      </c>
      <c r="O29" s="37">
        <f t="shared" si="34"/>
        <v>4</v>
      </c>
      <c r="P29" s="49" t="s">
        <v>57</v>
      </c>
      <c r="Q29" s="49" t="s">
        <v>57</v>
      </c>
      <c r="R29" s="49" t="s">
        <v>57</v>
      </c>
      <c r="S29" s="51">
        <f t="shared" si="4"/>
        <v>2</v>
      </c>
      <c r="T29" s="52">
        <f t="shared" si="5"/>
        <v>0</v>
      </c>
      <c r="U29" s="52"/>
      <c r="V29" s="51">
        <f t="shared" si="6"/>
        <v>0</v>
      </c>
      <c r="W29" s="52">
        <f t="shared" si="7"/>
        <v>46</v>
      </c>
      <c r="X29" s="35">
        <f t="shared" si="12"/>
        <v>25</v>
      </c>
      <c r="Y29" s="35" t="str">
        <f t="shared" si="8"/>
        <v>Y</v>
      </c>
      <c r="Z29" s="19" t="str">
        <f t="shared" si="9"/>
        <v/>
      </c>
    </row>
    <row r="30">
      <c r="A30" s="35">
        <f t="shared" si="10"/>
        <v>26</v>
      </c>
      <c r="B30" s="36" t="s">
        <v>151</v>
      </c>
      <c r="C30" s="37">
        <v>13.0</v>
      </c>
      <c r="D30" s="37">
        <v>2.0</v>
      </c>
      <c r="E30" s="40">
        <f t="shared" si="2"/>
        <v>6.5</v>
      </c>
      <c r="F30" s="90">
        <v>1.0</v>
      </c>
      <c r="G30" s="91">
        <v>5.0</v>
      </c>
      <c r="H30" s="92">
        <v>0.0</v>
      </c>
      <c r="I30" s="91">
        <v>2.0</v>
      </c>
      <c r="J30" s="91">
        <v>2.0</v>
      </c>
      <c r="K30" s="91">
        <v>6.0</v>
      </c>
      <c r="L30" s="93">
        <v>10.0</v>
      </c>
      <c r="M30" s="91">
        <v>1.0</v>
      </c>
      <c r="N30" s="37">
        <f t="shared" ref="N30:O30" si="35">C30+L30</f>
        <v>23</v>
      </c>
      <c r="O30" s="37">
        <f t="shared" si="35"/>
        <v>3</v>
      </c>
      <c r="P30" s="49" t="s">
        <v>57</v>
      </c>
      <c r="Q30" s="49" t="s">
        <v>57</v>
      </c>
      <c r="R30" s="49" t="s">
        <v>57</v>
      </c>
      <c r="S30" s="51">
        <f t="shared" si="4"/>
        <v>2</v>
      </c>
      <c r="T30" s="52">
        <f t="shared" si="5"/>
        <v>0</v>
      </c>
      <c r="U30" s="52"/>
      <c r="V30" s="51">
        <f t="shared" si="6"/>
        <v>0</v>
      </c>
      <c r="W30" s="52">
        <f t="shared" si="7"/>
        <v>13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145</v>
      </c>
      <c r="C31" s="37">
        <v>13.0</v>
      </c>
      <c r="D31" s="37">
        <v>2.0</v>
      </c>
      <c r="E31" s="40">
        <f t="shared" si="2"/>
        <v>6.5</v>
      </c>
      <c r="F31" s="90">
        <v>1.0</v>
      </c>
      <c r="G31" s="91">
        <v>5.0</v>
      </c>
      <c r="H31" s="92">
        <v>0.0</v>
      </c>
      <c r="I31" s="91">
        <v>2.0</v>
      </c>
      <c r="J31" s="91">
        <v>6.0</v>
      </c>
      <c r="K31" s="91">
        <v>1.0</v>
      </c>
      <c r="L31" s="93">
        <v>9.0</v>
      </c>
      <c r="M31" s="91">
        <v>1.0</v>
      </c>
      <c r="N31" s="37">
        <f t="shared" ref="N31:O31" si="36">C31+L31</f>
        <v>22</v>
      </c>
      <c r="O31" s="37">
        <f t="shared" si="36"/>
        <v>3</v>
      </c>
      <c r="P31" s="49" t="s">
        <v>57</v>
      </c>
      <c r="Q31" s="49" t="s">
        <v>57</v>
      </c>
      <c r="R31" s="49" t="s">
        <v>57</v>
      </c>
      <c r="S31" s="51">
        <f t="shared" si="4"/>
        <v>2</v>
      </c>
      <c r="T31" s="52">
        <f t="shared" si="5"/>
        <v>0</v>
      </c>
      <c r="U31" s="52"/>
      <c r="V31" s="51">
        <f t="shared" si="6"/>
        <v>0</v>
      </c>
      <c r="W31" s="52">
        <f t="shared" si="7"/>
        <v>17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110</v>
      </c>
      <c r="C32" s="37">
        <v>13.0</v>
      </c>
      <c r="D32" s="37">
        <v>1.0</v>
      </c>
      <c r="E32" s="40">
        <f t="shared" si="2"/>
        <v>6.5</v>
      </c>
      <c r="F32" s="90">
        <v>1.0</v>
      </c>
      <c r="G32" s="91">
        <v>5.0</v>
      </c>
      <c r="H32" s="92">
        <v>0.0</v>
      </c>
      <c r="I32" s="91">
        <v>6.0</v>
      </c>
      <c r="J32" s="91">
        <v>2.0</v>
      </c>
      <c r="K32" s="91">
        <v>1.0</v>
      </c>
      <c r="L32" s="93">
        <v>9.0</v>
      </c>
      <c r="M32" s="91">
        <v>1.0</v>
      </c>
      <c r="N32" s="37">
        <f t="shared" ref="N32:O32" si="37">C32+L32</f>
        <v>22</v>
      </c>
      <c r="O32" s="37">
        <f t="shared" si="37"/>
        <v>2</v>
      </c>
      <c r="P32" s="49" t="s">
        <v>57</v>
      </c>
      <c r="Q32" s="49" t="s">
        <v>57</v>
      </c>
      <c r="R32" s="49" t="s">
        <v>57</v>
      </c>
      <c r="S32" s="51">
        <f t="shared" si="4"/>
        <v>2</v>
      </c>
      <c r="T32" s="52">
        <f t="shared" si="5"/>
        <v>0</v>
      </c>
      <c r="U32" s="52"/>
      <c r="V32" s="51">
        <f t="shared" si="6"/>
        <v>0</v>
      </c>
      <c r="W32" s="52">
        <f t="shared" si="7"/>
        <v>8</v>
      </c>
      <c r="X32" s="35">
        <f t="shared" si="12"/>
        <v>28</v>
      </c>
      <c r="Y32" s="35" t="str">
        <f t="shared" si="8"/>
        <v>Y</v>
      </c>
      <c r="Z32" s="19" t="str">
        <f t="shared" si="9"/>
        <v/>
      </c>
    </row>
    <row r="33">
      <c r="A33" s="35">
        <f t="shared" si="10"/>
        <v>29</v>
      </c>
      <c r="B33" s="36" t="s">
        <v>64</v>
      </c>
      <c r="C33" s="37">
        <v>13.0</v>
      </c>
      <c r="D33" s="37">
        <v>1.0</v>
      </c>
      <c r="E33" s="40">
        <f t="shared" si="2"/>
        <v>6.5</v>
      </c>
      <c r="F33" s="90">
        <v>1.0</v>
      </c>
      <c r="G33" s="91">
        <v>6.0</v>
      </c>
      <c r="H33" s="92">
        <v>0.0</v>
      </c>
      <c r="I33" s="91">
        <v>1.0</v>
      </c>
      <c r="J33" s="91">
        <v>6.0</v>
      </c>
      <c r="K33" s="91">
        <v>4.0</v>
      </c>
      <c r="L33" s="93">
        <v>11.0</v>
      </c>
      <c r="M33" s="91">
        <v>1.0</v>
      </c>
      <c r="N33" s="37">
        <f t="shared" ref="N33:O33" si="38">C33+L33</f>
        <v>24</v>
      </c>
      <c r="O33" s="37">
        <f t="shared" si="38"/>
        <v>2</v>
      </c>
      <c r="P33" s="49" t="s">
        <v>57</v>
      </c>
      <c r="Q33" s="49" t="s">
        <v>57</v>
      </c>
      <c r="R33" s="49" t="s">
        <v>57</v>
      </c>
      <c r="S33" s="51">
        <f t="shared" si="4"/>
        <v>2</v>
      </c>
      <c r="T33" s="52">
        <f t="shared" si="5"/>
        <v>0</v>
      </c>
      <c r="U33" s="52"/>
      <c r="V33" s="51">
        <f t="shared" si="6"/>
        <v>0</v>
      </c>
      <c r="W33" s="52">
        <f t="shared" si="7"/>
        <v>8</v>
      </c>
      <c r="X33" s="35">
        <f t="shared" si="12"/>
        <v>29</v>
      </c>
      <c r="Y33" s="35" t="str">
        <f t="shared" si="8"/>
        <v>Y</v>
      </c>
      <c r="Z33" s="19" t="str">
        <f t="shared" si="9"/>
        <v/>
      </c>
    </row>
    <row r="34">
      <c r="A34" s="35">
        <f t="shared" si="10"/>
        <v>30</v>
      </c>
      <c r="B34" s="36" t="s">
        <v>63</v>
      </c>
      <c r="C34" s="37">
        <v>13.0</v>
      </c>
      <c r="D34" s="37">
        <v>1.0</v>
      </c>
      <c r="E34" s="40">
        <f t="shared" si="2"/>
        <v>4</v>
      </c>
      <c r="F34" s="90">
        <v>3.0</v>
      </c>
      <c r="G34" s="91">
        <v>0.0</v>
      </c>
      <c r="H34" s="92">
        <v>9.0</v>
      </c>
      <c r="I34" s="91">
        <v>0.0</v>
      </c>
      <c r="J34" s="91">
        <v>0.0</v>
      </c>
      <c r="K34" s="91">
        <v>0.0</v>
      </c>
      <c r="L34" s="93">
        <v>9.0</v>
      </c>
      <c r="M34" s="91">
        <v>0.0</v>
      </c>
      <c r="N34" s="37">
        <f t="shared" ref="N34:O34" si="39">C34+L34</f>
        <v>22</v>
      </c>
      <c r="O34" s="37">
        <f t="shared" si="39"/>
        <v>1</v>
      </c>
      <c r="P34" s="49" t="s">
        <v>57</v>
      </c>
      <c r="Q34" s="49" t="s">
        <v>57</v>
      </c>
      <c r="R34" s="49" t="s">
        <v>57</v>
      </c>
      <c r="S34" s="51">
        <f t="shared" si="4"/>
        <v>1</v>
      </c>
      <c r="T34" s="52">
        <f t="shared" si="5"/>
        <v>0</v>
      </c>
      <c r="U34" s="52"/>
      <c r="V34" s="51">
        <f t="shared" si="6"/>
        <v>1</v>
      </c>
      <c r="W34" s="52">
        <f t="shared" si="7"/>
        <v>15</v>
      </c>
      <c r="X34" s="35">
        <f t="shared" si="12"/>
        <v>30</v>
      </c>
      <c r="Y34" s="35" t="str">
        <f t="shared" si="8"/>
        <v>N</v>
      </c>
      <c r="Z34" s="19" t="str">
        <f t="shared" si="9"/>
        <v/>
      </c>
    </row>
    <row r="35">
      <c r="A35" s="35">
        <f t="shared" si="10"/>
        <v>31</v>
      </c>
      <c r="B35" s="36" t="s">
        <v>77</v>
      </c>
      <c r="C35" s="37">
        <v>13.0</v>
      </c>
      <c r="D35" s="37">
        <v>1.0</v>
      </c>
      <c r="E35" s="40">
        <f t="shared" si="2"/>
        <v>6.5</v>
      </c>
      <c r="F35" s="90">
        <v>1.0</v>
      </c>
      <c r="G35" s="91">
        <v>6.0</v>
      </c>
      <c r="H35" s="92">
        <v>0.0</v>
      </c>
      <c r="I35" s="91">
        <v>6.0</v>
      </c>
      <c r="J35" s="91">
        <v>6.0</v>
      </c>
      <c r="K35" s="91">
        <v>6.0</v>
      </c>
      <c r="L35" s="93">
        <v>18.0</v>
      </c>
      <c r="M35" s="91">
        <v>3.0</v>
      </c>
      <c r="N35" s="37">
        <f t="shared" ref="N35:O35" si="40">C35+L35</f>
        <v>31</v>
      </c>
      <c r="O35" s="37">
        <f t="shared" si="40"/>
        <v>4</v>
      </c>
      <c r="P35" s="49" t="s">
        <v>57</v>
      </c>
      <c r="Q35" s="49" t="s">
        <v>57</v>
      </c>
      <c r="R35" s="49" t="s">
        <v>57</v>
      </c>
      <c r="S35" s="51">
        <f t="shared" si="4"/>
        <v>2</v>
      </c>
      <c r="T35" s="52">
        <f t="shared" si="5"/>
        <v>0</v>
      </c>
      <c r="U35" s="52"/>
      <c r="V35" s="51">
        <f t="shared" si="6"/>
        <v>0</v>
      </c>
      <c r="W35" s="52">
        <f t="shared" si="7"/>
        <v>15</v>
      </c>
      <c r="X35" s="35">
        <f t="shared" si="12"/>
        <v>31</v>
      </c>
      <c r="Y35" s="35" t="str">
        <f t="shared" si="8"/>
        <v>Y</v>
      </c>
      <c r="Z35" s="19" t="str">
        <f t="shared" si="9"/>
        <v/>
      </c>
    </row>
    <row r="36">
      <c r="A36" s="35">
        <f t="shared" si="10"/>
        <v>32</v>
      </c>
      <c r="B36" s="36" t="s">
        <v>149</v>
      </c>
      <c r="C36" s="37">
        <v>12.0</v>
      </c>
      <c r="D36" s="37">
        <v>2.0</v>
      </c>
      <c r="E36" s="40">
        <f t="shared" si="2"/>
        <v>6</v>
      </c>
      <c r="F36" s="90">
        <v>1.0</v>
      </c>
      <c r="G36" s="91">
        <v>6.0</v>
      </c>
      <c r="H36" s="92">
        <v>0.0</v>
      </c>
      <c r="I36" s="91">
        <v>1.0</v>
      </c>
      <c r="J36" s="91">
        <v>2.0</v>
      </c>
      <c r="K36" s="91">
        <v>6.0</v>
      </c>
      <c r="L36" s="93">
        <v>9.0</v>
      </c>
      <c r="M36" s="91">
        <v>1.0</v>
      </c>
      <c r="N36" s="37">
        <f t="shared" ref="N36:O36" si="41">C36+L36</f>
        <v>21</v>
      </c>
      <c r="O36" s="37">
        <f t="shared" si="41"/>
        <v>3</v>
      </c>
      <c r="P36" s="49" t="s">
        <v>57</v>
      </c>
      <c r="Q36" s="49" t="s">
        <v>57</v>
      </c>
      <c r="R36" s="49" t="s">
        <v>57</v>
      </c>
      <c r="S36" s="51">
        <f t="shared" si="4"/>
        <v>2</v>
      </c>
      <c r="T36" s="52">
        <f t="shared" si="5"/>
        <v>0</v>
      </c>
      <c r="U36" s="52"/>
      <c r="V36" s="51">
        <f t="shared" si="6"/>
        <v>0</v>
      </c>
      <c r="W36" s="52">
        <f t="shared" si="7"/>
        <v>20</v>
      </c>
      <c r="X36" s="35">
        <f t="shared" si="12"/>
        <v>32</v>
      </c>
      <c r="Y36" s="35" t="str">
        <f t="shared" si="8"/>
        <v>Y</v>
      </c>
      <c r="Z36" s="19" t="str">
        <f t="shared" si="9"/>
        <v/>
      </c>
    </row>
    <row r="37">
      <c r="A37" s="35">
        <f t="shared" si="10"/>
        <v>33</v>
      </c>
      <c r="B37" s="36" t="s">
        <v>109</v>
      </c>
      <c r="C37" s="37">
        <v>12.0</v>
      </c>
      <c r="D37" s="37">
        <v>1.0</v>
      </c>
      <c r="E37" s="40">
        <f t="shared" si="2"/>
        <v>6</v>
      </c>
      <c r="F37" s="90">
        <v>1.0</v>
      </c>
      <c r="G37" s="91">
        <v>6.0</v>
      </c>
      <c r="H37" s="92">
        <v>0.0</v>
      </c>
      <c r="I37" s="91">
        <v>6.0</v>
      </c>
      <c r="J37" s="91">
        <v>2.0</v>
      </c>
      <c r="K37" s="91">
        <v>4.0</v>
      </c>
      <c r="L37" s="93">
        <v>12.0</v>
      </c>
      <c r="M37" s="91">
        <v>1.0</v>
      </c>
      <c r="N37" s="37">
        <f t="shared" ref="N37:O37" si="42">C37+L37</f>
        <v>24</v>
      </c>
      <c r="O37" s="37">
        <f t="shared" si="42"/>
        <v>2</v>
      </c>
      <c r="P37" s="49" t="s">
        <v>57</v>
      </c>
      <c r="Q37" s="49" t="s">
        <v>57</v>
      </c>
      <c r="R37" s="49" t="s">
        <v>57</v>
      </c>
      <c r="S37" s="51">
        <f t="shared" si="4"/>
        <v>2</v>
      </c>
      <c r="T37" s="52">
        <f t="shared" si="5"/>
        <v>0</v>
      </c>
      <c r="U37" s="52"/>
      <c r="V37" s="51">
        <f t="shared" si="6"/>
        <v>0</v>
      </c>
      <c r="W37" s="52">
        <f t="shared" si="7"/>
        <v>36</v>
      </c>
      <c r="X37" s="35">
        <f t="shared" si="12"/>
        <v>33</v>
      </c>
      <c r="Y37" s="35" t="str">
        <f t="shared" si="8"/>
        <v>Y</v>
      </c>
      <c r="Z37" s="19" t="str">
        <f t="shared" si="9"/>
        <v/>
      </c>
    </row>
    <row r="38">
      <c r="A38" s="35">
        <f t="shared" si="10"/>
        <v>34</v>
      </c>
      <c r="B38" s="36" t="s">
        <v>80</v>
      </c>
      <c r="C38" s="37">
        <v>11.0</v>
      </c>
      <c r="D38" s="37">
        <v>1.0</v>
      </c>
      <c r="E38" s="40">
        <f t="shared" si="2"/>
        <v>5.5</v>
      </c>
      <c r="F38" s="90">
        <v>1.0</v>
      </c>
      <c r="G38" s="91">
        <v>7.0</v>
      </c>
      <c r="H38" s="92">
        <v>0.0</v>
      </c>
      <c r="I38" s="91">
        <v>6.0</v>
      </c>
      <c r="J38" s="91">
        <v>4.0</v>
      </c>
      <c r="K38" s="91">
        <v>6.0</v>
      </c>
      <c r="L38" s="93">
        <v>16.0</v>
      </c>
      <c r="M38" s="91">
        <v>2.0</v>
      </c>
      <c r="N38" s="37">
        <f t="shared" ref="N38:O38" si="43">C38+L38</f>
        <v>27</v>
      </c>
      <c r="O38" s="37">
        <f t="shared" si="43"/>
        <v>3</v>
      </c>
      <c r="P38" s="49" t="s">
        <v>57</v>
      </c>
      <c r="Q38" s="49" t="s">
        <v>57</v>
      </c>
      <c r="R38" s="49" t="s">
        <v>57</v>
      </c>
      <c r="S38" s="51">
        <f t="shared" si="4"/>
        <v>2</v>
      </c>
      <c r="T38" s="52">
        <f t="shared" si="5"/>
        <v>0</v>
      </c>
      <c r="U38" s="52"/>
      <c r="V38" s="51">
        <f t="shared" si="6"/>
        <v>0</v>
      </c>
      <c r="W38" s="52">
        <f t="shared" si="7"/>
        <v>33</v>
      </c>
      <c r="X38" s="35">
        <f t="shared" si="12"/>
        <v>34</v>
      </c>
      <c r="Y38" s="35" t="str">
        <f t="shared" si="8"/>
        <v>Y</v>
      </c>
      <c r="Z38" s="19" t="str">
        <f t="shared" si="9"/>
        <v/>
      </c>
    </row>
    <row r="39">
      <c r="A39" s="35">
        <f t="shared" si="10"/>
        <v>35</v>
      </c>
      <c r="B39" s="36" t="s">
        <v>134</v>
      </c>
      <c r="C39" s="37">
        <v>10.0</v>
      </c>
      <c r="D39" s="37">
        <v>1.0</v>
      </c>
      <c r="E39" s="40">
        <f t="shared" si="2"/>
        <v>5</v>
      </c>
      <c r="F39" s="90">
        <v>1.0</v>
      </c>
      <c r="G39" s="91">
        <v>7.0</v>
      </c>
      <c r="H39" s="92">
        <v>0.0</v>
      </c>
      <c r="I39" s="91">
        <v>3.0</v>
      </c>
      <c r="J39" s="91">
        <v>6.0</v>
      </c>
      <c r="K39" s="91">
        <v>6.0</v>
      </c>
      <c r="L39" s="93">
        <v>15.0</v>
      </c>
      <c r="M39" s="91">
        <v>2.0</v>
      </c>
      <c r="N39" s="37">
        <f t="shared" ref="N39:O39" si="44">C39+L39</f>
        <v>25</v>
      </c>
      <c r="O39" s="37">
        <f t="shared" si="44"/>
        <v>3</v>
      </c>
      <c r="P39" s="49" t="s">
        <v>57</v>
      </c>
      <c r="Q39" s="49" t="s">
        <v>57</v>
      </c>
      <c r="R39" s="49" t="s">
        <v>57</v>
      </c>
      <c r="S39" s="51">
        <f t="shared" si="4"/>
        <v>2</v>
      </c>
      <c r="T39" s="52">
        <f t="shared" si="5"/>
        <v>0</v>
      </c>
      <c r="U39" s="52"/>
      <c r="V39" s="51">
        <f t="shared" si="6"/>
        <v>0</v>
      </c>
      <c r="W39" s="52">
        <f t="shared" si="7"/>
        <v>22</v>
      </c>
      <c r="X39" s="35">
        <f t="shared" si="12"/>
        <v>35</v>
      </c>
      <c r="Y39" s="35" t="str">
        <f t="shared" si="8"/>
        <v>Y</v>
      </c>
      <c r="Z39" s="19" t="str">
        <f t="shared" si="9"/>
        <v/>
      </c>
    </row>
    <row r="40">
      <c r="A40" s="35">
        <f t="shared" si="10"/>
        <v>36</v>
      </c>
      <c r="B40" s="36" t="s">
        <v>129</v>
      </c>
      <c r="C40" s="37">
        <v>10.0</v>
      </c>
      <c r="D40" s="37">
        <v>1.0</v>
      </c>
      <c r="E40" s="40">
        <f t="shared" si="2"/>
        <v>1</v>
      </c>
      <c r="F40" s="90">
        <v>3.0</v>
      </c>
      <c r="G40" s="91">
        <v>0.0</v>
      </c>
      <c r="H40" s="92">
        <v>9.0</v>
      </c>
      <c r="I40" s="91">
        <v>0.0</v>
      </c>
      <c r="J40" s="91">
        <v>0.0</v>
      </c>
      <c r="K40" s="91">
        <v>0.0</v>
      </c>
      <c r="L40" s="93">
        <v>9.0</v>
      </c>
      <c r="M40" s="91">
        <v>0.0</v>
      </c>
      <c r="N40" s="37">
        <f t="shared" ref="N40:O40" si="45">C40+L40</f>
        <v>19</v>
      </c>
      <c r="O40" s="37">
        <f t="shared" si="45"/>
        <v>1</v>
      </c>
      <c r="P40" s="49" t="s">
        <v>57</v>
      </c>
      <c r="Q40" s="49" t="s">
        <v>57</v>
      </c>
      <c r="R40" s="49" t="s">
        <v>57</v>
      </c>
      <c r="S40" s="51">
        <f t="shared" si="4"/>
        <v>1</v>
      </c>
      <c r="T40" s="52">
        <f t="shared" si="5"/>
        <v>0</v>
      </c>
      <c r="U40" s="52"/>
      <c r="V40" s="51">
        <f t="shared" si="6"/>
        <v>1</v>
      </c>
      <c r="W40" s="52">
        <f t="shared" si="7"/>
        <v>24</v>
      </c>
      <c r="X40" s="35">
        <f t="shared" si="12"/>
        <v>36</v>
      </c>
      <c r="Y40" s="35" t="str">
        <f t="shared" si="8"/>
        <v>N</v>
      </c>
      <c r="Z40" s="19" t="str">
        <f t="shared" si="9"/>
        <v/>
      </c>
    </row>
    <row r="41">
      <c r="A41" s="35">
        <f t="shared" si="10"/>
        <v>37</v>
      </c>
      <c r="B41" s="36" t="s">
        <v>116</v>
      </c>
      <c r="C41" s="37">
        <v>10.0</v>
      </c>
      <c r="D41" s="37">
        <v>0.0</v>
      </c>
      <c r="E41" s="40">
        <f t="shared" si="2"/>
        <v>5</v>
      </c>
      <c r="F41" s="90">
        <v>1.0</v>
      </c>
      <c r="G41" s="91">
        <v>7.0</v>
      </c>
      <c r="H41" s="92">
        <v>0.0</v>
      </c>
      <c r="I41" s="91">
        <v>3.0</v>
      </c>
      <c r="J41" s="91">
        <v>4.0</v>
      </c>
      <c r="K41" s="91">
        <v>3.0</v>
      </c>
      <c r="L41" s="93">
        <v>10.0</v>
      </c>
      <c r="M41" s="91">
        <v>0.0</v>
      </c>
      <c r="N41" s="37">
        <f t="shared" ref="N41:O41" si="46">C41+L41</f>
        <v>20</v>
      </c>
      <c r="O41" s="37">
        <f t="shared" si="46"/>
        <v>0</v>
      </c>
      <c r="P41" s="49" t="s">
        <v>57</v>
      </c>
      <c r="Q41" s="49" t="s">
        <v>57</v>
      </c>
      <c r="R41" s="49" t="s">
        <v>57</v>
      </c>
      <c r="S41" s="51">
        <f t="shared" si="4"/>
        <v>2</v>
      </c>
      <c r="T41" s="52">
        <f t="shared" si="5"/>
        <v>0</v>
      </c>
      <c r="U41" s="52"/>
      <c r="V41" s="51">
        <f t="shared" si="6"/>
        <v>0</v>
      </c>
      <c r="W41" s="52">
        <f t="shared" si="7"/>
        <v>-23</v>
      </c>
      <c r="X41" s="35">
        <f t="shared" si="12"/>
        <v>37</v>
      </c>
      <c r="Y41" s="35" t="str">
        <f t="shared" si="8"/>
        <v>Y</v>
      </c>
      <c r="Z41" s="19" t="str">
        <f t="shared" si="9"/>
        <v/>
      </c>
    </row>
    <row r="42">
      <c r="A42" s="35">
        <f t="shared" si="10"/>
        <v>38</v>
      </c>
      <c r="B42" s="36" t="s">
        <v>130</v>
      </c>
      <c r="C42" s="37">
        <v>9.0</v>
      </c>
      <c r="D42" s="37">
        <v>1.0</v>
      </c>
      <c r="E42" s="40">
        <f t="shared" si="2"/>
        <v>4.5</v>
      </c>
      <c r="F42" s="90">
        <v>1.0</v>
      </c>
      <c r="G42" s="91">
        <v>7.0</v>
      </c>
      <c r="H42" s="92">
        <v>0.0</v>
      </c>
      <c r="I42" s="91">
        <v>6.0</v>
      </c>
      <c r="J42" s="91">
        <v>6.0</v>
      </c>
      <c r="K42" s="91">
        <v>3.0</v>
      </c>
      <c r="L42" s="93">
        <v>15.0</v>
      </c>
      <c r="M42" s="91">
        <v>2.0</v>
      </c>
      <c r="N42" s="37">
        <f t="shared" ref="N42:O42" si="47">C42+L42</f>
        <v>24</v>
      </c>
      <c r="O42" s="37">
        <f t="shared" si="47"/>
        <v>3</v>
      </c>
      <c r="P42" s="49" t="s">
        <v>57</v>
      </c>
      <c r="Q42" s="49" t="s">
        <v>57</v>
      </c>
      <c r="R42" s="49" t="s">
        <v>57</v>
      </c>
      <c r="S42" s="51">
        <f t="shared" si="4"/>
        <v>2</v>
      </c>
      <c r="T42" s="52">
        <f t="shared" si="5"/>
        <v>0</v>
      </c>
      <c r="U42" s="52"/>
      <c r="V42" s="51">
        <f t="shared" si="6"/>
        <v>0</v>
      </c>
      <c r="W42" s="52">
        <f t="shared" si="7"/>
        <v>10</v>
      </c>
      <c r="X42" s="35">
        <f t="shared" si="12"/>
        <v>38</v>
      </c>
      <c r="Y42" s="35" t="str">
        <f t="shared" si="8"/>
        <v>Y</v>
      </c>
      <c r="Z42" s="19" t="str">
        <f t="shared" si="9"/>
        <v/>
      </c>
    </row>
    <row r="43">
      <c r="A43" s="35">
        <f t="shared" si="10"/>
        <v>39</v>
      </c>
      <c r="B43" s="36" t="s">
        <v>146</v>
      </c>
      <c r="C43" s="37">
        <v>9.0</v>
      </c>
      <c r="D43" s="37">
        <v>0.0</v>
      </c>
      <c r="E43" s="40">
        <f t="shared" si="2"/>
        <v>0</v>
      </c>
      <c r="F43" s="90">
        <v>3.0</v>
      </c>
      <c r="G43" s="91">
        <v>0.0</v>
      </c>
      <c r="H43" s="92">
        <v>9.0</v>
      </c>
      <c r="I43" s="91">
        <v>0.0</v>
      </c>
      <c r="J43" s="91">
        <v>0.0</v>
      </c>
      <c r="K43" s="91">
        <v>0.0</v>
      </c>
      <c r="L43" s="93">
        <v>9.0</v>
      </c>
      <c r="M43" s="91">
        <v>0.0</v>
      </c>
      <c r="N43" s="37">
        <f t="shared" ref="N43:O43" si="48">C43+L43</f>
        <v>18</v>
      </c>
      <c r="O43" s="37">
        <f t="shared" si="48"/>
        <v>0</v>
      </c>
      <c r="P43" s="49" t="s">
        <v>57</v>
      </c>
      <c r="Q43" s="49" t="s">
        <v>57</v>
      </c>
      <c r="R43" s="49" t="s">
        <v>57</v>
      </c>
      <c r="S43" s="51">
        <f t="shared" si="4"/>
        <v>0</v>
      </c>
      <c r="T43" s="52">
        <f t="shared" si="5"/>
        <v>0</v>
      </c>
      <c r="U43" s="52"/>
      <c r="V43" s="51">
        <f t="shared" si="6"/>
        <v>2</v>
      </c>
      <c r="W43" s="52">
        <f t="shared" si="7"/>
        <v>-38</v>
      </c>
      <c r="X43" s="35">
        <f t="shared" si="12"/>
        <v>39</v>
      </c>
      <c r="Y43" s="35" t="str">
        <f t="shared" si="8"/>
        <v>N</v>
      </c>
      <c r="Z43" s="19" t="str">
        <f t="shared" si="9"/>
        <v/>
      </c>
    </row>
    <row r="44">
      <c r="A44" s="35">
        <f t="shared" si="10"/>
        <v>40</v>
      </c>
      <c r="B44" s="36" t="s">
        <v>94</v>
      </c>
      <c r="C44" s="37">
        <v>9.0</v>
      </c>
      <c r="D44" s="37">
        <v>0.0</v>
      </c>
      <c r="E44" s="40">
        <f t="shared" si="2"/>
        <v>0</v>
      </c>
      <c r="F44" s="90">
        <v>1.0</v>
      </c>
      <c r="G44" s="91">
        <v>8.0</v>
      </c>
      <c r="H44" s="92">
        <v>0.0</v>
      </c>
      <c r="I44" s="91">
        <v>3.0</v>
      </c>
      <c r="J44" s="91">
        <v>6.0</v>
      </c>
      <c r="K44" s="91">
        <v>6.0</v>
      </c>
      <c r="L44" s="93">
        <v>15.0</v>
      </c>
      <c r="M44" s="91">
        <v>2.0</v>
      </c>
      <c r="N44" s="37">
        <f t="shared" ref="N44:O44" si="49">C44+L44</f>
        <v>24</v>
      </c>
      <c r="O44" s="37">
        <f t="shared" si="49"/>
        <v>2</v>
      </c>
      <c r="P44" s="49" t="s">
        <v>57</v>
      </c>
      <c r="Q44" s="49" t="s">
        <v>57</v>
      </c>
      <c r="R44" s="49" t="s">
        <v>57</v>
      </c>
      <c r="S44" s="51">
        <f t="shared" si="4"/>
        <v>1</v>
      </c>
      <c r="T44" s="52">
        <f t="shared" si="5"/>
        <v>0</v>
      </c>
      <c r="U44" s="52"/>
      <c r="V44" s="51">
        <f t="shared" si="6"/>
        <v>1</v>
      </c>
      <c r="W44" s="52">
        <f t="shared" si="7"/>
        <v>-38</v>
      </c>
      <c r="X44" s="35">
        <f t="shared" si="12"/>
        <v>40</v>
      </c>
      <c r="Y44" s="35" t="str">
        <f t="shared" si="8"/>
        <v>N</v>
      </c>
      <c r="Z44" s="19" t="str">
        <f t="shared" si="9"/>
        <v/>
      </c>
    </row>
    <row r="45">
      <c r="A45" s="35">
        <f t="shared" si="10"/>
        <v>41</v>
      </c>
      <c r="B45" s="36" t="s">
        <v>73</v>
      </c>
      <c r="C45" s="37">
        <v>9.0</v>
      </c>
      <c r="D45" s="37">
        <v>0.0</v>
      </c>
      <c r="E45" s="40">
        <f t="shared" si="2"/>
        <v>0</v>
      </c>
      <c r="F45" s="90">
        <v>1.0</v>
      </c>
      <c r="G45" s="91">
        <v>8.0</v>
      </c>
      <c r="H45" s="92">
        <v>0.0</v>
      </c>
      <c r="I45" s="91">
        <v>6.0</v>
      </c>
      <c r="J45" s="91">
        <v>1.0</v>
      </c>
      <c r="K45" s="91">
        <v>6.0</v>
      </c>
      <c r="L45" s="93">
        <v>13.0</v>
      </c>
      <c r="M45" s="91">
        <v>2.0</v>
      </c>
      <c r="N45" s="37">
        <f t="shared" ref="N45:O45" si="50">C45+L45</f>
        <v>22</v>
      </c>
      <c r="O45" s="37">
        <f t="shared" si="50"/>
        <v>2</v>
      </c>
      <c r="P45" s="49" t="s">
        <v>57</v>
      </c>
      <c r="Q45" s="49" t="s">
        <v>57</v>
      </c>
      <c r="R45" s="49" t="s">
        <v>57</v>
      </c>
      <c r="S45" s="51">
        <f t="shared" si="4"/>
        <v>1</v>
      </c>
      <c r="T45" s="52">
        <f t="shared" si="5"/>
        <v>0</v>
      </c>
      <c r="U45" s="52"/>
      <c r="V45" s="51">
        <f t="shared" si="6"/>
        <v>1</v>
      </c>
      <c r="W45" s="52">
        <f t="shared" si="7"/>
        <v>-38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95</v>
      </c>
      <c r="C46" s="37">
        <v>9.0</v>
      </c>
      <c r="D46" s="37">
        <v>0.0</v>
      </c>
      <c r="E46" s="40">
        <f t="shared" si="2"/>
        <v>0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18</v>
      </c>
      <c r="O46" s="37">
        <f t="shared" si="51"/>
        <v>0</v>
      </c>
      <c r="P46" s="49" t="s">
        <v>57</v>
      </c>
      <c r="Q46" s="49" t="s">
        <v>57</v>
      </c>
      <c r="R46" s="49" t="s">
        <v>57</v>
      </c>
      <c r="S46" s="51">
        <f t="shared" si="4"/>
        <v>0</v>
      </c>
      <c r="T46" s="52">
        <f t="shared" si="5"/>
        <v>0</v>
      </c>
      <c r="U46" s="52"/>
      <c r="V46" s="51">
        <f t="shared" si="6"/>
        <v>2</v>
      </c>
      <c r="W46" s="52">
        <f t="shared" si="7"/>
        <v>-38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125</v>
      </c>
      <c r="C47" s="37">
        <v>9.0</v>
      </c>
      <c r="D47" s="37">
        <v>0.0</v>
      </c>
      <c r="E47" s="40">
        <f t="shared" si="2"/>
        <v>0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18</v>
      </c>
      <c r="O47" s="37">
        <f t="shared" si="52"/>
        <v>0</v>
      </c>
      <c r="P47" s="49" t="s">
        <v>57</v>
      </c>
      <c r="Q47" s="49" t="s">
        <v>57</v>
      </c>
      <c r="R47" s="49" t="s">
        <v>57</v>
      </c>
      <c r="S47" s="51">
        <f t="shared" si="4"/>
        <v>0</v>
      </c>
      <c r="T47" s="52">
        <f t="shared" si="5"/>
        <v>0</v>
      </c>
      <c r="U47" s="52"/>
      <c r="V47" s="51">
        <f t="shared" si="6"/>
        <v>2</v>
      </c>
      <c r="W47" s="52">
        <f t="shared" si="7"/>
        <v>-38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142</v>
      </c>
      <c r="C48" s="37">
        <v>9.0</v>
      </c>
      <c r="D48" s="37">
        <v>0.0</v>
      </c>
      <c r="E48" s="40">
        <f t="shared" si="2"/>
        <v>0</v>
      </c>
      <c r="F48" s="90">
        <v>1.0</v>
      </c>
      <c r="G48" s="91">
        <v>8.0</v>
      </c>
      <c r="H48" s="92">
        <v>0.0</v>
      </c>
      <c r="I48" s="91">
        <v>6.0</v>
      </c>
      <c r="J48" s="91">
        <v>6.0</v>
      </c>
      <c r="K48" s="91">
        <v>1.0</v>
      </c>
      <c r="L48" s="93">
        <v>13.0</v>
      </c>
      <c r="M48" s="91">
        <v>2.0</v>
      </c>
      <c r="N48" s="37">
        <f t="shared" ref="N48:O48" si="53">C48+L48</f>
        <v>22</v>
      </c>
      <c r="O48" s="37">
        <f t="shared" si="53"/>
        <v>2</v>
      </c>
      <c r="P48" s="49" t="s">
        <v>57</v>
      </c>
      <c r="Q48" s="49" t="s">
        <v>57</v>
      </c>
      <c r="R48" s="49" t="s">
        <v>57</v>
      </c>
      <c r="S48" s="51">
        <f t="shared" si="4"/>
        <v>1</v>
      </c>
      <c r="T48" s="52">
        <f t="shared" si="5"/>
        <v>0</v>
      </c>
      <c r="U48" s="52"/>
      <c r="V48" s="51">
        <f t="shared" si="6"/>
        <v>1</v>
      </c>
      <c r="W48" s="52">
        <f t="shared" si="7"/>
        <v>-36</v>
      </c>
      <c r="X48" s="35">
        <f t="shared" si="12"/>
        <v>44</v>
      </c>
      <c r="Y48" s="35" t="str">
        <f t="shared" si="8"/>
        <v>N</v>
      </c>
      <c r="Z48" s="19" t="str">
        <f t="shared" si="9"/>
        <v/>
      </c>
    </row>
    <row r="49">
      <c r="A49" s="35">
        <f t="shared" si="10"/>
        <v>45</v>
      </c>
      <c r="B49" s="36" t="s">
        <v>98</v>
      </c>
      <c r="C49" s="37">
        <v>9.0</v>
      </c>
      <c r="D49" s="37">
        <v>0.0</v>
      </c>
      <c r="E49" s="40">
        <f t="shared" si="2"/>
        <v>0</v>
      </c>
      <c r="F49" s="90">
        <v>1.0</v>
      </c>
      <c r="G49" s="91">
        <v>8.0</v>
      </c>
      <c r="H49" s="92">
        <v>0.0</v>
      </c>
      <c r="I49" s="91">
        <v>3.0</v>
      </c>
      <c r="J49" s="91">
        <v>1.0</v>
      </c>
      <c r="K49" s="91">
        <v>1.0</v>
      </c>
      <c r="L49" s="93">
        <v>5.0</v>
      </c>
      <c r="M49" s="91">
        <v>0.0</v>
      </c>
      <c r="N49" s="37">
        <f t="shared" ref="N49:O49" si="54">C49+L49</f>
        <v>14</v>
      </c>
      <c r="O49" s="37">
        <f t="shared" si="54"/>
        <v>0</v>
      </c>
      <c r="P49" s="49" t="s">
        <v>57</v>
      </c>
      <c r="Q49" s="49" t="s">
        <v>57</v>
      </c>
      <c r="R49" s="49" t="s">
        <v>57</v>
      </c>
      <c r="S49" s="51">
        <f t="shared" si="4"/>
        <v>1</v>
      </c>
      <c r="T49" s="52">
        <f t="shared" si="5"/>
        <v>0</v>
      </c>
      <c r="U49" s="52"/>
      <c r="V49" s="51">
        <f t="shared" si="6"/>
        <v>1</v>
      </c>
      <c r="W49" s="52">
        <f t="shared" si="7"/>
        <v>-36</v>
      </c>
      <c r="X49" s="35">
        <f t="shared" si="12"/>
        <v>45</v>
      </c>
      <c r="Y49" s="35" t="str">
        <f t="shared" si="8"/>
        <v>N</v>
      </c>
      <c r="Z49" s="19" t="str">
        <f t="shared" si="9"/>
        <v/>
      </c>
    </row>
    <row r="50">
      <c r="A50" s="35">
        <f t="shared" si="10"/>
        <v>46</v>
      </c>
      <c r="B50" s="36" t="s">
        <v>78</v>
      </c>
      <c r="C50" s="37">
        <v>9.0</v>
      </c>
      <c r="D50" s="37">
        <v>0.0</v>
      </c>
      <c r="E50" s="40">
        <f t="shared" si="2"/>
        <v>0</v>
      </c>
      <c r="F50" s="90">
        <v>3.0</v>
      </c>
      <c r="G50" s="91">
        <v>0.0</v>
      </c>
      <c r="H50" s="92">
        <v>9.0</v>
      </c>
      <c r="I50" s="91">
        <v>0.0</v>
      </c>
      <c r="J50" s="91">
        <v>0.0</v>
      </c>
      <c r="K50" s="91">
        <v>0.0</v>
      </c>
      <c r="L50" s="93">
        <v>9.0</v>
      </c>
      <c r="M50" s="91">
        <v>0.0</v>
      </c>
      <c r="N50" s="37">
        <f t="shared" ref="N50:O50" si="55">C50+L50</f>
        <v>18</v>
      </c>
      <c r="O50" s="37">
        <f t="shared" si="55"/>
        <v>0</v>
      </c>
      <c r="P50" s="49" t="s">
        <v>57</v>
      </c>
      <c r="Q50" s="49" t="s">
        <v>57</v>
      </c>
      <c r="R50" s="49" t="s">
        <v>57</v>
      </c>
      <c r="S50" s="51">
        <f t="shared" si="4"/>
        <v>0</v>
      </c>
      <c r="T50" s="52">
        <f t="shared" si="5"/>
        <v>0</v>
      </c>
      <c r="U50" s="52"/>
      <c r="V50" s="51">
        <f t="shared" si="6"/>
        <v>2</v>
      </c>
      <c r="W50" s="52">
        <f t="shared" si="7"/>
        <v>-36</v>
      </c>
      <c r="X50" s="35">
        <f t="shared" si="12"/>
        <v>46</v>
      </c>
      <c r="Y50" s="35" t="str">
        <f t="shared" si="8"/>
        <v>N</v>
      </c>
      <c r="Z50" s="19" t="str">
        <f t="shared" si="9"/>
        <v/>
      </c>
    </row>
    <row r="51">
      <c r="A51" s="35">
        <f t="shared" si="10"/>
        <v>47</v>
      </c>
      <c r="B51" s="36" t="s">
        <v>148</v>
      </c>
      <c r="C51" s="37">
        <v>9.0</v>
      </c>
      <c r="D51" s="37">
        <v>0.0</v>
      </c>
      <c r="E51" s="40">
        <f t="shared" si="2"/>
        <v>0</v>
      </c>
      <c r="F51" s="90">
        <v>3.0</v>
      </c>
      <c r="G51" s="91">
        <v>0.0</v>
      </c>
      <c r="H51" s="92">
        <v>9.0</v>
      </c>
      <c r="I51" s="91">
        <v>0.0</v>
      </c>
      <c r="J51" s="91">
        <v>0.0</v>
      </c>
      <c r="K51" s="91">
        <v>0.0</v>
      </c>
      <c r="L51" s="93">
        <v>9.0</v>
      </c>
      <c r="M51" s="91">
        <v>0.0</v>
      </c>
      <c r="N51" s="37">
        <f t="shared" ref="N51:O51" si="56">C51+L51</f>
        <v>18</v>
      </c>
      <c r="O51" s="37">
        <f t="shared" si="56"/>
        <v>0</v>
      </c>
      <c r="P51" s="49" t="s">
        <v>57</v>
      </c>
      <c r="Q51" s="49" t="s">
        <v>57</v>
      </c>
      <c r="R51" s="49" t="s">
        <v>57</v>
      </c>
      <c r="S51" s="51">
        <f t="shared" si="4"/>
        <v>0</v>
      </c>
      <c r="T51" s="52">
        <f t="shared" si="5"/>
        <v>0</v>
      </c>
      <c r="U51" s="52"/>
      <c r="V51" s="51">
        <f t="shared" si="6"/>
        <v>2</v>
      </c>
      <c r="W51" s="52">
        <f t="shared" si="7"/>
        <v>-36</v>
      </c>
      <c r="X51" s="35">
        <f t="shared" si="12"/>
        <v>47</v>
      </c>
      <c r="Y51" s="35" t="str">
        <f t="shared" si="8"/>
        <v>N</v>
      </c>
      <c r="Z51" s="19" t="str">
        <f t="shared" si="9"/>
        <v/>
      </c>
    </row>
    <row r="52">
      <c r="A52" s="35">
        <f t="shared" si="10"/>
        <v>48</v>
      </c>
      <c r="B52" s="36" t="s">
        <v>124</v>
      </c>
      <c r="C52" s="37">
        <v>9.0</v>
      </c>
      <c r="D52" s="37">
        <v>0.0</v>
      </c>
      <c r="E52" s="40">
        <f t="shared" si="2"/>
        <v>0</v>
      </c>
      <c r="F52" s="90">
        <v>3.0</v>
      </c>
      <c r="G52" s="91">
        <v>0.0</v>
      </c>
      <c r="H52" s="92">
        <v>9.0</v>
      </c>
      <c r="I52" s="91">
        <v>0.0</v>
      </c>
      <c r="J52" s="91">
        <v>0.0</v>
      </c>
      <c r="K52" s="91">
        <v>0.0</v>
      </c>
      <c r="L52" s="93">
        <v>9.0</v>
      </c>
      <c r="M52" s="91">
        <v>0.0</v>
      </c>
      <c r="N52" s="37">
        <f t="shared" ref="N52:O52" si="57">C52+L52</f>
        <v>18</v>
      </c>
      <c r="O52" s="37">
        <f t="shared" si="57"/>
        <v>0</v>
      </c>
      <c r="P52" s="49" t="s">
        <v>57</v>
      </c>
      <c r="Q52" s="49" t="s">
        <v>57</v>
      </c>
      <c r="R52" s="49" t="s">
        <v>57</v>
      </c>
      <c r="S52" s="51">
        <f t="shared" si="4"/>
        <v>0</v>
      </c>
      <c r="T52" s="52">
        <f t="shared" si="5"/>
        <v>0</v>
      </c>
      <c r="U52" s="52"/>
      <c r="V52" s="51">
        <f t="shared" si="6"/>
        <v>2</v>
      </c>
      <c r="W52" s="52">
        <f t="shared" si="7"/>
        <v>-35</v>
      </c>
      <c r="X52" s="35">
        <f t="shared" si="12"/>
        <v>48</v>
      </c>
      <c r="Y52" s="35" t="str">
        <f t="shared" si="8"/>
        <v>N</v>
      </c>
      <c r="Z52" s="19" t="str">
        <f t="shared" si="9"/>
        <v/>
      </c>
    </row>
    <row r="53">
      <c r="A53" s="35">
        <f t="shared" si="10"/>
        <v>49</v>
      </c>
      <c r="B53" s="36" t="s">
        <v>153</v>
      </c>
      <c r="C53" s="37">
        <v>9.0</v>
      </c>
      <c r="D53" s="37">
        <v>0.0</v>
      </c>
      <c r="E53" s="40">
        <f t="shared" si="2"/>
        <v>0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18</v>
      </c>
      <c r="O53" s="37">
        <f t="shared" si="58"/>
        <v>0</v>
      </c>
      <c r="P53" s="49" t="s">
        <v>57</v>
      </c>
      <c r="Q53" s="49" t="s">
        <v>57</v>
      </c>
      <c r="R53" s="49" t="s">
        <v>57</v>
      </c>
      <c r="S53" s="51">
        <f t="shared" si="4"/>
        <v>0</v>
      </c>
      <c r="T53" s="52">
        <f t="shared" si="5"/>
        <v>0</v>
      </c>
      <c r="U53" s="52"/>
      <c r="V53" s="51">
        <f t="shared" si="6"/>
        <v>2</v>
      </c>
      <c r="W53" s="52">
        <f t="shared" si="7"/>
        <v>-34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54</v>
      </c>
      <c r="C54" s="37">
        <v>9.0</v>
      </c>
      <c r="D54" s="37">
        <v>0.0</v>
      </c>
      <c r="E54" s="40">
        <f t="shared" si="2"/>
        <v>0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18</v>
      </c>
      <c r="O54" s="37">
        <f t="shared" si="59"/>
        <v>0</v>
      </c>
      <c r="P54" s="49" t="s">
        <v>57</v>
      </c>
      <c r="Q54" s="49" t="s">
        <v>57</v>
      </c>
      <c r="R54" s="49" t="s">
        <v>57</v>
      </c>
      <c r="S54" s="51">
        <f t="shared" si="4"/>
        <v>0</v>
      </c>
      <c r="T54" s="52">
        <f t="shared" si="5"/>
        <v>0</v>
      </c>
      <c r="U54" s="52"/>
      <c r="V54" s="51">
        <f t="shared" si="6"/>
        <v>2</v>
      </c>
      <c r="W54" s="52">
        <f t="shared" si="7"/>
        <v>-34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105</v>
      </c>
      <c r="C55" s="37">
        <v>9.0</v>
      </c>
      <c r="D55" s="37">
        <v>0.0</v>
      </c>
      <c r="E55" s="40">
        <f t="shared" si="2"/>
        <v>0</v>
      </c>
      <c r="F55" s="90">
        <v>3.0</v>
      </c>
      <c r="G55" s="91">
        <v>0.0</v>
      </c>
      <c r="H55" s="92">
        <v>9.0</v>
      </c>
      <c r="I55" s="91">
        <v>0.0</v>
      </c>
      <c r="J55" s="91">
        <v>0.0</v>
      </c>
      <c r="K55" s="91">
        <v>0.0</v>
      </c>
      <c r="L55" s="93">
        <v>9.0</v>
      </c>
      <c r="M55" s="91">
        <v>0.0</v>
      </c>
      <c r="N55" s="37">
        <f t="shared" ref="N55:O55" si="60">C55+L55</f>
        <v>18</v>
      </c>
      <c r="O55" s="37">
        <f t="shared" si="60"/>
        <v>0</v>
      </c>
      <c r="P55" s="49" t="s">
        <v>57</v>
      </c>
      <c r="Q55" s="49" t="s">
        <v>57</v>
      </c>
      <c r="R55" s="49" t="s">
        <v>57</v>
      </c>
      <c r="S55" s="51">
        <f t="shared" si="4"/>
        <v>0</v>
      </c>
      <c r="T55" s="52">
        <f t="shared" si="5"/>
        <v>0</v>
      </c>
      <c r="U55" s="52"/>
      <c r="V55" s="51">
        <f t="shared" si="6"/>
        <v>2</v>
      </c>
      <c r="W55" s="52">
        <f t="shared" si="7"/>
        <v>-34</v>
      </c>
      <c r="X55" s="35">
        <f t="shared" si="12"/>
        <v>51</v>
      </c>
      <c r="Y55" s="35" t="str">
        <f t="shared" si="8"/>
        <v>N</v>
      </c>
      <c r="Z55" s="19" t="str">
        <f t="shared" si="9"/>
        <v/>
      </c>
    </row>
    <row r="56">
      <c r="A56" s="35">
        <f t="shared" si="10"/>
        <v>52</v>
      </c>
      <c r="B56" s="36" t="s">
        <v>132</v>
      </c>
      <c r="C56" s="37">
        <v>9.0</v>
      </c>
      <c r="D56" s="37">
        <v>0.0</v>
      </c>
      <c r="E56" s="40">
        <f t="shared" si="2"/>
        <v>0</v>
      </c>
      <c r="F56" s="90">
        <v>2.0</v>
      </c>
      <c r="G56" s="91">
        <v>9.0</v>
      </c>
      <c r="H56" s="92">
        <v>0.0</v>
      </c>
      <c r="I56" s="91">
        <v>2.0</v>
      </c>
      <c r="J56" s="91">
        <v>6.0</v>
      </c>
      <c r="K56" s="91">
        <v>6.0</v>
      </c>
      <c r="L56" s="93">
        <v>14.0</v>
      </c>
      <c r="M56" s="91">
        <v>2.0</v>
      </c>
      <c r="N56" s="37">
        <f t="shared" ref="N56:O56" si="61">C56+L56</f>
        <v>23</v>
      </c>
      <c r="O56" s="37">
        <f t="shared" si="61"/>
        <v>2</v>
      </c>
      <c r="P56" s="49" t="s">
        <v>57</v>
      </c>
      <c r="Q56" s="49" t="s">
        <v>57</v>
      </c>
      <c r="R56" s="49" t="s">
        <v>57</v>
      </c>
      <c r="S56" s="51">
        <f t="shared" si="4"/>
        <v>1</v>
      </c>
      <c r="T56" s="52">
        <f t="shared" si="5"/>
        <v>0</v>
      </c>
      <c r="U56" s="52"/>
      <c r="V56" s="51">
        <f t="shared" si="6"/>
        <v>1</v>
      </c>
      <c r="W56" s="52">
        <f t="shared" si="7"/>
        <v>-34</v>
      </c>
      <c r="X56" s="35">
        <f t="shared" si="12"/>
        <v>52</v>
      </c>
      <c r="Y56" s="35" t="str">
        <f t="shared" si="8"/>
        <v>N</v>
      </c>
      <c r="Z56" s="19" t="str">
        <f t="shared" si="9"/>
        <v/>
      </c>
    </row>
    <row r="57">
      <c r="A57" s="35">
        <f t="shared" si="10"/>
        <v>53</v>
      </c>
      <c r="B57" s="36" t="s">
        <v>107</v>
      </c>
      <c r="C57" s="37">
        <v>9.0</v>
      </c>
      <c r="D57" s="37">
        <v>0.0</v>
      </c>
      <c r="E57" s="40">
        <f t="shared" si="2"/>
        <v>0</v>
      </c>
      <c r="F57" s="90">
        <v>3.0</v>
      </c>
      <c r="G57" s="91">
        <v>0.0</v>
      </c>
      <c r="H57" s="92">
        <v>9.0</v>
      </c>
      <c r="I57" s="91">
        <v>0.0</v>
      </c>
      <c r="J57" s="91">
        <v>0.0</v>
      </c>
      <c r="K57" s="91">
        <v>0.0</v>
      </c>
      <c r="L57" s="93">
        <v>9.0</v>
      </c>
      <c r="M57" s="91">
        <v>0.0</v>
      </c>
      <c r="N57" s="37">
        <f t="shared" ref="N57:O57" si="62">C57+L57</f>
        <v>18</v>
      </c>
      <c r="O57" s="37">
        <f t="shared" si="62"/>
        <v>0</v>
      </c>
      <c r="P57" s="49" t="s">
        <v>57</v>
      </c>
      <c r="Q57" s="49" t="s">
        <v>57</v>
      </c>
      <c r="R57" s="49" t="s">
        <v>57</v>
      </c>
      <c r="S57" s="51">
        <f t="shared" si="4"/>
        <v>0</v>
      </c>
      <c r="T57" s="52">
        <f t="shared" si="5"/>
        <v>0</v>
      </c>
      <c r="U57" s="52"/>
      <c r="V57" s="51">
        <f t="shared" si="6"/>
        <v>2</v>
      </c>
      <c r="W57" s="52">
        <f t="shared" si="7"/>
        <v>-33</v>
      </c>
      <c r="X57" s="35">
        <f t="shared" si="12"/>
        <v>53</v>
      </c>
      <c r="Y57" s="35" t="str">
        <f t="shared" si="8"/>
        <v>N</v>
      </c>
      <c r="Z57" s="19" t="str">
        <f t="shared" si="9"/>
        <v/>
      </c>
    </row>
    <row r="58">
      <c r="A58" s="35">
        <f t="shared" si="10"/>
        <v>54</v>
      </c>
      <c r="B58" s="36" t="s">
        <v>51</v>
      </c>
      <c r="C58" s="37">
        <v>9.0</v>
      </c>
      <c r="D58" s="37">
        <v>0.0</v>
      </c>
      <c r="E58" s="40">
        <f t="shared" si="2"/>
        <v>0</v>
      </c>
      <c r="F58" s="90">
        <v>3.0</v>
      </c>
      <c r="G58" s="91">
        <v>0.0</v>
      </c>
      <c r="H58" s="92">
        <v>9.0</v>
      </c>
      <c r="I58" s="91">
        <v>0.0</v>
      </c>
      <c r="J58" s="91">
        <v>0.0</v>
      </c>
      <c r="K58" s="91">
        <v>0.0</v>
      </c>
      <c r="L58" s="93">
        <v>9.0</v>
      </c>
      <c r="M58" s="91">
        <v>0.0</v>
      </c>
      <c r="N58" s="37">
        <f t="shared" ref="N58:O58" si="63">C58+L58</f>
        <v>18</v>
      </c>
      <c r="O58" s="37">
        <f t="shared" si="63"/>
        <v>0</v>
      </c>
      <c r="P58" s="49" t="s">
        <v>57</v>
      </c>
      <c r="Q58" s="49" t="s">
        <v>57</v>
      </c>
      <c r="R58" s="49" t="s">
        <v>57</v>
      </c>
      <c r="S58" s="51">
        <f t="shared" si="4"/>
        <v>0</v>
      </c>
      <c r="T58" s="52">
        <f t="shared" si="5"/>
        <v>0</v>
      </c>
      <c r="U58" s="52"/>
      <c r="V58" s="51">
        <f t="shared" si="6"/>
        <v>2</v>
      </c>
      <c r="W58" s="52">
        <f t="shared" si="7"/>
        <v>-33</v>
      </c>
      <c r="X58" s="35">
        <f t="shared" si="12"/>
        <v>54</v>
      </c>
      <c r="Y58" s="35" t="str">
        <f t="shared" si="8"/>
        <v>N</v>
      </c>
      <c r="Z58" s="19" t="str">
        <f t="shared" si="9"/>
        <v/>
      </c>
    </row>
    <row r="59">
      <c r="A59" s="35">
        <f t="shared" si="10"/>
        <v>55</v>
      </c>
      <c r="B59" s="36" t="s">
        <v>113</v>
      </c>
      <c r="C59" s="37">
        <v>9.0</v>
      </c>
      <c r="D59" s="37">
        <v>0.0</v>
      </c>
      <c r="E59" s="40">
        <f t="shared" si="2"/>
        <v>0</v>
      </c>
      <c r="F59" s="90">
        <v>1.0</v>
      </c>
      <c r="G59" s="91">
        <v>9.0</v>
      </c>
      <c r="H59" s="92">
        <v>0.0</v>
      </c>
      <c r="I59" s="91">
        <v>6.0</v>
      </c>
      <c r="J59" s="91">
        <v>1.0</v>
      </c>
      <c r="K59" s="91">
        <v>6.0</v>
      </c>
      <c r="L59" s="93">
        <v>13.0</v>
      </c>
      <c r="M59" s="91">
        <v>2.0</v>
      </c>
      <c r="N59" s="37">
        <f t="shared" ref="N59:O59" si="64">C59+L59</f>
        <v>22</v>
      </c>
      <c r="O59" s="37">
        <f t="shared" si="64"/>
        <v>2</v>
      </c>
      <c r="P59" s="49" t="s">
        <v>57</v>
      </c>
      <c r="Q59" s="49" t="s">
        <v>57</v>
      </c>
      <c r="R59" s="49" t="s">
        <v>57</v>
      </c>
      <c r="S59" s="51">
        <f t="shared" si="4"/>
        <v>1</v>
      </c>
      <c r="T59" s="52">
        <f t="shared" si="5"/>
        <v>0</v>
      </c>
      <c r="U59" s="52"/>
      <c r="V59" s="51">
        <f t="shared" si="6"/>
        <v>1</v>
      </c>
      <c r="W59" s="52">
        <f t="shared" si="7"/>
        <v>-31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120</v>
      </c>
      <c r="C60" s="37">
        <v>9.0</v>
      </c>
      <c r="D60" s="37">
        <v>0.0</v>
      </c>
      <c r="E60" s="40">
        <f t="shared" si="2"/>
        <v>0</v>
      </c>
      <c r="F60" s="90">
        <v>1.0</v>
      </c>
      <c r="G60" s="91">
        <v>9.0</v>
      </c>
      <c r="H60" s="92">
        <v>0.0</v>
      </c>
      <c r="I60" s="91">
        <v>6.0</v>
      </c>
      <c r="J60" s="91">
        <v>6.0</v>
      </c>
      <c r="K60" s="91">
        <v>4.0</v>
      </c>
      <c r="L60" s="93">
        <v>16.0</v>
      </c>
      <c r="M60" s="91">
        <v>2.0</v>
      </c>
      <c r="N60" s="37">
        <f t="shared" ref="N60:O60" si="65">C60+L60</f>
        <v>25</v>
      </c>
      <c r="O60" s="37">
        <f t="shared" si="65"/>
        <v>2</v>
      </c>
      <c r="P60" s="49" t="s">
        <v>57</v>
      </c>
      <c r="Q60" s="49" t="s">
        <v>57</v>
      </c>
      <c r="R60" s="49" t="s">
        <v>57</v>
      </c>
      <c r="S60" s="51">
        <f t="shared" si="4"/>
        <v>1</v>
      </c>
      <c r="T60" s="52">
        <f t="shared" si="5"/>
        <v>0</v>
      </c>
      <c r="U60" s="52"/>
      <c r="V60" s="51">
        <f t="shared" si="6"/>
        <v>1</v>
      </c>
      <c r="W60" s="52">
        <f t="shared" si="7"/>
        <v>-31</v>
      </c>
      <c r="X60" s="35">
        <f t="shared" si="12"/>
        <v>56</v>
      </c>
      <c r="Y60" s="35" t="str">
        <f t="shared" si="8"/>
        <v>N</v>
      </c>
      <c r="Z60" s="19" t="str">
        <f t="shared" si="9"/>
        <v/>
      </c>
    </row>
    <row r="61">
      <c r="A61" s="35">
        <f t="shared" si="10"/>
        <v>57</v>
      </c>
      <c r="B61" s="36" t="s">
        <v>76</v>
      </c>
      <c r="C61" s="37">
        <v>9.0</v>
      </c>
      <c r="D61" s="37">
        <v>0.0</v>
      </c>
      <c r="E61" s="40">
        <f t="shared" si="2"/>
        <v>0</v>
      </c>
      <c r="F61" s="90">
        <v>1.0</v>
      </c>
      <c r="G61" s="91">
        <v>9.0</v>
      </c>
      <c r="H61" s="92">
        <v>0.0</v>
      </c>
      <c r="I61" s="91">
        <v>2.0</v>
      </c>
      <c r="J61" s="91">
        <v>1.0</v>
      </c>
      <c r="K61" s="91">
        <v>4.0</v>
      </c>
      <c r="L61" s="93">
        <v>7.0</v>
      </c>
      <c r="M61" s="91">
        <v>0.0</v>
      </c>
      <c r="N61" s="37">
        <f t="shared" ref="N61:O61" si="66">C61+L61</f>
        <v>16</v>
      </c>
      <c r="O61" s="37">
        <f t="shared" si="66"/>
        <v>0</v>
      </c>
      <c r="P61" s="49" t="s">
        <v>57</v>
      </c>
      <c r="Q61" s="49" t="s">
        <v>57</v>
      </c>
      <c r="R61" s="49" t="s">
        <v>57</v>
      </c>
      <c r="S61" s="51">
        <f t="shared" si="4"/>
        <v>1</v>
      </c>
      <c r="T61" s="52">
        <f t="shared" si="5"/>
        <v>0</v>
      </c>
      <c r="U61" s="52"/>
      <c r="V61" s="51">
        <f t="shared" si="6"/>
        <v>1</v>
      </c>
      <c r="W61" s="52">
        <f t="shared" si="7"/>
        <v>-29</v>
      </c>
      <c r="X61" s="35">
        <f t="shared" si="12"/>
        <v>57</v>
      </c>
      <c r="Y61" s="35" t="str">
        <f t="shared" si="8"/>
        <v>N</v>
      </c>
      <c r="Z61" s="19" t="str">
        <f t="shared" si="9"/>
        <v/>
      </c>
    </row>
    <row r="62">
      <c r="A62" s="35">
        <f t="shared" si="10"/>
        <v>58</v>
      </c>
      <c r="B62" s="36" t="s">
        <v>127</v>
      </c>
      <c r="C62" s="37">
        <v>9.0</v>
      </c>
      <c r="D62" s="37">
        <v>0.0</v>
      </c>
      <c r="E62" s="40">
        <f t="shared" si="2"/>
        <v>0</v>
      </c>
      <c r="F62" s="90">
        <v>1.0</v>
      </c>
      <c r="G62" s="91">
        <v>10.0</v>
      </c>
      <c r="H62" s="92">
        <v>0.0</v>
      </c>
      <c r="I62" s="91">
        <v>7.0</v>
      </c>
      <c r="J62" s="91">
        <v>6.0</v>
      </c>
      <c r="K62" s="91">
        <v>6.0</v>
      </c>
      <c r="L62" s="93">
        <v>19.0</v>
      </c>
      <c r="M62" s="91">
        <v>3.0</v>
      </c>
      <c r="N62" s="37">
        <f t="shared" ref="N62:O62" si="67">C62+L62</f>
        <v>28</v>
      </c>
      <c r="O62" s="37">
        <f t="shared" si="67"/>
        <v>3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0</v>
      </c>
      <c r="U62" s="52"/>
      <c r="V62" s="51">
        <f t="shared" si="6"/>
        <v>1</v>
      </c>
      <c r="W62" s="52">
        <f t="shared" si="7"/>
        <v>-29</v>
      </c>
      <c r="X62" s="35">
        <f t="shared" si="12"/>
        <v>58</v>
      </c>
      <c r="Y62" s="35" t="str">
        <f t="shared" si="8"/>
        <v>N</v>
      </c>
      <c r="Z62" s="19" t="str">
        <f t="shared" si="9"/>
        <v/>
      </c>
    </row>
    <row r="63">
      <c r="A63" s="35">
        <f t="shared" si="10"/>
        <v>59</v>
      </c>
      <c r="B63" s="36" t="s">
        <v>112</v>
      </c>
      <c r="C63" s="37">
        <v>9.0</v>
      </c>
      <c r="D63" s="37">
        <v>0.0</v>
      </c>
      <c r="E63" s="40">
        <f t="shared" si="2"/>
        <v>0</v>
      </c>
      <c r="F63" s="90">
        <v>1.0</v>
      </c>
      <c r="G63" s="91">
        <v>10.0</v>
      </c>
      <c r="H63" s="92">
        <v>0.0</v>
      </c>
      <c r="I63" s="91">
        <v>5.0</v>
      </c>
      <c r="J63" s="91">
        <v>1.0</v>
      </c>
      <c r="K63" s="91">
        <v>6.0</v>
      </c>
      <c r="L63" s="93">
        <v>12.0</v>
      </c>
      <c r="M63" s="91">
        <v>1.0</v>
      </c>
      <c r="N63" s="37">
        <f t="shared" ref="N63:O63" si="68">C63+L63</f>
        <v>21</v>
      </c>
      <c r="O63" s="37">
        <f t="shared" si="68"/>
        <v>1</v>
      </c>
      <c r="P63" s="49" t="s">
        <v>57</v>
      </c>
      <c r="Q63" s="49" t="s">
        <v>57</v>
      </c>
      <c r="R63" s="49" t="s">
        <v>57</v>
      </c>
      <c r="S63" s="51">
        <f t="shared" si="4"/>
        <v>1</v>
      </c>
      <c r="T63" s="52">
        <f t="shared" si="5"/>
        <v>0</v>
      </c>
      <c r="U63" s="52"/>
      <c r="V63" s="51">
        <f t="shared" si="6"/>
        <v>1</v>
      </c>
      <c r="W63" s="52">
        <f t="shared" si="7"/>
        <v>-24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135</v>
      </c>
      <c r="C64" s="37">
        <v>9.0</v>
      </c>
      <c r="D64" s="37">
        <v>0.0</v>
      </c>
      <c r="E64" s="40">
        <f t="shared" si="2"/>
        <v>0</v>
      </c>
      <c r="F64" s="90">
        <v>3.0</v>
      </c>
      <c r="G64" s="91">
        <v>0.0</v>
      </c>
      <c r="H64" s="92">
        <v>9.0</v>
      </c>
      <c r="I64" s="91">
        <v>0.0</v>
      </c>
      <c r="J64" s="91">
        <v>0.0</v>
      </c>
      <c r="K64" s="91">
        <v>0.0</v>
      </c>
      <c r="L64" s="93">
        <v>9.0</v>
      </c>
      <c r="M64" s="91">
        <v>0.0</v>
      </c>
      <c r="N64" s="37">
        <f t="shared" ref="N64:O64" si="69">C64+L64</f>
        <v>18</v>
      </c>
      <c r="O64" s="37">
        <f t="shared" si="69"/>
        <v>0</v>
      </c>
      <c r="P64" s="49" t="s">
        <v>57</v>
      </c>
      <c r="Q64" s="49" t="s">
        <v>57</v>
      </c>
      <c r="R64" s="49" t="s">
        <v>57</v>
      </c>
      <c r="S64" s="51">
        <f t="shared" si="4"/>
        <v>0</v>
      </c>
      <c r="T64" s="52">
        <f t="shared" si="5"/>
        <v>0</v>
      </c>
      <c r="U64" s="52"/>
      <c r="V64" s="51">
        <f t="shared" si="6"/>
        <v>2</v>
      </c>
      <c r="W64" s="52">
        <f t="shared" si="7"/>
        <v>-19</v>
      </c>
      <c r="X64" s="35">
        <f t="shared" si="12"/>
        <v>60</v>
      </c>
      <c r="Y64" s="35" t="str">
        <f t="shared" si="8"/>
        <v>N</v>
      </c>
      <c r="Z64" s="19" t="str">
        <f t="shared" si="9"/>
        <v/>
      </c>
    </row>
    <row r="65">
      <c r="A65" s="35">
        <f t="shared" si="10"/>
        <v>61</v>
      </c>
      <c r="B65" s="36" t="s">
        <v>101</v>
      </c>
      <c r="C65" s="37">
        <v>9.0</v>
      </c>
      <c r="D65" s="37">
        <v>0.0</v>
      </c>
      <c r="E65" s="40">
        <f t="shared" si="2"/>
        <v>0</v>
      </c>
      <c r="F65" s="90">
        <v>3.0</v>
      </c>
      <c r="G65" s="91">
        <v>0.0</v>
      </c>
      <c r="H65" s="92">
        <v>9.0</v>
      </c>
      <c r="I65" s="91">
        <v>0.0</v>
      </c>
      <c r="J65" s="91">
        <v>0.0</v>
      </c>
      <c r="K65" s="91">
        <v>0.0</v>
      </c>
      <c r="L65" s="93">
        <v>9.0</v>
      </c>
      <c r="M65" s="91">
        <v>0.0</v>
      </c>
      <c r="N65" s="37">
        <f t="shared" ref="N65:O65" si="70">C65+L65</f>
        <v>18</v>
      </c>
      <c r="O65" s="37">
        <f t="shared" si="70"/>
        <v>0</v>
      </c>
      <c r="P65" s="49" t="s">
        <v>57</v>
      </c>
      <c r="Q65" s="49" t="s">
        <v>57</v>
      </c>
      <c r="R65" s="49" t="s">
        <v>57</v>
      </c>
      <c r="S65" s="51">
        <f t="shared" si="4"/>
        <v>0</v>
      </c>
      <c r="T65" s="52">
        <f t="shared" si="5"/>
        <v>0</v>
      </c>
      <c r="U65" s="52"/>
      <c r="V65" s="51">
        <f t="shared" si="6"/>
        <v>2</v>
      </c>
      <c r="W65" s="52">
        <f t="shared" si="7"/>
        <v>-19</v>
      </c>
      <c r="X65" s="35">
        <f t="shared" si="12"/>
        <v>61</v>
      </c>
      <c r="Y65" s="35" t="str">
        <f t="shared" si="8"/>
        <v>N</v>
      </c>
      <c r="Z65" s="19" t="str">
        <f t="shared" si="9"/>
        <v/>
      </c>
    </row>
    <row r="66">
      <c r="A66" s="35">
        <f t="shared" si="10"/>
        <v>62</v>
      </c>
      <c r="B66" s="36" t="s">
        <v>91</v>
      </c>
      <c r="C66" s="37">
        <v>9.0</v>
      </c>
      <c r="D66" s="37">
        <v>0.0</v>
      </c>
      <c r="E66" s="40">
        <f t="shared" si="2"/>
        <v>0</v>
      </c>
      <c r="F66" s="90">
        <v>1.0</v>
      </c>
      <c r="G66" s="91">
        <v>10.0</v>
      </c>
      <c r="H66" s="92">
        <v>0.0</v>
      </c>
      <c r="I66" s="91">
        <v>5.0</v>
      </c>
      <c r="J66" s="91">
        <v>6.0</v>
      </c>
      <c r="K66" s="91">
        <v>4.0</v>
      </c>
      <c r="L66" s="93">
        <v>15.0</v>
      </c>
      <c r="M66" s="91">
        <v>1.0</v>
      </c>
      <c r="N66" s="37">
        <f t="shared" ref="N66:O66" si="71">C66+L66</f>
        <v>24</v>
      </c>
      <c r="O66" s="37">
        <f t="shared" si="71"/>
        <v>1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1</v>
      </c>
      <c r="W66" s="52">
        <f t="shared" si="7"/>
        <v>-19</v>
      </c>
      <c r="X66" s="35">
        <f t="shared" si="12"/>
        <v>62</v>
      </c>
      <c r="Y66" s="35" t="str">
        <f t="shared" si="8"/>
        <v>N</v>
      </c>
      <c r="Z66" s="19" t="str">
        <f t="shared" si="9"/>
        <v/>
      </c>
    </row>
    <row r="67">
      <c r="A67" s="35">
        <f t="shared" si="10"/>
        <v>63</v>
      </c>
      <c r="B67" s="36" t="s">
        <v>138</v>
      </c>
      <c r="C67" s="37">
        <v>9.0</v>
      </c>
      <c r="D67" s="37">
        <v>0.0</v>
      </c>
      <c r="E67" s="40">
        <f t="shared" si="2"/>
        <v>0</v>
      </c>
      <c r="F67" s="90">
        <v>2.0</v>
      </c>
      <c r="G67" s="91">
        <v>10.0</v>
      </c>
      <c r="H67" s="92">
        <v>0.0</v>
      </c>
      <c r="I67" s="91">
        <v>7.0</v>
      </c>
      <c r="J67" s="91">
        <v>1.0</v>
      </c>
      <c r="K67" s="91">
        <v>4.0</v>
      </c>
      <c r="L67" s="93">
        <v>12.0</v>
      </c>
      <c r="M67" s="91">
        <v>1.0</v>
      </c>
      <c r="N67" s="37">
        <f t="shared" ref="N67:O67" si="72">C67+L67</f>
        <v>21</v>
      </c>
      <c r="O67" s="37">
        <f t="shared" si="72"/>
        <v>1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1</v>
      </c>
      <c r="W67" s="52">
        <f t="shared" si="7"/>
        <v>-14</v>
      </c>
      <c r="X67" s="35">
        <f t="shared" si="12"/>
        <v>63</v>
      </c>
      <c r="Y67" s="35" t="str">
        <f t="shared" si="8"/>
        <v>N</v>
      </c>
      <c r="Z67" s="19" t="str">
        <f t="shared" si="9"/>
        <v/>
      </c>
    </row>
    <row r="68">
      <c r="A68" s="35">
        <f t="shared" si="10"/>
        <v>64</v>
      </c>
      <c r="B68" s="36" t="s">
        <v>131</v>
      </c>
      <c r="C68" s="37">
        <v>9.0</v>
      </c>
      <c r="D68" s="37">
        <v>0.0</v>
      </c>
      <c r="E68" s="40">
        <f t="shared" si="2"/>
        <v>0</v>
      </c>
      <c r="F68" s="90">
        <v>2.0</v>
      </c>
      <c r="G68" s="91">
        <v>11.0</v>
      </c>
      <c r="H68" s="92">
        <v>0.0</v>
      </c>
      <c r="I68" s="91">
        <v>6.0</v>
      </c>
      <c r="J68" s="91">
        <v>3.0</v>
      </c>
      <c r="K68" s="91">
        <v>6.0</v>
      </c>
      <c r="L68" s="93">
        <v>15.0</v>
      </c>
      <c r="M68" s="91">
        <v>2.0</v>
      </c>
      <c r="N68" s="37">
        <f t="shared" ref="N68:O68" si="73">C68+L68</f>
        <v>24</v>
      </c>
      <c r="O68" s="37">
        <f t="shared" si="73"/>
        <v>2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1</v>
      </c>
      <c r="W68" s="52">
        <f t="shared" si="7"/>
        <v>-14</v>
      </c>
      <c r="X68" s="35">
        <f t="shared" si="12"/>
        <v>64</v>
      </c>
      <c r="Y68" s="35" t="str">
        <f t="shared" si="8"/>
        <v>N</v>
      </c>
      <c r="Z68" s="19" t="str">
        <f t="shared" si="9"/>
        <v/>
      </c>
    </row>
    <row r="69">
      <c r="A69" s="35">
        <f t="shared" si="10"/>
        <v>65</v>
      </c>
      <c r="B69" s="36" t="s">
        <v>150</v>
      </c>
      <c r="C69" s="37">
        <v>9.0</v>
      </c>
      <c r="D69" s="37">
        <v>0.0</v>
      </c>
      <c r="E69" s="40">
        <f t="shared" si="2"/>
        <v>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18</v>
      </c>
      <c r="O69" s="37">
        <f t="shared" si="74"/>
        <v>0</v>
      </c>
      <c r="P69" s="49" t="s">
        <v>57</v>
      </c>
      <c r="Q69" s="49" t="s">
        <v>57</v>
      </c>
      <c r="R69" s="49" t="s">
        <v>57</v>
      </c>
      <c r="S69" s="51">
        <f t="shared" si="4"/>
        <v>0</v>
      </c>
      <c r="T69" s="52">
        <f t="shared" si="5"/>
        <v>0</v>
      </c>
      <c r="U69" s="52"/>
      <c r="V69" s="51">
        <f t="shared" si="6"/>
        <v>2</v>
      </c>
      <c r="W69" s="52">
        <f t="shared" si="7"/>
        <v>-10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141</v>
      </c>
      <c r="C70" s="37">
        <v>9.0</v>
      </c>
      <c r="D70" s="37">
        <v>0.0</v>
      </c>
      <c r="E70" s="40">
        <f t="shared" si="2"/>
        <v>0</v>
      </c>
      <c r="F70" s="90">
        <v>3.0</v>
      </c>
      <c r="G70" s="91">
        <v>0.0</v>
      </c>
      <c r="H70" s="92">
        <v>9.0</v>
      </c>
      <c r="I70" s="91">
        <v>0.0</v>
      </c>
      <c r="J70" s="91">
        <v>0.0</v>
      </c>
      <c r="K70" s="91">
        <v>0.0</v>
      </c>
      <c r="L70" s="93">
        <v>9.0</v>
      </c>
      <c r="M70" s="91">
        <v>0.0</v>
      </c>
      <c r="N70" s="37">
        <f t="shared" ref="N70:O70" si="75">C70+L70</f>
        <v>18</v>
      </c>
      <c r="O70" s="37">
        <f t="shared" si="75"/>
        <v>0</v>
      </c>
      <c r="P70" s="49" t="s">
        <v>57</v>
      </c>
      <c r="Q70" s="49" t="s">
        <v>57</v>
      </c>
      <c r="R70" s="49" t="s">
        <v>57</v>
      </c>
      <c r="S70" s="51">
        <f t="shared" si="4"/>
        <v>0</v>
      </c>
      <c r="T70" s="52">
        <f t="shared" si="5"/>
        <v>0</v>
      </c>
      <c r="U70" s="52"/>
      <c r="V70" s="51">
        <f t="shared" si="6"/>
        <v>2</v>
      </c>
      <c r="W70" s="52">
        <f t="shared" si="7"/>
        <v>-7</v>
      </c>
      <c r="X70" s="35">
        <f t="shared" si="12"/>
        <v>66</v>
      </c>
      <c r="Y70" s="35" t="str">
        <f t="shared" si="8"/>
        <v>N</v>
      </c>
      <c r="Z70" s="19" t="str">
        <f t="shared" si="9"/>
        <v/>
      </c>
    </row>
    <row r="71">
      <c r="A71" s="35">
        <f t="shared" si="10"/>
        <v>67</v>
      </c>
      <c r="B71" s="36" t="s">
        <v>103</v>
      </c>
      <c r="C71" s="37">
        <v>9.0</v>
      </c>
      <c r="D71" s="37">
        <v>0.0</v>
      </c>
      <c r="E71" s="40">
        <f t="shared" si="2"/>
        <v>0</v>
      </c>
      <c r="F71" s="90">
        <v>2.0</v>
      </c>
      <c r="G71" s="91">
        <v>11.0</v>
      </c>
      <c r="H71" s="92">
        <v>0.0</v>
      </c>
      <c r="I71" s="91">
        <v>2.0</v>
      </c>
      <c r="J71" s="91">
        <v>6.0</v>
      </c>
      <c r="K71" s="91">
        <v>6.0</v>
      </c>
      <c r="L71" s="93">
        <v>14.0</v>
      </c>
      <c r="M71" s="91">
        <v>2.0</v>
      </c>
      <c r="N71" s="37">
        <f t="shared" ref="N71:O71" si="76">C71+L71</f>
        <v>23</v>
      </c>
      <c r="O71" s="37">
        <f t="shared" si="76"/>
        <v>2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1</v>
      </c>
      <c r="W71" s="52">
        <f t="shared" si="7"/>
        <v>-2</v>
      </c>
      <c r="X71" s="35">
        <f t="shared" si="12"/>
        <v>67</v>
      </c>
      <c r="Y71" s="35" t="str">
        <f t="shared" si="8"/>
        <v>N</v>
      </c>
      <c r="Z71" s="19" t="str">
        <f t="shared" si="9"/>
        <v/>
      </c>
    </row>
    <row r="72">
      <c r="A72" s="35">
        <f t="shared" si="10"/>
        <v>68</v>
      </c>
      <c r="B72" s="36" t="s">
        <v>154</v>
      </c>
      <c r="C72" s="37">
        <v>9.0</v>
      </c>
      <c r="D72" s="37">
        <v>0.0</v>
      </c>
      <c r="E72" s="40">
        <f t="shared" si="2"/>
        <v>0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18</v>
      </c>
      <c r="O72" s="37">
        <f t="shared" si="77"/>
        <v>0</v>
      </c>
      <c r="P72" s="49" t="s">
        <v>57</v>
      </c>
      <c r="Q72" s="49" t="s">
        <v>57</v>
      </c>
      <c r="R72" s="49" t="s">
        <v>57</v>
      </c>
      <c r="S72" s="51">
        <f t="shared" si="4"/>
        <v>0</v>
      </c>
      <c r="T72" s="52">
        <f t="shared" si="5"/>
        <v>0</v>
      </c>
      <c r="U72" s="52"/>
      <c r="V72" s="51">
        <f t="shared" si="6"/>
        <v>2</v>
      </c>
      <c r="W72" s="52">
        <f t="shared" si="7"/>
        <v>0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143</v>
      </c>
      <c r="C73" s="37">
        <v>9.0</v>
      </c>
      <c r="D73" s="37">
        <v>0.0</v>
      </c>
      <c r="E73" s="40">
        <f t="shared" si="2"/>
        <v>0</v>
      </c>
      <c r="F73" s="90">
        <v>1.0</v>
      </c>
      <c r="G73" s="91">
        <v>11.0</v>
      </c>
      <c r="H73" s="92">
        <v>0.0</v>
      </c>
      <c r="I73" s="91">
        <v>6.0</v>
      </c>
      <c r="J73" s="91">
        <v>6.0</v>
      </c>
      <c r="K73" s="91">
        <v>1.0</v>
      </c>
      <c r="L73" s="93">
        <v>13.0</v>
      </c>
      <c r="M73" s="91">
        <v>2.0</v>
      </c>
      <c r="N73" s="37">
        <f t="shared" ref="N73:O73" si="78">C73+L73</f>
        <v>22</v>
      </c>
      <c r="O73" s="37">
        <f t="shared" si="78"/>
        <v>2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1</v>
      </c>
      <c r="W73" s="52">
        <f t="shared" si="7"/>
        <v>1</v>
      </c>
      <c r="X73" s="35">
        <f t="shared" si="12"/>
        <v>69</v>
      </c>
      <c r="Y73" s="35" t="str">
        <f t="shared" si="8"/>
        <v>N</v>
      </c>
      <c r="Z73" s="19" t="str">
        <f t="shared" si="9"/>
        <v/>
      </c>
    </row>
    <row r="74">
      <c r="A74" s="35">
        <f t="shared" si="10"/>
        <v>70</v>
      </c>
      <c r="B74" s="36" t="s">
        <v>70</v>
      </c>
      <c r="C74" s="37">
        <v>9.0</v>
      </c>
      <c r="D74" s="37">
        <v>0.0</v>
      </c>
      <c r="E74" s="40">
        <f t="shared" si="2"/>
        <v>0</v>
      </c>
      <c r="F74" s="90">
        <v>5.0</v>
      </c>
      <c r="G74" s="91">
        <v>0.0</v>
      </c>
      <c r="H74" s="92">
        <v>13.0</v>
      </c>
      <c r="I74" s="91">
        <v>0.0</v>
      </c>
      <c r="J74" s="91">
        <v>0.0</v>
      </c>
      <c r="K74" s="91">
        <v>0.0</v>
      </c>
      <c r="L74" s="93">
        <v>13.0</v>
      </c>
      <c r="M74" s="91">
        <v>0.0</v>
      </c>
      <c r="N74" s="37">
        <f t="shared" ref="N74:O74" si="79">C74+L74</f>
        <v>22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1</v>
      </c>
      <c r="U74" s="52"/>
      <c r="V74" s="51">
        <f t="shared" si="6"/>
        <v>1</v>
      </c>
      <c r="W74" s="52">
        <f t="shared" si="7"/>
        <v>2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136</v>
      </c>
      <c r="C75" s="37">
        <v>9.0</v>
      </c>
      <c r="D75" s="37">
        <v>0.0</v>
      </c>
      <c r="E75" s="40">
        <f t="shared" si="2"/>
        <v>0</v>
      </c>
      <c r="F75" s="90">
        <v>3.0</v>
      </c>
      <c r="G75" s="91">
        <v>0.0</v>
      </c>
      <c r="H75" s="92">
        <v>9.0</v>
      </c>
      <c r="I75" s="91">
        <v>0.0</v>
      </c>
      <c r="J75" s="91">
        <v>0.0</v>
      </c>
      <c r="K75" s="91">
        <v>0.0</v>
      </c>
      <c r="L75" s="93">
        <v>9.0</v>
      </c>
      <c r="M75" s="91">
        <v>0.0</v>
      </c>
      <c r="N75" s="37">
        <f t="shared" ref="N75:O75" si="80">C75+L75</f>
        <v>18</v>
      </c>
      <c r="O75" s="37">
        <f t="shared" si="80"/>
        <v>0</v>
      </c>
      <c r="P75" s="49" t="s">
        <v>57</v>
      </c>
      <c r="Q75" s="49" t="s">
        <v>57</v>
      </c>
      <c r="R75" s="49" t="s">
        <v>57</v>
      </c>
      <c r="S75" s="51">
        <f t="shared" si="4"/>
        <v>0</v>
      </c>
      <c r="T75" s="52">
        <f t="shared" si="5"/>
        <v>0</v>
      </c>
      <c r="U75" s="52"/>
      <c r="V75" s="51">
        <f t="shared" si="6"/>
        <v>2</v>
      </c>
      <c r="W75" s="52">
        <f t="shared" si="7"/>
        <v>2</v>
      </c>
      <c r="X75" s="35">
        <f t="shared" si="12"/>
        <v>71</v>
      </c>
      <c r="Y75" s="35" t="str">
        <f t="shared" si="8"/>
        <v>N</v>
      </c>
      <c r="Z75" s="19" t="str">
        <f t="shared" si="9"/>
        <v/>
      </c>
    </row>
    <row r="76">
      <c r="A76" s="35">
        <f t="shared" si="10"/>
        <v>72</v>
      </c>
      <c r="B76" s="36" t="s">
        <v>93</v>
      </c>
      <c r="C76" s="37">
        <v>9.0</v>
      </c>
      <c r="D76" s="37">
        <v>0.0</v>
      </c>
      <c r="E76" s="40">
        <f t="shared" si="2"/>
        <v>0</v>
      </c>
      <c r="F76" s="90">
        <v>5.0</v>
      </c>
      <c r="G76" s="91">
        <v>0.0</v>
      </c>
      <c r="H76" s="92">
        <v>13.0</v>
      </c>
      <c r="I76" s="91">
        <v>0.0</v>
      </c>
      <c r="J76" s="91">
        <v>0.0</v>
      </c>
      <c r="K76" s="91">
        <v>0.0</v>
      </c>
      <c r="L76" s="93">
        <v>13.0</v>
      </c>
      <c r="M76" s="91">
        <v>0.0</v>
      </c>
      <c r="N76" s="37">
        <f t="shared" ref="N76:O76" si="81">C76+L76</f>
        <v>22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1</v>
      </c>
      <c r="U76" s="52"/>
      <c r="V76" s="51">
        <f t="shared" si="6"/>
        <v>1</v>
      </c>
      <c r="W76" s="52">
        <f t="shared" si="7"/>
        <v>2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87</v>
      </c>
      <c r="C77" s="37">
        <v>9.0</v>
      </c>
      <c r="D77" s="37">
        <v>0.0</v>
      </c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18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2</v>
      </c>
      <c r="W77" s="52">
        <f t="shared" si="7"/>
        <v>2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144</v>
      </c>
      <c r="C78" s="37">
        <v>4.0</v>
      </c>
      <c r="D78" s="37">
        <v>0.0</v>
      </c>
      <c r="E78" s="40">
        <f t="shared" si="2"/>
        <v>2</v>
      </c>
      <c r="F78" s="90">
        <v>1.0</v>
      </c>
      <c r="G78" s="91">
        <v>11.0</v>
      </c>
      <c r="H78" s="92">
        <v>0.0</v>
      </c>
      <c r="I78" s="91">
        <v>2.0</v>
      </c>
      <c r="J78" s="91">
        <v>3.0</v>
      </c>
      <c r="K78" s="91">
        <v>1.0</v>
      </c>
      <c r="L78" s="93">
        <v>6.0</v>
      </c>
      <c r="M78" s="91">
        <v>0.0</v>
      </c>
      <c r="N78" s="37">
        <f t="shared" ref="N78:O78" si="83">C78+L78</f>
        <v>10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2</v>
      </c>
      <c r="T78" s="52">
        <f t="shared" si="5"/>
        <v>0</v>
      </c>
      <c r="U78" s="52"/>
      <c r="V78" s="51">
        <f t="shared" si="6"/>
        <v>0</v>
      </c>
      <c r="W78" s="52">
        <f t="shared" si="7"/>
        <v>-34</v>
      </c>
      <c r="X78" s="35">
        <f t="shared" si="12"/>
        <v>74</v>
      </c>
      <c r="Y78" s="35" t="str">
        <f t="shared" si="8"/>
        <v>Y</v>
      </c>
      <c r="Z78" s="19" t="str">
        <f t="shared" si="9"/>
        <v/>
      </c>
    </row>
    <row r="79">
      <c r="A79" s="35">
        <f t="shared" si="10"/>
        <v>75</v>
      </c>
      <c r="B79" s="36" t="s">
        <v>133</v>
      </c>
      <c r="C79" s="37">
        <v>4.0</v>
      </c>
      <c r="D79" s="37">
        <v>0.0</v>
      </c>
      <c r="E79" s="40">
        <f t="shared" si="2"/>
        <v>-5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13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1</v>
      </c>
      <c r="T79" s="52">
        <f t="shared" si="5"/>
        <v>0</v>
      </c>
      <c r="U79" s="52"/>
      <c r="V79" s="51">
        <f t="shared" si="6"/>
        <v>1</v>
      </c>
      <c r="W79" s="52">
        <f t="shared" si="7"/>
        <v>-24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01/10/26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""!B5:M79""),""Select B, L, M, G where L &gt;= 18 order by L desc,M desc"",0)"),"Andrew Yao")</f>
        <v>Andrew Yao</v>
      </c>
      <c r="C91" s="122">
        <f>IFERROR(__xludf.DUMMYFUNCTION("""COMPUTED_VALUE"""),19.0)</f>
        <v>19</v>
      </c>
      <c r="D91" s="122">
        <f>IFERROR(__xludf.DUMMYFUNCTION("""COMPUTED_VALUE"""),3.0)</f>
        <v>3</v>
      </c>
      <c r="E91" s="122">
        <f>IFERROR(__xludf.DUMMYFUNCTION("""COMPUTED_VALUE"""),2.0)</f>
        <v>2</v>
      </c>
      <c r="F91" s="5"/>
    </row>
    <row r="92">
      <c r="A92" s="5"/>
      <c r="B92" s="36" t="str">
        <f>IFERROR(__xludf.DUMMYFUNCTION("""COMPUTED_VALUE"""),"Ted Shen")</f>
        <v>Ted Shen</v>
      </c>
      <c r="C92" s="122">
        <f>IFERROR(__xludf.DUMMYFUNCTION("""COMPUTED_VALUE"""),19.0)</f>
        <v>19</v>
      </c>
      <c r="D92" s="122">
        <f>IFERROR(__xludf.DUMMYFUNCTION("""COMPUTED_VALUE"""),3.0)</f>
        <v>3</v>
      </c>
      <c r="E92" s="122">
        <f>IFERROR(__xludf.DUMMYFUNCTION("""COMPUTED_VALUE"""),3.0)</f>
        <v>3</v>
      </c>
      <c r="F92" s="5"/>
    </row>
    <row r="93">
      <c r="A93" s="5"/>
      <c r="B93" s="36" t="str">
        <f>IFERROR(__xludf.DUMMYFUNCTION("""COMPUTED_VALUE"""),"Lam Bui")</f>
        <v>Lam Bui</v>
      </c>
      <c r="C93" s="122">
        <f>IFERROR(__xludf.DUMMYFUNCTION("""COMPUTED_VALUE"""),19.0)</f>
        <v>19</v>
      </c>
      <c r="D93" s="122">
        <f>IFERROR(__xludf.DUMMYFUNCTION("""COMPUTED_VALUE"""),3.0)</f>
        <v>3</v>
      </c>
      <c r="E93" s="122">
        <f>IFERROR(__xludf.DUMMYFUNCTION("""COMPUTED_VALUE"""),9.0)</f>
        <v>9</v>
      </c>
      <c r="F93" s="5"/>
    </row>
    <row r="94">
      <c r="A94" s="5"/>
      <c r="B94" s="36" t="str">
        <f>IFERROR(__xludf.DUMMYFUNCTION("""COMPUTED_VALUE"""),"Eric Pan")</f>
        <v>Eric Pan</v>
      </c>
      <c r="C94" s="122">
        <f>IFERROR(__xludf.DUMMYFUNCTION("""COMPUTED_VALUE"""),19.0)</f>
        <v>19</v>
      </c>
      <c r="D94" s="122">
        <f>IFERROR(__xludf.DUMMYFUNCTION("""COMPUTED_VALUE"""),3.0)</f>
        <v>3</v>
      </c>
      <c r="E94" s="122">
        <f>IFERROR(__xludf.DUMMYFUNCTION("""COMPUTED_VALUE"""),5.0)</f>
        <v>5</v>
      </c>
      <c r="F94" s="5"/>
    </row>
    <row r="95">
      <c r="A95" s="5"/>
      <c r="B95" s="36" t="str">
        <f>IFERROR(__xludf.DUMMYFUNCTION("""COMPUTED_VALUE"""),"Alex Hou")</f>
        <v>Alex Hou</v>
      </c>
      <c r="C95" s="122">
        <f>IFERROR(__xludf.DUMMYFUNCTION("""COMPUTED_VALUE"""),19.0)</f>
        <v>19</v>
      </c>
      <c r="D95" s="122">
        <f>IFERROR(__xludf.DUMMYFUNCTION("""COMPUTED_VALUE"""),3.0)</f>
        <v>3</v>
      </c>
      <c r="E95" s="122">
        <f>IFERROR(__xludf.DUMMYFUNCTION("""COMPUTED_VALUE"""),8.0)</f>
        <v>8</v>
      </c>
      <c r="F95" s="5"/>
    </row>
    <row r="96">
      <c r="A96" s="5"/>
      <c r="B96" s="36" t="str">
        <f>IFERROR(__xludf.DUMMYFUNCTION("""COMPUTED_VALUE"""),"Sandeep Kamalon")</f>
        <v>Sandeep Kamalon</v>
      </c>
      <c r="C96" s="122">
        <f>IFERROR(__xludf.DUMMYFUNCTION("""COMPUTED_VALUE"""),19.0)</f>
        <v>19</v>
      </c>
      <c r="D96" s="122">
        <f>IFERROR(__xludf.DUMMYFUNCTION("""COMPUTED_VALUE"""),3.0)</f>
        <v>3</v>
      </c>
      <c r="E96" s="122">
        <f>IFERROR(__xludf.DUMMYFUNCTION("""COMPUTED_VALUE"""),10.0)</f>
        <v>10</v>
      </c>
      <c r="F96" s="5"/>
    </row>
    <row r="97">
      <c r="A97" s="5"/>
      <c r="B97" s="36" t="str">
        <f>IFERROR(__xludf.DUMMYFUNCTION("""COMPUTED_VALUE"""),"Jaya Sogata")</f>
        <v>Jaya Sogata</v>
      </c>
      <c r="C97" s="122">
        <f>IFERROR(__xludf.DUMMYFUNCTION("""COMPUTED_VALUE"""),18.0)</f>
        <v>18</v>
      </c>
      <c r="D97" s="122">
        <f>IFERROR(__xludf.DUMMYFUNCTION("""COMPUTED_VALUE"""),3.0)</f>
        <v>3</v>
      </c>
      <c r="E97" s="122">
        <f>IFERROR(__xludf.DUMMYFUNCTION("""COMPUTED_VALUE"""),7.0)</f>
        <v>7</v>
      </c>
      <c r="F97" s="5"/>
    </row>
    <row r="98">
      <c r="A98" s="5"/>
      <c r="B98" s="36" t="str">
        <f>IFERROR(__xludf.DUMMYFUNCTION("""COMPUTED_VALUE"""),"Frank Moon")</f>
        <v>Frank Moon</v>
      </c>
      <c r="C98" s="122">
        <f>IFERROR(__xludf.DUMMYFUNCTION("""COMPUTED_VALUE"""),18.0)</f>
        <v>18</v>
      </c>
      <c r="D98" s="122">
        <f>IFERROR(__xludf.DUMMYFUNCTION("""COMPUTED_VALUE"""),2.0)</f>
        <v>2</v>
      </c>
      <c r="E98" s="122">
        <f>IFERROR(__xludf.DUMMYFUNCTION("""COMPUTED_VALUE"""),1.0)</f>
        <v>1</v>
      </c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IFERROR(__xludf.DUMMYFUNCTION("query(B5:W79,""select B, W order by W Desc Limit 10"")"),"Sandeep Kamalon")</f>
        <v>Sandeep Kamalon</v>
      </c>
      <c r="C110" s="122">
        <f>IFERROR(__xludf.DUMMYFUNCTION("""COMPUTED_VALUE"""),60.0)</f>
        <v>60</v>
      </c>
      <c r="D110" s="122">
        <f t="shared" ref="D110:D119" si="85">VLOOKUP(B110,indirect($AC$2&amp;"!B$5:X$79"),23, false)</f>
        <v>66</v>
      </c>
      <c r="E110" s="122">
        <f t="shared" ref="E110:E119" si="86">VLOOKUP(B110,B$5:X$79,23, false)</f>
        <v>6</v>
      </c>
      <c r="F110" s="122">
        <f t="shared" ref="F110:F119" si="87">VLOOKUP(B110,indirect($AC$2&amp;"!B$5:U$79"),11, false)</f>
        <v>19</v>
      </c>
      <c r="G110" s="122">
        <f t="shared" ref="G110:G119" si="88">VLOOKUP(B110,indirect($AC$2&amp;"!B$5:U$79"),6, false)</f>
        <v>10</v>
      </c>
      <c r="L110" s="122" t="str">
        <f t="shared" ref="L110:L119" si="89">if(D110-E110=C110,"ok","Error")</f>
        <v>ok</v>
      </c>
    </row>
    <row r="111">
      <c r="A111" s="5"/>
      <c r="B111" s="36" t="str">
        <f>IFERROR(__xludf.DUMMYFUNCTION("""COMPUTED_VALUE"""),"Alex Hou")</f>
        <v>Alex Hou</v>
      </c>
      <c r="C111" s="122">
        <f>IFERROR(__xludf.DUMMYFUNCTION("""COMPUTED_VALUE"""),58.0)</f>
        <v>58</v>
      </c>
      <c r="D111" s="122">
        <f t="shared" si="85"/>
        <v>63</v>
      </c>
      <c r="E111" s="122">
        <f t="shared" si="86"/>
        <v>5</v>
      </c>
      <c r="F111" s="122">
        <f t="shared" si="87"/>
        <v>19</v>
      </c>
      <c r="G111" s="122">
        <f t="shared" si="88"/>
        <v>8</v>
      </c>
      <c r="L111" s="122" t="str">
        <f t="shared" si="89"/>
        <v>ok</v>
      </c>
    </row>
    <row r="112">
      <c r="A112" s="5"/>
      <c r="B112" s="36" t="str">
        <f>IFERROR(__xludf.DUMMYFUNCTION("""COMPUTED_VALUE"""),"Ethan Gu")</f>
        <v>Ethan Gu</v>
      </c>
      <c r="C112" s="122">
        <f>IFERROR(__xludf.DUMMYFUNCTION("""COMPUTED_VALUE"""),50.0)</f>
        <v>50</v>
      </c>
      <c r="D112" s="122">
        <f t="shared" si="85"/>
        <v>64</v>
      </c>
      <c r="E112" s="122">
        <f t="shared" si="86"/>
        <v>14</v>
      </c>
      <c r="F112" s="122">
        <f t="shared" si="87"/>
        <v>15</v>
      </c>
      <c r="G112" s="122">
        <f t="shared" si="88"/>
        <v>8</v>
      </c>
      <c r="L112" s="122" t="str">
        <f t="shared" si="89"/>
        <v>ok</v>
      </c>
    </row>
    <row r="113">
      <c r="A113" s="5"/>
      <c r="B113" s="36" t="str">
        <f>IFERROR(__xludf.DUMMYFUNCTION("""COMPUTED_VALUE"""),"Jaya Sogata")</f>
        <v>Jaya Sogata</v>
      </c>
      <c r="C113" s="122">
        <f>IFERROR(__xludf.DUMMYFUNCTION("""COMPUTED_VALUE"""),49.0)</f>
        <v>49</v>
      </c>
      <c r="D113" s="122">
        <f t="shared" si="85"/>
        <v>56</v>
      </c>
      <c r="E113" s="122">
        <f t="shared" si="86"/>
        <v>7</v>
      </c>
      <c r="F113" s="122">
        <f t="shared" si="87"/>
        <v>18</v>
      </c>
      <c r="G113" s="122">
        <f t="shared" si="88"/>
        <v>7</v>
      </c>
      <c r="L113" s="122" t="str">
        <f t="shared" si="89"/>
        <v>ok</v>
      </c>
    </row>
    <row r="114">
      <c r="A114" s="5"/>
      <c r="B114" s="36" t="str">
        <f>IFERROR(__xludf.DUMMYFUNCTION("""COMPUTED_VALUE"""),"Darren Wong")</f>
        <v>Darren Wong</v>
      </c>
      <c r="C114" s="122">
        <f>IFERROR(__xludf.DUMMYFUNCTION("""COMPUTED_VALUE"""),46.0)</f>
        <v>46</v>
      </c>
      <c r="D114" s="122">
        <f t="shared" si="85"/>
        <v>71</v>
      </c>
      <c r="E114" s="122">
        <f t="shared" si="86"/>
        <v>25</v>
      </c>
      <c r="F114" s="122">
        <f t="shared" si="87"/>
        <v>14</v>
      </c>
      <c r="G114" s="122">
        <f t="shared" si="88"/>
        <v>10</v>
      </c>
      <c r="L114" s="122" t="str">
        <f t="shared" si="89"/>
        <v>ok</v>
      </c>
    </row>
    <row r="115">
      <c r="A115" s="5"/>
      <c r="B115" s="36" t="str">
        <f>IFERROR(__xludf.DUMMYFUNCTION("""COMPUTED_VALUE"""),"Eric Pan")</f>
        <v>Eric Pan</v>
      </c>
      <c r="C115" s="122">
        <f>IFERROR(__xludf.DUMMYFUNCTION("""COMPUTED_VALUE"""),43.0)</f>
        <v>43</v>
      </c>
      <c r="D115" s="122">
        <f t="shared" si="85"/>
        <v>47</v>
      </c>
      <c r="E115" s="122">
        <f t="shared" si="86"/>
        <v>4</v>
      </c>
      <c r="F115" s="122">
        <f t="shared" si="87"/>
        <v>19</v>
      </c>
      <c r="G115" s="122">
        <f t="shared" si="88"/>
        <v>5</v>
      </c>
      <c r="L115" s="122" t="str">
        <f t="shared" si="89"/>
        <v>ok</v>
      </c>
    </row>
    <row r="116">
      <c r="A116" s="5"/>
      <c r="B116" s="36" t="str">
        <f>IFERROR(__xludf.DUMMYFUNCTION("""COMPUTED_VALUE"""),"Vishnu Amarnath")</f>
        <v>Vishnu Amarnath</v>
      </c>
      <c r="C116" s="122">
        <f>IFERROR(__xludf.DUMMYFUNCTION("""COMPUTED_VALUE"""),38.0)</f>
        <v>38</v>
      </c>
      <c r="D116" s="122">
        <f t="shared" si="85"/>
        <v>61</v>
      </c>
      <c r="E116" s="122">
        <f t="shared" si="86"/>
        <v>23</v>
      </c>
      <c r="F116" s="122">
        <f t="shared" si="87"/>
        <v>14</v>
      </c>
      <c r="G116" s="122">
        <f t="shared" si="88"/>
        <v>8</v>
      </c>
      <c r="L116" s="122" t="str">
        <f t="shared" si="89"/>
        <v>ok</v>
      </c>
    </row>
    <row r="117">
      <c r="A117" s="5"/>
      <c r="B117" s="36" t="str">
        <f>IFERROR(__xludf.DUMMYFUNCTION("""COMPUTED_VALUE"""),"Tina Hanson")</f>
        <v>Tina Hanson</v>
      </c>
      <c r="C117" s="122">
        <f>IFERROR(__xludf.DUMMYFUNCTION("""COMPUTED_VALUE"""),38.0)</f>
        <v>38</v>
      </c>
      <c r="D117" s="122">
        <f t="shared" si="85"/>
        <v>62</v>
      </c>
      <c r="E117" s="122">
        <f t="shared" si="86"/>
        <v>24</v>
      </c>
      <c r="F117" s="122">
        <f t="shared" si="87"/>
        <v>14</v>
      </c>
      <c r="G117" s="122">
        <f t="shared" si="88"/>
        <v>8</v>
      </c>
      <c r="L117" s="122" t="str">
        <f t="shared" si="89"/>
        <v>ok</v>
      </c>
    </row>
    <row r="118">
      <c r="A118" s="5"/>
      <c r="B118" s="36" t="str">
        <f>IFERROR(__xludf.DUMMYFUNCTION("""COMPUTED_VALUE"""),"Charles Choi")</f>
        <v>Charles Choi</v>
      </c>
      <c r="C118" s="122">
        <f>IFERROR(__xludf.DUMMYFUNCTION("""COMPUTED_VALUE"""),36.0)</f>
        <v>36</v>
      </c>
      <c r="D118" s="122">
        <f t="shared" si="85"/>
        <v>53</v>
      </c>
      <c r="E118" s="122">
        <f t="shared" si="86"/>
        <v>17</v>
      </c>
      <c r="F118" s="122">
        <f t="shared" si="87"/>
        <v>14</v>
      </c>
      <c r="G118" s="122">
        <f t="shared" si="88"/>
        <v>6</v>
      </c>
      <c r="L118" s="122" t="str">
        <f t="shared" si="89"/>
        <v>ok</v>
      </c>
    </row>
    <row r="119">
      <c r="A119" s="5"/>
      <c r="B119" s="36" t="str">
        <f>IFERROR(__xludf.DUMMYFUNCTION("""COMPUTED_VALUE"""),"Mauricio Palacios")</f>
        <v>Mauricio Palacios</v>
      </c>
      <c r="C119" s="122">
        <f>IFERROR(__xludf.DUMMYFUNCTION("""COMPUTED_VALUE"""),36.0)</f>
        <v>36</v>
      </c>
      <c r="D119" s="122">
        <f t="shared" si="85"/>
        <v>54</v>
      </c>
      <c r="E119" s="122">
        <f t="shared" si="86"/>
        <v>18</v>
      </c>
      <c r="F119" s="122">
        <f t="shared" si="87"/>
        <v>14</v>
      </c>
      <c r="G119" s="122">
        <f t="shared" si="88"/>
        <v>6</v>
      </c>
      <c r="L119" s="122" t="str">
        <f t="shared" si="89"/>
        <v>ok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2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Andrew Yao</v>
      </c>
      <c r="C128" s="122">
        <f t="shared" si="90"/>
        <v>19</v>
      </c>
      <c r="D128" s="122">
        <f t="shared" si="90"/>
        <v>3</v>
      </c>
      <c r="E128" s="122">
        <f t="shared" si="90"/>
        <v>9.5</v>
      </c>
      <c r="F128" s="5"/>
    </row>
    <row r="129">
      <c r="A129" s="122">
        <f t="shared" ref="A129:E129" si="91">A6</f>
        <v>2</v>
      </c>
      <c r="B129" s="36" t="str">
        <f t="shared" si="91"/>
        <v>Ted Shen</v>
      </c>
      <c r="C129" s="122">
        <f t="shared" si="91"/>
        <v>19</v>
      </c>
      <c r="D129" s="122">
        <f t="shared" si="91"/>
        <v>3</v>
      </c>
      <c r="E129" s="122">
        <f t="shared" si="91"/>
        <v>9.5</v>
      </c>
      <c r="F129" s="5"/>
    </row>
    <row r="130">
      <c r="A130" s="122">
        <f t="shared" ref="A130:E130" si="92">A7</f>
        <v>3</v>
      </c>
      <c r="B130" s="36" t="str">
        <f t="shared" si="92"/>
        <v>Lam Bui</v>
      </c>
      <c r="C130" s="122">
        <f t="shared" si="92"/>
        <v>19</v>
      </c>
      <c r="D130" s="122">
        <f t="shared" si="92"/>
        <v>3</v>
      </c>
      <c r="E130" s="122">
        <f t="shared" si="92"/>
        <v>10</v>
      </c>
      <c r="F130" s="5"/>
    </row>
    <row r="131">
      <c r="A131" s="122">
        <f t="shared" ref="A131:E131" si="93">A8</f>
        <v>4</v>
      </c>
      <c r="B131" s="36" t="str">
        <f t="shared" si="93"/>
        <v>Eric Pan</v>
      </c>
      <c r="C131" s="122">
        <f t="shared" si="93"/>
        <v>19</v>
      </c>
      <c r="D131" s="122">
        <f t="shared" si="93"/>
        <v>3</v>
      </c>
      <c r="E131" s="122">
        <f t="shared" si="93"/>
        <v>10</v>
      </c>
      <c r="F131" s="5"/>
    </row>
    <row r="132">
      <c r="A132" s="122">
        <f t="shared" ref="A132:E132" si="94">A9</f>
        <v>5</v>
      </c>
      <c r="B132" s="36" t="str">
        <f t="shared" si="94"/>
        <v>Alex Hou</v>
      </c>
      <c r="C132" s="122">
        <f t="shared" si="94"/>
        <v>19</v>
      </c>
      <c r="D132" s="122">
        <f t="shared" si="94"/>
        <v>3</v>
      </c>
      <c r="E132" s="122">
        <f t="shared" si="94"/>
        <v>9.5</v>
      </c>
      <c r="F132" s="5"/>
    </row>
    <row r="133">
      <c r="A133" s="122">
        <f t="shared" ref="A133:E133" si="95">A10</f>
        <v>6</v>
      </c>
      <c r="B133" s="36" t="str">
        <f t="shared" si="95"/>
        <v>Sandeep Kamalon</v>
      </c>
      <c r="C133" s="122">
        <f t="shared" si="95"/>
        <v>19</v>
      </c>
      <c r="D133" s="122">
        <f t="shared" si="95"/>
        <v>3</v>
      </c>
      <c r="E133" s="122">
        <f t="shared" si="95"/>
        <v>9.5</v>
      </c>
      <c r="F133" s="5"/>
    </row>
    <row r="134">
      <c r="A134" s="122">
        <f t="shared" ref="A134:E134" si="96">A11</f>
        <v>7</v>
      </c>
      <c r="B134" s="36" t="str">
        <f t="shared" si="96"/>
        <v>Jaya Sogata</v>
      </c>
      <c r="C134" s="122">
        <f t="shared" si="96"/>
        <v>18</v>
      </c>
      <c r="D134" s="122">
        <f t="shared" si="96"/>
        <v>3</v>
      </c>
      <c r="E134" s="122">
        <f t="shared" si="96"/>
        <v>9</v>
      </c>
      <c r="F134" s="5"/>
    </row>
    <row r="135">
      <c r="A135" s="122">
        <f t="shared" ref="A135:E135" si="97">A12</f>
        <v>8</v>
      </c>
      <c r="B135" s="36" t="str">
        <f t="shared" si="97"/>
        <v>Frank Moon</v>
      </c>
      <c r="C135" s="122">
        <f t="shared" si="97"/>
        <v>18</v>
      </c>
      <c r="D135" s="122">
        <f t="shared" si="97"/>
        <v>2</v>
      </c>
      <c r="E135" s="122">
        <f t="shared" si="97"/>
        <v>9</v>
      </c>
      <c r="F135" s="5"/>
    </row>
    <row r="136">
      <c r="A136" s="122">
        <f t="shared" ref="A136:E136" si="98">A13</f>
        <v>9</v>
      </c>
      <c r="B136" s="36" t="str">
        <f t="shared" si="98"/>
        <v>Herman Au</v>
      </c>
      <c r="C136" s="122">
        <f t="shared" si="98"/>
        <v>16</v>
      </c>
      <c r="D136" s="122">
        <f t="shared" si="98"/>
        <v>2</v>
      </c>
      <c r="E136" s="122">
        <f t="shared" si="98"/>
        <v>8</v>
      </c>
      <c r="F136" s="5"/>
    </row>
    <row r="137">
      <c r="A137" s="122">
        <f t="shared" ref="A137:E137" si="99">A14</f>
        <v>10</v>
      </c>
      <c r="B137" s="36" t="str">
        <f t="shared" si="99"/>
        <v>Jim Miao</v>
      </c>
      <c r="C137" s="122">
        <f t="shared" si="99"/>
        <v>16</v>
      </c>
      <c r="D137" s="122">
        <f t="shared" si="99"/>
        <v>1</v>
      </c>
      <c r="E137" s="122">
        <f t="shared" si="99"/>
        <v>8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38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IFERROR(__xludf.DUMMYFUNCTION("""COMPUTED_VALUE"""),"Charles Choi")</f>
        <v>Charles Choi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IFERROR(__xludf.DUMMYFUNCTION("""COMPUTED_VALUE"""),"Cid Macaraeg")</f>
        <v>Cid Macaraeg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IFERROR(__xludf.DUMMYFUNCTION("""COMPUTED_VALUE"""),"Coco Yan")</f>
        <v>Coco Yan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IFERROR(__xludf.DUMMYFUNCTION("""COMPUTED_VALUE"""),"Darren Wong")</f>
        <v>Darren Wong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IFERROR(__xludf.DUMMYFUNCTION("""COMPUTED_VALUE"""),"Eric Tan")</f>
        <v>Eric Tan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IFERROR(__xludf.DUMMYFUNCTION("""COMPUTED_VALUE"""),"Frank Moon")</f>
        <v>Frank Moon</v>
      </c>
      <c r="C171" s="5"/>
      <c r="D171" s="5"/>
      <c r="E171" s="5"/>
      <c r="F171" s="5"/>
    </row>
    <row r="172">
      <c r="A172" s="122">
        <f t="shared" si="100"/>
        <v>10</v>
      </c>
      <c r="B172" s="36" t="str">
        <f>IFERROR(__xludf.DUMMYFUNCTION("""COMPUTED_VALUE"""),"Herman Au")</f>
        <v>Herman Au</v>
      </c>
      <c r="C172" s="5"/>
      <c r="D172" s="5"/>
      <c r="E172" s="5"/>
      <c r="F172" s="5"/>
    </row>
    <row r="173">
      <c r="A173" s="122">
        <f t="shared" si="100"/>
        <v>11</v>
      </c>
      <c r="B173" s="36" t="str">
        <f>IFERROR(__xludf.DUMMYFUNCTION("""COMPUTED_VALUE"""),"Hongyuan Wen")</f>
        <v>Hongyuan Wen</v>
      </c>
      <c r="C173" s="5"/>
      <c r="D173" s="5"/>
      <c r="E173" s="5"/>
      <c r="F173" s="5"/>
    </row>
    <row r="174">
      <c r="A174" s="122">
        <f t="shared" si="100"/>
        <v>12</v>
      </c>
      <c r="B174" s="36" t="str">
        <f>IFERROR(__xludf.DUMMYFUNCTION("""COMPUTED_VALUE"""),"Jaya Sogata")</f>
        <v>Jaya Sogata</v>
      </c>
      <c r="C174" s="5"/>
      <c r="D174" s="5"/>
      <c r="E174" s="5"/>
      <c r="F174" s="5"/>
    </row>
    <row r="175">
      <c r="A175" s="122">
        <f t="shared" si="100"/>
        <v>13</v>
      </c>
      <c r="B175" s="36" t="str">
        <f>IFERROR(__xludf.DUMMYFUNCTION("""COMPUTED_VALUE"""),"Jim Miao")</f>
        <v>Jim Miao</v>
      </c>
      <c r="C175" s="5"/>
      <c r="D175" s="5"/>
      <c r="E175" s="5"/>
      <c r="F175" s="5"/>
    </row>
    <row r="176">
      <c r="A176" s="122">
        <f t="shared" si="100"/>
        <v>14</v>
      </c>
      <c r="B176" s="36" t="str">
        <f>IFERROR(__xludf.DUMMYFUNCTION("""COMPUTED_VALUE"""),"Kumar Palakeel")</f>
        <v>Kumar Palakeel</v>
      </c>
      <c r="C176" s="5"/>
      <c r="D176" s="5"/>
      <c r="E176" s="5"/>
      <c r="F176" s="5"/>
    </row>
    <row r="177">
      <c r="A177" s="122">
        <f t="shared" si="100"/>
        <v>15</v>
      </c>
      <c r="B177" s="36" t="str">
        <f>IFERROR(__xludf.DUMMYFUNCTION("""COMPUTED_VALUE"""),"Lloyd Sagar")</f>
        <v>Lloyd Sagar</v>
      </c>
      <c r="C177" s="5"/>
      <c r="D177" s="5"/>
      <c r="E177" s="5"/>
      <c r="F177" s="5"/>
    </row>
    <row r="178">
      <c r="A178" s="122">
        <f t="shared" si="100"/>
        <v>16</v>
      </c>
      <c r="B178" s="36" t="str">
        <f>IFERROR(__xludf.DUMMYFUNCTION("""COMPUTED_VALUE"""),"Mauricio Palacios")</f>
        <v>Mauricio Palacios</v>
      </c>
      <c r="C178" s="5"/>
      <c r="D178" s="5"/>
      <c r="E178" s="5"/>
      <c r="F178" s="5"/>
    </row>
    <row r="179">
      <c r="A179" s="122">
        <f t="shared" si="100"/>
        <v>17</v>
      </c>
      <c r="B179" s="36" t="str">
        <f>IFERROR(__xludf.DUMMYFUNCTION("""COMPUTED_VALUE"""),"Naveen Raj")</f>
        <v>Naveen Raj</v>
      </c>
      <c r="C179" s="5"/>
      <c r="D179" s="5"/>
      <c r="E179" s="5"/>
      <c r="F179" s="5"/>
    </row>
    <row r="180">
      <c r="A180" s="122">
        <f t="shared" si="100"/>
        <v>18</v>
      </c>
      <c r="B180" s="36" t="str">
        <f>IFERROR(__xludf.DUMMYFUNCTION("""COMPUTED_VALUE"""),"Nicole Ni")</f>
        <v>Nicole Ni</v>
      </c>
      <c r="C180" s="5"/>
      <c r="D180" s="5"/>
      <c r="E180" s="5"/>
      <c r="F180" s="5"/>
    </row>
    <row r="181">
      <c r="A181" s="122">
        <f t="shared" si="100"/>
        <v>19</v>
      </c>
      <c r="B181" s="36" t="str">
        <f>IFERROR(__xludf.DUMMYFUNCTION("""COMPUTED_VALUE"""),"Pavan Akkimsetty")</f>
        <v>Pavan Akkimsetty</v>
      </c>
      <c r="C181" s="5"/>
      <c r="D181" s="5"/>
      <c r="E181" s="5"/>
      <c r="F181" s="5"/>
    </row>
    <row r="182">
      <c r="A182" s="122">
        <f t="shared" si="100"/>
        <v>20</v>
      </c>
      <c r="B182" s="36" t="str">
        <f>IFERROR(__xludf.DUMMYFUNCTION("""COMPUTED_VALUE"""),"Ranjith Doraiswamy")</f>
        <v>Ranjith Doraiswamy</v>
      </c>
      <c r="C182" s="5"/>
      <c r="D182" s="5"/>
      <c r="E182" s="5"/>
      <c r="F182" s="5"/>
    </row>
    <row r="183">
      <c r="A183" s="122">
        <f t="shared" si="100"/>
        <v>21</v>
      </c>
      <c r="B183" s="36" t="str">
        <f>IFERROR(__xludf.DUMMYFUNCTION("""COMPUTED_VALUE"""),"Sandeep Kamalon")</f>
        <v>Sandeep Kamalon</v>
      </c>
      <c r="C183" s="5"/>
      <c r="D183" s="5"/>
      <c r="E183" s="5"/>
      <c r="F183" s="5"/>
    </row>
    <row r="184">
      <c r="A184" s="122">
        <f t="shared" si="100"/>
        <v>22</v>
      </c>
      <c r="B184" s="36" t="str">
        <f>IFERROR(__xludf.DUMMYFUNCTION("""COMPUTED_VALUE"""),"Sandy Weyant")</f>
        <v>Sandy Weyant</v>
      </c>
      <c r="C184" s="5"/>
      <c r="D184" s="5"/>
      <c r="E184" s="5"/>
      <c r="F184" s="5"/>
    </row>
    <row r="185">
      <c r="A185" s="122">
        <f t="shared" si="100"/>
        <v>23</v>
      </c>
      <c r="B185" s="36" t="str">
        <f>IFERROR(__xludf.DUMMYFUNCTION("""COMPUTED_VALUE"""),"Saravanan Veerapandian")</f>
        <v>Saravanan Veerapandian</v>
      </c>
      <c r="C185" s="5"/>
      <c r="D185" s="5"/>
      <c r="E185" s="5"/>
      <c r="F185" s="5"/>
    </row>
    <row r="186">
      <c r="A186" s="122">
        <f t="shared" si="100"/>
        <v>24</v>
      </c>
      <c r="B186" s="36" t="str">
        <f>IFERROR(__xludf.DUMMYFUNCTION("""COMPUTED_VALUE"""),"Suleman Alidina")</f>
        <v>Suleman Alidina</v>
      </c>
      <c r="C186" s="5"/>
      <c r="D186" s="5"/>
      <c r="E186" s="5"/>
      <c r="F186" s="5"/>
    </row>
    <row r="187">
      <c r="A187" s="122">
        <f t="shared" si="100"/>
        <v>25</v>
      </c>
      <c r="B187" s="36" t="str">
        <f>IFERROR(__xludf.DUMMYFUNCTION("""COMPUTED_VALUE"""),"Ted Shen")</f>
        <v>Ted Shen</v>
      </c>
      <c r="C187" s="5"/>
      <c r="D187" s="5"/>
      <c r="E187" s="5"/>
      <c r="F187" s="5"/>
    </row>
    <row r="188">
      <c r="A188" s="122">
        <f t="shared" si="100"/>
        <v>26</v>
      </c>
      <c r="B188" s="36" t="str">
        <f>IFERROR(__xludf.DUMMYFUNCTION("""COMPUTED_VALUE"""),"Tina Hanson")</f>
        <v>Tina Hanson</v>
      </c>
      <c r="C188" s="5"/>
      <c r="D188" s="5"/>
      <c r="E188" s="5"/>
      <c r="F188" s="5"/>
    </row>
    <row r="189">
      <c r="A189" s="122">
        <f t="shared" si="100"/>
        <v>27</v>
      </c>
      <c r="B189" s="36" t="str">
        <f>IFERROR(__xludf.DUMMYFUNCTION("""COMPUTED_VALUE"""),"Trish Newlin")</f>
        <v>Trish Newlin</v>
      </c>
      <c r="C189" s="5"/>
      <c r="D189" s="5"/>
      <c r="E189" s="5"/>
      <c r="F189" s="5"/>
    </row>
    <row r="190">
      <c r="A190" s="122">
        <f t="shared" si="100"/>
        <v>28</v>
      </c>
      <c r="B190" s="36" t="str">
        <f>IFERROR(__xludf.DUMMYFUNCTION("""COMPUTED_VALUE"""),"Vinaya Kajla")</f>
        <v>Vinaya Kajla</v>
      </c>
      <c r="C190" s="5"/>
      <c r="D190" s="5"/>
      <c r="E190" s="5"/>
      <c r="F190" s="5"/>
    </row>
    <row r="191">
      <c r="A191" s="122">
        <f t="shared" si="100"/>
        <v>29</v>
      </c>
      <c r="B191" s="36" t="str">
        <f>IFERROR(__xludf.DUMMYFUNCTION("""COMPUTED_VALUE"""),"Wayne Liu")</f>
        <v>Wayne Liu</v>
      </c>
      <c r="C191" s="5"/>
      <c r="D191" s="5"/>
      <c r="E191" s="5"/>
      <c r="F191" s="5"/>
    </row>
    <row r="192">
      <c r="A192" s="122">
        <f t="shared" si="100"/>
        <v>0</v>
      </c>
      <c r="B192" s="36"/>
      <c r="C192" s="5"/>
      <c r="D192" s="5"/>
      <c r="E192" s="5"/>
      <c r="F192" s="5"/>
    </row>
    <row r="193">
      <c r="A193" s="122">
        <f t="shared" si="100"/>
        <v>0</v>
      </c>
      <c r="B193" s="36"/>
      <c r="C193" s="5"/>
      <c r="D193" s="5"/>
      <c r="E193" s="5"/>
      <c r="F193" s="5"/>
    </row>
    <row r="194">
      <c r="A194" s="122">
        <f t="shared" si="100"/>
        <v>0</v>
      </c>
      <c r="B194" s="36"/>
      <c r="C194" s="5"/>
      <c r="D194" s="5"/>
      <c r="E194" s="5"/>
      <c r="F194" s="5"/>
    </row>
    <row r="195">
      <c r="A195" s="122">
        <f t="shared" si="100"/>
        <v>0</v>
      </c>
      <c r="B195" s="36"/>
      <c r="C195" s="5"/>
      <c r="D195" s="5"/>
      <c r="E195" s="5"/>
      <c r="F195" s="5"/>
    </row>
    <row r="196">
      <c r="A196" s="122">
        <f t="shared" si="100"/>
        <v>0</v>
      </c>
      <c r="B196" s="36"/>
      <c r="C196" s="5"/>
      <c r="D196" s="5"/>
      <c r="E196" s="5"/>
      <c r="F196" s="5"/>
    </row>
    <row r="197">
      <c r="A197" s="122">
        <f t="shared" si="100"/>
        <v>0</v>
      </c>
      <c r="B197" s="36"/>
      <c r="C197" s="5"/>
      <c r="D197" s="5"/>
      <c r="E197" s="5"/>
      <c r="F197" s="5"/>
    </row>
    <row r="198">
      <c r="A198" s="122">
        <f t="shared" si="100"/>
        <v>0</v>
      </c>
      <c r="B198" s="36"/>
      <c r="C198" s="5"/>
      <c r="D198" s="5"/>
      <c r="E198" s="5"/>
      <c r="F198" s="5"/>
    </row>
    <row r="199">
      <c r="A199" s="122">
        <f t="shared" si="100"/>
        <v>0</v>
      </c>
      <c r="B199" s="36"/>
      <c r="C199" s="5"/>
      <c r="D199" s="5"/>
      <c r="E199" s="5"/>
      <c r="F199" s="5"/>
    </row>
    <row r="200">
      <c r="A200" s="122">
        <f t="shared" si="100"/>
        <v>0</v>
      </c>
      <c r="B200" s="36"/>
      <c r="C200" s="5"/>
      <c r="D200" s="5"/>
      <c r="E200" s="5"/>
      <c r="F200" s="5"/>
    </row>
    <row r="201">
      <c r="A201" s="122">
        <f t="shared" si="100"/>
        <v>0</v>
      </c>
      <c r="B201" s="36"/>
      <c r="C201" s="5"/>
      <c r="D201" s="5"/>
      <c r="E201" s="5"/>
      <c r="F201" s="5"/>
    </row>
    <row r="202">
      <c r="A202" s="122">
        <f t="shared" si="100"/>
        <v>0</v>
      </c>
      <c r="B202" s="36"/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B247" s="127" t="str">
        <f>concatenate("Scores for : " &amp; AC2)</f>
        <v>Scores for : 01/10/26</v>
      </c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120" t="s">
        <v>0</v>
      </c>
      <c r="B249" s="120" t="s">
        <v>1</v>
      </c>
      <c r="C249" s="120" t="s">
        <v>12</v>
      </c>
      <c r="D249" s="120" t="s">
        <v>13</v>
      </c>
      <c r="E249" s="120" t="s">
        <v>15</v>
      </c>
      <c r="F249" s="120" t="s">
        <v>17</v>
      </c>
      <c r="G249" s="120" t="s">
        <v>9</v>
      </c>
    </row>
    <row r="250">
      <c r="A250" s="122">
        <f>IFERROR(__xludf.DUMMYFUNCTION("QUERY(indirect(AC2 &amp; ""!B5:M79""),""Select G, B, I, J, K,L, M where G &gt; 0 order by G asc"",0)"),1.0)</f>
        <v>1</v>
      </c>
      <c r="B250" s="36" t="str">
        <f>IFERROR(__xludf.DUMMYFUNCTION("""COMPUTED_VALUE"""),"Herman Au")</f>
        <v>Herman Au</v>
      </c>
      <c r="C250" s="132">
        <f>IFERROR(__xludf.DUMMYFUNCTION("""COMPUTED_VALUE"""),3.0)</f>
        <v>3</v>
      </c>
      <c r="D250" s="132">
        <f>IFERROR(__xludf.DUMMYFUNCTION("""COMPUTED_VALUE"""),7.0)</f>
        <v>7</v>
      </c>
      <c r="E250" s="132">
        <f>IFERROR(__xludf.DUMMYFUNCTION("""COMPUTED_VALUE"""),6.0)</f>
        <v>6</v>
      </c>
      <c r="F250" s="132">
        <f>IFERROR(__xludf.DUMMYFUNCTION("""COMPUTED_VALUE"""),16.0)</f>
        <v>16</v>
      </c>
      <c r="G250" s="132">
        <f>IFERROR(__xludf.DUMMYFUNCTION("""COMPUTED_VALUE"""),2.0)</f>
        <v>2</v>
      </c>
    </row>
    <row r="251">
      <c r="A251" s="122">
        <f>IFERROR(__xludf.DUMMYFUNCTION("""COMPUTED_VALUE"""),1.0)</f>
        <v>1</v>
      </c>
      <c r="B251" s="36" t="str">
        <f>IFERROR(__xludf.DUMMYFUNCTION("""COMPUTED_VALUE"""),"Vinaya Kajla")</f>
        <v>Vinaya Kajla</v>
      </c>
      <c r="C251" s="132">
        <f>IFERROR(__xludf.DUMMYFUNCTION("""COMPUTED_VALUE"""),6.0)</f>
        <v>6</v>
      </c>
      <c r="D251" s="132">
        <f>IFERROR(__xludf.DUMMYFUNCTION("""COMPUTED_VALUE"""),7.0)</f>
        <v>7</v>
      </c>
      <c r="E251" s="132">
        <f>IFERROR(__xludf.DUMMYFUNCTION("""COMPUTED_VALUE"""),1.0)</f>
        <v>1</v>
      </c>
      <c r="F251" s="132">
        <f>IFERROR(__xludf.DUMMYFUNCTION("""COMPUTED_VALUE"""),14.0)</f>
        <v>14</v>
      </c>
      <c r="G251" s="132">
        <f>IFERROR(__xludf.DUMMYFUNCTION("""COMPUTED_VALUE"""),2.0)</f>
        <v>2</v>
      </c>
    </row>
    <row r="252">
      <c r="A252" s="122">
        <f>IFERROR(__xludf.DUMMYFUNCTION("""COMPUTED_VALUE"""),1.0)</f>
        <v>1</v>
      </c>
      <c r="B252" s="36" t="str">
        <f>IFERROR(__xludf.DUMMYFUNCTION("""COMPUTED_VALUE"""),"Frank Moon")</f>
        <v>Frank Moon</v>
      </c>
      <c r="C252" s="132">
        <f>IFERROR(__xludf.DUMMYFUNCTION("""COMPUTED_VALUE"""),6.0)</f>
        <v>6</v>
      </c>
      <c r="D252" s="132">
        <f>IFERROR(__xludf.DUMMYFUNCTION("""COMPUTED_VALUE"""),6.0)</f>
        <v>6</v>
      </c>
      <c r="E252" s="132">
        <f>IFERROR(__xludf.DUMMYFUNCTION("""COMPUTED_VALUE"""),6.0)</f>
        <v>6</v>
      </c>
      <c r="F252" s="132">
        <f>IFERROR(__xludf.DUMMYFUNCTION("""COMPUTED_VALUE"""),18.0)</f>
        <v>18</v>
      </c>
      <c r="G252" s="132">
        <f>IFERROR(__xludf.DUMMYFUNCTION("""COMPUTED_VALUE"""),2.0)</f>
        <v>2</v>
      </c>
    </row>
    <row r="253">
      <c r="A253" s="122">
        <f>IFERROR(__xludf.DUMMYFUNCTION("""COMPUTED_VALUE"""),1.0)</f>
        <v>1</v>
      </c>
      <c r="B253" s="36" t="str">
        <f>IFERROR(__xludf.DUMMYFUNCTION("""COMPUTED_VALUE"""),"Eric Tan")</f>
        <v>Eric Tan</v>
      </c>
      <c r="C253" s="132">
        <f>IFERROR(__xludf.DUMMYFUNCTION("""COMPUTED_VALUE"""),3.0)</f>
        <v>3</v>
      </c>
      <c r="D253" s="132">
        <f>IFERROR(__xludf.DUMMYFUNCTION("""COMPUTED_VALUE"""),6.0)</f>
        <v>6</v>
      </c>
      <c r="E253" s="132">
        <f>IFERROR(__xludf.DUMMYFUNCTION("""COMPUTED_VALUE"""),1.0)</f>
        <v>1</v>
      </c>
      <c r="F253" s="132">
        <f>IFERROR(__xludf.DUMMYFUNCTION("""COMPUTED_VALUE"""),10.0)</f>
        <v>10</v>
      </c>
      <c r="G253" s="132">
        <f>IFERROR(__xludf.DUMMYFUNCTION("""COMPUTED_VALUE"""),0.0)</f>
        <v>0</v>
      </c>
    </row>
    <row r="254">
      <c r="A254" s="133">
        <f>IFERROR(__xludf.DUMMYFUNCTION("""COMPUTED_VALUE"""),2.0)</f>
        <v>2</v>
      </c>
      <c r="B254" s="134" t="str">
        <f>IFERROR(__xludf.DUMMYFUNCTION("""COMPUTED_VALUE"""),"Hongyuan Wen")</f>
        <v>Hongyuan Wen</v>
      </c>
      <c r="C254" s="135">
        <f>IFERROR(__xludf.DUMMYFUNCTION("""COMPUTED_VALUE"""),5.0)</f>
        <v>5</v>
      </c>
      <c r="D254" s="135">
        <f>IFERROR(__xludf.DUMMYFUNCTION("""COMPUTED_VALUE"""),3.0)</f>
        <v>3</v>
      </c>
      <c r="E254" s="135">
        <f>IFERROR(__xludf.DUMMYFUNCTION("""COMPUTED_VALUE"""),6.0)</f>
        <v>6</v>
      </c>
      <c r="F254" s="135">
        <f>IFERROR(__xludf.DUMMYFUNCTION("""COMPUTED_VALUE"""),14.0)</f>
        <v>14</v>
      </c>
      <c r="G254" s="135">
        <f>IFERROR(__xludf.DUMMYFUNCTION("""COMPUTED_VALUE"""),1.0)</f>
        <v>1</v>
      </c>
    </row>
    <row r="255">
      <c r="A255" s="133">
        <f>IFERROR(__xludf.DUMMYFUNCTION("""COMPUTED_VALUE"""),2.0)</f>
        <v>2</v>
      </c>
      <c r="B255" s="134" t="str">
        <f>IFERROR(__xludf.DUMMYFUNCTION("""COMPUTED_VALUE"""),"Nicole Ni")</f>
        <v>Nicole Ni</v>
      </c>
      <c r="C255" s="135">
        <f>IFERROR(__xludf.DUMMYFUNCTION("""COMPUTED_VALUE"""),7.0)</f>
        <v>7</v>
      </c>
      <c r="D255" s="135">
        <f>IFERROR(__xludf.DUMMYFUNCTION("""COMPUTED_VALUE"""),3.0)</f>
        <v>3</v>
      </c>
      <c r="E255" s="135">
        <f>IFERROR(__xludf.DUMMYFUNCTION("""COMPUTED_VALUE"""),4.0)</f>
        <v>4</v>
      </c>
      <c r="F255" s="135">
        <f>IFERROR(__xludf.DUMMYFUNCTION("""COMPUTED_VALUE"""),14.0)</f>
        <v>14</v>
      </c>
      <c r="G255" s="135">
        <f>IFERROR(__xludf.DUMMYFUNCTION("""COMPUTED_VALUE"""),1.0)</f>
        <v>1</v>
      </c>
    </row>
    <row r="256">
      <c r="A256" s="133">
        <f>IFERROR(__xludf.DUMMYFUNCTION("""COMPUTED_VALUE"""),2.0)</f>
        <v>2</v>
      </c>
      <c r="B256" s="134" t="str">
        <f>IFERROR(__xludf.DUMMYFUNCTION("""COMPUTED_VALUE"""),"Lloyd Sagar")</f>
        <v>Lloyd Sagar</v>
      </c>
      <c r="C256" s="135">
        <f>IFERROR(__xludf.DUMMYFUNCTION("""COMPUTED_VALUE"""),5.0)</f>
        <v>5</v>
      </c>
      <c r="D256" s="135">
        <f>IFERROR(__xludf.DUMMYFUNCTION("""COMPUTED_VALUE"""),6.0)</f>
        <v>6</v>
      </c>
      <c r="E256" s="135">
        <f>IFERROR(__xludf.DUMMYFUNCTION("""COMPUTED_VALUE"""),4.0)</f>
        <v>4</v>
      </c>
      <c r="F256" s="135">
        <f>IFERROR(__xludf.DUMMYFUNCTION("""COMPUTED_VALUE"""),15.0)</f>
        <v>15</v>
      </c>
      <c r="G256" s="135">
        <f>IFERROR(__xludf.DUMMYFUNCTION("""COMPUTED_VALUE"""),1.0)</f>
        <v>1</v>
      </c>
    </row>
    <row r="257">
      <c r="A257" s="133">
        <f>IFERROR(__xludf.DUMMYFUNCTION("""COMPUTED_VALUE"""),2.0)</f>
        <v>2</v>
      </c>
      <c r="B257" s="134" t="str">
        <f>IFERROR(__xludf.DUMMYFUNCTION("""COMPUTED_VALUE"""),"Andrew Yao")</f>
        <v>Andrew Yao</v>
      </c>
      <c r="C257" s="135">
        <f>IFERROR(__xludf.DUMMYFUNCTION("""COMPUTED_VALUE"""),7.0)</f>
        <v>7</v>
      </c>
      <c r="D257" s="135">
        <f>IFERROR(__xludf.DUMMYFUNCTION("""COMPUTED_VALUE"""),6.0)</f>
        <v>6</v>
      </c>
      <c r="E257" s="135">
        <f>IFERROR(__xludf.DUMMYFUNCTION("""COMPUTED_VALUE"""),6.0)</f>
        <v>6</v>
      </c>
      <c r="F257" s="135">
        <f>IFERROR(__xludf.DUMMYFUNCTION("""COMPUTED_VALUE"""),19.0)</f>
        <v>19</v>
      </c>
      <c r="G257" s="135">
        <f>IFERROR(__xludf.DUMMYFUNCTION("""COMPUTED_VALUE"""),3.0)</f>
        <v>3</v>
      </c>
    </row>
    <row r="258">
      <c r="A258" s="122">
        <f>IFERROR(__xludf.DUMMYFUNCTION("""COMPUTED_VALUE"""),3.0)</f>
        <v>3</v>
      </c>
      <c r="B258" s="36" t="str">
        <f>IFERROR(__xludf.DUMMYFUNCTION("""COMPUTED_VALUE"""),"Robert Chang")</f>
        <v>Robert Chang</v>
      </c>
      <c r="C258" s="132">
        <f>IFERROR(__xludf.DUMMYFUNCTION("""COMPUTED_VALUE"""),3.0)</f>
        <v>3</v>
      </c>
      <c r="D258" s="132">
        <f>IFERROR(__xludf.DUMMYFUNCTION("""COMPUTED_VALUE"""),6.0)</f>
        <v>6</v>
      </c>
      <c r="E258" s="132">
        <f>IFERROR(__xludf.DUMMYFUNCTION("""COMPUTED_VALUE"""),6.0)</f>
        <v>6</v>
      </c>
      <c r="F258" s="132">
        <f>IFERROR(__xludf.DUMMYFUNCTION("""COMPUTED_VALUE"""),15.0)</f>
        <v>15</v>
      </c>
      <c r="G258" s="132">
        <f>IFERROR(__xludf.DUMMYFUNCTION("""COMPUTED_VALUE"""),1.0)</f>
        <v>1</v>
      </c>
    </row>
    <row r="259">
      <c r="A259" s="122">
        <f>IFERROR(__xludf.DUMMYFUNCTION("""COMPUTED_VALUE"""),3.0)</f>
        <v>3</v>
      </c>
      <c r="B259" s="36" t="str">
        <f>IFERROR(__xludf.DUMMYFUNCTION("""COMPUTED_VALUE"""),"Jim Miao")</f>
        <v>Jim Miao</v>
      </c>
      <c r="C259" s="132">
        <f>IFERROR(__xludf.DUMMYFUNCTION("""COMPUTED_VALUE"""),6.0)</f>
        <v>6</v>
      </c>
      <c r="D259" s="132">
        <f>IFERROR(__xludf.DUMMYFUNCTION("""COMPUTED_VALUE"""),6.0)</f>
        <v>6</v>
      </c>
      <c r="E259" s="132">
        <f>IFERROR(__xludf.DUMMYFUNCTION("""COMPUTED_VALUE"""),4.0)</f>
        <v>4</v>
      </c>
      <c r="F259" s="132">
        <f>IFERROR(__xludf.DUMMYFUNCTION("""COMPUTED_VALUE"""),16.0)</f>
        <v>16</v>
      </c>
      <c r="G259" s="132">
        <f>IFERROR(__xludf.DUMMYFUNCTION("""COMPUTED_VALUE"""),1.0)</f>
        <v>1</v>
      </c>
    </row>
    <row r="260">
      <c r="A260" s="122">
        <f>IFERROR(__xludf.DUMMYFUNCTION("""COMPUTED_VALUE"""),3.0)</f>
        <v>3</v>
      </c>
      <c r="B260" s="36" t="str">
        <f>IFERROR(__xludf.DUMMYFUNCTION("""COMPUTED_VALUE"""),"Ted Shen")</f>
        <v>Ted Shen</v>
      </c>
      <c r="C260" s="132">
        <f>IFERROR(__xludf.DUMMYFUNCTION("""COMPUTED_VALUE"""),6.0)</f>
        <v>6</v>
      </c>
      <c r="D260" s="132">
        <f>IFERROR(__xludf.DUMMYFUNCTION("""COMPUTED_VALUE"""),7.0)</f>
        <v>7</v>
      </c>
      <c r="E260" s="132">
        <f>IFERROR(__xludf.DUMMYFUNCTION("""COMPUTED_VALUE"""),6.0)</f>
        <v>6</v>
      </c>
      <c r="F260" s="132">
        <f>IFERROR(__xludf.DUMMYFUNCTION("""COMPUTED_VALUE"""),19.0)</f>
        <v>19</v>
      </c>
      <c r="G260" s="132">
        <f>IFERROR(__xludf.DUMMYFUNCTION("""COMPUTED_VALUE"""),3.0)</f>
        <v>3</v>
      </c>
    </row>
    <row r="261">
      <c r="A261" s="122">
        <f>IFERROR(__xludf.DUMMYFUNCTION("""COMPUTED_VALUE"""),3.0)</f>
        <v>3</v>
      </c>
      <c r="B261" s="36" t="str">
        <f>IFERROR(__xludf.DUMMYFUNCTION("""COMPUTED_VALUE"""),"Elayaraja Thangaraj")</f>
        <v>Elayaraja Thangaraj</v>
      </c>
      <c r="C261" s="132">
        <f>IFERROR(__xludf.DUMMYFUNCTION("""COMPUTED_VALUE"""),3.0)</f>
        <v>3</v>
      </c>
      <c r="D261" s="132">
        <f>IFERROR(__xludf.DUMMYFUNCTION("""COMPUTED_VALUE"""),7.0)</f>
        <v>7</v>
      </c>
      <c r="E261" s="132">
        <f>IFERROR(__xludf.DUMMYFUNCTION("""COMPUTED_VALUE"""),4.0)</f>
        <v>4</v>
      </c>
      <c r="F261" s="132">
        <f>IFERROR(__xludf.DUMMYFUNCTION("""COMPUTED_VALUE"""),14.0)</f>
        <v>14</v>
      </c>
      <c r="G261" s="132">
        <f>IFERROR(__xludf.DUMMYFUNCTION("""COMPUTED_VALUE"""),1.0)</f>
        <v>1</v>
      </c>
    </row>
    <row r="262">
      <c r="A262" s="133">
        <f>IFERROR(__xludf.DUMMYFUNCTION("""COMPUTED_VALUE"""),4.0)</f>
        <v>4</v>
      </c>
      <c r="B262" s="134" t="str">
        <f>IFERROR(__xludf.DUMMYFUNCTION("""COMPUTED_VALUE"""),"Naveen Raj")</f>
        <v>Naveen Raj</v>
      </c>
      <c r="C262" s="135">
        <f>IFERROR(__xludf.DUMMYFUNCTION("""COMPUTED_VALUE"""),6.0)</f>
        <v>6</v>
      </c>
      <c r="D262" s="135">
        <f>IFERROR(__xludf.DUMMYFUNCTION("""COMPUTED_VALUE"""),2.0)</f>
        <v>2</v>
      </c>
      <c r="E262" s="135">
        <f>IFERROR(__xludf.DUMMYFUNCTION("""COMPUTED_VALUE"""),6.0)</f>
        <v>6</v>
      </c>
      <c r="F262" s="135">
        <f>IFERROR(__xludf.DUMMYFUNCTION("""COMPUTED_VALUE"""),14.0)</f>
        <v>14</v>
      </c>
      <c r="G262" s="135">
        <f>IFERROR(__xludf.DUMMYFUNCTION("""COMPUTED_VALUE"""),2.0)</f>
        <v>2</v>
      </c>
    </row>
    <row r="263">
      <c r="A263" s="133">
        <f>IFERROR(__xludf.DUMMYFUNCTION("""COMPUTED_VALUE"""),4.0)</f>
        <v>4</v>
      </c>
      <c r="B263" s="134" t="str">
        <f>IFERROR(__xludf.DUMMYFUNCTION("""COMPUTED_VALUE"""),"Trish Newlin")</f>
        <v>Trish Newlin</v>
      </c>
      <c r="C263" s="135">
        <f>IFERROR(__xludf.DUMMYFUNCTION("""COMPUTED_VALUE"""),1.0)</f>
        <v>1</v>
      </c>
      <c r="D263" s="135">
        <f>IFERROR(__xludf.DUMMYFUNCTION("""COMPUTED_VALUE"""),6.0)</f>
        <v>6</v>
      </c>
      <c r="E263" s="135">
        <f>IFERROR(__xludf.DUMMYFUNCTION("""COMPUTED_VALUE"""),6.0)</f>
        <v>6</v>
      </c>
      <c r="F263" s="135">
        <f>IFERROR(__xludf.DUMMYFUNCTION("""COMPUTED_VALUE"""),13.0)</f>
        <v>13</v>
      </c>
      <c r="G263" s="135">
        <f>IFERROR(__xludf.DUMMYFUNCTION("""COMPUTED_VALUE"""),2.0)</f>
        <v>2</v>
      </c>
    </row>
    <row r="264">
      <c r="A264" s="133">
        <f>IFERROR(__xludf.DUMMYFUNCTION("""COMPUTED_VALUE"""),4.0)</f>
        <v>4</v>
      </c>
      <c r="B264" s="134" t="str">
        <f>IFERROR(__xludf.DUMMYFUNCTION("""COMPUTED_VALUE"""),"Ranjith Doraiswamy")</f>
        <v>Ranjith Doraiswamy</v>
      </c>
      <c r="C264" s="135">
        <f>IFERROR(__xludf.DUMMYFUNCTION("""COMPUTED_VALUE"""),1.0)</f>
        <v>1</v>
      </c>
      <c r="D264" s="135">
        <f>IFERROR(__xludf.DUMMYFUNCTION("""COMPUTED_VALUE"""),2.0)</f>
        <v>2</v>
      </c>
      <c r="E264" s="135">
        <f>IFERROR(__xludf.DUMMYFUNCTION("""COMPUTED_VALUE"""),1.0)</f>
        <v>1</v>
      </c>
      <c r="F264" s="135">
        <f>IFERROR(__xludf.DUMMYFUNCTION("""COMPUTED_VALUE"""),4.0)</f>
        <v>4</v>
      </c>
      <c r="G264" s="135">
        <f>IFERROR(__xludf.DUMMYFUNCTION("""COMPUTED_VALUE"""),0.0)</f>
        <v>0</v>
      </c>
    </row>
    <row r="265">
      <c r="A265" s="133">
        <f>IFERROR(__xludf.DUMMYFUNCTION("""COMPUTED_VALUE"""),4.0)</f>
        <v>4</v>
      </c>
      <c r="B265" s="134" t="str">
        <f>IFERROR(__xludf.DUMMYFUNCTION("""COMPUTED_VALUE"""),"Sandy Weyant")</f>
        <v>Sandy Weyant</v>
      </c>
      <c r="C265" s="135">
        <f>IFERROR(__xludf.DUMMYFUNCTION("""COMPUTED_VALUE"""),6.0)</f>
        <v>6</v>
      </c>
      <c r="D265" s="135">
        <f>IFERROR(__xludf.DUMMYFUNCTION("""COMPUTED_VALUE"""),6.0)</f>
        <v>6</v>
      </c>
      <c r="E265" s="135">
        <f>IFERROR(__xludf.DUMMYFUNCTION("""COMPUTED_VALUE"""),1.0)</f>
        <v>1</v>
      </c>
      <c r="F265" s="135">
        <f>IFERROR(__xludf.DUMMYFUNCTION("""COMPUTED_VALUE"""),13.0)</f>
        <v>13</v>
      </c>
      <c r="G265" s="135">
        <f>IFERROR(__xludf.DUMMYFUNCTION("""COMPUTED_VALUE"""),2.0)</f>
        <v>2</v>
      </c>
    </row>
    <row r="266">
      <c r="A266" s="122">
        <f>IFERROR(__xludf.DUMMYFUNCTION("""COMPUTED_VALUE"""),5.0)</f>
        <v>5</v>
      </c>
      <c r="B266" s="36" t="str">
        <f>IFERROR(__xludf.DUMMYFUNCTION("""COMPUTED_VALUE"""),"Pulkit Mathur")</f>
        <v>Pulkit Mathur</v>
      </c>
      <c r="C266" s="132">
        <f>IFERROR(__xludf.DUMMYFUNCTION("""COMPUTED_VALUE"""),6.0)</f>
        <v>6</v>
      </c>
      <c r="D266" s="132">
        <f>IFERROR(__xludf.DUMMYFUNCTION("""COMPUTED_VALUE"""),6.0)</f>
        <v>6</v>
      </c>
      <c r="E266" s="132">
        <f>IFERROR(__xludf.DUMMYFUNCTION("""COMPUTED_VALUE"""),1.0)</f>
        <v>1</v>
      </c>
      <c r="F266" s="132">
        <f>IFERROR(__xludf.DUMMYFUNCTION("""COMPUTED_VALUE"""),13.0)</f>
        <v>13</v>
      </c>
      <c r="G266" s="132">
        <f>IFERROR(__xludf.DUMMYFUNCTION("""COMPUTED_VALUE"""),1.0)</f>
        <v>1</v>
      </c>
    </row>
    <row r="267">
      <c r="A267" s="122">
        <f>IFERROR(__xludf.DUMMYFUNCTION("""COMPUTED_VALUE"""),5.0)</f>
        <v>5</v>
      </c>
      <c r="B267" s="36" t="str">
        <f>IFERROR(__xludf.DUMMYFUNCTION("""COMPUTED_VALUE"""),"Suleman Alidina")</f>
        <v>Suleman Alidina</v>
      </c>
      <c r="C267" s="132">
        <f>IFERROR(__xludf.DUMMYFUNCTION("""COMPUTED_VALUE"""),6.0)</f>
        <v>6</v>
      </c>
      <c r="D267" s="132">
        <f>IFERROR(__xludf.DUMMYFUNCTION("""COMPUTED_VALUE"""),1.0)</f>
        <v>1</v>
      </c>
      <c r="E267" s="132">
        <f>IFERROR(__xludf.DUMMYFUNCTION("""COMPUTED_VALUE"""),6.0)</f>
        <v>6</v>
      </c>
      <c r="F267" s="132">
        <f>IFERROR(__xludf.DUMMYFUNCTION("""COMPUTED_VALUE"""),13.0)</f>
        <v>13</v>
      </c>
      <c r="G267" s="132">
        <f>IFERROR(__xludf.DUMMYFUNCTION("""COMPUTED_VALUE"""),1.0)</f>
        <v>1</v>
      </c>
    </row>
    <row r="268">
      <c r="A268" s="122">
        <f>IFERROR(__xludf.DUMMYFUNCTION("""COMPUTED_VALUE"""),5.0)</f>
        <v>5</v>
      </c>
      <c r="B268" s="36" t="str">
        <f>IFERROR(__xludf.DUMMYFUNCTION("""COMPUTED_VALUE"""),"Eric Pan")</f>
        <v>Eric Pan</v>
      </c>
      <c r="C268" s="132">
        <f>IFERROR(__xludf.DUMMYFUNCTION("""COMPUTED_VALUE"""),7.0)</f>
        <v>7</v>
      </c>
      <c r="D268" s="132">
        <f>IFERROR(__xludf.DUMMYFUNCTION("""COMPUTED_VALUE"""),6.0)</f>
        <v>6</v>
      </c>
      <c r="E268" s="132">
        <f>IFERROR(__xludf.DUMMYFUNCTION("""COMPUTED_VALUE"""),6.0)</f>
        <v>6</v>
      </c>
      <c r="F268" s="132">
        <f>IFERROR(__xludf.DUMMYFUNCTION("""COMPUTED_VALUE"""),19.0)</f>
        <v>19</v>
      </c>
      <c r="G268" s="132">
        <f>IFERROR(__xludf.DUMMYFUNCTION("""COMPUTED_VALUE"""),3.0)</f>
        <v>3</v>
      </c>
    </row>
    <row r="269">
      <c r="A269" s="122">
        <f>IFERROR(__xludf.DUMMYFUNCTION("""COMPUTED_VALUE"""),5.0)</f>
        <v>5</v>
      </c>
      <c r="B269" s="36" t="str">
        <f>IFERROR(__xludf.DUMMYFUNCTION("""COMPUTED_VALUE"""),"Wayne Liu")</f>
        <v>Wayne Liu</v>
      </c>
      <c r="C269" s="132">
        <f>IFERROR(__xludf.DUMMYFUNCTION("""COMPUTED_VALUE"""),7.0)</f>
        <v>7</v>
      </c>
      <c r="D269" s="132">
        <f>IFERROR(__xludf.DUMMYFUNCTION("""COMPUTED_VALUE"""),1.0)</f>
        <v>1</v>
      </c>
      <c r="E269" s="132">
        <f>IFERROR(__xludf.DUMMYFUNCTION("""COMPUTED_VALUE"""),1.0)</f>
        <v>1</v>
      </c>
      <c r="F269" s="132">
        <f>IFERROR(__xludf.DUMMYFUNCTION("""COMPUTED_VALUE"""),9.0)</f>
        <v>9</v>
      </c>
      <c r="G269" s="132">
        <f>IFERROR(__xludf.DUMMYFUNCTION("""COMPUTED_VALUE"""),1.0)</f>
        <v>1</v>
      </c>
    </row>
    <row r="270">
      <c r="A270" s="133">
        <f>IFERROR(__xludf.DUMMYFUNCTION("""COMPUTED_VALUE"""),6.0)</f>
        <v>6</v>
      </c>
      <c r="B270" s="134" t="str">
        <f>IFERROR(__xludf.DUMMYFUNCTION("""COMPUTED_VALUE"""),"Joyce Zhu")</f>
        <v>Joyce Zhu</v>
      </c>
      <c r="C270" s="135">
        <f>IFERROR(__xludf.DUMMYFUNCTION("""COMPUTED_VALUE"""),0.0)</f>
        <v>0</v>
      </c>
      <c r="D270" s="135">
        <f>IFERROR(__xludf.DUMMYFUNCTION("""COMPUTED_VALUE"""),2.0)</f>
        <v>2</v>
      </c>
      <c r="E270" s="135">
        <f>IFERROR(__xludf.DUMMYFUNCTION("""COMPUTED_VALUE"""),2.0)</f>
        <v>2</v>
      </c>
      <c r="F270" s="135">
        <f>IFERROR(__xludf.DUMMYFUNCTION("""COMPUTED_VALUE"""),4.0)</f>
        <v>4</v>
      </c>
      <c r="G270" s="135">
        <f>IFERROR(__xludf.DUMMYFUNCTION("""COMPUTED_VALUE"""),0.0)</f>
        <v>0</v>
      </c>
    </row>
    <row r="271">
      <c r="A271" s="133">
        <f>IFERROR(__xludf.DUMMYFUNCTION("""COMPUTED_VALUE"""),6.0)</f>
        <v>6</v>
      </c>
      <c r="B271" s="134" t="str">
        <f>IFERROR(__xludf.DUMMYFUNCTION("""COMPUTED_VALUE"""),"Saravanan Veerapandian")</f>
        <v>Saravanan Veerapandian</v>
      </c>
      <c r="C271" s="135">
        <f>IFERROR(__xludf.DUMMYFUNCTION("""COMPUTED_VALUE"""),0.0)</f>
        <v>0</v>
      </c>
      <c r="D271" s="135">
        <f>IFERROR(__xludf.DUMMYFUNCTION("""COMPUTED_VALUE"""),6.0)</f>
        <v>6</v>
      </c>
      <c r="E271" s="135">
        <f>IFERROR(__xludf.DUMMYFUNCTION("""COMPUTED_VALUE"""),6.0)</f>
        <v>6</v>
      </c>
      <c r="F271" s="135">
        <f>IFERROR(__xludf.DUMMYFUNCTION("""COMPUTED_VALUE"""),12.0)</f>
        <v>12</v>
      </c>
      <c r="G271" s="135">
        <f>IFERROR(__xludf.DUMMYFUNCTION("""COMPUTED_VALUE"""),2.0)</f>
        <v>2</v>
      </c>
    </row>
    <row r="272">
      <c r="A272" s="133">
        <f>IFERROR(__xludf.DUMMYFUNCTION("""COMPUTED_VALUE"""),6.0)</f>
        <v>6</v>
      </c>
      <c r="B272" s="134" t="str">
        <f>IFERROR(__xludf.DUMMYFUNCTION("""COMPUTED_VALUE"""),"Charles Choi")</f>
        <v>Charles Choi</v>
      </c>
      <c r="C272" s="135">
        <f>IFERROR(__xludf.DUMMYFUNCTION("""COMPUTED_VALUE"""),6.0)</f>
        <v>6</v>
      </c>
      <c r="D272" s="135">
        <f>IFERROR(__xludf.DUMMYFUNCTION("""COMPUTED_VALUE"""),6.0)</f>
        <v>6</v>
      </c>
      <c r="E272" s="135">
        <f>IFERROR(__xludf.DUMMYFUNCTION("""COMPUTED_VALUE"""),2.0)</f>
        <v>2</v>
      </c>
      <c r="F272" s="135">
        <f>IFERROR(__xludf.DUMMYFUNCTION("""COMPUTED_VALUE"""),14.0)</f>
        <v>14</v>
      </c>
      <c r="G272" s="135">
        <f>IFERROR(__xludf.DUMMYFUNCTION("""COMPUTED_VALUE"""),2.0)</f>
        <v>2</v>
      </c>
    </row>
    <row r="273">
      <c r="A273" s="133">
        <f>IFERROR(__xludf.DUMMYFUNCTION("""COMPUTED_VALUE"""),6.0)</f>
        <v>6</v>
      </c>
      <c r="B273" s="134" t="str">
        <f>IFERROR(__xludf.DUMMYFUNCTION("""COMPUTED_VALUE"""),"Mauricio Palacios")</f>
        <v>Mauricio Palacios</v>
      </c>
      <c r="C273" s="135">
        <f>IFERROR(__xludf.DUMMYFUNCTION("""COMPUTED_VALUE"""),6.0)</f>
        <v>6</v>
      </c>
      <c r="D273" s="135">
        <f>IFERROR(__xludf.DUMMYFUNCTION("""COMPUTED_VALUE"""),2.0)</f>
        <v>2</v>
      </c>
      <c r="E273" s="135">
        <f>IFERROR(__xludf.DUMMYFUNCTION("""COMPUTED_VALUE"""),6.0)</f>
        <v>6</v>
      </c>
      <c r="F273" s="135">
        <f>IFERROR(__xludf.DUMMYFUNCTION("""COMPUTED_VALUE"""),14.0)</f>
        <v>14</v>
      </c>
      <c r="G273" s="135">
        <f>IFERROR(__xludf.DUMMYFUNCTION("""COMPUTED_VALUE"""),2.0)</f>
        <v>2</v>
      </c>
    </row>
    <row r="274">
      <c r="A274" s="122">
        <f>IFERROR(__xludf.DUMMYFUNCTION("""COMPUTED_VALUE"""),7.0)</f>
        <v>7</v>
      </c>
      <c r="B274" s="36" t="str">
        <f>IFERROR(__xludf.DUMMYFUNCTION("""COMPUTED_VALUE"""),"Jaya Sogata")</f>
        <v>Jaya Sogata</v>
      </c>
      <c r="C274" s="132">
        <f>IFERROR(__xludf.DUMMYFUNCTION("""COMPUTED_VALUE"""),6.0)</f>
        <v>6</v>
      </c>
      <c r="D274" s="132">
        <f>IFERROR(__xludf.DUMMYFUNCTION("""COMPUTED_VALUE"""),6.0)</f>
        <v>6</v>
      </c>
      <c r="E274" s="132">
        <f>IFERROR(__xludf.DUMMYFUNCTION("""COMPUTED_VALUE"""),6.0)</f>
        <v>6</v>
      </c>
      <c r="F274" s="132">
        <f>IFERROR(__xludf.DUMMYFUNCTION("""COMPUTED_VALUE"""),18.0)</f>
        <v>18</v>
      </c>
      <c r="G274" s="132">
        <f>IFERROR(__xludf.DUMMYFUNCTION("""COMPUTED_VALUE"""),3.0)</f>
        <v>3</v>
      </c>
    </row>
    <row r="275">
      <c r="A275" s="122">
        <f>IFERROR(__xludf.DUMMYFUNCTION("""COMPUTED_VALUE"""),7.0)</f>
        <v>7</v>
      </c>
      <c r="B275" s="36" t="str">
        <f>IFERROR(__xludf.DUMMYFUNCTION("""COMPUTED_VALUE"""),"Kumar Palakeel")</f>
        <v>Kumar Palakeel</v>
      </c>
      <c r="C275" s="132">
        <f>IFERROR(__xludf.DUMMYFUNCTION("""COMPUTED_VALUE"""),4.0)</f>
        <v>4</v>
      </c>
      <c r="D275" s="132">
        <f>IFERROR(__xludf.DUMMYFUNCTION("""COMPUTED_VALUE"""),0.0)</f>
        <v>0</v>
      </c>
      <c r="E275" s="132">
        <f>IFERROR(__xludf.DUMMYFUNCTION("""COMPUTED_VALUE"""),6.0)</f>
        <v>6</v>
      </c>
      <c r="F275" s="132">
        <f>IFERROR(__xludf.DUMMYFUNCTION("""COMPUTED_VALUE"""),10.0)</f>
        <v>10</v>
      </c>
      <c r="G275" s="132">
        <f>IFERROR(__xludf.DUMMYFUNCTION("""COMPUTED_VALUE"""),1.0)</f>
        <v>1</v>
      </c>
    </row>
    <row r="276">
      <c r="A276" s="122">
        <f>IFERROR(__xludf.DUMMYFUNCTION("""COMPUTED_VALUE"""),7.0)</f>
        <v>7</v>
      </c>
      <c r="B276" s="36" t="str">
        <f>IFERROR(__xludf.DUMMYFUNCTION("""COMPUTED_VALUE"""),"Vinotkumar Nagappan")</f>
        <v>Vinotkumar Nagappan</v>
      </c>
      <c r="C276" s="132">
        <f>IFERROR(__xludf.DUMMYFUNCTION("""COMPUTED_VALUE"""),4.0)</f>
        <v>4</v>
      </c>
      <c r="D276" s="132">
        <f>IFERROR(__xludf.DUMMYFUNCTION("""COMPUTED_VALUE"""),6.0)</f>
        <v>6</v>
      </c>
      <c r="E276" s="132">
        <f>IFERROR(__xludf.DUMMYFUNCTION("""COMPUTED_VALUE"""),4.0)</f>
        <v>4</v>
      </c>
      <c r="F276" s="132">
        <f>IFERROR(__xludf.DUMMYFUNCTION("""COMPUTED_VALUE"""),14.0)</f>
        <v>14</v>
      </c>
      <c r="G276" s="132">
        <f>IFERROR(__xludf.DUMMYFUNCTION("""COMPUTED_VALUE"""),1.0)</f>
        <v>1</v>
      </c>
    </row>
    <row r="277">
      <c r="A277" s="122">
        <f>IFERROR(__xludf.DUMMYFUNCTION("""COMPUTED_VALUE"""),7.0)</f>
        <v>7</v>
      </c>
      <c r="B277" s="36" t="str">
        <f>IFERROR(__xludf.DUMMYFUNCTION("""COMPUTED_VALUE"""),"Jimmy Awolesi")</f>
        <v>Jimmy Awolesi</v>
      </c>
      <c r="C277" s="132">
        <f>IFERROR(__xludf.DUMMYFUNCTION("""COMPUTED_VALUE"""),6.0)</f>
        <v>6</v>
      </c>
      <c r="D277" s="132">
        <f>IFERROR(__xludf.DUMMYFUNCTION("""COMPUTED_VALUE"""),0.0)</f>
        <v>0</v>
      </c>
      <c r="E277" s="132">
        <f>IFERROR(__xludf.DUMMYFUNCTION("""COMPUTED_VALUE"""),4.0)</f>
        <v>4</v>
      </c>
      <c r="F277" s="132">
        <f>IFERROR(__xludf.DUMMYFUNCTION("""COMPUTED_VALUE"""),10.0)</f>
        <v>10</v>
      </c>
      <c r="G277" s="132">
        <f>IFERROR(__xludf.DUMMYFUNCTION("""COMPUTED_VALUE"""),1.0)</f>
        <v>1</v>
      </c>
    </row>
    <row r="278">
      <c r="A278" s="133">
        <f>IFERROR(__xludf.DUMMYFUNCTION("""COMPUTED_VALUE"""),8.0)</f>
        <v>8</v>
      </c>
      <c r="B278" s="134" t="str">
        <f>IFERROR(__xludf.DUMMYFUNCTION("""COMPUTED_VALUE"""),"Vishnu Amarnath")</f>
        <v>Vishnu Amarnath</v>
      </c>
      <c r="C278" s="135">
        <f>IFERROR(__xludf.DUMMYFUNCTION("""COMPUTED_VALUE"""),4.0)</f>
        <v>4</v>
      </c>
      <c r="D278" s="135">
        <f>IFERROR(__xludf.DUMMYFUNCTION("""COMPUTED_VALUE"""),3.0)</f>
        <v>3</v>
      </c>
      <c r="E278" s="135">
        <f>IFERROR(__xludf.DUMMYFUNCTION("""COMPUTED_VALUE"""),7.0)</f>
        <v>7</v>
      </c>
      <c r="F278" s="135">
        <f>IFERROR(__xludf.DUMMYFUNCTION("""COMPUTED_VALUE"""),14.0)</f>
        <v>14</v>
      </c>
      <c r="G278" s="135">
        <f>IFERROR(__xludf.DUMMYFUNCTION("""COMPUTED_VALUE"""),1.0)</f>
        <v>1</v>
      </c>
    </row>
    <row r="279">
      <c r="A279" s="133">
        <f>IFERROR(__xludf.DUMMYFUNCTION("""COMPUTED_VALUE"""),8.0)</f>
        <v>8</v>
      </c>
      <c r="B279" s="134" t="str">
        <f>IFERROR(__xludf.DUMMYFUNCTION("""COMPUTED_VALUE"""),"Tina Hanson")</f>
        <v>Tina Hanson</v>
      </c>
      <c r="C279" s="135">
        <f>IFERROR(__xludf.DUMMYFUNCTION("""COMPUTED_VALUE"""),6.0)</f>
        <v>6</v>
      </c>
      <c r="D279" s="135">
        <f>IFERROR(__xludf.DUMMYFUNCTION("""COMPUTED_VALUE"""),3.0)</f>
        <v>3</v>
      </c>
      <c r="E279" s="135">
        <f>IFERROR(__xludf.DUMMYFUNCTION("""COMPUTED_VALUE"""),5.0)</f>
        <v>5</v>
      </c>
      <c r="F279" s="135">
        <f>IFERROR(__xludf.DUMMYFUNCTION("""COMPUTED_VALUE"""),14.0)</f>
        <v>14</v>
      </c>
      <c r="G279" s="135">
        <f>IFERROR(__xludf.DUMMYFUNCTION("""COMPUTED_VALUE"""),1.0)</f>
        <v>1</v>
      </c>
    </row>
    <row r="280">
      <c r="A280" s="133">
        <f>IFERROR(__xludf.DUMMYFUNCTION("""COMPUTED_VALUE"""),8.0)</f>
        <v>8</v>
      </c>
      <c r="B280" s="134" t="str">
        <f>IFERROR(__xludf.DUMMYFUNCTION("""COMPUTED_VALUE"""),"Alex Hou")</f>
        <v>Alex Hou</v>
      </c>
      <c r="C280" s="135">
        <f>IFERROR(__xludf.DUMMYFUNCTION("""COMPUTED_VALUE"""),6.0)</f>
        <v>6</v>
      </c>
      <c r="D280" s="135">
        <f>IFERROR(__xludf.DUMMYFUNCTION("""COMPUTED_VALUE"""),6.0)</f>
        <v>6</v>
      </c>
      <c r="E280" s="135">
        <f>IFERROR(__xludf.DUMMYFUNCTION("""COMPUTED_VALUE"""),7.0)</f>
        <v>7</v>
      </c>
      <c r="F280" s="135">
        <f>IFERROR(__xludf.DUMMYFUNCTION("""COMPUTED_VALUE"""),19.0)</f>
        <v>19</v>
      </c>
      <c r="G280" s="135">
        <f>IFERROR(__xludf.DUMMYFUNCTION("""COMPUTED_VALUE"""),3.0)</f>
        <v>3</v>
      </c>
    </row>
    <row r="281">
      <c r="A281" s="133">
        <f>IFERROR(__xludf.DUMMYFUNCTION("""COMPUTED_VALUE"""),8.0)</f>
        <v>8</v>
      </c>
      <c r="B281" s="134" t="str">
        <f>IFERROR(__xludf.DUMMYFUNCTION("""COMPUTED_VALUE"""),"Ethan Gu")</f>
        <v>Ethan Gu</v>
      </c>
      <c r="C281" s="135">
        <f>IFERROR(__xludf.DUMMYFUNCTION("""COMPUTED_VALUE"""),4.0)</f>
        <v>4</v>
      </c>
      <c r="D281" s="135">
        <f>IFERROR(__xludf.DUMMYFUNCTION("""COMPUTED_VALUE"""),6.0)</f>
        <v>6</v>
      </c>
      <c r="E281" s="135">
        <f>IFERROR(__xludf.DUMMYFUNCTION("""COMPUTED_VALUE"""),5.0)</f>
        <v>5</v>
      </c>
      <c r="F281" s="135">
        <f>IFERROR(__xludf.DUMMYFUNCTION("""COMPUTED_VALUE"""),15.0)</f>
        <v>15</v>
      </c>
      <c r="G281" s="135">
        <f>IFERROR(__xludf.DUMMYFUNCTION("""COMPUTED_VALUE"""),1.0)</f>
        <v>1</v>
      </c>
    </row>
    <row r="282">
      <c r="A282" s="122">
        <f>IFERROR(__xludf.DUMMYFUNCTION("""COMPUTED_VALUE"""),9.0)</f>
        <v>9</v>
      </c>
      <c r="B282" s="36" t="str">
        <f>IFERROR(__xludf.DUMMYFUNCTION("""COMPUTED_VALUE"""),"Basudev Thoppai Vidyasankar")</f>
        <v>Basudev Thoppai Vidyasankar</v>
      </c>
      <c r="C282" s="132">
        <f>IFERROR(__xludf.DUMMYFUNCTION("""COMPUTED_VALUE"""),6.0)</f>
        <v>6</v>
      </c>
      <c r="D282" s="132">
        <f>IFERROR(__xludf.DUMMYFUNCTION("""COMPUTED_VALUE"""),5.0)</f>
        <v>5</v>
      </c>
      <c r="E282" s="132">
        <f>IFERROR(__xludf.DUMMYFUNCTION("""COMPUTED_VALUE"""),4.0)</f>
        <v>4</v>
      </c>
      <c r="F282" s="132">
        <f>IFERROR(__xludf.DUMMYFUNCTION("""COMPUTED_VALUE"""),15.0)</f>
        <v>15</v>
      </c>
      <c r="G282" s="132">
        <f>IFERROR(__xludf.DUMMYFUNCTION("""COMPUTED_VALUE"""),1.0)</f>
        <v>1</v>
      </c>
    </row>
    <row r="283">
      <c r="A283" s="122">
        <f>IFERROR(__xludf.DUMMYFUNCTION("""COMPUTED_VALUE"""),9.0)</f>
        <v>9</v>
      </c>
      <c r="B283" s="36" t="str">
        <f>IFERROR(__xludf.DUMMYFUNCTION("""COMPUTED_VALUE"""),"Lam Bui")</f>
        <v>Lam Bui</v>
      </c>
      <c r="C283" s="132">
        <f>IFERROR(__xludf.DUMMYFUNCTION("""COMPUTED_VALUE"""),6.0)</f>
        <v>6</v>
      </c>
      <c r="D283" s="132">
        <f>IFERROR(__xludf.DUMMYFUNCTION("""COMPUTED_VALUE"""),7.0)</f>
        <v>7</v>
      </c>
      <c r="E283" s="132">
        <f>IFERROR(__xludf.DUMMYFUNCTION("""COMPUTED_VALUE"""),6.0)</f>
        <v>6</v>
      </c>
      <c r="F283" s="132">
        <f>IFERROR(__xludf.DUMMYFUNCTION("""COMPUTED_VALUE"""),19.0)</f>
        <v>19</v>
      </c>
      <c r="G283" s="132">
        <f>IFERROR(__xludf.DUMMYFUNCTION("""COMPUTED_VALUE"""),3.0)</f>
        <v>3</v>
      </c>
    </row>
    <row r="284">
      <c r="A284" s="122">
        <f>IFERROR(__xludf.DUMMYFUNCTION("""COMPUTED_VALUE"""),9.0)</f>
        <v>9</v>
      </c>
      <c r="B284" s="36" t="str">
        <f>IFERROR(__xludf.DUMMYFUNCTION("""COMPUTED_VALUE"""),"Coco Yan")</f>
        <v>Coco Yan</v>
      </c>
      <c r="C284" s="132">
        <f>IFERROR(__xludf.DUMMYFUNCTION("""COMPUTED_VALUE"""),2.0)</f>
        <v>2</v>
      </c>
      <c r="D284" s="132">
        <f>IFERROR(__xludf.DUMMYFUNCTION("""COMPUTED_VALUE"""),5.0)</f>
        <v>5</v>
      </c>
      <c r="E284" s="132">
        <f>IFERROR(__xludf.DUMMYFUNCTION("""COMPUTED_VALUE"""),6.0)</f>
        <v>6</v>
      </c>
      <c r="F284" s="132">
        <f>IFERROR(__xludf.DUMMYFUNCTION("""COMPUTED_VALUE"""),13.0)</f>
        <v>13</v>
      </c>
      <c r="G284" s="132">
        <f>IFERROR(__xludf.DUMMYFUNCTION("""COMPUTED_VALUE"""),1.0)</f>
        <v>1</v>
      </c>
    </row>
    <row r="285">
      <c r="A285" s="122">
        <f>IFERROR(__xludf.DUMMYFUNCTION("""COMPUTED_VALUE"""),9.0)</f>
        <v>9</v>
      </c>
      <c r="B285" s="36" t="str">
        <f>IFERROR(__xludf.DUMMYFUNCTION("""COMPUTED_VALUE"""),"Allen Zhang")</f>
        <v>Allen Zhang</v>
      </c>
      <c r="C285" s="132">
        <f>IFERROR(__xludf.DUMMYFUNCTION("""COMPUTED_VALUE"""),2.0)</f>
        <v>2</v>
      </c>
      <c r="D285" s="132">
        <f>IFERROR(__xludf.DUMMYFUNCTION("""COMPUTED_VALUE"""),7.0)</f>
        <v>7</v>
      </c>
      <c r="E285" s="132">
        <f>IFERROR(__xludf.DUMMYFUNCTION("""COMPUTED_VALUE"""),4.0)</f>
        <v>4</v>
      </c>
      <c r="F285" s="132">
        <f>IFERROR(__xludf.DUMMYFUNCTION("""COMPUTED_VALUE"""),13.0)</f>
        <v>13</v>
      </c>
      <c r="G285" s="132">
        <f>IFERROR(__xludf.DUMMYFUNCTION("""COMPUTED_VALUE"""),1.0)</f>
        <v>1</v>
      </c>
    </row>
    <row r="286">
      <c r="A286" s="133">
        <f>IFERROR(__xludf.DUMMYFUNCTION("""COMPUTED_VALUE"""),10.0)</f>
        <v>10</v>
      </c>
      <c r="B286" s="134" t="str">
        <f>IFERROR(__xludf.DUMMYFUNCTION("""COMPUTED_VALUE"""),"Sandeep Kamalon")</f>
        <v>Sandeep Kamalon</v>
      </c>
      <c r="C286" s="135">
        <f>IFERROR(__xludf.DUMMYFUNCTION("""COMPUTED_VALUE"""),6.0)</f>
        <v>6</v>
      </c>
      <c r="D286" s="135">
        <f>IFERROR(__xludf.DUMMYFUNCTION("""COMPUTED_VALUE"""),6.0)</f>
        <v>6</v>
      </c>
      <c r="E286" s="135">
        <f>IFERROR(__xludf.DUMMYFUNCTION("""COMPUTED_VALUE"""),7.0)</f>
        <v>7</v>
      </c>
      <c r="F286" s="135">
        <f>IFERROR(__xludf.DUMMYFUNCTION("""COMPUTED_VALUE"""),19.0)</f>
        <v>19</v>
      </c>
      <c r="G286" s="135">
        <f>IFERROR(__xludf.DUMMYFUNCTION("""COMPUTED_VALUE"""),3.0)</f>
        <v>3</v>
      </c>
    </row>
    <row r="287">
      <c r="A287" s="133">
        <f>IFERROR(__xludf.DUMMYFUNCTION("""COMPUTED_VALUE"""),10.0)</f>
        <v>10</v>
      </c>
      <c r="B287" s="134" t="str">
        <f>IFERROR(__xludf.DUMMYFUNCTION("""COMPUTED_VALUE"""),"Pavan Akkimsetty")</f>
        <v>Pavan Akkimsetty</v>
      </c>
      <c r="C287" s="135">
        <f>IFERROR(__xludf.DUMMYFUNCTION("""COMPUTED_VALUE"""),1.0)</f>
        <v>1</v>
      </c>
      <c r="D287" s="135">
        <f>IFERROR(__xludf.DUMMYFUNCTION("""COMPUTED_VALUE"""),3.0)</f>
        <v>3</v>
      </c>
      <c r="E287" s="135">
        <f>IFERROR(__xludf.DUMMYFUNCTION("""COMPUTED_VALUE"""),7.0)</f>
        <v>7</v>
      </c>
      <c r="F287" s="135">
        <f>IFERROR(__xludf.DUMMYFUNCTION("""COMPUTED_VALUE"""),11.0)</f>
        <v>11</v>
      </c>
      <c r="G287" s="135">
        <f>IFERROR(__xludf.DUMMYFUNCTION("""COMPUTED_VALUE"""),1.0)</f>
        <v>1</v>
      </c>
    </row>
    <row r="288">
      <c r="A288" s="133">
        <f>IFERROR(__xludf.DUMMYFUNCTION("""COMPUTED_VALUE"""),10.0)</f>
        <v>10</v>
      </c>
      <c r="B288" s="134" t="str">
        <f>IFERROR(__xludf.DUMMYFUNCTION("""COMPUTED_VALUE"""),"Cid Macaraeg")</f>
        <v>Cid Macaraeg</v>
      </c>
      <c r="C288" s="135">
        <f>IFERROR(__xludf.DUMMYFUNCTION("""COMPUTED_VALUE"""),1.0)</f>
        <v>1</v>
      </c>
      <c r="D288" s="135">
        <f>IFERROR(__xludf.DUMMYFUNCTION("""COMPUTED_VALUE"""),6.0)</f>
        <v>6</v>
      </c>
      <c r="E288" s="135">
        <f>IFERROR(__xludf.DUMMYFUNCTION("""COMPUTED_VALUE"""),5.0)</f>
        <v>5</v>
      </c>
      <c r="F288" s="135">
        <f>IFERROR(__xludf.DUMMYFUNCTION("""COMPUTED_VALUE"""),12.0)</f>
        <v>12</v>
      </c>
      <c r="G288" s="135">
        <f>IFERROR(__xludf.DUMMYFUNCTION("""COMPUTED_VALUE"""),1.0)</f>
        <v>1</v>
      </c>
    </row>
    <row r="289">
      <c r="A289" s="133">
        <f>IFERROR(__xludf.DUMMYFUNCTION("""COMPUTED_VALUE"""),10.0)</f>
        <v>10</v>
      </c>
      <c r="B289" s="134" t="str">
        <f>IFERROR(__xludf.DUMMYFUNCTION("""COMPUTED_VALUE"""),"Darren Wong")</f>
        <v>Darren Wong</v>
      </c>
      <c r="C289" s="135">
        <f>IFERROR(__xludf.DUMMYFUNCTION("""COMPUTED_VALUE"""),6.0)</f>
        <v>6</v>
      </c>
      <c r="D289" s="135">
        <f>IFERROR(__xludf.DUMMYFUNCTION("""COMPUTED_VALUE"""),3.0)</f>
        <v>3</v>
      </c>
      <c r="E289" s="135">
        <f>IFERROR(__xludf.DUMMYFUNCTION("""COMPUTED_VALUE"""),5.0)</f>
        <v>5</v>
      </c>
      <c r="F289" s="135">
        <f>IFERROR(__xludf.DUMMYFUNCTION("""COMPUTED_VALUE"""),14.0)</f>
        <v>14</v>
      </c>
      <c r="G289" s="135">
        <f>IFERROR(__xludf.DUMMYFUNCTION("""COMPUTED_VALUE"""),1.0)</f>
        <v>1</v>
      </c>
    </row>
    <row r="290">
      <c r="A290" s="122"/>
      <c r="B290" s="36"/>
      <c r="C290" s="132"/>
      <c r="D290" s="132"/>
      <c r="E290" s="132"/>
      <c r="F290" s="132"/>
      <c r="G290" s="132"/>
    </row>
    <row r="291">
      <c r="A291" s="122"/>
      <c r="B291" s="36"/>
      <c r="C291" s="132"/>
      <c r="D291" s="132"/>
      <c r="E291" s="132"/>
      <c r="F291" s="132"/>
      <c r="G291" s="132"/>
    </row>
    <row r="292">
      <c r="A292" s="122"/>
      <c r="B292" s="36"/>
      <c r="C292" s="132"/>
      <c r="D292" s="132"/>
      <c r="E292" s="132"/>
      <c r="F292" s="132"/>
      <c r="G292" s="132"/>
    </row>
    <row r="293">
      <c r="A293" s="122"/>
      <c r="B293" s="36"/>
      <c r="C293" s="132"/>
      <c r="D293" s="132"/>
      <c r="E293" s="132"/>
      <c r="F293" s="132"/>
      <c r="G293" s="132"/>
    </row>
    <row r="294">
      <c r="A294" s="5"/>
      <c r="C294" s="5"/>
      <c r="D294" s="5"/>
      <c r="E294" s="5"/>
      <c r="F294" s="5"/>
    </row>
    <row r="295">
      <c r="A295" s="5"/>
      <c r="C295" s="5"/>
      <c r="D295" s="5"/>
      <c r="E295" s="5"/>
      <c r="F295" s="5"/>
    </row>
    <row r="296">
      <c r="A296" s="5"/>
      <c r="C296" s="5"/>
      <c r="D296" s="5"/>
      <c r="E296" s="5"/>
      <c r="F296" s="5"/>
    </row>
    <row r="297">
      <c r="A297" s="43"/>
      <c r="B297" s="134" t="s">
        <v>201</v>
      </c>
      <c r="C297" s="5"/>
      <c r="D297" s="115" t="s">
        <v>177</v>
      </c>
      <c r="E297" s="25"/>
      <c r="F297" s="26"/>
    </row>
    <row r="298">
      <c r="A298" s="136">
        <v>1.0</v>
      </c>
      <c r="B298" s="137" t="str">
        <f>IFERROR(__xludf.DUMMYFUNCTION("QUERY(B5:R68,""Select B where R = 'X' order by B asc"",0)"),"Adrian Tay")</f>
        <v>Adrian Tay</v>
      </c>
      <c r="C298" s="5"/>
      <c r="D298" s="139" t="str">
        <f>IFERROR(__xludf.DUMMYFUNCTION("QUERY(B5:R68,""Select B where R = '' order by B asc"",0)"),"#N/A")</f>
        <v>#N/A</v>
      </c>
      <c r="E298" s="25"/>
      <c r="F298" s="26"/>
    </row>
    <row r="299">
      <c r="A299" s="136">
        <f t="shared" ref="A299:A362" si="101">A298+1</f>
        <v>2</v>
      </c>
      <c r="B299" s="137" t="str">
        <f>IFERROR(__xludf.DUMMYFUNCTION("""COMPUTED_VALUE"""),"Alejandro Mejia")</f>
        <v>Alejandro Mejia</v>
      </c>
      <c r="C299" s="5"/>
      <c r="D299" s="139"/>
      <c r="E299" s="25"/>
      <c r="F299" s="26"/>
    </row>
    <row r="300">
      <c r="A300" s="136">
        <f t="shared" si="101"/>
        <v>3</v>
      </c>
      <c r="B300" s="137" t="str">
        <f>IFERROR(__xludf.DUMMYFUNCTION("""COMPUTED_VALUE"""),"Alex Hou")</f>
        <v>Alex Hou</v>
      </c>
      <c r="C300" s="5"/>
      <c r="D300" s="139"/>
      <c r="E300" s="25"/>
      <c r="F300" s="26"/>
    </row>
    <row r="301">
      <c r="A301" s="136">
        <f t="shared" si="101"/>
        <v>4</v>
      </c>
      <c r="B301" s="137" t="str">
        <f>IFERROR(__xludf.DUMMYFUNCTION("""COMPUTED_VALUE"""),"Allen Zhang")</f>
        <v>Allen Zhang</v>
      </c>
      <c r="C301" s="5"/>
      <c r="D301" s="139"/>
      <c r="E301" s="25"/>
      <c r="F301" s="26"/>
    </row>
    <row r="302">
      <c r="A302" s="136">
        <f t="shared" si="101"/>
        <v>5</v>
      </c>
      <c r="B302" s="137" t="str">
        <f>IFERROR(__xludf.DUMMYFUNCTION("""COMPUTED_VALUE"""),"Andrew Yao")</f>
        <v>Andrew Yao</v>
      </c>
      <c r="C302" s="5"/>
      <c r="D302" s="139"/>
      <c r="E302" s="25"/>
      <c r="F302" s="26"/>
    </row>
    <row r="303">
      <c r="A303" s="136">
        <f t="shared" si="101"/>
        <v>6</v>
      </c>
      <c r="B303" s="137" t="str">
        <f>IFERROR(__xludf.DUMMYFUNCTION("""COMPUTED_VALUE"""),"Art Hui")</f>
        <v>Art Hui</v>
      </c>
      <c r="C303" s="5"/>
      <c r="D303" s="139"/>
      <c r="E303" s="25"/>
      <c r="F303" s="26"/>
    </row>
    <row r="304">
      <c r="A304" s="136">
        <f t="shared" si="101"/>
        <v>7</v>
      </c>
      <c r="B304" s="137" t="str">
        <f>IFERROR(__xludf.DUMMYFUNCTION("""COMPUTED_VALUE"""),"Balaji Alahari")</f>
        <v>Balaji Alahari</v>
      </c>
      <c r="C304" s="5"/>
      <c r="D304" s="139"/>
      <c r="E304" s="25"/>
      <c r="F304" s="26"/>
    </row>
    <row r="305">
      <c r="A305" s="136">
        <f t="shared" si="101"/>
        <v>8</v>
      </c>
      <c r="B305" s="137" t="str">
        <f>IFERROR(__xludf.DUMMYFUNCTION("""COMPUTED_VALUE"""),"Basudev Thoppai Vidyasankar")</f>
        <v>Basudev Thoppai Vidyasankar</v>
      </c>
      <c r="C305" s="5"/>
      <c r="D305" s="139"/>
      <c r="E305" s="25"/>
      <c r="F305" s="26"/>
    </row>
    <row r="306">
      <c r="A306" s="136">
        <f t="shared" si="101"/>
        <v>9</v>
      </c>
      <c r="B306" s="137" t="str">
        <f>IFERROR(__xludf.DUMMYFUNCTION("""COMPUTED_VALUE"""),"Camille Jung")</f>
        <v>Camille Jung</v>
      </c>
      <c r="C306" s="5"/>
      <c r="D306" s="139"/>
      <c r="E306" s="25"/>
      <c r="F306" s="26"/>
    </row>
    <row r="307">
      <c r="A307" s="136">
        <f t="shared" si="101"/>
        <v>10</v>
      </c>
      <c r="B307" s="137" t="str">
        <f>IFERROR(__xludf.DUMMYFUNCTION("""COMPUTED_VALUE"""),"Charles Choi")</f>
        <v>Charles Choi</v>
      </c>
      <c r="C307" s="5"/>
      <c r="D307" s="139"/>
      <c r="E307" s="25"/>
      <c r="F307" s="26"/>
    </row>
    <row r="308">
      <c r="A308" s="136">
        <f t="shared" si="101"/>
        <v>11</v>
      </c>
      <c r="B308" s="137" t="str">
        <f>IFERROR(__xludf.DUMMYFUNCTION("""COMPUTED_VALUE"""),"Chinna Ponnaganti")</f>
        <v>Chinna Ponnaganti</v>
      </c>
      <c r="C308" s="5"/>
      <c r="D308" s="139"/>
      <c r="E308" s="25"/>
      <c r="F308" s="26"/>
    </row>
    <row r="309">
      <c r="A309" s="136">
        <f t="shared" si="101"/>
        <v>12</v>
      </c>
      <c r="B309" s="137" t="str">
        <f>IFERROR(__xludf.DUMMYFUNCTION("""COMPUTED_VALUE"""),"Cid Macaraeg")</f>
        <v>Cid Macaraeg</v>
      </c>
      <c r="C309" s="5"/>
      <c r="D309" s="139"/>
      <c r="E309" s="25"/>
      <c r="F309" s="26"/>
    </row>
    <row r="310">
      <c r="A310" s="136">
        <f t="shared" si="101"/>
        <v>13</v>
      </c>
      <c r="B310" s="137" t="str">
        <f>IFERROR(__xludf.DUMMYFUNCTION("""COMPUTED_VALUE"""),"Coco Yan")</f>
        <v>Coco Yan</v>
      </c>
      <c r="C310" s="5"/>
      <c r="D310" s="139"/>
      <c r="E310" s="25"/>
      <c r="F310" s="26"/>
    </row>
    <row r="311">
      <c r="A311" s="136">
        <f t="shared" si="101"/>
        <v>14</v>
      </c>
      <c r="B311" s="137" t="str">
        <f>IFERROR(__xludf.DUMMYFUNCTION("""COMPUTED_VALUE"""),"Darren Wong")</f>
        <v>Darren Wong</v>
      </c>
      <c r="C311" s="5"/>
      <c r="D311" s="139"/>
      <c r="E311" s="25"/>
      <c r="F311" s="26"/>
    </row>
    <row r="312">
      <c r="A312" s="136">
        <f t="shared" si="101"/>
        <v>15</v>
      </c>
      <c r="B312" s="137" t="str">
        <f>IFERROR(__xludf.DUMMYFUNCTION("""COMPUTED_VALUE"""),"David Shin")</f>
        <v>David Shin</v>
      </c>
      <c r="C312" s="5"/>
      <c r="D312" s="139"/>
      <c r="E312" s="25"/>
      <c r="F312" s="26"/>
    </row>
    <row r="313">
      <c r="A313" s="136">
        <f t="shared" si="101"/>
        <v>16</v>
      </c>
      <c r="B313" s="137" t="str">
        <f>IFERROR(__xludf.DUMMYFUNCTION("""COMPUTED_VALUE"""),"Elayaraja Thangaraj")</f>
        <v>Elayaraja Thangaraj</v>
      </c>
      <c r="C313" s="5"/>
      <c r="D313" s="139"/>
      <c r="E313" s="25"/>
      <c r="F313" s="26"/>
    </row>
    <row r="314">
      <c r="A314" s="136">
        <f t="shared" si="101"/>
        <v>17</v>
      </c>
      <c r="B314" s="137" t="str">
        <f>IFERROR(__xludf.DUMMYFUNCTION("""COMPUTED_VALUE"""),"Eric Pan")</f>
        <v>Eric Pan</v>
      </c>
      <c r="C314" s="5"/>
      <c r="D314" s="139"/>
      <c r="E314" s="25"/>
      <c r="F314" s="26"/>
    </row>
    <row r="315">
      <c r="A315" s="136">
        <f t="shared" si="101"/>
        <v>18</v>
      </c>
      <c r="B315" s="137" t="str">
        <f>IFERROR(__xludf.DUMMYFUNCTION("""COMPUTED_VALUE"""),"Eric Tan")</f>
        <v>Eric Tan</v>
      </c>
      <c r="C315" s="5"/>
      <c r="D315" s="139"/>
      <c r="E315" s="25"/>
      <c r="F315" s="26"/>
    </row>
    <row r="316">
      <c r="A316" s="136">
        <f t="shared" si="101"/>
        <v>19</v>
      </c>
      <c r="B316" s="137" t="str">
        <f>IFERROR(__xludf.DUMMYFUNCTION("""COMPUTED_VALUE"""),"Ethan Gu")</f>
        <v>Ethan Gu</v>
      </c>
      <c r="C316" s="5"/>
      <c r="D316" s="139"/>
      <c r="E316" s="25"/>
      <c r="F316" s="26"/>
    </row>
    <row r="317">
      <c r="A317" s="136">
        <f t="shared" si="101"/>
        <v>20</v>
      </c>
      <c r="B317" s="137" t="str">
        <f>IFERROR(__xludf.DUMMYFUNCTION("""COMPUTED_VALUE"""),"Frank Moon")</f>
        <v>Frank Moon</v>
      </c>
      <c r="C317" s="5"/>
      <c r="D317" s="139"/>
      <c r="E317" s="25"/>
      <c r="F317" s="26"/>
    </row>
    <row r="318">
      <c r="A318" s="136">
        <f t="shared" si="101"/>
        <v>21</v>
      </c>
      <c r="B318" s="137" t="str">
        <f>IFERROR(__xludf.DUMMYFUNCTION("""COMPUTED_VALUE"""),"Herman Au")</f>
        <v>Herman Au</v>
      </c>
      <c r="C318" s="5"/>
      <c r="D318" s="139"/>
      <c r="E318" s="25"/>
      <c r="F318" s="26"/>
    </row>
    <row r="319">
      <c r="A319" s="136">
        <f t="shared" si="101"/>
        <v>22</v>
      </c>
      <c r="B319" s="137" t="str">
        <f>IFERROR(__xludf.DUMMYFUNCTION("""COMPUTED_VALUE"""),"Hongyuan Wen")</f>
        <v>Hongyuan Wen</v>
      </c>
      <c r="C319" s="5"/>
      <c r="D319" s="139"/>
      <c r="E319" s="25"/>
      <c r="F319" s="26"/>
    </row>
    <row r="320">
      <c r="A320" s="136">
        <f t="shared" si="101"/>
        <v>23</v>
      </c>
      <c r="B320" s="137" t="str">
        <f>IFERROR(__xludf.DUMMYFUNCTION("""COMPUTED_VALUE"""),"Hubert J Sung")</f>
        <v>Hubert J Sung</v>
      </c>
      <c r="C320" s="5"/>
      <c r="D320" s="139"/>
      <c r="E320" s="25"/>
      <c r="F320" s="26"/>
    </row>
    <row r="321">
      <c r="A321" s="136">
        <f t="shared" si="101"/>
        <v>24</v>
      </c>
      <c r="B321" s="137" t="str">
        <f>IFERROR(__xludf.DUMMYFUNCTION("""COMPUTED_VALUE"""),"James Phan")</f>
        <v>James Phan</v>
      </c>
      <c r="C321" s="5"/>
      <c r="D321" s="139"/>
      <c r="E321" s="25"/>
      <c r="F321" s="26"/>
    </row>
    <row r="322">
      <c r="A322" s="136">
        <f t="shared" si="101"/>
        <v>25</v>
      </c>
      <c r="B322" s="137" t="str">
        <f>IFERROR(__xludf.DUMMYFUNCTION("""COMPUTED_VALUE"""),"Jaya Sogata")</f>
        <v>Jaya Sogata</v>
      </c>
      <c r="C322" s="5"/>
      <c r="D322" s="139"/>
      <c r="E322" s="25"/>
      <c r="F322" s="26"/>
    </row>
    <row r="323">
      <c r="A323" s="136">
        <f t="shared" si="101"/>
        <v>26</v>
      </c>
      <c r="B323" s="137" t="str">
        <f>IFERROR(__xludf.DUMMYFUNCTION("""COMPUTED_VALUE"""),"Jim Miao")</f>
        <v>Jim Miao</v>
      </c>
      <c r="C323" s="5"/>
      <c r="D323" s="139"/>
      <c r="E323" s="25"/>
      <c r="F323" s="26"/>
    </row>
    <row r="324">
      <c r="A324" s="136">
        <f t="shared" si="101"/>
        <v>27</v>
      </c>
      <c r="B324" s="137" t="str">
        <f>IFERROR(__xludf.DUMMYFUNCTION("""COMPUTED_VALUE"""),"Jimmy Awolesi")</f>
        <v>Jimmy Awolesi</v>
      </c>
      <c r="C324" s="5"/>
      <c r="D324" s="139"/>
      <c r="E324" s="25"/>
      <c r="F324" s="26"/>
    </row>
    <row r="325">
      <c r="A325" s="136">
        <f t="shared" si="101"/>
        <v>28</v>
      </c>
      <c r="B325" s="137" t="str">
        <f>IFERROR(__xludf.DUMMYFUNCTION("""COMPUTED_VALUE"""),"Jonathan Phan")</f>
        <v>Jonathan Phan</v>
      </c>
      <c r="C325" s="5"/>
      <c r="D325" s="139"/>
      <c r="E325" s="25"/>
      <c r="F325" s="26"/>
    </row>
    <row r="326">
      <c r="A326" s="136">
        <f t="shared" si="101"/>
        <v>29</v>
      </c>
      <c r="B326" s="137" t="str">
        <f>IFERROR(__xludf.DUMMYFUNCTION("""COMPUTED_VALUE"""),"Jordan Tatang")</f>
        <v>Jordan Tatang</v>
      </c>
      <c r="C326" s="5"/>
      <c r="D326" s="139"/>
      <c r="E326" s="25"/>
      <c r="F326" s="26"/>
    </row>
    <row r="327">
      <c r="A327" s="136">
        <f t="shared" si="101"/>
        <v>30</v>
      </c>
      <c r="B327" s="137" t="str">
        <f>IFERROR(__xludf.DUMMYFUNCTION("""COMPUTED_VALUE"""),"Kumar Palakeel")</f>
        <v>Kumar Palakeel</v>
      </c>
      <c r="C327" s="5"/>
      <c r="D327" s="139"/>
      <c r="E327" s="25"/>
      <c r="F327" s="26"/>
    </row>
    <row r="328">
      <c r="A328" s="136">
        <f t="shared" si="101"/>
        <v>31</v>
      </c>
      <c r="B328" s="137" t="str">
        <f>IFERROR(__xludf.DUMMYFUNCTION("""COMPUTED_VALUE"""),"Lam Bui")</f>
        <v>Lam Bui</v>
      </c>
      <c r="C328" s="5"/>
      <c r="D328" s="139"/>
      <c r="E328" s="25"/>
      <c r="F328" s="26"/>
    </row>
    <row r="329">
      <c r="A329" s="136">
        <f t="shared" si="101"/>
        <v>32</v>
      </c>
      <c r="B329" s="137" t="str">
        <f>IFERROR(__xludf.DUMMYFUNCTION("""COMPUTED_VALUE"""),"Leigh-Anh Nguyen")</f>
        <v>Leigh-Anh Nguyen</v>
      </c>
      <c r="C329" s="5"/>
      <c r="D329" s="139"/>
      <c r="E329" s="25"/>
      <c r="F329" s="26"/>
    </row>
    <row r="330">
      <c r="A330" s="136">
        <f t="shared" si="101"/>
        <v>33</v>
      </c>
      <c r="B330" s="137" t="str">
        <f>IFERROR(__xludf.DUMMYFUNCTION("""COMPUTED_VALUE"""),"Lloyd Sagar")</f>
        <v>Lloyd Sagar</v>
      </c>
      <c r="C330" s="5"/>
      <c r="D330" s="139"/>
      <c r="E330" s="25"/>
      <c r="F330" s="26"/>
    </row>
    <row r="331">
      <c r="A331" s="136">
        <f t="shared" si="101"/>
        <v>34</v>
      </c>
      <c r="B331" s="137" t="str">
        <f>IFERROR(__xludf.DUMMYFUNCTION("""COMPUTED_VALUE"""),"Luis Hsu")</f>
        <v>Luis Hsu</v>
      </c>
      <c r="C331" s="5"/>
      <c r="D331" s="139"/>
      <c r="E331" s="25"/>
      <c r="F331" s="26"/>
    </row>
    <row r="332">
      <c r="A332" s="136">
        <f t="shared" si="101"/>
        <v>35</v>
      </c>
      <c r="B332" s="137" t="str">
        <f>IFERROR(__xludf.DUMMYFUNCTION("""COMPUTED_VALUE"""),"Manish Anand")</f>
        <v>Manish Anand</v>
      </c>
      <c r="C332" s="5"/>
      <c r="D332" s="139"/>
      <c r="E332" s="25"/>
      <c r="F332" s="26"/>
    </row>
    <row r="333">
      <c r="A333" s="136">
        <f t="shared" si="101"/>
        <v>36</v>
      </c>
      <c r="B333" s="137" t="str">
        <f>IFERROR(__xludf.DUMMYFUNCTION("""COMPUTED_VALUE"""),"Manuel Rivera")</f>
        <v>Manuel Rivera</v>
      </c>
      <c r="C333" s="5"/>
      <c r="D333" s="139"/>
      <c r="E333" s="25"/>
      <c r="F333" s="26"/>
    </row>
    <row r="334">
      <c r="A334" s="136">
        <f t="shared" si="101"/>
        <v>37</v>
      </c>
      <c r="B334" s="137" t="str">
        <f>IFERROR(__xludf.DUMMYFUNCTION("""COMPUTED_VALUE"""),"Matthew Huang")</f>
        <v>Matthew Huang</v>
      </c>
      <c r="C334" s="5"/>
      <c r="D334" s="139"/>
      <c r="E334" s="25"/>
      <c r="F334" s="26"/>
    </row>
    <row r="335">
      <c r="A335" s="136">
        <f t="shared" si="101"/>
        <v>38</v>
      </c>
      <c r="B335" s="137" t="str">
        <f>IFERROR(__xludf.DUMMYFUNCTION("""COMPUTED_VALUE"""),"Mauricio Palacios")</f>
        <v>Mauricio Palacios</v>
      </c>
      <c r="C335" s="5"/>
      <c r="D335" s="139"/>
      <c r="E335" s="25"/>
      <c r="F335" s="26"/>
    </row>
    <row r="336">
      <c r="A336" s="136">
        <f t="shared" si="101"/>
        <v>39</v>
      </c>
      <c r="B336" s="137" t="str">
        <f>IFERROR(__xludf.DUMMYFUNCTION("""COMPUTED_VALUE"""),"Naveen Raj")</f>
        <v>Naveen Raj</v>
      </c>
      <c r="C336" s="5"/>
      <c r="D336" s="139"/>
      <c r="E336" s="25"/>
      <c r="F336" s="26"/>
    </row>
    <row r="337">
      <c r="A337" s="136">
        <f t="shared" si="101"/>
        <v>40</v>
      </c>
      <c r="B337" s="137" t="str">
        <f>IFERROR(__xludf.DUMMYFUNCTION("""COMPUTED_VALUE"""),"Nicole Ni")</f>
        <v>Nicole Ni</v>
      </c>
      <c r="C337" s="5"/>
      <c r="D337" s="139"/>
      <c r="E337" s="25"/>
      <c r="F337" s="26"/>
    </row>
    <row r="338">
      <c r="A338" s="136">
        <f t="shared" si="101"/>
        <v>41</v>
      </c>
      <c r="B338" s="137" t="str">
        <f>IFERROR(__xludf.DUMMYFUNCTION("""COMPUTED_VALUE"""),"Oscar Bonilla")</f>
        <v>Oscar Bonilla</v>
      </c>
      <c r="C338" s="5"/>
      <c r="D338" s="139"/>
      <c r="E338" s="25"/>
      <c r="F338" s="26"/>
    </row>
    <row r="339">
      <c r="A339" s="136">
        <f t="shared" si="101"/>
        <v>42</v>
      </c>
      <c r="B339" s="137" t="str">
        <f>IFERROR(__xludf.DUMMYFUNCTION("""COMPUTED_VALUE"""),"Pavan Akkimsetty")</f>
        <v>Pavan Akkimsetty</v>
      </c>
      <c r="C339" s="5"/>
      <c r="D339" s="139"/>
      <c r="E339" s="25"/>
      <c r="F339" s="26"/>
    </row>
    <row r="340">
      <c r="A340" s="136">
        <f t="shared" si="101"/>
        <v>43</v>
      </c>
      <c r="B340" s="137" t="str">
        <f>IFERROR(__xludf.DUMMYFUNCTION("""COMPUTED_VALUE"""),"Pulkit Mathur")</f>
        <v>Pulkit Mathur</v>
      </c>
      <c r="C340" s="5"/>
      <c r="D340" s="139"/>
      <c r="E340" s="25"/>
      <c r="F340" s="26"/>
    </row>
    <row r="341">
      <c r="A341" s="136">
        <f t="shared" si="101"/>
        <v>44</v>
      </c>
      <c r="B341" s="137" t="str">
        <f>IFERROR(__xludf.DUMMYFUNCTION("""COMPUTED_VALUE"""),"Rajasekar Ramasamy")</f>
        <v>Rajasekar Ramasamy</v>
      </c>
      <c r="C341" s="5"/>
      <c r="D341" s="139"/>
      <c r="E341" s="25"/>
      <c r="F341" s="26"/>
    </row>
    <row r="342">
      <c r="A342" s="136">
        <f t="shared" si="101"/>
        <v>45</v>
      </c>
      <c r="B342" s="137" t="str">
        <f>IFERROR(__xludf.DUMMYFUNCTION("""COMPUTED_VALUE"""),"Robert Chang")</f>
        <v>Robert Chang</v>
      </c>
      <c r="C342" s="5"/>
      <c r="D342" s="139"/>
      <c r="E342" s="25"/>
      <c r="F342" s="26"/>
    </row>
    <row r="343">
      <c r="A343" s="136">
        <f t="shared" si="101"/>
        <v>46</v>
      </c>
      <c r="B343" s="137" t="str">
        <f>IFERROR(__xludf.DUMMYFUNCTION("""COMPUTED_VALUE"""),"Ruben Ron")</f>
        <v>Ruben Ron</v>
      </c>
      <c r="C343" s="5"/>
      <c r="D343" s="139"/>
      <c r="E343" s="25"/>
      <c r="F343" s="26"/>
    </row>
    <row r="344">
      <c r="A344" s="136">
        <f t="shared" si="101"/>
        <v>47</v>
      </c>
      <c r="B344" s="137" t="str">
        <f>IFERROR(__xludf.DUMMYFUNCTION("""COMPUTED_VALUE"""),"Rudy Tatang")</f>
        <v>Rudy Tatang</v>
      </c>
      <c r="C344" s="5"/>
      <c r="D344" s="139"/>
      <c r="E344" s="25"/>
      <c r="F344" s="26"/>
    </row>
    <row r="345">
      <c r="A345" s="136">
        <f t="shared" si="101"/>
        <v>48</v>
      </c>
      <c r="B345" s="137" t="str">
        <f>IFERROR(__xludf.DUMMYFUNCTION("""COMPUTED_VALUE"""),"Sandeep Kamalon")</f>
        <v>Sandeep Kamalon</v>
      </c>
      <c r="C345" s="5"/>
      <c r="D345" s="139"/>
      <c r="E345" s="25"/>
      <c r="F345" s="26"/>
    </row>
    <row r="346">
      <c r="A346" s="136">
        <f t="shared" si="101"/>
        <v>49</v>
      </c>
      <c r="B346" s="137" t="str">
        <f>IFERROR(__xludf.DUMMYFUNCTION("""COMPUTED_VALUE"""),"Sandy Weyant")</f>
        <v>Sandy Weyant</v>
      </c>
      <c r="C346" s="5"/>
      <c r="D346" s="139"/>
      <c r="E346" s="25"/>
      <c r="F346" s="26"/>
    </row>
    <row r="347">
      <c r="A347" s="136">
        <f t="shared" si="101"/>
        <v>50</v>
      </c>
      <c r="B347" s="137" t="str">
        <f>IFERROR(__xludf.DUMMYFUNCTION("""COMPUTED_VALUE"""),"Sanjaye Elayattu")</f>
        <v>Sanjaye Elayattu</v>
      </c>
      <c r="C347" s="5"/>
      <c r="D347" s="139"/>
      <c r="E347" s="25"/>
      <c r="F347" s="26"/>
    </row>
    <row r="348">
      <c r="A348" s="136">
        <f t="shared" si="101"/>
        <v>51</v>
      </c>
      <c r="B348" s="137" t="str">
        <f>IFERROR(__xludf.DUMMYFUNCTION("""COMPUTED_VALUE"""),"Santosh Sundaresan")</f>
        <v>Santosh Sundaresan</v>
      </c>
      <c r="C348" s="5"/>
      <c r="D348" s="139"/>
      <c r="E348" s="25"/>
      <c r="F348" s="26"/>
    </row>
    <row r="349">
      <c r="A349" s="136">
        <f t="shared" si="101"/>
        <v>52</v>
      </c>
      <c r="B349" s="137" t="str">
        <f>IFERROR(__xludf.DUMMYFUNCTION("""COMPUTED_VALUE"""),"Saravanan Veerapandian")</f>
        <v>Saravanan Veerapandian</v>
      </c>
      <c r="C349" s="5"/>
      <c r="D349" s="139"/>
      <c r="E349" s="25"/>
      <c r="F349" s="26"/>
    </row>
    <row r="350">
      <c r="A350" s="136">
        <f t="shared" si="101"/>
        <v>53</v>
      </c>
      <c r="B350" s="137" t="str">
        <f>IFERROR(__xludf.DUMMYFUNCTION("""COMPUTED_VALUE"""),"Scott Li")</f>
        <v>Scott Li</v>
      </c>
      <c r="C350" s="5"/>
      <c r="D350" s="139"/>
      <c r="E350" s="25"/>
      <c r="F350" s="26"/>
    </row>
    <row r="351">
      <c r="A351" s="136">
        <f t="shared" si="101"/>
        <v>54</v>
      </c>
      <c r="B351" s="137" t="str">
        <f>IFERROR(__xludf.DUMMYFUNCTION("""COMPUTED_VALUE"""),"Sean Chang")</f>
        <v>Sean Chang</v>
      </c>
      <c r="C351" s="5"/>
      <c r="D351" s="139"/>
      <c r="E351" s="25"/>
      <c r="F351" s="26"/>
    </row>
    <row r="352">
      <c r="A352" s="136">
        <f t="shared" si="101"/>
        <v>55</v>
      </c>
      <c r="B352" s="137" t="str">
        <f>IFERROR(__xludf.DUMMYFUNCTION("""COMPUTED_VALUE"""),"Suleman Alidina")</f>
        <v>Suleman Alidina</v>
      </c>
      <c r="C352" s="5"/>
      <c r="D352" s="139"/>
      <c r="E352" s="25"/>
      <c r="F352" s="26"/>
    </row>
    <row r="353">
      <c r="A353" s="136">
        <f t="shared" si="101"/>
        <v>56</v>
      </c>
      <c r="B353" s="137" t="str">
        <f>IFERROR(__xludf.DUMMYFUNCTION("""COMPUTED_VALUE"""),"Ted Shen")</f>
        <v>Ted Shen</v>
      </c>
      <c r="C353" s="5"/>
      <c r="D353" s="139"/>
      <c r="E353" s="25"/>
      <c r="F353" s="26"/>
    </row>
    <row r="354">
      <c r="A354" s="136">
        <f t="shared" si="101"/>
        <v>57</v>
      </c>
      <c r="B354" s="137" t="str">
        <f>IFERROR(__xludf.DUMMYFUNCTION("""COMPUTED_VALUE"""),"Tina Hanson")</f>
        <v>Tina Hanson</v>
      </c>
      <c r="C354" s="5"/>
      <c r="D354" s="139"/>
      <c r="E354" s="25"/>
      <c r="F354" s="26"/>
    </row>
    <row r="355">
      <c r="A355" s="136">
        <f t="shared" si="101"/>
        <v>58</v>
      </c>
      <c r="B355" s="137" t="str">
        <f>IFERROR(__xludf.DUMMYFUNCTION("""COMPUTED_VALUE"""),"Tom Le")</f>
        <v>Tom Le</v>
      </c>
      <c r="C355" s="5"/>
      <c r="D355" s="139"/>
      <c r="E355" s="25"/>
      <c r="F355" s="26"/>
    </row>
    <row r="356">
      <c r="A356" s="136">
        <f t="shared" si="101"/>
        <v>59</v>
      </c>
      <c r="B356" s="137" t="str">
        <f>IFERROR(__xludf.DUMMYFUNCTION("""COMPUTED_VALUE"""),"Trish Newlin")</f>
        <v>Trish Newlin</v>
      </c>
      <c r="C356" s="5"/>
      <c r="D356" s="139"/>
      <c r="E356" s="25"/>
      <c r="F356" s="26"/>
    </row>
    <row r="357">
      <c r="A357" s="136">
        <f t="shared" si="101"/>
        <v>60</v>
      </c>
      <c r="B357" s="137" t="str">
        <f>IFERROR(__xludf.DUMMYFUNCTION("""COMPUTED_VALUE"""),"Troy Wong")</f>
        <v>Troy Wong</v>
      </c>
      <c r="C357" s="5"/>
      <c r="D357" s="139"/>
      <c r="E357" s="25"/>
      <c r="F357" s="26"/>
    </row>
    <row r="358">
      <c r="A358" s="136">
        <f t="shared" si="101"/>
        <v>61</v>
      </c>
      <c r="B358" s="137" t="str">
        <f>IFERROR(__xludf.DUMMYFUNCTION("""COMPUTED_VALUE"""),"Vinaya Kajla")</f>
        <v>Vinaya Kajla</v>
      </c>
      <c r="C358" s="5"/>
      <c r="D358" s="139"/>
      <c r="E358" s="25"/>
      <c r="F358" s="26"/>
    </row>
    <row r="359">
      <c r="A359" s="136">
        <f t="shared" si="101"/>
        <v>62</v>
      </c>
      <c r="B359" s="137" t="str">
        <f>IFERROR(__xludf.DUMMYFUNCTION("""COMPUTED_VALUE"""),"Vinotkumar Nagappan")</f>
        <v>Vinotkumar Nagappan</v>
      </c>
      <c r="C359" s="5"/>
      <c r="D359" s="139"/>
      <c r="E359" s="25"/>
      <c r="F359" s="26"/>
    </row>
    <row r="360">
      <c r="A360" s="136">
        <f t="shared" si="101"/>
        <v>63</v>
      </c>
      <c r="B360" s="137" t="str">
        <f>IFERROR(__xludf.DUMMYFUNCTION("""COMPUTED_VALUE"""),"Vishnu Amarnath")</f>
        <v>Vishnu Amarnath</v>
      </c>
      <c r="C360" s="5"/>
      <c r="D360" s="139"/>
      <c r="E360" s="25"/>
      <c r="F360" s="26"/>
    </row>
    <row r="361">
      <c r="A361" s="136">
        <f t="shared" si="101"/>
        <v>64</v>
      </c>
      <c r="B361" s="137" t="str">
        <f>IFERROR(__xludf.DUMMYFUNCTION("""COMPUTED_VALUE"""),"Wayne Liu")</f>
        <v>Wayne Liu</v>
      </c>
      <c r="C361" s="5"/>
      <c r="D361" s="139"/>
      <c r="E361" s="25"/>
      <c r="F361" s="26"/>
    </row>
    <row r="362">
      <c r="A362" s="136">
        <f t="shared" si="101"/>
        <v>65</v>
      </c>
      <c r="B362" s="137"/>
      <c r="C362" s="5"/>
      <c r="D362" s="139"/>
      <c r="E362" s="25"/>
      <c r="F362" s="26"/>
    </row>
    <row r="363">
      <c r="A363" s="5"/>
      <c r="C363" s="5"/>
      <c r="D363" s="5"/>
      <c r="E363" s="5"/>
      <c r="F363" s="5"/>
    </row>
    <row r="364">
      <c r="A364" s="5"/>
      <c r="C364" s="5"/>
      <c r="D364" s="5"/>
      <c r="E364" s="5"/>
      <c r="F364" s="5"/>
    </row>
    <row r="365">
      <c r="A365" s="5"/>
      <c r="C365" s="5"/>
      <c r="D365" s="5"/>
      <c r="E365" s="5"/>
      <c r="F365" s="5"/>
    </row>
    <row r="366">
      <c r="A366" s="5"/>
      <c r="C366" s="5"/>
      <c r="D366" s="5"/>
      <c r="E366" s="5"/>
      <c r="F366" s="5"/>
    </row>
    <row r="367">
      <c r="A367" s="5"/>
      <c r="C367" s="5"/>
      <c r="D367" s="5"/>
      <c r="E367" s="5"/>
      <c r="F367" s="5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</sheetData>
  <mergeCells count="84"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6:F356"/>
    <mergeCell ref="D357:F357"/>
    <mergeCell ref="D358:F358"/>
    <mergeCell ref="D359:F359"/>
    <mergeCell ref="D360:F360"/>
    <mergeCell ref="D361:F361"/>
    <mergeCell ref="D362:F362"/>
    <mergeCell ref="D349:F349"/>
    <mergeCell ref="D350:F350"/>
    <mergeCell ref="D351:F351"/>
    <mergeCell ref="D352:F352"/>
    <mergeCell ref="D353:F353"/>
    <mergeCell ref="D354:F354"/>
    <mergeCell ref="D355:F355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46032.0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1.0</v>
      </c>
      <c r="E2" s="5"/>
      <c r="F2" s="5"/>
      <c r="R2" s="18"/>
      <c r="AC2" s="22" t="str">
        <f>text(C1-7,"mm/dd/yy")</f>
        <v>01/03/26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146</v>
      </c>
      <c r="C5" s="37"/>
      <c r="D5" s="37"/>
      <c r="E5" s="40">
        <f t="shared" ref="E5:E79" si="2">if(S5&gt;0,(C5-(V5*9)-(T5*13))/S5,0)</f>
        <v>0</v>
      </c>
      <c r="F5" s="90">
        <v>3.0</v>
      </c>
      <c r="G5" s="91">
        <v>0.0</v>
      </c>
      <c r="H5" s="92">
        <v>9.0</v>
      </c>
      <c r="I5" s="91">
        <v>0.0</v>
      </c>
      <c r="J5" s="91">
        <v>0.0</v>
      </c>
      <c r="K5" s="91">
        <v>0.0</v>
      </c>
      <c r="L5" s="93">
        <v>9.0</v>
      </c>
      <c r="M5" s="91">
        <v>0.0</v>
      </c>
      <c r="N5" s="37">
        <f t="shared" ref="N5:O5" si="1">C5+L5</f>
        <v>9</v>
      </c>
      <c r="O5" s="37">
        <f t="shared" si="1"/>
        <v>0</v>
      </c>
      <c r="P5" s="49" t="s">
        <v>57</v>
      </c>
      <c r="Q5" s="49" t="s">
        <v>57</v>
      </c>
      <c r="R5" s="49" t="s">
        <v>57</v>
      </c>
      <c r="S5" s="51">
        <f t="shared" ref="S5:S79" si="4">vlookup(B5,indirect("'" &amp; AC$2 &amp; "'!B5:W79"),18,false)++if(text(C$1,"mm/dd/yy")=$AC$2,0,if(H5&gt;0,0,1))</f>
        <v>0</v>
      </c>
      <c r="T5" s="52">
        <f t="shared" ref="T5:T79" si="5">if(H5=13,1,0)+vlookup(B5,indirect("'" &amp; AC$2 &amp; "'!B5:W79"),19,false)</f>
        <v>0</v>
      </c>
      <c r="U5" s="52"/>
      <c r="V5" s="51">
        <f t="shared" ref="V5:V79" si="6">vlookup(B5,indirect("'" &amp; AC$2 &amp; "'!B5:W79"),21,false)+if(text(C$1,"mm/dd/yy")=$AC$2,0,if(H5=9,1,0))</f>
        <v>1</v>
      </c>
      <c r="W5" s="52">
        <f t="shared" ref="W5:W79" si="7">vlookup(B5,indirect("'" &amp; AC$2 &amp; "'!B5:x79"),23,false)-X5</f>
        <v>47</v>
      </c>
      <c r="X5" s="35">
        <v>1.0</v>
      </c>
      <c r="Y5" s="35" t="str">
        <f t="shared" ref="Y5:Y79" si="8">if(S5=D$2,"Y","N")</f>
        <v>N</v>
      </c>
      <c r="Z5" s="19" t="str">
        <f t="shared" ref="Z5:Z79" si="9">if($D$2=sum(S5:V5),"","Error")</f>
        <v/>
      </c>
    </row>
    <row r="6">
      <c r="A6" s="35">
        <f t="shared" ref="A6:A79" si="10">A5+1</f>
        <v>2</v>
      </c>
      <c r="B6" s="36" t="s">
        <v>94</v>
      </c>
      <c r="C6" s="37"/>
      <c r="D6" s="37"/>
      <c r="E6" s="40">
        <f t="shared" si="2"/>
        <v>0</v>
      </c>
      <c r="F6" s="90">
        <v>3.0</v>
      </c>
      <c r="G6" s="91">
        <v>0.0</v>
      </c>
      <c r="H6" s="92">
        <v>9.0</v>
      </c>
      <c r="I6" s="91">
        <v>0.0</v>
      </c>
      <c r="J6" s="91">
        <v>0.0</v>
      </c>
      <c r="K6" s="91">
        <v>0.0</v>
      </c>
      <c r="L6" s="93">
        <v>9.0</v>
      </c>
      <c r="M6" s="91">
        <v>0.0</v>
      </c>
      <c r="N6" s="37">
        <f t="shared" ref="N6:O6" si="3">C6+L6</f>
        <v>9</v>
      </c>
      <c r="O6" s="37">
        <f t="shared" si="3"/>
        <v>0</v>
      </c>
      <c r="P6" s="49" t="s">
        <v>57</v>
      </c>
      <c r="Q6" s="49" t="s">
        <v>57</v>
      </c>
      <c r="R6" s="49" t="s">
        <v>57</v>
      </c>
      <c r="S6" s="51">
        <f t="shared" si="4"/>
        <v>0</v>
      </c>
      <c r="T6" s="52">
        <f t="shared" si="5"/>
        <v>0</v>
      </c>
      <c r="U6" s="52"/>
      <c r="V6" s="51">
        <f t="shared" si="6"/>
        <v>1</v>
      </c>
      <c r="W6" s="52">
        <f t="shared" si="7"/>
        <v>5</v>
      </c>
      <c r="X6" s="35">
        <f t="shared" ref="X6:X79" si="12">X5+1</f>
        <v>2</v>
      </c>
      <c r="Y6" s="35" t="str">
        <f t="shared" si="8"/>
        <v>N</v>
      </c>
      <c r="Z6" s="19" t="str">
        <f t="shared" si="9"/>
        <v/>
      </c>
    </row>
    <row r="7">
      <c r="A7" s="35">
        <f t="shared" si="10"/>
        <v>3</v>
      </c>
      <c r="B7" s="36" t="s">
        <v>73</v>
      </c>
      <c r="C7" s="37"/>
      <c r="D7" s="37"/>
      <c r="E7" s="40">
        <f t="shared" si="2"/>
        <v>0</v>
      </c>
      <c r="F7" s="90">
        <v>3.0</v>
      </c>
      <c r="G7" s="91">
        <v>0.0</v>
      </c>
      <c r="H7" s="92">
        <v>9.0</v>
      </c>
      <c r="I7" s="91">
        <v>0.0</v>
      </c>
      <c r="J7" s="91">
        <v>0.0</v>
      </c>
      <c r="K7" s="91">
        <v>0.0</v>
      </c>
      <c r="L7" s="93">
        <v>9.0</v>
      </c>
      <c r="M7" s="91">
        <v>0.0</v>
      </c>
      <c r="N7" s="37">
        <f t="shared" ref="N7:O7" si="11">C7+L7</f>
        <v>9</v>
      </c>
      <c r="O7" s="37">
        <f t="shared" si="11"/>
        <v>0</v>
      </c>
      <c r="P7" s="49" t="s">
        <v>57</v>
      </c>
      <c r="Q7" s="49" t="s">
        <v>57</v>
      </c>
      <c r="R7" s="49" t="s">
        <v>57</v>
      </c>
      <c r="S7" s="51">
        <f t="shared" si="4"/>
        <v>0</v>
      </c>
      <c r="T7" s="52">
        <f t="shared" si="5"/>
        <v>0</v>
      </c>
      <c r="U7" s="52"/>
      <c r="V7" s="51">
        <f t="shared" si="6"/>
        <v>1</v>
      </c>
      <c r="W7" s="52">
        <f t="shared" si="7"/>
        <v>22</v>
      </c>
      <c r="X7" s="35">
        <f t="shared" si="12"/>
        <v>3</v>
      </c>
      <c r="Y7" s="35" t="str">
        <f t="shared" si="8"/>
        <v>N</v>
      </c>
      <c r="Z7" s="19" t="str">
        <f t="shared" si="9"/>
        <v/>
      </c>
    </row>
    <row r="8">
      <c r="A8" s="35">
        <f t="shared" si="10"/>
        <v>4</v>
      </c>
      <c r="B8" s="36" t="s">
        <v>95</v>
      </c>
      <c r="C8" s="37"/>
      <c r="D8" s="37"/>
      <c r="E8" s="40">
        <f t="shared" si="2"/>
        <v>0</v>
      </c>
      <c r="F8" s="90">
        <v>3.0</v>
      </c>
      <c r="G8" s="91">
        <v>0.0</v>
      </c>
      <c r="H8" s="92">
        <v>9.0</v>
      </c>
      <c r="I8" s="91">
        <v>0.0</v>
      </c>
      <c r="J8" s="91">
        <v>0.0</v>
      </c>
      <c r="K8" s="91">
        <v>0.0</v>
      </c>
      <c r="L8" s="93">
        <v>9.0</v>
      </c>
      <c r="M8" s="91">
        <v>0.0</v>
      </c>
      <c r="N8" s="37">
        <f t="shared" ref="N8:O8" si="13">C8+L8</f>
        <v>9</v>
      </c>
      <c r="O8" s="37">
        <f t="shared" si="13"/>
        <v>0</v>
      </c>
      <c r="P8" s="49" t="s">
        <v>57</v>
      </c>
      <c r="Q8" s="49" t="s">
        <v>57</v>
      </c>
      <c r="R8" s="49" t="s">
        <v>57</v>
      </c>
      <c r="S8" s="51">
        <f t="shared" si="4"/>
        <v>0</v>
      </c>
      <c r="T8" s="52">
        <f t="shared" si="5"/>
        <v>0</v>
      </c>
      <c r="U8" s="52"/>
      <c r="V8" s="51">
        <f t="shared" si="6"/>
        <v>1</v>
      </c>
      <c r="W8" s="52">
        <f t="shared" si="7"/>
        <v>39</v>
      </c>
      <c r="X8" s="35">
        <f t="shared" si="12"/>
        <v>4</v>
      </c>
      <c r="Y8" s="35" t="str">
        <f t="shared" si="8"/>
        <v>N</v>
      </c>
      <c r="Z8" s="19" t="str">
        <f t="shared" si="9"/>
        <v/>
      </c>
    </row>
    <row r="9">
      <c r="A9" s="35">
        <f t="shared" si="10"/>
        <v>5</v>
      </c>
      <c r="B9" s="36" t="s">
        <v>125</v>
      </c>
      <c r="C9" s="37"/>
      <c r="D9" s="37"/>
      <c r="E9" s="40">
        <f t="shared" si="2"/>
        <v>0</v>
      </c>
      <c r="F9" s="90">
        <v>3.0</v>
      </c>
      <c r="G9" s="91">
        <v>0.0</v>
      </c>
      <c r="H9" s="92">
        <v>9.0</v>
      </c>
      <c r="I9" s="91">
        <v>0.0</v>
      </c>
      <c r="J9" s="91">
        <v>0.0</v>
      </c>
      <c r="K9" s="91">
        <v>0.0</v>
      </c>
      <c r="L9" s="93">
        <v>9.0</v>
      </c>
      <c r="M9" s="91">
        <v>0.0</v>
      </c>
      <c r="N9" s="37">
        <f t="shared" ref="N9:O9" si="14">C9+L9</f>
        <v>9</v>
      </c>
      <c r="O9" s="37">
        <f t="shared" si="14"/>
        <v>0</v>
      </c>
      <c r="P9" s="49" t="s">
        <v>57</v>
      </c>
      <c r="Q9" s="49" t="s">
        <v>57</v>
      </c>
      <c r="R9" s="49" t="s">
        <v>57</v>
      </c>
      <c r="S9" s="51">
        <f t="shared" si="4"/>
        <v>0</v>
      </c>
      <c r="T9" s="52">
        <f t="shared" si="5"/>
        <v>0</v>
      </c>
      <c r="U9" s="52"/>
      <c r="V9" s="51">
        <f t="shared" si="6"/>
        <v>1</v>
      </c>
      <c r="W9" s="52">
        <f t="shared" si="7"/>
        <v>34</v>
      </c>
      <c r="X9" s="35">
        <f t="shared" si="12"/>
        <v>5</v>
      </c>
      <c r="Y9" s="35" t="str">
        <f t="shared" si="8"/>
        <v>N</v>
      </c>
      <c r="Z9" s="19" t="str">
        <f t="shared" si="9"/>
        <v/>
      </c>
    </row>
    <row r="10">
      <c r="A10" s="35">
        <f t="shared" si="10"/>
        <v>6</v>
      </c>
      <c r="B10" s="36" t="s">
        <v>117</v>
      </c>
      <c r="C10" s="37"/>
      <c r="D10" s="37"/>
      <c r="E10" s="40">
        <f t="shared" si="2"/>
        <v>0</v>
      </c>
      <c r="F10" s="90">
        <v>2.0</v>
      </c>
      <c r="G10" s="91">
        <v>1.0</v>
      </c>
      <c r="H10" s="92">
        <v>0.0</v>
      </c>
      <c r="I10" s="91">
        <v>3.0</v>
      </c>
      <c r="J10" s="91">
        <v>7.0</v>
      </c>
      <c r="K10" s="91">
        <v>6.0</v>
      </c>
      <c r="L10" s="93">
        <v>16.0</v>
      </c>
      <c r="M10" s="91">
        <v>2.0</v>
      </c>
      <c r="N10" s="37">
        <f t="shared" ref="N10:O10" si="15">C10+L10</f>
        <v>16</v>
      </c>
      <c r="O10" s="37">
        <f t="shared" si="15"/>
        <v>2</v>
      </c>
      <c r="P10" s="49" t="s">
        <v>57</v>
      </c>
      <c r="Q10" s="49" t="s">
        <v>57</v>
      </c>
      <c r="R10" s="49" t="s">
        <v>57</v>
      </c>
      <c r="S10" s="51">
        <f t="shared" si="4"/>
        <v>1</v>
      </c>
      <c r="T10" s="52">
        <f t="shared" si="5"/>
        <v>0</v>
      </c>
      <c r="U10" s="52"/>
      <c r="V10" s="51">
        <f t="shared" si="6"/>
        <v>0</v>
      </c>
      <c r="W10" s="52">
        <f t="shared" si="7"/>
        <v>7</v>
      </c>
      <c r="X10" s="35">
        <f t="shared" si="12"/>
        <v>6</v>
      </c>
      <c r="Y10" s="35" t="str">
        <f t="shared" si="8"/>
        <v>Y</v>
      </c>
      <c r="Z10" s="19" t="str">
        <f t="shared" si="9"/>
        <v/>
      </c>
    </row>
    <row r="11">
      <c r="A11" s="35">
        <f t="shared" si="10"/>
        <v>7</v>
      </c>
      <c r="B11" s="36" t="s">
        <v>152</v>
      </c>
      <c r="C11" s="37"/>
      <c r="D11" s="37"/>
      <c r="E11" s="40">
        <f t="shared" si="2"/>
        <v>0</v>
      </c>
      <c r="F11" s="90">
        <v>1.0</v>
      </c>
      <c r="G11" s="91">
        <v>1.0</v>
      </c>
      <c r="H11" s="92">
        <v>0.0</v>
      </c>
      <c r="I11" s="91">
        <v>6.0</v>
      </c>
      <c r="J11" s="91">
        <v>7.0</v>
      </c>
      <c r="K11" s="91">
        <v>1.0</v>
      </c>
      <c r="L11" s="93">
        <v>14.0</v>
      </c>
      <c r="M11" s="91">
        <v>2.0</v>
      </c>
      <c r="N11" s="37">
        <f t="shared" ref="N11:O11" si="16">C11+L11</f>
        <v>14</v>
      </c>
      <c r="O11" s="37">
        <f t="shared" si="16"/>
        <v>2</v>
      </c>
      <c r="P11" s="49" t="s">
        <v>57</v>
      </c>
      <c r="Q11" s="49" t="s">
        <v>57</v>
      </c>
      <c r="R11" s="49" t="s">
        <v>57</v>
      </c>
      <c r="S11" s="51">
        <f t="shared" si="4"/>
        <v>1</v>
      </c>
      <c r="T11" s="52">
        <f t="shared" si="5"/>
        <v>0</v>
      </c>
      <c r="U11" s="52"/>
      <c r="V11" s="51">
        <f t="shared" si="6"/>
        <v>0</v>
      </c>
      <c r="W11" s="52">
        <f t="shared" si="7"/>
        <v>40</v>
      </c>
      <c r="X11" s="35">
        <f t="shared" si="12"/>
        <v>7</v>
      </c>
      <c r="Y11" s="35" t="str">
        <f t="shared" si="8"/>
        <v>Y</v>
      </c>
      <c r="Z11" s="19" t="str">
        <f t="shared" si="9"/>
        <v/>
      </c>
    </row>
    <row r="12">
      <c r="A12" s="35">
        <f t="shared" si="10"/>
        <v>8</v>
      </c>
      <c r="B12" s="36" t="s">
        <v>142</v>
      </c>
      <c r="C12" s="37"/>
      <c r="D12" s="37"/>
      <c r="E12" s="40">
        <f t="shared" si="2"/>
        <v>0</v>
      </c>
      <c r="F12" s="90">
        <v>3.0</v>
      </c>
      <c r="G12" s="91">
        <v>0.0</v>
      </c>
      <c r="H12" s="92">
        <v>9.0</v>
      </c>
      <c r="I12" s="91">
        <v>0.0</v>
      </c>
      <c r="J12" s="91">
        <v>0.0</v>
      </c>
      <c r="K12" s="91">
        <v>0.0</v>
      </c>
      <c r="L12" s="93">
        <v>9.0</v>
      </c>
      <c r="M12" s="91">
        <v>0.0</v>
      </c>
      <c r="N12" s="37">
        <f t="shared" ref="N12:O12" si="17">C12+L12</f>
        <v>9</v>
      </c>
      <c r="O12" s="37">
        <f t="shared" si="17"/>
        <v>0</v>
      </c>
      <c r="P12" s="49" t="s">
        <v>57</v>
      </c>
      <c r="Q12" s="49" t="s">
        <v>57</v>
      </c>
      <c r="R12" s="49" t="s">
        <v>57</v>
      </c>
      <c r="S12" s="51">
        <f t="shared" si="4"/>
        <v>0</v>
      </c>
      <c r="T12" s="52">
        <f t="shared" si="5"/>
        <v>0</v>
      </c>
      <c r="U12" s="52"/>
      <c r="V12" s="51">
        <f t="shared" si="6"/>
        <v>1</v>
      </c>
      <c r="W12" s="52">
        <f t="shared" si="7"/>
        <v>65</v>
      </c>
      <c r="X12" s="35">
        <f t="shared" si="12"/>
        <v>8</v>
      </c>
      <c r="Y12" s="35" t="str">
        <f t="shared" si="8"/>
        <v>N</v>
      </c>
      <c r="Z12" s="19" t="str">
        <f t="shared" si="9"/>
        <v/>
      </c>
    </row>
    <row r="13">
      <c r="A13" s="35">
        <f t="shared" si="10"/>
        <v>9</v>
      </c>
      <c r="B13" s="36" t="s">
        <v>98</v>
      </c>
      <c r="C13" s="37"/>
      <c r="D13" s="37"/>
      <c r="E13" s="40">
        <f t="shared" si="2"/>
        <v>0</v>
      </c>
      <c r="F13" s="90">
        <v>3.0</v>
      </c>
      <c r="G13" s="91">
        <v>0.0</v>
      </c>
      <c r="H13" s="92">
        <v>9.0</v>
      </c>
      <c r="I13" s="91">
        <v>0.0</v>
      </c>
      <c r="J13" s="91">
        <v>0.0</v>
      </c>
      <c r="K13" s="91">
        <v>0.0</v>
      </c>
      <c r="L13" s="93">
        <v>9.0</v>
      </c>
      <c r="M13" s="91">
        <v>0.0</v>
      </c>
      <c r="N13" s="37">
        <f t="shared" ref="N13:O13" si="18">C13+L13</f>
        <v>9</v>
      </c>
      <c r="O13" s="37">
        <f t="shared" si="18"/>
        <v>0</v>
      </c>
      <c r="P13" s="49" t="s">
        <v>57</v>
      </c>
      <c r="Q13" s="49" t="s">
        <v>57</v>
      </c>
      <c r="R13" s="49" t="s">
        <v>57</v>
      </c>
      <c r="S13" s="51">
        <f t="shared" si="4"/>
        <v>0</v>
      </c>
      <c r="T13" s="52">
        <f t="shared" si="5"/>
        <v>0</v>
      </c>
      <c r="U13" s="52"/>
      <c r="V13" s="51">
        <f t="shared" si="6"/>
        <v>1</v>
      </c>
      <c r="W13" s="52">
        <f t="shared" si="7"/>
        <v>65</v>
      </c>
      <c r="X13" s="35">
        <f t="shared" si="12"/>
        <v>9</v>
      </c>
      <c r="Y13" s="35" t="str">
        <f t="shared" si="8"/>
        <v>N</v>
      </c>
      <c r="Z13" s="19" t="str">
        <f t="shared" si="9"/>
        <v/>
      </c>
    </row>
    <row r="14">
      <c r="A14" s="35">
        <f t="shared" si="10"/>
        <v>10</v>
      </c>
      <c r="B14" s="36" t="s">
        <v>78</v>
      </c>
      <c r="C14" s="37"/>
      <c r="D14" s="37"/>
      <c r="E14" s="40">
        <f t="shared" si="2"/>
        <v>0</v>
      </c>
      <c r="F14" s="90">
        <v>3.0</v>
      </c>
      <c r="G14" s="91">
        <v>0.0</v>
      </c>
      <c r="H14" s="92">
        <v>9.0</v>
      </c>
      <c r="I14" s="91">
        <v>0.0</v>
      </c>
      <c r="J14" s="91">
        <v>0.0</v>
      </c>
      <c r="K14" s="91">
        <v>0.0</v>
      </c>
      <c r="L14" s="93">
        <v>9.0</v>
      </c>
      <c r="M14" s="91">
        <v>0.0</v>
      </c>
      <c r="N14" s="37">
        <f t="shared" ref="N14:O14" si="19">C14+L14</f>
        <v>9</v>
      </c>
      <c r="O14" s="37">
        <f t="shared" si="19"/>
        <v>0</v>
      </c>
      <c r="P14" s="49" t="s">
        <v>57</v>
      </c>
      <c r="Q14" s="49" t="s">
        <v>57</v>
      </c>
      <c r="R14" s="49" t="s">
        <v>57</v>
      </c>
      <c r="S14" s="51">
        <f t="shared" si="4"/>
        <v>0</v>
      </c>
      <c r="T14" s="52">
        <f t="shared" si="5"/>
        <v>0</v>
      </c>
      <c r="U14" s="52"/>
      <c r="V14" s="51">
        <f t="shared" si="6"/>
        <v>1</v>
      </c>
      <c r="W14" s="52">
        <f t="shared" si="7"/>
        <v>31</v>
      </c>
      <c r="X14" s="35">
        <f t="shared" si="12"/>
        <v>10</v>
      </c>
      <c r="Y14" s="35" t="str">
        <f t="shared" si="8"/>
        <v>N</v>
      </c>
      <c r="Z14" s="19" t="str">
        <f t="shared" si="9"/>
        <v/>
      </c>
    </row>
    <row r="15">
      <c r="A15" s="35">
        <f t="shared" si="10"/>
        <v>11</v>
      </c>
      <c r="B15" s="36" t="s">
        <v>148</v>
      </c>
      <c r="C15" s="37"/>
      <c r="D15" s="37"/>
      <c r="E15" s="40">
        <f t="shared" si="2"/>
        <v>0</v>
      </c>
      <c r="F15" s="90">
        <v>3.0</v>
      </c>
      <c r="G15" s="91">
        <v>0.0</v>
      </c>
      <c r="H15" s="92">
        <v>9.0</v>
      </c>
      <c r="I15" s="91">
        <v>0.0</v>
      </c>
      <c r="J15" s="91">
        <v>0.0</v>
      </c>
      <c r="K15" s="91">
        <v>0.0</v>
      </c>
      <c r="L15" s="93">
        <v>9.0</v>
      </c>
      <c r="M15" s="91">
        <v>0.0</v>
      </c>
      <c r="N15" s="37">
        <f t="shared" ref="N15:O15" si="20">C15+L15</f>
        <v>9</v>
      </c>
      <c r="O15" s="37">
        <f t="shared" si="20"/>
        <v>0</v>
      </c>
      <c r="P15" s="49" t="s">
        <v>57</v>
      </c>
      <c r="Q15" s="49" t="s">
        <v>57</v>
      </c>
      <c r="R15" s="49" t="s">
        <v>57</v>
      </c>
      <c r="S15" s="51">
        <f t="shared" si="4"/>
        <v>0</v>
      </c>
      <c r="T15" s="52">
        <f t="shared" si="5"/>
        <v>0</v>
      </c>
      <c r="U15" s="52"/>
      <c r="V15" s="51">
        <f t="shared" si="6"/>
        <v>1</v>
      </c>
      <c r="W15" s="52">
        <f t="shared" si="7"/>
        <v>46</v>
      </c>
      <c r="X15" s="35">
        <f t="shared" si="12"/>
        <v>11</v>
      </c>
      <c r="Y15" s="35" t="str">
        <f t="shared" si="8"/>
        <v>N</v>
      </c>
      <c r="Z15" s="19" t="str">
        <f t="shared" si="9"/>
        <v/>
      </c>
    </row>
    <row r="16">
      <c r="A16" s="35">
        <f t="shared" si="10"/>
        <v>12</v>
      </c>
      <c r="B16" s="36" t="s">
        <v>96</v>
      </c>
      <c r="C16" s="37"/>
      <c r="D16" s="37"/>
      <c r="E16" s="40">
        <f t="shared" si="2"/>
        <v>0</v>
      </c>
      <c r="F16" s="90">
        <v>1.0</v>
      </c>
      <c r="G16" s="91">
        <v>1.0</v>
      </c>
      <c r="H16" s="92">
        <v>0.0</v>
      </c>
      <c r="I16" s="91">
        <v>6.0</v>
      </c>
      <c r="J16" s="91">
        <v>6.0</v>
      </c>
      <c r="K16" s="91">
        <v>6.0</v>
      </c>
      <c r="L16" s="93">
        <v>18.0</v>
      </c>
      <c r="M16" s="91">
        <v>2.0</v>
      </c>
      <c r="N16" s="37">
        <f t="shared" ref="N16:O16" si="21">C16+L16</f>
        <v>18</v>
      </c>
      <c r="O16" s="37">
        <f t="shared" si="21"/>
        <v>2</v>
      </c>
      <c r="P16" s="49" t="s">
        <v>57</v>
      </c>
      <c r="Q16" s="49" t="s">
        <v>57</v>
      </c>
      <c r="R16" s="49" t="s">
        <v>57</v>
      </c>
      <c r="S16" s="51">
        <f t="shared" si="4"/>
        <v>1</v>
      </c>
      <c r="T16" s="52">
        <f t="shared" si="5"/>
        <v>0</v>
      </c>
      <c r="U16" s="52"/>
      <c r="V16" s="51">
        <f t="shared" si="6"/>
        <v>0</v>
      </c>
      <c r="W16" s="52">
        <f t="shared" si="7"/>
        <v>3</v>
      </c>
      <c r="X16" s="35">
        <f t="shared" si="12"/>
        <v>12</v>
      </c>
      <c r="Y16" s="35" t="str">
        <f t="shared" si="8"/>
        <v>Y</v>
      </c>
      <c r="Z16" s="19" t="str">
        <f t="shared" si="9"/>
        <v/>
      </c>
    </row>
    <row r="17">
      <c r="A17" s="35">
        <f t="shared" si="10"/>
        <v>13</v>
      </c>
      <c r="B17" s="36" t="s">
        <v>124</v>
      </c>
      <c r="C17" s="37"/>
      <c r="D17" s="37"/>
      <c r="E17" s="40">
        <f t="shared" si="2"/>
        <v>0</v>
      </c>
      <c r="F17" s="90">
        <v>3.0</v>
      </c>
      <c r="G17" s="91">
        <v>0.0</v>
      </c>
      <c r="H17" s="92">
        <v>9.0</v>
      </c>
      <c r="I17" s="91">
        <v>0.0</v>
      </c>
      <c r="J17" s="91">
        <v>0.0</v>
      </c>
      <c r="K17" s="91">
        <v>0.0</v>
      </c>
      <c r="L17" s="93">
        <v>9.0</v>
      </c>
      <c r="M17" s="91">
        <v>0.0</v>
      </c>
      <c r="N17" s="37">
        <f t="shared" ref="N17:O17" si="22">C17+L17</f>
        <v>9</v>
      </c>
      <c r="O17" s="37">
        <f t="shared" si="22"/>
        <v>0</v>
      </c>
      <c r="P17" s="49" t="s">
        <v>57</v>
      </c>
      <c r="Q17" s="49" t="s">
        <v>57</v>
      </c>
      <c r="R17" s="49" t="s">
        <v>57</v>
      </c>
      <c r="S17" s="51">
        <f t="shared" si="4"/>
        <v>0</v>
      </c>
      <c r="T17" s="52">
        <f t="shared" si="5"/>
        <v>0</v>
      </c>
      <c r="U17" s="52"/>
      <c r="V17" s="51">
        <f t="shared" si="6"/>
        <v>1</v>
      </c>
      <c r="W17" s="52">
        <f t="shared" si="7"/>
        <v>50</v>
      </c>
      <c r="X17" s="35">
        <f t="shared" si="12"/>
        <v>13</v>
      </c>
      <c r="Y17" s="35" t="str">
        <f t="shared" si="8"/>
        <v>N</v>
      </c>
      <c r="Z17" s="19" t="str">
        <f t="shared" si="9"/>
        <v/>
      </c>
    </row>
    <row r="18">
      <c r="A18" s="35">
        <f t="shared" si="10"/>
        <v>14</v>
      </c>
      <c r="B18" s="36" t="s">
        <v>116</v>
      </c>
      <c r="C18" s="37"/>
      <c r="D18" s="37"/>
      <c r="E18" s="40">
        <f t="shared" si="2"/>
        <v>0</v>
      </c>
      <c r="F18" s="90">
        <v>1.0</v>
      </c>
      <c r="G18" s="91">
        <v>1.0</v>
      </c>
      <c r="H18" s="92">
        <v>0.0</v>
      </c>
      <c r="I18" s="91">
        <v>3.0</v>
      </c>
      <c r="J18" s="91">
        <v>6.0</v>
      </c>
      <c r="K18" s="91">
        <v>1.0</v>
      </c>
      <c r="L18" s="93">
        <v>10.0</v>
      </c>
      <c r="M18" s="91">
        <v>0.0</v>
      </c>
      <c r="N18" s="37">
        <f t="shared" ref="N18:O18" si="23">C18+L18</f>
        <v>10</v>
      </c>
      <c r="O18" s="37">
        <f t="shared" si="23"/>
        <v>0</v>
      </c>
      <c r="P18" s="49" t="s">
        <v>57</v>
      </c>
      <c r="Q18" s="49" t="s">
        <v>57</v>
      </c>
      <c r="R18" s="49" t="s">
        <v>57</v>
      </c>
      <c r="S18" s="51">
        <f t="shared" si="4"/>
        <v>1</v>
      </c>
      <c r="T18" s="52">
        <f t="shared" si="5"/>
        <v>0</v>
      </c>
      <c r="U18" s="52"/>
      <c r="V18" s="51">
        <f t="shared" si="6"/>
        <v>0</v>
      </c>
      <c r="W18" s="52">
        <f t="shared" si="7"/>
        <v>31</v>
      </c>
      <c r="X18" s="35">
        <f t="shared" si="12"/>
        <v>14</v>
      </c>
      <c r="Y18" s="35" t="str">
        <f t="shared" si="8"/>
        <v>Y</v>
      </c>
      <c r="Z18" s="19" t="str">
        <f t="shared" si="9"/>
        <v/>
      </c>
    </row>
    <row r="19">
      <c r="A19" s="35">
        <f t="shared" si="10"/>
        <v>15</v>
      </c>
      <c r="B19" s="36" t="s">
        <v>153</v>
      </c>
      <c r="C19" s="37"/>
      <c r="D19" s="37"/>
      <c r="E19" s="40">
        <f t="shared" si="2"/>
        <v>0</v>
      </c>
      <c r="F19" s="90">
        <v>3.0</v>
      </c>
      <c r="G19" s="91">
        <v>0.0</v>
      </c>
      <c r="H19" s="92">
        <v>9.0</v>
      </c>
      <c r="I19" s="91">
        <v>0.0</v>
      </c>
      <c r="J19" s="91">
        <v>0.0</v>
      </c>
      <c r="K19" s="91">
        <v>0.0</v>
      </c>
      <c r="L19" s="93">
        <v>9.0</v>
      </c>
      <c r="M19" s="91">
        <v>0.0</v>
      </c>
      <c r="N19" s="37">
        <f t="shared" ref="N19:O19" si="24">C19+L19</f>
        <v>9</v>
      </c>
      <c r="O19" s="37">
        <f t="shared" si="24"/>
        <v>0</v>
      </c>
      <c r="P19" s="49" t="s">
        <v>57</v>
      </c>
      <c r="Q19" s="49" t="s">
        <v>57</v>
      </c>
      <c r="R19" s="49" t="s">
        <v>57</v>
      </c>
      <c r="S19" s="51">
        <f t="shared" si="4"/>
        <v>0</v>
      </c>
      <c r="T19" s="52">
        <f t="shared" si="5"/>
        <v>0</v>
      </c>
      <c r="U19" s="52"/>
      <c r="V19" s="51">
        <f t="shared" si="6"/>
        <v>1</v>
      </c>
      <c r="W19" s="52">
        <f t="shared" si="7"/>
        <v>38</v>
      </c>
      <c r="X19" s="35">
        <f t="shared" si="12"/>
        <v>15</v>
      </c>
      <c r="Y19" s="35" t="str">
        <f t="shared" si="8"/>
        <v>N</v>
      </c>
      <c r="Z19" s="19" t="str">
        <f t="shared" si="9"/>
        <v/>
      </c>
    </row>
    <row r="20">
      <c r="A20" s="35">
        <f t="shared" si="10"/>
        <v>16</v>
      </c>
      <c r="B20" s="36" t="s">
        <v>54</v>
      </c>
      <c r="C20" s="37"/>
      <c r="D20" s="37"/>
      <c r="E20" s="40">
        <f t="shared" si="2"/>
        <v>0</v>
      </c>
      <c r="F20" s="90">
        <v>3.0</v>
      </c>
      <c r="G20" s="91">
        <v>0.0</v>
      </c>
      <c r="H20" s="92">
        <v>9.0</v>
      </c>
      <c r="I20" s="91">
        <v>0.0</v>
      </c>
      <c r="J20" s="91">
        <v>0.0</v>
      </c>
      <c r="K20" s="91">
        <v>0.0</v>
      </c>
      <c r="L20" s="93">
        <v>9.0</v>
      </c>
      <c r="M20" s="91">
        <v>0.0</v>
      </c>
      <c r="N20" s="37">
        <f t="shared" ref="N20:O20" si="25">C20+L20</f>
        <v>9</v>
      </c>
      <c r="O20" s="37">
        <f t="shared" si="25"/>
        <v>0</v>
      </c>
      <c r="P20" s="49" t="s">
        <v>57</v>
      </c>
      <c r="Q20" s="49" t="s">
        <v>57</v>
      </c>
      <c r="R20" s="49" t="s">
        <v>57</v>
      </c>
      <c r="S20" s="51">
        <f t="shared" si="4"/>
        <v>0</v>
      </c>
      <c r="T20" s="52">
        <f t="shared" si="5"/>
        <v>0</v>
      </c>
      <c r="U20" s="52"/>
      <c r="V20" s="51">
        <f t="shared" si="6"/>
        <v>1</v>
      </c>
      <c r="W20" s="52">
        <f t="shared" si="7"/>
        <v>36</v>
      </c>
      <c r="X20" s="35">
        <f t="shared" si="12"/>
        <v>16</v>
      </c>
      <c r="Y20" s="35" t="str">
        <f t="shared" si="8"/>
        <v>N</v>
      </c>
      <c r="Z20" s="19" t="str">
        <f t="shared" si="9"/>
        <v/>
      </c>
    </row>
    <row r="21">
      <c r="A21" s="35">
        <f t="shared" si="10"/>
        <v>17</v>
      </c>
      <c r="B21" s="36" t="s">
        <v>105</v>
      </c>
      <c r="C21" s="37"/>
      <c r="D21" s="37"/>
      <c r="E21" s="40">
        <f t="shared" si="2"/>
        <v>0</v>
      </c>
      <c r="F21" s="90">
        <v>3.0</v>
      </c>
      <c r="G21" s="91">
        <v>0.0</v>
      </c>
      <c r="H21" s="92">
        <v>9.0</v>
      </c>
      <c r="I21" s="91">
        <v>0.0</v>
      </c>
      <c r="J21" s="91">
        <v>0.0</v>
      </c>
      <c r="K21" s="91">
        <v>0.0</v>
      </c>
      <c r="L21" s="93">
        <v>9.0</v>
      </c>
      <c r="M21" s="91">
        <v>0.0</v>
      </c>
      <c r="N21" s="37">
        <f t="shared" ref="N21:O21" si="26">C21+L21</f>
        <v>9</v>
      </c>
      <c r="O21" s="37">
        <f t="shared" si="26"/>
        <v>0</v>
      </c>
      <c r="P21" s="49" t="s">
        <v>57</v>
      </c>
      <c r="Q21" s="49" t="s">
        <v>57</v>
      </c>
      <c r="R21" s="49" t="s">
        <v>57</v>
      </c>
      <c r="S21" s="51">
        <f t="shared" si="4"/>
        <v>0</v>
      </c>
      <c r="T21" s="52">
        <f t="shared" si="5"/>
        <v>0</v>
      </c>
      <c r="U21" s="52"/>
      <c r="V21" s="51">
        <f t="shared" si="6"/>
        <v>1</v>
      </c>
      <c r="W21" s="52">
        <f t="shared" si="7"/>
        <v>45</v>
      </c>
      <c r="X21" s="35">
        <f t="shared" si="12"/>
        <v>17</v>
      </c>
      <c r="Y21" s="35" t="str">
        <f t="shared" si="8"/>
        <v>N</v>
      </c>
      <c r="Z21" s="19" t="str">
        <f t="shared" si="9"/>
        <v/>
      </c>
    </row>
    <row r="22">
      <c r="A22" s="35">
        <f t="shared" si="10"/>
        <v>18</v>
      </c>
      <c r="B22" s="36" t="s">
        <v>132</v>
      </c>
      <c r="C22" s="37"/>
      <c r="D22" s="37"/>
      <c r="E22" s="40">
        <f t="shared" si="2"/>
        <v>0</v>
      </c>
      <c r="F22" s="90">
        <v>3.0</v>
      </c>
      <c r="G22" s="91">
        <v>0.0</v>
      </c>
      <c r="H22" s="92">
        <v>9.0</v>
      </c>
      <c r="I22" s="91">
        <v>0.0</v>
      </c>
      <c r="J22" s="91">
        <v>0.0</v>
      </c>
      <c r="K22" s="91">
        <v>0.0</v>
      </c>
      <c r="L22" s="93">
        <v>9.0</v>
      </c>
      <c r="M22" s="91">
        <v>0.0</v>
      </c>
      <c r="N22" s="37">
        <f t="shared" ref="N22:O22" si="27">C22+L22</f>
        <v>9</v>
      </c>
      <c r="O22" s="37">
        <f t="shared" si="27"/>
        <v>0</v>
      </c>
      <c r="P22" s="49" t="s">
        <v>57</v>
      </c>
      <c r="Q22" s="49" t="s">
        <v>57</v>
      </c>
      <c r="R22" s="49" t="s">
        <v>57</v>
      </c>
      <c r="S22" s="51">
        <f t="shared" si="4"/>
        <v>0</v>
      </c>
      <c r="T22" s="52">
        <f t="shared" si="5"/>
        <v>0</v>
      </c>
      <c r="U22" s="52"/>
      <c r="V22" s="51">
        <f t="shared" si="6"/>
        <v>1</v>
      </c>
      <c r="W22" s="52">
        <f t="shared" si="7"/>
        <v>53</v>
      </c>
      <c r="X22" s="35">
        <f t="shared" si="12"/>
        <v>18</v>
      </c>
      <c r="Y22" s="35" t="str">
        <f t="shared" si="8"/>
        <v>N</v>
      </c>
      <c r="Z22" s="19" t="str">
        <f t="shared" si="9"/>
        <v/>
      </c>
    </row>
    <row r="23">
      <c r="A23" s="35">
        <f t="shared" si="10"/>
        <v>19</v>
      </c>
      <c r="B23" s="36" t="s">
        <v>118</v>
      </c>
      <c r="C23" s="37"/>
      <c r="D23" s="37"/>
      <c r="E23" s="40">
        <f t="shared" si="2"/>
        <v>0</v>
      </c>
      <c r="F23" s="90">
        <v>1.0</v>
      </c>
      <c r="G23" s="91">
        <v>2.0</v>
      </c>
      <c r="H23" s="92">
        <v>0.0</v>
      </c>
      <c r="I23" s="91">
        <v>5.0</v>
      </c>
      <c r="J23" s="91">
        <v>3.0</v>
      </c>
      <c r="K23" s="91">
        <v>6.0</v>
      </c>
      <c r="L23" s="93">
        <v>14.0</v>
      </c>
      <c r="M23" s="91">
        <v>1.0</v>
      </c>
      <c r="N23" s="37">
        <f t="shared" ref="N23:O23" si="28">C23+L23</f>
        <v>14</v>
      </c>
      <c r="O23" s="37">
        <f t="shared" si="28"/>
        <v>1</v>
      </c>
      <c r="P23" s="49" t="s">
        <v>57</v>
      </c>
      <c r="Q23" s="49" t="s">
        <v>57</v>
      </c>
      <c r="R23" s="49" t="s">
        <v>57</v>
      </c>
      <c r="S23" s="51">
        <f t="shared" si="4"/>
        <v>1</v>
      </c>
      <c r="T23" s="52">
        <f t="shared" si="5"/>
        <v>0</v>
      </c>
      <c r="U23" s="52"/>
      <c r="V23" s="51">
        <f t="shared" si="6"/>
        <v>0</v>
      </c>
      <c r="W23" s="52">
        <f t="shared" si="7"/>
        <v>13</v>
      </c>
      <c r="X23" s="35">
        <f t="shared" si="12"/>
        <v>19</v>
      </c>
      <c r="Y23" s="35" t="str">
        <f t="shared" si="8"/>
        <v>Y</v>
      </c>
      <c r="Z23" s="19" t="str">
        <f t="shared" si="9"/>
        <v/>
      </c>
    </row>
    <row r="24">
      <c r="A24" s="35">
        <f t="shared" si="10"/>
        <v>20</v>
      </c>
      <c r="B24" s="36" t="s">
        <v>107</v>
      </c>
      <c r="C24" s="37"/>
      <c r="D24" s="37"/>
      <c r="E24" s="40">
        <f t="shared" si="2"/>
        <v>0</v>
      </c>
      <c r="F24" s="90">
        <v>3.0</v>
      </c>
      <c r="G24" s="91">
        <v>0.0</v>
      </c>
      <c r="H24" s="92">
        <v>9.0</v>
      </c>
      <c r="I24" s="91">
        <v>0.0</v>
      </c>
      <c r="J24" s="91">
        <v>0.0</v>
      </c>
      <c r="K24" s="91">
        <v>0.0</v>
      </c>
      <c r="L24" s="93">
        <v>9.0</v>
      </c>
      <c r="M24" s="91">
        <v>0.0</v>
      </c>
      <c r="N24" s="37">
        <f t="shared" ref="N24:O24" si="29">C24+L24</f>
        <v>9</v>
      </c>
      <c r="O24" s="37">
        <f t="shared" si="29"/>
        <v>0</v>
      </c>
      <c r="P24" s="49" t="s">
        <v>57</v>
      </c>
      <c r="Q24" s="49" t="s">
        <v>57</v>
      </c>
      <c r="R24" s="49" t="s">
        <v>57</v>
      </c>
      <c r="S24" s="51">
        <f t="shared" si="4"/>
        <v>0</v>
      </c>
      <c r="T24" s="52">
        <f t="shared" si="5"/>
        <v>0</v>
      </c>
      <c r="U24" s="52"/>
      <c r="V24" s="51">
        <f t="shared" si="6"/>
        <v>1</v>
      </c>
      <c r="W24" s="52">
        <f t="shared" si="7"/>
        <v>15</v>
      </c>
      <c r="X24" s="35">
        <f t="shared" si="12"/>
        <v>20</v>
      </c>
      <c r="Y24" s="35" t="str">
        <f t="shared" si="8"/>
        <v>N</v>
      </c>
      <c r="Z24" s="19" t="str">
        <f t="shared" si="9"/>
        <v/>
      </c>
    </row>
    <row r="25">
      <c r="A25" s="35">
        <f t="shared" si="10"/>
        <v>21</v>
      </c>
      <c r="B25" s="36" t="s">
        <v>51</v>
      </c>
      <c r="C25" s="37"/>
      <c r="D25" s="37"/>
      <c r="E25" s="40">
        <f t="shared" si="2"/>
        <v>0</v>
      </c>
      <c r="F25" s="90">
        <v>3.0</v>
      </c>
      <c r="G25" s="91">
        <v>0.0</v>
      </c>
      <c r="H25" s="92">
        <v>9.0</v>
      </c>
      <c r="I25" s="91">
        <v>0.0</v>
      </c>
      <c r="J25" s="91">
        <v>0.0</v>
      </c>
      <c r="K25" s="91">
        <v>0.0</v>
      </c>
      <c r="L25" s="93">
        <v>9.0</v>
      </c>
      <c r="M25" s="91">
        <v>0.0</v>
      </c>
      <c r="N25" s="37">
        <f t="shared" ref="N25:O25" si="30">C25+L25</f>
        <v>9</v>
      </c>
      <c r="O25" s="37">
        <f t="shared" si="30"/>
        <v>0</v>
      </c>
      <c r="P25" s="49" t="s">
        <v>57</v>
      </c>
      <c r="Q25" s="49" t="s">
        <v>57</v>
      </c>
      <c r="R25" s="49" t="s">
        <v>57</v>
      </c>
      <c r="S25" s="51">
        <f t="shared" si="4"/>
        <v>0</v>
      </c>
      <c r="T25" s="52">
        <f t="shared" si="5"/>
        <v>0</v>
      </c>
      <c r="U25" s="52"/>
      <c r="V25" s="51">
        <f t="shared" si="6"/>
        <v>1</v>
      </c>
      <c r="W25" s="52">
        <f t="shared" si="7"/>
        <v>-20</v>
      </c>
      <c r="X25" s="35">
        <f t="shared" si="12"/>
        <v>21</v>
      </c>
      <c r="Y25" s="35" t="str">
        <f t="shared" si="8"/>
        <v>N</v>
      </c>
      <c r="Z25" s="19" t="str">
        <f t="shared" si="9"/>
        <v/>
      </c>
    </row>
    <row r="26">
      <c r="A26" s="35">
        <f t="shared" si="10"/>
        <v>22</v>
      </c>
      <c r="B26" s="36" t="s">
        <v>140</v>
      </c>
      <c r="C26" s="37"/>
      <c r="D26" s="37"/>
      <c r="E26" s="40">
        <f t="shared" si="2"/>
        <v>0</v>
      </c>
      <c r="F26" s="90">
        <v>1.0</v>
      </c>
      <c r="G26" s="91">
        <v>2.0</v>
      </c>
      <c r="H26" s="92">
        <v>0.0</v>
      </c>
      <c r="I26" s="91">
        <v>7.0</v>
      </c>
      <c r="J26" s="91">
        <v>3.0</v>
      </c>
      <c r="K26" s="91">
        <v>4.0</v>
      </c>
      <c r="L26" s="93">
        <v>14.0</v>
      </c>
      <c r="M26" s="91">
        <v>1.0</v>
      </c>
      <c r="N26" s="37">
        <f t="shared" ref="N26:O26" si="31">C26+L26</f>
        <v>14</v>
      </c>
      <c r="O26" s="37">
        <f t="shared" si="31"/>
        <v>1</v>
      </c>
      <c r="P26" s="49" t="s">
        <v>57</v>
      </c>
      <c r="Q26" s="49" t="s">
        <v>57</v>
      </c>
      <c r="R26" s="49" t="s">
        <v>57</v>
      </c>
      <c r="S26" s="51">
        <f t="shared" si="4"/>
        <v>1</v>
      </c>
      <c r="T26" s="52">
        <f t="shared" si="5"/>
        <v>0</v>
      </c>
      <c r="U26" s="52"/>
      <c r="V26" s="51">
        <f t="shared" si="6"/>
        <v>0</v>
      </c>
      <c r="W26" s="52">
        <f t="shared" si="7"/>
        <v>5</v>
      </c>
      <c r="X26" s="35">
        <f t="shared" si="12"/>
        <v>22</v>
      </c>
      <c r="Y26" s="35" t="str">
        <f t="shared" si="8"/>
        <v>Y</v>
      </c>
      <c r="Z26" s="19" t="str">
        <f t="shared" si="9"/>
        <v/>
      </c>
    </row>
    <row r="27">
      <c r="A27" s="35">
        <f t="shared" si="10"/>
        <v>23</v>
      </c>
      <c r="B27" s="36" t="s">
        <v>137</v>
      </c>
      <c r="C27" s="37"/>
      <c r="D27" s="37"/>
      <c r="E27" s="40">
        <f t="shared" si="2"/>
        <v>0</v>
      </c>
      <c r="F27" s="90">
        <v>1.0</v>
      </c>
      <c r="G27" s="91">
        <v>2.0</v>
      </c>
      <c r="H27" s="92">
        <v>0.0</v>
      </c>
      <c r="I27" s="91">
        <v>5.0</v>
      </c>
      <c r="J27" s="91">
        <v>6.0</v>
      </c>
      <c r="K27" s="91">
        <v>4.0</v>
      </c>
      <c r="L27" s="93">
        <v>15.0</v>
      </c>
      <c r="M27" s="91">
        <v>1.0</v>
      </c>
      <c r="N27" s="37">
        <f t="shared" ref="N27:O27" si="32">C27+L27</f>
        <v>15</v>
      </c>
      <c r="O27" s="37">
        <f t="shared" si="32"/>
        <v>1</v>
      </c>
      <c r="P27" s="49" t="s">
        <v>57</v>
      </c>
      <c r="Q27" s="49" t="s">
        <v>57</v>
      </c>
      <c r="R27" s="49" t="s">
        <v>57</v>
      </c>
      <c r="S27" s="51">
        <f t="shared" si="4"/>
        <v>1</v>
      </c>
      <c r="T27" s="52">
        <f t="shared" si="5"/>
        <v>0</v>
      </c>
      <c r="U27" s="52"/>
      <c r="V27" s="51">
        <f t="shared" si="6"/>
        <v>0</v>
      </c>
      <c r="W27" s="52">
        <f t="shared" si="7"/>
        <v>38</v>
      </c>
      <c r="X27" s="35">
        <f t="shared" si="12"/>
        <v>23</v>
      </c>
      <c r="Y27" s="35" t="str">
        <f t="shared" si="8"/>
        <v>Y</v>
      </c>
      <c r="Z27" s="19" t="str">
        <f t="shared" si="9"/>
        <v/>
      </c>
    </row>
    <row r="28">
      <c r="A28" s="35">
        <f t="shared" si="10"/>
        <v>24</v>
      </c>
      <c r="B28" s="36" t="s">
        <v>113</v>
      </c>
      <c r="C28" s="37"/>
      <c r="D28" s="37"/>
      <c r="E28" s="40">
        <f t="shared" si="2"/>
        <v>0</v>
      </c>
      <c r="F28" s="90">
        <v>3.0</v>
      </c>
      <c r="G28" s="91">
        <v>0.0</v>
      </c>
      <c r="H28" s="92">
        <v>9.0</v>
      </c>
      <c r="I28" s="91">
        <v>0.0</v>
      </c>
      <c r="J28" s="91">
        <v>0.0</v>
      </c>
      <c r="K28" s="91">
        <v>0.0</v>
      </c>
      <c r="L28" s="93">
        <v>9.0</v>
      </c>
      <c r="M28" s="91">
        <v>0.0</v>
      </c>
      <c r="N28" s="37">
        <f t="shared" ref="N28:O28" si="33">C28+L28</f>
        <v>9</v>
      </c>
      <c r="O28" s="37">
        <f t="shared" si="33"/>
        <v>0</v>
      </c>
      <c r="P28" s="49" t="s">
        <v>57</v>
      </c>
      <c r="Q28" s="49" t="s">
        <v>57</v>
      </c>
      <c r="R28" s="49" t="s">
        <v>57</v>
      </c>
      <c r="S28" s="51">
        <f t="shared" si="4"/>
        <v>0</v>
      </c>
      <c r="T28" s="52">
        <f t="shared" si="5"/>
        <v>0</v>
      </c>
      <c r="U28" s="52"/>
      <c r="V28" s="51">
        <f t="shared" si="6"/>
        <v>1</v>
      </c>
      <c r="W28" s="52">
        <f t="shared" si="7"/>
        <v>-13</v>
      </c>
      <c r="X28" s="35">
        <f t="shared" si="12"/>
        <v>24</v>
      </c>
      <c r="Y28" s="35" t="str">
        <f t="shared" si="8"/>
        <v>N</v>
      </c>
      <c r="Z28" s="19" t="str">
        <f t="shared" si="9"/>
        <v/>
      </c>
    </row>
    <row r="29">
      <c r="A29" s="35">
        <f t="shared" si="10"/>
        <v>25</v>
      </c>
      <c r="B29" s="36" t="s">
        <v>120</v>
      </c>
      <c r="C29" s="37"/>
      <c r="D29" s="37"/>
      <c r="E29" s="40">
        <f t="shared" si="2"/>
        <v>0</v>
      </c>
      <c r="F29" s="90">
        <v>3.0</v>
      </c>
      <c r="G29" s="91">
        <v>0.0</v>
      </c>
      <c r="H29" s="92">
        <v>9.0</v>
      </c>
      <c r="I29" s="91">
        <v>0.0</v>
      </c>
      <c r="J29" s="91">
        <v>0.0</v>
      </c>
      <c r="K29" s="91">
        <v>0.0</v>
      </c>
      <c r="L29" s="93">
        <v>9.0</v>
      </c>
      <c r="M29" s="91">
        <v>0.0</v>
      </c>
      <c r="N29" s="37">
        <f t="shared" ref="N29:O29" si="34">C29+L29</f>
        <v>9</v>
      </c>
      <c r="O29" s="37">
        <f t="shared" si="34"/>
        <v>0</v>
      </c>
      <c r="P29" s="49" t="s">
        <v>57</v>
      </c>
      <c r="Q29" s="49" t="s">
        <v>57</v>
      </c>
      <c r="R29" s="49" t="s">
        <v>57</v>
      </c>
      <c r="S29" s="51">
        <f t="shared" si="4"/>
        <v>0</v>
      </c>
      <c r="T29" s="52">
        <f t="shared" si="5"/>
        <v>0</v>
      </c>
      <c r="U29" s="52"/>
      <c r="V29" s="51">
        <f t="shared" si="6"/>
        <v>1</v>
      </c>
      <c r="W29" s="52">
        <f t="shared" si="7"/>
        <v>33</v>
      </c>
      <c r="X29" s="35">
        <f t="shared" si="12"/>
        <v>25</v>
      </c>
      <c r="Y29" s="35" t="str">
        <f t="shared" si="8"/>
        <v>N</v>
      </c>
      <c r="Z29" s="19" t="str">
        <f t="shared" si="9"/>
        <v/>
      </c>
    </row>
    <row r="30">
      <c r="A30" s="35">
        <f t="shared" si="10"/>
        <v>26</v>
      </c>
      <c r="B30" s="36" t="s">
        <v>50</v>
      </c>
      <c r="C30" s="37"/>
      <c r="D30" s="37"/>
      <c r="E30" s="40">
        <f t="shared" si="2"/>
        <v>0</v>
      </c>
      <c r="F30" s="90">
        <v>1.0</v>
      </c>
      <c r="G30" s="91">
        <v>2.0</v>
      </c>
      <c r="H30" s="92">
        <v>0.0</v>
      </c>
      <c r="I30" s="91">
        <v>7.0</v>
      </c>
      <c r="J30" s="91">
        <v>6.0</v>
      </c>
      <c r="K30" s="91">
        <v>6.0</v>
      </c>
      <c r="L30" s="93">
        <v>19.0</v>
      </c>
      <c r="M30" s="91">
        <v>3.0</v>
      </c>
      <c r="N30" s="37">
        <f t="shared" ref="N30:O30" si="35">C30+L30</f>
        <v>19</v>
      </c>
      <c r="O30" s="37">
        <f t="shared" si="35"/>
        <v>3</v>
      </c>
      <c r="P30" s="49" t="s">
        <v>57</v>
      </c>
      <c r="Q30" s="49" t="s">
        <v>57</v>
      </c>
      <c r="R30" s="49" t="s">
        <v>57</v>
      </c>
      <c r="S30" s="51">
        <f t="shared" si="4"/>
        <v>1</v>
      </c>
      <c r="T30" s="52">
        <f t="shared" si="5"/>
        <v>0</v>
      </c>
      <c r="U30" s="52"/>
      <c r="V30" s="51">
        <f t="shared" si="6"/>
        <v>0</v>
      </c>
      <c r="W30" s="52">
        <f t="shared" si="7"/>
        <v>46</v>
      </c>
      <c r="X30" s="35">
        <f t="shared" si="12"/>
        <v>26</v>
      </c>
      <c r="Y30" s="35" t="str">
        <f t="shared" si="8"/>
        <v>Y</v>
      </c>
      <c r="Z30" s="19" t="str">
        <f t="shared" si="9"/>
        <v/>
      </c>
    </row>
    <row r="31">
      <c r="A31" s="35">
        <f t="shared" si="10"/>
        <v>27</v>
      </c>
      <c r="B31" s="36" t="s">
        <v>106</v>
      </c>
      <c r="C31" s="37"/>
      <c r="D31" s="37"/>
      <c r="E31" s="40">
        <f t="shared" si="2"/>
        <v>0</v>
      </c>
      <c r="F31" s="90">
        <v>2.0</v>
      </c>
      <c r="G31" s="91">
        <v>3.0</v>
      </c>
      <c r="H31" s="92">
        <v>0.0</v>
      </c>
      <c r="I31" s="91">
        <v>3.0</v>
      </c>
      <c r="J31" s="91">
        <v>6.0</v>
      </c>
      <c r="K31" s="91">
        <v>6.0</v>
      </c>
      <c r="L31" s="93">
        <v>15.0</v>
      </c>
      <c r="M31" s="91">
        <v>1.0</v>
      </c>
      <c r="N31" s="37">
        <f t="shared" ref="N31:O31" si="36">C31+L31</f>
        <v>15</v>
      </c>
      <c r="O31" s="37">
        <f t="shared" si="36"/>
        <v>1</v>
      </c>
      <c r="P31" s="49" t="s">
        <v>57</v>
      </c>
      <c r="Q31" s="49" t="s">
        <v>57</v>
      </c>
      <c r="R31" s="49" t="s">
        <v>57</v>
      </c>
      <c r="S31" s="51">
        <f t="shared" si="4"/>
        <v>1</v>
      </c>
      <c r="T31" s="52">
        <f t="shared" si="5"/>
        <v>0</v>
      </c>
      <c r="U31" s="52"/>
      <c r="V31" s="51">
        <f t="shared" si="6"/>
        <v>0</v>
      </c>
      <c r="W31" s="52">
        <f t="shared" si="7"/>
        <v>27</v>
      </c>
      <c r="X31" s="35">
        <f t="shared" si="12"/>
        <v>27</v>
      </c>
      <c r="Y31" s="35" t="str">
        <f t="shared" si="8"/>
        <v>Y</v>
      </c>
      <c r="Z31" s="19" t="str">
        <f t="shared" si="9"/>
        <v/>
      </c>
    </row>
    <row r="32">
      <c r="A32" s="35">
        <f t="shared" si="10"/>
        <v>28</v>
      </c>
      <c r="B32" s="36" t="s">
        <v>76</v>
      </c>
      <c r="C32" s="37"/>
      <c r="D32" s="37"/>
      <c r="E32" s="40">
        <f t="shared" si="2"/>
        <v>0</v>
      </c>
      <c r="F32" s="90">
        <v>3.0</v>
      </c>
      <c r="G32" s="91">
        <v>0.0</v>
      </c>
      <c r="H32" s="92">
        <v>9.0</v>
      </c>
      <c r="I32" s="91">
        <v>0.0</v>
      </c>
      <c r="J32" s="91">
        <v>0.0</v>
      </c>
      <c r="K32" s="91">
        <v>0.0</v>
      </c>
      <c r="L32" s="93">
        <v>9.0</v>
      </c>
      <c r="M32" s="91">
        <v>0.0</v>
      </c>
      <c r="N32" s="37">
        <f t="shared" ref="N32:O32" si="37">C32+L32</f>
        <v>9</v>
      </c>
      <c r="O32" s="37">
        <f t="shared" si="37"/>
        <v>0</v>
      </c>
      <c r="P32" s="49" t="s">
        <v>57</v>
      </c>
      <c r="Q32" s="49" t="s">
        <v>57</v>
      </c>
      <c r="R32" s="49" t="s">
        <v>57</v>
      </c>
      <c r="S32" s="51">
        <f t="shared" si="4"/>
        <v>0</v>
      </c>
      <c r="T32" s="52">
        <f t="shared" si="5"/>
        <v>0</v>
      </c>
      <c r="U32" s="52"/>
      <c r="V32" s="51">
        <f t="shared" si="6"/>
        <v>1</v>
      </c>
      <c r="W32" s="52">
        <f t="shared" si="7"/>
        <v>40</v>
      </c>
      <c r="X32" s="35">
        <f t="shared" si="12"/>
        <v>28</v>
      </c>
      <c r="Y32" s="35" t="str">
        <f t="shared" si="8"/>
        <v>N</v>
      </c>
      <c r="Z32" s="19" t="str">
        <f t="shared" si="9"/>
        <v/>
      </c>
    </row>
    <row r="33">
      <c r="A33" s="35">
        <f t="shared" si="10"/>
        <v>29</v>
      </c>
      <c r="B33" s="36" t="s">
        <v>127</v>
      </c>
      <c r="C33" s="37"/>
      <c r="D33" s="37"/>
      <c r="E33" s="40">
        <f t="shared" si="2"/>
        <v>0</v>
      </c>
      <c r="F33" s="90">
        <v>3.0</v>
      </c>
      <c r="G33" s="91">
        <v>0.0</v>
      </c>
      <c r="H33" s="92">
        <v>9.0</v>
      </c>
      <c r="I33" s="91">
        <v>0.0</v>
      </c>
      <c r="J33" s="91">
        <v>0.0</v>
      </c>
      <c r="K33" s="91">
        <v>0.0</v>
      </c>
      <c r="L33" s="93">
        <v>9.0</v>
      </c>
      <c r="M33" s="91">
        <v>0.0</v>
      </c>
      <c r="N33" s="37">
        <f t="shared" ref="N33:O33" si="38">C33+L33</f>
        <v>9</v>
      </c>
      <c r="O33" s="37">
        <f t="shared" si="38"/>
        <v>0</v>
      </c>
      <c r="P33" s="49" t="s">
        <v>57</v>
      </c>
      <c r="Q33" s="49" t="s">
        <v>57</v>
      </c>
      <c r="R33" s="49" t="s">
        <v>57</v>
      </c>
      <c r="S33" s="51">
        <f t="shared" si="4"/>
        <v>0</v>
      </c>
      <c r="T33" s="52">
        <f t="shared" si="5"/>
        <v>0</v>
      </c>
      <c r="U33" s="52"/>
      <c r="V33" s="51">
        <f t="shared" si="6"/>
        <v>1</v>
      </c>
      <c r="W33" s="52">
        <f t="shared" si="7"/>
        <v>36</v>
      </c>
      <c r="X33" s="35">
        <f t="shared" si="12"/>
        <v>29</v>
      </c>
      <c r="Y33" s="35" t="str">
        <f t="shared" si="8"/>
        <v>N</v>
      </c>
      <c r="Z33" s="19" t="str">
        <f t="shared" si="9"/>
        <v/>
      </c>
    </row>
    <row r="34">
      <c r="A34" s="35">
        <f t="shared" si="10"/>
        <v>30</v>
      </c>
      <c r="B34" s="36" t="s">
        <v>128</v>
      </c>
      <c r="C34" s="37"/>
      <c r="D34" s="37"/>
      <c r="E34" s="40">
        <f t="shared" si="2"/>
        <v>0</v>
      </c>
      <c r="F34" s="90">
        <v>1.0</v>
      </c>
      <c r="G34" s="91">
        <v>3.0</v>
      </c>
      <c r="H34" s="92">
        <v>0.0</v>
      </c>
      <c r="I34" s="91">
        <v>6.0</v>
      </c>
      <c r="J34" s="91">
        <v>6.0</v>
      </c>
      <c r="K34" s="91">
        <v>4.0</v>
      </c>
      <c r="L34" s="93">
        <v>16.0</v>
      </c>
      <c r="M34" s="91">
        <v>1.0</v>
      </c>
      <c r="N34" s="37">
        <f t="shared" ref="N34:O34" si="39">C34+L34</f>
        <v>16</v>
      </c>
      <c r="O34" s="37">
        <f t="shared" si="39"/>
        <v>1</v>
      </c>
      <c r="P34" s="49" t="s">
        <v>57</v>
      </c>
      <c r="Q34" s="49" t="s">
        <v>57</v>
      </c>
      <c r="R34" s="49" t="s">
        <v>57</v>
      </c>
      <c r="S34" s="51">
        <f t="shared" si="4"/>
        <v>1</v>
      </c>
      <c r="T34" s="52">
        <f t="shared" si="5"/>
        <v>0</v>
      </c>
      <c r="U34" s="52"/>
      <c r="V34" s="51">
        <f t="shared" si="6"/>
        <v>0</v>
      </c>
      <c r="W34" s="52">
        <f t="shared" si="7"/>
        <v>4</v>
      </c>
      <c r="X34" s="35">
        <f t="shared" si="12"/>
        <v>30</v>
      </c>
      <c r="Y34" s="35" t="str">
        <f t="shared" si="8"/>
        <v>Y</v>
      </c>
      <c r="Z34" s="19" t="str">
        <f t="shared" si="9"/>
        <v/>
      </c>
    </row>
    <row r="35">
      <c r="A35" s="35">
        <f t="shared" si="10"/>
        <v>31</v>
      </c>
      <c r="B35" s="36" t="s">
        <v>108</v>
      </c>
      <c r="C35" s="37"/>
      <c r="D35" s="37"/>
      <c r="E35" s="40">
        <f t="shared" si="2"/>
        <v>0</v>
      </c>
      <c r="F35" s="90">
        <v>1.0</v>
      </c>
      <c r="G35" s="91">
        <v>3.0</v>
      </c>
      <c r="H35" s="92">
        <v>0.0</v>
      </c>
      <c r="I35" s="91">
        <v>6.0</v>
      </c>
      <c r="J35" s="91">
        <v>7.0</v>
      </c>
      <c r="K35" s="91">
        <v>6.0</v>
      </c>
      <c r="L35" s="93">
        <v>19.0</v>
      </c>
      <c r="M35" s="91">
        <v>3.0</v>
      </c>
      <c r="N35" s="37">
        <f t="shared" ref="N35:O35" si="40">C35+L35</f>
        <v>19</v>
      </c>
      <c r="O35" s="37">
        <f t="shared" si="40"/>
        <v>3</v>
      </c>
      <c r="P35" s="49" t="s">
        <v>57</v>
      </c>
      <c r="Q35" s="49" t="s">
        <v>57</v>
      </c>
      <c r="R35" s="49" t="s">
        <v>57</v>
      </c>
      <c r="S35" s="51">
        <f t="shared" si="4"/>
        <v>1</v>
      </c>
      <c r="T35" s="52">
        <f t="shared" si="5"/>
        <v>0</v>
      </c>
      <c r="U35" s="52"/>
      <c r="V35" s="51">
        <f t="shared" si="6"/>
        <v>0</v>
      </c>
      <c r="W35" s="52">
        <f t="shared" si="7"/>
        <v>-11</v>
      </c>
      <c r="X35" s="35">
        <f t="shared" si="12"/>
        <v>31</v>
      </c>
      <c r="Y35" s="35" t="str">
        <f t="shared" si="8"/>
        <v>Y</v>
      </c>
      <c r="Z35" s="19" t="str">
        <f t="shared" si="9"/>
        <v/>
      </c>
    </row>
    <row r="36">
      <c r="A36" s="35">
        <f t="shared" si="10"/>
        <v>32</v>
      </c>
      <c r="B36" s="36" t="s">
        <v>97</v>
      </c>
      <c r="C36" s="37"/>
      <c r="D36" s="37"/>
      <c r="E36" s="40">
        <f t="shared" si="2"/>
        <v>0</v>
      </c>
      <c r="F36" s="90">
        <v>1.0</v>
      </c>
      <c r="G36" s="91">
        <v>3.0</v>
      </c>
      <c r="H36" s="92">
        <v>0.0</v>
      </c>
      <c r="I36" s="91">
        <v>3.0</v>
      </c>
      <c r="J36" s="91">
        <v>7.0</v>
      </c>
      <c r="K36" s="91">
        <v>4.0</v>
      </c>
      <c r="L36" s="93">
        <v>14.0</v>
      </c>
      <c r="M36" s="91">
        <v>1.0</v>
      </c>
      <c r="N36" s="37">
        <f t="shared" ref="N36:O36" si="41">C36+L36</f>
        <v>14</v>
      </c>
      <c r="O36" s="37">
        <f t="shared" si="41"/>
        <v>1</v>
      </c>
      <c r="P36" s="49" t="s">
        <v>57</v>
      </c>
      <c r="Q36" s="49" t="s">
        <v>57</v>
      </c>
      <c r="R36" s="49" t="s">
        <v>57</v>
      </c>
      <c r="S36" s="51">
        <f t="shared" si="4"/>
        <v>1</v>
      </c>
      <c r="T36" s="52">
        <f t="shared" si="5"/>
        <v>0</v>
      </c>
      <c r="U36" s="52"/>
      <c r="V36" s="51">
        <f t="shared" si="6"/>
        <v>0</v>
      </c>
      <c r="W36" s="52">
        <f t="shared" si="7"/>
        <v>-10</v>
      </c>
      <c r="X36" s="35">
        <f t="shared" si="12"/>
        <v>32</v>
      </c>
      <c r="Y36" s="35" t="str">
        <f t="shared" si="8"/>
        <v>Y</v>
      </c>
      <c r="Z36" s="19" t="str">
        <f t="shared" si="9"/>
        <v/>
      </c>
    </row>
    <row r="37">
      <c r="A37" s="35">
        <f t="shared" si="10"/>
        <v>33</v>
      </c>
      <c r="B37" s="36" t="s">
        <v>90</v>
      </c>
      <c r="C37" s="37"/>
      <c r="D37" s="37"/>
      <c r="E37" s="40">
        <f t="shared" si="2"/>
        <v>0</v>
      </c>
      <c r="F37" s="90">
        <v>1.0</v>
      </c>
      <c r="G37" s="91">
        <v>9.0</v>
      </c>
      <c r="H37" s="92">
        <v>0.0</v>
      </c>
      <c r="I37" s="91">
        <v>6.0</v>
      </c>
      <c r="J37" s="91">
        <v>5.0</v>
      </c>
      <c r="K37" s="91">
        <v>4.0</v>
      </c>
      <c r="L37" s="93">
        <v>15.0</v>
      </c>
      <c r="M37" s="91">
        <v>1.0</v>
      </c>
      <c r="N37" s="37">
        <f t="shared" ref="N37:O37" si="42">C37+L37</f>
        <v>15</v>
      </c>
      <c r="O37" s="37">
        <f t="shared" si="42"/>
        <v>1</v>
      </c>
      <c r="P37" s="49" t="s">
        <v>57</v>
      </c>
      <c r="Q37" s="49" t="s">
        <v>57</v>
      </c>
      <c r="R37" s="49" t="s">
        <v>57</v>
      </c>
      <c r="S37" s="51">
        <f t="shared" si="4"/>
        <v>1</v>
      </c>
      <c r="T37" s="52">
        <f t="shared" si="5"/>
        <v>0</v>
      </c>
      <c r="U37" s="52"/>
      <c r="V37" s="51">
        <f t="shared" si="6"/>
        <v>0</v>
      </c>
      <c r="W37" s="52">
        <f t="shared" si="7"/>
        <v>3</v>
      </c>
      <c r="X37" s="35">
        <f t="shared" si="12"/>
        <v>33</v>
      </c>
      <c r="Y37" s="35" t="str">
        <f t="shared" si="8"/>
        <v>Y</v>
      </c>
      <c r="Z37" s="19" t="str">
        <f t="shared" si="9"/>
        <v/>
      </c>
    </row>
    <row r="38">
      <c r="A38" s="35">
        <f t="shared" si="10"/>
        <v>34</v>
      </c>
      <c r="B38" s="36" t="s">
        <v>104</v>
      </c>
      <c r="C38" s="37"/>
      <c r="D38" s="37"/>
      <c r="E38" s="40">
        <f t="shared" si="2"/>
        <v>0</v>
      </c>
      <c r="F38" s="90">
        <v>2.0</v>
      </c>
      <c r="G38" s="91">
        <v>9.0</v>
      </c>
      <c r="H38" s="92">
        <v>0.0</v>
      </c>
      <c r="I38" s="91">
        <v>6.0</v>
      </c>
      <c r="J38" s="91">
        <v>7.0</v>
      </c>
      <c r="K38" s="91">
        <v>6.0</v>
      </c>
      <c r="L38" s="93">
        <v>19.0</v>
      </c>
      <c r="M38" s="91">
        <v>3.0</v>
      </c>
      <c r="N38" s="37">
        <f t="shared" ref="N38:O38" si="43">C38+L38</f>
        <v>19</v>
      </c>
      <c r="O38" s="37">
        <f t="shared" si="43"/>
        <v>3</v>
      </c>
      <c r="P38" s="49" t="s">
        <v>57</v>
      </c>
      <c r="Q38" s="49" t="s">
        <v>57</v>
      </c>
      <c r="R38" s="49" t="s">
        <v>57</v>
      </c>
      <c r="S38" s="51">
        <f t="shared" si="4"/>
        <v>1</v>
      </c>
      <c r="T38" s="52">
        <f t="shared" si="5"/>
        <v>0</v>
      </c>
      <c r="U38" s="52"/>
      <c r="V38" s="51">
        <f t="shared" si="6"/>
        <v>0</v>
      </c>
      <c r="W38" s="52">
        <f t="shared" si="7"/>
        <v>-31</v>
      </c>
      <c r="X38" s="35">
        <f t="shared" si="12"/>
        <v>34</v>
      </c>
      <c r="Y38" s="35" t="str">
        <f t="shared" si="8"/>
        <v>Y</v>
      </c>
      <c r="Z38" s="19" t="str">
        <f t="shared" si="9"/>
        <v/>
      </c>
    </row>
    <row r="39">
      <c r="A39" s="35">
        <f t="shared" si="10"/>
        <v>35</v>
      </c>
      <c r="B39" s="36" t="s">
        <v>112</v>
      </c>
      <c r="C39" s="37"/>
      <c r="D39" s="37"/>
      <c r="E39" s="40">
        <f t="shared" si="2"/>
        <v>0</v>
      </c>
      <c r="F39" s="90">
        <v>3.0</v>
      </c>
      <c r="G39" s="91">
        <v>0.0</v>
      </c>
      <c r="H39" s="92">
        <v>9.0</v>
      </c>
      <c r="I39" s="91">
        <v>0.0</v>
      </c>
      <c r="J39" s="91">
        <v>0.0</v>
      </c>
      <c r="K39" s="91">
        <v>0.0</v>
      </c>
      <c r="L39" s="93">
        <v>9.0</v>
      </c>
      <c r="M39" s="91">
        <v>0.0</v>
      </c>
      <c r="N39" s="37">
        <f t="shared" ref="N39:O39" si="44">C39+L39</f>
        <v>9</v>
      </c>
      <c r="O39" s="37">
        <f t="shared" si="44"/>
        <v>0</v>
      </c>
      <c r="P39" s="49" t="s">
        <v>57</v>
      </c>
      <c r="Q39" s="49" t="s">
        <v>57</v>
      </c>
      <c r="R39" s="49" t="s">
        <v>57</v>
      </c>
      <c r="S39" s="51">
        <f t="shared" si="4"/>
        <v>0</v>
      </c>
      <c r="T39" s="52">
        <f t="shared" si="5"/>
        <v>0</v>
      </c>
      <c r="U39" s="52"/>
      <c r="V39" s="51">
        <f t="shared" si="6"/>
        <v>1</v>
      </c>
      <c r="W39" s="52">
        <f t="shared" si="7"/>
        <v>-26</v>
      </c>
      <c r="X39" s="35">
        <f t="shared" si="12"/>
        <v>35</v>
      </c>
      <c r="Y39" s="35" t="str">
        <f t="shared" si="8"/>
        <v>N</v>
      </c>
      <c r="Z39" s="19" t="str">
        <f t="shared" si="9"/>
        <v/>
      </c>
    </row>
    <row r="40">
      <c r="A40" s="35">
        <f t="shared" si="10"/>
        <v>36</v>
      </c>
      <c r="B40" s="36" t="s">
        <v>110</v>
      </c>
      <c r="C40" s="37"/>
      <c r="D40" s="37"/>
      <c r="E40" s="40">
        <f t="shared" si="2"/>
        <v>0</v>
      </c>
      <c r="F40" s="90">
        <v>2.0</v>
      </c>
      <c r="G40" s="91">
        <v>9.0</v>
      </c>
      <c r="H40" s="92">
        <v>0.0</v>
      </c>
      <c r="I40" s="91">
        <v>2.0</v>
      </c>
      <c r="J40" s="91">
        <v>5.0</v>
      </c>
      <c r="K40" s="91">
        <v>6.0</v>
      </c>
      <c r="L40" s="93">
        <v>13.0</v>
      </c>
      <c r="M40" s="91">
        <v>1.0</v>
      </c>
      <c r="N40" s="37">
        <f t="shared" ref="N40:O40" si="45">C40+L40</f>
        <v>13</v>
      </c>
      <c r="O40" s="37">
        <f t="shared" si="45"/>
        <v>1</v>
      </c>
      <c r="P40" s="49" t="s">
        <v>57</v>
      </c>
      <c r="Q40" s="49" t="s">
        <v>57</v>
      </c>
      <c r="R40" s="49" t="s">
        <v>57</v>
      </c>
      <c r="S40" s="51">
        <f t="shared" si="4"/>
        <v>1</v>
      </c>
      <c r="T40" s="52">
        <f t="shared" si="5"/>
        <v>0</v>
      </c>
      <c r="U40" s="52"/>
      <c r="V40" s="51">
        <f t="shared" si="6"/>
        <v>0</v>
      </c>
      <c r="W40" s="52">
        <f t="shared" si="7"/>
        <v>-13</v>
      </c>
      <c r="X40" s="35">
        <f t="shared" si="12"/>
        <v>36</v>
      </c>
      <c r="Y40" s="35" t="str">
        <f t="shared" si="8"/>
        <v>Y</v>
      </c>
      <c r="Z40" s="19" t="str">
        <f t="shared" si="9"/>
        <v/>
      </c>
    </row>
    <row r="41">
      <c r="A41" s="35">
        <f t="shared" si="10"/>
        <v>37</v>
      </c>
      <c r="B41" s="36" t="s">
        <v>64</v>
      </c>
      <c r="C41" s="37"/>
      <c r="D41" s="37"/>
      <c r="E41" s="40">
        <f t="shared" si="2"/>
        <v>0</v>
      </c>
      <c r="F41" s="90">
        <v>1.0</v>
      </c>
      <c r="G41" s="91">
        <v>9.0</v>
      </c>
      <c r="H41" s="92">
        <v>0.0</v>
      </c>
      <c r="I41" s="91">
        <v>2.0</v>
      </c>
      <c r="J41" s="91">
        <v>7.0</v>
      </c>
      <c r="K41" s="91">
        <v>4.0</v>
      </c>
      <c r="L41" s="93">
        <v>13.0</v>
      </c>
      <c r="M41" s="91">
        <v>1.0</v>
      </c>
      <c r="N41" s="37">
        <f t="shared" ref="N41:O41" si="46">C41+L41</f>
        <v>13</v>
      </c>
      <c r="O41" s="37">
        <f t="shared" si="46"/>
        <v>1</v>
      </c>
      <c r="P41" s="49" t="s">
        <v>57</v>
      </c>
      <c r="Q41" s="49" t="s">
        <v>57</v>
      </c>
      <c r="R41" s="49" t="s">
        <v>57</v>
      </c>
      <c r="S41" s="51">
        <f t="shared" si="4"/>
        <v>1</v>
      </c>
      <c r="T41" s="52">
        <f t="shared" si="5"/>
        <v>0</v>
      </c>
      <c r="U41" s="52"/>
      <c r="V41" s="51">
        <f t="shared" si="6"/>
        <v>0</v>
      </c>
      <c r="W41" s="52">
        <f t="shared" si="7"/>
        <v>-13</v>
      </c>
      <c r="X41" s="35">
        <f t="shared" si="12"/>
        <v>37</v>
      </c>
      <c r="Y41" s="35" t="str">
        <f t="shared" si="8"/>
        <v>Y</v>
      </c>
      <c r="Z41" s="19" t="str">
        <f t="shared" si="9"/>
        <v/>
      </c>
    </row>
    <row r="42">
      <c r="A42" s="35">
        <f t="shared" si="10"/>
        <v>38</v>
      </c>
      <c r="B42" s="36" t="s">
        <v>139</v>
      </c>
      <c r="C42" s="37"/>
      <c r="D42" s="37"/>
      <c r="E42" s="40">
        <f t="shared" si="2"/>
        <v>0</v>
      </c>
      <c r="F42" s="90">
        <v>1.0</v>
      </c>
      <c r="G42" s="91">
        <v>4.0</v>
      </c>
      <c r="H42" s="92">
        <v>0.0</v>
      </c>
      <c r="I42" s="91">
        <v>6.0</v>
      </c>
      <c r="J42" s="91">
        <v>2.0</v>
      </c>
      <c r="K42" s="91">
        <v>6.0</v>
      </c>
      <c r="L42" s="93">
        <v>14.0</v>
      </c>
      <c r="M42" s="91">
        <v>2.0</v>
      </c>
      <c r="N42" s="37">
        <f t="shared" ref="N42:O42" si="47">C42+L42</f>
        <v>14</v>
      </c>
      <c r="O42" s="37">
        <f t="shared" si="47"/>
        <v>2</v>
      </c>
      <c r="P42" s="49" t="s">
        <v>57</v>
      </c>
      <c r="Q42" s="49" t="s">
        <v>57</v>
      </c>
      <c r="R42" s="49" t="s">
        <v>57</v>
      </c>
      <c r="S42" s="51">
        <f t="shared" si="4"/>
        <v>1</v>
      </c>
      <c r="T42" s="52">
        <f t="shared" si="5"/>
        <v>0</v>
      </c>
      <c r="U42" s="52"/>
      <c r="V42" s="51">
        <f t="shared" si="6"/>
        <v>0</v>
      </c>
      <c r="W42" s="52">
        <f t="shared" si="7"/>
        <v>-19</v>
      </c>
      <c r="X42" s="35">
        <f t="shared" si="12"/>
        <v>38</v>
      </c>
      <c r="Y42" s="35" t="str">
        <f t="shared" si="8"/>
        <v>Y</v>
      </c>
      <c r="Z42" s="19" t="str">
        <f t="shared" si="9"/>
        <v/>
      </c>
    </row>
    <row r="43">
      <c r="A43" s="35">
        <f t="shared" si="10"/>
        <v>39</v>
      </c>
      <c r="B43" s="36" t="s">
        <v>151</v>
      </c>
      <c r="C43" s="37"/>
      <c r="D43" s="37"/>
      <c r="E43" s="40">
        <f t="shared" si="2"/>
        <v>0</v>
      </c>
      <c r="F43" s="90">
        <v>1.0</v>
      </c>
      <c r="G43" s="91">
        <v>4.0</v>
      </c>
      <c r="H43" s="92">
        <v>0.0</v>
      </c>
      <c r="I43" s="91">
        <v>1.0</v>
      </c>
      <c r="J43" s="91">
        <v>6.0</v>
      </c>
      <c r="K43" s="91">
        <v>6.0</v>
      </c>
      <c r="L43" s="93">
        <v>13.0</v>
      </c>
      <c r="M43" s="91">
        <v>2.0</v>
      </c>
      <c r="N43" s="37">
        <f t="shared" ref="N43:O43" si="48">C43+L43</f>
        <v>13</v>
      </c>
      <c r="O43" s="37">
        <f t="shared" si="48"/>
        <v>2</v>
      </c>
      <c r="P43" s="49" t="s">
        <v>57</v>
      </c>
      <c r="Q43" s="49" t="s">
        <v>57</v>
      </c>
      <c r="R43" s="49" t="s">
        <v>57</v>
      </c>
      <c r="S43" s="51">
        <f t="shared" si="4"/>
        <v>1</v>
      </c>
      <c r="T43" s="52">
        <f t="shared" si="5"/>
        <v>0</v>
      </c>
      <c r="U43" s="52"/>
      <c r="V43" s="51">
        <f t="shared" si="6"/>
        <v>0</v>
      </c>
      <c r="W43" s="52">
        <f t="shared" si="7"/>
        <v>12</v>
      </c>
      <c r="X43" s="35">
        <f t="shared" si="12"/>
        <v>39</v>
      </c>
      <c r="Y43" s="35" t="str">
        <f t="shared" si="8"/>
        <v>Y</v>
      </c>
      <c r="Z43" s="19" t="str">
        <f t="shared" si="9"/>
        <v/>
      </c>
    </row>
    <row r="44">
      <c r="A44" s="35">
        <f t="shared" si="10"/>
        <v>40</v>
      </c>
      <c r="B44" s="36" t="s">
        <v>144</v>
      </c>
      <c r="C44" s="37"/>
      <c r="D44" s="37"/>
      <c r="E44" s="40">
        <f t="shared" si="2"/>
        <v>0</v>
      </c>
      <c r="F44" s="90">
        <v>1.0</v>
      </c>
      <c r="G44" s="91">
        <v>4.0</v>
      </c>
      <c r="H44" s="92">
        <v>0.0</v>
      </c>
      <c r="I44" s="91">
        <v>1.0</v>
      </c>
      <c r="J44" s="91">
        <v>2.0</v>
      </c>
      <c r="K44" s="91">
        <v>1.0</v>
      </c>
      <c r="L44" s="93">
        <v>4.0</v>
      </c>
      <c r="M44" s="91">
        <v>0.0</v>
      </c>
      <c r="N44" s="37">
        <f t="shared" ref="N44:O44" si="49">C44+L44</f>
        <v>4</v>
      </c>
      <c r="O44" s="37">
        <f t="shared" si="49"/>
        <v>0</v>
      </c>
      <c r="P44" s="49" t="s">
        <v>57</v>
      </c>
      <c r="Q44" s="49" t="s">
        <v>57</v>
      </c>
      <c r="R44" s="49" t="s">
        <v>57</v>
      </c>
      <c r="S44" s="51">
        <f t="shared" si="4"/>
        <v>1</v>
      </c>
      <c r="T44" s="52">
        <f t="shared" si="5"/>
        <v>0</v>
      </c>
      <c r="U44" s="52"/>
      <c r="V44" s="51">
        <f t="shared" si="6"/>
        <v>0</v>
      </c>
      <c r="W44" s="52">
        <f t="shared" si="7"/>
        <v>30</v>
      </c>
      <c r="X44" s="35">
        <f t="shared" si="12"/>
        <v>40</v>
      </c>
      <c r="Y44" s="35" t="str">
        <f t="shared" si="8"/>
        <v>Y</v>
      </c>
      <c r="Z44" s="19" t="str">
        <f t="shared" si="9"/>
        <v/>
      </c>
    </row>
    <row r="45">
      <c r="A45" s="35">
        <f t="shared" si="10"/>
        <v>41</v>
      </c>
      <c r="B45" s="36" t="s">
        <v>135</v>
      </c>
      <c r="C45" s="37"/>
      <c r="D45" s="37"/>
      <c r="E45" s="40">
        <f t="shared" si="2"/>
        <v>0</v>
      </c>
      <c r="F45" s="90">
        <v>3.0</v>
      </c>
      <c r="G45" s="91">
        <v>0.0</v>
      </c>
      <c r="H45" s="92">
        <v>9.0</v>
      </c>
      <c r="I45" s="91">
        <v>0.0</v>
      </c>
      <c r="J45" s="91">
        <v>0.0</v>
      </c>
      <c r="K45" s="91">
        <v>0.0</v>
      </c>
      <c r="L45" s="93">
        <v>9.0</v>
      </c>
      <c r="M45" s="91">
        <v>0.0</v>
      </c>
      <c r="N45" s="37">
        <f t="shared" ref="N45:O45" si="50">C45+L45</f>
        <v>9</v>
      </c>
      <c r="O45" s="37">
        <f t="shared" si="50"/>
        <v>0</v>
      </c>
      <c r="P45" s="49" t="s">
        <v>57</v>
      </c>
      <c r="Q45" s="49" t="s">
        <v>57</v>
      </c>
      <c r="R45" s="49" t="s">
        <v>57</v>
      </c>
      <c r="S45" s="51">
        <f t="shared" si="4"/>
        <v>0</v>
      </c>
      <c r="T45" s="52">
        <f t="shared" si="5"/>
        <v>0</v>
      </c>
      <c r="U45" s="52"/>
      <c r="V45" s="51">
        <f t="shared" si="6"/>
        <v>1</v>
      </c>
      <c r="W45" s="52">
        <f t="shared" si="7"/>
        <v>-23</v>
      </c>
      <c r="X45" s="35">
        <f t="shared" si="12"/>
        <v>41</v>
      </c>
      <c r="Y45" s="35" t="str">
        <f t="shared" si="8"/>
        <v>N</v>
      </c>
      <c r="Z45" s="19" t="str">
        <f t="shared" si="9"/>
        <v/>
      </c>
    </row>
    <row r="46">
      <c r="A46" s="35">
        <f t="shared" si="10"/>
        <v>42</v>
      </c>
      <c r="B46" s="36" t="s">
        <v>101</v>
      </c>
      <c r="C46" s="37"/>
      <c r="D46" s="37"/>
      <c r="E46" s="40">
        <f t="shared" si="2"/>
        <v>0</v>
      </c>
      <c r="F46" s="90">
        <v>3.0</v>
      </c>
      <c r="G46" s="91">
        <v>0.0</v>
      </c>
      <c r="H46" s="92">
        <v>9.0</v>
      </c>
      <c r="I46" s="91">
        <v>0.0</v>
      </c>
      <c r="J46" s="91">
        <v>0.0</v>
      </c>
      <c r="K46" s="91">
        <v>0.0</v>
      </c>
      <c r="L46" s="93">
        <v>9.0</v>
      </c>
      <c r="M46" s="91">
        <v>0.0</v>
      </c>
      <c r="N46" s="37">
        <f t="shared" ref="N46:O46" si="51">C46+L46</f>
        <v>9</v>
      </c>
      <c r="O46" s="37">
        <f t="shared" si="51"/>
        <v>0</v>
      </c>
      <c r="P46" s="49" t="s">
        <v>57</v>
      </c>
      <c r="Q46" s="49" t="s">
        <v>57</v>
      </c>
      <c r="R46" s="49" t="s">
        <v>57</v>
      </c>
      <c r="S46" s="51">
        <f t="shared" si="4"/>
        <v>0</v>
      </c>
      <c r="T46" s="52">
        <f t="shared" si="5"/>
        <v>0</v>
      </c>
      <c r="U46" s="52"/>
      <c r="V46" s="51">
        <f t="shared" si="6"/>
        <v>1</v>
      </c>
      <c r="W46" s="52">
        <f t="shared" si="7"/>
        <v>-9</v>
      </c>
      <c r="X46" s="35">
        <f t="shared" si="12"/>
        <v>42</v>
      </c>
      <c r="Y46" s="35" t="str">
        <f t="shared" si="8"/>
        <v>N</v>
      </c>
      <c r="Z46" s="19" t="str">
        <f t="shared" si="9"/>
        <v/>
      </c>
    </row>
    <row r="47">
      <c r="A47" s="35">
        <f t="shared" si="10"/>
        <v>43</v>
      </c>
      <c r="B47" s="36" t="s">
        <v>91</v>
      </c>
      <c r="C47" s="37"/>
      <c r="D47" s="37"/>
      <c r="E47" s="40">
        <f t="shared" si="2"/>
        <v>0</v>
      </c>
      <c r="F47" s="90">
        <v>3.0</v>
      </c>
      <c r="G47" s="91">
        <v>0.0</v>
      </c>
      <c r="H47" s="92">
        <v>9.0</v>
      </c>
      <c r="I47" s="91">
        <v>0.0</v>
      </c>
      <c r="J47" s="91">
        <v>0.0</v>
      </c>
      <c r="K47" s="91">
        <v>0.0</v>
      </c>
      <c r="L47" s="93">
        <v>9.0</v>
      </c>
      <c r="M47" s="91">
        <v>0.0</v>
      </c>
      <c r="N47" s="37">
        <f t="shared" ref="N47:O47" si="52">C47+L47</f>
        <v>9</v>
      </c>
      <c r="O47" s="37">
        <f t="shared" si="52"/>
        <v>0</v>
      </c>
      <c r="P47" s="49" t="s">
        <v>57</v>
      </c>
      <c r="Q47" s="49" t="s">
        <v>57</v>
      </c>
      <c r="R47" s="49" t="s">
        <v>57</v>
      </c>
      <c r="S47" s="51">
        <f t="shared" si="4"/>
        <v>0</v>
      </c>
      <c r="T47" s="52">
        <f t="shared" si="5"/>
        <v>0</v>
      </c>
      <c r="U47" s="52"/>
      <c r="V47" s="51">
        <f t="shared" si="6"/>
        <v>1</v>
      </c>
      <c r="W47" s="52">
        <f t="shared" si="7"/>
        <v>-26</v>
      </c>
      <c r="X47" s="35">
        <f t="shared" si="12"/>
        <v>43</v>
      </c>
      <c r="Y47" s="35" t="str">
        <f t="shared" si="8"/>
        <v>N</v>
      </c>
      <c r="Z47" s="19" t="str">
        <f t="shared" si="9"/>
        <v/>
      </c>
    </row>
    <row r="48">
      <c r="A48" s="35">
        <f t="shared" si="10"/>
        <v>44</v>
      </c>
      <c r="B48" s="36" t="s">
        <v>145</v>
      </c>
      <c r="C48" s="37"/>
      <c r="D48" s="37"/>
      <c r="E48" s="40">
        <f t="shared" si="2"/>
        <v>0</v>
      </c>
      <c r="F48" s="90">
        <v>1.0</v>
      </c>
      <c r="G48" s="91">
        <v>4.0</v>
      </c>
      <c r="H48" s="92">
        <v>0.0</v>
      </c>
      <c r="I48" s="91">
        <v>6.0</v>
      </c>
      <c r="J48" s="91">
        <v>6.0</v>
      </c>
      <c r="K48" s="91">
        <v>1.0</v>
      </c>
      <c r="L48" s="93">
        <v>13.0</v>
      </c>
      <c r="M48" s="91">
        <v>2.0</v>
      </c>
      <c r="N48" s="37">
        <f t="shared" ref="N48:O48" si="53">C48+L48</f>
        <v>13</v>
      </c>
      <c r="O48" s="37">
        <f t="shared" si="53"/>
        <v>2</v>
      </c>
      <c r="P48" s="49" t="s">
        <v>57</v>
      </c>
      <c r="Q48" s="49" t="s">
        <v>57</v>
      </c>
      <c r="R48" s="49" t="s">
        <v>57</v>
      </c>
      <c r="S48" s="51">
        <f t="shared" si="4"/>
        <v>1</v>
      </c>
      <c r="T48" s="52">
        <f t="shared" si="5"/>
        <v>0</v>
      </c>
      <c r="U48" s="52"/>
      <c r="V48" s="51">
        <f t="shared" si="6"/>
        <v>0</v>
      </c>
      <c r="W48" s="52">
        <f t="shared" si="7"/>
        <v>0</v>
      </c>
      <c r="X48" s="35">
        <f t="shared" si="12"/>
        <v>44</v>
      </c>
      <c r="Y48" s="35" t="str">
        <f t="shared" si="8"/>
        <v>Y</v>
      </c>
      <c r="Z48" s="19" t="str">
        <f t="shared" si="9"/>
        <v/>
      </c>
    </row>
    <row r="49">
      <c r="A49" s="35">
        <f t="shared" si="10"/>
        <v>45</v>
      </c>
      <c r="B49" s="36" t="s">
        <v>63</v>
      </c>
      <c r="C49" s="37"/>
      <c r="D49" s="37"/>
      <c r="E49" s="40">
        <f t="shared" si="2"/>
        <v>0</v>
      </c>
      <c r="F49" s="90">
        <v>2.0</v>
      </c>
      <c r="G49" s="91">
        <v>5.0</v>
      </c>
      <c r="H49" s="92">
        <v>0.0</v>
      </c>
      <c r="I49" s="91">
        <v>6.0</v>
      </c>
      <c r="J49" s="91">
        <v>6.0</v>
      </c>
      <c r="K49" s="91">
        <v>1.0</v>
      </c>
      <c r="L49" s="93">
        <v>13.0</v>
      </c>
      <c r="M49" s="91">
        <v>1.0</v>
      </c>
      <c r="N49" s="37">
        <f t="shared" ref="N49:O49" si="54">C49+L49</f>
        <v>13</v>
      </c>
      <c r="O49" s="37">
        <f t="shared" si="54"/>
        <v>1</v>
      </c>
      <c r="P49" s="49" t="s">
        <v>57</v>
      </c>
      <c r="Q49" s="49" t="s">
        <v>57</v>
      </c>
      <c r="R49" s="49" t="s">
        <v>57</v>
      </c>
      <c r="S49" s="51">
        <f t="shared" si="4"/>
        <v>1</v>
      </c>
      <c r="T49" s="52">
        <f t="shared" si="5"/>
        <v>0</v>
      </c>
      <c r="U49" s="52"/>
      <c r="V49" s="51">
        <f t="shared" si="6"/>
        <v>0</v>
      </c>
      <c r="W49" s="52">
        <f t="shared" si="7"/>
        <v>-40</v>
      </c>
      <c r="X49" s="35">
        <f t="shared" si="12"/>
        <v>45</v>
      </c>
      <c r="Y49" s="35" t="str">
        <f t="shared" si="8"/>
        <v>Y</v>
      </c>
      <c r="Z49" s="19" t="str">
        <f t="shared" si="9"/>
        <v/>
      </c>
    </row>
    <row r="50">
      <c r="A50" s="35">
        <f t="shared" si="10"/>
        <v>46</v>
      </c>
      <c r="B50" s="36" t="s">
        <v>77</v>
      </c>
      <c r="C50" s="37"/>
      <c r="D50" s="37"/>
      <c r="E50" s="40">
        <f t="shared" si="2"/>
        <v>0</v>
      </c>
      <c r="F50" s="90">
        <v>1.0</v>
      </c>
      <c r="G50" s="91">
        <v>5.0</v>
      </c>
      <c r="H50" s="92">
        <v>0.0</v>
      </c>
      <c r="I50" s="91">
        <v>6.0</v>
      </c>
      <c r="J50" s="91">
        <v>1.0</v>
      </c>
      <c r="K50" s="91">
        <v>6.0</v>
      </c>
      <c r="L50" s="93">
        <v>13.0</v>
      </c>
      <c r="M50" s="91">
        <v>1.0</v>
      </c>
      <c r="N50" s="37">
        <f t="shared" ref="N50:O50" si="55">C50+L50</f>
        <v>13</v>
      </c>
      <c r="O50" s="37">
        <f t="shared" si="55"/>
        <v>1</v>
      </c>
      <c r="P50" s="49" t="s">
        <v>57</v>
      </c>
      <c r="Q50" s="49" t="s">
        <v>57</v>
      </c>
      <c r="R50" s="49" t="s">
        <v>57</v>
      </c>
      <c r="S50" s="51">
        <f t="shared" si="4"/>
        <v>1</v>
      </c>
      <c r="T50" s="52">
        <f t="shared" si="5"/>
        <v>0</v>
      </c>
      <c r="U50" s="52"/>
      <c r="V50" s="51">
        <f t="shared" si="6"/>
        <v>0</v>
      </c>
      <c r="W50" s="52">
        <f t="shared" si="7"/>
        <v>-32</v>
      </c>
      <c r="X50" s="35">
        <f t="shared" si="12"/>
        <v>46</v>
      </c>
      <c r="Y50" s="35" t="str">
        <f t="shared" si="8"/>
        <v>Y</v>
      </c>
      <c r="Z50" s="19" t="str">
        <f t="shared" si="9"/>
        <v/>
      </c>
    </row>
    <row r="51">
      <c r="A51" s="35">
        <f t="shared" si="10"/>
        <v>47</v>
      </c>
      <c r="B51" s="36" t="s">
        <v>114</v>
      </c>
      <c r="C51" s="37"/>
      <c r="D51" s="37"/>
      <c r="E51" s="40">
        <f t="shared" si="2"/>
        <v>0</v>
      </c>
      <c r="F51" s="90">
        <v>2.0</v>
      </c>
      <c r="G51" s="91">
        <v>5.0</v>
      </c>
      <c r="H51" s="92">
        <v>0.0</v>
      </c>
      <c r="I51" s="91">
        <v>7.0</v>
      </c>
      <c r="J51" s="91">
        <v>6.0</v>
      </c>
      <c r="K51" s="91">
        <v>6.0</v>
      </c>
      <c r="L51" s="93">
        <v>19.0</v>
      </c>
      <c r="M51" s="91">
        <v>3.0</v>
      </c>
      <c r="N51" s="37">
        <f t="shared" ref="N51:O51" si="56">C51+L51</f>
        <v>19</v>
      </c>
      <c r="O51" s="37">
        <f t="shared" si="56"/>
        <v>3</v>
      </c>
      <c r="P51" s="49" t="s">
        <v>57</v>
      </c>
      <c r="Q51" s="49" t="s">
        <v>57</v>
      </c>
      <c r="R51" s="49" t="s">
        <v>57</v>
      </c>
      <c r="S51" s="51">
        <f t="shared" si="4"/>
        <v>1</v>
      </c>
      <c r="T51" s="52">
        <f t="shared" si="5"/>
        <v>0</v>
      </c>
      <c r="U51" s="52"/>
      <c r="V51" s="51">
        <f t="shared" si="6"/>
        <v>0</v>
      </c>
      <c r="W51" s="52">
        <f t="shared" si="7"/>
        <v>-43</v>
      </c>
      <c r="X51" s="35">
        <f t="shared" si="12"/>
        <v>47</v>
      </c>
      <c r="Y51" s="35" t="str">
        <f t="shared" si="8"/>
        <v>Y</v>
      </c>
      <c r="Z51" s="19" t="str">
        <f t="shared" si="9"/>
        <v/>
      </c>
    </row>
    <row r="52">
      <c r="A52" s="35">
        <f t="shared" si="10"/>
        <v>48</v>
      </c>
      <c r="B52" s="36" t="s">
        <v>130</v>
      </c>
      <c r="C52" s="37"/>
      <c r="D52" s="37"/>
      <c r="E52" s="40">
        <f t="shared" si="2"/>
        <v>0</v>
      </c>
      <c r="F52" s="90">
        <v>1.0</v>
      </c>
      <c r="G52" s="91">
        <v>5.0</v>
      </c>
      <c r="H52" s="92">
        <v>0.0</v>
      </c>
      <c r="I52" s="91">
        <v>7.0</v>
      </c>
      <c r="J52" s="91">
        <v>1.0</v>
      </c>
      <c r="K52" s="91">
        <v>1.0</v>
      </c>
      <c r="L52" s="93">
        <v>9.0</v>
      </c>
      <c r="M52" s="91">
        <v>1.0</v>
      </c>
      <c r="N52" s="37">
        <f t="shared" ref="N52:O52" si="57">C52+L52</f>
        <v>9</v>
      </c>
      <c r="O52" s="37">
        <f t="shared" si="57"/>
        <v>1</v>
      </c>
      <c r="P52" s="49" t="s">
        <v>57</v>
      </c>
      <c r="Q52" s="49" t="s">
        <v>57</v>
      </c>
      <c r="R52" s="49" t="s">
        <v>57</v>
      </c>
      <c r="S52" s="51">
        <f t="shared" si="4"/>
        <v>1</v>
      </c>
      <c r="T52" s="52">
        <f t="shared" si="5"/>
        <v>0</v>
      </c>
      <c r="U52" s="52"/>
      <c r="V52" s="51">
        <f t="shared" si="6"/>
        <v>0</v>
      </c>
      <c r="W52" s="52">
        <f t="shared" si="7"/>
        <v>2</v>
      </c>
      <c r="X52" s="35">
        <f t="shared" si="12"/>
        <v>48</v>
      </c>
      <c r="Y52" s="35" t="str">
        <f t="shared" si="8"/>
        <v>Y</v>
      </c>
      <c r="Z52" s="19" t="str">
        <f t="shared" si="9"/>
        <v/>
      </c>
    </row>
    <row r="53">
      <c r="A53" s="35">
        <f t="shared" si="10"/>
        <v>49</v>
      </c>
      <c r="B53" s="36" t="s">
        <v>138</v>
      </c>
      <c r="C53" s="37"/>
      <c r="D53" s="37"/>
      <c r="E53" s="40">
        <f t="shared" si="2"/>
        <v>0</v>
      </c>
      <c r="F53" s="90">
        <v>3.0</v>
      </c>
      <c r="G53" s="91">
        <v>0.0</v>
      </c>
      <c r="H53" s="92">
        <v>9.0</v>
      </c>
      <c r="I53" s="91">
        <v>0.0</v>
      </c>
      <c r="J53" s="91">
        <v>0.0</v>
      </c>
      <c r="K53" s="91">
        <v>0.0</v>
      </c>
      <c r="L53" s="93">
        <v>9.0</v>
      </c>
      <c r="M53" s="91">
        <v>0.0</v>
      </c>
      <c r="N53" s="37">
        <f t="shared" ref="N53:O53" si="58">C53+L53</f>
        <v>9</v>
      </c>
      <c r="O53" s="37">
        <f t="shared" si="58"/>
        <v>0</v>
      </c>
      <c r="P53" s="49" t="s">
        <v>57</v>
      </c>
      <c r="Q53" s="49" t="s">
        <v>57</v>
      </c>
      <c r="R53" s="49" t="s">
        <v>57</v>
      </c>
      <c r="S53" s="51">
        <f t="shared" si="4"/>
        <v>0</v>
      </c>
      <c r="T53" s="52">
        <f t="shared" si="5"/>
        <v>0</v>
      </c>
      <c r="U53" s="52"/>
      <c r="V53" s="51">
        <f t="shared" si="6"/>
        <v>1</v>
      </c>
      <c r="W53" s="52">
        <f t="shared" si="7"/>
        <v>0</v>
      </c>
      <c r="X53" s="35">
        <f t="shared" si="12"/>
        <v>49</v>
      </c>
      <c r="Y53" s="35" t="str">
        <f t="shared" si="8"/>
        <v>N</v>
      </c>
      <c r="Z53" s="19" t="str">
        <f t="shared" si="9"/>
        <v/>
      </c>
    </row>
    <row r="54">
      <c r="A54" s="35">
        <f t="shared" si="10"/>
        <v>50</v>
      </c>
      <c r="B54" s="36" t="s">
        <v>131</v>
      </c>
      <c r="C54" s="37"/>
      <c r="D54" s="37"/>
      <c r="E54" s="40">
        <f t="shared" si="2"/>
        <v>0</v>
      </c>
      <c r="F54" s="90">
        <v>3.0</v>
      </c>
      <c r="G54" s="91">
        <v>0.0</v>
      </c>
      <c r="H54" s="92">
        <v>9.0</v>
      </c>
      <c r="I54" s="91">
        <v>0.0</v>
      </c>
      <c r="J54" s="91">
        <v>0.0</v>
      </c>
      <c r="K54" s="91">
        <v>0.0</v>
      </c>
      <c r="L54" s="93">
        <v>9.0</v>
      </c>
      <c r="M54" s="91">
        <v>0.0</v>
      </c>
      <c r="N54" s="37">
        <f t="shared" ref="N54:O54" si="59">C54+L54</f>
        <v>9</v>
      </c>
      <c r="O54" s="37">
        <f t="shared" si="59"/>
        <v>0</v>
      </c>
      <c r="P54" s="49" t="s">
        <v>57</v>
      </c>
      <c r="Q54" s="49" t="s">
        <v>57</v>
      </c>
      <c r="R54" s="49" t="s">
        <v>57</v>
      </c>
      <c r="S54" s="51">
        <f t="shared" si="4"/>
        <v>0</v>
      </c>
      <c r="T54" s="52">
        <f t="shared" si="5"/>
        <v>0</v>
      </c>
      <c r="U54" s="52"/>
      <c r="V54" s="51">
        <f t="shared" si="6"/>
        <v>1</v>
      </c>
      <c r="W54" s="52">
        <f t="shared" si="7"/>
        <v>-22</v>
      </c>
      <c r="X54" s="35">
        <f t="shared" si="12"/>
        <v>50</v>
      </c>
      <c r="Y54" s="35" t="str">
        <f t="shared" si="8"/>
        <v>N</v>
      </c>
      <c r="Z54" s="19" t="str">
        <f t="shared" si="9"/>
        <v/>
      </c>
    </row>
    <row r="55">
      <c r="A55" s="35">
        <f t="shared" si="10"/>
        <v>51</v>
      </c>
      <c r="B55" s="36" t="s">
        <v>133</v>
      </c>
      <c r="C55" s="37"/>
      <c r="D55" s="37"/>
      <c r="E55" s="40">
        <f t="shared" si="2"/>
        <v>0</v>
      </c>
      <c r="F55" s="90">
        <v>1.0</v>
      </c>
      <c r="G55" s="91">
        <v>6.0</v>
      </c>
      <c r="H55" s="92">
        <v>0.0</v>
      </c>
      <c r="I55" s="91">
        <v>0.0</v>
      </c>
      <c r="J55" s="91">
        <v>2.0</v>
      </c>
      <c r="K55" s="91">
        <v>2.0</v>
      </c>
      <c r="L55" s="93">
        <v>4.0</v>
      </c>
      <c r="M55" s="91">
        <v>0.0</v>
      </c>
      <c r="N55" s="37">
        <f t="shared" ref="N55:O55" si="60">C55+L55</f>
        <v>4</v>
      </c>
      <c r="O55" s="37">
        <f t="shared" si="60"/>
        <v>0</v>
      </c>
      <c r="P55" s="49" t="s">
        <v>57</v>
      </c>
      <c r="Q55" s="49" t="s">
        <v>57</v>
      </c>
      <c r="R55" s="49" t="s">
        <v>57</v>
      </c>
      <c r="S55" s="51">
        <f t="shared" si="4"/>
        <v>1</v>
      </c>
      <c r="T55" s="52">
        <f t="shared" si="5"/>
        <v>0</v>
      </c>
      <c r="U55" s="52"/>
      <c r="V55" s="51">
        <f t="shared" si="6"/>
        <v>0</v>
      </c>
      <c r="W55" s="52">
        <f t="shared" si="7"/>
        <v>9</v>
      </c>
      <c r="X55" s="35">
        <f t="shared" si="12"/>
        <v>51</v>
      </c>
      <c r="Y55" s="35" t="str">
        <f t="shared" si="8"/>
        <v>Y</v>
      </c>
      <c r="Z55" s="19" t="str">
        <f t="shared" si="9"/>
        <v/>
      </c>
    </row>
    <row r="56">
      <c r="A56" s="35">
        <f t="shared" si="10"/>
        <v>52</v>
      </c>
      <c r="B56" s="36" t="s">
        <v>149</v>
      </c>
      <c r="C56" s="37"/>
      <c r="D56" s="37"/>
      <c r="E56" s="40">
        <f t="shared" si="2"/>
        <v>0</v>
      </c>
      <c r="F56" s="90">
        <v>1.0</v>
      </c>
      <c r="G56" s="91">
        <v>6.0</v>
      </c>
      <c r="H56" s="92">
        <v>0.0</v>
      </c>
      <c r="I56" s="91">
        <v>0.0</v>
      </c>
      <c r="J56" s="91">
        <v>6.0</v>
      </c>
      <c r="K56" s="91">
        <v>6.0</v>
      </c>
      <c r="L56" s="93">
        <v>12.0</v>
      </c>
      <c r="M56" s="91">
        <v>2.0</v>
      </c>
      <c r="N56" s="37">
        <f t="shared" ref="N56:O56" si="61">C56+L56</f>
        <v>12</v>
      </c>
      <c r="O56" s="37">
        <f t="shared" si="61"/>
        <v>2</v>
      </c>
      <c r="P56" s="49" t="s">
        <v>57</v>
      </c>
      <c r="Q56" s="49" t="s">
        <v>57</v>
      </c>
      <c r="R56" s="49" t="s">
        <v>57</v>
      </c>
      <c r="S56" s="51">
        <f t="shared" si="4"/>
        <v>1</v>
      </c>
      <c r="T56" s="52">
        <f t="shared" si="5"/>
        <v>0</v>
      </c>
      <c r="U56" s="52"/>
      <c r="V56" s="51">
        <f t="shared" si="6"/>
        <v>0</v>
      </c>
      <c r="W56" s="52">
        <f t="shared" si="7"/>
        <v>3</v>
      </c>
      <c r="X56" s="35">
        <f t="shared" si="12"/>
        <v>52</v>
      </c>
      <c r="Y56" s="35" t="str">
        <f t="shared" si="8"/>
        <v>Y</v>
      </c>
      <c r="Z56" s="19" t="str">
        <f t="shared" si="9"/>
        <v/>
      </c>
    </row>
    <row r="57">
      <c r="A57" s="35">
        <f t="shared" si="10"/>
        <v>53</v>
      </c>
      <c r="B57" s="36" t="s">
        <v>100</v>
      </c>
      <c r="C57" s="37"/>
      <c r="D57" s="37"/>
      <c r="E57" s="40">
        <f t="shared" si="2"/>
        <v>0</v>
      </c>
      <c r="F57" s="90">
        <v>1.0</v>
      </c>
      <c r="G57" s="91">
        <v>6.0</v>
      </c>
      <c r="H57" s="92">
        <v>0.0</v>
      </c>
      <c r="I57" s="91">
        <v>6.0</v>
      </c>
      <c r="J57" s="91">
        <v>6.0</v>
      </c>
      <c r="K57" s="91">
        <v>2.0</v>
      </c>
      <c r="L57" s="93">
        <v>14.0</v>
      </c>
      <c r="M57" s="91">
        <v>2.0</v>
      </c>
      <c r="N57" s="37">
        <f t="shared" ref="N57:O57" si="62">C57+L57</f>
        <v>14</v>
      </c>
      <c r="O57" s="37">
        <f t="shared" si="62"/>
        <v>2</v>
      </c>
      <c r="P57" s="49" t="s">
        <v>57</v>
      </c>
      <c r="Q57" s="49" t="s">
        <v>57</v>
      </c>
      <c r="R57" s="49" t="s">
        <v>57</v>
      </c>
      <c r="S57" s="51">
        <f t="shared" si="4"/>
        <v>1</v>
      </c>
      <c r="T57" s="52">
        <f t="shared" si="5"/>
        <v>0</v>
      </c>
      <c r="U57" s="52"/>
      <c r="V57" s="51">
        <f t="shared" si="6"/>
        <v>0</v>
      </c>
      <c r="W57" s="52">
        <f t="shared" si="7"/>
        <v>22</v>
      </c>
      <c r="X57" s="35">
        <f t="shared" si="12"/>
        <v>53</v>
      </c>
      <c r="Y57" s="35" t="str">
        <f t="shared" si="8"/>
        <v>Y</v>
      </c>
      <c r="Z57" s="19" t="str">
        <f t="shared" si="9"/>
        <v/>
      </c>
    </row>
    <row r="58">
      <c r="A58" s="35">
        <f t="shared" si="10"/>
        <v>54</v>
      </c>
      <c r="B58" s="36" t="s">
        <v>99</v>
      </c>
      <c r="C58" s="37"/>
      <c r="D58" s="37"/>
      <c r="E58" s="40">
        <f t="shared" si="2"/>
        <v>0</v>
      </c>
      <c r="F58" s="90">
        <v>2.0</v>
      </c>
      <c r="G58" s="91">
        <v>6.0</v>
      </c>
      <c r="H58" s="92">
        <v>0.0</v>
      </c>
      <c r="I58" s="91">
        <v>6.0</v>
      </c>
      <c r="J58" s="91">
        <v>2.0</v>
      </c>
      <c r="K58" s="91">
        <v>6.0</v>
      </c>
      <c r="L58" s="93">
        <v>14.0</v>
      </c>
      <c r="M58" s="91">
        <v>2.0</v>
      </c>
      <c r="N58" s="37">
        <f t="shared" ref="N58:O58" si="63">C58+L58</f>
        <v>14</v>
      </c>
      <c r="O58" s="37">
        <f t="shared" si="63"/>
        <v>2</v>
      </c>
      <c r="P58" s="49" t="s">
        <v>57</v>
      </c>
      <c r="Q58" s="49" t="s">
        <v>57</v>
      </c>
      <c r="R58" s="49" t="s">
        <v>57</v>
      </c>
      <c r="S58" s="51">
        <f t="shared" si="4"/>
        <v>1</v>
      </c>
      <c r="T58" s="52">
        <f t="shared" si="5"/>
        <v>0</v>
      </c>
      <c r="U58" s="52"/>
      <c r="V58" s="51">
        <f t="shared" si="6"/>
        <v>0</v>
      </c>
      <c r="W58" s="52">
        <f t="shared" si="7"/>
        <v>-33</v>
      </c>
      <c r="X58" s="35">
        <f t="shared" si="12"/>
        <v>54</v>
      </c>
      <c r="Y58" s="35" t="str">
        <f t="shared" si="8"/>
        <v>Y</v>
      </c>
      <c r="Z58" s="19" t="str">
        <f t="shared" si="9"/>
        <v/>
      </c>
    </row>
    <row r="59">
      <c r="A59" s="35">
        <f t="shared" si="10"/>
        <v>55</v>
      </c>
      <c r="B59" s="36" t="s">
        <v>150</v>
      </c>
      <c r="C59" s="37"/>
      <c r="D59" s="37"/>
      <c r="E59" s="40">
        <f t="shared" si="2"/>
        <v>0</v>
      </c>
      <c r="F59" s="90">
        <v>3.0</v>
      </c>
      <c r="G59" s="91">
        <v>0.0</v>
      </c>
      <c r="H59" s="92">
        <v>9.0</v>
      </c>
      <c r="I59" s="91">
        <v>0.0</v>
      </c>
      <c r="J59" s="91">
        <v>0.0</v>
      </c>
      <c r="K59" s="91">
        <v>0.0</v>
      </c>
      <c r="L59" s="93">
        <v>9.0</v>
      </c>
      <c r="M59" s="91">
        <v>0.0</v>
      </c>
      <c r="N59" s="37">
        <f t="shared" ref="N59:O59" si="64">C59+L59</f>
        <v>9</v>
      </c>
      <c r="O59" s="37">
        <f t="shared" si="64"/>
        <v>0</v>
      </c>
      <c r="P59" s="49" t="s">
        <v>57</v>
      </c>
      <c r="Q59" s="49" t="s">
        <v>57</v>
      </c>
      <c r="R59" s="49" t="s">
        <v>57</v>
      </c>
      <c r="S59" s="51">
        <f t="shared" si="4"/>
        <v>0</v>
      </c>
      <c r="T59" s="52">
        <f t="shared" si="5"/>
        <v>0</v>
      </c>
      <c r="U59" s="52"/>
      <c r="V59" s="51">
        <f t="shared" si="6"/>
        <v>1</v>
      </c>
      <c r="W59" s="52">
        <f t="shared" si="7"/>
        <v>1</v>
      </c>
      <c r="X59" s="35">
        <f t="shared" si="12"/>
        <v>55</v>
      </c>
      <c r="Y59" s="35" t="str">
        <f t="shared" si="8"/>
        <v>N</v>
      </c>
      <c r="Z59" s="19" t="str">
        <f t="shared" si="9"/>
        <v/>
      </c>
    </row>
    <row r="60">
      <c r="A60" s="35">
        <f t="shared" si="10"/>
        <v>56</v>
      </c>
      <c r="B60" s="36" t="s">
        <v>111</v>
      </c>
      <c r="C60" s="37"/>
      <c r="D60" s="37"/>
      <c r="E60" s="40">
        <f t="shared" si="2"/>
        <v>0</v>
      </c>
      <c r="F60" s="90">
        <v>1.0</v>
      </c>
      <c r="G60" s="91">
        <v>7.0</v>
      </c>
      <c r="H60" s="92">
        <v>0.0</v>
      </c>
      <c r="I60" s="91">
        <v>6.0</v>
      </c>
      <c r="J60" s="91">
        <v>6.0</v>
      </c>
      <c r="K60" s="91">
        <v>6.0</v>
      </c>
      <c r="L60" s="93">
        <v>18.0</v>
      </c>
      <c r="M60" s="91">
        <v>3.0</v>
      </c>
      <c r="N60" s="37">
        <f t="shared" ref="N60:O60" si="65">C60+L60</f>
        <v>18</v>
      </c>
      <c r="O60" s="37">
        <f t="shared" si="65"/>
        <v>3</v>
      </c>
      <c r="P60" s="49" t="s">
        <v>57</v>
      </c>
      <c r="Q60" s="49" t="s">
        <v>57</v>
      </c>
      <c r="R60" s="49" t="s">
        <v>57</v>
      </c>
      <c r="S60" s="51">
        <f t="shared" si="4"/>
        <v>1</v>
      </c>
      <c r="T60" s="52">
        <f t="shared" si="5"/>
        <v>0</v>
      </c>
      <c r="U60" s="52"/>
      <c r="V60" s="51">
        <f t="shared" si="6"/>
        <v>0</v>
      </c>
      <c r="W60" s="52">
        <f t="shared" si="7"/>
        <v>11</v>
      </c>
      <c r="X60" s="35">
        <f t="shared" si="12"/>
        <v>56</v>
      </c>
      <c r="Y60" s="35" t="str">
        <f t="shared" si="8"/>
        <v>Y</v>
      </c>
      <c r="Z60" s="19" t="str">
        <f t="shared" si="9"/>
        <v/>
      </c>
    </row>
    <row r="61">
      <c r="A61" s="35">
        <f t="shared" si="10"/>
        <v>57</v>
      </c>
      <c r="B61" s="36" t="s">
        <v>134</v>
      </c>
      <c r="C61" s="37"/>
      <c r="D61" s="37"/>
      <c r="E61" s="40">
        <f t="shared" si="2"/>
        <v>0</v>
      </c>
      <c r="F61" s="90">
        <v>1.0</v>
      </c>
      <c r="G61" s="91">
        <v>7.0</v>
      </c>
      <c r="H61" s="92">
        <v>0.0</v>
      </c>
      <c r="I61" s="91">
        <v>4.0</v>
      </c>
      <c r="J61" s="91">
        <v>0.0</v>
      </c>
      <c r="K61" s="91">
        <v>6.0</v>
      </c>
      <c r="L61" s="93">
        <v>10.0</v>
      </c>
      <c r="M61" s="91">
        <v>1.0</v>
      </c>
      <c r="N61" s="37">
        <f t="shared" ref="N61:O61" si="66">C61+L61</f>
        <v>10</v>
      </c>
      <c r="O61" s="37">
        <f t="shared" si="66"/>
        <v>1</v>
      </c>
      <c r="P61" s="49" t="s">
        <v>57</v>
      </c>
      <c r="Q61" s="49" t="s">
        <v>57</v>
      </c>
      <c r="R61" s="49" t="s">
        <v>57</v>
      </c>
      <c r="S61" s="51">
        <f t="shared" si="4"/>
        <v>1</v>
      </c>
      <c r="T61" s="52">
        <f t="shared" si="5"/>
        <v>0</v>
      </c>
      <c r="U61" s="52"/>
      <c r="V61" s="51">
        <f t="shared" si="6"/>
        <v>0</v>
      </c>
      <c r="W61" s="52">
        <f t="shared" si="7"/>
        <v>-19</v>
      </c>
      <c r="X61" s="35">
        <f t="shared" si="12"/>
        <v>57</v>
      </c>
      <c r="Y61" s="35" t="str">
        <f t="shared" si="8"/>
        <v>Y</v>
      </c>
      <c r="Z61" s="19" t="str">
        <f t="shared" si="9"/>
        <v/>
      </c>
    </row>
    <row r="62">
      <c r="A62" s="35">
        <f t="shared" si="10"/>
        <v>58</v>
      </c>
      <c r="B62" s="36" t="s">
        <v>126</v>
      </c>
      <c r="C62" s="37"/>
      <c r="D62" s="37"/>
      <c r="E62" s="40">
        <f t="shared" si="2"/>
        <v>0</v>
      </c>
      <c r="F62" s="90">
        <v>1.0</v>
      </c>
      <c r="G62" s="91">
        <v>7.0</v>
      </c>
      <c r="H62" s="92">
        <v>0.0</v>
      </c>
      <c r="I62" s="91">
        <v>4.0</v>
      </c>
      <c r="J62" s="91">
        <v>6.0</v>
      </c>
      <c r="K62" s="91">
        <v>4.0</v>
      </c>
      <c r="L62" s="93">
        <v>14.0</v>
      </c>
      <c r="M62" s="91">
        <v>1.0</v>
      </c>
      <c r="N62" s="37">
        <f t="shared" ref="N62:O62" si="67">C62+L62</f>
        <v>14</v>
      </c>
      <c r="O62" s="37">
        <f t="shared" si="67"/>
        <v>1</v>
      </c>
      <c r="P62" s="49" t="s">
        <v>57</v>
      </c>
      <c r="Q62" s="49" t="s">
        <v>57</v>
      </c>
      <c r="R62" s="49" t="s">
        <v>57</v>
      </c>
      <c r="S62" s="51">
        <f t="shared" si="4"/>
        <v>1</v>
      </c>
      <c r="T62" s="52">
        <f t="shared" si="5"/>
        <v>0</v>
      </c>
      <c r="U62" s="52"/>
      <c r="V62" s="51">
        <f t="shared" si="6"/>
        <v>0</v>
      </c>
      <c r="W62" s="52">
        <f t="shared" si="7"/>
        <v>11</v>
      </c>
      <c r="X62" s="35">
        <f t="shared" si="12"/>
        <v>58</v>
      </c>
      <c r="Y62" s="35" t="str">
        <f t="shared" si="8"/>
        <v>Y</v>
      </c>
      <c r="Z62" s="19" t="str">
        <f t="shared" si="9"/>
        <v/>
      </c>
    </row>
    <row r="63">
      <c r="A63" s="35">
        <f t="shared" si="10"/>
        <v>59</v>
      </c>
      <c r="B63" s="36" t="s">
        <v>141</v>
      </c>
      <c r="C63" s="37"/>
      <c r="D63" s="37"/>
      <c r="E63" s="40">
        <f t="shared" si="2"/>
        <v>0</v>
      </c>
      <c r="F63" s="90">
        <v>3.0</v>
      </c>
      <c r="G63" s="91">
        <v>0.0</v>
      </c>
      <c r="H63" s="92">
        <v>9.0</v>
      </c>
      <c r="I63" s="91">
        <v>0.0</v>
      </c>
      <c r="J63" s="91">
        <v>0.0</v>
      </c>
      <c r="K63" s="91">
        <v>0.0</v>
      </c>
      <c r="L63" s="93">
        <v>9.0</v>
      </c>
      <c r="M63" s="91">
        <v>0.0</v>
      </c>
      <c r="N63" s="37">
        <f t="shared" ref="N63:O63" si="68">C63+L63</f>
        <v>9</v>
      </c>
      <c r="O63" s="37">
        <f t="shared" si="68"/>
        <v>0</v>
      </c>
      <c r="P63" s="49" t="s">
        <v>57</v>
      </c>
      <c r="Q63" s="49" t="s">
        <v>57</v>
      </c>
      <c r="R63" s="49" t="s">
        <v>57</v>
      </c>
      <c r="S63" s="51">
        <f t="shared" si="4"/>
        <v>0</v>
      </c>
      <c r="T63" s="52">
        <f t="shared" si="5"/>
        <v>0</v>
      </c>
      <c r="U63" s="52"/>
      <c r="V63" s="51">
        <f t="shared" si="6"/>
        <v>1</v>
      </c>
      <c r="W63" s="52">
        <f t="shared" si="7"/>
        <v>-19</v>
      </c>
      <c r="X63" s="35">
        <f t="shared" si="12"/>
        <v>59</v>
      </c>
      <c r="Y63" s="35" t="str">
        <f t="shared" si="8"/>
        <v>N</v>
      </c>
      <c r="Z63" s="19" t="str">
        <f t="shared" si="9"/>
        <v/>
      </c>
    </row>
    <row r="64">
      <c r="A64" s="35">
        <f t="shared" si="10"/>
        <v>60</v>
      </c>
      <c r="B64" s="36" t="s">
        <v>129</v>
      </c>
      <c r="C64" s="37"/>
      <c r="D64" s="37"/>
      <c r="E64" s="40">
        <f t="shared" si="2"/>
        <v>0</v>
      </c>
      <c r="F64" s="90">
        <v>1.0</v>
      </c>
      <c r="G64" s="91">
        <v>7.0</v>
      </c>
      <c r="H64" s="92">
        <v>0.0</v>
      </c>
      <c r="I64" s="91">
        <v>6.0</v>
      </c>
      <c r="J64" s="91">
        <v>0.0</v>
      </c>
      <c r="K64" s="91">
        <v>4.0</v>
      </c>
      <c r="L64" s="93">
        <v>10.0</v>
      </c>
      <c r="M64" s="91">
        <v>1.0</v>
      </c>
      <c r="N64" s="37">
        <f t="shared" ref="N64:O64" si="69">C64+L64</f>
        <v>10</v>
      </c>
      <c r="O64" s="37">
        <f t="shared" si="69"/>
        <v>1</v>
      </c>
      <c r="P64" s="49" t="s">
        <v>57</v>
      </c>
      <c r="Q64" s="49" t="s">
        <v>57</v>
      </c>
      <c r="R64" s="49" t="s">
        <v>57</v>
      </c>
      <c r="S64" s="51">
        <f t="shared" si="4"/>
        <v>1</v>
      </c>
      <c r="T64" s="52">
        <f t="shared" si="5"/>
        <v>0</v>
      </c>
      <c r="U64" s="52"/>
      <c r="V64" s="51">
        <f t="shared" si="6"/>
        <v>0</v>
      </c>
      <c r="W64" s="52">
        <f t="shared" si="7"/>
        <v>-34</v>
      </c>
      <c r="X64" s="35">
        <f t="shared" si="12"/>
        <v>60</v>
      </c>
      <c r="Y64" s="35" t="str">
        <f t="shared" si="8"/>
        <v>Y</v>
      </c>
      <c r="Z64" s="19" t="str">
        <f t="shared" si="9"/>
        <v/>
      </c>
    </row>
    <row r="65">
      <c r="A65" s="35">
        <f t="shared" si="10"/>
        <v>61</v>
      </c>
      <c r="B65" s="36" t="s">
        <v>147</v>
      </c>
      <c r="C65" s="37"/>
      <c r="D65" s="37"/>
      <c r="E65" s="40">
        <f t="shared" si="2"/>
        <v>0</v>
      </c>
      <c r="F65" s="90">
        <v>2.0</v>
      </c>
      <c r="G65" s="91">
        <v>8.0</v>
      </c>
      <c r="H65" s="92">
        <v>0.0</v>
      </c>
      <c r="I65" s="91">
        <v>4.0</v>
      </c>
      <c r="J65" s="91">
        <v>3.0</v>
      </c>
      <c r="K65" s="91">
        <v>7.0</v>
      </c>
      <c r="L65" s="93">
        <v>14.0</v>
      </c>
      <c r="M65" s="91">
        <v>1.0</v>
      </c>
      <c r="N65" s="37">
        <f t="shared" ref="N65:O65" si="70">C65+L65</f>
        <v>14</v>
      </c>
      <c r="O65" s="37">
        <f t="shared" si="70"/>
        <v>1</v>
      </c>
      <c r="P65" s="49" t="s">
        <v>57</v>
      </c>
      <c r="Q65" s="49" t="s">
        <v>57</v>
      </c>
      <c r="R65" s="49" t="s">
        <v>57</v>
      </c>
      <c r="S65" s="51">
        <f t="shared" si="4"/>
        <v>1</v>
      </c>
      <c r="T65" s="52">
        <f t="shared" si="5"/>
        <v>0</v>
      </c>
      <c r="U65" s="52"/>
      <c r="V65" s="51">
        <f t="shared" si="6"/>
        <v>0</v>
      </c>
      <c r="W65" s="52">
        <f t="shared" si="7"/>
        <v>-15</v>
      </c>
      <c r="X65" s="35">
        <f t="shared" si="12"/>
        <v>61</v>
      </c>
      <c r="Y65" s="35" t="str">
        <f t="shared" si="8"/>
        <v>Y</v>
      </c>
      <c r="Z65" s="19" t="str">
        <f t="shared" si="9"/>
        <v/>
      </c>
    </row>
    <row r="66">
      <c r="A66" s="35">
        <f t="shared" si="10"/>
        <v>62</v>
      </c>
      <c r="B66" s="36" t="s">
        <v>115</v>
      </c>
      <c r="C66" s="37"/>
      <c r="D66" s="37"/>
      <c r="E66" s="40">
        <f t="shared" si="2"/>
        <v>0</v>
      </c>
      <c r="F66" s="90">
        <v>1.0</v>
      </c>
      <c r="G66" s="91">
        <v>8.0</v>
      </c>
      <c r="H66" s="92">
        <v>0.0</v>
      </c>
      <c r="I66" s="91">
        <v>6.0</v>
      </c>
      <c r="J66" s="91">
        <v>3.0</v>
      </c>
      <c r="K66" s="91">
        <v>5.0</v>
      </c>
      <c r="L66" s="93">
        <v>14.0</v>
      </c>
      <c r="M66" s="91">
        <v>1.0</v>
      </c>
      <c r="N66" s="37">
        <f t="shared" ref="N66:O66" si="71">C66+L66</f>
        <v>14</v>
      </c>
      <c r="O66" s="37">
        <f t="shared" si="71"/>
        <v>1</v>
      </c>
      <c r="P66" s="49" t="s">
        <v>57</v>
      </c>
      <c r="Q66" s="49" t="s">
        <v>57</v>
      </c>
      <c r="R66" s="49" t="s">
        <v>57</v>
      </c>
      <c r="S66" s="51">
        <f t="shared" si="4"/>
        <v>1</v>
      </c>
      <c r="T66" s="52">
        <f t="shared" si="5"/>
        <v>0</v>
      </c>
      <c r="U66" s="52"/>
      <c r="V66" s="51">
        <f t="shared" si="6"/>
        <v>0</v>
      </c>
      <c r="W66" s="52">
        <f t="shared" si="7"/>
        <v>-46</v>
      </c>
      <c r="X66" s="35">
        <f t="shared" si="12"/>
        <v>62</v>
      </c>
      <c r="Y66" s="35" t="str">
        <f t="shared" si="8"/>
        <v>Y</v>
      </c>
      <c r="Z66" s="19" t="str">
        <f t="shared" si="9"/>
        <v/>
      </c>
    </row>
    <row r="67">
      <c r="A67" s="35">
        <f t="shared" si="10"/>
        <v>63</v>
      </c>
      <c r="B67" s="36" t="s">
        <v>59</v>
      </c>
      <c r="C67" s="37"/>
      <c r="D67" s="37"/>
      <c r="E67" s="40">
        <f t="shared" si="2"/>
        <v>0</v>
      </c>
      <c r="F67" s="90">
        <v>1.0</v>
      </c>
      <c r="G67" s="91">
        <v>8.0</v>
      </c>
      <c r="H67" s="92">
        <v>0.0</v>
      </c>
      <c r="I67" s="91">
        <v>6.0</v>
      </c>
      <c r="J67" s="91">
        <v>6.0</v>
      </c>
      <c r="K67" s="91">
        <v>7.0</v>
      </c>
      <c r="L67" s="93">
        <v>19.0</v>
      </c>
      <c r="M67" s="91">
        <v>3.0</v>
      </c>
      <c r="N67" s="37">
        <f t="shared" ref="N67:O67" si="72">C67+L67</f>
        <v>19</v>
      </c>
      <c r="O67" s="37">
        <f t="shared" si="72"/>
        <v>3</v>
      </c>
      <c r="P67" s="49" t="s">
        <v>57</v>
      </c>
      <c r="Q67" s="49" t="s">
        <v>57</v>
      </c>
      <c r="R67" s="49" t="s">
        <v>57</v>
      </c>
      <c r="S67" s="51">
        <f t="shared" si="4"/>
        <v>1</v>
      </c>
      <c r="T67" s="52">
        <f t="shared" si="5"/>
        <v>0</v>
      </c>
      <c r="U67" s="52"/>
      <c r="V67" s="51">
        <f t="shared" si="6"/>
        <v>0</v>
      </c>
      <c r="W67" s="52">
        <f t="shared" si="7"/>
        <v>-34</v>
      </c>
      <c r="X67" s="35">
        <f t="shared" si="12"/>
        <v>63</v>
      </c>
      <c r="Y67" s="35" t="str">
        <f t="shared" si="8"/>
        <v>Y</v>
      </c>
      <c r="Z67" s="19" t="str">
        <f t="shared" si="9"/>
        <v/>
      </c>
    </row>
    <row r="68">
      <c r="A68" s="35">
        <f t="shared" si="10"/>
        <v>64</v>
      </c>
      <c r="B68" s="36" t="s">
        <v>92</v>
      </c>
      <c r="C68" s="37"/>
      <c r="D68" s="37"/>
      <c r="E68" s="40">
        <f t="shared" si="2"/>
        <v>0</v>
      </c>
      <c r="F68" s="90">
        <v>1.0</v>
      </c>
      <c r="G68" s="91">
        <v>8.0</v>
      </c>
      <c r="H68" s="92">
        <v>0.0</v>
      </c>
      <c r="I68" s="91">
        <v>4.0</v>
      </c>
      <c r="J68" s="91">
        <v>6.0</v>
      </c>
      <c r="K68" s="91">
        <v>5.0</v>
      </c>
      <c r="L68" s="93">
        <v>15.0</v>
      </c>
      <c r="M68" s="91">
        <v>1.0</v>
      </c>
      <c r="N68" s="37">
        <f t="shared" ref="N68:O68" si="73">C68+L68</f>
        <v>15</v>
      </c>
      <c r="O68" s="37">
        <f t="shared" si="73"/>
        <v>1</v>
      </c>
      <c r="P68" s="49" t="s">
        <v>57</v>
      </c>
      <c r="Q68" s="49" t="s">
        <v>57</v>
      </c>
      <c r="R68" s="49" t="s">
        <v>57</v>
      </c>
      <c r="S68" s="51">
        <f t="shared" si="4"/>
        <v>1</v>
      </c>
      <c r="T68" s="52">
        <f t="shared" si="5"/>
        <v>0</v>
      </c>
      <c r="U68" s="52"/>
      <c r="V68" s="51">
        <f t="shared" si="6"/>
        <v>0</v>
      </c>
      <c r="W68" s="52">
        <f t="shared" si="7"/>
        <v>-56</v>
      </c>
      <c r="X68" s="35">
        <f t="shared" si="12"/>
        <v>64</v>
      </c>
      <c r="Y68" s="35" t="str">
        <f t="shared" si="8"/>
        <v>Y</v>
      </c>
      <c r="Z68" s="19" t="str">
        <f t="shared" si="9"/>
        <v/>
      </c>
    </row>
    <row r="69">
      <c r="A69" s="35">
        <f t="shared" si="10"/>
        <v>65</v>
      </c>
      <c r="B69" s="36" t="s">
        <v>103</v>
      </c>
      <c r="C69" s="37"/>
      <c r="D69" s="37"/>
      <c r="E69" s="40">
        <f t="shared" si="2"/>
        <v>0</v>
      </c>
      <c r="F69" s="90">
        <v>3.0</v>
      </c>
      <c r="G69" s="91">
        <v>0.0</v>
      </c>
      <c r="H69" s="92">
        <v>9.0</v>
      </c>
      <c r="I69" s="91">
        <v>0.0</v>
      </c>
      <c r="J69" s="91">
        <v>0.0</v>
      </c>
      <c r="K69" s="91">
        <v>0.0</v>
      </c>
      <c r="L69" s="93">
        <v>9.0</v>
      </c>
      <c r="M69" s="91">
        <v>0.0</v>
      </c>
      <c r="N69" s="37">
        <f t="shared" ref="N69:O69" si="74">C69+L69</f>
        <v>9</v>
      </c>
      <c r="O69" s="37">
        <f t="shared" si="74"/>
        <v>0</v>
      </c>
      <c r="P69" s="49" t="s">
        <v>57</v>
      </c>
      <c r="Q69" s="49" t="s">
        <v>57</v>
      </c>
      <c r="R69" s="49" t="s">
        <v>57</v>
      </c>
      <c r="S69" s="51">
        <f t="shared" si="4"/>
        <v>0</v>
      </c>
      <c r="T69" s="52">
        <f t="shared" si="5"/>
        <v>0</v>
      </c>
      <c r="U69" s="52"/>
      <c r="V69" s="51">
        <f t="shared" si="6"/>
        <v>1</v>
      </c>
      <c r="W69" s="52">
        <f t="shared" si="7"/>
        <v>-53</v>
      </c>
      <c r="X69" s="35">
        <f t="shared" si="12"/>
        <v>65</v>
      </c>
      <c r="Y69" s="35" t="str">
        <f t="shared" si="8"/>
        <v>N</v>
      </c>
      <c r="Z69" s="19" t="str">
        <f t="shared" si="9"/>
        <v/>
      </c>
    </row>
    <row r="70">
      <c r="A70" s="35">
        <f t="shared" si="10"/>
        <v>66</v>
      </c>
      <c r="B70" s="36" t="s">
        <v>68</v>
      </c>
      <c r="C70" s="37"/>
      <c r="D70" s="37"/>
      <c r="E70" s="40">
        <f t="shared" si="2"/>
        <v>0</v>
      </c>
      <c r="F70" s="90">
        <v>1.0</v>
      </c>
      <c r="G70" s="91">
        <v>10.0</v>
      </c>
      <c r="H70" s="92">
        <v>0.0</v>
      </c>
      <c r="I70" s="91">
        <v>6.0</v>
      </c>
      <c r="J70" s="91">
        <v>6.0</v>
      </c>
      <c r="K70" s="91">
        <v>7.0</v>
      </c>
      <c r="L70" s="93">
        <v>19.0</v>
      </c>
      <c r="M70" s="91">
        <v>3.0</v>
      </c>
      <c r="N70" s="37">
        <f t="shared" ref="N70:O70" si="75">C70+L70</f>
        <v>19</v>
      </c>
      <c r="O70" s="37">
        <f t="shared" si="75"/>
        <v>3</v>
      </c>
      <c r="P70" s="49" t="s">
        <v>57</v>
      </c>
      <c r="Q70" s="49" t="s">
        <v>57</v>
      </c>
      <c r="R70" s="49" t="s">
        <v>57</v>
      </c>
      <c r="S70" s="51">
        <f t="shared" si="4"/>
        <v>1</v>
      </c>
      <c r="T70" s="52">
        <f t="shared" si="5"/>
        <v>0</v>
      </c>
      <c r="U70" s="52"/>
      <c r="V70" s="51">
        <f t="shared" si="6"/>
        <v>0</v>
      </c>
      <c r="W70" s="52">
        <f t="shared" si="7"/>
        <v>-60</v>
      </c>
      <c r="X70" s="35">
        <f t="shared" si="12"/>
        <v>66</v>
      </c>
      <c r="Y70" s="35" t="str">
        <f t="shared" si="8"/>
        <v>Y</v>
      </c>
      <c r="Z70" s="19" t="str">
        <f t="shared" si="9"/>
        <v/>
      </c>
    </row>
    <row r="71">
      <c r="A71" s="35">
        <f t="shared" si="10"/>
        <v>67</v>
      </c>
      <c r="B71" s="36" t="s">
        <v>80</v>
      </c>
      <c r="C71" s="37"/>
      <c r="D71" s="37"/>
      <c r="E71" s="40">
        <f t="shared" si="2"/>
        <v>0</v>
      </c>
      <c r="F71" s="90">
        <v>1.0</v>
      </c>
      <c r="G71" s="91">
        <v>10.0</v>
      </c>
      <c r="H71" s="92">
        <v>0.0</v>
      </c>
      <c r="I71" s="91">
        <v>1.0</v>
      </c>
      <c r="J71" s="91">
        <v>3.0</v>
      </c>
      <c r="K71" s="91">
        <v>7.0</v>
      </c>
      <c r="L71" s="93">
        <v>11.0</v>
      </c>
      <c r="M71" s="91">
        <v>1.0</v>
      </c>
      <c r="N71" s="37">
        <f t="shared" ref="N71:O71" si="76">C71+L71</f>
        <v>11</v>
      </c>
      <c r="O71" s="37">
        <f t="shared" si="76"/>
        <v>1</v>
      </c>
      <c r="P71" s="49" t="s">
        <v>57</v>
      </c>
      <c r="Q71" s="49" t="s">
        <v>57</v>
      </c>
      <c r="R71" s="49" t="s">
        <v>57</v>
      </c>
      <c r="S71" s="51">
        <f t="shared" si="4"/>
        <v>1</v>
      </c>
      <c r="T71" s="52">
        <f t="shared" si="5"/>
        <v>0</v>
      </c>
      <c r="U71" s="52"/>
      <c r="V71" s="51">
        <f t="shared" si="6"/>
        <v>0</v>
      </c>
      <c r="W71" s="52">
        <f t="shared" si="7"/>
        <v>-57</v>
      </c>
      <c r="X71" s="35">
        <f t="shared" si="12"/>
        <v>67</v>
      </c>
      <c r="Y71" s="35" t="str">
        <f t="shared" si="8"/>
        <v>Y</v>
      </c>
      <c r="Z71" s="19" t="str">
        <f t="shared" si="9"/>
        <v/>
      </c>
    </row>
    <row r="72">
      <c r="A72" s="35">
        <f t="shared" si="10"/>
        <v>68</v>
      </c>
      <c r="B72" s="36" t="s">
        <v>154</v>
      </c>
      <c r="C72" s="37"/>
      <c r="D72" s="37"/>
      <c r="E72" s="40">
        <f t="shared" si="2"/>
        <v>0</v>
      </c>
      <c r="F72" s="90">
        <v>3.0</v>
      </c>
      <c r="G72" s="91">
        <v>0.0</v>
      </c>
      <c r="H72" s="92">
        <v>9.0</v>
      </c>
      <c r="I72" s="91">
        <v>0.0</v>
      </c>
      <c r="J72" s="91">
        <v>0.0</v>
      </c>
      <c r="K72" s="91">
        <v>0.0</v>
      </c>
      <c r="L72" s="93">
        <v>9.0</v>
      </c>
      <c r="M72" s="91">
        <v>0.0</v>
      </c>
      <c r="N72" s="37">
        <f t="shared" ref="N72:O72" si="77">C72+L72</f>
        <v>9</v>
      </c>
      <c r="O72" s="37">
        <f t="shared" si="77"/>
        <v>0</v>
      </c>
      <c r="P72" s="49" t="s">
        <v>57</v>
      </c>
      <c r="Q72" s="49" t="s">
        <v>57</v>
      </c>
      <c r="R72" s="49" t="s">
        <v>57</v>
      </c>
      <c r="S72" s="51">
        <f t="shared" si="4"/>
        <v>0</v>
      </c>
      <c r="T72" s="52">
        <f t="shared" si="5"/>
        <v>0</v>
      </c>
      <c r="U72" s="52"/>
      <c r="V72" s="51">
        <f t="shared" si="6"/>
        <v>1</v>
      </c>
      <c r="W72" s="52">
        <f t="shared" si="7"/>
        <v>-9</v>
      </c>
      <c r="X72" s="35">
        <f t="shared" si="12"/>
        <v>68</v>
      </c>
      <c r="Y72" s="35" t="str">
        <f t="shared" si="8"/>
        <v>N</v>
      </c>
      <c r="Z72" s="19" t="str">
        <f t="shared" si="9"/>
        <v/>
      </c>
    </row>
    <row r="73">
      <c r="A73" s="35">
        <f t="shared" si="10"/>
        <v>69</v>
      </c>
      <c r="B73" s="36" t="s">
        <v>109</v>
      </c>
      <c r="C73" s="37"/>
      <c r="D73" s="37"/>
      <c r="E73" s="40">
        <f t="shared" si="2"/>
        <v>0</v>
      </c>
      <c r="F73" s="90">
        <v>1.0</v>
      </c>
      <c r="G73" s="91">
        <v>10.0</v>
      </c>
      <c r="H73" s="92">
        <v>0.0</v>
      </c>
      <c r="I73" s="91">
        <v>1.0</v>
      </c>
      <c r="J73" s="91">
        <v>6.0</v>
      </c>
      <c r="K73" s="91">
        <v>5.0</v>
      </c>
      <c r="L73" s="93">
        <v>12.0</v>
      </c>
      <c r="M73" s="91">
        <v>1.0</v>
      </c>
      <c r="N73" s="37">
        <f t="shared" ref="N73:O73" si="78">C73+L73</f>
        <v>12</v>
      </c>
      <c r="O73" s="37">
        <f t="shared" si="78"/>
        <v>1</v>
      </c>
      <c r="P73" s="49" t="s">
        <v>57</v>
      </c>
      <c r="Q73" s="49" t="s">
        <v>57</v>
      </c>
      <c r="R73" s="49" t="s">
        <v>57</v>
      </c>
      <c r="S73" s="51">
        <f t="shared" si="4"/>
        <v>1</v>
      </c>
      <c r="T73" s="52">
        <f t="shared" si="5"/>
        <v>0</v>
      </c>
      <c r="U73" s="52"/>
      <c r="V73" s="51">
        <f t="shared" si="6"/>
        <v>0</v>
      </c>
      <c r="W73" s="52">
        <f t="shared" si="7"/>
        <v>-39</v>
      </c>
      <c r="X73" s="35">
        <f t="shared" si="12"/>
        <v>69</v>
      </c>
      <c r="Y73" s="35" t="str">
        <f t="shared" si="8"/>
        <v>Y</v>
      </c>
      <c r="Z73" s="19" t="str">
        <f t="shared" si="9"/>
        <v/>
      </c>
    </row>
    <row r="74">
      <c r="A74" s="35">
        <f t="shared" si="10"/>
        <v>70</v>
      </c>
      <c r="B74" s="36" t="s">
        <v>143</v>
      </c>
      <c r="C74" s="37"/>
      <c r="D74" s="37"/>
      <c r="E74" s="40">
        <f t="shared" si="2"/>
        <v>0</v>
      </c>
      <c r="F74" s="90">
        <v>3.0</v>
      </c>
      <c r="G74" s="91">
        <v>0.0</v>
      </c>
      <c r="H74" s="92">
        <v>9.0</v>
      </c>
      <c r="I74" s="91">
        <v>0.0</v>
      </c>
      <c r="J74" s="91">
        <v>0.0</v>
      </c>
      <c r="K74" s="91">
        <v>0.0</v>
      </c>
      <c r="L74" s="93">
        <v>9.0</v>
      </c>
      <c r="M74" s="91">
        <v>0.0</v>
      </c>
      <c r="N74" s="37">
        <f t="shared" ref="N74:O74" si="79">C74+L74</f>
        <v>9</v>
      </c>
      <c r="O74" s="37">
        <f t="shared" si="79"/>
        <v>0</v>
      </c>
      <c r="P74" s="49" t="s">
        <v>57</v>
      </c>
      <c r="Q74" s="49" t="s">
        <v>57</v>
      </c>
      <c r="R74" s="49" t="s">
        <v>57</v>
      </c>
      <c r="S74" s="51">
        <f t="shared" si="4"/>
        <v>0</v>
      </c>
      <c r="T74" s="52">
        <f t="shared" si="5"/>
        <v>0</v>
      </c>
      <c r="U74" s="52"/>
      <c r="V74" s="51">
        <f t="shared" si="6"/>
        <v>1</v>
      </c>
      <c r="W74" s="52">
        <f t="shared" si="7"/>
        <v>-33</v>
      </c>
      <c r="X74" s="35">
        <f t="shared" si="12"/>
        <v>70</v>
      </c>
      <c r="Y74" s="35" t="str">
        <f t="shared" si="8"/>
        <v>N</v>
      </c>
      <c r="Z74" s="19" t="str">
        <f t="shared" si="9"/>
        <v/>
      </c>
    </row>
    <row r="75">
      <c r="A75" s="35">
        <f t="shared" si="10"/>
        <v>71</v>
      </c>
      <c r="B75" s="36" t="s">
        <v>89</v>
      </c>
      <c r="C75" s="37"/>
      <c r="D75" s="37"/>
      <c r="E75" s="40">
        <f t="shared" si="2"/>
        <v>0</v>
      </c>
      <c r="F75" s="90">
        <v>1.0</v>
      </c>
      <c r="G75" s="91">
        <v>10.0</v>
      </c>
      <c r="H75" s="92">
        <v>0.0</v>
      </c>
      <c r="I75" s="91">
        <v>6.0</v>
      </c>
      <c r="J75" s="91">
        <v>3.0</v>
      </c>
      <c r="K75" s="91">
        <v>5.0</v>
      </c>
      <c r="L75" s="93">
        <v>14.0</v>
      </c>
      <c r="M75" s="91">
        <v>1.0</v>
      </c>
      <c r="N75" s="37">
        <f t="shared" ref="N75:O75" si="80">C75+L75</f>
        <v>14</v>
      </c>
      <c r="O75" s="37">
        <f t="shared" si="80"/>
        <v>1</v>
      </c>
      <c r="P75" s="49" t="s">
        <v>57</v>
      </c>
      <c r="Q75" s="49" t="s">
        <v>57</v>
      </c>
      <c r="R75" s="49" t="s">
        <v>57</v>
      </c>
      <c r="S75" s="51">
        <f t="shared" si="4"/>
        <v>1</v>
      </c>
      <c r="T75" s="52">
        <f t="shared" si="5"/>
        <v>0</v>
      </c>
      <c r="U75" s="52"/>
      <c r="V75" s="51">
        <f t="shared" si="6"/>
        <v>0</v>
      </c>
      <c r="W75" s="52">
        <f t="shared" si="7"/>
        <v>-69</v>
      </c>
      <c r="X75" s="35">
        <f t="shared" si="12"/>
        <v>71</v>
      </c>
      <c r="Y75" s="35" t="str">
        <f t="shared" si="8"/>
        <v>Y</v>
      </c>
      <c r="Z75" s="19" t="str">
        <f t="shared" si="9"/>
        <v/>
      </c>
    </row>
    <row r="76">
      <c r="A76" s="35">
        <f t="shared" si="10"/>
        <v>72</v>
      </c>
      <c r="B76" s="36" t="s">
        <v>70</v>
      </c>
      <c r="C76" s="37"/>
      <c r="D76" s="37"/>
      <c r="E76" s="40">
        <f t="shared" si="2"/>
        <v>0</v>
      </c>
      <c r="F76" s="90">
        <v>3.0</v>
      </c>
      <c r="G76" s="91">
        <v>0.0</v>
      </c>
      <c r="H76" s="92">
        <v>9.0</v>
      </c>
      <c r="I76" s="91">
        <v>0.0</v>
      </c>
      <c r="J76" s="91">
        <v>0.0</v>
      </c>
      <c r="K76" s="91">
        <v>0.0</v>
      </c>
      <c r="L76" s="93">
        <v>9.0</v>
      </c>
      <c r="M76" s="91">
        <v>0.0</v>
      </c>
      <c r="N76" s="37">
        <f t="shared" ref="N76:O76" si="81">C76+L76</f>
        <v>9</v>
      </c>
      <c r="O76" s="37">
        <f t="shared" si="81"/>
        <v>0</v>
      </c>
      <c r="P76" s="49" t="s">
        <v>57</v>
      </c>
      <c r="Q76" s="49" t="s">
        <v>57</v>
      </c>
      <c r="R76" s="49" t="s">
        <v>57</v>
      </c>
      <c r="S76" s="51">
        <f t="shared" si="4"/>
        <v>0</v>
      </c>
      <c r="T76" s="52">
        <f t="shared" si="5"/>
        <v>0</v>
      </c>
      <c r="U76" s="52"/>
      <c r="V76" s="51">
        <f t="shared" si="6"/>
        <v>1</v>
      </c>
      <c r="W76" s="52">
        <f t="shared" si="7"/>
        <v>-30</v>
      </c>
      <c r="X76" s="35">
        <f t="shared" si="12"/>
        <v>72</v>
      </c>
      <c r="Y76" s="35" t="str">
        <f t="shared" si="8"/>
        <v>N</v>
      </c>
      <c r="Z76" s="19" t="str">
        <f t="shared" si="9"/>
        <v/>
      </c>
    </row>
    <row r="77">
      <c r="A77" s="35">
        <f t="shared" si="10"/>
        <v>73</v>
      </c>
      <c r="B77" s="36" t="s">
        <v>136</v>
      </c>
      <c r="C77" s="37"/>
      <c r="D77" s="37"/>
      <c r="E77" s="40">
        <f t="shared" si="2"/>
        <v>0</v>
      </c>
      <c r="F77" s="90">
        <v>3.0</v>
      </c>
      <c r="G77" s="91">
        <v>0.0</v>
      </c>
      <c r="H77" s="92">
        <v>9.0</v>
      </c>
      <c r="I77" s="91">
        <v>0.0</v>
      </c>
      <c r="J77" s="91">
        <v>0.0</v>
      </c>
      <c r="K77" s="91">
        <v>0.0</v>
      </c>
      <c r="L77" s="93">
        <v>9.0</v>
      </c>
      <c r="M77" s="91">
        <v>0.0</v>
      </c>
      <c r="N77" s="37">
        <f t="shared" ref="N77:O77" si="82">C77+L77</f>
        <v>9</v>
      </c>
      <c r="O77" s="37">
        <f t="shared" si="82"/>
        <v>0</v>
      </c>
      <c r="P77" s="49" t="s">
        <v>57</v>
      </c>
      <c r="Q77" s="49" t="s">
        <v>57</v>
      </c>
      <c r="R77" s="49" t="s">
        <v>57</v>
      </c>
      <c r="S77" s="51">
        <f t="shared" si="4"/>
        <v>0</v>
      </c>
      <c r="T77" s="52">
        <f t="shared" si="5"/>
        <v>0</v>
      </c>
      <c r="U77" s="52"/>
      <c r="V77" s="51">
        <f t="shared" si="6"/>
        <v>1</v>
      </c>
      <c r="W77" s="52">
        <f t="shared" si="7"/>
        <v>-7</v>
      </c>
      <c r="X77" s="35">
        <f t="shared" si="12"/>
        <v>73</v>
      </c>
      <c r="Y77" s="35" t="str">
        <f t="shared" si="8"/>
        <v>N</v>
      </c>
      <c r="Z77" s="19" t="str">
        <f t="shared" si="9"/>
        <v/>
      </c>
    </row>
    <row r="78">
      <c r="A78" s="35">
        <f t="shared" si="10"/>
        <v>74</v>
      </c>
      <c r="B78" s="36" t="s">
        <v>93</v>
      </c>
      <c r="C78" s="37"/>
      <c r="D78" s="37"/>
      <c r="E78" s="40">
        <f t="shared" si="2"/>
        <v>0</v>
      </c>
      <c r="F78" s="90">
        <v>3.0</v>
      </c>
      <c r="G78" s="91">
        <v>0.0</v>
      </c>
      <c r="H78" s="92">
        <v>9.0</v>
      </c>
      <c r="I78" s="91">
        <v>0.0</v>
      </c>
      <c r="J78" s="91">
        <v>0.0</v>
      </c>
      <c r="K78" s="91">
        <v>0.0</v>
      </c>
      <c r="L78" s="93">
        <v>9.0</v>
      </c>
      <c r="M78" s="91">
        <v>0.0</v>
      </c>
      <c r="N78" s="37">
        <f t="shared" ref="N78:O78" si="83">C78+L78</f>
        <v>9</v>
      </c>
      <c r="O78" s="37">
        <f t="shared" si="83"/>
        <v>0</v>
      </c>
      <c r="P78" s="49" t="s">
        <v>57</v>
      </c>
      <c r="Q78" s="49" t="s">
        <v>57</v>
      </c>
      <c r="R78" s="49" t="s">
        <v>57</v>
      </c>
      <c r="S78" s="51">
        <f t="shared" si="4"/>
        <v>0</v>
      </c>
      <c r="T78" s="52">
        <f t="shared" si="5"/>
        <v>0</v>
      </c>
      <c r="U78" s="52"/>
      <c r="V78" s="51">
        <f t="shared" si="6"/>
        <v>1</v>
      </c>
      <c r="W78" s="52">
        <f t="shared" si="7"/>
        <v>-43</v>
      </c>
      <c r="X78" s="35">
        <f t="shared" si="12"/>
        <v>74</v>
      </c>
      <c r="Y78" s="35" t="str">
        <f t="shared" si="8"/>
        <v>N</v>
      </c>
      <c r="Z78" s="19" t="str">
        <f t="shared" si="9"/>
        <v/>
      </c>
    </row>
    <row r="79">
      <c r="A79" s="35">
        <f t="shared" si="10"/>
        <v>75</v>
      </c>
      <c r="B79" s="36" t="s">
        <v>87</v>
      </c>
      <c r="C79" s="37"/>
      <c r="D79" s="37"/>
      <c r="E79" s="40">
        <f t="shared" si="2"/>
        <v>0</v>
      </c>
      <c r="F79" s="90">
        <v>3.0</v>
      </c>
      <c r="G79" s="91">
        <v>0.0</v>
      </c>
      <c r="H79" s="92">
        <v>9.0</v>
      </c>
      <c r="I79" s="91">
        <v>0.0</v>
      </c>
      <c r="J79" s="91">
        <v>0.0</v>
      </c>
      <c r="K79" s="91">
        <v>0.0</v>
      </c>
      <c r="L79" s="93">
        <v>9.0</v>
      </c>
      <c r="M79" s="91">
        <v>0.0</v>
      </c>
      <c r="N79" s="37">
        <f t="shared" ref="N79:O79" si="84">C79+L79</f>
        <v>9</v>
      </c>
      <c r="O79" s="37">
        <f t="shared" si="84"/>
        <v>0</v>
      </c>
      <c r="P79" s="49" t="s">
        <v>57</v>
      </c>
      <c r="Q79" s="49" t="s">
        <v>57</v>
      </c>
      <c r="R79" s="49" t="s">
        <v>57</v>
      </c>
      <c r="S79" s="51">
        <f t="shared" si="4"/>
        <v>0</v>
      </c>
      <c r="T79" s="52">
        <f t="shared" si="5"/>
        <v>0</v>
      </c>
      <c r="U79" s="52"/>
      <c r="V79" s="51">
        <f t="shared" si="6"/>
        <v>1</v>
      </c>
      <c r="W79" s="52">
        <f t="shared" si="7"/>
        <v>-11</v>
      </c>
      <c r="X79" s="35">
        <f t="shared" si="12"/>
        <v>75</v>
      </c>
      <c r="Y79" s="35" t="str">
        <f t="shared" si="8"/>
        <v>N</v>
      </c>
      <c r="Z79" s="19" t="str">
        <f t="shared" si="9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01/03/26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""!B5:M69""),""Select B, L, M, G where L &gt;= 18 order by L desc,M desc"",0)"),"#N/A")</f>
        <v>#N/A</v>
      </c>
      <c r="C91" s="122"/>
      <c r="D91" s="122"/>
      <c r="E91" s="122"/>
      <c r="F91" s="5"/>
    </row>
    <row r="92">
      <c r="A92" s="5"/>
      <c r="B92" s="36"/>
      <c r="C92" s="122"/>
      <c r="D92" s="122"/>
      <c r="E92" s="122"/>
      <c r="F92" s="5"/>
    </row>
    <row r="93">
      <c r="A93" s="5"/>
      <c r="B93" s="36"/>
      <c r="C93" s="122"/>
      <c r="D93" s="122"/>
      <c r="E93" s="122"/>
      <c r="F93" s="5"/>
    </row>
    <row r="94">
      <c r="A94" s="5"/>
      <c r="B94" s="36"/>
      <c r="C94" s="122"/>
      <c r="D94" s="122"/>
      <c r="E94" s="122"/>
      <c r="F94" s="5"/>
    </row>
    <row r="95">
      <c r="A95" s="5"/>
      <c r="B95" s="36"/>
      <c r="C95" s="122"/>
      <c r="D95" s="122"/>
      <c r="E95" s="122"/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IFERROR(__xludf.DUMMYFUNCTION("query(B5:W68,""select B, W order by W Desc Limit 10"")"),"Ruben Ron")</f>
        <v>Ruben Ron</v>
      </c>
      <c r="C110" s="122">
        <f>IFERROR(__xludf.DUMMYFUNCTION("""COMPUTED_VALUE"""),65.0)</f>
        <v>65</v>
      </c>
      <c r="D110" s="122" t="str">
        <f t="shared" ref="D110:D119" si="85">VLOOKUP(B110,indirect($AC$2&amp;"!B$5:X$69"),23, false)</f>
        <v>#N/A</v>
      </c>
      <c r="E110" s="122">
        <f t="shared" ref="E110:E119" si="86">VLOOKUP(B110,B$5:X$68,23, false)</f>
        <v>8</v>
      </c>
      <c r="F110" s="122" t="str">
        <f t="shared" ref="F110:F119" si="87">VLOOKUP(B110,indirect($AC$2&amp;"!B$5:U$70"),11, false)</f>
        <v>#N/A</v>
      </c>
      <c r="G110" s="122" t="str">
        <f t="shared" ref="G110:G119" si="88">VLOOKUP(B110,indirect($AC$2&amp;"!B$5:U$70"),6, false)</f>
        <v>#N/A</v>
      </c>
      <c r="L110" s="122" t="str">
        <f t="shared" ref="L110:L119" si="89">if(D110-E110=C110,"ok","Error")</f>
        <v>#N/A</v>
      </c>
    </row>
    <row r="111">
      <c r="A111" s="5"/>
      <c r="B111" s="36" t="str">
        <f>IFERROR(__xludf.DUMMYFUNCTION("""COMPUTED_VALUE"""),"Camille Jung")</f>
        <v>Camille Jung</v>
      </c>
      <c r="C111" s="122">
        <f>IFERROR(__xludf.DUMMYFUNCTION("""COMPUTED_VALUE"""),65.0)</f>
        <v>65</v>
      </c>
      <c r="D111" s="122" t="str">
        <f t="shared" si="85"/>
        <v>#N/A</v>
      </c>
      <c r="E111" s="122">
        <f t="shared" si="86"/>
        <v>9</v>
      </c>
      <c r="F111" s="122" t="str">
        <f t="shared" si="87"/>
        <v>#N/A</v>
      </c>
      <c r="G111" s="122" t="str">
        <f t="shared" si="88"/>
        <v>#N/A</v>
      </c>
      <c r="L111" s="122" t="str">
        <f t="shared" si="89"/>
        <v>#N/A</v>
      </c>
    </row>
    <row r="112">
      <c r="A112" s="5"/>
      <c r="B112" s="36" t="str">
        <f>IFERROR(__xludf.DUMMYFUNCTION("""COMPUTED_VALUE"""),"Jordan Tatang")</f>
        <v>Jordan Tatang</v>
      </c>
      <c r="C112" s="122">
        <f>IFERROR(__xludf.DUMMYFUNCTION("""COMPUTED_VALUE"""),53.0)</f>
        <v>53</v>
      </c>
      <c r="D112" s="122" t="str">
        <f t="shared" si="85"/>
        <v>#N/A</v>
      </c>
      <c r="E112" s="122">
        <f t="shared" si="86"/>
        <v>18</v>
      </c>
      <c r="F112" s="122" t="str">
        <f t="shared" si="87"/>
        <v>#N/A</v>
      </c>
      <c r="G112" s="122" t="str">
        <f t="shared" si="88"/>
        <v>#N/A</v>
      </c>
      <c r="L112" s="122" t="str">
        <f t="shared" si="89"/>
        <v>#N/A</v>
      </c>
    </row>
    <row r="113">
      <c r="A113" s="5"/>
      <c r="B113" s="36" t="str">
        <f>IFERROR(__xludf.DUMMYFUNCTION("""COMPUTED_VALUE"""),"Hubert J Sung")</f>
        <v>Hubert J Sung</v>
      </c>
      <c r="C113" s="122">
        <f>IFERROR(__xludf.DUMMYFUNCTION("""COMPUTED_VALUE"""),50.0)</f>
        <v>50</v>
      </c>
      <c r="D113" s="122">
        <f t="shared" si="85"/>
        <v>63</v>
      </c>
      <c r="E113" s="122">
        <f t="shared" si="86"/>
        <v>13</v>
      </c>
      <c r="F113" s="122" t="str">
        <f t="shared" si="87"/>
        <v/>
      </c>
      <c r="G113" s="122" t="str">
        <f t="shared" si="88"/>
        <v/>
      </c>
      <c r="L113" s="122" t="str">
        <f t="shared" si="89"/>
        <v>ok</v>
      </c>
    </row>
    <row r="114">
      <c r="A114" s="5"/>
      <c r="B114" s="36" t="str">
        <f>IFERROR(__xludf.DUMMYFUNCTION("""COMPUTED_VALUE"""),"Sanjaye Elayattu")</f>
        <v>Sanjaye Elayattu</v>
      </c>
      <c r="C114" s="122">
        <f>IFERROR(__xludf.DUMMYFUNCTION("""COMPUTED_VALUE"""),47.0)</f>
        <v>47</v>
      </c>
      <c r="D114" s="122">
        <f t="shared" si="85"/>
        <v>48</v>
      </c>
      <c r="E114" s="122">
        <f t="shared" si="86"/>
        <v>1</v>
      </c>
      <c r="F114" s="122" t="str">
        <f t="shared" si="87"/>
        <v/>
      </c>
      <c r="G114" s="122" t="str">
        <f t="shared" si="88"/>
        <v/>
      </c>
      <c r="L114" s="122" t="str">
        <f t="shared" si="89"/>
        <v>ok</v>
      </c>
    </row>
    <row r="115">
      <c r="A115" s="5"/>
      <c r="B115" s="36" t="str">
        <f>IFERROR(__xludf.DUMMYFUNCTION("""COMPUTED_VALUE"""),"Santosh Sundaresan")</f>
        <v>Santosh Sundaresan</v>
      </c>
      <c r="C115" s="122">
        <f>IFERROR(__xludf.DUMMYFUNCTION("""COMPUTED_VALUE"""),46.0)</f>
        <v>46</v>
      </c>
      <c r="D115" s="122">
        <f t="shared" si="85"/>
        <v>57</v>
      </c>
      <c r="E115" s="122">
        <f t="shared" si="86"/>
        <v>11</v>
      </c>
      <c r="F115" s="122" t="str">
        <f t="shared" si="87"/>
        <v/>
      </c>
      <c r="G115" s="122" t="str">
        <f t="shared" si="88"/>
        <v/>
      </c>
      <c r="L115" s="122" t="str">
        <f t="shared" si="89"/>
        <v>ok</v>
      </c>
    </row>
    <row r="116">
      <c r="A116" s="5"/>
      <c r="B116" s="36" t="str">
        <f>IFERROR(__xludf.DUMMYFUNCTION("""COMPUTED_VALUE"""),"Andrew Yao")</f>
        <v>Andrew Yao</v>
      </c>
      <c r="C116" s="122">
        <f>IFERROR(__xludf.DUMMYFUNCTION("""COMPUTED_VALUE"""),46.0)</f>
        <v>46</v>
      </c>
      <c r="D116" s="122" t="str">
        <f t="shared" si="85"/>
        <v>#N/A</v>
      </c>
      <c r="E116" s="122">
        <f t="shared" si="86"/>
        <v>26</v>
      </c>
      <c r="F116" s="122" t="str">
        <f t="shared" si="87"/>
        <v>#N/A</v>
      </c>
      <c r="G116" s="122" t="str">
        <f t="shared" si="88"/>
        <v>#N/A</v>
      </c>
      <c r="L116" s="122" t="str">
        <f t="shared" si="89"/>
        <v>#N/A</v>
      </c>
    </row>
    <row r="117">
      <c r="A117" s="5"/>
      <c r="B117" s="36" t="str">
        <f>IFERROR(__xludf.DUMMYFUNCTION("""COMPUTED_VALUE"""),"Leigh-Anh Nguyen")</f>
        <v>Leigh-Anh Nguyen</v>
      </c>
      <c r="C117" s="122">
        <f>IFERROR(__xludf.DUMMYFUNCTION("""COMPUTED_VALUE"""),45.0)</f>
        <v>45</v>
      </c>
      <c r="D117" s="122">
        <f t="shared" si="85"/>
        <v>62</v>
      </c>
      <c r="E117" s="122">
        <f t="shared" si="86"/>
        <v>17</v>
      </c>
      <c r="F117" s="122" t="str">
        <f t="shared" si="87"/>
        <v/>
      </c>
      <c r="G117" s="122" t="str">
        <f t="shared" si="88"/>
        <v/>
      </c>
      <c r="L117" s="122" t="str">
        <f t="shared" si="89"/>
        <v>ok</v>
      </c>
    </row>
    <row r="118">
      <c r="A118" s="5"/>
      <c r="B118" s="36" t="str">
        <f>IFERROR(__xludf.DUMMYFUNCTION("""COMPUTED_VALUE"""),"Vinaya Kajla")</f>
        <v>Vinaya Kajla</v>
      </c>
      <c r="C118" s="122">
        <f>IFERROR(__xludf.DUMMYFUNCTION("""COMPUTED_VALUE"""),40.0)</f>
        <v>40</v>
      </c>
      <c r="D118" s="122">
        <f t="shared" si="85"/>
        <v>47</v>
      </c>
      <c r="E118" s="122">
        <f t="shared" si="86"/>
        <v>7</v>
      </c>
      <c r="F118" s="122" t="str">
        <f t="shared" si="87"/>
        <v/>
      </c>
      <c r="G118" s="122" t="str">
        <f t="shared" si="88"/>
        <v/>
      </c>
      <c r="L118" s="122" t="str">
        <f t="shared" si="89"/>
        <v>ok</v>
      </c>
    </row>
    <row r="119">
      <c r="A119" s="5"/>
      <c r="B119" s="36" t="str">
        <f>IFERROR(__xludf.DUMMYFUNCTION("""COMPUTED_VALUE"""),"Art Hui")</f>
        <v>Art Hui</v>
      </c>
      <c r="C119" s="122">
        <f>IFERROR(__xludf.DUMMYFUNCTION("""COMPUTED_VALUE"""),40.0)</f>
        <v>40</v>
      </c>
      <c r="D119" s="122" t="str">
        <f t="shared" si="85"/>
        <v>#N/A</v>
      </c>
      <c r="E119" s="122">
        <f t="shared" si="86"/>
        <v>28</v>
      </c>
      <c r="F119" s="122" t="str">
        <f t="shared" si="87"/>
        <v>#N/A</v>
      </c>
      <c r="G119" s="122" t="str">
        <f t="shared" si="88"/>
        <v>#N/A</v>
      </c>
      <c r="L119" s="122" t="str">
        <f t="shared" si="89"/>
        <v>#N/A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1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90">A5</f>
        <v>1</v>
      </c>
      <c r="B128" s="36" t="str">
        <f t="shared" si="90"/>
        <v>Sanjaye Elayattu</v>
      </c>
      <c r="C128" s="122" t="str">
        <f t="shared" si="90"/>
        <v/>
      </c>
      <c r="D128" s="122" t="str">
        <f t="shared" si="90"/>
        <v/>
      </c>
      <c r="E128" s="122">
        <f t="shared" si="90"/>
        <v>0</v>
      </c>
      <c r="F128" s="5"/>
    </row>
    <row r="129">
      <c r="A129" s="122">
        <f t="shared" ref="A129:E129" si="91">A6</f>
        <v>2</v>
      </c>
      <c r="B129" s="36" t="str">
        <f t="shared" si="91"/>
        <v>David Shin</v>
      </c>
      <c r="C129" s="122" t="str">
        <f t="shared" si="91"/>
        <v/>
      </c>
      <c r="D129" s="122" t="str">
        <f t="shared" si="91"/>
        <v/>
      </c>
      <c r="E129" s="122">
        <f t="shared" si="91"/>
        <v>0</v>
      </c>
      <c r="F129" s="5"/>
    </row>
    <row r="130">
      <c r="A130" s="122">
        <f t="shared" ref="A130:E130" si="92">A7</f>
        <v>3</v>
      </c>
      <c r="B130" s="36" t="str">
        <f t="shared" si="92"/>
        <v>Tom Le</v>
      </c>
      <c r="C130" s="122" t="str">
        <f t="shared" si="92"/>
        <v/>
      </c>
      <c r="D130" s="122" t="str">
        <f t="shared" si="92"/>
        <v/>
      </c>
      <c r="E130" s="122">
        <f t="shared" si="92"/>
        <v>0</v>
      </c>
      <c r="F130" s="5"/>
    </row>
    <row r="131">
      <c r="A131" s="122">
        <f t="shared" ref="A131:E131" si="93">A8</f>
        <v>4</v>
      </c>
      <c r="B131" s="36" t="str">
        <f t="shared" si="93"/>
        <v>Manish Anand</v>
      </c>
      <c r="C131" s="122" t="str">
        <f t="shared" si="93"/>
        <v/>
      </c>
      <c r="D131" s="122" t="str">
        <f t="shared" si="93"/>
        <v/>
      </c>
      <c r="E131" s="122">
        <f t="shared" si="93"/>
        <v>0</v>
      </c>
      <c r="F131" s="5"/>
    </row>
    <row r="132">
      <c r="A132" s="122">
        <f t="shared" ref="A132:E132" si="94">A9</f>
        <v>5</v>
      </c>
      <c r="B132" s="36" t="str">
        <f t="shared" si="94"/>
        <v>James Phan</v>
      </c>
      <c r="C132" s="122" t="str">
        <f t="shared" si="94"/>
        <v/>
      </c>
      <c r="D132" s="122" t="str">
        <f t="shared" si="94"/>
        <v/>
      </c>
      <c r="E132" s="122">
        <f t="shared" si="94"/>
        <v>0</v>
      </c>
      <c r="F132" s="5"/>
    </row>
    <row r="133">
      <c r="A133" s="122">
        <f t="shared" ref="A133:E133" si="95">A10</f>
        <v>6</v>
      </c>
      <c r="B133" s="36" t="str">
        <f t="shared" si="95"/>
        <v>Herman Au</v>
      </c>
      <c r="C133" s="122" t="str">
        <f t="shared" si="95"/>
        <v/>
      </c>
      <c r="D133" s="122" t="str">
        <f t="shared" si="95"/>
        <v/>
      </c>
      <c r="E133" s="122">
        <f t="shared" si="95"/>
        <v>0</v>
      </c>
      <c r="F133" s="5"/>
    </row>
    <row r="134">
      <c r="A134" s="122">
        <f t="shared" ref="A134:E134" si="96">A11</f>
        <v>7</v>
      </c>
      <c r="B134" s="36" t="str">
        <f t="shared" si="96"/>
        <v>Vinaya Kajla</v>
      </c>
      <c r="C134" s="122" t="str">
        <f t="shared" si="96"/>
        <v/>
      </c>
      <c r="D134" s="122" t="str">
        <f t="shared" si="96"/>
        <v/>
      </c>
      <c r="E134" s="122">
        <f t="shared" si="96"/>
        <v>0</v>
      </c>
      <c r="F134" s="5"/>
    </row>
    <row r="135">
      <c r="A135" s="122">
        <f t="shared" ref="A135:E135" si="97">A12</f>
        <v>8</v>
      </c>
      <c r="B135" s="36" t="str">
        <f t="shared" si="97"/>
        <v>Ruben Ron</v>
      </c>
      <c r="C135" s="122" t="str">
        <f t="shared" si="97"/>
        <v/>
      </c>
      <c r="D135" s="122" t="str">
        <f t="shared" si="97"/>
        <v/>
      </c>
      <c r="E135" s="122">
        <f t="shared" si="97"/>
        <v>0</v>
      </c>
      <c r="F135" s="5"/>
    </row>
    <row r="136">
      <c r="A136" s="122">
        <f t="shared" ref="A136:E136" si="98">A13</f>
        <v>9</v>
      </c>
      <c r="B136" s="36" t="str">
        <f t="shared" si="98"/>
        <v>Camille Jung</v>
      </c>
      <c r="C136" s="122" t="str">
        <f t="shared" si="98"/>
        <v/>
      </c>
      <c r="D136" s="122" t="str">
        <f t="shared" si="98"/>
        <v/>
      </c>
      <c r="E136" s="122">
        <f t="shared" si="98"/>
        <v>0</v>
      </c>
      <c r="F136" s="5"/>
    </row>
    <row r="137">
      <c r="A137" s="122">
        <f t="shared" ref="A137:E137" si="99">A14</f>
        <v>10</v>
      </c>
      <c r="B137" s="36" t="str">
        <f t="shared" si="99"/>
        <v>Balaji Alahari</v>
      </c>
      <c r="C137" s="122" t="str">
        <f t="shared" si="99"/>
        <v/>
      </c>
      <c r="D137" s="122" t="str">
        <f t="shared" si="99"/>
        <v/>
      </c>
      <c r="E137" s="122">
        <f t="shared" si="99"/>
        <v>0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ASC"")"),"Alex Hou")</f>
        <v>Alex Hou</v>
      </c>
      <c r="C163" s="5"/>
      <c r="D163" s="5"/>
      <c r="E163" s="5"/>
      <c r="F163" s="5"/>
    </row>
    <row r="164">
      <c r="A164" s="122">
        <f t="shared" ref="A164:A243" si="100">if(B164&lt;&gt;"",A163+1,0)</f>
        <v>2</v>
      </c>
      <c r="B164" s="36" t="str">
        <f>IFERROR(__xludf.DUMMYFUNCTION("""COMPUTED_VALUE"""),"Allen Zhang")</f>
        <v>Allen Zhang</v>
      </c>
      <c r="C164" s="5"/>
      <c r="D164" s="5"/>
      <c r="E164" s="5"/>
      <c r="F164" s="5"/>
    </row>
    <row r="165">
      <c r="A165" s="122">
        <f t="shared" si="100"/>
        <v>3</v>
      </c>
      <c r="B165" s="36" t="str">
        <f>IFERROR(__xludf.DUMMYFUNCTION("""COMPUTED_VALUE"""),"Andrew Yao")</f>
        <v>Andrew Yao</v>
      </c>
      <c r="C165" s="5"/>
      <c r="D165" s="5"/>
      <c r="E165" s="5"/>
      <c r="F165" s="5"/>
      <c r="P165" s="36"/>
    </row>
    <row r="166">
      <c r="A166" s="122">
        <f t="shared" si="100"/>
        <v>4</v>
      </c>
      <c r="B166" s="36" t="str">
        <f>IFERROR(__xludf.DUMMYFUNCTION("""COMPUTED_VALUE"""),"Basudev Thoppai Vidyasankar")</f>
        <v>Basudev Thoppai Vidyasankar</v>
      </c>
      <c r="C166" s="5"/>
      <c r="D166" s="5"/>
      <c r="E166" s="5"/>
      <c r="F166" s="5"/>
    </row>
    <row r="167">
      <c r="A167" s="122">
        <f t="shared" si="100"/>
        <v>5</v>
      </c>
      <c r="B167" s="36" t="str">
        <f>IFERROR(__xludf.DUMMYFUNCTION("""COMPUTED_VALUE"""),"Charles Choi")</f>
        <v>Charles Choi</v>
      </c>
      <c r="C167" s="5"/>
      <c r="D167" s="5"/>
      <c r="E167" s="5"/>
      <c r="F167" s="5"/>
    </row>
    <row r="168">
      <c r="A168" s="122">
        <f t="shared" si="100"/>
        <v>6</v>
      </c>
      <c r="B168" s="36" t="str">
        <f>IFERROR(__xludf.DUMMYFUNCTION("""COMPUTED_VALUE"""),"Cid Macaraeg")</f>
        <v>Cid Macaraeg</v>
      </c>
      <c r="C168" s="5"/>
      <c r="D168" s="5"/>
      <c r="E168" s="5"/>
      <c r="F168" s="5"/>
    </row>
    <row r="169">
      <c r="A169" s="122">
        <f t="shared" si="100"/>
        <v>7</v>
      </c>
      <c r="B169" s="36" t="str">
        <f>IFERROR(__xludf.DUMMYFUNCTION("""COMPUTED_VALUE"""),"Coco Yan")</f>
        <v>Coco Yan</v>
      </c>
      <c r="C169" s="5"/>
      <c r="D169" s="5"/>
      <c r="E169" s="5"/>
      <c r="F169" s="5"/>
    </row>
    <row r="170">
      <c r="A170" s="122">
        <f t="shared" si="100"/>
        <v>8</v>
      </c>
      <c r="B170" s="36" t="str">
        <f>IFERROR(__xludf.DUMMYFUNCTION("""COMPUTED_VALUE"""),"Darren Wong")</f>
        <v>Darren Wong</v>
      </c>
      <c r="C170" s="5"/>
      <c r="D170" s="5"/>
      <c r="E170" s="5"/>
      <c r="F170" s="5"/>
    </row>
    <row r="171">
      <c r="A171" s="122">
        <f t="shared" si="100"/>
        <v>9</v>
      </c>
      <c r="B171" s="36" t="str">
        <f>IFERROR(__xludf.DUMMYFUNCTION("""COMPUTED_VALUE"""),"Elayaraja Thangaraj")</f>
        <v>Elayaraja Thangaraj</v>
      </c>
      <c r="C171" s="5"/>
      <c r="D171" s="5"/>
      <c r="E171" s="5"/>
      <c r="F171" s="5"/>
    </row>
    <row r="172">
      <c r="A172" s="122">
        <f t="shared" si="100"/>
        <v>10</v>
      </c>
      <c r="B172" s="36" t="str">
        <f>IFERROR(__xludf.DUMMYFUNCTION("""COMPUTED_VALUE"""),"Eric Pan")</f>
        <v>Eric Pan</v>
      </c>
      <c r="C172" s="5"/>
      <c r="D172" s="5"/>
      <c r="E172" s="5"/>
      <c r="F172" s="5"/>
    </row>
    <row r="173">
      <c r="A173" s="122">
        <f t="shared" si="100"/>
        <v>11</v>
      </c>
      <c r="B173" s="36" t="str">
        <f>IFERROR(__xludf.DUMMYFUNCTION("""COMPUTED_VALUE"""),"Eric Tan")</f>
        <v>Eric Tan</v>
      </c>
      <c r="C173" s="5"/>
      <c r="D173" s="5"/>
      <c r="E173" s="5"/>
      <c r="F173" s="5"/>
    </row>
    <row r="174">
      <c r="A174" s="122">
        <f t="shared" si="100"/>
        <v>12</v>
      </c>
      <c r="B174" s="36" t="str">
        <f>IFERROR(__xludf.DUMMYFUNCTION("""COMPUTED_VALUE"""),"Ethan Gu")</f>
        <v>Ethan Gu</v>
      </c>
      <c r="C174" s="5"/>
      <c r="D174" s="5"/>
      <c r="E174" s="5"/>
      <c r="F174" s="5"/>
    </row>
    <row r="175">
      <c r="A175" s="122">
        <f t="shared" si="100"/>
        <v>13</v>
      </c>
      <c r="B175" s="36" t="str">
        <f>IFERROR(__xludf.DUMMYFUNCTION("""COMPUTED_VALUE"""),"Frank Moon")</f>
        <v>Frank Moon</v>
      </c>
      <c r="C175" s="5"/>
      <c r="D175" s="5"/>
      <c r="E175" s="5"/>
      <c r="F175" s="5"/>
    </row>
    <row r="176">
      <c r="A176" s="122">
        <f t="shared" si="100"/>
        <v>14</v>
      </c>
      <c r="B176" s="36" t="str">
        <f>IFERROR(__xludf.DUMMYFUNCTION("""COMPUTED_VALUE"""),"Herman Au")</f>
        <v>Herman Au</v>
      </c>
      <c r="C176" s="5"/>
      <c r="D176" s="5"/>
      <c r="E176" s="5"/>
      <c r="F176" s="5"/>
    </row>
    <row r="177">
      <c r="A177" s="122">
        <f t="shared" si="100"/>
        <v>15</v>
      </c>
      <c r="B177" s="36" t="str">
        <f>IFERROR(__xludf.DUMMYFUNCTION("""COMPUTED_VALUE"""),"Hongyuan Wen")</f>
        <v>Hongyuan Wen</v>
      </c>
      <c r="C177" s="5"/>
      <c r="D177" s="5"/>
      <c r="E177" s="5"/>
      <c r="F177" s="5"/>
    </row>
    <row r="178">
      <c r="A178" s="122">
        <f t="shared" si="100"/>
        <v>16</v>
      </c>
      <c r="B178" s="36" t="str">
        <f>IFERROR(__xludf.DUMMYFUNCTION("""COMPUTED_VALUE"""),"Jaya Sogata")</f>
        <v>Jaya Sogata</v>
      </c>
      <c r="C178" s="5"/>
      <c r="D178" s="5"/>
      <c r="E178" s="5"/>
      <c r="F178" s="5"/>
    </row>
    <row r="179">
      <c r="A179" s="122">
        <f t="shared" si="100"/>
        <v>17</v>
      </c>
      <c r="B179" s="36" t="str">
        <f>IFERROR(__xludf.DUMMYFUNCTION("""COMPUTED_VALUE"""),"Jim Miao")</f>
        <v>Jim Miao</v>
      </c>
      <c r="C179" s="5"/>
      <c r="D179" s="5"/>
      <c r="E179" s="5"/>
      <c r="F179" s="5"/>
    </row>
    <row r="180">
      <c r="A180" s="122">
        <f t="shared" si="100"/>
        <v>18</v>
      </c>
      <c r="B180" s="36" t="str">
        <f>IFERROR(__xludf.DUMMYFUNCTION("""COMPUTED_VALUE"""),"Jimmy Awolesi")</f>
        <v>Jimmy Awolesi</v>
      </c>
      <c r="C180" s="5"/>
      <c r="D180" s="5"/>
      <c r="E180" s="5"/>
      <c r="F180" s="5"/>
    </row>
    <row r="181">
      <c r="A181" s="122">
        <f t="shared" si="100"/>
        <v>19</v>
      </c>
      <c r="B181" s="36" t="str">
        <f>IFERROR(__xludf.DUMMYFUNCTION("""COMPUTED_VALUE"""),"Joyce Zhu")</f>
        <v>Joyce Zhu</v>
      </c>
      <c r="C181" s="5"/>
      <c r="D181" s="5"/>
      <c r="E181" s="5"/>
      <c r="F181" s="5"/>
    </row>
    <row r="182">
      <c r="A182" s="122">
        <f t="shared" si="100"/>
        <v>20</v>
      </c>
      <c r="B182" s="36" t="str">
        <f>IFERROR(__xludf.DUMMYFUNCTION("""COMPUTED_VALUE"""),"Kumar Palakeel")</f>
        <v>Kumar Palakeel</v>
      </c>
      <c r="C182" s="5"/>
      <c r="D182" s="5"/>
      <c r="E182" s="5"/>
      <c r="F182" s="5"/>
    </row>
    <row r="183">
      <c r="A183" s="122">
        <f t="shared" si="100"/>
        <v>21</v>
      </c>
      <c r="B183" s="36" t="str">
        <f>IFERROR(__xludf.DUMMYFUNCTION("""COMPUTED_VALUE"""),"Lam Bui")</f>
        <v>Lam Bui</v>
      </c>
      <c r="C183" s="5"/>
      <c r="D183" s="5"/>
      <c r="E183" s="5"/>
      <c r="F183" s="5"/>
    </row>
    <row r="184">
      <c r="A184" s="122">
        <f t="shared" si="100"/>
        <v>22</v>
      </c>
      <c r="B184" s="36" t="str">
        <f>IFERROR(__xludf.DUMMYFUNCTION("""COMPUTED_VALUE"""),"Lloyd Sagar")</f>
        <v>Lloyd Sagar</v>
      </c>
      <c r="C184" s="5"/>
      <c r="D184" s="5"/>
      <c r="E184" s="5"/>
      <c r="F184" s="5"/>
    </row>
    <row r="185">
      <c r="A185" s="122">
        <f t="shared" si="100"/>
        <v>23</v>
      </c>
      <c r="B185" s="36" t="str">
        <f>IFERROR(__xludf.DUMMYFUNCTION("""COMPUTED_VALUE"""),"Mauricio Palacios")</f>
        <v>Mauricio Palacios</v>
      </c>
      <c r="C185" s="5"/>
      <c r="D185" s="5"/>
      <c r="E185" s="5"/>
      <c r="F185" s="5"/>
    </row>
    <row r="186">
      <c r="A186" s="122">
        <f t="shared" si="100"/>
        <v>24</v>
      </c>
      <c r="B186" s="36" t="str">
        <f>IFERROR(__xludf.DUMMYFUNCTION("""COMPUTED_VALUE"""),"Naveen Raj")</f>
        <v>Naveen Raj</v>
      </c>
      <c r="C186" s="5"/>
      <c r="D186" s="5"/>
      <c r="E186" s="5"/>
      <c r="F186" s="5"/>
    </row>
    <row r="187">
      <c r="A187" s="122">
        <f t="shared" si="100"/>
        <v>25</v>
      </c>
      <c r="B187" s="36" t="str">
        <f>IFERROR(__xludf.DUMMYFUNCTION("""COMPUTED_VALUE"""),"Nicole Ni")</f>
        <v>Nicole Ni</v>
      </c>
      <c r="C187" s="5"/>
      <c r="D187" s="5"/>
      <c r="E187" s="5"/>
      <c r="F187" s="5"/>
    </row>
    <row r="188">
      <c r="A188" s="122">
        <f t="shared" si="100"/>
        <v>26</v>
      </c>
      <c r="B188" s="36" t="str">
        <f>IFERROR(__xludf.DUMMYFUNCTION("""COMPUTED_VALUE"""),"Pavan Akkimsetty")</f>
        <v>Pavan Akkimsetty</v>
      </c>
      <c r="C188" s="5"/>
      <c r="D188" s="5"/>
      <c r="E188" s="5"/>
      <c r="F188" s="5"/>
    </row>
    <row r="189">
      <c r="A189" s="122">
        <f t="shared" si="100"/>
        <v>27</v>
      </c>
      <c r="B189" s="36" t="str">
        <f>IFERROR(__xludf.DUMMYFUNCTION("""COMPUTED_VALUE"""),"Pulkit Mathur")</f>
        <v>Pulkit Mathur</v>
      </c>
      <c r="C189" s="5"/>
      <c r="D189" s="5"/>
      <c r="E189" s="5"/>
      <c r="F189" s="5"/>
    </row>
    <row r="190">
      <c r="A190" s="122">
        <f t="shared" si="100"/>
        <v>28</v>
      </c>
      <c r="B190" s="36" t="str">
        <f>IFERROR(__xludf.DUMMYFUNCTION("""COMPUTED_VALUE"""),"Ranjith Doraiswamy")</f>
        <v>Ranjith Doraiswamy</v>
      </c>
      <c r="C190" s="5"/>
      <c r="D190" s="5"/>
      <c r="E190" s="5"/>
      <c r="F190" s="5"/>
    </row>
    <row r="191">
      <c r="A191" s="122">
        <f t="shared" si="100"/>
        <v>29</v>
      </c>
      <c r="B191" s="36" t="str">
        <f>IFERROR(__xludf.DUMMYFUNCTION("""COMPUTED_VALUE"""),"Robert Chang")</f>
        <v>Robert Chang</v>
      </c>
      <c r="C191" s="5"/>
      <c r="D191" s="5"/>
      <c r="E191" s="5"/>
      <c r="F191" s="5"/>
    </row>
    <row r="192">
      <c r="A192" s="122">
        <f t="shared" si="100"/>
        <v>30</v>
      </c>
      <c r="B192" s="36" t="str">
        <f>IFERROR(__xludf.DUMMYFUNCTION("""COMPUTED_VALUE"""),"Sandeep Kamalon")</f>
        <v>Sandeep Kamalon</v>
      </c>
      <c r="C192" s="5"/>
      <c r="D192" s="5"/>
      <c r="E192" s="5"/>
      <c r="F192" s="5"/>
    </row>
    <row r="193">
      <c r="A193" s="122">
        <f t="shared" si="100"/>
        <v>31</v>
      </c>
      <c r="B193" s="36" t="str">
        <f>IFERROR(__xludf.DUMMYFUNCTION("""COMPUTED_VALUE"""),"Sandy Weyant")</f>
        <v>Sandy Weyant</v>
      </c>
      <c r="C193" s="5"/>
      <c r="D193" s="5"/>
      <c r="E193" s="5"/>
      <c r="F193" s="5"/>
    </row>
    <row r="194">
      <c r="A194" s="122">
        <f t="shared" si="100"/>
        <v>32</v>
      </c>
      <c r="B194" s="36" t="str">
        <f>IFERROR(__xludf.DUMMYFUNCTION("""COMPUTED_VALUE"""),"Saravanan Veerapandian")</f>
        <v>Saravanan Veerapandian</v>
      </c>
      <c r="C194" s="5"/>
      <c r="D194" s="5"/>
      <c r="E194" s="5"/>
      <c r="F194" s="5"/>
    </row>
    <row r="195">
      <c r="A195" s="122">
        <f t="shared" si="100"/>
        <v>33</v>
      </c>
      <c r="B195" s="36" t="str">
        <f>IFERROR(__xludf.DUMMYFUNCTION("""COMPUTED_VALUE"""),"Suleman Alidina")</f>
        <v>Suleman Alidina</v>
      </c>
      <c r="C195" s="5"/>
      <c r="D195" s="5"/>
      <c r="E195" s="5"/>
      <c r="F195" s="5"/>
    </row>
    <row r="196">
      <c r="A196" s="122">
        <f t="shared" si="100"/>
        <v>34</v>
      </c>
      <c r="B196" s="36" t="str">
        <f>IFERROR(__xludf.DUMMYFUNCTION("""COMPUTED_VALUE"""),"Ted Shen")</f>
        <v>Ted Shen</v>
      </c>
      <c r="C196" s="5"/>
      <c r="D196" s="5"/>
      <c r="E196" s="5"/>
      <c r="F196" s="5"/>
    </row>
    <row r="197">
      <c r="A197" s="122">
        <f t="shared" si="100"/>
        <v>35</v>
      </c>
      <c r="B197" s="36" t="str">
        <f>IFERROR(__xludf.DUMMYFUNCTION("""COMPUTED_VALUE"""),"Tina Hanson")</f>
        <v>Tina Hanson</v>
      </c>
      <c r="C197" s="5"/>
      <c r="D197" s="5"/>
      <c r="E197" s="5"/>
      <c r="F197" s="5"/>
    </row>
    <row r="198">
      <c r="A198" s="122">
        <f t="shared" si="100"/>
        <v>36</v>
      </c>
      <c r="B198" s="36" t="str">
        <f>IFERROR(__xludf.DUMMYFUNCTION("""COMPUTED_VALUE"""),"Trish Newlin")</f>
        <v>Trish Newlin</v>
      </c>
      <c r="C198" s="5"/>
      <c r="D198" s="5"/>
      <c r="E198" s="5"/>
      <c r="F198" s="5"/>
    </row>
    <row r="199">
      <c r="A199" s="122">
        <f t="shared" si="100"/>
        <v>37</v>
      </c>
      <c r="B199" s="36" t="str">
        <f>IFERROR(__xludf.DUMMYFUNCTION("""COMPUTED_VALUE"""),"Vinaya Kajla")</f>
        <v>Vinaya Kajla</v>
      </c>
      <c r="C199" s="5"/>
      <c r="D199" s="5"/>
      <c r="E199" s="5"/>
      <c r="F199" s="5"/>
    </row>
    <row r="200">
      <c r="A200" s="122">
        <f t="shared" si="100"/>
        <v>38</v>
      </c>
      <c r="B200" s="36" t="str">
        <f>IFERROR(__xludf.DUMMYFUNCTION("""COMPUTED_VALUE"""),"Vinotkumar Nagappan")</f>
        <v>Vinotkumar Nagappan</v>
      </c>
      <c r="C200" s="5"/>
      <c r="D200" s="5"/>
      <c r="E200" s="5"/>
      <c r="F200" s="5"/>
    </row>
    <row r="201">
      <c r="A201" s="122">
        <f t="shared" si="100"/>
        <v>39</v>
      </c>
      <c r="B201" s="36" t="str">
        <f>IFERROR(__xludf.DUMMYFUNCTION("""COMPUTED_VALUE"""),"Vishnu Amarnath")</f>
        <v>Vishnu Amarnath</v>
      </c>
      <c r="C201" s="5"/>
      <c r="D201" s="5"/>
      <c r="E201" s="5"/>
      <c r="F201" s="5"/>
    </row>
    <row r="202">
      <c r="A202" s="122">
        <f t="shared" si="100"/>
        <v>40</v>
      </c>
      <c r="B202" s="36" t="str">
        <f>IFERROR(__xludf.DUMMYFUNCTION("""COMPUTED_VALUE"""),"Wayne Liu")</f>
        <v>Wayne Liu</v>
      </c>
      <c r="C202" s="5"/>
      <c r="D202" s="5"/>
      <c r="E202" s="5"/>
      <c r="F202" s="5"/>
    </row>
    <row r="203">
      <c r="A203" s="122">
        <f t="shared" si="100"/>
        <v>0</v>
      </c>
      <c r="B203" s="36"/>
      <c r="C203" s="5"/>
      <c r="D203" s="5"/>
      <c r="E203" s="5"/>
      <c r="F203" s="5"/>
    </row>
    <row r="204">
      <c r="A204" s="122">
        <f t="shared" si="100"/>
        <v>0</v>
      </c>
      <c r="B204" s="36"/>
      <c r="C204" s="5"/>
      <c r="D204" s="5"/>
      <c r="E204" s="5"/>
      <c r="F204" s="5"/>
    </row>
    <row r="205">
      <c r="A205" s="122">
        <f t="shared" si="100"/>
        <v>0</v>
      </c>
      <c r="B205" s="36"/>
      <c r="C205" s="5"/>
      <c r="D205" s="5"/>
      <c r="E205" s="5"/>
      <c r="F205" s="5"/>
    </row>
    <row r="206">
      <c r="A206" s="122">
        <f t="shared" si="100"/>
        <v>0</v>
      </c>
      <c r="B206" s="36"/>
      <c r="C206" s="5"/>
      <c r="D206" s="5"/>
      <c r="E206" s="5"/>
      <c r="F206" s="5"/>
    </row>
    <row r="207">
      <c r="A207" s="122">
        <f t="shared" si="100"/>
        <v>0</v>
      </c>
      <c r="B207" s="36"/>
      <c r="C207" s="5"/>
      <c r="D207" s="5"/>
      <c r="E207" s="5"/>
      <c r="F207" s="5"/>
    </row>
    <row r="208">
      <c r="A208" s="122">
        <f t="shared" si="100"/>
        <v>0</v>
      </c>
      <c r="B208" s="36"/>
      <c r="C208" s="5"/>
      <c r="D208" s="5"/>
      <c r="E208" s="5"/>
      <c r="F208" s="5"/>
    </row>
    <row r="209">
      <c r="A209" s="122">
        <f t="shared" si="100"/>
        <v>0</v>
      </c>
      <c r="B209" s="36"/>
      <c r="C209" s="5"/>
      <c r="D209" s="5"/>
      <c r="E209" s="5"/>
      <c r="F209" s="5"/>
    </row>
    <row r="210">
      <c r="A210" s="122">
        <f t="shared" si="100"/>
        <v>0</v>
      </c>
      <c r="B210" s="36"/>
      <c r="C210" s="5"/>
      <c r="D210" s="5"/>
      <c r="E210" s="5"/>
      <c r="F210" s="5"/>
    </row>
    <row r="211">
      <c r="A211" s="122">
        <f t="shared" si="100"/>
        <v>0</v>
      </c>
      <c r="B211" s="36"/>
      <c r="C211" s="5"/>
      <c r="D211" s="5"/>
      <c r="E211" s="5"/>
      <c r="F211" s="5"/>
    </row>
    <row r="212">
      <c r="A212" s="122">
        <f t="shared" si="100"/>
        <v>0</v>
      </c>
      <c r="B212" s="36"/>
      <c r="C212" s="5"/>
      <c r="D212" s="5"/>
      <c r="E212" s="5"/>
      <c r="F212" s="5"/>
    </row>
    <row r="213">
      <c r="A213" s="122">
        <f t="shared" si="100"/>
        <v>0</v>
      </c>
      <c r="B213" s="36"/>
      <c r="C213" s="5"/>
      <c r="D213" s="5"/>
      <c r="E213" s="5"/>
      <c r="F213" s="5"/>
    </row>
    <row r="214">
      <c r="A214" s="122">
        <f t="shared" si="100"/>
        <v>0</v>
      </c>
      <c r="B214" s="36"/>
      <c r="C214" s="5"/>
      <c r="D214" s="5"/>
      <c r="E214" s="5"/>
      <c r="F214" s="5"/>
    </row>
    <row r="215">
      <c r="A215" s="122">
        <f t="shared" si="100"/>
        <v>0</v>
      </c>
      <c r="B215" s="36"/>
      <c r="C215" s="5"/>
      <c r="D215" s="5"/>
      <c r="E215" s="5"/>
      <c r="F215" s="5"/>
    </row>
    <row r="216">
      <c r="A216" s="122">
        <f t="shared" si="100"/>
        <v>0</v>
      </c>
      <c r="B216" s="36"/>
      <c r="C216" s="5"/>
      <c r="D216" s="5"/>
      <c r="E216" s="5"/>
      <c r="F216" s="5"/>
    </row>
    <row r="217">
      <c r="A217" s="122">
        <f t="shared" si="100"/>
        <v>0</v>
      </c>
      <c r="B217" s="36"/>
      <c r="C217" s="5"/>
      <c r="D217" s="5"/>
      <c r="E217" s="5"/>
      <c r="F217" s="5"/>
    </row>
    <row r="218">
      <c r="A218" s="122">
        <f t="shared" si="100"/>
        <v>0</v>
      </c>
      <c r="B218" s="36"/>
      <c r="C218" s="5"/>
      <c r="D218" s="5"/>
      <c r="E218" s="5"/>
      <c r="F218" s="5"/>
    </row>
    <row r="219">
      <c r="A219" s="122">
        <f t="shared" si="100"/>
        <v>0</v>
      </c>
      <c r="B219" s="36"/>
      <c r="C219" s="5"/>
      <c r="D219" s="5"/>
      <c r="E219" s="5"/>
      <c r="F219" s="5"/>
    </row>
    <row r="220">
      <c r="A220" s="122">
        <f t="shared" si="100"/>
        <v>0</v>
      </c>
      <c r="B220" s="36"/>
      <c r="C220" s="5"/>
      <c r="D220" s="5"/>
      <c r="E220" s="5"/>
      <c r="F220" s="5"/>
    </row>
    <row r="221">
      <c r="A221" s="122">
        <f t="shared" si="100"/>
        <v>0</v>
      </c>
      <c r="B221" s="36"/>
      <c r="C221" s="5"/>
      <c r="D221" s="5"/>
      <c r="E221" s="5"/>
      <c r="F221" s="5"/>
    </row>
    <row r="222">
      <c r="A222" s="122">
        <f t="shared" si="100"/>
        <v>0</v>
      </c>
      <c r="B222" s="36"/>
      <c r="C222" s="5"/>
      <c r="D222" s="5"/>
      <c r="E222" s="5"/>
      <c r="F222" s="5"/>
    </row>
    <row r="223">
      <c r="A223" s="122">
        <f t="shared" si="100"/>
        <v>0</v>
      </c>
      <c r="B223" s="36"/>
      <c r="C223" s="5"/>
      <c r="D223" s="5"/>
      <c r="E223" s="5"/>
      <c r="F223" s="5"/>
    </row>
    <row r="224">
      <c r="A224" s="122">
        <f t="shared" si="100"/>
        <v>0</v>
      </c>
      <c r="B224" s="36"/>
      <c r="C224" s="5"/>
      <c r="D224" s="5"/>
      <c r="E224" s="5"/>
      <c r="F224" s="5"/>
    </row>
    <row r="225">
      <c r="A225" s="122">
        <f t="shared" si="100"/>
        <v>0</v>
      </c>
      <c r="B225" s="36"/>
      <c r="C225" s="5"/>
      <c r="D225" s="5"/>
      <c r="E225" s="5"/>
      <c r="F225" s="5"/>
    </row>
    <row r="226">
      <c r="A226" s="122">
        <f t="shared" si="100"/>
        <v>0</v>
      </c>
      <c r="B226" s="36"/>
      <c r="C226" s="5"/>
      <c r="D226" s="5"/>
      <c r="E226" s="5"/>
      <c r="F226" s="5"/>
    </row>
    <row r="227">
      <c r="A227" s="122">
        <f t="shared" si="100"/>
        <v>0</v>
      </c>
      <c r="B227" s="36"/>
      <c r="C227" s="5"/>
      <c r="D227" s="5"/>
      <c r="E227" s="5"/>
      <c r="F227" s="5"/>
    </row>
    <row r="228">
      <c r="A228" s="122">
        <f t="shared" si="100"/>
        <v>0</v>
      </c>
      <c r="B228" s="36"/>
      <c r="C228" s="5"/>
      <c r="D228" s="5"/>
      <c r="E228" s="5"/>
      <c r="F228" s="5"/>
    </row>
    <row r="229">
      <c r="A229" s="122">
        <f t="shared" si="100"/>
        <v>0</v>
      </c>
      <c r="B229" s="36"/>
      <c r="C229" s="5"/>
      <c r="D229" s="5"/>
      <c r="E229" s="5"/>
      <c r="F229" s="5"/>
    </row>
    <row r="230">
      <c r="A230" s="122">
        <f t="shared" si="100"/>
        <v>0</v>
      </c>
      <c r="B230" s="36"/>
      <c r="C230" s="5"/>
      <c r="D230" s="5"/>
      <c r="E230" s="5"/>
      <c r="F230" s="5"/>
    </row>
    <row r="231">
      <c r="A231" s="122">
        <f t="shared" si="100"/>
        <v>0</v>
      </c>
      <c r="B231" s="36"/>
      <c r="C231" s="5"/>
      <c r="D231" s="5"/>
      <c r="E231" s="5"/>
      <c r="F231" s="5"/>
    </row>
    <row r="232">
      <c r="A232" s="122">
        <f t="shared" si="100"/>
        <v>0</v>
      </c>
      <c r="B232" s="36"/>
      <c r="C232" s="5"/>
      <c r="D232" s="5"/>
      <c r="E232" s="5"/>
      <c r="F232" s="5"/>
    </row>
    <row r="233">
      <c r="A233" s="122">
        <f t="shared" si="100"/>
        <v>0</v>
      </c>
      <c r="B233" s="36"/>
      <c r="C233" s="5"/>
      <c r="D233" s="5"/>
      <c r="E233" s="5"/>
      <c r="F233" s="5"/>
    </row>
    <row r="234">
      <c r="A234" s="122">
        <f t="shared" si="100"/>
        <v>0</v>
      </c>
      <c r="B234" s="36"/>
      <c r="C234" s="5"/>
      <c r="D234" s="5"/>
      <c r="E234" s="5"/>
      <c r="F234" s="5"/>
    </row>
    <row r="235">
      <c r="A235" s="122">
        <f t="shared" si="100"/>
        <v>0</v>
      </c>
      <c r="B235" s="36"/>
      <c r="C235" s="5"/>
      <c r="D235" s="5"/>
      <c r="E235" s="5"/>
      <c r="F235" s="5"/>
    </row>
    <row r="236">
      <c r="A236" s="122">
        <f t="shared" si="100"/>
        <v>0</v>
      </c>
      <c r="B236" s="36"/>
      <c r="C236" s="5"/>
      <c r="D236" s="5"/>
      <c r="E236" s="5"/>
      <c r="F236" s="5"/>
    </row>
    <row r="237">
      <c r="A237" s="122">
        <f t="shared" si="100"/>
        <v>0</v>
      </c>
      <c r="B237" s="36"/>
      <c r="C237" s="5"/>
      <c r="D237" s="5"/>
      <c r="E237" s="5"/>
      <c r="F237" s="5"/>
    </row>
    <row r="238">
      <c r="A238" s="122">
        <f t="shared" si="100"/>
        <v>0</v>
      </c>
      <c r="B238" s="36"/>
      <c r="C238" s="5"/>
      <c r="D238" s="5"/>
      <c r="E238" s="5"/>
      <c r="F238" s="5"/>
    </row>
    <row r="239">
      <c r="A239" s="122">
        <f t="shared" si="100"/>
        <v>0</v>
      </c>
      <c r="B239" s="36"/>
      <c r="C239" s="5"/>
      <c r="D239" s="5"/>
      <c r="E239" s="5"/>
      <c r="F239" s="5"/>
    </row>
    <row r="240">
      <c r="A240" s="122">
        <f t="shared" si="100"/>
        <v>0</v>
      </c>
      <c r="B240" s="36"/>
      <c r="C240" s="5"/>
      <c r="D240" s="5"/>
      <c r="E240" s="5"/>
      <c r="F240" s="5"/>
    </row>
    <row r="241">
      <c r="A241" s="122">
        <f t="shared" si="100"/>
        <v>0</v>
      </c>
      <c r="B241" s="36"/>
      <c r="C241" s="5"/>
      <c r="D241" s="5"/>
      <c r="E241" s="5"/>
      <c r="F241" s="5"/>
    </row>
    <row r="242">
      <c r="A242" s="122">
        <f t="shared" si="100"/>
        <v>0</v>
      </c>
      <c r="B242" s="36"/>
      <c r="C242" s="5"/>
      <c r="D242" s="5"/>
      <c r="E242" s="5"/>
      <c r="F242" s="5"/>
    </row>
    <row r="243">
      <c r="A243" s="122">
        <f t="shared" si="100"/>
        <v>0</v>
      </c>
      <c r="B243" s="36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5"/>
      <c r="C249" s="5"/>
      <c r="D249" s="5"/>
      <c r="E249" s="5"/>
      <c r="F249" s="5"/>
    </row>
    <row r="250">
      <c r="A250" s="5"/>
      <c r="C250" s="5"/>
      <c r="D250" s="5"/>
      <c r="E250" s="5"/>
      <c r="F250" s="5"/>
    </row>
    <row r="251">
      <c r="A251" s="5"/>
      <c r="C251" s="5"/>
      <c r="D251" s="5"/>
      <c r="E251" s="5"/>
      <c r="F251" s="5"/>
    </row>
    <row r="252">
      <c r="A252" s="5"/>
      <c r="B252" s="127" t="str">
        <f>concatenate("Scores for : " &amp; AC2)</f>
        <v>Scores for : 01/03/26</v>
      </c>
      <c r="C252" s="5"/>
      <c r="D252" s="5"/>
      <c r="E252" s="5"/>
      <c r="F252" s="5"/>
    </row>
    <row r="253">
      <c r="A253" s="5"/>
      <c r="C253" s="5"/>
      <c r="D253" s="5"/>
      <c r="E253" s="5"/>
      <c r="F253" s="5"/>
    </row>
    <row r="254">
      <c r="A254" s="120" t="s">
        <v>0</v>
      </c>
      <c r="B254" s="120" t="s">
        <v>1</v>
      </c>
      <c r="C254" s="120" t="s">
        <v>12</v>
      </c>
      <c r="D254" s="120" t="s">
        <v>13</v>
      </c>
      <c r="E254" s="120" t="s">
        <v>15</v>
      </c>
      <c r="F254" s="120" t="s">
        <v>17</v>
      </c>
      <c r="G254" s="120" t="s">
        <v>9</v>
      </c>
    </row>
    <row r="255">
      <c r="A255" s="122" t="str">
        <f>IFERROR(__xludf.DUMMYFUNCTION("QUERY(indirect(AC2 &amp; ""!B5:M69""),""Select G, B, I, J, K,L, M where G &gt; 0 order by G asc"",0)"),"#N/A")</f>
        <v>#N/A</v>
      </c>
      <c r="B255" s="36"/>
      <c r="C255" s="132"/>
      <c r="D255" s="132"/>
      <c r="E255" s="132"/>
      <c r="F255" s="132"/>
      <c r="G255" s="132"/>
    </row>
    <row r="256">
      <c r="A256" s="122"/>
      <c r="B256" s="36"/>
      <c r="C256" s="132"/>
      <c r="D256" s="132"/>
      <c r="E256" s="132"/>
      <c r="F256" s="132"/>
      <c r="G256" s="132"/>
    </row>
    <row r="257">
      <c r="A257" s="122"/>
      <c r="B257" s="36"/>
      <c r="C257" s="132"/>
      <c r="D257" s="132"/>
      <c r="E257" s="132"/>
      <c r="F257" s="132"/>
      <c r="G257" s="132"/>
    </row>
    <row r="258">
      <c r="A258" s="122"/>
      <c r="B258" s="36"/>
      <c r="C258" s="132"/>
      <c r="D258" s="132"/>
      <c r="E258" s="132"/>
      <c r="F258" s="132"/>
      <c r="G258" s="132"/>
    </row>
    <row r="259">
      <c r="A259" s="133"/>
      <c r="B259" s="134"/>
      <c r="C259" s="135"/>
      <c r="D259" s="135"/>
      <c r="E259" s="135"/>
      <c r="F259" s="135"/>
      <c r="G259" s="135"/>
    </row>
    <row r="260">
      <c r="A260" s="133"/>
      <c r="B260" s="134"/>
      <c r="C260" s="135"/>
      <c r="D260" s="135"/>
      <c r="E260" s="135"/>
      <c r="F260" s="135"/>
      <c r="G260" s="135"/>
    </row>
    <row r="261">
      <c r="A261" s="133"/>
      <c r="B261" s="134"/>
      <c r="C261" s="135"/>
      <c r="D261" s="135"/>
      <c r="E261" s="135"/>
      <c r="F261" s="135"/>
      <c r="G261" s="135"/>
    </row>
    <row r="262">
      <c r="A262" s="133"/>
      <c r="B262" s="134"/>
      <c r="C262" s="135"/>
      <c r="D262" s="135"/>
      <c r="E262" s="135"/>
      <c r="F262" s="135"/>
      <c r="G262" s="135"/>
    </row>
    <row r="263">
      <c r="A263" s="122"/>
      <c r="B263" s="36"/>
      <c r="C263" s="132"/>
      <c r="D263" s="132"/>
      <c r="E263" s="132"/>
      <c r="F263" s="132"/>
      <c r="G263" s="132"/>
    </row>
    <row r="264">
      <c r="A264" s="122"/>
      <c r="B264" s="36"/>
      <c r="C264" s="132"/>
      <c r="D264" s="132"/>
      <c r="E264" s="132"/>
      <c r="F264" s="132"/>
      <c r="G264" s="132"/>
    </row>
    <row r="265">
      <c r="A265" s="122"/>
      <c r="B265" s="36"/>
      <c r="C265" s="132"/>
      <c r="D265" s="132"/>
      <c r="E265" s="132"/>
      <c r="F265" s="132"/>
      <c r="G265" s="132"/>
    </row>
    <row r="266">
      <c r="A266" s="122"/>
      <c r="B266" s="36"/>
      <c r="C266" s="132"/>
      <c r="D266" s="132"/>
      <c r="E266" s="132"/>
      <c r="F266" s="132"/>
      <c r="G266" s="132"/>
    </row>
    <row r="267">
      <c r="A267" s="133"/>
      <c r="B267" s="134"/>
      <c r="C267" s="135"/>
      <c r="D267" s="135"/>
      <c r="E267" s="135"/>
      <c r="F267" s="135"/>
      <c r="G267" s="135"/>
    </row>
    <row r="268">
      <c r="A268" s="133"/>
      <c r="B268" s="134"/>
      <c r="C268" s="135"/>
      <c r="D268" s="135"/>
      <c r="E268" s="135"/>
      <c r="F268" s="135"/>
      <c r="G268" s="135"/>
    </row>
    <row r="269">
      <c r="A269" s="133"/>
      <c r="B269" s="134"/>
      <c r="C269" s="135"/>
      <c r="D269" s="135"/>
      <c r="E269" s="135"/>
      <c r="F269" s="135"/>
      <c r="G269" s="135"/>
    </row>
    <row r="270">
      <c r="A270" s="133"/>
      <c r="B270" s="134"/>
      <c r="C270" s="135"/>
      <c r="D270" s="135"/>
      <c r="E270" s="135"/>
      <c r="F270" s="135"/>
      <c r="G270" s="135"/>
    </row>
    <row r="271">
      <c r="A271" s="122"/>
      <c r="B271" s="36"/>
      <c r="C271" s="132"/>
      <c r="D271" s="132"/>
      <c r="E271" s="132"/>
      <c r="F271" s="132"/>
      <c r="G271" s="132"/>
    </row>
    <row r="272">
      <c r="A272" s="122"/>
      <c r="B272" s="36"/>
      <c r="C272" s="132"/>
      <c r="D272" s="132"/>
      <c r="E272" s="132"/>
      <c r="F272" s="132"/>
      <c r="G272" s="132"/>
    </row>
    <row r="273">
      <c r="A273" s="122"/>
      <c r="B273" s="36"/>
      <c r="C273" s="132"/>
      <c r="D273" s="132"/>
      <c r="E273" s="132"/>
      <c r="F273" s="132"/>
      <c r="G273" s="132"/>
    </row>
    <row r="274">
      <c r="A274" s="122"/>
      <c r="B274" s="36"/>
      <c r="C274" s="132"/>
      <c r="D274" s="132"/>
      <c r="E274" s="132"/>
      <c r="F274" s="132"/>
      <c r="G274" s="132"/>
    </row>
    <row r="275">
      <c r="A275" s="133"/>
      <c r="B275" s="134"/>
      <c r="C275" s="135"/>
      <c r="D275" s="135"/>
      <c r="E275" s="135"/>
      <c r="F275" s="135"/>
      <c r="G275" s="135"/>
    </row>
    <row r="276">
      <c r="A276" s="133"/>
      <c r="B276" s="134"/>
      <c r="C276" s="135"/>
      <c r="D276" s="135"/>
      <c r="E276" s="135"/>
      <c r="F276" s="135"/>
      <c r="G276" s="135"/>
    </row>
    <row r="277">
      <c r="A277" s="133"/>
      <c r="B277" s="134"/>
      <c r="C277" s="135"/>
      <c r="D277" s="135"/>
      <c r="E277" s="135"/>
      <c r="F277" s="135"/>
      <c r="G277" s="135"/>
    </row>
    <row r="278">
      <c r="A278" s="133"/>
      <c r="B278" s="134"/>
      <c r="C278" s="135"/>
      <c r="D278" s="135"/>
      <c r="E278" s="135"/>
      <c r="F278" s="135"/>
      <c r="G278" s="135"/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133"/>
      <c r="B291" s="134"/>
      <c r="C291" s="135"/>
      <c r="D291" s="135"/>
      <c r="E291" s="135"/>
      <c r="F291" s="135"/>
      <c r="G291" s="135"/>
    </row>
    <row r="292">
      <c r="A292" s="133"/>
      <c r="B292" s="134"/>
      <c r="C292" s="135"/>
      <c r="D292" s="135"/>
      <c r="E292" s="135"/>
      <c r="F292" s="135"/>
      <c r="G292" s="135"/>
    </row>
    <row r="293">
      <c r="A293" s="133"/>
      <c r="B293" s="134"/>
      <c r="C293" s="135"/>
      <c r="D293" s="135"/>
      <c r="E293" s="135"/>
      <c r="F293" s="135"/>
      <c r="G293" s="135"/>
    </row>
    <row r="294">
      <c r="A294" s="133"/>
      <c r="B294" s="134"/>
      <c r="C294" s="135"/>
      <c r="D294" s="135"/>
      <c r="E294" s="135"/>
      <c r="F294" s="135"/>
      <c r="G294" s="135"/>
    </row>
    <row r="295">
      <c r="A295" s="122"/>
      <c r="B295" s="36"/>
      <c r="C295" s="132"/>
      <c r="D295" s="132"/>
      <c r="E295" s="132"/>
      <c r="F295" s="132"/>
      <c r="G295" s="132"/>
    </row>
    <row r="296">
      <c r="A296" s="122"/>
      <c r="B296" s="36"/>
      <c r="C296" s="132"/>
      <c r="D296" s="132"/>
      <c r="E296" s="132"/>
      <c r="F296" s="132"/>
      <c r="G296" s="132"/>
    </row>
    <row r="297">
      <c r="A297" s="122"/>
      <c r="B297" s="36"/>
      <c r="C297" s="132"/>
      <c r="D297" s="132"/>
      <c r="E297" s="132"/>
      <c r="F297" s="132"/>
      <c r="G297" s="132"/>
    </row>
    <row r="298">
      <c r="A298" s="122"/>
      <c r="B298" s="36"/>
      <c r="C298" s="132"/>
      <c r="D298" s="132"/>
      <c r="E298" s="132"/>
      <c r="F298" s="132"/>
      <c r="G298" s="132"/>
    </row>
    <row r="299">
      <c r="A299" s="5"/>
      <c r="C299" s="5"/>
      <c r="D299" s="5"/>
      <c r="E299" s="5"/>
      <c r="F299" s="5"/>
    </row>
    <row r="300">
      <c r="A300" s="5"/>
      <c r="C300" s="5"/>
      <c r="D300" s="5"/>
      <c r="E300" s="5"/>
      <c r="F300" s="5"/>
    </row>
    <row r="301">
      <c r="A301" s="5"/>
      <c r="C301" s="5"/>
      <c r="D301" s="5"/>
      <c r="E301" s="5"/>
      <c r="F301" s="5"/>
    </row>
    <row r="302">
      <c r="A302" s="43"/>
      <c r="B302" s="134" t="s">
        <v>201</v>
      </c>
      <c r="C302" s="5"/>
      <c r="D302" s="115" t="s">
        <v>177</v>
      </c>
      <c r="E302" s="25"/>
      <c r="F302" s="26"/>
    </row>
    <row r="303">
      <c r="A303" s="136">
        <v>1.0</v>
      </c>
      <c r="B303" s="137" t="str">
        <f>IFERROR(__xludf.DUMMYFUNCTION("QUERY(B5:R68,""Select B where R = 'X' order by B asc"",0)"),"Adrian Tay")</f>
        <v>Adrian Tay</v>
      </c>
      <c r="C303" s="5"/>
      <c r="D303" s="139" t="str">
        <f>IFERROR(__xludf.DUMMYFUNCTION("QUERY(B5:R68,""Select B where R = '' order by B asc"",0)"),"#N/A")</f>
        <v>#N/A</v>
      </c>
      <c r="E303" s="25"/>
      <c r="F303" s="26"/>
    </row>
    <row r="304">
      <c r="A304" s="136">
        <f t="shared" ref="A304:A367" si="101">A303+1</f>
        <v>2</v>
      </c>
      <c r="B304" s="137" t="str">
        <f>IFERROR(__xludf.DUMMYFUNCTION("""COMPUTED_VALUE"""),"Alejandro Mejia")</f>
        <v>Alejandro Mejia</v>
      </c>
      <c r="C304" s="5"/>
      <c r="D304" s="139"/>
      <c r="E304" s="25"/>
      <c r="F304" s="26"/>
    </row>
    <row r="305">
      <c r="A305" s="136">
        <f t="shared" si="101"/>
        <v>3</v>
      </c>
      <c r="B305" s="137" t="str">
        <f>IFERROR(__xludf.DUMMYFUNCTION("""COMPUTED_VALUE"""),"Alex Hou")</f>
        <v>Alex Hou</v>
      </c>
      <c r="C305" s="5"/>
      <c r="D305" s="139"/>
      <c r="E305" s="25"/>
      <c r="F305" s="26"/>
    </row>
    <row r="306">
      <c r="A306" s="136">
        <f t="shared" si="101"/>
        <v>4</v>
      </c>
      <c r="B306" s="137" t="str">
        <f>IFERROR(__xludf.DUMMYFUNCTION("""COMPUTED_VALUE"""),"Allen Zhang")</f>
        <v>Allen Zhang</v>
      </c>
      <c r="C306" s="5"/>
      <c r="D306" s="139"/>
      <c r="E306" s="25"/>
      <c r="F306" s="26"/>
    </row>
    <row r="307">
      <c r="A307" s="136">
        <f t="shared" si="101"/>
        <v>5</v>
      </c>
      <c r="B307" s="137" t="str">
        <f>IFERROR(__xludf.DUMMYFUNCTION("""COMPUTED_VALUE"""),"Andrew Yao")</f>
        <v>Andrew Yao</v>
      </c>
      <c r="C307" s="5"/>
      <c r="D307" s="139"/>
      <c r="E307" s="25"/>
      <c r="F307" s="26"/>
    </row>
    <row r="308">
      <c r="A308" s="136">
        <f t="shared" si="101"/>
        <v>6</v>
      </c>
      <c r="B308" s="137" t="str">
        <f>IFERROR(__xludf.DUMMYFUNCTION("""COMPUTED_VALUE"""),"Art Hui")</f>
        <v>Art Hui</v>
      </c>
      <c r="C308" s="5"/>
      <c r="D308" s="139"/>
      <c r="E308" s="25"/>
      <c r="F308" s="26"/>
    </row>
    <row r="309">
      <c r="A309" s="136">
        <f t="shared" si="101"/>
        <v>7</v>
      </c>
      <c r="B309" s="137" t="str">
        <f>IFERROR(__xludf.DUMMYFUNCTION("""COMPUTED_VALUE"""),"Balaji Alahari")</f>
        <v>Balaji Alahari</v>
      </c>
      <c r="C309" s="5"/>
      <c r="D309" s="139"/>
      <c r="E309" s="25"/>
      <c r="F309" s="26"/>
    </row>
    <row r="310">
      <c r="A310" s="136">
        <f t="shared" si="101"/>
        <v>8</v>
      </c>
      <c r="B310" s="137" t="str">
        <f>IFERROR(__xludf.DUMMYFUNCTION("""COMPUTED_VALUE"""),"Basudev Thoppai Vidyasankar")</f>
        <v>Basudev Thoppai Vidyasankar</v>
      </c>
      <c r="C310" s="5"/>
      <c r="D310" s="139"/>
      <c r="E310" s="25"/>
      <c r="F310" s="26"/>
    </row>
    <row r="311">
      <c r="A311" s="136">
        <f t="shared" si="101"/>
        <v>9</v>
      </c>
      <c r="B311" s="137" t="str">
        <f>IFERROR(__xludf.DUMMYFUNCTION("""COMPUTED_VALUE"""),"Camille Jung")</f>
        <v>Camille Jung</v>
      </c>
      <c r="C311" s="5"/>
      <c r="D311" s="139"/>
      <c r="E311" s="25"/>
      <c r="F311" s="26"/>
    </row>
    <row r="312">
      <c r="A312" s="136">
        <f t="shared" si="101"/>
        <v>10</v>
      </c>
      <c r="B312" s="137" t="str">
        <f>IFERROR(__xludf.DUMMYFUNCTION("""COMPUTED_VALUE"""),"Charles Choi")</f>
        <v>Charles Choi</v>
      </c>
      <c r="C312" s="5"/>
      <c r="D312" s="139"/>
      <c r="E312" s="25"/>
      <c r="F312" s="26"/>
    </row>
    <row r="313">
      <c r="A313" s="136">
        <f t="shared" si="101"/>
        <v>11</v>
      </c>
      <c r="B313" s="137" t="str">
        <f>IFERROR(__xludf.DUMMYFUNCTION("""COMPUTED_VALUE"""),"Chinna Ponnaganti")</f>
        <v>Chinna Ponnaganti</v>
      </c>
      <c r="C313" s="5"/>
      <c r="D313" s="139"/>
      <c r="E313" s="25"/>
      <c r="F313" s="26"/>
    </row>
    <row r="314">
      <c r="A314" s="136">
        <f t="shared" si="101"/>
        <v>12</v>
      </c>
      <c r="B314" s="137" t="str">
        <f>IFERROR(__xludf.DUMMYFUNCTION("""COMPUTED_VALUE"""),"Coco Yan")</f>
        <v>Coco Yan</v>
      </c>
      <c r="C314" s="5"/>
      <c r="D314" s="139"/>
      <c r="E314" s="25"/>
      <c r="F314" s="26"/>
    </row>
    <row r="315">
      <c r="A315" s="136">
        <f t="shared" si="101"/>
        <v>13</v>
      </c>
      <c r="B315" s="137" t="str">
        <f>IFERROR(__xludf.DUMMYFUNCTION("""COMPUTED_VALUE"""),"David Shin")</f>
        <v>David Shin</v>
      </c>
      <c r="C315" s="5"/>
      <c r="D315" s="139"/>
      <c r="E315" s="25"/>
      <c r="F315" s="26"/>
    </row>
    <row r="316">
      <c r="A316" s="136">
        <f t="shared" si="101"/>
        <v>14</v>
      </c>
      <c r="B316" s="137" t="str">
        <f>IFERROR(__xludf.DUMMYFUNCTION("""COMPUTED_VALUE"""),"Elayaraja Thangaraj")</f>
        <v>Elayaraja Thangaraj</v>
      </c>
      <c r="C316" s="5"/>
      <c r="D316" s="139"/>
      <c r="E316" s="25"/>
      <c r="F316" s="26"/>
    </row>
    <row r="317">
      <c r="A317" s="136">
        <f t="shared" si="101"/>
        <v>15</v>
      </c>
      <c r="B317" s="137" t="str">
        <f>IFERROR(__xludf.DUMMYFUNCTION("""COMPUTED_VALUE"""),"Eric Pan")</f>
        <v>Eric Pan</v>
      </c>
      <c r="C317" s="5"/>
      <c r="D317" s="139"/>
      <c r="E317" s="25"/>
      <c r="F317" s="26"/>
    </row>
    <row r="318">
      <c r="A318" s="136">
        <f t="shared" si="101"/>
        <v>16</v>
      </c>
      <c r="B318" s="137" t="str">
        <f>IFERROR(__xludf.DUMMYFUNCTION("""COMPUTED_VALUE"""),"Eric Tan")</f>
        <v>Eric Tan</v>
      </c>
      <c r="C318" s="5"/>
      <c r="D318" s="139"/>
      <c r="E318" s="25"/>
      <c r="F318" s="26"/>
    </row>
    <row r="319">
      <c r="A319" s="136">
        <f t="shared" si="101"/>
        <v>17</v>
      </c>
      <c r="B319" s="137" t="str">
        <f>IFERROR(__xludf.DUMMYFUNCTION("""COMPUTED_VALUE"""),"Ethan Gu")</f>
        <v>Ethan Gu</v>
      </c>
      <c r="C319" s="5"/>
      <c r="D319" s="139"/>
      <c r="E319" s="25"/>
      <c r="F319" s="26"/>
    </row>
    <row r="320">
      <c r="A320" s="136">
        <f t="shared" si="101"/>
        <v>18</v>
      </c>
      <c r="B320" s="137" t="str">
        <f>IFERROR(__xludf.DUMMYFUNCTION("""COMPUTED_VALUE"""),"Frank Moon")</f>
        <v>Frank Moon</v>
      </c>
      <c r="C320" s="5"/>
      <c r="D320" s="139"/>
      <c r="E320" s="25"/>
      <c r="F320" s="26"/>
    </row>
    <row r="321">
      <c r="A321" s="136">
        <f t="shared" si="101"/>
        <v>19</v>
      </c>
      <c r="B321" s="137" t="str">
        <f>IFERROR(__xludf.DUMMYFUNCTION("""COMPUTED_VALUE"""),"Herman Au")</f>
        <v>Herman Au</v>
      </c>
      <c r="C321" s="5"/>
      <c r="D321" s="139"/>
      <c r="E321" s="25"/>
      <c r="F321" s="26"/>
    </row>
    <row r="322">
      <c r="A322" s="136">
        <f t="shared" si="101"/>
        <v>20</v>
      </c>
      <c r="B322" s="137" t="str">
        <f>IFERROR(__xludf.DUMMYFUNCTION("""COMPUTED_VALUE"""),"Hongyuan Wen")</f>
        <v>Hongyuan Wen</v>
      </c>
      <c r="C322" s="5"/>
      <c r="D322" s="139"/>
      <c r="E322" s="25"/>
      <c r="F322" s="26"/>
    </row>
    <row r="323">
      <c r="A323" s="136">
        <f t="shared" si="101"/>
        <v>21</v>
      </c>
      <c r="B323" s="137" t="str">
        <f>IFERROR(__xludf.DUMMYFUNCTION("""COMPUTED_VALUE"""),"Hubert J Sung")</f>
        <v>Hubert J Sung</v>
      </c>
      <c r="C323" s="5"/>
      <c r="D323" s="139"/>
      <c r="E323" s="25"/>
      <c r="F323" s="26"/>
    </row>
    <row r="324">
      <c r="A324" s="136">
        <f t="shared" si="101"/>
        <v>22</v>
      </c>
      <c r="B324" s="137" t="str">
        <f>IFERROR(__xludf.DUMMYFUNCTION("""COMPUTED_VALUE"""),"James Phan")</f>
        <v>James Phan</v>
      </c>
      <c r="C324" s="5"/>
      <c r="D324" s="139"/>
      <c r="E324" s="25"/>
      <c r="F324" s="26"/>
    </row>
    <row r="325">
      <c r="A325" s="136">
        <f t="shared" si="101"/>
        <v>23</v>
      </c>
      <c r="B325" s="137" t="str">
        <f>IFERROR(__xludf.DUMMYFUNCTION("""COMPUTED_VALUE"""),"Jaya Sogata")</f>
        <v>Jaya Sogata</v>
      </c>
      <c r="C325" s="5"/>
      <c r="D325" s="139"/>
      <c r="E325" s="25"/>
      <c r="F325" s="26"/>
    </row>
    <row r="326">
      <c r="A326" s="136">
        <f t="shared" si="101"/>
        <v>24</v>
      </c>
      <c r="B326" s="137" t="str">
        <f>IFERROR(__xludf.DUMMYFUNCTION("""COMPUTED_VALUE"""),"Jim Miao")</f>
        <v>Jim Miao</v>
      </c>
      <c r="C326" s="5"/>
      <c r="D326" s="139"/>
      <c r="E326" s="25"/>
      <c r="F326" s="26"/>
    </row>
    <row r="327">
      <c r="A327" s="136">
        <f t="shared" si="101"/>
        <v>25</v>
      </c>
      <c r="B327" s="137" t="str">
        <f>IFERROR(__xludf.DUMMYFUNCTION("""COMPUTED_VALUE"""),"Jimmy Awolesi")</f>
        <v>Jimmy Awolesi</v>
      </c>
      <c r="C327" s="5"/>
      <c r="D327" s="139"/>
      <c r="E327" s="25"/>
      <c r="F327" s="26"/>
    </row>
    <row r="328">
      <c r="A328" s="136">
        <f t="shared" si="101"/>
        <v>26</v>
      </c>
      <c r="B328" s="137" t="str">
        <f>IFERROR(__xludf.DUMMYFUNCTION("""COMPUTED_VALUE"""),"Jonathan Phan")</f>
        <v>Jonathan Phan</v>
      </c>
      <c r="C328" s="5"/>
      <c r="D328" s="139"/>
      <c r="E328" s="25"/>
      <c r="F328" s="26"/>
    </row>
    <row r="329">
      <c r="A329" s="136">
        <f t="shared" si="101"/>
        <v>27</v>
      </c>
      <c r="B329" s="137" t="str">
        <f>IFERROR(__xludf.DUMMYFUNCTION("""COMPUTED_VALUE"""),"Jordan Tatang")</f>
        <v>Jordan Tatang</v>
      </c>
      <c r="C329" s="5"/>
      <c r="D329" s="139"/>
      <c r="E329" s="25"/>
      <c r="F329" s="26"/>
    </row>
    <row r="330">
      <c r="A330" s="136">
        <f t="shared" si="101"/>
        <v>28</v>
      </c>
      <c r="B330" s="137" t="str">
        <f>IFERROR(__xludf.DUMMYFUNCTION("""COMPUTED_VALUE"""),"Joyce Zhu")</f>
        <v>Joyce Zhu</v>
      </c>
      <c r="C330" s="5"/>
      <c r="D330" s="139"/>
      <c r="E330" s="25"/>
      <c r="F330" s="26"/>
    </row>
    <row r="331">
      <c r="A331" s="136">
        <f t="shared" si="101"/>
        <v>29</v>
      </c>
      <c r="B331" s="137" t="str">
        <f>IFERROR(__xludf.DUMMYFUNCTION("""COMPUTED_VALUE"""),"Kumar Palakeel")</f>
        <v>Kumar Palakeel</v>
      </c>
      <c r="C331" s="5"/>
      <c r="D331" s="139"/>
      <c r="E331" s="25"/>
      <c r="F331" s="26"/>
    </row>
    <row r="332">
      <c r="A332" s="136">
        <f t="shared" si="101"/>
        <v>30</v>
      </c>
      <c r="B332" s="137" t="str">
        <f>IFERROR(__xludf.DUMMYFUNCTION("""COMPUTED_VALUE"""),"Lam Bui")</f>
        <v>Lam Bui</v>
      </c>
      <c r="C332" s="5"/>
      <c r="D332" s="139"/>
      <c r="E332" s="25"/>
      <c r="F332" s="26"/>
    </row>
    <row r="333">
      <c r="A333" s="136">
        <f t="shared" si="101"/>
        <v>31</v>
      </c>
      <c r="B333" s="137" t="str">
        <f>IFERROR(__xludf.DUMMYFUNCTION("""COMPUTED_VALUE"""),"Leigh-Anh Nguyen")</f>
        <v>Leigh-Anh Nguyen</v>
      </c>
      <c r="C333" s="5"/>
      <c r="D333" s="139"/>
      <c r="E333" s="25"/>
      <c r="F333" s="26"/>
    </row>
    <row r="334">
      <c r="A334" s="136">
        <f t="shared" si="101"/>
        <v>32</v>
      </c>
      <c r="B334" s="137" t="str">
        <f>IFERROR(__xludf.DUMMYFUNCTION("""COMPUTED_VALUE"""),"Lloyd Sagar")</f>
        <v>Lloyd Sagar</v>
      </c>
      <c r="C334" s="5"/>
      <c r="D334" s="139"/>
      <c r="E334" s="25"/>
      <c r="F334" s="26"/>
    </row>
    <row r="335">
      <c r="A335" s="136">
        <f t="shared" si="101"/>
        <v>33</v>
      </c>
      <c r="B335" s="137" t="str">
        <f>IFERROR(__xludf.DUMMYFUNCTION("""COMPUTED_VALUE"""),"Luis Hsu")</f>
        <v>Luis Hsu</v>
      </c>
      <c r="C335" s="5"/>
      <c r="D335" s="139"/>
      <c r="E335" s="25"/>
      <c r="F335" s="26"/>
    </row>
    <row r="336">
      <c r="A336" s="136">
        <f t="shared" si="101"/>
        <v>34</v>
      </c>
      <c r="B336" s="137" t="str">
        <f>IFERROR(__xludf.DUMMYFUNCTION("""COMPUTED_VALUE"""),"Manish Anand")</f>
        <v>Manish Anand</v>
      </c>
      <c r="C336" s="5"/>
      <c r="D336" s="139"/>
      <c r="E336" s="25"/>
      <c r="F336" s="26"/>
    </row>
    <row r="337">
      <c r="A337" s="136">
        <f t="shared" si="101"/>
        <v>35</v>
      </c>
      <c r="B337" s="137" t="str">
        <f>IFERROR(__xludf.DUMMYFUNCTION("""COMPUTED_VALUE"""),"Manuel Rivera")</f>
        <v>Manuel Rivera</v>
      </c>
      <c r="C337" s="5"/>
      <c r="D337" s="139"/>
      <c r="E337" s="25"/>
      <c r="F337" s="26"/>
    </row>
    <row r="338">
      <c r="A338" s="136">
        <f t="shared" si="101"/>
        <v>36</v>
      </c>
      <c r="B338" s="137" t="str">
        <f>IFERROR(__xludf.DUMMYFUNCTION("""COMPUTED_VALUE"""),"Matthew Huang")</f>
        <v>Matthew Huang</v>
      </c>
      <c r="C338" s="5"/>
      <c r="D338" s="139"/>
      <c r="E338" s="25"/>
      <c r="F338" s="26"/>
    </row>
    <row r="339">
      <c r="A339" s="136">
        <f t="shared" si="101"/>
        <v>37</v>
      </c>
      <c r="B339" s="137" t="str">
        <f>IFERROR(__xludf.DUMMYFUNCTION("""COMPUTED_VALUE"""),"Mauricio Palacios")</f>
        <v>Mauricio Palacios</v>
      </c>
      <c r="C339" s="5"/>
      <c r="D339" s="139"/>
      <c r="E339" s="25"/>
      <c r="F339" s="26"/>
    </row>
    <row r="340">
      <c r="A340" s="136">
        <f t="shared" si="101"/>
        <v>38</v>
      </c>
      <c r="B340" s="137" t="str">
        <f>IFERROR(__xludf.DUMMYFUNCTION("""COMPUTED_VALUE"""),"Naveen Raj")</f>
        <v>Naveen Raj</v>
      </c>
      <c r="C340" s="5"/>
      <c r="D340" s="139"/>
      <c r="E340" s="25"/>
      <c r="F340" s="26"/>
    </row>
    <row r="341">
      <c r="A341" s="136">
        <f t="shared" si="101"/>
        <v>39</v>
      </c>
      <c r="B341" s="137" t="str">
        <f>IFERROR(__xludf.DUMMYFUNCTION("""COMPUTED_VALUE"""),"Nicole Ni")</f>
        <v>Nicole Ni</v>
      </c>
      <c r="C341" s="5"/>
      <c r="D341" s="139"/>
      <c r="E341" s="25"/>
      <c r="F341" s="26"/>
    </row>
    <row r="342">
      <c r="A342" s="136">
        <f t="shared" si="101"/>
        <v>40</v>
      </c>
      <c r="B342" s="137" t="str">
        <f>IFERROR(__xludf.DUMMYFUNCTION("""COMPUTED_VALUE"""),"Oscar Bonilla")</f>
        <v>Oscar Bonilla</v>
      </c>
      <c r="C342" s="5"/>
      <c r="D342" s="139"/>
      <c r="E342" s="25"/>
      <c r="F342" s="26"/>
    </row>
    <row r="343">
      <c r="A343" s="136">
        <f t="shared" si="101"/>
        <v>41</v>
      </c>
      <c r="B343" s="137" t="str">
        <f>IFERROR(__xludf.DUMMYFUNCTION("""COMPUTED_VALUE"""),"Pulkit Mathur")</f>
        <v>Pulkit Mathur</v>
      </c>
      <c r="C343" s="5"/>
      <c r="D343" s="139"/>
      <c r="E343" s="25"/>
      <c r="F343" s="26"/>
    </row>
    <row r="344">
      <c r="A344" s="136">
        <f t="shared" si="101"/>
        <v>42</v>
      </c>
      <c r="B344" s="137" t="str">
        <f>IFERROR(__xludf.DUMMYFUNCTION("""COMPUTED_VALUE"""),"Rajasekar Ramasamy")</f>
        <v>Rajasekar Ramasamy</v>
      </c>
      <c r="C344" s="5"/>
      <c r="D344" s="139"/>
      <c r="E344" s="25"/>
      <c r="F344" s="26"/>
    </row>
    <row r="345">
      <c r="A345" s="136">
        <f t="shared" si="101"/>
        <v>43</v>
      </c>
      <c r="B345" s="137" t="str">
        <f>IFERROR(__xludf.DUMMYFUNCTION("""COMPUTED_VALUE"""),"Rajesh Dorairaj")</f>
        <v>Rajesh Dorairaj</v>
      </c>
      <c r="C345" s="5"/>
      <c r="D345" s="139"/>
      <c r="E345" s="25"/>
      <c r="F345" s="26"/>
    </row>
    <row r="346">
      <c r="A346" s="136">
        <f t="shared" si="101"/>
        <v>44</v>
      </c>
      <c r="B346" s="137" t="str">
        <f>IFERROR(__xludf.DUMMYFUNCTION("""COMPUTED_VALUE"""),"Ranjith Doraiswamy")</f>
        <v>Ranjith Doraiswamy</v>
      </c>
      <c r="C346" s="5"/>
      <c r="D346" s="139"/>
      <c r="E346" s="25"/>
      <c r="F346" s="26"/>
    </row>
    <row r="347">
      <c r="A347" s="136">
        <f t="shared" si="101"/>
        <v>45</v>
      </c>
      <c r="B347" s="137" t="str">
        <f>IFERROR(__xludf.DUMMYFUNCTION("""COMPUTED_VALUE"""),"Robert Chang")</f>
        <v>Robert Chang</v>
      </c>
      <c r="C347" s="5"/>
      <c r="D347" s="139"/>
      <c r="E347" s="25"/>
      <c r="F347" s="26"/>
    </row>
    <row r="348">
      <c r="A348" s="136">
        <f t="shared" si="101"/>
        <v>46</v>
      </c>
      <c r="B348" s="137" t="str">
        <f>IFERROR(__xludf.DUMMYFUNCTION("""COMPUTED_VALUE"""),"Ruben Ron")</f>
        <v>Ruben Ron</v>
      </c>
      <c r="C348" s="5"/>
      <c r="D348" s="139"/>
      <c r="E348" s="25"/>
      <c r="F348" s="26"/>
    </row>
    <row r="349">
      <c r="A349" s="136">
        <f t="shared" si="101"/>
        <v>47</v>
      </c>
      <c r="B349" s="137" t="str">
        <f>IFERROR(__xludf.DUMMYFUNCTION("""COMPUTED_VALUE"""),"Rudy Tatang")</f>
        <v>Rudy Tatang</v>
      </c>
      <c r="C349" s="5"/>
      <c r="D349" s="139"/>
      <c r="E349" s="25"/>
      <c r="F349" s="26"/>
    </row>
    <row r="350">
      <c r="A350" s="136">
        <f t="shared" si="101"/>
        <v>48</v>
      </c>
      <c r="B350" s="137" t="str">
        <f>IFERROR(__xludf.DUMMYFUNCTION("""COMPUTED_VALUE"""),"Sandy Weyant")</f>
        <v>Sandy Weyant</v>
      </c>
      <c r="C350" s="5"/>
      <c r="D350" s="139"/>
      <c r="E350" s="25"/>
      <c r="F350" s="26"/>
    </row>
    <row r="351">
      <c r="A351" s="136">
        <f t="shared" si="101"/>
        <v>49</v>
      </c>
      <c r="B351" s="137" t="str">
        <f>IFERROR(__xludf.DUMMYFUNCTION("""COMPUTED_VALUE"""),"Sanjaye Elayattu")</f>
        <v>Sanjaye Elayattu</v>
      </c>
      <c r="C351" s="5"/>
      <c r="D351" s="139"/>
      <c r="E351" s="25"/>
      <c r="F351" s="26"/>
    </row>
    <row r="352">
      <c r="A352" s="136">
        <f t="shared" si="101"/>
        <v>50</v>
      </c>
      <c r="B352" s="137" t="str">
        <f>IFERROR(__xludf.DUMMYFUNCTION("""COMPUTED_VALUE"""),"Santosh Sundaresan")</f>
        <v>Santosh Sundaresan</v>
      </c>
      <c r="C352" s="5"/>
      <c r="D352" s="139"/>
      <c r="E352" s="25"/>
      <c r="F352" s="26"/>
    </row>
    <row r="353">
      <c r="A353" s="136">
        <f t="shared" si="101"/>
        <v>51</v>
      </c>
      <c r="B353" s="137" t="str">
        <f>IFERROR(__xludf.DUMMYFUNCTION("""COMPUTED_VALUE"""),"Saravanan Veerapandian")</f>
        <v>Saravanan Veerapandian</v>
      </c>
      <c r="C353" s="5"/>
      <c r="D353" s="139"/>
      <c r="E353" s="25"/>
      <c r="F353" s="26"/>
    </row>
    <row r="354">
      <c r="A354" s="136">
        <f t="shared" si="101"/>
        <v>52</v>
      </c>
      <c r="B354" s="137" t="str">
        <f>IFERROR(__xludf.DUMMYFUNCTION("""COMPUTED_VALUE"""),"Scott Li")</f>
        <v>Scott Li</v>
      </c>
      <c r="C354" s="5"/>
      <c r="D354" s="139"/>
      <c r="E354" s="25"/>
      <c r="F354" s="26"/>
    </row>
    <row r="355">
      <c r="A355" s="136">
        <f t="shared" si="101"/>
        <v>53</v>
      </c>
      <c r="B355" s="137" t="str">
        <f>IFERROR(__xludf.DUMMYFUNCTION("""COMPUTED_VALUE"""),"Sean Chang")</f>
        <v>Sean Chang</v>
      </c>
      <c r="C355" s="5"/>
      <c r="D355" s="139"/>
      <c r="E355" s="25"/>
      <c r="F355" s="26"/>
    </row>
    <row r="356">
      <c r="A356" s="136">
        <f t="shared" si="101"/>
        <v>54</v>
      </c>
      <c r="B356" s="137" t="str">
        <f>IFERROR(__xludf.DUMMYFUNCTION("""COMPUTED_VALUE"""),"Suleman Alidina")</f>
        <v>Suleman Alidina</v>
      </c>
      <c r="C356" s="5"/>
      <c r="D356" s="139"/>
      <c r="E356" s="25"/>
      <c r="F356" s="26"/>
    </row>
    <row r="357">
      <c r="A357" s="136">
        <f t="shared" si="101"/>
        <v>55</v>
      </c>
      <c r="B357" s="137" t="str">
        <f>IFERROR(__xludf.DUMMYFUNCTION("""COMPUTED_VALUE"""),"Susanta Mishra")</f>
        <v>Susanta Mishra</v>
      </c>
      <c r="C357" s="5"/>
      <c r="D357" s="139"/>
      <c r="E357" s="25"/>
      <c r="F357" s="26"/>
    </row>
    <row r="358">
      <c r="A358" s="136">
        <f t="shared" si="101"/>
        <v>56</v>
      </c>
      <c r="B358" s="137" t="str">
        <f>IFERROR(__xludf.DUMMYFUNCTION("""COMPUTED_VALUE"""),"Ted Shen")</f>
        <v>Ted Shen</v>
      </c>
      <c r="C358" s="5"/>
      <c r="D358" s="139"/>
      <c r="E358" s="25"/>
      <c r="F358" s="26"/>
    </row>
    <row r="359">
      <c r="A359" s="136">
        <f t="shared" si="101"/>
        <v>57</v>
      </c>
      <c r="B359" s="137" t="str">
        <f>IFERROR(__xludf.DUMMYFUNCTION("""COMPUTED_VALUE"""),"Tina Hanson")</f>
        <v>Tina Hanson</v>
      </c>
      <c r="C359" s="5"/>
      <c r="D359" s="139"/>
      <c r="E359" s="25"/>
      <c r="F359" s="26"/>
    </row>
    <row r="360">
      <c r="A360" s="136">
        <f t="shared" si="101"/>
        <v>58</v>
      </c>
      <c r="B360" s="137" t="str">
        <f>IFERROR(__xludf.DUMMYFUNCTION("""COMPUTED_VALUE"""),"Tom Le")</f>
        <v>Tom Le</v>
      </c>
      <c r="C360" s="5"/>
      <c r="D360" s="139"/>
      <c r="E360" s="25"/>
      <c r="F360" s="26"/>
    </row>
    <row r="361">
      <c r="A361" s="136">
        <f t="shared" si="101"/>
        <v>59</v>
      </c>
      <c r="B361" s="137" t="str">
        <f>IFERROR(__xludf.DUMMYFUNCTION("""COMPUTED_VALUE"""),"Trish Newlin")</f>
        <v>Trish Newlin</v>
      </c>
      <c r="C361" s="5"/>
      <c r="D361" s="139"/>
      <c r="E361" s="25"/>
      <c r="F361" s="26"/>
    </row>
    <row r="362">
      <c r="A362" s="136">
        <f t="shared" si="101"/>
        <v>60</v>
      </c>
      <c r="B362" s="137" t="str">
        <f>IFERROR(__xludf.DUMMYFUNCTION("""COMPUTED_VALUE"""),"Troy Wong")</f>
        <v>Troy Wong</v>
      </c>
      <c r="C362" s="5"/>
      <c r="D362" s="139"/>
      <c r="E362" s="25"/>
      <c r="F362" s="26"/>
    </row>
    <row r="363">
      <c r="A363" s="136">
        <f t="shared" si="101"/>
        <v>61</v>
      </c>
      <c r="B363" s="137" t="str">
        <f>IFERROR(__xludf.DUMMYFUNCTION("""COMPUTED_VALUE"""),"Vinaya Kajla")</f>
        <v>Vinaya Kajla</v>
      </c>
      <c r="C363" s="5"/>
      <c r="D363" s="139"/>
      <c r="E363" s="25"/>
      <c r="F363" s="26"/>
    </row>
    <row r="364">
      <c r="A364" s="136">
        <f t="shared" si="101"/>
        <v>62</v>
      </c>
      <c r="B364" s="137" t="str">
        <f>IFERROR(__xludf.DUMMYFUNCTION("""COMPUTED_VALUE"""),"Vinotkumar Nagappan")</f>
        <v>Vinotkumar Nagappan</v>
      </c>
      <c r="C364" s="5"/>
      <c r="D364" s="139"/>
      <c r="E364" s="25"/>
      <c r="F364" s="26"/>
    </row>
    <row r="365">
      <c r="A365" s="136">
        <f t="shared" si="101"/>
        <v>63</v>
      </c>
      <c r="B365" s="137" t="str">
        <f>IFERROR(__xludf.DUMMYFUNCTION("""COMPUTED_VALUE"""),"Vishnu Amarnath")</f>
        <v>Vishnu Amarnath</v>
      </c>
      <c r="C365" s="5"/>
      <c r="D365" s="139"/>
      <c r="E365" s="25"/>
      <c r="F365" s="26"/>
    </row>
    <row r="366">
      <c r="A366" s="136">
        <f t="shared" si="101"/>
        <v>64</v>
      </c>
      <c r="B366" s="137" t="str">
        <f>IFERROR(__xludf.DUMMYFUNCTION("""COMPUTED_VALUE"""),"Wayne Liu")</f>
        <v>Wayne Liu</v>
      </c>
      <c r="C366" s="5"/>
      <c r="D366" s="139"/>
      <c r="E366" s="25"/>
      <c r="F366" s="26"/>
    </row>
    <row r="367">
      <c r="A367" s="136">
        <f t="shared" si="101"/>
        <v>65</v>
      </c>
      <c r="B367" s="137"/>
      <c r="C367" s="5"/>
      <c r="D367" s="139"/>
      <c r="E367" s="25"/>
      <c r="F367" s="26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  <row r="698">
      <c r="A698" s="5"/>
      <c r="C698" s="5"/>
      <c r="D698" s="5"/>
      <c r="E698" s="5"/>
      <c r="F698" s="5"/>
    </row>
    <row r="699">
      <c r="A699" s="5"/>
      <c r="C699" s="5"/>
      <c r="D699" s="5"/>
      <c r="E699" s="5"/>
      <c r="F699" s="5"/>
    </row>
    <row r="700">
      <c r="A700" s="5"/>
      <c r="C700" s="5"/>
      <c r="D700" s="5"/>
      <c r="E700" s="5"/>
      <c r="F700" s="5"/>
    </row>
    <row r="701">
      <c r="A701" s="5"/>
      <c r="C701" s="5"/>
      <c r="D701" s="5"/>
      <c r="E701" s="5"/>
      <c r="F701" s="5"/>
    </row>
    <row r="702">
      <c r="A702" s="5"/>
      <c r="C702" s="5"/>
      <c r="D702" s="5"/>
      <c r="E702" s="5"/>
      <c r="F702" s="5"/>
    </row>
  </sheetData>
  <mergeCells count="84"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61:F361"/>
    <mergeCell ref="D362:F362"/>
    <mergeCell ref="D363:F363"/>
    <mergeCell ref="D364:F364"/>
    <mergeCell ref="D365:F365"/>
    <mergeCell ref="D366:F366"/>
    <mergeCell ref="D367:F367"/>
    <mergeCell ref="D354:F354"/>
    <mergeCell ref="D355:F355"/>
    <mergeCell ref="D356:F356"/>
    <mergeCell ref="D357:F357"/>
    <mergeCell ref="D358:F358"/>
    <mergeCell ref="D359:F359"/>
    <mergeCell ref="D360:F360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33.13"/>
    <col customWidth="1" min="3" max="3" width="15.25"/>
    <col customWidth="1" min="4" max="4" width="10.63"/>
    <col customWidth="1" min="5" max="5" width="11.13"/>
    <col customWidth="1" min="6" max="6" width="9.38"/>
    <col customWidth="1" min="7" max="7" width="7.5"/>
    <col customWidth="1" min="8" max="8" width="9.25"/>
    <col customWidth="1" min="9" max="9" width="8.0"/>
    <col customWidth="1" min="10" max="10" width="5.0"/>
    <col customWidth="1" min="11" max="11" width="5.13"/>
    <col customWidth="1" min="12" max="12" width="9.38"/>
    <col customWidth="1" min="13" max="13" width="6.13"/>
    <col customWidth="1" min="14" max="14" width="9.0"/>
    <col customWidth="1" min="15" max="16" width="8.25"/>
    <col customWidth="1" min="17" max="17" width="7.0"/>
    <col customWidth="1" min="18" max="18" width="7.88"/>
    <col customWidth="1" min="19" max="19" width="8.88"/>
    <col customWidth="1" min="20" max="20" width="6.75"/>
    <col customWidth="1" min="21" max="21" width="8.0"/>
    <col customWidth="1" min="22" max="22" width="8.75"/>
    <col customWidth="1" min="23" max="23" width="14.88"/>
    <col customWidth="1" min="29" max="29" width="17.38"/>
  </cols>
  <sheetData>
    <row r="1">
      <c r="A1" s="5"/>
      <c r="B1" s="10" t="s">
        <v>7</v>
      </c>
      <c r="C1" s="140">
        <v>46018.0</v>
      </c>
      <c r="G1" s="13"/>
      <c r="H1" s="13"/>
      <c r="I1" s="13"/>
      <c r="L1" s="13"/>
      <c r="N1" s="13"/>
      <c r="W1" s="15"/>
    </row>
    <row r="2">
      <c r="A2" s="5"/>
      <c r="B2" s="16" t="s">
        <v>25</v>
      </c>
      <c r="D2" s="17">
        <v>0.0</v>
      </c>
      <c r="E2" s="5"/>
      <c r="F2" s="5"/>
      <c r="R2" s="18"/>
      <c r="AC2" s="22" t="str">
        <f>text(C1,"mm/dd/yy")</f>
        <v>12/27/25</v>
      </c>
    </row>
    <row r="3" ht="27.75" customHeight="1">
      <c r="A3" s="5"/>
      <c r="C3" s="24" t="s">
        <v>29</v>
      </c>
      <c r="D3" s="25"/>
      <c r="E3" s="26"/>
      <c r="F3" s="27" t="s">
        <v>30</v>
      </c>
      <c r="G3" s="25"/>
      <c r="H3" s="25"/>
      <c r="I3" s="25"/>
      <c r="J3" s="25"/>
      <c r="K3" s="25"/>
      <c r="L3" s="25"/>
      <c r="M3" s="26"/>
      <c r="N3" s="27" t="s">
        <v>32</v>
      </c>
      <c r="O3" s="26"/>
      <c r="Q3" s="18" t="s">
        <v>200</v>
      </c>
      <c r="R3" s="18" t="s">
        <v>33</v>
      </c>
    </row>
    <row r="4">
      <c r="A4" s="28" t="s">
        <v>35</v>
      </c>
      <c r="B4" s="3" t="s">
        <v>4</v>
      </c>
      <c r="C4" s="29" t="s">
        <v>6</v>
      </c>
      <c r="D4" s="29" t="s">
        <v>9</v>
      </c>
      <c r="E4" s="29" t="s">
        <v>38</v>
      </c>
      <c r="F4" s="31" t="s">
        <v>39</v>
      </c>
      <c r="G4" s="31" t="s">
        <v>31</v>
      </c>
      <c r="H4" s="31" t="s">
        <v>40</v>
      </c>
      <c r="I4" s="31" t="s">
        <v>12</v>
      </c>
      <c r="J4" s="31" t="s">
        <v>13</v>
      </c>
      <c r="K4" s="31" t="s">
        <v>15</v>
      </c>
      <c r="L4" s="31" t="s">
        <v>6</v>
      </c>
      <c r="M4" s="31" t="s">
        <v>9</v>
      </c>
      <c r="N4" s="29" t="s">
        <v>6</v>
      </c>
      <c r="O4" s="29" t="s">
        <v>9</v>
      </c>
      <c r="P4" s="31" t="s">
        <v>41</v>
      </c>
      <c r="Q4" s="31" t="s">
        <v>42</v>
      </c>
      <c r="R4" s="31" t="s">
        <v>42</v>
      </c>
      <c r="S4" s="31" t="s">
        <v>43</v>
      </c>
      <c r="T4" s="31" t="s">
        <v>44</v>
      </c>
      <c r="U4" s="31" t="s">
        <v>45</v>
      </c>
      <c r="V4" s="31" t="s">
        <v>46</v>
      </c>
      <c r="W4" s="31" t="s">
        <v>47</v>
      </c>
      <c r="X4" s="28" t="s">
        <v>35</v>
      </c>
      <c r="Y4" s="31" t="s">
        <v>48</v>
      </c>
      <c r="Z4" s="28" t="s">
        <v>49</v>
      </c>
    </row>
    <row r="5">
      <c r="A5" s="35">
        <v>1.0</v>
      </c>
      <c r="B5" s="36" t="s">
        <v>51</v>
      </c>
      <c r="C5" s="37"/>
      <c r="D5" s="37"/>
      <c r="E5" s="40">
        <f t="shared" ref="E5:E79" si="2">if(S5&gt;0,(C5-(V5*9)-(T5*13))/S5,0)</f>
        <v>0</v>
      </c>
      <c r="F5" s="41">
        <f>if(isna(VLOOKUP(B5,Checkin!A:B,2,false)),0,VLOOKUP(B5,Checkin!A:B,2,false))</f>
        <v>0</v>
      </c>
      <c r="G5" s="44"/>
      <c r="H5" s="45"/>
      <c r="I5" s="44"/>
      <c r="J5" s="44"/>
      <c r="K5" s="44"/>
      <c r="L5" s="48"/>
      <c r="M5" s="44">
        <f>if(OR($F5=1, $F5=2),VLOOKUP($B5,Courts!$B$2:$J$50,9,false),0)</f>
        <v>0</v>
      </c>
      <c r="N5" s="37">
        <f t="shared" ref="N5:O5" si="1">C5+L5</f>
        <v>0</v>
      </c>
      <c r="O5" s="37">
        <f t="shared" si="1"/>
        <v>0</v>
      </c>
      <c r="P5" s="49" t="s">
        <v>57</v>
      </c>
      <c r="Q5" s="49" t="s">
        <v>57</v>
      </c>
      <c r="R5" s="49" t="s">
        <v>57</v>
      </c>
      <c r="S5" s="51"/>
      <c r="T5" s="52"/>
      <c r="U5" s="52"/>
      <c r="V5" s="51"/>
      <c r="W5" s="52"/>
      <c r="X5" s="35">
        <v>1.0</v>
      </c>
      <c r="Y5" s="35" t="str">
        <f t="shared" ref="Y5:Y79" si="4">if(S5=D$2,"Y","N")</f>
        <v>Y</v>
      </c>
      <c r="Z5" s="19" t="str">
        <f t="shared" ref="Z5:Z79" si="5">if($D$2=sum(S5:V5),"","Error")</f>
        <v/>
      </c>
    </row>
    <row r="6">
      <c r="A6" s="35">
        <f t="shared" ref="A6:A79" si="6">A5+1</f>
        <v>2</v>
      </c>
      <c r="B6" s="36" t="s">
        <v>89</v>
      </c>
      <c r="C6" s="37"/>
      <c r="D6" s="37"/>
      <c r="E6" s="40">
        <f t="shared" si="2"/>
        <v>0</v>
      </c>
      <c r="F6" s="41">
        <f>if(isna(VLOOKUP(B6,Checkin!A:B,2,false)),0,VLOOKUP(B6,Checkin!A:B,2,false))</f>
        <v>0</v>
      </c>
      <c r="G6" s="44"/>
      <c r="H6" s="45"/>
      <c r="I6" s="44"/>
      <c r="J6" s="44"/>
      <c r="K6" s="44"/>
      <c r="L6" s="48"/>
      <c r="M6" s="44">
        <f>if(OR($F6=1, $F6=2),VLOOKUP($B6,Courts!$B$2:$J$50,9,false),0)</f>
        <v>0</v>
      </c>
      <c r="N6" s="37">
        <f t="shared" ref="N6:O6" si="3">C6+L6</f>
        <v>0</v>
      </c>
      <c r="O6" s="37">
        <f t="shared" si="3"/>
        <v>0</v>
      </c>
      <c r="P6" s="49" t="s">
        <v>57</v>
      </c>
      <c r="Q6" s="49" t="s">
        <v>57</v>
      </c>
      <c r="R6" s="49" t="s">
        <v>57</v>
      </c>
      <c r="S6" s="51"/>
      <c r="T6" s="52"/>
      <c r="U6" s="52"/>
      <c r="V6" s="51"/>
      <c r="W6" s="52"/>
      <c r="X6" s="35">
        <f t="shared" ref="X6:X79" si="8">X5+1</f>
        <v>2</v>
      </c>
      <c r="Y6" s="35" t="str">
        <f t="shared" si="4"/>
        <v>Y</v>
      </c>
      <c r="Z6" s="19" t="str">
        <f t="shared" si="5"/>
        <v/>
      </c>
    </row>
    <row r="7">
      <c r="A7" s="35">
        <f t="shared" si="6"/>
        <v>3</v>
      </c>
      <c r="B7" s="36" t="s">
        <v>104</v>
      </c>
      <c r="C7" s="37"/>
      <c r="D7" s="37"/>
      <c r="E7" s="40">
        <f t="shared" si="2"/>
        <v>0</v>
      </c>
      <c r="F7" s="41">
        <f>if(isna(VLOOKUP(B7,Checkin!A:B,2,false)),0,VLOOKUP(B7,Checkin!A:B,2,false))</f>
        <v>0</v>
      </c>
      <c r="G7" s="44"/>
      <c r="H7" s="45"/>
      <c r="I7" s="44"/>
      <c r="J7" s="44"/>
      <c r="K7" s="44"/>
      <c r="L7" s="48"/>
      <c r="M7" s="44">
        <f>if(OR($F7=1, $F7=2),VLOOKUP($B7,Courts!$B$2:$J$50,9,false),0)</f>
        <v>0</v>
      </c>
      <c r="N7" s="37">
        <f t="shared" ref="N7:O7" si="7">C7+L7</f>
        <v>0</v>
      </c>
      <c r="O7" s="37">
        <f t="shared" si="7"/>
        <v>0</v>
      </c>
      <c r="P7" s="49" t="s">
        <v>57</v>
      </c>
      <c r="Q7" s="49" t="s">
        <v>57</v>
      </c>
      <c r="R7" s="49" t="s">
        <v>57</v>
      </c>
      <c r="S7" s="51"/>
      <c r="T7" s="52"/>
      <c r="U7" s="52"/>
      <c r="V7" s="51"/>
      <c r="W7" s="52"/>
      <c r="X7" s="35">
        <f t="shared" si="8"/>
        <v>3</v>
      </c>
      <c r="Y7" s="35" t="str">
        <f t="shared" si="4"/>
        <v>Y</v>
      </c>
      <c r="Z7" s="19" t="str">
        <f t="shared" si="5"/>
        <v/>
      </c>
    </row>
    <row r="8">
      <c r="A8" s="35">
        <f t="shared" si="6"/>
        <v>4</v>
      </c>
      <c r="B8" s="36" t="s">
        <v>114</v>
      </c>
      <c r="C8" s="37"/>
      <c r="D8" s="37"/>
      <c r="E8" s="40">
        <f t="shared" si="2"/>
        <v>0</v>
      </c>
      <c r="F8" s="41">
        <f>if(isna(VLOOKUP(B8,Checkin!A:B,2,false)),0,VLOOKUP(B8,Checkin!A:B,2,false))</f>
        <v>0</v>
      </c>
      <c r="G8" s="44"/>
      <c r="H8" s="45"/>
      <c r="I8" s="44"/>
      <c r="J8" s="44"/>
      <c r="K8" s="44"/>
      <c r="L8" s="48"/>
      <c r="M8" s="44">
        <f>if(OR($F8=1, $F8=2),VLOOKUP($B8,Courts!$B$2:$J$50,9,false),0)</f>
        <v>0</v>
      </c>
      <c r="N8" s="37">
        <f t="shared" ref="N8:O8" si="9">C8+L8</f>
        <v>0</v>
      </c>
      <c r="O8" s="37">
        <f t="shared" si="9"/>
        <v>0</v>
      </c>
      <c r="P8" s="49" t="s">
        <v>57</v>
      </c>
      <c r="Q8" s="49" t="s">
        <v>57</v>
      </c>
      <c r="R8" s="49" t="s">
        <v>57</v>
      </c>
      <c r="S8" s="51"/>
      <c r="T8" s="52"/>
      <c r="U8" s="52"/>
      <c r="V8" s="51"/>
      <c r="W8" s="52"/>
      <c r="X8" s="35">
        <f t="shared" si="8"/>
        <v>4</v>
      </c>
      <c r="Y8" s="35" t="str">
        <f t="shared" si="4"/>
        <v>Y</v>
      </c>
      <c r="Z8" s="19" t="str">
        <f t="shared" si="5"/>
        <v/>
      </c>
    </row>
    <row r="9">
      <c r="A9" s="35">
        <f t="shared" si="6"/>
        <v>5</v>
      </c>
      <c r="B9" s="36" t="s">
        <v>63</v>
      </c>
      <c r="C9" s="37"/>
      <c r="D9" s="37"/>
      <c r="E9" s="40">
        <f t="shared" si="2"/>
        <v>0</v>
      </c>
      <c r="F9" s="41">
        <f>if(isna(VLOOKUP(B9,Checkin!A:B,2,false)),0,VLOOKUP(B9,Checkin!A:B,2,false))</f>
        <v>0</v>
      </c>
      <c r="G9" s="44"/>
      <c r="H9" s="45"/>
      <c r="I9" s="44"/>
      <c r="J9" s="44"/>
      <c r="K9" s="44"/>
      <c r="L9" s="48"/>
      <c r="M9" s="44">
        <f>if(OR($F9=1, $F9=2),VLOOKUP($B9,Courts!$B$2:$J$50,9,false),0)</f>
        <v>0</v>
      </c>
      <c r="N9" s="37">
        <f t="shared" ref="N9:O9" si="10">C9+L9</f>
        <v>0</v>
      </c>
      <c r="O9" s="37">
        <f t="shared" si="10"/>
        <v>0</v>
      </c>
      <c r="P9" s="49" t="s">
        <v>57</v>
      </c>
      <c r="Q9" s="49" t="s">
        <v>57</v>
      </c>
      <c r="R9" s="49" t="s">
        <v>57</v>
      </c>
      <c r="S9" s="51"/>
      <c r="T9" s="52"/>
      <c r="U9" s="52"/>
      <c r="V9" s="51"/>
      <c r="W9" s="52"/>
      <c r="X9" s="35">
        <f t="shared" si="8"/>
        <v>5</v>
      </c>
      <c r="Y9" s="35" t="str">
        <f t="shared" si="4"/>
        <v>Y</v>
      </c>
      <c r="Z9" s="19" t="str">
        <f t="shared" si="5"/>
        <v/>
      </c>
    </row>
    <row r="10">
      <c r="A10" s="35">
        <f t="shared" si="6"/>
        <v>6</v>
      </c>
      <c r="B10" s="36" t="s">
        <v>68</v>
      </c>
      <c r="C10" s="37"/>
      <c r="D10" s="37"/>
      <c r="E10" s="40">
        <f t="shared" si="2"/>
        <v>0</v>
      </c>
      <c r="F10" s="41">
        <f>if(isna(VLOOKUP(B10,Checkin!A:B,2,false)),0,VLOOKUP(B10,Checkin!A:B,2,false))</f>
        <v>0</v>
      </c>
      <c r="G10" s="44"/>
      <c r="H10" s="45"/>
      <c r="I10" s="44"/>
      <c r="J10" s="44"/>
      <c r="K10" s="44"/>
      <c r="L10" s="48"/>
      <c r="M10" s="44">
        <f>if(OR($F10=1, $F10=2),VLOOKUP($B10,Courts!$B$2:$J$50,9,false),0)</f>
        <v>0</v>
      </c>
      <c r="N10" s="37">
        <f t="shared" ref="N10:O10" si="11">C10+L10</f>
        <v>0</v>
      </c>
      <c r="O10" s="37">
        <f t="shared" si="11"/>
        <v>0</v>
      </c>
      <c r="P10" s="49" t="s">
        <v>57</v>
      </c>
      <c r="Q10" s="49" t="s">
        <v>57</v>
      </c>
      <c r="R10" s="49" t="s">
        <v>57</v>
      </c>
      <c r="S10" s="51"/>
      <c r="T10" s="52"/>
      <c r="U10" s="52"/>
      <c r="V10" s="51"/>
      <c r="W10" s="52"/>
      <c r="X10" s="35">
        <f t="shared" si="8"/>
        <v>6</v>
      </c>
      <c r="Y10" s="35" t="str">
        <f t="shared" si="4"/>
        <v>Y</v>
      </c>
      <c r="Z10" s="19" t="str">
        <f t="shared" si="5"/>
        <v/>
      </c>
    </row>
    <row r="11">
      <c r="A11" s="35">
        <f t="shared" si="6"/>
        <v>7</v>
      </c>
      <c r="B11" s="36" t="s">
        <v>94</v>
      </c>
      <c r="C11" s="37"/>
      <c r="D11" s="37"/>
      <c r="E11" s="40">
        <f t="shared" si="2"/>
        <v>0</v>
      </c>
      <c r="F11" s="41">
        <f>if(isna(VLOOKUP(B11,Checkin!A:B,2,false)),0,VLOOKUP(B11,Checkin!A:B,2,false))</f>
        <v>0</v>
      </c>
      <c r="G11" s="44"/>
      <c r="H11" s="45"/>
      <c r="I11" s="44"/>
      <c r="J11" s="44"/>
      <c r="K11" s="44"/>
      <c r="L11" s="48"/>
      <c r="M11" s="44">
        <f>if(OR($F11=1, $F11=2),VLOOKUP($B11,Courts!$B$2:$J$50,9,false),0)</f>
        <v>0</v>
      </c>
      <c r="N11" s="37">
        <f t="shared" ref="N11:O11" si="12">C11+L11</f>
        <v>0</v>
      </c>
      <c r="O11" s="37">
        <f t="shared" si="12"/>
        <v>0</v>
      </c>
      <c r="P11" s="49" t="s">
        <v>57</v>
      </c>
      <c r="Q11" s="49" t="s">
        <v>57</v>
      </c>
      <c r="R11" s="49" t="s">
        <v>57</v>
      </c>
      <c r="S11" s="51"/>
      <c r="T11" s="52"/>
      <c r="U11" s="52"/>
      <c r="V11" s="51"/>
      <c r="W11" s="52"/>
      <c r="X11" s="35">
        <f t="shared" si="8"/>
        <v>7</v>
      </c>
      <c r="Y11" s="35" t="str">
        <f t="shared" si="4"/>
        <v>Y</v>
      </c>
      <c r="Z11" s="19" t="str">
        <f t="shared" si="5"/>
        <v/>
      </c>
    </row>
    <row r="12">
      <c r="A12" s="35">
        <f t="shared" si="6"/>
        <v>8</v>
      </c>
      <c r="B12" s="36" t="s">
        <v>92</v>
      </c>
      <c r="C12" s="37"/>
      <c r="D12" s="37"/>
      <c r="E12" s="40">
        <f t="shared" si="2"/>
        <v>0</v>
      </c>
      <c r="F12" s="41">
        <f>if(isna(VLOOKUP(B12,Checkin!A:B,2,false)),0,VLOOKUP(B12,Checkin!A:B,2,false))</f>
        <v>0</v>
      </c>
      <c r="G12" s="44"/>
      <c r="H12" s="45"/>
      <c r="I12" s="44"/>
      <c r="J12" s="44"/>
      <c r="K12" s="44"/>
      <c r="L12" s="48"/>
      <c r="M12" s="44">
        <f>if(OR($F12=1, $F12=2),VLOOKUP($B12,Courts!$B$2:$J$50,9,false),0)</f>
        <v>0</v>
      </c>
      <c r="N12" s="37">
        <f t="shared" ref="N12:O12" si="13">C12+L12</f>
        <v>0</v>
      </c>
      <c r="O12" s="37">
        <f t="shared" si="13"/>
        <v>0</v>
      </c>
      <c r="P12" s="49" t="s">
        <v>57</v>
      </c>
      <c r="Q12" s="49" t="s">
        <v>57</v>
      </c>
      <c r="R12" s="49" t="s">
        <v>57</v>
      </c>
      <c r="S12" s="51"/>
      <c r="T12" s="52"/>
      <c r="U12" s="52"/>
      <c r="V12" s="51"/>
      <c r="W12" s="52"/>
      <c r="X12" s="35">
        <f t="shared" si="8"/>
        <v>8</v>
      </c>
      <c r="Y12" s="35" t="str">
        <f t="shared" si="4"/>
        <v>Y</v>
      </c>
      <c r="Z12" s="19" t="str">
        <f t="shared" si="5"/>
        <v/>
      </c>
    </row>
    <row r="13">
      <c r="A13" s="35">
        <f t="shared" si="6"/>
        <v>9</v>
      </c>
      <c r="B13" s="36" t="s">
        <v>112</v>
      </c>
      <c r="C13" s="37"/>
      <c r="D13" s="37"/>
      <c r="E13" s="40">
        <f t="shared" si="2"/>
        <v>0</v>
      </c>
      <c r="F13" s="41">
        <f>if(isna(VLOOKUP(B13,Checkin!A:B,2,false)),0,VLOOKUP(B13,Checkin!A:B,2,false))</f>
        <v>0</v>
      </c>
      <c r="G13" s="44"/>
      <c r="H13" s="45"/>
      <c r="I13" s="44"/>
      <c r="J13" s="44"/>
      <c r="K13" s="44"/>
      <c r="L13" s="48"/>
      <c r="M13" s="44">
        <f>if(OR($F13=1, $F13=2),VLOOKUP($B13,Courts!$B$2:$J$50,9,false),0)</f>
        <v>0</v>
      </c>
      <c r="N13" s="37">
        <f t="shared" ref="N13:O13" si="14">C13+L13</f>
        <v>0</v>
      </c>
      <c r="O13" s="37">
        <f t="shared" si="14"/>
        <v>0</v>
      </c>
      <c r="P13" s="49" t="s">
        <v>57</v>
      </c>
      <c r="Q13" s="49" t="s">
        <v>57</v>
      </c>
      <c r="R13" s="49" t="s">
        <v>57</v>
      </c>
      <c r="S13" s="51"/>
      <c r="T13" s="52"/>
      <c r="U13" s="52"/>
      <c r="V13" s="51"/>
      <c r="W13" s="52"/>
      <c r="X13" s="35">
        <f t="shared" si="8"/>
        <v>9</v>
      </c>
      <c r="Y13" s="35" t="str">
        <f t="shared" si="4"/>
        <v>Y</v>
      </c>
      <c r="Z13" s="19" t="str">
        <f t="shared" si="5"/>
        <v/>
      </c>
    </row>
    <row r="14">
      <c r="A14" s="35">
        <f t="shared" si="6"/>
        <v>10</v>
      </c>
      <c r="B14" s="36" t="s">
        <v>80</v>
      </c>
      <c r="C14" s="37"/>
      <c r="D14" s="37"/>
      <c r="E14" s="40">
        <f t="shared" si="2"/>
        <v>0</v>
      </c>
      <c r="F14" s="41">
        <f>if(isna(VLOOKUP(B14,Checkin!A:B,2,false)),0,VLOOKUP(B14,Checkin!A:B,2,false))</f>
        <v>0</v>
      </c>
      <c r="G14" s="44"/>
      <c r="H14" s="45"/>
      <c r="I14" s="44"/>
      <c r="J14" s="44"/>
      <c r="K14" s="44"/>
      <c r="L14" s="48"/>
      <c r="M14" s="44">
        <f>if(OR($F14=1, $F14=2),VLOOKUP($B14,Courts!$B$2:$J$50,9,false),0)</f>
        <v>0</v>
      </c>
      <c r="N14" s="37">
        <f t="shared" ref="N14:O14" si="15">C14+L14</f>
        <v>0</v>
      </c>
      <c r="O14" s="37">
        <f t="shared" si="15"/>
        <v>0</v>
      </c>
      <c r="P14" s="49" t="s">
        <v>57</v>
      </c>
      <c r="Q14" s="49" t="s">
        <v>57</v>
      </c>
      <c r="R14" s="49" t="s">
        <v>57</v>
      </c>
      <c r="S14" s="51"/>
      <c r="T14" s="52"/>
      <c r="U14" s="52"/>
      <c r="V14" s="51"/>
      <c r="W14" s="52"/>
      <c r="X14" s="35">
        <f t="shared" si="8"/>
        <v>10</v>
      </c>
      <c r="Y14" s="35" t="str">
        <f t="shared" si="4"/>
        <v>Y</v>
      </c>
      <c r="Z14" s="19" t="str">
        <f t="shared" si="5"/>
        <v/>
      </c>
    </row>
    <row r="15">
      <c r="A15" s="35">
        <f t="shared" si="6"/>
        <v>11</v>
      </c>
      <c r="B15" s="36" t="s">
        <v>113</v>
      </c>
      <c r="C15" s="37"/>
      <c r="D15" s="37"/>
      <c r="E15" s="40">
        <f t="shared" si="2"/>
        <v>0</v>
      </c>
      <c r="F15" s="41">
        <f>if(isna(VLOOKUP(B15,Checkin!A:B,2,false)),0,VLOOKUP(B15,Checkin!A:B,2,false))</f>
        <v>0</v>
      </c>
      <c r="G15" s="44"/>
      <c r="H15" s="45"/>
      <c r="I15" s="44"/>
      <c r="J15" s="44"/>
      <c r="K15" s="44"/>
      <c r="L15" s="48"/>
      <c r="M15" s="44">
        <f>if(OR($F15=1, $F15=2),VLOOKUP($B15,Courts!$B$2:$J$50,9,false),0)</f>
        <v>0</v>
      </c>
      <c r="N15" s="37">
        <f t="shared" ref="N15:O15" si="16">C15+L15</f>
        <v>0</v>
      </c>
      <c r="O15" s="37">
        <f t="shared" si="16"/>
        <v>0</v>
      </c>
      <c r="P15" s="49" t="s">
        <v>57</v>
      </c>
      <c r="Q15" s="49" t="s">
        <v>57</v>
      </c>
      <c r="R15" s="49" t="s">
        <v>57</v>
      </c>
      <c r="S15" s="51"/>
      <c r="T15" s="52"/>
      <c r="U15" s="52"/>
      <c r="V15" s="51"/>
      <c r="W15" s="52"/>
      <c r="X15" s="35">
        <f t="shared" si="8"/>
        <v>11</v>
      </c>
      <c r="Y15" s="35" t="str">
        <f t="shared" si="4"/>
        <v>Y</v>
      </c>
      <c r="Z15" s="19" t="str">
        <f t="shared" si="5"/>
        <v/>
      </c>
    </row>
    <row r="16">
      <c r="A16" s="35">
        <f t="shared" si="6"/>
        <v>12</v>
      </c>
      <c r="B16" s="36" t="s">
        <v>103</v>
      </c>
      <c r="C16" s="37"/>
      <c r="D16" s="37"/>
      <c r="E16" s="40">
        <f t="shared" si="2"/>
        <v>0</v>
      </c>
      <c r="F16" s="41">
        <f>if(isna(VLOOKUP(B16,Checkin!A:B,2,false)),0,VLOOKUP(B16,Checkin!A:B,2,false))</f>
        <v>0</v>
      </c>
      <c r="G16" s="44"/>
      <c r="H16" s="45"/>
      <c r="I16" s="44"/>
      <c r="J16" s="44"/>
      <c r="K16" s="44"/>
      <c r="L16" s="48"/>
      <c r="M16" s="44">
        <f>if(OR($F16=1, $F16=2),VLOOKUP($B16,Courts!$B$2:$J$50,9,false),0)</f>
        <v>0</v>
      </c>
      <c r="N16" s="37">
        <f t="shared" ref="N16:O16" si="17">C16+L16</f>
        <v>0</v>
      </c>
      <c r="O16" s="37">
        <f t="shared" si="17"/>
        <v>0</v>
      </c>
      <c r="P16" s="49" t="s">
        <v>57</v>
      </c>
      <c r="Q16" s="49" t="s">
        <v>57</v>
      </c>
      <c r="R16" s="49" t="s">
        <v>57</v>
      </c>
      <c r="S16" s="51"/>
      <c r="T16" s="52"/>
      <c r="U16" s="52"/>
      <c r="V16" s="51"/>
      <c r="W16" s="52"/>
      <c r="X16" s="35">
        <f t="shared" si="8"/>
        <v>12</v>
      </c>
      <c r="Y16" s="35" t="str">
        <f t="shared" si="4"/>
        <v>Y</v>
      </c>
      <c r="Z16" s="19" t="str">
        <f t="shared" si="5"/>
        <v/>
      </c>
    </row>
    <row r="17">
      <c r="A17" s="35">
        <f t="shared" si="6"/>
        <v>13</v>
      </c>
      <c r="B17" s="36" t="s">
        <v>117</v>
      </c>
      <c r="C17" s="37"/>
      <c r="D17" s="37"/>
      <c r="E17" s="40">
        <f t="shared" si="2"/>
        <v>0</v>
      </c>
      <c r="F17" s="41">
        <f>if(isna(VLOOKUP(B17,Checkin!A:B,2,false)),0,VLOOKUP(B17,Checkin!A:B,2,false))</f>
        <v>0</v>
      </c>
      <c r="G17" s="44"/>
      <c r="H17" s="45"/>
      <c r="I17" s="44"/>
      <c r="J17" s="44"/>
      <c r="K17" s="44"/>
      <c r="L17" s="48"/>
      <c r="M17" s="44">
        <f>if(OR($F17=1, $F17=2),VLOOKUP($B17,Courts!$B$2:$J$50,9,false),0)</f>
        <v>0</v>
      </c>
      <c r="N17" s="37">
        <f t="shared" ref="N17:O17" si="18">C17+L17</f>
        <v>0</v>
      </c>
      <c r="O17" s="37">
        <f t="shared" si="18"/>
        <v>0</v>
      </c>
      <c r="P17" s="49" t="s">
        <v>57</v>
      </c>
      <c r="Q17" s="49" t="s">
        <v>57</v>
      </c>
      <c r="R17" s="49" t="s">
        <v>57</v>
      </c>
      <c r="S17" s="51"/>
      <c r="T17" s="52"/>
      <c r="U17" s="52"/>
      <c r="V17" s="51"/>
      <c r="W17" s="52"/>
      <c r="X17" s="35">
        <f t="shared" si="8"/>
        <v>13</v>
      </c>
      <c r="Y17" s="35" t="str">
        <f t="shared" si="4"/>
        <v>Y</v>
      </c>
      <c r="Z17" s="19" t="str">
        <f t="shared" si="5"/>
        <v/>
      </c>
    </row>
    <row r="18">
      <c r="A18" s="35">
        <f t="shared" si="6"/>
        <v>14</v>
      </c>
      <c r="B18" s="36" t="s">
        <v>77</v>
      </c>
      <c r="C18" s="37"/>
      <c r="D18" s="37"/>
      <c r="E18" s="40">
        <f t="shared" si="2"/>
        <v>0</v>
      </c>
      <c r="F18" s="41">
        <f>if(isna(VLOOKUP(B18,Checkin!A:B,2,false)),0,VLOOKUP(B18,Checkin!A:B,2,false))</f>
        <v>0</v>
      </c>
      <c r="G18" s="44"/>
      <c r="H18" s="45"/>
      <c r="I18" s="44"/>
      <c r="J18" s="44"/>
      <c r="K18" s="44"/>
      <c r="L18" s="48"/>
      <c r="M18" s="44">
        <f>if(OR($F18=1, $F18=2),VLOOKUP($B18,Courts!$B$2:$J$50,9,false),0)</f>
        <v>0</v>
      </c>
      <c r="N18" s="37">
        <f t="shared" ref="N18:O18" si="19">C18+L18</f>
        <v>0</v>
      </c>
      <c r="O18" s="37">
        <f t="shared" si="19"/>
        <v>0</v>
      </c>
      <c r="P18" s="49" t="s">
        <v>57</v>
      </c>
      <c r="Q18" s="49" t="s">
        <v>57</v>
      </c>
      <c r="R18" s="49" t="s">
        <v>57</v>
      </c>
      <c r="S18" s="51"/>
      <c r="T18" s="52"/>
      <c r="U18" s="52"/>
      <c r="V18" s="51"/>
      <c r="W18" s="52"/>
      <c r="X18" s="35">
        <f t="shared" si="8"/>
        <v>14</v>
      </c>
      <c r="Y18" s="35" t="str">
        <f t="shared" si="4"/>
        <v>Y</v>
      </c>
      <c r="Z18" s="19" t="str">
        <f t="shared" si="5"/>
        <v/>
      </c>
    </row>
    <row r="19">
      <c r="A19" s="35">
        <f t="shared" si="6"/>
        <v>15</v>
      </c>
      <c r="B19" s="36" t="s">
        <v>96</v>
      </c>
      <c r="C19" s="37"/>
      <c r="D19" s="37"/>
      <c r="E19" s="40">
        <f t="shared" si="2"/>
        <v>0</v>
      </c>
      <c r="F19" s="41">
        <f>if(isna(VLOOKUP(B19,Checkin!A:B,2,false)),0,VLOOKUP(B19,Checkin!A:B,2,false))</f>
        <v>0</v>
      </c>
      <c r="G19" s="44"/>
      <c r="H19" s="45"/>
      <c r="I19" s="44"/>
      <c r="J19" s="44"/>
      <c r="K19" s="44"/>
      <c r="L19" s="48"/>
      <c r="M19" s="44">
        <f>if(OR($F19=1, $F19=2),VLOOKUP($B19,Courts!$B$2:$J$50,9,false),0)</f>
        <v>0</v>
      </c>
      <c r="N19" s="37">
        <f t="shared" ref="N19:O19" si="20">C19+L19</f>
        <v>0</v>
      </c>
      <c r="O19" s="37">
        <f t="shared" si="20"/>
        <v>0</v>
      </c>
      <c r="P19" s="49" t="s">
        <v>57</v>
      </c>
      <c r="Q19" s="49" t="s">
        <v>57</v>
      </c>
      <c r="R19" s="49" t="s">
        <v>57</v>
      </c>
      <c r="S19" s="51"/>
      <c r="T19" s="52"/>
      <c r="U19" s="52"/>
      <c r="V19" s="51"/>
      <c r="W19" s="52"/>
      <c r="X19" s="35">
        <f t="shared" si="8"/>
        <v>15</v>
      </c>
      <c r="Y19" s="35" t="str">
        <f t="shared" si="4"/>
        <v>Y</v>
      </c>
      <c r="Z19" s="19" t="str">
        <f t="shared" si="5"/>
        <v/>
      </c>
    </row>
    <row r="20">
      <c r="A20" s="35">
        <f t="shared" si="6"/>
        <v>16</v>
      </c>
      <c r="B20" s="36" t="s">
        <v>115</v>
      </c>
      <c r="C20" s="37"/>
      <c r="D20" s="37"/>
      <c r="E20" s="40">
        <f t="shared" si="2"/>
        <v>0</v>
      </c>
      <c r="F20" s="41">
        <f>if(isna(VLOOKUP(B20,Checkin!A:B,2,false)),0,VLOOKUP(B20,Checkin!A:B,2,false))</f>
        <v>0</v>
      </c>
      <c r="G20" s="44"/>
      <c r="H20" s="45"/>
      <c r="I20" s="44"/>
      <c r="J20" s="44"/>
      <c r="K20" s="44"/>
      <c r="L20" s="48"/>
      <c r="M20" s="44">
        <f>if(OR($F20=1, $F20=2),VLOOKUP($B20,Courts!$B$2:$J$50,9,false),0)</f>
        <v>0</v>
      </c>
      <c r="N20" s="37">
        <f t="shared" ref="N20:O20" si="21">C20+L20</f>
        <v>0</v>
      </c>
      <c r="O20" s="37">
        <f t="shared" si="21"/>
        <v>0</v>
      </c>
      <c r="P20" s="49" t="s">
        <v>57</v>
      </c>
      <c r="Q20" s="49" t="s">
        <v>57</v>
      </c>
      <c r="R20" s="49" t="s">
        <v>57</v>
      </c>
      <c r="S20" s="51"/>
      <c r="T20" s="52"/>
      <c r="U20" s="52"/>
      <c r="V20" s="51"/>
      <c r="W20" s="52"/>
      <c r="X20" s="35">
        <f t="shared" si="8"/>
        <v>16</v>
      </c>
      <c r="Y20" s="35" t="str">
        <f t="shared" si="4"/>
        <v>Y</v>
      </c>
      <c r="Z20" s="19" t="str">
        <f t="shared" si="5"/>
        <v/>
      </c>
    </row>
    <row r="21">
      <c r="A21" s="35">
        <f t="shared" si="6"/>
        <v>17</v>
      </c>
      <c r="B21" s="36" t="s">
        <v>91</v>
      </c>
      <c r="C21" s="37"/>
      <c r="D21" s="37"/>
      <c r="E21" s="40">
        <f t="shared" si="2"/>
        <v>0</v>
      </c>
      <c r="F21" s="41">
        <f>if(isna(VLOOKUP(B21,Checkin!A:B,2,false)),0,VLOOKUP(B21,Checkin!A:B,2,false))</f>
        <v>0</v>
      </c>
      <c r="G21" s="44"/>
      <c r="H21" s="45"/>
      <c r="I21" s="44"/>
      <c r="J21" s="44"/>
      <c r="K21" s="44"/>
      <c r="L21" s="48"/>
      <c r="M21" s="44">
        <f>if(OR($F21=1, $F21=2),VLOOKUP($B21,Courts!$B$2:$J$50,9,false),0)</f>
        <v>0</v>
      </c>
      <c r="N21" s="37">
        <f t="shared" ref="N21:O21" si="22">C21+L21</f>
        <v>0</v>
      </c>
      <c r="O21" s="37">
        <f t="shared" si="22"/>
        <v>0</v>
      </c>
      <c r="P21" s="49" t="s">
        <v>57</v>
      </c>
      <c r="Q21" s="49" t="s">
        <v>57</v>
      </c>
      <c r="R21" s="49" t="s">
        <v>57</v>
      </c>
      <c r="S21" s="51"/>
      <c r="T21" s="52"/>
      <c r="U21" s="52"/>
      <c r="V21" s="51"/>
      <c r="W21" s="52"/>
      <c r="X21" s="35">
        <f t="shared" si="8"/>
        <v>17</v>
      </c>
      <c r="Y21" s="35" t="str">
        <f t="shared" si="4"/>
        <v>Y</v>
      </c>
      <c r="Z21" s="19" t="str">
        <f t="shared" si="5"/>
        <v/>
      </c>
    </row>
    <row r="22">
      <c r="A22" s="35">
        <f t="shared" si="6"/>
        <v>18</v>
      </c>
      <c r="B22" s="36" t="s">
        <v>135</v>
      </c>
      <c r="C22" s="37"/>
      <c r="D22" s="37"/>
      <c r="E22" s="40">
        <f t="shared" si="2"/>
        <v>0</v>
      </c>
      <c r="F22" s="41">
        <f>if(isna(VLOOKUP(B22,Checkin!A:B,2,false)),0,VLOOKUP(B22,Checkin!A:B,2,false))</f>
        <v>0</v>
      </c>
      <c r="G22" s="44"/>
      <c r="H22" s="45"/>
      <c r="I22" s="44"/>
      <c r="J22" s="44"/>
      <c r="K22" s="44"/>
      <c r="L22" s="48"/>
      <c r="M22" s="44">
        <f>if(OR($F22=1, $F22=2),VLOOKUP($B22,Courts!$B$2:$J$50,9,false),0)</f>
        <v>0</v>
      </c>
      <c r="N22" s="37">
        <f t="shared" ref="N22:O22" si="23">C22+L22</f>
        <v>0</v>
      </c>
      <c r="O22" s="37">
        <f t="shared" si="23"/>
        <v>0</v>
      </c>
      <c r="P22" s="49" t="s">
        <v>57</v>
      </c>
      <c r="Q22" s="49" t="s">
        <v>57</v>
      </c>
      <c r="R22" s="49" t="s">
        <v>57</v>
      </c>
      <c r="S22" s="51"/>
      <c r="T22" s="52"/>
      <c r="U22" s="52"/>
      <c r="V22" s="51"/>
      <c r="W22" s="52"/>
      <c r="X22" s="35">
        <f t="shared" si="8"/>
        <v>18</v>
      </c>
      <c r="Y22" s="35" t="str">
        <f t="shared" si="4"/>
        <v>Y</v>
      </c>
      <c r="Z22" s="19" t="str">
        <f t="shared" si="5"/>
        <v/>
      </c>
    </row>
    <row r="23">
      <c r="A23" s="35">
        <f t="shared" si="6"/>
        <v>19</v>
      </c>
      <c r="B23" s="36" t="s">
        <v>139</v>
      </c>
      <c r="C23" s="37"/>
      <c r="D23" s="37"/>
      <c r="E23" s="40">
        <f t="shared" si="2"/>
        <v>0</v>
      </c>
      <c r="F23" s="41">
        <f>if(isna(VLOOKUP(B23,Checkin!A:B,2,false)),0,VLOOKUP(B23,Checkin!A:B,2,false))</f>
        <v>0</v>
      </c>
      <c r="G23" s="44"/>
      <c r="H23" s="45"/>
      <c r="I23" s="44"/>
      <c r="J23" s="44"/>
      <c r="K23" s="44"/>
      <c r="L23" s="48"/>
      <c r="M23" s="44">
        <f>if(OR($F23=1, $F23=2),VLOOKUP($B23,Courts!$B$2:$J$50,9,false),0)</f>
        <v>0</v>
      </c>
      <c r="N23" s="37">
        <f t="shared" ref="N23:O23" si="24">C23+L23</f>
        <v>0</v>
      </c>
      <c r="O23" s="37">
        <f t="shared" si="24"/>
        <v>0</v>
      </c>
      <c r="P23" s="49" t="s">
        <v>57</v>
      </c>
      <c r="Q23" s="49" t="s">
        <v>57</v>
      </c>
      <c r="R23" s="49" t="s">
        <v>57</v>
      </c>
      <c r="S23" s="51"/>
      <c r="T23" s="52"/>
      <c r="U23" s="52"/>
      <c r="V23" s="51"/>
      <c r="W23" s="52"/>
      <c r="X23" s="35">
        <f t="shared" si="8"/>
        <v>19</v>
      </c>
      <c r="Y23" s="35" t="str">
        <f t="shared" si="4"/>
        <v>Y</v>
      </c>
      <c r="Z23" s="19" t="str">
        <f t="shared" si="5"/>
        <v/>
      </c>
    </row>
    <row r="24">
      <c r="A24" s="35">
        <f t="shared" si="6"/>
        <v>20</v>
      </c>
      <c r="B24" s="36" t="s">
        <v>108</v>
      </c>
      <c r="C24" s="37"/>
      <c r="D24" s="37"/>
      <c r="E24" s="40">
        <f t="shared" si="2"/>
        <v>0</v>
      </c>
      <c r="F24" s="41">
        <f>if(isna(VLOOKUP(B24,Checkin!A:B,2,false)),0,VLOOKUP(B24,Checkin!A:B,2,false))</f>
        <v>0</v>
      </c>
      <c r="G24" s="44"/>
      <c r="H24" s="45"/>
      <c r="I24" s="44"/>
      <c r="J24" s="44"/>
      <c r="K24" s="44"/>
      <c r="L24" s="48"/>
      <c r="M24" s="44">
        <f>if(OR($F24=1, $F24=2),VLOOKUP($B24,Courts!$B$2:$J$50,9,false),0)</f>
        <v>0</v>
      </c>
      <c r="N24" s="37">
        <f t="shared" ref="N24:O24" si="25">C24+L24</f>
        <v>0</v>
      </c>
      <c r="O24" s="37">
        <f t="shared" si="25"/>
        <v>0</v>
      </c>
      <c r="P24" s="49" t="s">
        <v>57</v>
      </c>
      <c r="Q24" s="49" t="s">
        <v>57</v>
      </c>
      <c r="R24" s="49" t="s">
        <v>57</v>
      </c>
      <c r="S24" s="51"/>
      <c r="T24" s="52"/>
      <c r="U24" s="52"/>
      <c r="V24" s="51"/>
      <c r="W24" s="52"/>
      <c r="X24" s="35">
        <f t="shared" si="8"/>
        <v>20</v>
      </c>
      <c r="Y24" s="35" t="str">
        <f t="shared" si="4"/>
        <v>Y</v>
      </c>
      <c r="Z24" s="19" t="str">
        <f t="shared" si="5"/>
        <v/>
      </c>
    </row>
    <row r="25">
      <c r="A25" s="35">
        <f t="shared" si="6"/>
        <v>21</v>
      </c>
      <c r="B25" s="36" t="s">
        <v>99</v>
      </c>
      <c r="C25" s="37"/>
      <c r="D25" s="37"/>
      <c r="E25" s="40">
        <f t="shared" si="2"/>
        <v>0</v>
      </c>
      <c r="F25" s="41">
        <f>if(isna(VLOOKUP(B25,Checkin!A:B,2,false)),0,VLOOKUP(B25,Checkin!A:B,2,false))</f>
        <v>0</v>
      </c>
      <c r="G25" s="44"/>
      <c r="H25" s="45"/>
      <c r="I25" s="44"/>
      <c r="J25" s="44"/>
      <c r="K25" s="44"/>
      <c r="L25" s="48"/>
      <c r="M25" s="44">
        <f>if(OR($F25=1, $F25=2),VLOOKUP($B25,Courts!$B$2:$J$50,9,false),0)</f>
        <v>0</v>
      </c>
      <c r="N25" s="37">
        <f t="shared" ref="N25:O25" si="26">C25+L25</f>
        <v>0</v>
      </c>
      <c r="O25" s="37">
        <f t="shared" si="26"/>
        <v>0</v>
      </c>
      <c r="P25" s="49" t="s">
        <v>57</v>
      </c>
      <c r="Q25" s="49" t="s">
        <v>57</v>
      </c>
      <c r="R25" s="49" t="s">
        <v>57</v>
      </c>
      <c r="S25" s="51"/>
      <c r="T25" s="52"/>
      <c r="U25" s="52"/>
      <c r="V25" s="51"/>
      <c r="W25" s="52"/>
      <c r="X25" s="35">
        <f t="shared" si="8"/>
        <v>21</v>
      </c>
      <c r="Y25" s="35" t="str">
        <f t="shared" si="4"/>
        <v>Y</v>
      </c>
      <c r="Z25" s="19" t="str">
        <f t="shared" si="5"/>
        <v/>
      </c>
    </row>
    <row r="26">
      <c r="A26" s="35">
        <f t="shared" si="6"/>
        <v>22</v>
      </c>
      <c r="B26" s="36" t="s">
        <v>97</v>
      </c>
      <c r="C26" s="37"/>
      <c r="D26" s="37"/>
      <c r="E26" s="40">
        <f t="shared" si="2"/>
        <v>0</v>
      </c>
      <c r="F26" s="41">
        <f>if(isna(VLOOKUP(B26,Checkin!A:B,2,false)),0,VLOOKUP(B26,Checkin!A:B,2,false))</f>
        <v>0</v>
      </c>
      <c r="G26" s="44"/>
      <c r="H26" s="45"/>
      <c r="I26" s="44"/>
      <c r="J26" s="44"/>
      <c r="K26" s="44"/>
      <c r="L26" s="48"/>
      <c r="M26" s="44">
        <f>if(OR($F26=1, $F26=2),VLOOKUP($B26,Courts!$B$2:$J$50,9,false),0)</f>
        <v>0</v>
      </c>
      <c r="N26" s="37">
        <f t="shared" ref="N26:O26" si="27">C26+L26</f>
        <v>0</v>
      </c>
      <c r="O26" s="37">
        <f t="shared" si="27"/>
        <v>0</v>
      </c>
      <c r="P26" s="49" t="s">
        <v>57</v>
      </c>
      <c r="Q26" s="49" t="s">
        <v>57</v>
      </c>
      <c r="R26" s="49" t="s">
        <v>57</v>
      </c>
      <c r="S26" s="51"/>
      <c r="T26" s="52"/>
      <c r="U26" s="52"/>
      <c r="V26" s="51"/>
      <c r="W26" s="52"/>
      <c r="X26" s="35">
        <f t="shared" si="8"/>
        <v>22</v>
      </c>
      <c r="Y26" s="35" t="str">
        <f t="shared" si="4"/>
        <v>Y</v>
      </c>
      <c r="Z26" s="19" t="str">
        <f t="shared" si="5"/>
        <v/>
      </c>
    </row>
    <row r="27">
      <c r="A27" s="35">
        <f t="shared" si="6"/>
        <v>23</v>
      </c>
      <c r="B27" s="36" t="s">
        <v>110</v>
      </c>
      <c r="C27" s="37"/>
      <c r="D27" s="37"/>
      <c r="E27" s="40">
        <f t="shared" si="2"/>
        <v>0</v>
      </c>
      <c r="F27" s="41">
        <f>if(isna(VLOOKUP(B27,Checkin!A:B,2,false)),0,VLOOKUP(B27,Checkin!A:B,2,false))</f>
        <v>0</v>
      </c>
      <c r="G27" s="44"/>
      <c r="H27" s="45"/>
      <c r="I27" s="44"/>
      <c r="J27" s="44"/>
      <c r="K27" s="44"/>
      <c r="L27" s="48"/>
      <c r="M27" s="44">
        <f>if(OR($F27=1, $F27=2),VLOOKUP($B27,Courts!$B$2:$J$50,9,false),0)</f>
        <v>0</v>
      </c>
      <c r="N27" s="37">
        <f t="shared" ref="N27:O27" si="28">C27+L27</f>
        <v>0</v>
      </c>
      <c r="O27" s="37">
        <f t="shared" si="28"/>
        <v>0</v>
      </c>
      <c r="P27" s="49" t="s">
        <v>57</v>
      </c>
      <c r="Q27" s="49" t="s">
        <v>57</v>
      </c>
      <c r="R27" s="49" t="s">
        <v>57</v>
      </c>
      <c r="S27" s="51"/>
      <c r="T27" s="52"/>
      <c r="U27" s="52"/>
      <c r="V27" s="51"/>
      <c r="W27" s="52"/>
      <c r="X27" s="35">
        <f t="shared" si="8"/>
        <v>23</v>
      </c>
      <c r="Y27" s="35" t="str">
        <f t="shared" si="4"/>
        <v>Y</v>
      </c>
      <c r="Z27" s="19" t="str">
        <f t="shared" si="5"/>
        <v/>
      </c>
    </row>
    <row r="28">
      <c r="A28" s="35">
        <f t="shared" si="6"/>
        <v>24</v>
      </c>
      <c r="B28" s="36" t="s">
        <v>64</v>
      </c>
      <c r="C28" s="37"/>
      <c r="D28" s="37"/>
      <c r="E28" s="40">
        <f t="shared" si="2"/>
        <v>0</v>
      </c>
      <c r="F28" s="41">
        <f>if(isna(VLOOKUP(B28,Checkin!A:B,2,false)),0,VLOOKUP(B28,Checkin!A:B,2,false))</f>
        <v>0</v>
      </c>
      <c r="G28" s="44"/>
      <c r="H28" s="45"/>
      <c r="I28" s="44"/>
      <c r="J28" s="44"/>
      <c r="K28" s="44"/>
      <c r="L28" s="48"/>
      <c r="M28" s="44">
        <f>if(OR($F28=1, $F28=2),VLOOKUP($B28,Courts!$B$2:$J$50,9,false),0)</f>
        <v>0</v>
      </c>
      <c r="N28" s="37">
        <f t="shared" ref="N28:O28" si="29">C28+L28</f>
        <v>0</v>
      </c>
      <c r="O28" s="37">
        <f t="shared" si="29"/>
        <v>0</v>
      </c>
      <c r="P28" s="49" t="s">
        <v>57</v>
      </c>
      <c r="Q28" s="49" t="s">
        <v>57</v>
      </c>
      <c r="R28" s="49" t="s">
        <v>57</v>
      </c>
      <c r="S28" s="51"/>
      <c r="T28" s="52"/>
      <c r="U28" s="52"/>
      <c r="V28" s="51"/>
      <c r="W28" s="52"/>
      <c r="X28" s="35">
        <f t="shared" si="8"/>
        <v>24</v>
      </c>
      <c r="Y28" s="35" t="str">
        <f t="shared" si="4"/>
        <v>Y</v>
      </c>
      <c r="Z28" s="19" t="str">
        <f t="shared" si="5"/>
        <v/>
      </c>
    </row>
    <row r="29">
      <c r="A29" s="35">
        <f t="shared" si="6"/>
        <v>25</v>
      </c>
      <c r="B29" s="36" t="s">
        <v>73</v>
      </c>
      <c r="C29" s="37"/>
      <c r="D29" s="37"/>
      <c r="E29" s="40">
        <f t="shared" si="2"/>
        <v>0</v>
      </c>
      <c r="F29" s="41">
        <f>if(isna(VLOOKUP(B29,Checkin!A:B,2,false)),0,VLOOKUP(B29,Checkin!A:B,2,false))</f>
        <v>0</v>
      </c>
      <c r="G29" s="44"/>
      <c r="H29" s="45"/>
      <c r="I29" s="44"/>
      <c r="J29" s="44"/>
      <c r="K29" s="44"/>
      <c r="L29" s="48"/>
      <c r="M29" s="44">
        <f>if(OR($F29=1, $F29=2),VLOOKUP($B29,Courts!$B$2:$J$50,9,false),0)</f>
        <v>0</v>
      </c>
      <c r="N29" s="37">
        <f t="shared" ref="N29:O29" si="30">C29+L29</f>
        <v>0</v>
      </c>
      <c r="O29" s="37">
        <f t="shared" si="30"/>
        <v>0</v>
      </c>
      <c r="P29" s="49" t="s">
        <v>57</v>
      </c>
      <c r="Q29" s="49" t="s">
        <v>57</v>
      </c>
      <c r="R29" s="49" t="s">
        <v>57</v>
      </c>
      <c r="S29" s="51"/>
      <c r="T29" s="52"/>
      <c r="U29" s="52"/>
      <c r="V29" s="51"/>
      <c r="W29" s="52"/>
      <c r="X29" s="35">
        <f t="shared" si="8"/>
        <v>25</v>
      </c>
      <c r="Y29" s="35" t="str">
        <f t="shared" si="4"/>
        <v>Y</v>
      </c>
      <c r="Z29" s="19" t="str">
        <f t="shared" si="5"/>
        <v/>
      </c>
    </row>
    <row r="30">
      <c r="A30" s="35">
        <f t="shared" si="6"/>
        <v>26</v>
      </c>
      <c r="B30" s="36" t="s">
        <v>129</v>
      </c>
      <c r="C30" s="37"/>
      <c r="D30" s="37"/>
      <c r="E30" s="40">
        <f t="shared" si="2"/>
        <v>0</v>
      </c>
      <c r="F30" s="41">
        <f>if(isna(VLOOKUP(B30,Checkin!A:B,2,false)),0,VLOOKUP(B30,Checkin!A:B,2,false))</f>
        <v>0</v>
      </c>
      <c r="G30" s="44"/>
      <c r="H30" s="45"/>
      <c r="I30" s="44"/>
      <c r="J30" s="44"/>
      <c r="K30" s="44"/>
      <c r="L30" s="48"/>
      <c r="M30" s="44">
        <f>if(OR($F30=1, $F30=2),VLOOKUP($B30,Courts!$B$2:$J$50,9,false),0)</f>
        <v>0</v>
      </c>
      <c r="N30" s="37">
        <f t="shared" ref="N30:O30" si="31">C30+L30</f>
        <v>0</v>
      </c>
      <c r="O30" s="37">
        <f t="shared" si="31"/>
        <v>0</v>
      </c>
      <c r="P30" s="49" t="s">
        <v>57</v>
      </c>
      <c r="Q30" s="49" t="s">
        <v>57</v>
      </c>
      <c r="R30" s="49" t="s">
        <v>57</v>
      </c>
      <c r="S30" s="51"/>
      <c r="T30" s="52"/>
      <c r="U30" s="52"/>
      <c r="V30" s="51"/>
      <c r="W30" s="52"/>
      <c r="X30" s="35">
        <f t="shared" si="8"/>
        <v>26</v>
      </c>
      <c r="Y30" s="35" t="str">
        <f t="shared" si="4"/>
        <v>Y</v>
      </c>
      <c r="Z30" s="19" t="str">
        <f t="shared" si="5"/>
        <v/>
      </c>
    </row>
    <row r="31">
      <c r="A31" s="35">
        <f t="shared" si="6"/>
        <v>27</v>
      </c>
      <c r="B31" s="36" t="s">
        <v>140</v>
      </c>
      <c r="C31" s="37"/>
      <c r="D31" s="37"/>
      <c r="E31" s="40">
        <f t="shared" si="2"/>
        <v>0</v>
      </c>
      <c r="F31" s="41">
        <f>if(isna(VLOOKUP(B31,Checkin!A:B,2,false)),0,VLOOKUP(B31,Checkin!A:B,2,false))</f>
        <v>0</v>
      </c>
      <c r="G31" s="44"/>
      <c r="H31" s="45"/>
      <c r="I31" s="44"/>
      <c r="J31" s="44"/>
      <c r="K31" s="44"/>
      <c r="L31" s="48"/>
      <c r="M31" s="44">
        <f>if(OR($F31=1, $F31=2),VLOOKUP($B31,Courts!$B$2:$J$50,9,false),0)</f>
        <v>0</v>
      </c>
      <c r="N31" s="37">
        <f t="shared" ref="N31:O31" si="32">C31+L31</f>
        <v>0</v>
      </c>
      <c r="O31" s="37">
        <f t="shared" si="32"/>
        <v>0</v>
      </c>
      <c r="P31" s="49" t="s">
        <v>57</v>
      </c>
      <c r="Q31" s="49" t="s">
        <v>57</v>
      </c>
      <c r="R31" s="49" t="s">
        <v>57</v>
      </c>
      <c r="S31" s="51"/>
      <c r="T31" s="52"/>
      <c r="U31" s="52"/>
      <c r="V31" s="51"/>
      <c r="W31" s="52"/>
      <c r="X31" s="35">
        <f t="shared" si="8"/>
        <v>27</v>
      </c>
      <c r="Y31" s="35" t="str">
        <f t="shared" si="4"/>
        <v>Y</v>
      </c>
      <c r="Z31" s="19" t="str">
        <f t="shared" si="5"/>
        <v/>
      </c>
    </row>
    <row r="32">
      <c r="A32" s="35">
        <f t="shared" si="6"/>
        <v>28</v>
      </c>
      <c r="B32" s="36" t="s">
        <v>131</v>
      </c>
      <c r="C32" s="37"/>
      <c r="D32" s="37"/>
      <c r="E32" s="40">
        <f t="shared" si="2"/>
        <v>0</v>
      </c>
      <c r="F32" s="41">
        <f>if(isna(VLOOKUP(B32,Checkin!A:B,2,false)),0,VLOOKUP(B32,Checkin!A:B,2,false))</f>
        <v>0</v>
      </c>
      <c r="G32" s="44"/>
      <c r="H32" s="45"/>
      <c r="I32" s="44"/>
      <c r="J32" s="44"/>
      <c r="K32" s="44"/>
      <c r="L32" s="48"/>
      <c r="M32" s="44">
        <f>if(OR($F32=1, $F32=2),VLOOKUP($B32,Courts!$B$2:$J$50,9,false),0)</f>
        <v>0</v>
      </c>
      <c r="N32" s="37">
        <f t="shared" ref="N32:O32" si="33">C32+L32</f>
        <v>0</v>
      </c>
      <c r="O32" s="37">
        <f t="shared" si="33"/>
        <v>0</v>
      </c>
      <c r="P32" s="49" t="s">
        <v>57</v>
      </c>
      <c r="Q32" s="49" t="s">
        <v>57</v>
      </c>
      <c r="R32" s="49" t="s">
        <v>57</v>
      </c>
      <c r="S32" s="51"/>
      <c r="T32" s="52"/>
      <c r="U32" s="52"/>
      <c r="V32" s="51"/>
      <c r="W32" s="52"/>
      <c r="X32" s="35">
        <f t="shared" si="8"/>
        <v>28</v>
      </c>
      <c r="Y32" s="35" t="str">
        <f t="shared" si="4"/>
        <v>Y</v>
      </c>
      <c r="Z32" s="19" t="str">
        <f t="shared" si="5"/>
        <v/>
      </c>
    </row>
    <row r="33">
      <c r="A33" s="35">
        <f t="shared" si="6"/>
        <v>29</v>
      </c>
      <c r="B33" s="36" t="s">
        <v>59</v>
      </c>
      <c r="C33" s="37"/>
      <c r="D33" s="37"/>
      <c r="E33" s="40">
        <f t="shared" si="2"/>
        <v>0</v>
      </c>
      <c r="F33" s="41">
        <f>if(isna(VLOOKUP(B33,Checkin!A:B,2,false)),0,VLOOKUP(B33,Checkin!A:B,2,false))</f>
        <v>0</v>
      </c>
      <c r="G33" s="44"/>
      <c r="H33" s="45"/>
      <c r="I33" s="44"/>
      <c r="J33" s="44"/>
      <c r="K33" s="44"/>
      <c r="L33" s="48"/>
      <c r="M33" s="44">
        <f>if(OR($F33=1, $F33=2),VLOOKUP($B33,Courts!$B$2:$J$50,9,false),0)</f>
        <v>0</v>
      </c>
      <c r="N33" s="37">
        <f t="shared" ref="N33:O33" si="34">C33+L33</f>
        <v>0</v>
      </c>
      <c r="O33" s="37">
        <f t="shared" si="34"/>
        <v>0</v>
      </c>
      <c r="P33" s="49" t="s">
        <v>57</v>
      </c>
      <c r="Q33" s="49" t="s">
        <v>57</v>
      </c>
      <c r="R33" s="49" t="s">
        <v>57</v>
      </c>
      <c r="S33" s="51"/>
      <c r="T33" s="52"/>
      <c r="U33" s="52"/>
      <c r="V33" s="51"/>
      <c r="W33" s="52"/>
      <c r="X33" s="35">
        <f t="shared" si="8"/>
        <v>29</v>
      </c>
      <c r="Y33" s="35" t="str">
        <f t="shared" si="4"/>
        <v>Y</v>
      </c>
      <c r="Z33" s="19" t="str">
        <f t="shared" si="5"/>
        <v/>
      </c>
    </row>
    <row r="34">
      <c r="A34" s="35">
        <f t="shared" si="6"/>
        <v>30</v>
      </c>
      <c r="B34" s="36" t="s">
        <v>109</v>
      </c>
      <c r="C34" s="37"/>
      <c r="D34" s="37"/>
      <c r="E34" s="40">
        <f t="shared" si="2"/>
        <v>0</v>
      </c>
      <c r="F34" s="41">
        <f>if(isna(VLOOKUP(B34,Checkin!A:B,2,false)),0,VLOOKUP(B34,Checkin!A:B,2,false))</f>
        <v>0</v>
      </c>
      <c r="G34" s="44"/>
      <c r="H34" s="45"/>
      <c r="I34" s="44"/>
      <c r="J34" s="44"/>
      <c r="K34" s="44"/>
      <c r="L34" s="48"/>
      <c r="M34" s="44">
        <f>if(OR($F34=1, $F34=2),VLOOKUP($B34,Courts!$B$2:$J$50,9,false),0)</f>
        <v>0</v>
      </c>
      <c r="N34" s="37">
        <f t="shared" ref="N34:O34" si="35">C34+L34</f>
        <v>0</v>
      </c>
      <c r="O34" s="37">
        <f t="shared" si="35"/>
        <v>0</v>
      </c>
      <c r="P34" s="49" t="s">
        <v>57</v>
      </c>
      <c r="Q34" s="49" t="s">
        <v>57</v>
      </c>
      <c r="R34" s="49" t="s">
        <v>57</v>
      </c>
      <c r="S34" s="51"/>
      <c r="T34" s="52"/>
      <c r="U34" s="52"/>
      <c r="V34" s="51"/>
      <c r="W34" s="52"/>
      <c r="X34" s="35">
        <f t="shared" si="8"/>
        <v>30</v>
      </c>
      <c r="Y34" s="35" t="str">
        <f t="shared" si="4"/>
        <v>Y</v>
      </c>
      <c r="Z34" s="19" t="str">
        <f t="shared" si="5"/>
        <v/>
      </c>
    </row>
    <row r="35">
      <c r="A35" s="35">
        <f t="shared" si="6"/>
        <v>31</v>
      </c>
      <c r="B35" s="36" t="s">
        <v>93</v>
      </c>
      <c r="C35" s="37"/>
      <c r="D35" s="37"/>
      <c r="E35" s="40">
        <f t="shared" si="2"/>
        <v>0</v>
      </c>
      <c r="F35" s="41">
        <f>if(isna(VLOOKUP(B35,Checkin!A:B,2,false)),0,VLOOKUP(B35,Checkin!A:B,2,false))</f>
        <v>0</v>
      </c>
      <c r="G35" s="44"/>
      <c r="H35" s="45"/>
      <c r="I35" s="44"/>
      <c r="J35" s="44"/>
      <c r="K35" s="44"/>
      <c r="L35" s="48"/>
      <c r="M35" s="44">
        <f>if(OR($F35=1, $F35=2),VLOOKUP($B35,Courts!$B$2:$J$50,9,false),0)</f>
        <v>0</v>
      </c>
      <c r="N35" s="37">
        <f t="shared" ref="N35:O35" si="36">C35+L35</f>
        <v>0</v>
      </c>
      <c r="O35" s="37">
        <f t="shared" si="36"/>
        <v>0</v>
      </c>
      <c r="P35" s="49" t="s">
        <v>57</v>
      </c>
      <c r="Q35" s="49" t="s">
        <v>57</v>
      </c>
      <c r="R35" s="49" t="s">
        <v>57</v>
      </c>
      <c r="S35" s="51"/>
      <c r="T35" s="52"/>
      <c r="U35" s="52"/>
      <c r="V35" s="51"/>
      <c r="W35" s="52"/>
      <c r="X35" s="35">
        <f t="shared" si="8"/>
        <v>31</v>
      </c>
      <c r="Y35" s="35" t="str">
        <f t="shared" si="4"/>
        <v>Y</v>
      </c>
      <c r="Z35" s="19" t="str">
        <f t="shared" si="5"/>
        <v/>
      </c>
    </row>
    <row r="36">
      <c r="A36" s="35">
        <f t="shared" si="6"/>
        <v>32</v>
      </c>
      <c r="B36" s="36" t="s">
        <v>118</v>
      </c>
      <c r="C36" s="37"/>
      <c r="D36" s="37"/>
      <c r="E36" s="40">
        <f t="shared" si="2"/>
        <v>0</v>
      </c>
      <c r="F36" s="41">
        <f>if(isna(VLOOKUP(B36,Checkin!A:B,2,false)),0,VLOOKUP(B36,Checkin!A:B,2,false))</f>
        <v>0</v>
      </c>
      <c r="G36" s="44"/>
      <c r="H36" s="45"/>
      <c r="I36" s="44"/>
      <c r="J36" s="44"/>
      <c r="K36" s="44"/>
      <c r="L36" s="48"/>
      <c r="M36" s="44">
        <f>if(OR($F36=1, $F36=2),VLOOKUP($B36,Courts!$B$2:$J$50,9,false),0)</f>
        <v>0</v>
      </c>
      <c r="N36" s="37">
        <f t="shared" ref="N36:O36" si="37">C36+L36</f>
        <v>0</v>
      </c>
      <c r="O36" s="37">
        <f t="shared" si="37"/>
        <v>0</v>
      </c>
      <c r="P36" s="49" t="s">
        <v>57</v>
      </c>
      <c r="Q36" s="49" t="s">
        <v>57</v>
      </c>
      <c r="R36" s="49" t="s">
        <v>57</v>
      </c>
      <c r="S36" s="51"/>
      <c r="T36" s="52"/>
      <c r="U36" s="52"/>
      <c r="V36" s="51"/>
      <c r="W36" s="52"/>
      <c r="X36" s="35">
        <f t="shared" si="8"/>
        <v>32</v>
      </c>
      <c r="Y36" s="35" t="str">
        <f t="shared" si="4"/>
        <v>Y</v>
      </c>
      <c r="Z36" s="19" t="str">
        <f t="shared" si="5"/>
        <v/>
      </c>
    </row>
    <row r="37">
      <c r="A37" s="35">
        <f t="shared" si="6"/>
        <v>33</v>
      </c>
      <c r="B37" s="36" t="s">
        <v>101</v>
      </c>
      <c r="C37" s="37"/>
      <c r="D37" s="37"/>
      <c r="E37" s="40">
        <f t="shared" si="2"/>
        <v>0</v>
      </c>
      <c r="F37" s="41">
        <f>if(isna(VLOOKUP(B37,Checkin!A:B,2,false)),0,VLOOKUP(B37,Checkin!A:B,2,false))</f>
        <v>0</v>
      </c>
      <c r="G37" s="44"/>
      <c r="H37" s="45"/>
      <c r="I37" s="44"/>
      <c r="J37" s="44"/>
      <c r="K37" s="44"/>
      <c r="L37" s="48"/>
      <c r="M37" s="44">
        <f>if(OR($F37=1, $F37=2),VLOOKUP($B37,Courts!$B$2:$J$50,9,false),0)</f>
        <v>0</v>
      </c>
      <c r="N37" s="37">
        <f t="shared" ref="N37:O37" si="38">C37+L37</f>
        <v>0</v>
      </c>
      <c r="O37" s="37">
        <f t="shared" si="38"/>
        <v>0</v>
      </c>
      <c r="P37" s="49" t="s">
        <v>57</v>
      </c>
      <c r="Q37" s="49" t="s">
        <v>57</v>
      </c>
      <c r="R37" s="49" t="s">
        <v>57</v>
      </c>
      <c r="S37" s="51"/>
      <c r="T37" s="52"/>
      <c r="U37" s="52"/>
      <c r="V37" s="51"/>
      <c r="W37" s="52"/>
      <c r="X37" s="35">
        <f t="shared" si="8"/>
        <v>33</v>
      </c>
      <c r="Y37" s="35" t="str">
        <f t="shared" si="4"/>
        <v>Y</v>
      </c>
      <c r="Z37" s="19" t="str">
        <f t="shared" si="5"/>
        <v/>
      </c>
    </row>
    <row r="38">
      <c r="A38" s="35">
        <f t="shared" si="6"/>
        <v>34</v>
      </c>
      <c r="B38" s="36" t="s">
        <v>128</v>
      </c>
      <c r="C38" s="37"/>
      <c r="D38" s="37"/>
      <c r="E38" s="40">
        <f t="shared" si="2"/>
        <v>0</v>
      </c>
      <c r="F38" s="41">
        <f>if(isna(VLOOKUP(B38,Checkin!A:B,2,false)),0,VLOOKUP(B38,Checkin!A:B,2,false))</f>
        <v>0</v>
      </c>
      <c r="G38" s="44"/>
      <c r="H38" s="45"/>
      <c r="I38" s="44"/>
      <c r="J38" s="44"/>
      <c r="K38" s="44"/>
      <c r="L38" s="48"/>
      <c r="M38" s="44">
        <f>if(OR($F38=1, $F38=2),VLOOKUP($B38,Courts!$B$2:$J$50,9,false),0)</f>
        <v>0</v>
      </c>
      <c r="N38" s="37">
        <f t="shared" ref="N38:O38" si="39">C38+L38</f>
        <v>0</v>
      </c>
      <c r="O38" s="37">
        <f t="shared" si="39"/>
        <v>0</v>
      </c>
      <c r="P38" s="49" t="s">
        <v>57</v>
      </c>
      <c r="Q38" s="49" t="s">
        <v>57</v>
      </c>
      <c r="R38" s="49" t="s">
        <v>57</v>
      </c>
      <c r="S38" s="51"/>
      <c r="T38" s="52"/>
      <c r="U38" s="52"/>
      <c r="V38" s="51"/>
      <c r="W38" s="52"/>
      <c r="X38" s="35">
        <f t="shared" si="8"/>
        <v>34</v>
      </c>
      <c r="Y38" s="35" t="str">
        <f t="shared" si="4"/>
        <v>Y</v>
      </c>
      <c r="Z38" s="19" t="str">
        <f t="shared" si="5"/>
        <v/>
      </c>
    </row>
    <row r="39">
      <c r="A39" s="35">
        <f t="shared" si="6"/>
        <v>35</v>
      </c>
      <c r="B39" s="36" t="s">
        <v>107</v>
      </c>
      <c r="C39" s="37"/>
      <c r="D39" s="37"/>
      <c r="E39" s="40">
        <f t="shared" si="2"/>
        <v>0</v>
      </c>
      <c r="F39" s="41">
        <f>if(isna(VLOOKUP(B39,Checkin!A:B,2,false)),0,VLOOKUP(B39,Checkin!A:B,2,false))</f>
        <v>0</v>
      </c>
      <c r="G39" s="44"/>
      <c r="H39" s="45"/>
      <c r="I39" s="44"/>
      <c r="J39" s="44"/>
      <c r="K39" s="44"/>
      <c r="L39" s="48"/>
      <c r="M39" s="44">
        <f>if(OR($F39=1, $F39=2),VLOOKUP($B39,Courts!$B$2:$J$50,9,false),0)</f>
        <v>0</v>
      </c>
      <c r="N39" s="37">
        <f t="shared" ref="N39:O39" si="40">C39+L39</f>
        <v>0</v>
      </c>
      <c r="O39" s="37">
        <f t="shared" si="40"/>
        <v>0</v>
      </c>
      <c r="P39" s="49" t="s">
        <v>57</v>
      </c>
      <c r="Q39" s="49" t="s">
        <v>57</v>
      </c>
      <c r="R39" s="49" t="s">
        <v>57</v>
      </c>
      <c r="S39" s="51"/>
      <c r="T39" s="52"/>
      <c r="U39" s="52"/>
      <c r="V39" s="51"/>
      <c r="W39" s="52"/>
      <c r="X39" s="35">
        <f t="shared" si="8"/>
        <v>35</v>
      </c>
      <c r="Y39" s="35" t="str">
        <f t="shared" si="4"/>
        <v>Y</v>
      </c>
      <c r="Z39" s="19" t="str">
        <f t="shared" si="5"/>
        <v/>
      </c>
    </row>
    <row r="40">
      <c r="A40" s="35">
        <f t="shared" si="6"/>
        <v>36</v>
      </c>
      <c r="B40" s="36" t="s">
        <v>90</v>
      </c>
      <c r="C40" s="37"/>
      <c r="D40" s="37"/>
      <c r="E40" s="40">
        <f t="shared" si="2"/>
        <v>0</v>
      </c>
      <c r="F40" s="41">
        <f>if(isna(VLOOKUP(B40,Checkin!A:B,2,false)),0,VLOOKUP(B40,Checkin!A:B,2,false))</f>
        <v>0</v>
      </c>
      <c r="G40" s="44"/>
      <c r="H40" s="45"/>
      <c r="I40" s="44"/>
      <c r="J40" s="44"/>
      <c r="K40" s="44"/>
      <c r="L40" s="48"/>
      <c r="M40" s="44">
        <f>if(OR($F40=1, $F40=2),VLOOKUP($B40,Courts!$B$2:$J$50,9,false),0)</f>
        <v>0</v>
      </c>
      <c r="N40" s="37">
        <f t="shared" ref="N40:O40" si="41">C40+L40</f>
        <v>0</v>
      </c>
      <c r="O40" s="37">
        <f t="shared" si="41"/>
        <v>0</v>
      </c>
      <c r="P40" s="49" t="s">
        <v>57</v>
      </c>
      <c r="Q40" s="49" t="s">
        <v>57</v>
      </c>
      <c r="R40" s="49" t="s">
        <v>57</v>
      </c>
      <c r="S40" s="51"/>
      <c r="T40" s="52"/>
      <c r="U40" s="52"/>
      <c r="V40" s="51"/>
      <c r="W40" s="52"/>
      <c r="X40" s="35">
        <f t="shared" si="8"/>
        <v>36</v>
      </c>
      <c r="Y40" s="35" t="str">
        <f t="shared" si="4"/>
        <v>Y</v>
      </c>
      <c r="Z40" s="19" t="str">
        <f t="shared" si="5"/>
        <v/>
      </c>
    </row>
    <row r="41">
      <c r="A41" s="35">
        <f t="shared" si="6"/>
        <v>37</v>
      </c>
      <c r="B41" s="36" t="s">
        <v>143</v>
      </c>
      <c r="C41" s="37"/>
      <c r="D41" s="37"/>
      <c r="E41" s="40">
        <f t="shared" si="2"/>
        <v>0</v>
      </c>
      <c r="F41" s="41">
        <f>if(isna(VLOOKUP(B41,Checkin!A:B,2,false)),0,VLOOKUP(B41,Checkin!A:B,2,false))</f>
        <v>0</v>
      </c>
      <c r="G41" s="44"/>
      <c r="H41" s="45"/>
      <c r="I41" s="44"/>
      <c r="J41" s="44"/>
      <c r="K41" s="44"/>
      <c r="L41" s="48"/>
      <c r="M41" s="44">
        <f>if(OR($F41=1, $F41=2),VLOOKUP($B41,Courts!$B$2:$J$50,9,false),0)</f>
        <v>0</v>
      </c>
      <c r="N41" s="37">
        <f t="shared" ref="N41:O41" si="42">C41+L41</f>
        <v>0</v>
      </c>
      <c r="O41" s="37">
        <f t="shared" si="42"/>
        <v>0</v>
      </c>
      <c r="P41" s="49" t="s">
        <v>57</v>
      </c>
      <c r="Q41" s="49" t="s">
        <v>57</v>
      </c>
      <c r="R41" s="49" t="s">
        <v>57</v>
      </c>
      <c r="S41" s="51"/>
      <c r="T41" s="52"/>
      <c r="U41" s="52"/>
      <c r="V41" s="51"/>
      <c r="W41" s="52"/>
      <c r="X41" s="35">
        <f t="shared" si="8"/>
        <v>37</v>
      </c>
      <c r="Y41" s="35" t="str">
        <f t="shared" si="4"/>
        <v>Y</v>
      </c>
      <c r="Z41" s="19" t="str">
        <f t="shared" si="5"/>
        <v/>
      </c>
    </row>
    <row r="42">
      <c r="A42" s="35">
        <f t="shared" si="6"/>
        <v>38</v>
      </c>
      <c r="B42" s="36" t="s">
        <v>134</v>
      </c>
      <c r="C42" s="37"/>
      <c r="D42" s="37"/>
      <c r="E42" s="40">
        <f t="shared" si="2"/>
        <v>0</v>
      </c>
      <c r="F42" s="41">
        <f>if(isna(VLOOKUP(B42,Checkin!A:B,2,false)),0,VLOOKUP(B42,Checkin!A:B,2,false))</f>
        <v>0</v>
      </c>
      <c r="G42" s="44"/>
      <c r="H42" s="45"/>
      <c r="I42" s="44"/>
      <c r="J42" s="44"/>
      <c r="K42" s="44"/>
      <c r="L42" s="48"/>
      <c r="M42" s="44">
        <f>if(OR($F42=1, $F42=2),VLOOKUP($B42,Courts!$B$2:$J$50,9,false),0)</f>
        <v>0</v>
      </c>
      <c r="N42" s="37">
        <f t="shared" ref="N42:O42" si="43">C42+L42</f>
        <v>0</v>
      </c>
      <c r="O42" s="37">
        <f t="shared" si="43"/>
        <v>0</v>
      </c>
      <c r="P42" s="49" t="s">
        <v>57</v>
      </c>
      <c r="Q42" s="49" t="s">
        <v>57</v>
      </c>
      <c r="R42" s="49" t="s">
        <v>57</v>
      </c>
      <c r="S42" s="51"/>
      <c r="T42" s="52"/>
      <c r="U42" s="52"/>
      <c r="V42" s="51"/>
      <c r="W42" s="52"/>
      <c r="X42" s="35">
        <f t="shared" si="8"/>
        <v>38</v>
      </c>
      <c r="Y42" s="35" t="str">
        <f t="shared" si="4"/>
        <v>Y</v>
      </c>
      <c r="Z42" s="19" t="str">
        <f t="shared" si="5"/>
        <v/>
      </c>
    </row>
    <row r="43">
      <c r="A43" s="35">
        <f t="shared" si="6"/>
        <v>39</v>
      </c>
      <c r="B43" s="36" t="s">
        <v>125</v>
      </c>
      <c r="C43" s="37"/>
      <c r="D43" s="37"/>
      <c r="E43" s="40">
        <f t="shared" si="2"/>
        <v>0</v>
      </c>
      <c r="F43" s="41">
        <f>if(isna(VLOOKUP(B43,Checkin!A:B,2,false)),0,VLOOKUP(B43,Checkin!A:B,2,false))</f>
        <v>0</v>
      </c>
      <c r="G43" s="44"/>
      <c r="H43" s="45"/>
      <c r="I43" s="44"/>
      <c r="J43" s="44"/>
      <c r="K43" s="44"/>
      <c r="L43" s="48"/>
      <c r="M43" s="44">
        <f>if(OR($F43=1, $F43=2),VLOOKUP($B43,Courts!$B$2:$J$50,9,false),0)</f>
        <v>0</v>
      </c>
      <c r="N43" s="37">
        <f t="shared" ref="N43:O43" si="44">C43+L43</f>
        <v>0</v>
      </c>
      <c r="O43" s="37">
        <f t="shared" si="44"/>
        <v>0</v>
      </c>
      <c r="P43" s="49" t="s">
        <v>57</v>
      </c>
      <c r="Q43" s="49" t="s">
        <v>57</v>
      </c>
      <c r="R43" s="49" t="s">
        <v>57</v>
      </c>
      <c r="S43" s="51"/>
      <c r="T43" s="52"/>
      <c r="U43" s="52"/>
      <c r="V43" s="51"/>
      <c r="W43" s="52"/>
      <c r="X43" s="35">
        <f t="shared" si="8"/>
        <v>39</v>
      </c>
      <c r="Y43" s="35" t="str">
        <f t="shared" si="4"/>
        <v>Y</v>
      </c>
      <c r="Z43" s="19" t="str">
        <f t="shared" si="5"/>
        <v/>
      </c>
    </row>
    <row r="44">
      <c r="A44" s="35">
        <f t="shared" si="6"/>
        <v>40</v>
      </c>
      <c r="B44" s="36" t="s">
        <v>141</v>
      </c>
      <c r="C44" s="37"/>
      <c r="D44" s="37"/>
      <c r="E44" s="40">
        <f t="shared" si="2"/>
        <v>0</v>
      </c>
      <c r="F44" s="41">
        <f>if(isna(VLOOKUP(B44,Checkin!A:B,2,false)),0,VLOOKUP(B44,Checkin!A:B,2,false))</f>
        <v>0</v>
      </c>
      <c r="G44" s="44"/>
      <c r="H44" s="45"/>
      <c r="I44" s="44"/>
      <c r="J44" s="44"/>
      <c r="K44" s="44"/>
      <c r="L44" s="48"/>
      <c r="M44" s="44">
        <f>if(OR($F44=1, $F44=2),VLOOKUP($B44,Courts!$B$2:$J$50,9,false),0)</f>
        <v>0</v>
      </c>
      <c r="N44" s="37">
        <f t="shared" ref="N44:O44" si="45">C44+L44</f>
        <v>0</v>
      </c>
      <c r="O44" s="37">
        <f t="shared" si="45"/>
        <v>0</v>
      </c>
      <c r="P44" s="49" t="s">
        <v>57</v>
      </c>
      <c r="Q44" s="49" t="s">
        <v>57</v>
      </c>
      <c r="R44" s="49" t="s">
        <v>57</v>
      </c>
      <c r="S44" s="51"/>
      <c r="T44" s="52"/>
      <c r="U44" s="52"/>
      <c r="V44" s="51"/>
      <c r="W44" s="52"/>
      <c r="X44" s="35">
        <f t="shared" si="8"/>
        <v>40</v>
      </c>
      <c r="Y44" s="35" t="str">
        <f t="shared" si="4"/>
        <v>Y</v>
      </c>
      <c r="Z44" s="19" t="str">
        <f t="shared" si="5"/>
        <v/>
      </c>
    </row>
    <row r="45">
      <c r="A45" s="35">
        <f t="shared" si="6"/>
        <v>41</v>
      </c>
      <c r="B45" s="36" t="s">
        <v>78</v>
      </c>
      <c r="C45" s="37"/>
      <c r="D45" s="37"/>
      <c r="E45" s="40">
        <f t="shared" si="2"/>
        <v>0</v>
      </c>
      <c r="F45" s="41">
        <f>if(isna(VLOOKUP(B45,Checkin!A:B,2,false)),0,VLOOKUP(B45,Checkin!A:B,2,false))</f>
        <v>0</v>
      </c>
      <c r="G45" s="44"/>
      <c r="H45" s="45"/>
      <c r="I45" s="44"/>
      <c r="J45" s="44"/>
      <c r="K45" s="44"/>
      <c r="L45" s="48"/>
      <c r="M45" s="44">
        <f>if(OR($F45=1, $F45=2),VLOOKUP($B45,Courts!$B$2:$J$50,9,false),0)</f>
        <v>0</v>
      </c>
      <c r="N45" s="37">
        <f t="shared" ref="N45:O45" si="46">C45+L45</f>
        <v>0</v>
      </c>
      <c r="O45" s="37">
        <f t="shared" si="46"/>
        <v>0</v>
      </c>
      <c r="P45" s="49" t="s">
        <v>57</v>
      </c>
      <c r="Q45" s="49" t="s">
        <v>57</v>
      </c>
      <c r="R45" s="49" t="s">
        <v>57</v>
      </c>
      <c r="S45" s="51"/>
      <c r="T45" s="52"/>
      <c r="U45" s="52"/>
      <c r="V45" s="51"/>
      <c r="W45" s="52"/>
      <c r="X45" s="35">
        <f t="shared" si="8"/>
        <v>41</v>
      </c>
      <c r="Y45" s="35" t="str">
        <f t="shared" si="4"/>
        <v>Y</v>
      </c>
      <c r="Z45" s="19" t="str">
        <f t="shared" si="5"/>
        <v/>
      </c>
    </row>
    <row r="46">
      <c r="A46" s="35">
        <f t="shared" si="6"/>
        <v>42</v>
      </c>
      <c r="B46" s="36" t="s">
        <v>70</v>
      </c>
      <c r="C46" s="37"/>
      <c r="D46" s="37"/>
      <c r="E46" s="40">
        <f t="shared" si="2"/>
        <v>0</v>
      </c>
      <c r="F46" s="41">
        <f>if(isna(VLOOKUP(B46,Checkin!A:B,2,false)),0,VLOOKUP(B46,Checkin!A:B,2,false))</f>
        <v>0</v>
      </c>
      <c r="G46" s="44"/>
      <c r="H46" s="45"/>
      <c r="I46" s="44"/>
      <c r="J46" s="44"/>
      <c r="K46" s="44"/>
      <c r="L46" s="48"/>
      <c r="M46" s="44">
        <f>if(OR($F46=1, $F46=2),VLOOKUP($B46,Courts!$B$2:$J$50,9,false),0)</f>
        <v>0</v>
      </c>
      <c r="N46" s="37">
        <f t="shared" ref="N46:O46" si="47">C46+L46</f>
        <v>0</v>
      </c>
      <c r="O46" s="37">
        <f t="shared" si="47"/>
        <v>0</v>
      </c>
      <c r="P46" s="49" t="s">
        <v>57</v>
      </c>
      <c r="Q46" s="49" t="s">
        <v>57</v>
      </c>
      <c r="R46" s="49" t="s">
        <v>57</v>
      </c>
      <c r="S46" s="51"/>
      <c r="T46" s="52"/>
      <c r="U46" s="52"/>
      <c r="V46" s="51"/>
      <c r="W46" s="52"/>
      <c r="X46" s="35">
        <f t="shared" si="8"/>
        <v>42</v>
      </c>
      <c r="Y46" s="35" t="str">
        <f t="shared" si="4"/>
        <v>Y</v>
      </c>
      <c r="Z46" s="19" t="str">
        <f t="shared" si="5"/>
        <v/>
      </c>
    </row>
    <row r="47">
      <c r="A47" s="35">
        <f t="shared" si="6"/>
        <v>43</v>
      </c>
      <c r="B47" s="36" t="s">
        <v>95</v>
      </c>
      <c r="C47" s="37"/>
      <c r="D47" s="37"/>
      <c r="E47" s="40">
        <f t="shared" si="2"/>
        <v>0</v>
      </c>
      <c r="F47" s="41">
        <f>if(isna(VLOOKUP(B47,Checkin!A:B,2,false)),0,VLOOKUP(B47,Checkin!A:B,2,false))</f>
        <v>0</v>
      </c>
      <c r="G47" s="44"/>
      <c r="H47" s="45"/>
      <c r="I47" s="44"/>
      <c r="J47" s="44"/>
      <c r="K47" s="44"/>
      <c r="L47" s="48"/>
      <c r="M47" s="44">
        <f>if(OR($F47=1, $F47=2),VLOOKUP($B47,Courts!$B$2:$J$50,9,false),0)</f>
        <v>0</v>
      </c>
      <c r="N47" s="37">
        <f t="shared" ref="N47:O47" si="48">C47+L47</f>
        <v>0</v>
      </c>
      <c r="O47" s="37">
        <f t="shared" si="48"/>
        <v>0</v>
      </c>
      <c r="P47" s="49" t="s">
        <v>57</v>
      </c>
      <c r="Q47" s="49" t="s">
        <v>57</v>
      </c>
      <c r="R47" s="49" t="s">
        <v>57</v>
      </c>
      <c r="S47" s="51"/>
      <c r="T47" s="52"/>
      <c r="U47" s="52"/>
      <c r="V47" s="51"/>
      <c r="W47" s="52"/>
      <c r="X47" s="35">
        <f t="shared" si="8"/>
        <v>43</v>
      </c>
      <c r="Y47" s="35" t="str">
        <f t="shared" si="4"/>
        <v>Y</v>
      </c>
      <c r="Z47" s="19" t="str">
        <f t="shared" si="5"/>
        <v/>
      </c>
    </row>
    <row r="48">
      <c r="A48" s="35">
        <f t="shared" si="6"/>
        <v>44</v>
      </c>
      <c r="B48" s="36" t="s">
        <v>145</v>
      </c>
      <c r="C48" s="37"/>
      <c r="D48" s="37"/>
      <c r="E48" s="40">
        <f t="shared" si="2"/>
        <v>0</v>
      </c>
      <c r="F48" s="41">
        <f>if(isna(VLOOKUP(B48,Checkin!A:B,2,false)),0,VLOOKUP(B48,Checkin!A:B,2,false))</f>
        <v>0</v>
      </c>
      <c r="G48" s="44"/>
      <c r="H48" s="45"/>
      <c r="I48" s="44"/>
      <c r="J48" s="44"/>
      <c r="K48" s="44"/>
      <c r="L48" s="48"/>
      <c r="M48" s="44">
        <f>if(OR($F48=1, $F48=2),VLOOKUP($B48,Courts!$B$2:$J$50,9,false),0)</f>
        <v>0</v>
      </c>
      <c r="N48" s="37">
        <f t="shared" ref="N48:O48" si="49">C48+L48</f>
        <v>0</v>
      </c>
      <c r="O48" s="37">
        <f t="shared" si="49"/>
        <v>0</v>
      </c>
      <c r="P48" s="49" t="s">
        <v>57</v>
      </c>
      <c r="Q48" s="49" t="s">
        <v>57</v>
      </c>
      <c r="R48" s="49" t="s">
        <v>57</v>
      </c>
      <c r="S48" s="51"/>
      <c r="T48" s="52"/>
      <c r="U48" s="52"/>
      <c r="V48" s="51"/>
      <c r="W48" s="52"/>
      <c r="X48" s="35">
        <f t="shared" si="8"/>
        <v>44</v>
      </c>
      <c r="Y48" s="35" t="str">
        <f t="shared" si="4"/>
        <v>Y</v>
      </c>
      <c r="Z48" s="19" t="str">
        <f t="shared" si="5"/>
        <v/>
      </c>
    </row>
    <row r="49">
      <c r="A49" s="35">
        <f t="shared" si="6"/>
        <v>45</v>
      </c>
      <c r="B49" s="36" t="s">
        <v>116</v>
      </c>
      <c r="C49" s="37"/>
      <c r="D49" s="37"/>
      <c r="E49" s="40">
        <f t="shared" si="2"/>
        <v>0</v>
      </c>
      <c r="F49" s="41">
        <f>if(isna(VLOOKUP(B49,Checkin!A:B,2,false)),0,VLOOKUP(B49,Checkin!A:B,2,false))</f>
        <v>0</v>
      </c>
      <c r="G49" s="44"/>
      <c r="H49" s="45"/>
      <c r="I49" s="44"/>
      <c r="J49" s="44"/>
      <c r="K49" s="44"/>
      <c r="L49" s="48"/>
      <c r="M49" s="44">
        <f>if(OR($F49=1, $F49=2),VLOOKUP($B49,Courts!$B$2:$J$50,9,false),0)</f>
        <v>0</v>
      </c>
      <c r="N49" s="37">
        <f t="shared" ref="N49:O49" si="50">C49+L49</f>
        <v>0</v>
      </c>
      <c r="O49" s="37">
        <f t="shared" si="50"/>
        <v>0</v>
      </c>
      <c r="P49" s="49" t="s">
        <v>57</v>
      </c>
      <c r="Q49" s="49" t="s">
        <v>57</v>
      </c>
      <c r="R49" s="49" t="s">
        <v>57</v>
      </c>
      <c r="S49" s="51"/>
      <c r="T49" s="52"/>
      <c r="U49" s="52"/>
      <c r="V49" s="51"/>
      <c r="W49" s="52"/>
      <c r="X49" s="35">
        <f t="shared" si="8"/>
        <v>45</v>
      </c>
      <c r="Y49" s="35" t="str">
        <f t="shared" si="4"/>
        <v>Y</v>
      </c>
      <c r="Z49" s="19" t="str">
        <f t="shared" si="5"/>
        <v/>
      </c>
    </row>
    <row r="50">
      <c r="A50" s="35">
        <f t="shared" si="6"/>
        <v>46</v>
      </c>
      <c r="B50" s="36" t="s">
        <v>147</v>
      </c>
      <c r="C50" s="37"/>
      <c r="D50" s="37"/>
      <c r="E50" s="40">
        <f t="shared" si="2"/>
        <v>0</v>
      </c>
      <c r="F50" s="41">
        <f>if(isna(VLOOKUP(B50,Checkin!A:B,2,false)),0,VLOOKUP(B50,Checkin!A:B,2,false))</f>
        <v>0</v>
      </c>
      <c r="G50" s="44"/>
      <c r="H50" s="45"/>
      <c r="I50" s="44"/>
      <c r="J50" s="44"/>
      <c r="K50" s="44"/>
      <c r="L50" s="48"/>
      <c r="M50" s="44">
        <f>if(OR($F50=1, $F50=2),VLOOKUP($B50,Courts!$B$2:$J$50,9,false),0)</f>
        <v>0</v>
      </c>
      <c r="N50" s="37">
        <f t="shared" ref="N50:O50" si="51">C50+L50</f>
        <v>0</v>
      </c>
      <c r="O50" s="37">
        <f t="shared" si="51"/>
        <v>0</v>
      </c>
      <c r="P50" s="49" t="s">
        <v>57</v>
      </c>
      <c r="Q50" s="49" t="s">
        <v>57</v>
      </c>
      <c r="R50" s="49" t="s">
        <v>57</v>
      </c>
      <c r="S50" s="51"/>
      <c r="T50" s="52"/>
      <c r="U50" s="52"/>
      <c r="V50" s="51"/>
      <c r="W50" s="52"/>
      <c r="X50" s="35">
        <f t="shared" si="8"/>
        <v>46</v>
      </c>
      <c r="Y50" s="35" t="str">
        <f t="shared" si="4"/>
        <v>Y</v>
      </c>
      <c r="Z50" s="19" t="str">
        <f t="shared" si="5"/>
        <v/>
      </c>
    </row>
    <row r="51">
      <c r="A51" s="35">
        <f t="shared" si="6"/>
        <v>47</v>
      </c>
      <c r="B51" s="36" t="s">
        <v>152</v>
      </c>
      <c r="C51" s="37"/>
      <c r="D51" s="37"/>
      <c r="E51" s="40">
        <f t="shared" si="2"/>
        <v>0</v>
      </c>
      <c r="F51" s="41">
        <f>if(isna(VLOOKUP(B51,Checkin!A:B,2,false)),0,VLOOKUP(B51,Checkin!A:B,2,false))</f>
        <v>0</v>
      </c>
      <c r="G51" s="44"/>
      <c r="H51" s="45"/>
      <c r="I51" s="44"/>
      <c r="J51" s="44"/>
      <c r="K51" s="44"/>
      <c r="L51" s="48"/>
      <c r="M51" s="44">
        <f>if(OR($F51=1, $F51=2),VLOOKUP($B51,Courts!$B$2:$J$50,9,false),0)</f>
        <v>0</v>
      </c>
      <c r="N51" s="37">
        <f t="shared" ref="N51:O51" si="52">C51+L51</f>
        <v>0</v>
      </c>
      <c r="O51" s="37">
        <f t="shared" si="52"/>
        <v>0</v>
      </c>
      <c r="P51" s="49" t="s">
        <v>57</v>
      </c>
      <c r="Q51" s="49" t="s">
        <v>57</v>
      </c>
      <c r="R51" s="49" t="s">
        <v>57</v>
      </c>
      <c r="S51" s="51"/>
      <c r="T51" s="52"/>
      <c r="U51" s="52"/>
      <c r="V51" s="51"/>
      <c r="W51" s="52"/>
      <c r="X51" s="35">
        <f t="shared" si="8"/>
        <v>47</v>
      </c>
      <c r="Y51" s="35" t="str">
        <f t="shared" si="4"/>
        <v>Y</v>
      </c>
      <c r="Z51" s="19" t="str">
        <f t="shared" si="5"/>
        <v/>
      </c>
    </row>
    <row r="52">
      <c r="A52" s="35">
        <f t="shared" si="6"/>
        <v>48</v>
      </c>
      <c r="B52" s="36" t="s">
        <v>146</v>
      </c>
      <c r="C52" s="37"/>
      <c r="D52" s="37"/>
      <c r="E52" s="40">
        <f t="shared" si="2"/>
        <v>0</v>
      </c>
      <c r="F52" s="41">
        <f>if(isna(VLOOKUP(B52,Checkin!A:B,2,false)),0,VLOOKUP(B52,Checkin!A:B,2,false))</f>
        <v>0</v>
      </c>
      <c r="G52" s="44"/>
      <c r="H52" s="45"/>
      <c r="I52" s="44"/>
      <c r="J52" s="44"/>
      <c r="K52" s="44"/>
      <c r="L52" s="48"/>
      <c r="M52" s="44">
        <f>if(OR($F52=1, $F52=2),VLOOKUP($B52,Courts!$B$2:$J$50,9,false),0)</f>
        <v>0</v>
      </c>
      <c r="N52" s="37">
        <f t="shared" ref="N52:O52" si="53">C52+L52</f>
        <v>0</v>
      </c>
      <c r="O52" s="37">
        <f t="shared" si="53"/>
        <v>0</v>
      </c>
      <c r="P52" s="49" t="s">
        <v>57</v>
      </c>
      <c r="Q52" s="49" t="s">
        <v>57</v>
      </c>
      <c r="R52" s="49" t="s">
        <v>57</v>
      </c>
      <c r="S52" s="51"/>
      <c r="T52" s="52"/>
      <c r="U52" s="52"/>
      <c r="V52" s="51"/>
      <c r="W52" s="52"/>
      <c r="X52" s="35">
        <f t="shared" si="8"/>
        <v>48</v>
      </c>
      <c r="Y52" s="35" t="str">
        <f t="shared" si="4"/>
        <v>Y</v>
      </c>
      <c r="Z52" s="19" t="str">
        <f t="shared" si="5"/>
        <v/>
      </c>
    </row>
    <row r="53">
      <c r="A53" s="35">
        <f t="shared" si="6"/>
        <v>49</v>
      </c>
      <c r="B53" s="36" t="s">
        <v>138</v>
      </c>
      <c r="C53" s="37"/>
      <c r="D53" s="37"/>
      <c r="E53" s="40">
        <f t="shared" si="2"/>
        <v>0</v>
      </c>
      <c r="F53" s="41">
        <f>if(isna(VLOOKUP(B53,Checkin!A:B,2,false)),0,VLOOKUP(B53,Checkin!A:B,2,false))</f>
        <v>0</v>
      </c>
      <c r="G53" s="44"/>
      <c r="H53" s="45"/>
      <c r="I53" s="44"/>
      <c r="J53" s="44"/>
      <c r="K53" s="44"/>
      <c r="L53" s="48"/>
      <c r="M53" s="44">
        <f>if(OR($F53=1, $F53=2),VLOOKUP($B53,Courts!$B$2:$J$50,9,false),0)</f>
        <v>0</v>
      </c>
      <c r="N53" s="37">
        <f t="shared" ref="N53:O53" si="54">C53+L53</f>
        <v>0</v>
      </c>
      <c r="O53" s="37">
        <f t="shared" si="54"/>
        <v>0</v>
      </c>
      <c r="P53" s="49" t="s">
        <v>57</v>
      </c>
      <c r="Q53" s="49" t="s">
        <v>57</v>
      </c>
      <c r="R53" s="49" t="s">
        <v>57</v>
      </c>
      <c r="S53" s="51"/>
      <c r="T53" s="52"/>
      <c r="U53" s="52"/>
      <c r="V53" s="51"/>
      <c r="W53" s="52"/>
      <c r="X53" s="35">
        <f t="shared" si="8"/>
        <v>49</v>
      </c>
      <c r="Y53" s="35" t="str">
        <f t="shared" si="4"/>
        <v>Y</v>
      </c>
      <c r="Z53" s="19" t="str">
        <f t="shared" si="5"/>
        <v/>
      </c>
    </row>
    <row r="54">
      <c r="A54" s="35">
        <f t="shared" si="6"/>
        <v>50</v>
      </c>
      <c r="B54" s="36" t="s">
        <v>130</v>
      </c>
      <c r="C54" s="37"/>
      <c r="D54" s="37"/>
      <c r="E54" s="40">
        <f t="shared" si="2"/>
        <v>0</v>
      </c>
      <c r="F54" s="41">
        <f>if(isna(VLOOKUP(B54,Checkin!A:B,2,false)),0,VLOOKUP(B54,Checkin!A:B,2,false))</f>
        <v>0</v>
      </c>
      <c r="G54" s="44"/>
      <c r="H54" s="45"/>
      <c r="I54" s="44"/>
      <c r="J54" s="44"/>
      <c r="K54" s="44"/>
      <c r="L54" s="48"/>
      <c r="M54" s="44">
        <f>if(OR($F54=1, $F54=2),VLOOKUP($B54,Courts!$B$2:$J$50,9,false),0)</f>
        <v>0</v>
      </c>
      <c r="N54" s="37">
        <f t="shared" ref="N54:O54" si="55">C54+L54</f>
        <v>0</v>
      </c>
      <c r="O54" s="37">
        <f t="shared" si="55"/>
        <v>0</v>
      </c>
      <c r="P54" s="49" t="s">
        <v>57</v>
      </c>
      <c r="Q54" s="49" t="s">
        <v>57</v>
      </c>
      <c r="R54" s="49" t="s">
        <v>57</v>
      </c>
      <c r="S54" s="51"/>
      <c r="T54" s="52"/>
      <c r="U54" s="52"/>
      <c r="V54" s="51"/>
      <c r="W54" s="52"/>
      <c r="X54" s="35">
        <f t="shared" si="8"/>
        <v>50</v>
      </c>
      <c r="Y54" s="35" t="str">
        <f t="shared" si="4"/>
        <v>Y</v>
      </c>
      <c r="Z54" s="19" t="str">
        <f t="shared" si="5"/>
        <v/>
      </c>
    </row>
    <row r="55">
      <c r="A55" s="35">
        <f t="shared" si="6"/>
        <v>51</v>
      </c>
      <c r="B55" s="36" t="s">
        <v>151</v>
      </c>
      <c r="C55" s="37"/>
      <c r="D55" s="37"/>
      <c r="E55" s="40">
        <f t="shared" si="2"/>
        <v>0</v>
      </c>
      <c r="F55" s="41">
        <f>if(isna(VLOOKUP(B55,Checkin!A:B,2,false)),0,VLOOKUP(B55,Checkin!A:B,2,false))</f>
        <v>0</v>
      </c>
      <c r="G55" s="44"/>
      <c r="H55" s="45"/>
      <c r="I55" s="44"/>
      <c r="J55" s="44"/>
      <c r="K55" s="44"/>
      <c r="L55" s="48"/>
      <c r="M55" s="44">
        <f>if(OR($F55=1, $F55=2),VLOOKUP($B55,Courts!$B$2:$J$50,9,false),0)</f>
        <v>0</v>
      </c>
      <c r="N55" s="37">
        <f t="shared" ref="N55:O55" si="56">C55+L55</f>
        <v>0</v>
      </c>
      <c r="O55" s="37">
        <f t="shared" si="56"/>
        <v>0</v>
      </c>
      <c r="P55" s="49" t="s">
        <v>57</v>
      </c>
      <c r="Q55" s="49" t="s">
        <v>57</v>
      </c>
      <c r="R55" s="49" t="s">
        <v>57</v>
      </c>
      <c r="S55" s="51"/>
      <c r="T55" s="52"/>
      <c r="U55" s="52"/>
      <c r="V55" s="51"/>
      <c r="W55" s="52"/>
      <c r="X55" s="35">
        <f t="shared" si="8"/>
        <v>51</v>
      </c>
      <c r="Y55" s="35" t="str">
        <f t="shared" si="4"/>
        <v>Y</v>
      </c>
      <c r="Z55" s="19" t="str">
        <f t="shared" si="5"/>
        <v/>
      </c>
    </row>
    <row r="56">
      <c r="A56" s="35">
        <f t="shared" si="6"/>
        <v>52</v>
      </c>
      <c r="B56" s="36" t="s">
        <v>54</v>
      </c>
      <c r="C56" s="37"/>
      <c r="D56" s="37"/>
      <c r="E56" s="40">
        <f t="shared" si="2"/>
        <v>0</v>
      </c>
      <c r="F56" s="41">
        <f>if(isna(VLOOKUP(B56,Checkin!A:B,2,false)),0,VLOOKUP(B56,Checkin!A:B,2,false))</f>
        <v>0</v>
      </c>
      <c r="G56" s="44"/>
      <c r="H56" s="45"/>
      <c r="I56" s="44"/>
      <c r="J56" s="44"/>
      <c r="K56" s="44"/>
      <c r="L56" s="48"/>
      <c r="M56" s="44">
        <f>if(OR($F56=1, $F56=2),VLOOKUP($B56,Courts!$B$2:$J$50,9,false),0)</f>
        <v>0</v>
      </c>
      <c r="N56" s="37">
        <f t="shared" ref="N56:O56" si="57">C56+L56</f>
        <v>0</v>
      </c>
      <c r="O56" s="37">
        <f t="shared" si="57"/>
        <v>0</v>
      </c>
      <c r="P56" s="49" t="s">
        <v>57</v>
      </c>
      <c r="Q56" s="49" t="s">
        <v>57</v>
      </c>
      <c r="R56" s="49" t="s">
        <v>57</v>
      </c>
      <c r="S56" s="51"/>
      <c r="T56" s="52"/>
      <c r="U56" s="52"/>
      <c r="V56" s="51"/>
      <c r="W56" s="52"/>
      <c r="X56" s="35">
        <f t="shared" si="8"/>
        <v>52</v>
      </c>
      <c r="Y56" s="35" t="str">
        <f t="shared" si="4"/>
        <v>Y</v>
      </c>
      <c r="Z56" s="19" t="str">
        <f t="shared" si="5"/>
        <v/>
      </c>
    </row>
    <row r="57">
      <c r="A57" s="35">
        <f t="shared" si="6"/>
        <v>53</v>
      </c>
      <c r="B57" s="36" t="s">
        <v>153</v>
      </c>
      <c r="C57" s="37"/>
      <c r="D57" s="37"/>
      <c r="E57" s="40">
        <f t="shared" si="2"/>
        <v>0</v>
      </c>
      <c r="F57" s="41">
        <f>if(isna(VLOOKUP(B57,Checkin!A:B,2,false)),0,VLOOKUP(B57,Checkin!A:B,2,false))</f>
        <v>0</v>
      </c>
      <c r="G57" s="44"/>
      <c r="H57" s="45"/>
      <c r="I57" s="44"/>
      <c r="J57" s="44"/>
      <c r="K57" s="44"/>
      <c r="L57" s="48"/>
      <c r="M57" s="44">
        <f>if(OR($F57=1, $F57=2),VLOOKUP($B57,Courts!$B$2:$J$50,9,false),0)</f>
        <v>0</v>
      </c>
      <c r="N57" s="37">
        <f t="shared" ref="N57:O57" si="58">C57+L57</f>
        <v>0</v>
      </c>
      <c r="O57" s="37">
        <f t="shared" si="58"/>
        <v>0</v>
      </c>
      <c r="P57" s="49" t="s">
        <v>57</v>
      </c>
      <c r="Q57" s="49" t="s">
        <v>57</v>
      </c>
      <c r="R57" s="49" t="s">
        <v>57</v>
      </c>
      <c r="S57" s="51"/>
      <c r="T57" s="52"/>
      <c r="U57" s="52"/>
      <c r="V57" s="51"/>
      <c r="W57" s="52"/>
      <c r="X57" s="35">
        <f t="shared" si="8"/>
        <v>53</v>
      </c>
      <c r="Y57" s="35" t="str">
        <f t="shared" si="4"/>
        <v>Y</v>
      </c>
      <c r="Z57" s="19" t="str">
        <f t="shared" si="5"/>
        <v/>
      </c>
    </row>
    <row r="58">
      <c r="A58" s="35">
        <f t="shared" si="6"/>
        <v>54</v>
      </c>
      <c r="B58" s="36" t="s">
        <v>106</v>
      </c>
      <c r="C58" s="37"/>
      <c r="D58" s="37"/>
      <c r="E58" s="40">
        <f t="shared" si="2"/>
        <v>0</v>
      </c>
      <c r="F58" s="41">
        <f>if(isna(VLOOKUP(B58,Checkin!A:B,2,false)),0,VLOOKUP(B58,Checkin!A:B,2,false))</f>
        <v>0</v>
      </c>
      <c r="G58" s="44"/>
      <c r="H58" s="45"/>
      <c r="I58" s="44"/>
      <c r="J58" s="44"/>
      <c r="K58" s="44"/>
      <c r="L58" s="48"/>
      <c r="M58" s="44">
        <f>if(OR($F58=1, $F58=2),VLOOKUP($B58,Courts!$B$2:$J$50,9,false),0)</f>
        <v>0</v>
      </c>
      <c r="N58" s="37">
        <f t="shared" ref="N58:O58" si="59">C58+L58</f>
        <v>0</v>
      </c>
      <c r="O58" s="37">
        <f t="shared" si="59"/>
        <v>0</v>
      </c>
      <c r="P58" s="49" t="s">
        <v>57</v>
      </c>
      <c r="Q58" s="49" t="s">
        <v>57</v>
      </c>
      <c r="R58" s="49" t="s">
        <v>57</v>
      </c>
      <c r="S58" s="51"/>
      <c r="T58" s="52"/>
      <c r="U58" s="52"/>
      <c r="V58" s="51"/>
      <c r="W58" s="52"/>
      <c r="X58" s="35">
        <f t="shared" si="8"/>
        <v>54</v>
      </c>
      <c r="Y58" s="35" t="str">
        <f t="shared" si="4"/>
        <v>Y</v>
      </c>
      <c r="Z58" s="19" t="str">
        <f t="shared" si="5"/>
        <v/>
      </c>
    </row>
    <row r="59">
      <c r="A59" s="35">
        <f t="shared" si="6"/>
        <v>55</v>
      </c>
      <c r="B59" s="36" t="s">
        <v>149</v>
      </c>
      <c r="C59" s="37"/>
      <c r="D59" s="37"/>
      <c r="E59" s="40">
        <f t="shared" si="2"/>
        <v>0</v>
      </c>
      <c r="F59" s="41">
        <f>if(isna(VLOOKUP(B59,Checkin!A:B,2,false)),0,VLOOKUP(B59,Checkin!A:B,2,false))</f>
        <v>0</v>
      </c>
      <c r="G59" s="44"/>
      <c r="H59" s="45"/>
      <c r="I59" s="44"/>
      <c r="J59" s="44"/>
      <c r="K59" s="44"/>
      <c r="L59" s="48"/>
      <c r="M59" s="44">
        <f>if(OR($F59=1, $F59=2),VLOOKUP($B59,Courts!$B$2:$J$50,9,false),0)</f>
        <v>0</v>
      </c>
      <c r="N59" s="37">
        <f t="shared" ref="N59:O59" si="60">C59+L59</f>
        <v>0</v>
      </c>
      <c r="O59" s="37">
        <f t="shared" si="60"/>
        <v>0</v>
      </c>
      <c r="P59" s="49" t="s">
        <v>57</v>
      </c>
      <c r="Q59" s="49" t="s">
        <v>57</v>
      </c>
      <c r="R59" s="49" t="s">
        <v>57</v>
      </c>
      <c r="S59" s="51"/>
      <c r="T59" s="52"/>
      <c r="U59" s="52"/>
      <c r="V59" s="51"/>
      <c r="W59" s="52"/>
      <c r="X59" s="35">
        <f t="shared" si="8"/>
        <v>55</v>
      </c>
      <c r="Y59" s="35" t="str">
        <f t="shared" si="4"/>
        <v>Y</v>
      </c>
      <c r="Z59" s="19" t="str">
        <f t="shared" si="5"/>
        <v/>
      </c>
    </row>
    <row r="60">
      <c r="A60" s="35">
        <f t="shared" si="6"/>
        <v>56</v>
      </c>
      <c r="B60" s="36" t="s">
        <v>150</v>
      </c>
      <c r="C60" s="37"/>
      <c r="D60" s="37"/>
      <c r="E60" s="40">
        <f t="shared" si="2"/>
        <v>0</v>
      </c>
      <c r="F60" s="41">
        <f>if(isna(VLOOKUP(B60,Checkin!A:B,2,false)),0,VLOOKUP(B60,Checkin!A:B,2,false))</f>
        <v>0</v>
      </c>
      <c r="G60" s="44"/>
      <c r="H60" s="45"/>
      <c r="I60" s="44"/>
      <c r="J60" s="44"/>
      <c r="K60" s="44"/>
      <c r="L60" s="48"/>
      <c r="M60" s="44">
        <f>if(OR($F60=1, $F60=2),VLOOKUP($B60,Courts!$B$2:$J$50,9,false),0)</f>
        <v>0</v>
      </c>
      <c r="N60" s="37">
        <f t="shared" ref="N60:O60" si="61">C60+L60</f>
        <v>0</v>
      </c>
      <c r="O60" s="37">
        <f t="shared" si="61"/>
        <v>0</v>
      </c>
      <c r="P60" s="49" t="s">
        <v>57</v>
      </c>
      <c r="Q60" s="49" t="s">
        <v>57</v>
      </c>
      <c r="R60" s="49" t="s">
        <v>57</v>
      </c>
      <c r="S60" s="51"/>
      <c r="T60" s="52"/>
      <c r="U60" s="52"/>
      <c r="V60" s="51"/>
      <c r="W60" s="52"/>
      <c r="X60" s="35">
        <f t="shared" si="8"/>
        <v>56</v>
      </c>
      <c r="Y60" s="35" t="str">
        <f t="shared" si="4"/>
        <v>Y</v>
      </c>
      <c r="Z60" s="19" t="str">
        <f t="shared" si="5"/>
        <v/>
      </c>
    </row>
    <row r="61">
      <c r="A61" s="35">
        <f t="shared" si="6"/>
        <v>57</v>
      </c>
      <c r="B61" s="36" t="s">
        <v>148</v>
      </c>
      <c r="C61" s="37"/>
      <c r="D61" s="37"/>
      <c r="E61" s="40">
        <f t="shared" si="2"/>
        <v>0</v>
      </c>
      <c r="F61" s="41">
        <f>if(isna(VLOOKUP(B61,Checkin!A:B,2,false)),0,VLOOKUP(B61,Checkin!A:B,2,false))</f>
        <v>0</v>
      </c>
      <c r="G61" s="44"/>
      <c r="H61" s="45"/>
      <c r="I61" s="44"/>
      <c r="J61" s="44"/>
      <c r="K61" s="44"/>
      <c r="L61" s="48"/>
      <c r="M61" s="44">
        <f>if(OR($F61=1, $F61=2),VLOOKUP($B61,Courts!$B$2:$J$50,9,false),0)</f>
        <v>0</v>
      </c>
      <c r="N61" s="37">
        <f t="shared" ref="N61:O61" si="62">C61+L61</f>
        <v>0</v>
      </c>
      <c r="O61" s="37">
        <f t="shared" si="62"/>
        <v>0</v>
      </c>
      <c r="P61" s="49" t="s">
        <v>57</v>
      </c>
      <c r="Q61" s="49" t="s">
        <v>57</v>
      </c>
      <c r="R61" s="49" t="s">
        <v>57</v>
      </c>
      <c r="S61" s="51"/>
      <c r="T61" s="52"/>
      <c r="U61" s="52"/>
      <c r="V61" s="51"/>
      <c r="W61" s="52"/>
      <c r="X61" s="35">
        <f t="shared" si="8"/>
        <v>57</v>
      </c>
      <c r="Y61" s="35" t="str">
        <f t="shared" si="4"/>
        <v>Y</v>
      </c>
      <c r="Z61" s="19" t="str">
        <f t="shared" si="5"/>
        <v/>
      </c>
    </row>
    <row r="62">
      <c r="A62" s="35">
        <f t="shared" si="6"/>
        <v>58</v>
      </c>
      <c r="B62" s="36" t="s">
        <v>120</v>
      </c>
      <c r="C62" s="37"/>
      <c r="D62" s="37"/>
      <c r="E62" s="40">
        <f t="shared" si="2"/>
        <v>0</v>
      </c>
      <c r="F62" s="41">
        <f>if(isna(VLOOKUP(B62,Checkin!A:B,2,false)),0,VLOOKUP(B62,Checkin!A:B,2,false))</f>
        <v>0</v>
      </c>
      <c r="G62" s="44"/>
      <c r="H62" s="45"/>
      <c r="I62" s="44"/>
      <c r="J62" s="44"/>
      <c r="K62" s="44"/>
      <c r="L62" s="48"/>
      <c r="M62" s="44">
        <f>if(OR($F62=1, $F62=2),VLOOKUP($B62,Courts!$B$2:$J$50,9,false),0)</f>
        <v>0</v>
      </c>
      <c r="N62" s="37">
        <f t="shared" ref="N62:O62" si="63">C62+L62</f>
        <v>0</v>
      </c>
      <c r="O62" s="37">
        <f t="shared" si="63"/>
        <v>0</v>
      </c>
      <c r="P62" s="49" t="s">
        <v>57</v>
      </c>
      <c r="Q62" s="49" t="s">
        <v>57</v>
      </c>
      <c r="R62" s="49" t="s">
        <v>57</v>
      </c>
      <c r="S62" s="51"/>
      <c r="T62" s="52"/>
      <c r="U62" s="52"/>
      <c r="V62" s="51"/>
      <c r="W62" s="52"/>
      <c r="X62" s="35">
        <f t="shared" si="8"/>
        <v>58</v>
      </c>
      <c r="Y62" s="35" t="str">
        <f t="shared" si="4"/>
        <v>Y</v>
      </c>
      <c r="Z62" s="19" t="str">
        <f t="shared" si="5"/>
        <v/>
      </c>
    </row>
    <row r="63">
      <c r="A63" s="35">
        <f t="shared" si="6"/>
        <v>59</v>
      </c>
      <c r="B63" s="36" t="s">
        <v>154</v>
      </c>
      <c r="C63" s="37"/>
      <c r="D63" s="37"/>
      <c r="E63" s="40">
        <f t="shared" si="2"/>
        <v>0</v>
      </c>
      <c r="F63" s="41">
        <f>if(isna(VLOOKUP(B63,Checkin!A:B,2,false)),0,VLOOKUP(B63,Checkin!A:B,2,false))</f>
        <v>0</v>
      </c>
      <c r="G63" s="44"/>
      <c r="H63" s="45"/>
      <c r="I63" s="44"/>
      <c r="J63" s="44"/>
      <c r="K63" s="44"/>
      <c r="L63" s="48"/>
      <c r="M63" s="44">
        <f>if(OR($F63=1, $F63=2),VLOOKUP($B63,Courts!$B$2:$J$50,9,false),0)</f>
        <v>0</v>
      </c>
      <c r="N63" s="37">
        <f t="shared" ref="N63:O63" si="64">C63+L63</f>
        <v>0</v>
      </c>
      <c r="O63" s="37">
        <f t="shared" si="64"/>
        <v>0</v>
      </c>
      <c r="P63" s="49" t="s">
        <v>57</v>
      </c>
      <c r="Q63" s="49" t="s">
        <v>57</v>
      </c>
      <c r="R63" s="49" t="s">
        <v>57</v>
      </c>
      <c r="S63" s="51"/>
      <c r="T63" s="52"/>
      <c r="U63" s="52"/>
      <c r="V63" s="51"/>
      <c r="W63" s="52"/>
      <c r="X63" s="35">
        <f t="shared" si="8"/>
        <v>59</v>
      </c>
      <c r="Y63" s="35" t="str">
        <f t="shared" si="4"/>
        <v>Y</v>
      </c>
      <c r="Z63" s="19" t="str">
        <f t="shared" si="5"/>
        <v/>
      </c>
    </row>
    <row r="64">
      <c r="A64" s="35">
        <f t="shared" si="6"/>
        <v>60</v>
      </c>
      <c r="B64" s="36" t="s">
        <v>133</v>
      </c>
      <c r="C64" s="37"/>
      <c r="D64" s="37"/>
      <c r="E64" s="40">
        <f t="shared" si="2"/>
        <v>0</v>
      </c>
      <c r="F64" s="41">
        <f>if(isna(VLOOKUP(B64,Checkin!A:B,2,false)),0,VLOOKUP(B64,Checkin!A:B,2,false))</f>
        <v>0</v>
      </c>
      <c r="G64" s="44"/>
      <c r="H64" s="45"/>
      <c r="I64" s="44"/>
      <c r="J64" s="44"/>
      <c r="K64" s="44"/>
      <c r="L64" s="48"/>
      <c r="M64" s="44">
        <f>if(OR($F64=1, $F64=2),VLOOKUP($B64,Courts!$B$2:$J$50,9,false),0)</f>
        <v>0</v>
      </c>
      <c r="N64" s="37">
        <f t="shared" ref="N64:O64" si="65">C64+L64</f>
        <v>0</v>
      </c>
      <c r="O64" s="37">
        <f t="shared" si="65"/>
        <v>0</v>
      </c>
      <c r="P64" s="49" t="s">
        <v>57</v>
      </c>
      <c r="Q64" s="49" t="s">
        <v>57</v>
      </c>
      <c r="R64" s="49" t="s">
        <v>57</v>
      </c>
      <c r="S64" s="51"/>
      <c r="T64" s="52"/>
      <c r="U64" s="52"/>
      <c r="V64" s="51"/>
      <c r="W64" s="52"/>
      <c r="X64" s="35">
        <f t="shared" si="8"/>
        <v>60</v>
      </c>
      <c r="Y64" s="35" t="str">
        <f t="shared" si="4"/>
        <v>Y</v>
      </c>
      <c r="Z64" s="19" t="str">
        <f t="shared" si="5"/>
        <v/>
      </c>
    </row>
    <row r="65">
      <c r="A65" s="35">
        <f t="shared" si="6"/>
        <v>61</v>
      </c>
      <c r="B65" s="36" t="s">
        <v>137</v>
      </c>
      <c r="C65" s="37"/>
      <c r="D65" s="37"/>
      <c r="E65" s="40">
        <f t="shared" si="2"/>
        <v>0</v>
      </c>
      <c r="F65" s="41">
        <f>if(isna(VLOOKUP(B65,Checkin!A:B,2,false)),0,VLOOKUP(B65,Checkin!A:B,2,false))</f>
        <v>0</v>
      </c>
      <c r="G65" s="44"/>
      <c r="H65" s="45"/>
      <c r="I65" s="44"/>
      <c r="J65" s="44"/>
      <c r="K65" s="44"/>
      <c r="L65" s="48"/>
      <c r="M65" s="44">
        <f>if(OR($F65=1, $F65=2),VLOOKUP($B65,Courts!$B$2:$J$50,9,false),0)</f>
        <v>0</v>
      </c>
      <c r="N65" s="37">
        <f t="shared" ref="N65:O65" si="66">C65+L65</f>
        <v>0</v>
      </c>
      <c r="O65" s="37">
        <f t="shared" si="66"/>
        <v>0</v>
      </c>
      <c r="P65" s="49" t="s">
        <v>57</v>
      </c>
      <c r="Q65" s="49" t="s">
        <v>57</v>
      </c>
      <c r="R65" s="49" t="s">
        <v>57</v>
      </c>
      <c r="S65" s="51"/>
      <c r="T65" s="52"/>
      <c r="U65" s="52"/>
      <c r="V65" s="51"/>
      <c r="W65" s="52"/>
      <c r="X65" s="35">
        <f t="shared" si="8"/>
        <v>61</v>
      </c>
      <c r="Y65" s="35" t="str">
        <f t="shared" si="4"/>
        <v>Y</v>
      </c>
      <c r="Z65" s="19" t="str">
        <f t="shared" si="5"/>
        <v/>
      </c>
    </row>
    <row r="66">
      <c r="A66" s="35">
        <f t="shared" si="6"/>
        <v>62</v>
      </c>
      <c r="B66" s="36" t="s">
        <v>105</v>
      </c>
      <c r="C66" s="37"/>
      <c r="D66" s="37"/>
      <c r="E66" s="40">
        <f t="shared" si="2"/>
        <v>0</v>
      </c>
      <c r="F66" s="41">
        <f>if(isna(VLOOKUP(B66,Checkin!A:B,2,false)),0,VLOOKUP(B66,Checkin!A:B,2,false))</f>
        <v>0</v>
      </c>
      <c r="G66" s="44"/>
      <c r="H66" s="45"/>
      <c r="I66" s="44"/>
      <c r="J66" s="44"/>
      <c r="K66" s="44"/>
      <c r="L66" s="48"/>
      <c r="M66" s="44">
        <f>if(OR($F66=1, $F66=2),VLOOKUP($B66,Courts!$B$2:$J$50,9,false),0)</f>
        <v>0</v>
      </c>
      <c r="N66" s="37">
        <f t="shared" ref="N66:O66" si="67">C66+L66</f>
        <v>0</v>
      </c>
      <c r="O66" s="37">
        <f t="shared" si="67"/>
        <v>0</v>
      </c>
      <c r="P66" s="49" t="s">
        <v>57</v>
      </c>
      <c r="Q66" s="49" t="s">
        <v>57</v>
      </c>
      <c r="R66" s="49" t="s">
        <v>57</v>
      </c>
      <c r="S66" s="51"/>
      <c r="T66" s="52"/>
      <c r="U66" s="52"/>
      <c r="V66" s="51"/>
      <c r="W66" s="52"/>
      <c r="X66" s="35">
        <f t="shared" si="8"/>
        <v>62</v>
      </c>
      <c r="Y66" s="35" t="str">
        <f t="shared" si="4"/>
        <v>Y</v>
      </c>
      <c r="Z66" s="19" t="str">
        <f t="shared" si="5"/>
        <v/>
      </c>
    </row>
    <row r="67">
      <c r="A67" s="35">
        <f t="shared" si="6"/>
        <v>63</v>
      </c>
      <c r="B67" s="36" t="s">
        <v>124</v>
      </c>
      <c r="C67" s="37"/>
      <c r="D67" s="37"/>
      <c r="E67" s="40">
        <f t="shared" si="2"/>
        <v>0</v>
      </c>
      <c r="F67" s="41">
        <f>if(isna(VLOOKUP(B67,Checkin!A:B,2,false)),0,VLOOKUP(B67,Checkin!A:B,2,false))</f>
        <v>0</v>
      </c>
      <c r="G67" s="44"/>
      <c r="H67" s="45"/>
      <c r="I67" s="44"/>
      <c r="J67" s="44"/>
      <c r="K67" s="44"/>
      <c r="L67" s="48"/>
      <c r="M67" s="44">
        <f>if(OR($F67=1, $F67=2),VLOOKUP($B67,Courts!$B$2:$J$50,9,false),0)</f>
        <v>0</v>
      </c>
      <c r="N67" s="37">
        <f t="shared" ref="N67:O67" si="68">C67+L67</f>
        <v>0</v>
      </c>
      <c r="O67" s="37">
        <f t="shared" si="68"/>
        <v>0</v>
      </c>
      <c r="P67" s="49" t="s">
        <v>57</v>
      </c>
      <c r="Q67" s="49" t="s">
        <v>57</v>
      </c>
      <c r="R67" s="49" t="s">
        <v>57</v>
      </c>
      <c r="S67" s="51"/>
      <c r="T67" s="52"/>
      <c r="U67" s="52"/>
      <c r="V67" s="51"/>
      <c r="W67" s="52"/>
      <c r="X67" s="35">
        <f t="shared" si="8"/>
        <v>63</v>
      </c>
      <c r="Y67" s="35" t="str">
        <f t="shared" si="4"/>
        <v>Y</v>
      </c>
      <c r="Z67" s="19" t="str">
        <f t="shared" si="5"/>
        <v/>
      </c>
    </row>
    <row r="68">
      <c r="A68" s="35">
        <f t="shared" si="6"/>
        <v>64</v>
      </c>
      <c r="B68" s="36" t="s">
        <v>87</v>
      </c>
      <c r="C68" s="37"/>
      <c r="D68" s="37"/>
      <c r="E68" s="40">
        <f t="shared" si="2"/>
        <v>0</v>
      </c>
      <c r="F68" s="41">
        <f>if(isna(VLOOKUP(B68,Checkin!A:B,2,false)),0,VLOOKUP(B68,Checkin!A:B,2,false))</f>
        <v>0</v>
      </c>
      <c r="G68" s="44"/>
      <c r="H68" s="45"/>
      <c r="I68" s="44"/>
      <c r="J68" s="44"/>
      <c r="K68" s="44"/>
      <c r="L68" s="48"/>
      <c r="M68" s="44">
        <f>if(OR($F68=1, $F68=2),VLOOKUP($B68,Courts!$B$2:$J$50,9,false),0)</f>
        <v>0</v>
      </c>
      <c r="N68" s="37">
        <f t="shared" ref="N68:O68" si="69">C68+L68</f>
        <v>0</v>
      </c>
      <c r="O68" s="37">
        <f t="shared" si="69"/>
        <v>0</v>
      </c>
      <c r="P68" s="49" t="s">
        <v>57</v>
      </c>
      <c r="Q68" s="49" t="s">
        <v>57</v>
      </c>
      <c r="R68" s="49" t="s">
        <v>57</v>
      </c>
      <c r="S68" s="51"/>
      <c r="T68" s="52"/>
      <c r="U68" s="52"/>
      <c r="V68" s="51"/>
      <c r="W68" s="52"/>
      <c r="X68" s="35">
        <f t="shared" si="8"/>
        <v>64</v>
      </c>
      <c r="Y68" s="35" t="str">
        <f t="shared" si="4"/>
        <v>Y</v>
      </c>
      <c r="Z68" s="19" t="str">
        <f t="shared" si="5"/>
        <v/>
      </c>
    </row>
    <row r="69">
      <c r="A69" s="35">
        <f t="shared" si="6"/>
        <v>65</v>
      </c>
      <c r="B69" s="36" t="s">
        <v>127</v>
      </c>
      <c r="C69" s="37"/>
      <c r="D69" s="37"/>
      <c r="E69" s="40">
        <f t="shared" si="2"/>
        <v>0</v>
      </c>
      <c r="F69" s="41">
        <f>if(isna(VLOOKUP(B69,Checkin!A:B,2,false)),0,VLOOKUP(B69,Checkin!A:B,2,false))</f>
        <v>0</v>
      </c>
      <c r="G69" s="44"/>
      <c r="H69" s="45"/>
      <c r="I69" s="44"/>
      <c r="J69" s="44"/>
      <c r="K69" s="44"/>
      <c r="L69" s="48"/>
      <c r="M69" s="44">
        <f>if(OR($F69=1, $F69=2),VLOOKUP($B69,Courts!$B$2:$J$50,9,false),0)</f>
        <v>0</v>
      </c>
      <c r="N69" s="37">
        <f t="shared" ref="N69:O69" si="70">C69+L69</f>
        <v>0</v>
      </c>
      <c r="O69" s="37">
        <f t="shared" si="70"/>
        <v>0</v>
      </c>
      <c r="P69" s="49" t="s">
        <v>57</v>
      </c>
      <c r="Q69" s="49" t="s">
        <v>57</v>
      </c>
      <c r="R69" s="49" t="s">
        <v>57</v>
      </c>
      <c r="S69" s="51"/>
      <c r="T69" s="52"/>
      <c r="U69" s="52"/>
      <c r="V69" s="51"/>
      <c r="W69" s="52"/>
      <c r="X69" s="35">
        <f t="shared" si="8"/>
        <v>65</v>
      </c>
      <c r="Y69" s="35" t="str">
        <f t="shared" si="4"/>
        <v>Y</v>
      </c>
      <c r="Z69" s="19" t="str">
        <f t="shared" si="5"/>
        <v/>
      </c>
    </row>
    <row r="70">
      <c r="A70" s="35">
        <f t="shared" si="6"/>
        <v>66</v>
      </c>
      <c r="B70" s="36" t="s">
        <v>136</v>
      </c>
      <c r="C70" s="37"/>
      <c r="D70" s="37"/>
      <c r="E70" s="40">
        <f t="shared" si="2"/>
        <v>0</v>
      </c>
      <c r="F70" s="41">
        <f>if(isna(VLOOKUP(B70,Checkin!A:B,2,false)),0,VLOOKUP(B70,Checkin!A:B,2,false))</f>
        <v>0</v>
      </c>
      <c r="G70" s="44"/>
      <c r="H70" s="45"/>
      <c r="I70" s="44"/>
      <c r="J70" s="44"/>
      <c r="K70" s="44"/>
      <c r="L70" s="48"/>
      <c r="M70" s="44">
        <f>if(OR($F70=1, $F70=2),VLOOKUP($B70,Courts!$B$2:$J$50,9,false),0)</f>
        <v>0</v>
      </c>
      <c r="N70" s="37">
        <f t="shared" ref="N70:O70" si="71">C70+L70</f>
        <v>0</v>
      </c>
      <c r="O70" s="37">
        <f t="shared" si="71"/>
        <v>0</v>
      </c>
      <c r="P70" s="49" t="s">
        <v>57</v>
      </c>
      <c r="Q70" s="49" t="s">
        <v>57</v>
      </c>
      <c r="R70" s="49" t="s">
        <v>57</v>
      </c>
      <c r="S70" s="51"/>
      <c r="T70" s="52"/>
      <c r="U70" s="52"/>
      <c r="V70" s="51"/>
      <c r="W70" s="52"/>
      <c r="X70" s="35">
        <f t="shared" si="8"/>
        <v>66</v>
      </c>
      <c r="Y70" s="35" t="str">
        <f t="shared" si="4"/>
        <v>Y</v>
      </c>
      <c r="Z70" s="19" t="str">
        <f t="shared" si="5"/>
        <v/>
      </c>
    </row>
    <row r="71">
      <c r="A71" s="35">
        <f t="shared" si="6"/>
        <v>67</v>
      </c>
      <c r="B71" s="36" t="s">
        <v>111</v>
      </c>
      <c r="C71" s="37"/>
      <c r="D71" s="37"/>
      <c r="E71" s="40">
        <f t="shared" si="2"/>
        <v>0</v>
      </c>
      <c r="F71" s="41">
        <f>if(isna(VLOOKUP(B71,Checkin!A:B,2,false)),0,VLOOKUP(B71,Checkin!A:B,2,false))</f>
        <v>0</v>
      </c>
      <c r="G71" s="44"/>
      <c r="H71" s="45"/>
      <c r="I71" s="44"/>
      <c r="J71" s="44"/>
      <c r="K71" s="44"/>
      <c r="L71" s="48"/>
      <c r="M71" s="44">
        <f>if(OR($F71=1, $F71=2),VLOOKUP($B71,Courts!$B$2:$J$50,9,false),0)</f>
        <v>0</v>
      </c>
      <c r="N71" s="37">
        <f t="shared" ref="N71:O71" si="72">C71+L71</f>
        <v>0</v>
      </c>
      <c r="O71" s="37">
        <f t="shared" si="72"/>
        <v>0</v>
      </c>
      <c r="P71" s="49" t="s">
        <v>57</v>
      </c>
      <c r="Q71" s="49" t="s">
        <v>57</v>
      </c>
      <c r="R71" s="49" t="s">
        <v>57</v>
      </c>
      <c r="S71" s="51"/>
      <c r="T71" s="52"/>
      <c r="U71" s="52"/>
      <c r="V71" s="51"/>
      <c r="W71" s="52"/>
      <c r="X71" s="35">
        <f t="shared" si="8"/>
        <v>67</v>
      </c>
      <c r="Y71" s="35" t="str">
        <f t="shared" si="4"/>
        <v>Y</v>
      </c>
      <c r="Z71" s="19" t="str">
        <f t="shared" si="5"/>
        <v/>
      </c>
    </row>
    <row r="72">
      <c r="A72" s="35">
        <f t="shared" si="6"/>
        <v>68</v>
      </c>
      <c r="B72" s="36" t="s">
        <v>76</v>
      </c>
      <c r="C72" s="37"/>
      <c r="D72" s="37"/>
      <c r="E72" s="40">
        <f t="shared" si="2"/>
        <v>0</v>
      </c>
      <c r="F72" s="41">
        <f>if(isna(VLOOKUP(B72,Checkin!A:B,2,false)),0,VLOOKUP(B72,Checkin!A:B,2,false))</f>
        <v>0</v>
      </c>
      <c r="G72" s="44"/>
      <c r="H72" s="45"/>
      <c r="I72" s="44"/>
      <c r="J72" s="44"/>
      <c r="K72" s="44"/>
      <c r="L72" s="48"/>
      <c r="M72" s="44">
        <f>if(OR($F72=1, $F72=2),VLOOKUP($B72,Courts!$B$2:$J$50,9,false),0)</f>
        <v>0</v>
      </c>
      <c r="N72" s="37">
        <f t="shared" ref="N72:O72" si="73">C72+L72</f>
        <v>0</v>
      </c>
      <c r="O72" s="37">
        <f t="shared" si="73"/>
        <v>0</v>
      </c>
      <c r="P72" s="49" t="s">
        <v>57</v>
      </c>
      <c r="Q72" s="49" t="s">
        <v>57</v>
      </c>
      <c r="R72" s="49" t="s">
        <v>57</v>
      </c>
      <c r="S72" s="51"/>
      <c r="T72" s="52"/>
      <c r="U72" s="52"/>
      <c r="V72" s="51"/>
      <c r="W72" s="52"/>
      <c r="X72" s="35">
        <f t="shared" si="8"/>
        <v>68</v>
      </c>
      <c r="Y72" s="35" t="str">
        <f t="shared" si="4"/>
        <v>Y</v>
      </c>
      <c r="Z72" s="19" t="str">
        <f t="shared" si="5"/>
        <v/>
      </c>
    </row>
    <row r="73">
      <c r="A73" s="35">
        <f t="shared" si="6"/>
        <v>69</v>
      </c>
      <c r="B73" s="36" t="s">
        <v>126</v>
      </c>
      <c r="C73" s="37"/>
      <c r="D73" s="37"/>
      <c r="E73" s="40">
        <f t="shared" si="2"/>
        <v>0</v>
      </c>
      <c r="F73" s="41">
        <f>if(isna(VLOOKUP(B73,Checkin!A:B,2,false)),0,VLOOKUP(B73,Checkin!A:B,2,false))</f>
        <v>0</v>
      </c>
      <c r="G73" s="44"/>
      <c r="H73" s="45"/>
      <c r="I73" s="44"/>
      <c r="J73" s="44"/>
      <c r="K73" s="44"/>
      <c r="L73" s="48"/>
      <c r="M73" s="44">
        <f>if(OR($F73=1, $F73=2),VLOOKUP($B73,Courts!$B$2:$J$50,9,false),0)</f>
        <v>0</v>
      </c>
      <c r="N73" s="37">
        <f t="shared" ref="N73:O73" si="74">C73+L73</f>
        <v>0</v>
      </c>
      <c r="O73" s="37">
        <f t="shared" si="74"/>
        <v>0</v>
      </c>
      <c r="P73" s="49" t="s">
        <v>57</v>
      </c>
      <c r="Q73" s="49" t="s">
        <v>57</v>
      </c>
      <c r="R73" s="49" t="s">
        <v>57</v>
      </c>
      <c r="S73" s="51"/>
      <c r="T73" s="52"/>
      <c r="U73" s="52"/>
      <c r="V73" s="51"/>
      <c r="W73" s="52"/>
      <c r="X73" s="35">
        <f t="shared" si="8"/>
        <v>69</v>
      </c>
      <c r="Y73" s="35" t="str">
        <f t="shared" si="4"/>
        <v>Y</v>
      </c>
      <c r="Z73" s="19" t="str">
        <f t="shared" si="5"/>
        <v/>
      </c>
    </row>
    <row r="74">
      <c r="A74" s="35">
        <f t="shared" si="6"/>
        <v>70</v>
      </c>
      <c r="B74" s="36" t="s">
        <v>144</v>
      </c>
      <c r="C74" s="37"/>
      <c r="D74" s="37"/>
      <c r="E74" s="40">
        <f t="shared" si="2"/>
        <v>0</v>
      </c>
      <c r="F74" s="41">
        <f>if(isna(VLOOKUP(B74,Checkin!A:B,2,false)),0,VLOOKUP(B74,Checkin!A:B,2,false))</f>
        <v>0</v>
      </c>
      <c r="G74" s="44"/>
      <c r="H74" s="45"/>
      <c r="I74" s="44"/>
      <c r="J74" s="44"/>
      <c r="K74" s="44"/>
      <c r="L74" s="48"/>
      <c r="M74" s="44">
        <f>if(OR($F74=1, $F74=2),VLOOKUP($B74,Courts!$B$2:$J$50,9,false),0)</f>
        <v>0</v>
      </c>
      <c r="N74" s="37">
        <f t="shared" ref="N74:O74" si="75">C74+L74</f>
        <v>0</v>
      </c>
      <c r="O74" s="37">
        <f t="shared" si="75"/>
        <v>0</v>
      </c>
      <c r="P74" s="49" t="s">
        <v>57</v>
      </c>
      <c r="Q74" s="49" t="s">
        <v>57</v>
      </c>
      <c r="R74" s="49" t="s">
        <v>57</v>
      </c>
      <c r="S74" s="51"/>
      <c r="T74" s="52"/>
      <c r="U74" s="52"/>
      <c r="V74" s="51"/>
      <c r="W74" s="52"/>
      <c r="X74" s="35">
        <f t="shared" si="8"/>
        <v>70</v>
      </c>
      <c r="Y74" s="35" t="str">
        <f t="shared" si="4"/>
        <v>Y</v>
      </c>
      <c r="Z74" s="19" t="str">
        <f t="shared" si="5"/>
        <v/>
      </c>
    </row>
    <row r="75">
      <c r="A75" s="35">
        <f t="shared" si="6"/>
        <v>71</v>
      </c>
      <c r="B75" s="36" t="s">
        <v>132</v>
      </c>
      <c r="C75" s="37"/>
      <c r="D75" s="37"/>
      <c r="E75" s="40">
        <f t="shared" si="2"/>
        <v>0</v>
      </c>
      <c r="F75" s="41">
        <f>if(isna(VLOOKUP(B75,Checkin!A:B,2,false)),0,VLOOKUP(B75,Checkin!A:B,2,false))</f>
        <v>0</v>
      </c>
      <c r="G75" s="44"/>
      <c r="H75" s="45"/>
      <c r="I75" s="44"/>
      <c r="J75" s="44"/>
      <c r="K75" s="44"/>
      <c r="L75" s="48"/>
      <c r="M75" s="44">
        <f>if(OR($F75=1, $F75=2),VLOOKUP($B75,Courts!$B$2:$J$50,9,false),0)</f>
        <v>0</v>
      </c>
      <c r="N75" s="37">
        <f t="shared" ref="N75:O75" si="76">C75+L75</f>
        <v>0</v>
      </c>
      <c r="O75" s="37">
        <f t="shared" si="76"/>
        <v>0</v>
      </c>
      <c r="P75" s="49" t="s">
        <v>57</v>
      </c>
      <c r="Q75" s="49" t="s">
        <v>57</v>
      </c>
      <c r="R75" s="49" t="s">
        <v>57</v>
      </c>
      <c r="S75" s="51"/>
      <c r="T75" s="52"/>
      <c r="U75" s="52"/>
      <c r="V75" s="51"/>
      <c r="W75" s="52"/>
      <c r="X75" s="35">
        <f t="shared" si="8"/>
        <v>71</v>
      </c>
      <c r="Y75" s="35" t="str">
        <f t="shared" si="4"/>
        <v>Y</v>
      </c>
      <c r="Z75" s="19" t="str">
        <f t="shared" si="5"/>
        <v/>
      </c>
    </row>
    <row r="76">
      <c r="A76" s="35">
        <f t="shared" si="6"/>
        <v>72</v>
      </c>
      <c r="B76" s="36" t="s">
        <v>50</v>
      </c>
      <c r="C76" s="37"/>
      <c r="D76" s="37"/>
      <c r="E76" s="40">
        <f t="shared" si="2"/>
        <v>0</v>
      </c>
      <c r="F76" s="41">
        <f>if(isna(VLOOKUP(B76,Checkin!A:B,2,false)),0,VLOOKUP(B76,Checkin!A:B,2,false))</f>
        <v>0</v>
      </c>
      <c r="G76" s="44"/>
      <c r="H76" s="45"/>
      <c r="I76" s="44"/>
      <c r="J76" s="44"/>
      <c r="K76" s="44"/>
      <c r="L76" s="48"/>
      <c r="M76" s="44">
        <f>if(OR($F76=1, $F76=2),VLOOKUP($B76,Courts!$B$2:$J$50,9,false),0)</f>
        <v>0</v>
      </c>
      <c r="N76" s="37">
        <f t="shared" ref="N76:O76" si="77">C76+L76</f>
        <v>0</v>
      </c>
      <c r="O76" s="37">
        <f t="shared" si="77"/>
        <v>0</v>
      </c>
      <c r="P76" s="49" t="s">
        <v>57</v>
      </c>
      <c r="Q76" s="49" t="s">
        <v>57</v>
      </c>
      <c r="R76" s="49" t="s">
        <v>57</v>
      </c>
      <c r="S76" s="51"/>
      <c r="T76" s="52"/>
      <c r="U76" s="52"/>
      <c r="V76" s="51"/>
      <c r="W76" s="52"/>
      <c r="X76" s="35">
        <f t="shared" si="8"/>
        <v>72</v>
      </c>
      <c r="Y76" s="35" t="str">
        <f t="shared" si="4"/>
        <v>Y</v>
      </c>
      <c r="Z76" s="19" t="str">
        <f t="shared" si="5"/>
        <v/>
      </c>
    </row>
    <row r="77">
      <c r="A77" s="35">
        <f t="shared" si="6"/>
        <v>73</v>
      </c>
      <c r="B77" s="36" t="s">
        <v>142</v>
      </c>
      <c r="C77" s="37"/>
      <c r="D77" s="37"/>
      <c r="E77" s="40">
        <f t="shared" si="2"/>
        <v>0</v>
      </c>
      <c r="F77" s="41">
        <f>if(isna(VLOOKUP(B77,Checkin!A:B,2,false)),0,VLOOKUP(B77,Checkin!A:B,2,false))</f>
        <v>0</v>
      </c>
      <c r="G77" s="44"/>
      <c r="H77" s="45"/>
      <c r="I77" s="44"/>
      <c r="J77" s="44"/>
      <c r="K77" s="44"/>
      <c r="L77" s="48"/>
      <c r="M77" s="44">
        <f>if(OR($F77=1, $F77=2),VLOOKUP($B77,Courts!$B$2:$J$50,9,false),0)</f>
        <v>0</v>
      </c>
      <c r="N77" s="37">
        <f t="shared" ref="N77:O77" si="78">C77+L77</f>
        <v>0</v>
      </c>
      <c r="O77" s="37">
        <f t="shared" si="78"/>
        <v>0</v>
      </c>
      <c r="P77" s="49" t="s">
        <v>57</v>
      </c>
      <c r="Q77" s="49" t="s">
        <v>57</v>
      </c>
      <c r="R77" s="49" t="s">
        <v>57</v>
      </c>
      <c r="S77" s="51"/>
      <c r="T77" s="52"/>
      <c r="U77" s="52"/>
      <c r="V77" s="51"/>
      <c r="W77" s="52"/>
      <c r="X77" s="35">
        <f t="shared" si="8"/>
        <v>73</v>
      </c>
      <c r="Y77" s="35" t="str">
        <f t="shared" si="4"/>
        <v>Y</v>
      </c>
      <c r="Z77" s="19" t="str">
        <f t="shared" si="5"/>
        <v/>
      </c>
    </row>
    <row r="78">
      <c r="A78" s="35">
        <f t="shared" si="6"/>
        <v>74</v>
      </c>
      <c r="B78" s="36" t="s">
        <v>98</v>
      </c>
      <c r="C78" s="37"/>
      <c r="D78" s="37"/>
      <c r="E78" s="40">
        <f t="shared" si="2"/>
        <v>0</v>
      </c>
      <c r="F78" s="41">
        <f>if(isna(VLOOKUP(B78,Checkin!A:B,2,false)),0,VLOOKUP(B78,Checkin!A:B,2,false))</f>
        <v>0</v>
      </c>
      <c r="G78" s="44"/>
      <c r="H78" s="45"/>
      <c r="I78" s="44"/>
      <c r="J78" s="44"/>
      <c r="K78" s="44"/>
      <c r="L78" s="48"/>
      <c r="M78" s="44">
        <f>if(OR($F78=1, $F78=2),VLOOKUP($B78,Courts!$B$2:$J$50,9,false),0)</f>
        <v>0</v>
      </c>
      <c r="N78" s="37">
        <f t="shared" ref="N78:O78" si="79">C78+L78</f>
        <v>0</v>
      </c>
      <c r="O78" s="37">
        <f t="shared" si="79"/>
        <v>0</v>
      </c>
      <c r="P78" s="49" t="s">
        <v>57</v>
      </c>
      <c r="Q78" s="49" t="s">
        <v>57</v>
      </c>
      <c r="R78" s="49" t="s">
        <v>57</v>
      </c>
      <c r="S78" s="51"/>
      <c r="T78" s="52"/>
      <c r="U78" s="52"/>
      <c r="V78" s="51"/>
      <c r="W78" s="52"/>
      <c r="X78" s="35">
        <f t="shared" si="8"/>
        <v>74</v>
      </c>
      <c r="Y78" s="35" t="str">
        <f t="shared" si="4"/>
        <v>Y</v>
      </c>
      <c r="Z78" s="19" t="str">
        <f t="shared" si="5"/>
        <v/>
      </c>
    </row>
    <row r="79">
      <c r="A79" s="35">
        <f t="shared" si="6"/>
        <v>75</v>
      </c>
      <c r="B79" s="36" t="s">
        <v>100</v>
      </c>
      <c r="C79" s="37"/>
      <c r="D79" s="37"/>
      <c r="E79" s="40">
        <f t="shared" si="2"/>
        <v>0</v>
      </c>
      <c r="F79" s="41">
        <f>if(isna(VLOOKUP(B79,Checkin!A:B,2,false)),0,VLOOKUP(B79,Checkin!A:B,2,false))</f>
        <v>0</v>
      </c>
      <c r="G79" s="44"/>
      <c r="H79" s="45"/>
      <c r="I79" s="44"/>
      <c r="J79" s="44"/>
      <c r="K79" s="44"/>
      <c r="L79" s="48"/>
      <c r="M79" s="44">
        <f>if(OR($F79=1, $F79=2),VLOOKUP($B79,Courts!$B$2:$J$50,9,false),0)</f>
        <v>0</v>
      </c>
      <c r="N79" s="37">
        <f t="shared" ref="N79:O79" si="80">C79+L79</f>
        <v>0</v>
      </c>
      <c r="O79" s="37">
        <f t="shared" si="80"/>
        <v>0</v>
      </c>
      <c r="P79" s="49" t="s">
        <v>57</v>
      </c>
      <c r="Q79" s="49" t="s">
        <v>57</v>
      </c>
      <c r="R79" s="49" t="s">
        <v>57</v>
      </c>
      <c r="S79" s="51"/>
      <c r="T79" s="52"/>
      <c r="U79" s="52"/>
      <c r="V79" s="51"/>
      <c r="W79" s="52"/>
      <c r="X79" s="35">
        <f t="shared" si="8"/>
        <v>75</v>
      </c>
      <c r="Y79" s="35" t="str">
        <f t="shared" si="4"/>
        <v>Y</v>
      </c>
      <c r="Z79" s="19" t="str">
        <f t="shared" si="5"/>
        <v/>
      </c>
    </row>
    <row r="80">
      <c r="A80" s="5"/>
      <c r="C80" s="5"/>
      <c r="D80" s="5"/>
      <c r="E80" s="5"/>
      <c r="F80" s="5"/>
      <c r="P80" s="21"/>
    </row>
    <row r="81">
      <c r="A81" s="5"/>
      <c r="C81" s="5"/>
      <c r="D81" s="5"/>
      <c r="K81" s="104"/>
      <c r="L81" s="105"/>
      <c r="M81" s="106"/>
      <c r="P81" s="21"/>
    </row>
    <row r="82">
      <c r="A82" s="5"/>
      <c r="C82" s="5"/>
      <c r="D82" s="5"/>
      <c r="E82" s="21"/>
      <c r="F82" s="21" t="s">
        <v>168</v>
      </c>
      <c r="K82" s="104"/>
      <c r="L82" s="105"/>
      <c r="M82" s="106"/>
    </row>
    <row r="83">
      <c r="A83" s="5"/>
      <c r="C83" s="5"/>
      <c r="D83" s="5"/>
      <c r="E83" s="5"/>
      <c r="F83" s="5"/>
      <c r="P83" s="107" t="s">
        <v>169</v>
      </c>
      <c r="Q83" s="25"/>
      <c r="R83" s="26"/>
    </row>
    <row r="84">
      <c r="A84" s="5"/>
      <c r="C84" s="5"/>
      <c r="D84" s="5"/>
      <c r="E84" s="5"/>
      <c r="F84" s="5"/>
      <c r="P84" s="110" t="s">
        <v>171</v>
      </c>
      <c r="Q84" s="26"/>
      <c r="R84" s="113">
        <f>countif(R5:R68,"X")</f>
        <v>64</v>
      </c>
      <c r="S84" s="114">
        <f>R84/R87</f>
        <v>1</v>
      </c>
    </row>
    <row r="85">
      <c r="A85" s="5"/>
      <c r="B85" s="115" t="s">
        <v>175</v>
      </c>
      <c r="C85" s="25"/>
      <c r="D85" s="25"/>
      <c r="E85" s="25"/>
      <c r="F85" s="25"/>
      <c r="G85" s="25"/>
      <c r="H85" s="25"/>
      <c r="I85" s="25"/>
      <c r="J85" s="26"/>
      <c r="P85" s="110" t="s">
        <v>176</v>
      </c>
      <c r="Q85" s="26"/>
      <c r="R85" s="113">
        <f>countif(R5:R68,"N")</f>
        <v>0</v>
      </c>
    </row>
    <row r="86">
      <c r="A86" s="5"/>
      <c r="C86" s="5"/>
      <c r="D86" s="5"/>
      <c r="E86" s="5"/>
      <c r="F86" s="5"/>
      <c r="P86" s="110" t="s">
        <v>177</v>
      </c>
      <c r="Q86" s="26"/>
      <c r="R86" s="113">
        <f>countif(R5:R68,"")</f>
        <v>0</v>
      </c>
    </row>
    <row r="87">
      <c r="A87" s="104"/>
      <c r="C87" s="5"/>
      <c r="D87" s="5"/>
      <c r="E87" s="5"/>
      <c r="F87" s="5"/>
      <c r="P87" s="117" t="s">
        <v>65</v>
      </c>
      <c r="Q87" s="26"/>
      <c r="R87" s="118">
        <f>sum(R84:R86)</f>
        <v>64</v>
      </c>
    </row>
    <row r="88">
      <c r="A88" s="5"/>
      <c r="B88" s="119" t="str">
        <f>concatenate("Top Scores : " &amp;AC2)</f>
        <v>Top Scores : 12/27/25</v>
      </c>
      <c r="C88" s="25"/>
      <c r="D88" s="25"/>
      <c r="E88" s="26"/>
      <c r="F88" s="5"/>
    </row>
    <row r="89">
      <c r="A89" s="5"/>
      <c r="C89" s="5"/>
      <c r="D89" s="5"/>
      <c r="E89" s="5"/>
      <c r="F89" s="5"/>
    </row>
    <row r="90">
      <c r="A90" s="5"/>
      <c r="B90" s="120" t="s">
        <v>4</v>
      </c>
      <c r="C90" s="121" t="s">
        <v>181</v>
      </c>
      <c r="D90" s="121" t="s">
        <v>182</v>
      </c>
      <c r="E90" s="121" t="s">
        <v>0</v>
      </c>
      <c r="F90" s="5"/>
    </row>
    <row r="91">
      <c r="A91" s="5"/>
      <c r="B91" s="36" t="str">
        <f>IFERROR(__xludf.DUMMYFUNCTION("QUERY(indirect(AC2 &amp; ""!B5:M69""),""Select B, L, M, G where L &gt;= 18 order by L desc,M desc"",0)"),"#REF!")</f>
        <v>#REF!</v>
      </c>
      <c r="C91" s="122"/>
      <c r="D91" s="122"/>
      <c r="E91" s="122"/>
      <c r="F91" s="5"/>
    </row>
    <row r="92">
      <c r="A92" s="5"/>
      <c r="B92" s="36"/>
      <c r="C92" s="122"/>
      <c r="D92" s="122"/>
      <c r="E92" s="122"/>
      <c r="F92" s="5"/>
    </row>
    <row r="93">
      <c r="A93" s="5"/>
      <c r="B93" s="36"/>
      <c r="C93" s="122"/>
      <c r="D93" s="122"/>
      <c r="E93" s="122"/>
      <c r="F93" s="5"/>
    </row>
    <row r="94">
      <c r="A94" s="5"/>
      <c r="B94" s="36"/>
      <c r="C94" s="122"/>
      <c r="D94" s="122"/>
      <c r="E94" s="122"/>
      <c r="F94" s="5"/>
    </row>
    <row r="95">
      <c r="A95" s="5"/>
      <c r="B95" s="36"/>
      <c r="C95" s="122"/>
      <c r="D95" s="122"/>
      <c r="E95" s="122"/>
      <c r="F95" s="5"/>
    </row>
    <row r="96">
      <c r="A96" s="5"/>
      <c r="B96" s="36"/>
      <c r="C96" s="122"/>
      <c r="D96" s="122"/>
      <c r="E96" s="122"/>
      <c r="F96" s="5"/>
    </row>
    <row r="97">
      <c r="A97" s="5"/>
      <c r="B97" s="36"/>
      <c r="C97" s="122"/>
      <c r="D97" s="122"/>
      <c r="E97" s="122"/>
      <c r="F97" s="5"/>
    </row>
    <row r="98">
      <c r="A98" s="5"/>
      <c r="B98" s="36"/>
      <c r="C98" s="122"/>
      <c r="D98" s="122"/>
      <c r="E98" s="122"/>
      <c r="F98" s="5"/>
    </row>
    <row r="99">
      <c r="A99" s="5"/>
      <c r="B99" s="36"/>
      <c r="C99" s="122"/>
      <c r="D99" s="122"/>
      <c r="E99" s="122"/>
      <c r="F99" s="5"/>
    </row>
    <row r="100">
      <c r="A100" s="5"/>
      <c r="B100" s="36"/>
      <c r="C100" s="122"/>
      <c r="D100" s="122"/>
      <c r="E100" s="122"/>
      <c r="F100" s="5"/>
    </row>
    <row r="101">
      <c r="A101" s="5"/>
      <c r="B101" s="36"/>
      <c r="C101" s="122"/>
      <c r="D101" s="122"/>
      <c r="E101" s="122"/>
      <c r="F101" s="5"/>
    </row>
    <row r="102">
      <c r="A102" s="5"/>
      <c r="C102" s="5"/>
      <c r="D102" s="5"/>
      <c r="E102" s="5"/>
      <c r="F102" s="5"/>
    </row>
    <row r="103">
      <c r="A103" s="5"/>
      <c r="C103" s="5"/>
      <c r="D103" s="5"/>
      <c r="E103" s="5"/>
      <c r="F103" s="5"/>
    </row>
    <row r="104">
      <c r="A104" s="5"/>
      <c r="C104" s="5"/>
      <c r="D104" s="5"/>
      <c r="E104" s="5"/>
      <c r="F104" s="5"/>
    </row>
    <row r="105">
      <c r="A105" s="5"/>
      <c r="C105" s="5"/>
      <c r="D105" s="5"/>
      <c r="E105" s="5"/>
      <c r="F105" s="5"/>
    </row>
    <row r="106">
      <c r="A106" s="5"/>
      <c r="C106" s="5"/>
      <c r="D106" s="5"/>
      <c r="E106" s="5"/>
      <c r="F106" s="5"/>
    </row>
    <row r="107">
      <c r="A107" s="5"/>
      <c r="B107" s="126" t="s">
        <v>199</v>
      </c>
      <c r="C107" s="25"/>
      <c r="D107" s="25"/>
      <c r="E107" s="25"/>
      <c r="F107" s="25"/>
      <c r="G107" s="26"/>
    </row>
    <row r="108">
      <c r="A108" s="5"/>
      <c r="C108" s="5"/>
      <c r="D108" s="5"/>
      <c r="E108" s="5"/>
      <c r="F108" s="5"/>
    </row>
    <row r="109" ht="54.0" customHeight="1">
      <c r="A109" s="5"/>
      <c r="B109" s="120" t="s">
        <v>4</v>
      </c>
      <c r="C109" s="127" t="s">
        <v>186</v>
      </c>
      <c r="D109" s="127" t="s">
        <v>187</v>
      </c>
      <c r="E109" s="127" t="s">
        <v>188</v>
      </c>
      <c r="F109" s="127" t="s">
        <v>189</v>
      </c>
      <c r="G109" s="127" t="s">
        <v>190</v>
      </c>
      <c r="L109" s="127" t="s">
        <v>191</v>
      </c>
    </row>
    <row r="110">
      <c r="A110" s="5"/>
      <c r="B110" s="36" t="str">
        <f>IFERROR(__xludf.DUMMYFUNCTION("query(B5:W68,""select B, W order by W Desc Limit 10"")"),"Adrian Tay")</f>
        <v>Adrian Tay</v>
      </c>
      <c r="C110" s="100"/>
      <c r="D110" s="122" t="str">
        <f t="shared" ref="D110:D119" si="81">VLOOKUP(B110,indirect($AC$2&amp;"!B$5:X$69"),23, false)</f>
        <v>#REF!</v>
      </c>
      <c r="E110" s="122">
        <f t="shared" ref="E110:E119" si="82">VLOOKUP(B110,B$5:X$68,23, false)</f>
        <v>1</v>
      </c>
      <c r="F110" s="122" t="str">
        <f t="shared" ref="F110:F119" si="83">VLOOKUP(B110,indirect($AC$2&amp;"!B$5:U$70"),11, false)</f>
        <v>#REF!</v>
      </c>
      <c r="G110" s="122" t="str">
        <f t="shared" ref="G110:G119" si="84">VLOOKUP(B110,indirect($AC$2&amp;"!B$5:U$70"),6, false)</f>
        <v>#REF!</v>
      </c>
      <c r="L110" s="122" t="str">
        <f t="shared" ref="L110:L119" si="85">if(D110-E110=C110,"ok","Error")</f>
        <v>#REF!</v>
      </c>
    </row>
    <row r="111">
      <c r="A111" s="5"/>
      <c r="B111" s="36" t="str">
        <f>IFERROR(__xludf.DUMMYFUNCTION("""COMPUTED_VALUE"""),"Darren Wong")</f>
        <v>Darren Wong</v>
      </c>
      <c r="C111" s="100"/>
      <c r="D111" s="122" t="str">
        <f t="shared" si="81"/>
        <v>#REF!</v>
      </c>
      <c r="E111" s="122">
        <f t="shared" si="82"/>
        <v>2</v>
      </c>
      <c r="F111" s="122" t="str">
        <f t="shared" si="83"/>
        <v>#REF!</v>
      </c>
      <c r="G111" s="122" t="str">
        <f t="shared" si="84"/>
        <v>#REF!</v>
      </c>
      <c r="L111" s="122" t="str">
        <f t="shared" si="85"/>
        <v>#REF!</v>
      </c>
    </row>
    <row r="112">
      <c r="A112" s="5"/>
      <c r="B112" s="36" t="str">
        <f>IFERROR(__xludf.DUMMYFUNCTION("""COMPUTED_VALUE"""),"Lam Bui")</f>
        <v>Lam Bui</v>
      </c>
      <c r="C112" s="100"/>
      <c r="D112" s="122" t="str">
        <f t="shared" si="81"/>
        <v>#REF!</v>
      </c>
      <c r="E112" s="122">
        <f t="shared" si="82"/>
        <v>3</v>
      </c>
      <c r="F112" s="122" t="str">
        <f t="shared" si="83"/>
        <v>#REF!</v>
      </c>
      <c r="G112" s="122" t="str">
        <f t="shared" si="84"/>
        <v>#REF!</v>
      </c>
      <c r="L112" s="122" t="str">
        <f t="shared" si="85"/>
        <v>#REF!</v>
      </c>
    </row>
    <row r="113">
      <c r="A113" s="5"/>
      <c r="B113" s="36" t="str">
        <f>IFERROR(__xludf.DUMMYFUNCTION("""COMPUTED_VALUE"""),"Eric Pan")</f>
        <v>Eric Pan</v>
      </c>
      <c r="C113" s="100"/>
      <c r="D113" s="122" t="str">
        <f t="shared" si="81"/>
        <v>#REF!</v>
      </c>
      <c r="E113" s="122">
        <f t="shared" si="82"/>
        <v>4</v>
      </c>
      <c r="F113" s="122" t="str">
        <f t="shared" si="83"/>
        <v>#REF!</v>
      </c>
      <c r="G113" s="122" t="str">
        <f t="shared" si="84"/>
        <v>#REF!</v>
      </c>
      <c r="L113" s="122" t="str">
        <f t="shared" si="85"/>
        <v>#REF!</v>
      </c>
    </row>
    <row r="114">
      <c r="A114" s="5"/>
      <c r="B114" s="36" t="str">
        <f>IFERROR(__xludf.DUMMYFUNCTION("""COMPUTED_VALUE"""),"Pulkit Mathur")</f>
        <v>Pulkit Mathur</v>
      </c>
      <c r="C114" s="122"/>
      <c r="D114" s="122" t="str">
        <f t="shared" si="81"/>
        <v>#REF!</v>
      </c>
      <c r="E114" s="122">
        <f t="shared" si="82"/>
        <v>5</v>
      </c>
      <c r="F114" s="122" t="str">
        <f t="shared" si="83"/>
        <v>#REF!</v>
      </c>
      <c r="G114" s="122" t="str">
        <f t="shared" si="84"/>
        <v>#REF!</v>
      </c>
      <c r="L114" s="122" t="str">
        <f t="shared" si="85"/>
        <v>#REF!</v>
      </c>
    </row>
    <row r="115">
      <c r="A115" s="5"/>
      <c r="B115" s="36" t="str">
        <f>IFERROR(__xludf.DUMMYFUNCTION("""COMPUTED_VALUE"""),"Sandeep Kamalon")</f>
        <v>Sandeep Kamalon</v>
      </c>
      <c r="C115" s="122"/>
      <c r="D115" s="122" t="str">
        <f t="shared" si="81"/>
        <v>#REF!</v>
      </c>
      <c r="E115" s="122">
        <f t="shared" si="82"/>
        <v>6</v>
      </c>
      <c r="F115" s="122" t="str">
        <f t="shared" si="83"/>
        <v>#REF!</v>
      </c>
      <c r="G115" s="122" t="str">
        <f t="shared" si="84"/>
        <v>#REF!</v>
      </c>
      <c r="L115" s="122" t="str">
        <f t="shared" si="85"/>
        <v>#REF!</v>
      </c>
    </row>
    <row r="116">
      <c r="A116" s="5"/>
      <c r="B116" s="36" t="str">
        <f>IFERROR(__xludf.DUMMYFUNCTION("""COMPUTED_VALUE"""),"David Shin")</f>
        <v>David Shin</v>
      </c>
      <c r="C116" s="122"/>
      <c r="D116" s="122" t="str">
        <f t="shared" si="81"/>
        <v>#REF!</v>
      </c>
      <c r="E116" s="122">
        <f t="shared" si="82"/>
        <v>7</v>
      </c>
      <c r="F116" s="122" t="str">
        <f t="shared" si="83"/>
        <v>#REF!</v>
      </c>
      <c r="G116" s="122" t="str">
        <f t="shared" si="84"/>
        <v>#REF!</v>
      </c>
      <c r="L116" s="122" t="str">
        <f t="shared" si="85"/>
        <v>#REF!</v>
      </c>
    </row>
    <row r="117">
      <c r="A117" s="5"/>
      <c r="B117" s="36" t="str">
        <f>IFERROR(__xludf.DUMMYFUNCTION("""COMPUTED_VALUE"""),"Ethan Gu")</f>
        <v>Ethan Gu</v>
      </c>
      <c r="C117" s="122"/>
      <c r="D117" s="122" t="str">
        <f t="shared" si="81"/>
        <v>#REF!</v>
      </c>
      <c r="E117" s="122">
        <f t="shared" si="82"/>
        <v>8</v>
      </c>
      <c r="F117" s="122" t="str">
        <f t="shared" si="83"/>
        <v>#REF!</v>
      </c>
      <c r="G117" s="122" t="str">
        <f t="shared" si="84"/>
        <v>#REF!</v>
      </c>
      <c r="L117" s="122" t="str">
        <f t="shared" si="85"/>
        <v>#REF!</v>
      </c>
    </row>
    <row r="118">
      <c r="A118" s="5"/>
      <c r="B118" s="36" t="str">
        <f>IFERROR(__xludf.DUMMYFUNCTION("""COMPUTED_VALUE"""),"Rajasekar Ramasamy")</f>
        <v>Rajasekar Ramasamy</v>
      </c>
      <c r="C118" s="122"/>
      <c r="D118" s="122" t="str">
        <f t="shared" si="81"/>
        <v>#REF!</v>
      </c>
      <c r="E118" s="122">
        <f t="shared" si="82"/>
        <v>9</v>
      </c>
      <c r="F118" s="122" t="str">
        <f t="shared" si="83"/>
        <v>#REF!</v>
      </c>
      <c r="G118" s="122" t="str">
        <f t="shared" si="84"/>
        <v>#REF!</v>
      </c>
      <c r="L118" s="122" t="str">
        <f t="shared" si="85"/>
        <v>#REF!</v>
      </c>
    </row>
    <row r="119">
      <c r="A119" s="5"/>
      <c r="B119" s="36" t="str">
        <f>IFERROR(__xludf.DUMMYFUNCTION("""COMPUTED_VALUE"""),"Pavan Akkimsetty")</f>
        <v>Pavan Akkimsetty</v>
      </c>
      <c r="C119" s="122"/>
      <c r="D119" s="122" t="str">
        <f t="shared" si="81"/>
        <v>#REF!</v>
      </c>
      <c r="E119" s="122">
        <f t="shared" si="82"/>
        <v>10</v>
      </c>
      <c r="F119" s="122" t="str">
        <f t="shared" si="83"/>
        <v>#REF!</v>
      </c>
      <c r="G119" s="122" t="str">
        <f t="shared" si="84"/>
        <v>#REF!</v>
      </c>
      <c r="L119" s="122" t="str">
        <f t="shared" si="85"/>
        <v>#REF!</v>
      </c>
    </row>
    <row r="120">
      <c r="A120" s="5"/>
      <c r="C120" s="5"/>
      <c r="D120" s="5"/>
      <c r="E120" s="5"/>
      <c r="F120" s="5"/>
    </row>
    <row r="121">
      <c r="A121" s="5"/>
      <c r="C121" s="5"/>
      <c r="D121" s="5"/>
      <c r="E121" s="5"/>
      <c r="F121" s="5"/>
    </row>
    <row r="122">
      <c r="A122" s="5"/>
      <c r="C122" s="5"/>
      <c r="D122" s="5"/>
      <c r="E122" s="5"/>
      <c r="F122" s="5"/>
    </row>
    <row r="123">
      <c r="A123" s="5"/>
      <c r="C123" s="5"/>
      <c r="D123" s="5"/>
      <c r="E123" s="5"/>
      <c r="F123" s="5"/>
    </row>
    <row r="124">
      <c r="A124" s="5"/>
      <c r="C124" s="5"/>
      <c r="D124" s="5"/>
      <c r="E124" s="5"/>
      <c r="F124" s="5"/>
    </row>
    <row r="125">
      <c r="A125" s="126" t="str">
        <f> CONCATENATE("TOP 10 Players after " &amp;D2 &amp; " Weeks")</f>
        <v>TOP 10 Players after 0 Weeks</v>
      </c>
      <c r="B125" s="25"/>
      <c r="C125" s="25"/>
      <c r="D125" s="25"/>
      <c r="E125" s="26"/>
      <c r="F125" s="5"/>
    </row>
    <row r="126">
      <c r="A126" s="5"/>
      <c r="C126" s="5"/>
      <c r="D126" s="5"/>
      <c r="E126" s="5"/>
      <c r="F126" s="5"/>
    </row>
    <row r="127">
      <c r="A127" s="120" t="s">
        <v>35</v>
      </c>
      <c r="B127" s="120" t="s">
        <v>4</v>
      </c>
      <c r="C127" s="120" t="s">
        <v>6</v>
      </c>
      <c r="D127" s="120" t="s">
        <v>9</v>
      </c>
      <c r="E127" s="120" t="s">
        <v>38</v>
      </c>
      <c r="F127" s="5"/>
    </row>
    <row r="128">
      <c r="A128" s="122">
        <f t="shared" ref="A128:E128" si="86">A5</f>
        <v>1</v>
      </c>
      <c r="B128" s="36" t="str">
        <f t="shared" si="86"/>
        <v>Adrian Tay</v>
      </c>
      <c r="C128" s="122" t="str">
        <f t="shared" si="86"/>
        <v/>
      </c>
      <c r="D128" s="122" t="str">
        <f t="shared" si="86"/>
        <v/>
      </c>
      <c r="E128" s="122">
        <f t="shared" si="86"/>
        <v>0</v>
      </c>
      <c r="F128" s="5"/>
    </row>
    <row r="129">
      <c r="A129" s="122">
        <f t="shared" ref="A129:E129" si="87">A6</f>
        <v>2</v>
      </c>
      <c r="B129" s="36" t="str">
        <f t="shared" si="87"/>
        <v>Darren Wong</v>
      </c>
      <c r="C129" s="122" t="str">
        <f t="shared" si="87"/>
        <v/>
      </c>
      <c r="D129" s="122" t="str">
        <f t="shared" si="87"/>
        <v/>
      </c>
      <c r="E129" s="122">
        <f t="shared" si="87"/>
        <v>0</v>
      </c>
      <c r="F129" s="5"/>
    </row>
    <row r="130">
      <c r="A130" s="122">
        <f t="shared" ref="A130:E130" si="88">A7</f>
        <v>3</v>
      </c>
      <c r="B130" s="36" t="str">
        <f t="shared" si="88"/>
        <v>Lam Bui</v>
      </c>
      <c r="C130" s="122" t="str">
        <f t="shared" si="88"/>
        <v/>
      </c>
      <c r="D130" s="122" t="str">
        <f t="shared" si="88"/>
        <v/>
      </c>
      <c r="E130" s="122">
        <f t="shared" si="88"/>
        <v>0</v>
      </c>
      <c r="F130" s="5"/>
    </row>
    <row r="131">
      <c r="A131" s="122">
        <f t="shared" ref="A131:E131" si="89">A8</f>
        <v>4</v>
      </c>
      <c r="B131" s="36" t="str">
        <f t="shared" si="89"/>
        <v>Eric Pan</v>
      </c>
      <c r="C131" s="122" t="str">
        <f t="shared" si="89"/>
        <v/>
      </c>
      <c r="D131" s="122" t="str">
        <f t="shared" si="89"/>
        <v/>
      </c>
      <c r="E131" s="122">
        <f t="shared" si="89"/>
        <v>0</v>
      </c>
      <c r="F131" s="5"/>
    </row>
    <row r="132">
      <c r="A132" s="122">
        <f t="shared" ref="A132:E132" si="90">A9</f>
        <v>5</v>
      </c>
      <c r="B132" s="36" t="str">
        <f t="shared" si="90"/>
        <v>Pulkit Mathur</v>
      </c>
      <c r="C132" s="122" t="str">
        <f t="shared" si="90"/>
        <v/>
      </c>
      <c r="D132" s="122" t="str">
        <f t="shared" si="90"/>
        <v/>
      </c>
      <c r="E132" s="122">
        <f t="shared" si="90"/>
        <v>0</v>
      </c>
      <c r="F132" s="5"/>
    </row>
    <row r="133">
      <c r="A133" s="122">
        <f t="shared" ref="A133:E133" si="91">A10</f>
        <v>6</v>
      </c>
      <c r="B133" s="36" t="str">
        <f t="shared" si="91"/>
        <v>Sandeep Kamalon</v>
      </c>
      <c r="C133" s="122" t="str">
        <f t="shared" si="91"/>
        <v/>
      </c>
      <c r="D133" s="122" t="str">
        <f t="shared" si="91"/>
        <v/>
      </c>
      <c r="E133" s="122">
        <f t="shared" si="91"/>
        <v>0</v>
      </c>
      <c r="F133" s="5"/>
    </row>
    <row r="134">
      <c r="A134" s="122">
        <f t="shared" ref="A134:E134" si="92">A11</f>
        <v>7</v>
      </c>
      <c r="B134" s="36" t="str">
        <f t="shared" si="92"/>
        <v>David Shin</v>
      </c>
      <c r="C134" s="122" t="str">
        <f t="shared" si="92"/>
        <v/>
      </c>
      <c r="D134" s="122" t="str">
        <f t="shared" si="92"/>
        <v/>
      </c>
      <c r="E134" s="122">
        <f t="shared" si="92"/>
        <v>0</v>
      </c>
      <c r="F134" s="5"/>
    </row>
    <row r="135">
      <c r="A135" s="122">
        <f t="shared" ref="A135:E135" si="93">A12</f>
        <v>8</v>
      </c>
      <c r="B135" s="36" t="str">
        <f t="shared" si="93"/>
        <v>Ethan Gu</v>
      </c>
      <c r="C135" s="122" t="str">
        <f t="shared" si="93"/>
        <v/>
      </c>
      <c r="D135" s="122" t="str">
        <f t="shared" si="93"/>
        <v/>
      </c>
      <c r="E135" s="122">
        <f t="shared" si="93"/>
        <v>0</v>
      </c>
      <c r="F135" s="5"/>
    </row>
    <row r="136">
      <c r="A136" s="122">
        <f t="shared" ref="A136:E136" si="94">A13</f>
        <v>9</v>
      </c>
      <c r="B136" s="36" t="str">
        <f t="shared" si="94"/>
        <v>Rajasekar Ramasamy</v>
      </c>
      <c r="C136" s="122" t="str">
        <f t="shared" si="94"/>
        <v/>
      </c>
      <c r="D136" s="122" t="str">
        <f t="shared" si="94"/>
        <v/>
      </c>
      <c r="E136" s="122">
        <f t="shared" si="94"/>
        <v>0</v>
      </c>
      <c r="F136" s="5"/>
    </row>
    <row r="137">
      <c r="A137" s="122">
        <f t="shared" ref="A137:E137" si="95">A14</f>
        <v>10</v>
      </c>
      <c r="B137" s="36" t="str">
        <f t="shared" si="95"/>
        <v>Pavan Akkimsetty</v>
      </c>
      <c r="C137" s="122" t="str">
        <f t="shared" si="95"/>
        <v/>
      </c>
      <c r="D137" s="122" t="str">
        <f t="shared" si="95"/>
        <v/>
      </c>
      <c r="E137" s="122">
        <f t="shared" si="95"/>
        <v>0</v>
      </c>
      <c r="F137" s="5"/>
    </row>
    <row r="138">
      <c r="A138" s="5"/>
      <c r="C138" s="5"/>
      <c r="D138" s="5"/>
      <c r="E138" s="5"/>
      <c r="F138" s="5"/>
    </row>
    <row r="139">
      <c r="A139" s="5"/>
      <c r="C139" s="5"/>
      <c r="D139" s="5"/>
      <c r="E139" s="5"/>
      <c r="F139" s="5"/>
    </row>
    <row r="140">
      <c r="A140" s="5"/>
      <c r="C140" s="5"/>
      <c r="D140" s="5"/>
      <c r="E140" s="5"/>
      <c r="F140" s="5"/>
    </row>
    <row r="141">
      <c r="A141" s="5"/>
      <c r="B141" s="130" t="s">
        <v>195</v>
      </c>
      <c r="C141" s="26"/>
      <c r="D141" s="5"/>
      <c r="E141" s="5"/>
      <c r="F141" s="5"/>
    </row>
    <row r="142">
      <c r="A142" s="5"/>
      <c r="C142" s="5"/>
      <c r="D142" s="5"/>
      <c r="E142" s="5"/>
      <c r="F142" s="5"/>
    </row>
    <row r="143">
      <c r="A143" s="5"/>
      <c r="B143" s="120" t="s">
        <v>1</v>
      </c>
      <c r="C143" s="120" t="s">
        <v>196</v>
      </c>
      <c r="D143" s="5"/>
      <c r="E143" s="5"/>
      <c r="F143" s="5"/>
    </row>
    <row r="144">
      <c r="A144" s="5"/>
      <c r="B144" s="36" t="str">
        <f>Data!F117</f>
        <v>Andrew Yao</v>
      </c>
      <c r="C144" s="122">
        <f>Data!G117</f>
        <v>20</v>
      </c>
      <c r="D144" s="5"/>
      <c r="E144" s="5"/>
      <c r="F144" s="5"/>
    </row>
    <row r="145">
      <c r="A145" s="5"/>
      <c r="B145" s="36" t="str">
        <f>Data!F118</f>
        <v>Pulkit Mathur</v>
      </c>
      <c r="C145" s="122">
        <f>Data!G118</f>
        <v>3</v>
      </c>
      <c r="D145" s="5"/>
      <c r="E145" s="5"/>
      <c r="F145" s="5"/>
    </row>
    <row r="146">
      <c r="A146" s="5"/>
      <c r="B146" s="36" t="str">
        <f>Data!F119</f>
        <v>Sandeep Kamalon</v>
      </c>
      <c r="C146" s="122">
        <f>Data!G119</f>
        <v>2</v>
      </c>
      <c r="D146" s="5"/>
      <c r="E146" s="5"/>
      <c r="F146" s="5"/>
    </row>
    <row r="147">
      <c r="A147" s="5"/>
      <c r="B147" s="36" t="str">
        <f>Data!F120</f>
        <v>Sanjaye Elayattu</v>
      </c>
      <c r="C147" s="122">
        <f>Data!G120</f>
        <v>1</v>
      </c>
      <c r="D147" s="5"/>
      <c r="E147" s="5"/>
      <c r="F147" s="5"/>
    </row>
    <row r="148">
      <c r="A148" s="5"/>
      <c r="B148" s="36" t="str">
        <f>Data!F121</f>
        <v/>
      </c>
      <c r="C148" s="122" t="str">
        <f>Data!G121</f>
        <v/>
      </c>
      <c r="D148" s="5"/>
      <c r="E148" s="5"/>
      <c r="F148" s="5"/>
    </row>
    <row r="149">
      <c r="A149" s="5"/>
      <c r="B149" s="36" t="str">
        <f>Data!F122</f>
        <v/>
      </c>
      <c r="C149" s="122" t="str">
        <f>Data!G122</f>
        <v/>
      </c>
      <c r="D149" s="5"/>
      <c r="E149" s="5"/>
      <c r="F149" s="5"/>
    </row>
    <row r="150">
      <c r="A150" s="5"/>
      <c r="B150" s="36" t="str">
        <f>Data!F123</f>
        <v/>
      </c>
      <c r="C150" s="122" t="str">
        <f>Data!G123</f>
        <v/>
      </c>
      <c r="D150" s="5"/>
      <c r="E150" s="5"/>
      <c r="F150" s="5"/>
    </row>
    <row r="151">
      <c r="A151" s="5"/>
      <c r="B151" s="36" t="str">
        <f>Data!F124</f>
        <v/>
      </c>
      <c r="C151" s="122" t="str">
        <f>Data!G124</f>
        <v/>
      </c>
      <c r="D151" s="5"/>
      <c r="E151" s="5"/>
      <c r="F151" s="5"/>
    </row>
    <row r="152">
      <c r="A152" s="5"/>
      <c r="B152" s="36" t="str">
        <f>Data!F125</f>
        <v/>
      </c>
      <c r="C152" s="122" t="str">
        <f>Data!G125</f>
        <v/>
      </c>
      <c r="D152" s="5"/>
      <c r="E152" s="5"/>
      <c r="F152" s="5"/>
    </row>
    <row r="153">
      <c r="A153" s="5"/>
      <c r="B153" s="36" t="str">
        <f>Data!F126</f>
        <v/>
      </c>
      <c r="C153" s="122" t="str">
        <f>Data!G126</f>
        <v/>
      </c>
      <c r="D153" s="5"/>
      <c r="E153" s="5"/>
      <c r="F153" s="5"/>
    </row>
    <row r="154">
      <c r="A154" s="5"/>
      <c r="B154" s="36" t="str">
        <f>Data!F127</f>
        <v/>
      </c>
      <c r="C154" s="122" t="str">
        <f>Data!G127</f>
        <v/>
      </c>
      <c r="D154" s="5"/>
      <c r="E154" s="5"/>
      <c r="F154" s="5"/>
    </row>
    <row r="155">
      <c r="A155" s="5"/>
      <c r="C155" s="5"/>
      <c r="D155" s="5"/>
      <c r="E155" s="5"/>
      <c r="F155" s="5"/>
    </row>
    <row r="156">
      <c r="A156" s="5"/>
      <c r="C156" s="5"/>
      <c r="D156" s="5"/>
      <c r="E156" s="5"/>
      <c r="F156" s="5"/>
    </row>
    <row r="157">
      <c r="A157" s="5"/>
      <c r="C157" s="5"/>
      <c r="D157" s="5"/>
      <c r="E157" s="5"/>
      <c r="F157" s="5"/>
    </row>
    <row r="158">
      <c r="A158" s="5"/>
      <c r="C158" s="5"/>
      <c r="D158" s="5"/>
      <c r="E158" s="5"/>
      <c r="F158" s="5"/>
    </row>
    <row r="159">
      <c r="A159" s="5"/>
      <c r="C159" s="5"/>
      <c r="D159" s="5"/>
      <c r="E159" s="5"/>
      <c r="F159" s="5"/>
    </row>
    <row r="160">
      <c r="A160" s="130" t="s">
        <v>202</v>
      </c>
      <c r="B160" s="26"/>
      <c r="C160" s="5"/>
      <c r="D160" s="5"/>
      <c r="E160" s="5"/>
      <c r="F160" s="5"/>
    </row>
    <row r="161">
      <c r="A161" s="5"/>
      <c r="C161" s="5"/>
      <c r="D161" s="5"/>
      <c r="E161" s="5"/>
      <c r="F161" s="5"/>
    </row>
    <row r="162">
      <c r="A162" s="120" t="s">
        <v>2</v>
      </c>
      <c r="B162" s="120" t="s">
        <v>1</v>
      </c>
      <c r="C162" s="5"/>
      <c r="D162" s="5"/>
      <c r="E162" s="5"/>
      <c r="F162" s="5"/>
    </row>
    <row r="163">
      <c r="A163" s="122">
        <f>if(B163&lt;&gt;"",1,0)</f>
        <v>1</v>
      </c>
      <c r="B163" s="36" t="str">
        <f>IFERROR(__xludf.DUMMYFUNCTION("query(B5:Y79,""select B where Y = 'Y' order by B ASC"")"),"Adrian Tay")</f>
        <v>Adrian Tay</v>
      </c>
      <c r="C163" s="5"/>
      <c r="D163" s="5"/>
      <c r="E163" s="5"/>
      <c r="F163" s="5"/>
    </row>
    <row r="164">
      <c r="A164" s="122">
        <f t="shared" ref="A164:A237" si="96">if(B164&lt;&gt;"",A163+1,0)</f>
        <v>2</v>
      </c>
      <c r="B164" s="36" t="str">
        <f>IFERROR(__xludf.DUMMYFUNCTION("""COMPUTED_VALUE"""),"Alejandro Mejia")</f>
        <v>Alejandro Mejia</v>
      </c>
      <c r="C164" s="5"/>
      <c r="D164" s="5"/>
      <c r="E164" s="5"/>
      <c r="F164" s="5"/>
    </row>
    <row r="165">
      <c r="A165" s="122">
        <f t="shared" si="96"/>
        <v>3</v>
      </c>
      <c r="B165" s="36" t="str">
        <f>IFERROR(__xludf.DUMMYFUNCTION("""COMPUTED_VALUE"""),"Alex Hou")</f>
        <v>Alex Hou</v>
      </c>
      <c r="C165" s="5"/>
      <c r="D165" s="5"/>
      <c r="E165" s="5"/>
      <c r="F165" s="5"/>
      <c r="P165" s="36"/>
    </row>
    <row r="166">
      <c r="A166" s="122">
        <f t="shared" si="96"/>
        <v>4</v>
      </c>
      <c r="B166" s="36" t="str">
        <f>IFERROR(__xludf.DUMMYFUNCTION("""COMPUTED_VALUE"""),"Allen Zhang")</f>
        <v>Allen Zhang</v>
      </c>
      <c r="C166" s="5"/>
      <c r="D166" s="5"/>
      <c r="E166" s="5"/>
      <c r="F166" s="5"/>
    </row>
    <row r="167">
      <c r="A167" s="122">
        <f t="shared" si="96"/>
        <v>5</v>
      </c>
      <c r="B167" s="36" t="str">
        <f>IFERROR(__xludf.DUMMYFUNCTION("""COMPUTED_VALUE"""),"Andrew Wen")</f>
        <v>Andrew Wen</v>
      </c>
      <c r="C167" s="5"/>
      <c r="D167" s="5"/>
      <c r="E167" s="5"/>
      <c r="F167" s="5"/>
    </row>
    <row r="168">
      <c r="A168" s="122">
        <f t="shared" si="96"/>
        <v>6</v>
      </c>
      <c r="B168" s="36" t="str">
        <f>IFERROR(__xludf.DUMMYFUNCTION("""COMPUTED_VALUE"""),"Andrew Yao")</f>
        <v>Andrew Yao</v>
      </c>
      <c r="C168" s="5"/>
      <c r="D168" s="5"/>
      <c r="E168" s="5"/>
      <c r="F168" s="5"/>
    </row>
    <row r="169">
      <c r="A169" s="122">
        <f t="shared" si="96"/>
        <v>7</v>
      </c>
      <c r="B169" s="36" t="str">
        <f>IFERROR(__xludf.DUMMYFUNCTION("""COMPUTED_VALUE"""),"Art Hui")</f>
        <v>Art Hui</v>
      </c>
      <c r="C169" s="5"/>
      <c r="D169" s="5"/>
      <c r="E169" s="5"/>
      <c r="F169" s="5"/>
    </row>
    <row r="170">
      <c r="A170" s="122">
        <f t="shared" si="96"/>
        <v>8</v>
      </c>
      <c r="B170" s="36" t="str">
        <f>IFERROR(__xludf.DUMMYFUNCTION("""COMPUTED_VALUE"""),"Balaji Alahari")</f>
        <v>Balaji Alahari</v>
      </c>
      <c r="C170" s="5"/>
      <c r="D170" s="5"/>
      <c r="E170" s="5"/>
      <c r="F170" s="5"/>
    </row>
    <row r="171">
      <c r="A171" s="122">
        <f t="shared" si="96"/>
        <v>9</v>
      </c>
      <c r="B171" s="36" t="str">
        <f>IFERROR(__xludf.DUMMYFUNCTION("""COMPUTED_VALUE"""),"Barathi Sundaram")</f>
        <v>Barathi Sundaram</v>
      </c>
      <c r="C171" s="5"/>
      <c r="D171" s="5"/>
      <c r="E171" s="5"/>
      <c r="F171" s="5"/>
    </row>
    <row r="172">
      <c r="A172" s="122">
        <f t="shared" si="96"/>
        <v>10</v>
      </c>
      <c r="B172" s="36" t="str">
        <f>IFERROR(__xludf.DUMMYFUNCTION("""COMPUTED_VALUE"""),"Basudev Thoppai Vidyasankar")</f>
        <v>Basudev Thoppai Vidyasankar</v>
      </c>
      <c r="C172" s="5"/>
      <c r="D172" s="5"/>
      <c r="E172" s="5"/>
      <c r="F172" s="5"/>
    </row>
    <row r="173">
      <c r="A173" s="122">
        <f t="shared" si="96"/>
        <v>11</v>
      </c>
      <c r="B173" s="36" t="str">
        <f>IFERROR(__xludf.DUMMYFUNCTION("""COMPUTED_VALUE"""),"Camille Jung")</f>
        <v>Camille Jung</v>
      </c>
      <c r="C173" s="5"/>
      <c r="D173" s="5"/>
      <c r="E173" s="5"/>
      <c r="F173" s="5"/>
    </row>
    <row r="174">
      <c r="A174" s="122">
        <f t="shared" si="96"/>
        <v>12</v>
      </c>
      <c r="B174" s="36" t="str">
        <f>IFERROR(__xludf.DUMMYFUNCTION("""COMPUTED_VALUE"""),"Charles Choi")</f>
        <v>Charles Choi</v>
      </c>
      <c r="C174" s="5"/>
      <c r="D174" s="5"/>
      <c r="E174" s="5"/>
      <c r="F174" s="5"/>
    </row>
    <row r="175">
      <c r="A175" s="122">
        <f t="shared" si="96"/>
        <v>13</v>
      </c>
      <c r="B175" s="36" t="str">
        <f>IFERROR(__xludf.DUMMYFUNCTION("""COMPUTED_VALUE"""),"Chinna Ponnaganti")</f>
        <v>Chinna Ponnaganti</v>
      </c>
      <c r="C175" s="5"/>
      <c r="D175" s="5"/>
      <c r="E175" s="5"/>
      <c r="F175" s="5"/>
    </row>
    <row r="176">
      <c r="A176" s="122">
        <f t="shared" si="96"/>
        <v>14</v>
      </c>
      <c r="B176" s="36" t="str">
        <f>IFERROR(__xludf.DUMMYFUNCTION("""COMPUTED_VALUE"""),"Cid Macaraeg")</f>
        <v>Cid Macaraeg</v>
      </c>
      <c r="C176" s="5"/>
      <c r="D176" s="5"/>
      <c r="E176" s="5"/>
      <c r="F176" s="5"/>
    </row>
    <row r="177">
      <c r="A177" s="122">
        <f t="shared" si="96"/>
        <v>15</v>
      </c>
      <c r="B177" s="36" t="str">
        <f>IFERROR(__xludf.DUMMYFUNCTION("""COMPUTED_VALUE"""),"Coco Yan")</f>
        <v>Coco Yan</v>
      </c>
      <c r="C177" s="5"/>
      <c r="D177" s="5"/>
      <c r="E177" s="5"/>
      <c r="F177" s="5"/>
    </row>
    <row r="178">
      <c r="A178" s="122">
        <f t="shared" si="96"/>
        <v>16</v>
      </c>
      <c r="B178" s="36" t="str">
        <f>IFERROR(__xludf.DUMMYFUNCTION("""COMPUTED_VALUE"""),"Darren Wong")</f>
        <v>Darren Wong</v>
      </c>
      <c r="C178" s="5"/>
      <c r="D178" s="5"/>
      <c r="E178" s="5"/>
      <c r="F178" s="5"/>
    </row>
    <row r="179">
      <c r="A179" s="122">
        <f t="shared" si="96"/>
        <v>17</v>
      </c>
      <c r="B179" s="36" t="str">
        <f>IFERROR(__xludf.DUMMYFUNCTION("""COMPUTED_VALUE"""),"David Shin")</f>
        <v>David Shin</v>
      </c>
      <c r="C179" s="5"/>
      <c r="D179" s="5"/>
      <c r="E179" s="5"/>
      <c r="F179" s="5"/>
    </row>
    <row r="180">
      <c r="A180" s="122">
        <f t="shared" si="96"/>
        <v>18</v>
      </c>
      <c r="B180" s="36" t="str">
        <f>IFERROR(__xludf.DUMMYFUNCTION("""COMPUTED_VALUE"""),"Elayaraja Thangaraj")</f>
        <v>Elayaraja Thangaraj</v>
      </c>
      <c r="C180" s="5"/>
      <c r="D180" s="5"/>
      <c r="E180" s="5"/>
      <c r="F180" s="5"/>
    </row>
    <row r="181">
      <c r="A181" s="122">
        <f t="shared" si="96"/>
        <v>19</v>
      </c>
      <c r="B181" s="36" t="str">
        <f>IFERROR(__xludf.DUMMYFUNCTION("""COMPUTED_VALUE"""),"Eric Pan")</f>
        <v>Eric Pan</v>
      </c>
      <c r="C181" s="5"/>
      <c r="D181" s="5"/>
      <c r="E181" s="5"/>
      <c r="F181" s="5"/>
    </row>
    <row r="182">
      <c r="A182" s="122">
        <f t="shared" si="96"/>
        <v>20</v>
      </c>
      <c r="B182" s="36" t="str">
        <f>IFERROR(__xludf.DUMMYFUNCTION("""COMPUTED_VALUE"""),"Eric Tan")</f>
        <v>Eric Tan</v>
      </c>
      <c r="C182" s="5"/>
      <c r="D182" s="5"/>
      <c r="E182" s="5"/>
      <c r="F182" s="5"/>
    </row>
    <row r="183">
      <c r="A183" s="122">
        <f t="shared" si="96"/>
        <v>21</v>
      </c>
      <c r="B183" s="36" t="str">
        <f>IFERROR(__xludf.DUMMYFUNCTION("""COMPUTED_VALUE"""),"Erik Hoeckmann")</f>
        <v>Erik Hoeckmann</v>
      </c>
      <c r="C183" s="5"/>
      <c r="D183" s="5"/>
      <c r="E183" s="5"/>
      <c r="F183" s="5"/>
    </row>
    <row r="184">
      <c r="A184" s="122">
        <f t="shared" si="96"/>
        <v>22</v>
      </c>
      <c r="B184" s="36" t="str">
        <f>IFERROR(__xludf.DUMMYFUNCTION("""COMPUTED_VALUE"""),"Ethan Gu")</f>
        <v>Ethan Gu</v>
      </c>
      <c r="C184" s="5"/>
      <c r="D184" s="5"/>
      <c r="E184" s="5"/>
      <c r="F184" s="5"/>
    </row>
    <row r="185">
      <c r="A185" s="122">
        <f t="shared" si="96"/>
        <v>23</v>
      </c>
      <c r="B185" s="36" t="str">
        <f>IFERROR(__xludf.DUMMYFUNCTION("""COMPUTED_VALUE"""),"Frank Moon")</f>
        <v>Frank Moon</v>
      </c>
      <c r="C185" s="5"/>
      <c r="D185" s="5"/>
      <c r="E185" s="5"/>
      <c r="F185" s="5"/>
    </row>
    <row r="186">
      <c r="A186" s="122">
        <f t="shared" si="96"/>
        <v>24</v>
      </c>
      <c r="B186" s="36" t="str">
        <f>IFERROR(__xludf.DUMMYFUNCTION("""COMPUTED_VALUE"""),"Herman Au")</f>
        <v>Herman Au</v>
      </c>
      <c r="C186" s="5"/>
      <c r="D186" s="5"/>
      <c r="E186" s="5"/>
      <c r="F186" s="5"/>
    </row>
    <row r="187">
      <c r="A187" s="122">
        <f t="shared" si="96"/>
        <v>25</v>
      </c>
      <c r="B187" s="36" t="str">
        <f>IFERROR(__xludf.DUMMYFUNCTION("""COMPUTED_VALUE"""),"Hongyuan Wen")</f>
        <v>Hongyuan Wen</v>
      </c>
      <c r="C187" s="5"/>
      <c r="D187" s="5"/>
      <c r="E187" s="5"/>
      <c r="F187" s="5"/>
    </row>
    <row r="188">
      <c r="A188" s="122">
        <f t="shared" si="96"/>
        <v>26</v>
      </c>
      <c r="B188" s="36" t="str">
        <f>IFERROR(__xludf.DUMMYFUNCTION("""COMPUTED_VALUE"""),"Hubert J Sung")</f>
        <v>Hubert J Sung</v>
      </c>
      <c r="C188" s="5"/>
      <c r="D188" s="5"/>
      <c r="E188" s="5"/>
      <c r="F188" s="5"/>
    </row>
    <row r="189">
      <c r="A189" s="122">
        <f t="shared" si="96"/>
        <v>27</v>
      </c>
      <c r="B189" s="36" t="str">
        <f>IFERROR(__xludf.DUMMYFUNCTION("""COMPUTED_VALUE"""),"James Phan")</f>
        <v>James Phan</v>
      </c>
      <c r="C189" s="5"/>
      <c r="D189" s="5"/>
      <c r="E189" s="5"/>
      <c r="F189" s="5"/>
    </row>
    <row r="190">
      <c r="A190" s="122">
        <f t="shared" si="96"/>
        <v>28</v>
      </c>
      <c r="B190" s="36" t="str">
        <f>IFERROR(__xludf.DUMMYFUNCTION("""COMPUTED_VALUE"""),"Jaya Sogata")</f>
        <v>Jaya Sogata</v>
      </c>
      <c r="C190" s="5"/>
      <c r="D190" s="5"/>
      <c r="E190" s="5"/>
      <c r="F190" s="5"/>
    </row>
    <row r="191">
      <c r="A191" s="122">
        <f t="shared" si="96"/>
        <v>29</v>
      </c>
      <c r="B191" s="36" t="str">
        <f>IFERROR(__xludf.DUMMYFUNCTION("""COMPUTED_VALUE"""),"Jim Miao")</f>
        <v>Jim Miao</v>
      </c>
      <c r="C191" s="5"/>
      <c r="D191" s="5"/>
      <c r="E191" s="5"/>
      <c r="F191" s="5"/>
    </row>
    <row r="192">
      <c r="A192" s="122">
        <f t="shared" si="96"/>
        <v>30</v>
      </c>
      <c r="B192" s="36" t="str">
        <f>IFERROR(__xludf.DUMMYFUNCTION("""COMPUTED_VALUE"""),"Jimmy Awolesi")</f>
        <v>Jimmy Awolesi</v>
      </c>
      <c r="C192" s="5"/>
      <c r="D192" s="5"/>
      <c r="E192" s="5"/>
      <c r="F192" s="5"/>
    </row>
    <row r="193">
      <c r="A193" s="122">
        <f t="shared" si="96"/>
        <v>31</v>
      </c>
      <c r="B193" s="36" t="str">
        <f>IFERROR(__xludf.DUMMYFUNCTION("""COMPUTED_VALUE"""),"Joe Luzzi")</f>
        <v>Joe Luzzi</v>
      </c>
      <c r="C193" s="5"/>
      <c r="D193" s="5"/>
      <c r="E193" s="5"/>
      <c r="F193" s="5"/>
    </row>
    <row r="194">
      <c r="A194" s="122">
        <f t="shared" si="96"/>
        <v>32</v>
      </c>
      <c r="B194" s="36" t="str">
        <f>IFERROR(__xludf.DUMMYFUNCTION("""COMPUTED_VALUE"""),"Jonathan Phan")</f>
        <v>Jonathan Phan</v>
      </c>
      <c r="C194" s="5"/>
      <c r="D194" s="5"/>
      <c r="E194" s="5"/>
      <c r="F194" s="5"/>
    </row>
    <row r="195">
      <c r="A195" s="122">
        <f t="shared" si="96"/>
        <v>33</v>
      </c>
      <c r="B195" s="36" t="str">
        <f>IFERROR(__xludf.DUMMYFUNCTION("""COMPUTED_VALUE"""),"Jordan Tatang")</f>
        <v>Jordan Tatang</v>
      </c>
      <c r="C195" s="5"/>
      <c r="D195" s="5"/>
      <c r="E195" s="5"/>
      <c r="F195" s="5"/>
    </row>
    <row r="196">
      <c r="A196" s="122">
        <f t="shared" si="96"/>
        <v>34</v>
      </c>
      <c r="B196" s="36" t="str">
        <f>IFERROR(__xludf.DUMMYFUNCTION("""COMPUTED_VALUE"""),"Joyce Zhu")</f>
        <v>Joyce Zhu</v>
      </c>
      <c r="C196" s="5"/>
      <c r="D196" s="5"/>
      <c r="E196" s="5"/>
      <c r="F196" s="5"/>
    </row>
    <row r="197">
      <c r="A197" s="122">
        <f t="shared" si="96"/>
        <v>35</v>
      </c>
      <c r="B197" s="36" t="str">
        <f>IFERROR(__xludf.DUMMYFUNCTION("""COMPUTED_VALUE"""),"Kumar Palakeel")</f>
        <v>Kumar Palakeel</v>
      </c>
      <c r="C197" s="5"/>
      <c r="D197" s="5"/>
      <c r="E197" s="5"/>
      <c r="F197" s="5"/>
    </row>
    <row r="198">
      <c r="A198" s="122">
        <f t="shared" si="96"/>
        <v>36</v>
      </c>
      <c r="B198" s="36" t="str">
        <f>IFERROR(__xludf.DUMMYFUNCTION("""COMPUTED_VALUE"""),"Lam Bui")</f>
        <v>Lam Bui</v>
      </c>
      <c r="C198" s="5"/>
      <c r="D198" s="5"/>
      <c r="E198" s="5"/>
      <c r="F198" s="5"/>
    </row>
    <row r="199">
      <c r="A199" s="122">
        <f t="shared" si="96"/>
        <v>37</v>
      </c>
      <c r="B199" s="36" t="str">
        <f>IFERROR(__xludf.DUMMYFUNCTION("""COMPUTED_VALUE"""),"Leigh-Anh Nguyen")</f>
        <v>Leigh-Anh Nguyen</v>
      </c>
      <c r="C199" s="5"/>
      <c r="D199" s="5"/>
      <c r="E199" s="5"/>
      <c r="F199" s="5"/>
    </row>
    <row r="200">
      <c r="A200" s="122">
        <f t="shared" si="96"/>
        <v>38</v>
      </c>
      <c r="B200" s="36" t="str">
        <f>IFERROR(__xludf.DUMMYFUNCTION("""COMPUTED_VALUE"""),"Lenin Belangonda ")</f>
        <v>Lenin Belangonda </v>
      </c>
      <c r="C200" s="5"/>
      <c r="D200" s="5"/>
      <c r="E200" s="5"/>
      <c r="F200" s="5"/>
    </row>
    <row r="201">
      <c r="A201" s="122">
        <f t="shared" si="96"/>
        <v>39</v>
      </c>
      <c r="B201" s="36" t="str">
        <f>IFERROR(__xludf.DUMMYFUNCTION("""COMPUTED_VALUE"""),"Lloyd Sagar")</f>
        <v>Lloyd Sagar</v>
      </c>
      <c r="C201" s="5"/>
      <c r="D201" s="5"/>
      <c r="E201" s="5"/>
      <c r="F201" s="5"/>
    </row>
    <row r="202">
      <c r="A202" s="122">
        <f t="shared" si="96"/>
        <v>40</v>
      </c>
      <c r="B202" s="36" t="str">
        <f>IFERROR(__xludf.DUMMYFUNCTION("""COMPUTED_VALUE"""),"Luis Hsu")</f>
        <v>Luis Hsu</v>
      </c>
      <c r="C202" s="5"/>
      <c r="D202" s="5"/>
      <c r="E202" s="5"/>
      <c r="F202" s="5"/>
    </row>
    <row r="203">
      <c r="A203" s="122">
        <f t="shared" si="96"/>
        <v>41</v>
      </c>
      <c r="B203" s="36" t="str">
        <f>IFERROR(__xludf.DUMMYFUNCTION("""COMPUTED_VALUE"""),"Manish Anand")</f>
        <v>Manish Anand</v>
      </c>
      <c r="C203" s="5"/>
      <c r="D203" s="5"/>
      <c r="E203" s="5"/>
      <c r="F203" s="5"/>
    </row>
    <row r="204">
      <c r="A204" s="122">
        <f t="shared" si="96"/>
        <v>42</v>
      </c>
      <c r="B204" s="36" t="str">
        <f>IFERROR(__xludf.DUMMYFUNCTION("""COMPUTED_VALUE"""),"Manuel Rivera")</f>
        <v>Manuel Rivera</v>
      </c>
      <c r="C204" s="5"/>
      <c r="D204" s="5"/>
      <c r="E204" s="5"/>
      <c r="F204" s="5"/>
    </row>
    <row r="205">
      <c r="A205" s="122">
        <f t="shared" si="96"/>
        <v>43</v>
      </c>
      <c r="B205" s="36" t="str">
        <f>IFERROR(__xludf.DUMMYFUNCTION("""COMPUTED_VALUE"""),"Matthew Huang")</f>
        <v>Matthew Huang</v>
      </c>
      <c r="C205" s="5"/>
      <c r="D205" s="5"/>
      <c r="E205" s="5"/>
      <c r="F205" s="5"/>
    </row>
    <row r="206">
      <c r="A206" s="122">
        <f t="shared" si="96"/>
        <v>44</v>
      </c>
      <c r="B206" s="36" t="str">
        <f>IFERROR(__xludf.DUMMYFUNCTION("""COMPUTED_VALUE"""),"Mauricio Palacios")</f>
        <v>Mauricio Palacios</v>
      </c>
      <c r="C206" s="5"/>
      <c r="D206" s="5"/>
      <c r="E206" s="5"/>
      <c r="F206" s="5"/>
    </row>
    <row r="207">
      <c r="A207" s="122">
        <f t="shared" si="96"/>
        <v>45</v>
      </c>
      <c r="B207" s="36" t="str">
        <f>IFERROR(__xludf.DUMMYFUNCTION("""COMPUTED_VALUE"""),"Naveen Raj")</f>
        <v>Naveen Raj</v>
      </c>
      <c r="C207" s="5"/>
      <c r="D207" s="5"/>
      <c r="E207" s="5"/>
      <c r="F207" s="5"/>
    </row>
    <row r="208">
      <c r="A208" s="122">
        <f t="shared" si="96"/>
        <v>46</v>
      </c>
      <c r="B208" s="36" t="str">
        <f>IFERROR(__xludf.DUMMYFUNCTION("""COMPUTED_VALUE"""),"Nicole Ni")</f>
        <v>Nicole Ni</v>
      </c>
      <c r="C208" s="5"/>
      <c r="D208" s="5"/>
      <c r="E208" s="5"/>
      <c r="F208" s="5"/>
    </row>
    <row r="209">
      <c r="A209" s="122">
        <f t="shared" si="96"/>
        <v>47</v>
      </c>
      <c r="B209" s="36" t="str">
        <f>IFERROR(__xludf.DUMMYFUNCTION("""COMPUTED_VALUE"""),"Oscar Bonilla")</f>
        <v>Oscar Bonilla</v>
      </c>
      <c r="C209" s="5"/>
      <c r="D209" s="5"/>
      <c r="E209" s="5"/>
      <c r="F209" s="5"/>
    </row>
    <row r="210">
      <c r="A210" s="122">
        <f t="shared" si="96"/>
        <v>48</v>
      </c>
      <c r="B210" s="36" t="str">
        <f>IFERROR(__xludf.DUMMYFUNCTION("""COMPUTED_VALUE"""),"Pavan Akkimsetty")</f>
        <v>Pavan Akkimsetty</v>
      </c>
      <c r="C210" s="5"/>
      <c r="D210" s="5"/>
      <c r="E210" s="5"/>
      <c r="F210" s="5"/>
    </row>
    <row r="211">
      <c r="A211" s="122">
        <f t="shared" si="96"/>
        <v>49</v>
      </c>
      <c r="B211" s="36" t="str">
        <f>IFERROR(__xludf.DUMMYFUNCTION("""COMPUTED_VALUE"""),"Pulkit Mathur")</f>
        <v>Pulkit Mathur</v>
      </c>
      <c r="C211" s="5"/>
      <c r="D211" s="5"/>
      <c r="E211" s="5"/>
      <c r="F211" s="5"/>
    </row>
    <row r="212">
      <c r="A212" s="122">
        <f t="shared" si="96"/>
        <v>50</v>
      </c>
      <c r="B212" s="36" t="str">
        <f>IFERROR(__xludf.DUMMYFUNCTION("""COMPUTED_VALUE"""),"Rajasekar Ramasamy")</f>
        <v>Rajasekar Ramasamy</v>
      </c>
      <c r="C212" s="5"/>
      <c r="D212" s="5"/>
      <c r="E212" s="5"/>
      <c r="F212" s="5"/>
    </row>
    <row r="213">
      <c r="A213" s="122">
        <f t="shared" si="96"/>
        <v>51</v>
      </c>
      <c r="B213" s="36" t="str">
        <f>IFERROR(__xludf.DUMMYFUNCTION("""COMPUTED_VALUE"""),"Rajesh Dorairaj")</f>
        <v>Rajesh Dorairaj</v>
      </c>
      <c r="C213" s="5"/>
      <c r="D213" s="5"/>
      <c r="E213" s="5"/>
      <c r="F213" s="5"/>
    </row>
    <row r="214">
      <c r="A214" s="122">
        <f t="shared" si="96"/>
        <v>52</v>
      </c>
      <c r="B214" s="36" t="str">
        <f>IFERROR(__xludf.DUMMYFUNCTION("""COMPUTED_VALUE"""),"Ramesh Bandaru")</f>
        <v>Ramesh Bandaru</v>
      </c>
      <c r="C214" s="5"/>
      <c r="D214" s="5"/>
      <c r="E214" s="5"/>
      <c r="F214" s="5"/>
    </row>
    <row r="215">
      <c r="A215" s="122">
        <f t="shared" si="96"/>
        <v>53</v>
      </c>
      <c r="B215" s="36" t="str">
        <f>IFERROR(__xludf.DUMMYFUNCTION("""COMPUTED_VALUE"""),"Ranjith Doraiswamy")</f>
        <v>Ranjith Doraiswamy</v>
      </c>
      <c r="C215" s="5"/>
      <c r="D215" s="5"/>
      <c r="E215" s="5"/>
      <c r="F215" s="5"/>
    </row>
    <row r="216">
      <c r="A216" s="122">
        <f t="shared" si="96"/>
        <v>54</v>
      </c>
      <c r="B216" s="36" t="str">
        <f>IFERROR(__xludf.DUMMYFUNCTION("""COMPUTED_VALUE"""),"Robert Chang")</f>
        <v>Robert Chang</v>
      </c>
      <c r="C216" s="5"/>
      <c r="D216" s="5"/>
      <c r="E216" s="5"/>
      <c r="F216" s="5"/>
    </row>
    <row r="217">
      <c r="A217" s="122">
        <f t="shared" si="96"/>
        <v>55</v>
      </c>
      <c r="B217" s="36" t="str">
        <f>IFERROR(__xludf.DUMMYFUNCTION("""COMPUTED_VALUE"""),"Ruben Ron")</f>
        <v>Ruben Ron</v>
      </c>
      <c r="C217" s="5"/>
      <c r="D217" s="5"/>
      <c r="E217" s="5"/>
      <c r="F217" s="5"/>
    </row>
    <row r="218">
      <c r="A218" s="122">
        <f t="shared" si="96"/>
        <v>56</v>
      </c>
      <c r="B218" s="36" t="str">
        <f>IFERROR(__xludf.DUMMYFUNCTION("""COMPUTED_VALUE"""),"Rudy Tatang")</f>
        <v>Rudy Tatang</v>
      </c>
      <c r="C218" s="5"/>
      <c r="D218" s="5"/>
      <c r="E218" s="5"/>
      <c r="F218" s="5"/>
    </row>
    <row r="219">
      <c r="A219" s="122">
        <f t="shared" si="96"/>
        <v>57</v>
      </c>
      <c r="B219" s="36" t="str">
        <f>IFERROR(__xludf.DUMMYFUNCTION("""COMPUTED_VALUE"""),"Sandeep Kamalon")</f>
        <v>Sandeep Kamalon</v>
      </c>
      <c r="C219" s="5"/>
      <c r="D219" s="5"/>
      <c r="E219" s="5"/>
      <c r="F219" s="5"/>
    </row>
    <row r="220">
      <c r="A220" s="122">
        <f t="shared" si="96"/>
        <v>58</v>
      </c>
      <c r="B220" s="36" t="str">
        <f>IFERROR(__xludf.DUMMYFUNCTION("""COMPUTED_VALUE"""),"Sandy Weyant")</f>
        <v>Sandy Weyant</v>
      </c>
      <c r="C220" s="5"/>
      <c r="D220" s="5"/>
      <c r="E220" s="5"/>
      <c r="F220" s="5"/>
    </row>
    <row r="221">
      <c r="A221" s="122">
        <f t="shared" si="96"/>
        <v>59</v>
      </c>
      <c r="B221" s="36" t="str">
        <f>IFERROR(__xludf.DUMMYFUNCTION("""COMPUTED_VALUE"""),"Sanjaye Elayattu")</f>
        <v>Sanjaye Elayattu</v>
      </c>
      <c r="C221" s="5"/>
      <c r="D221" s="5"/>
      <c r="E221" s="5"/>
      <c r="F221" s="5"/>
    </row>
    <row r="222">
      <c r="A222" s="122">
        <f t="shared" si="96"/>
        <v>60</v>
      </c>
      <c r="B222" s="36" t="str">
        <f>IFERROR(__xludf.DUMMYFUNCTION("""COMPUTED_VALUE"""),"Santosh Sundaresan")</f>
        <v>Santosh Sundaresan</v>
      </c>
      <c r="C222" s="5"/>
      <c r="D222" s="5"/>
      <c r="E222" s="5"/>
      <c r="F222" s="5"/>
    </row>
    <row r="223">
      <c r="A223" s="122">
        <f t="shared" si="96"/>
        <v>61</v>
      </c>
      <c r="B223" s="36" t="str">
        <f>IFERROR(__xludf.DUMMYFUNCTION("""COMPUTED_VALUE"""),"Saravanan Veerapandian")</f>
        <v>Saravanan Veerapandian</v>
      </c>
      <c r="C223" s="5"/>
      <c r="D223" s="5"/>
      <c r="E223" s="5"/>
      <c r="F223" s="5"/>
    </row>
    <row r="224">
      <c r="A224" s="122">
        <f t="shared" si="96"/>
        <v>62</v>
      </c>
      <c r="B224" s="36" t="str">
        <f>IFERROR(__xludf.DUMMYFUNCTION("""COMPUTED_VALUE"""),"Scott Li")</f>
        <v>Scott Li</v>
      </c>
      <c r="C224" s="5"/>
      <c r="D224" s="5"/>
      <c r="E224" s="5"/>
      <c r="F224" s="5"/>
    </row>
    <row r="225">
      <c r="A225" s="122">
        <f t="shared" si="96"/>
        <v>63</v>
      </c>
      <c r="B225" s="36" t="str">
        <f>IFERROR(__xludf.DUMMYFUNCTION("""COMPUTED_VALUE"""),"Sean Chang")</f>
        <v>Sean Chang</v>
      </c>
      <c r="C225" s="5"/>
      <c r="D225" s="5"/>
      <c r="E225" s="5"/>
      <c r="F225" s="5"/>
    </row>
    <row r="226">
      <c r="A226" s="122">
        <f t="shared" si="96"/>
        <v>64</v>
      </c>
      <c r="B226" s="36" t="str">
        <f>IFERROR(__xludf.DUMMYFUNCTION("""COMPUTED_VALUE"""),"Suleman Alidina")</f>
        <v>Suleman Alidina</v>
      </c>
      <c r="C226" s="5"/>
      <c r="D226" s="5"/>
      <c r="E226" s="5"/>
      <c r="F226" s="5"/>
    </row>
    <row r="227">
      <c r="A227" s="122">
        <f t="shared" si="96"/>
        <v>65</v>
      </c>
      <c r="B227" s="36" t="str">
        <f>IFERROR(__xludf.DUMMYFUNCTION("""COMPUTED_VALUE"""),"Susanta Mishra")</f>
        <v>Susanta Mishra</v>
      </c>
      <c r="C227" s="5"/>
      <c r="D227" s="5"/>
      <c r="E227" s="5"/>
      <c r="F227" s="5"/>
    </row>
    <row r="228">
      <c r="A228" s="122">
        <f t="shared" si="96"/>
        <v>66</v>
      </c>
      <c r="B228" s="36" t="str">
        <f>IFERROR(__xludf.DUMMYFUNCTION("""COMPUTED_VALUE"""),"Ted Shen")</f>
        <v>Ted Shen</v>
      </c>
      <c r="C228" s="5"/>
      <c r="D228" s="5"/>
      <c r="E228" s="5"/>
      <c r="F228" s="5"/>
    </row>
    <row r="229">
      <c r="A229" s="122">
        <f t="shared" si="96"/>
        <v>67</v>
      </c>
      <c r="B229" s="36" t="str">
        <f>IFERROR(__xludf.DUMMYFUNCTION("""COMPUTED_VALUE"""),"Tina Hanson")</f>
        <v>Tina Hanson</v>
      </c>
      <c r="C229" s="5"/>
      <c r="D229" s="5"/>
      <c r="E229" s="5"/>
      <c r="F229" s="5"/>
    </row>
    <row r="230">
      <c r="A230" s="122">
        <f t="shared" si="96"/>
        <v>68</v>
      </c>
      <c r="B230" s="36" t="str">
        <f>IFERROR(__xludf.DUMMYFUNCTION("""COMPUTED_VALUE"""),"Tom Le")</f>
        <v>Tom Le</v>
      </c>
      <c r="C230" s="5"/>
      <c r="D230" s="5"/>
      <c r="E230" s="5"/>
      <c r="F230" s="5"/>
    </row>
    <row r="231">
      <c r="A231" s="122">
        <f t="shared" si="96"/>
        <v>69</v>
      </c>
      <c r="B231" s="36" t="str">
        <f>IFERROR(__xludf.DUMMYFUNCTION("""COMPUTED_VALUE"""),"Trish Newlin")</f>
        <v>Trish Newlin</v>
      </c>
      <c r="C231" s="5"/>
      <c r="D231" s="5"/>
      <c r="E231" s="5"/>
      <c r="F231" s="5"/>
    </row>
    <row r="232">
      <c r="A232" s="122">
        <f t="shared" si="96"/>
        <v>70</v>
      </c>
      <c r="B232" s="36" t="str">
        <f>IFERROR(__xludf.DUMMYFUNCTION("""COMPUTED_VALUE"""),"Troy Wong")</f>
        <v>Troy Wong</v>
      </c>
      <c r="C232" s="5"/>
      <c r="D232" s="5"/>
      <c r="E232" s="5"/>
      <c r="F232" s="5"/>
    </row>
    <row r="233">
      <c r="A233" s="122">
        <f t="shared" si="96"/>
        <v>71</v>
      </c>
      <c r="B233" s="36" t="str">
        <f>IFERROR(__xludf.DUMMYFUNCTION("""COMPUTED_VALUE"""),"Vicki Martinet")</f>
        <v>Vicki Martinet</v>
      </c>
      <c r="C233" s="5"/>
      <c r="D233" s="5"/>
      <c r="E233" s="5"/>
      <c r="F233" s="5"/>
    </row>
    <row r="234">
      <c r="A234" s="122">
        <f t="shared" si="96"/>
        <v>72</v>
      </c>
      <c r="B234" s="36" t="str">
        <f>IFERROR(__xludf.DUMMYFUNCTION("""COMPUTED_VALUE"""),"Vinaya Kajla")</f>
        <v>Vinaya Kajla</v>
      </c>
      <c r="C234" s="5"/>
      <c r="D234" s="5"/>
      <c r="E234" s="5"/>
      <c r="F234" s="5"/>
    </row>
    <row r="235">
      <c r="A235" s="122">
        <f t="shared" si="96"/>
        <v>73</v>
      </c>
      <c r="B235" s="36" t="str">
        <f>IFERROR(__xludf.DUMMYFUNCTION("""COMPUTED_VALUE"""),"Vinotkumar Nagappan")</f>
        <v>Vinotkumar Nagappan</v>
      </c>
      <c r="C235" s="5"/>
      <c r="D235" s="5"/>
      <c r="E235" s="5"/>
      <c r="F235" s="5"/>
    </row>
    <row r="236">
      <c r="A236" s="122">
        <f t="shared" si="96"/>
        <v>74</v>
      </c>
      <c r="B236" s="36" t="str">
        <f>IFERROR(__xludf.DUMMYFUNCTION("""COMPUTED_VALUE"""),"Vishnu Amarnath")</f>
        <v>Vishnu Amarnath</v>
      </c>
      <c r="C236" s="5"/>
      <c r="D236" s="5"/>
      <c r="E236" s="5"/>
      <c r="F236" s="5"/>
    </row>
    <row r="237">
      <c r="A237" s="122">
        <f t="shared" si="96"/>
        <v>75</v>
      </c>
      <c r="B237" s="36" t="str">
        <f>IFERROR(__xludf.DUMMYFUNCTION("""COMPUTED_VALUE"""),"Wayne Liu")</f>
        <v>Wayne Liu</v>
      </c>
      <c r="C237" s="5"/>
      <c r="D237" s="5"/>
      <c r="E237" s="5"/>
      <c r="F237" s="5"/>
    </row>
    <row r="238">
      <c r="A238" s="5"/>
      <c r="C238" s="5"/>
      <c r="D238" s="5"/>
      <c r="E238" s="5"/>
      <c r="F238" s="5"/>
    </row>
    <row r="239">
      <c r="A239" s="5"/>
      <c r="C239" s="5"/>
      <c r="D239" s="5"/>
      <c r="E239" s="5"/>
      <c r="F239" s="5"/>
    </row>
    <row r="240">
      <c r="A240" s="5"/>
      <c r="C240" s="5"/>
      <c r="D240" s="5"/>
      <c r="E240" s="5"/>
      <c r="F240" s="5"/>
    </row>
    <row r="241">
      <c r="A241" s="5"/>
      <c r="C241" s="5"/>
      <c r="D241" s="5"/>
      <c r="E241" s="5"/>
      <c r="F241" s="5"/>
    </row>
    <row r="242">
      <c r="A242" s="5"/>
      <c r="C242" s="5"/>
      <c r="D242" s="5"/>
      <c r="E242" s="5"/>
      <c r="F242" s="5"/>
    </row>
    <row r="243">
      <c r="A243" s="5"/>
      <c r="C243" s="5"/>
      <c r="D243" s="5"/>
      <c r="E243" s="5"/>
      <c r="F243" s="5"/>
    </row>
    <row r="244">
      <c r="A244" s="5"/>
      <c r="C244" s="5"/>
      <c r="D244" s="5"/>
      <c r="E244" s="5"/>
      <c r="F244" s="5"/>
    </row>
    <row r="245">
      <c r="A245" s="5"/>
      <c r="C245" s="5"/>
      <c r="D245" s="5"/>
      <c r="E245" s="5"/>
      <c r="F245" s="5"/>
    </row>
    <row r="246">
      <c r="A246" s="5"/>
      <c r="C246" s="5"/>
      <c r="D246" s="5"/>
      <c r="E246" s="5"/>
      <c r="F246" s="5"/>
    </row>
    <row r="247">
      <c r="A247" s="5"/>
      <c r="C247" s="5"/>
      <c r="D247" s="5"/>
      <c r="E247" s="5"/>
      <c r="F247" s="5"/>
    </row>
    <row r="248">
      <c r="A248" s="5"/>
      <c r="C248" s="5"/>
      <c r="D248" s="5"/>
      <c r="E248" s="5"/>
      <c r="F248" s="5"/>
    </row>
    <row r="249">
      <c r="A249" s="5"/>
      <c r="C249" s="5"/>
      <c r="D249" s="5"/>
      <c r="E249" s="5"/>
      <c r="F249" s="5"/>
    </row>
    <row r="250">
      <c r="A250" s="5"/>
      <c r="C250" s="5"/>
      <c r="D250" s="5"/>
      <c r="E250" s="5"/>
      <c r="F250" s="5"/>
    </row>
    <row r="251">
      <c r="A251" s="5"/>
      <c r="C251" s="5"/>
      <c r="D251" s="5"/>
      <c r="E251" s="5"/>
      <c r="F251" s="5"/>
    </row>
    <row r="252">
      <c r="A252" s="5"/>
      <c r="B252" s="127" t="str">
        <f>concatenate("Scores for : " &amp; AC2)</f>
        <v>Scores for : 12/27/25</v>
      </c>
      <c r="C252" s="5"/>
      <c r="D252" s="5"/>
      <c r="E252" s="5"/>
      <c r="F252" s="5"/>
    </row>
    <row r="253">
      <c r="A253" s="5"/>
      <c r="C253" s="5"/>
      <c r="D253" s="5"/>
      <c r="E253" s="5"/>
      <c r="F253" s="5"/>
    </row>
    <row r="254">
      <c r="A254" s="120" t="s">
        <v>0</v>
      </c>
      <c r="B254" s="120" t="s">
        <v>1</v>
      </c>
      <c r="C254" s="120" t="s">
        <v>12</v>
      </c>
      <c r="D254" s="120" t="s">
        <v>13</v>
      </c>
      <c r="E254" s="120" t="s">
        <v>15</v>
      </c>
      <c r="F254" s="120" t="s">
        <v>17</v>
      </c>
      <c r="G254" s="120" t="s">
        <v>9</v>
      </c>
    </row>
    <row r="255">
      <c r="A255" s="122" t="str">
        <f>IFERROR(__xludf.DUMMYFUNCTION("QUERY(indirect(AC2 &amp; ""!B5:M69""),""Select G, B, I, J, K,L, M where G &gt; 0 order by G asc"",0)"),"#REF!")</f>
        <v>#REF!</v>
      </c>
      <c r="B255" s="36"/>
      <c r="C255" s="132"/>
      <c r="D255" s="132"/>
      <c r="E255" s="132"/>
      <c r="F255" s="132"/>
      <c r="G255" s="132"/>
    </row>
    <row r="256">
      <c r="A256" s="122"/>
      <c r="B256" s="36"/>
      <c r="C256" s="132"/>
      <c r="D256" s="132"/>
      <c r="E256" s="132"/>
      <c r="F256" s="132"/>
      <c r="G256" s="132"/>
    </row>
    <row r="257">
      <c r="A257" s="122"/>
      <c r="B257" s="36"/>
      <c r="C257" s="132"/>
      <c r="D257" s="132"/>
      <c r="E257" s="132"/>
      <c r="F257" s="132"/>
      <c r="G257" s="132"/>
    </row>
    <row r="258">
      <c r="A258" s="122"/>
      <c r="B258" s="36"/>
      <c r="C258" s="132"/>
      <c r="D258" s="132"/>
      <c r="E258" s="132"/>
      <c r="F258" s="132"/>
      <c r="G258" s="132"/>
    </row>
    <row r="259">
      <c r="A259" s="133"/>
      <c r="B259" s="134"/>
      <c r="C259" s="135"/>
      <c r="D259" s="135"/>
      <c r="E259" s="135"/>
      <c r="F259" s="135"/>
      <c r="G259" s="135"/>
    </row>
    <row r="260">
      <c r="A260" s="133"/>
      <c r="B260" s="134"/>
      <c r="C260" s="135"/>
      <c r="D260" s="135"/>
      <c r="E260" s="135"/>
      <c r="F260" s="135"/>
      <c r="G260" s="135"/>
    </row>
    <row r="261">
      <c r="A261" s="133"/>
      <c r="B261" s="134"/>
      <c r="C261" s="135"/>
      <c r="D261" s="135"/>
      <c r="E261" s="135"/>
      <c r="F261" s="135"/>
      <c r="G261" s="135"/>
    </row>
    <row r="262">
      <c r="A262" s="133"/>
      <c r="B262" s="134"/>
      <c r="C262" s="135"/>
      <c r="D262" s="135"/>
      <c r="E262" s="135"/>
      <c r="F262" s="135"/>
      <c r="G262" s="135"/>
    </row>
    <row r="263">
      <c r="A263" s="122"/>
      <c r="B263" s="36"/>
      <c r="C263" s="132"/>
      <c r="D263" s="132"/>
      <c r="E263" s="132"/>
      <c r="F263" s="132"/>
      <c r="G263" s="132"/>
    </row>
    <row r="264">
      <c r="A264" s="122"/>
      <c r="B264" s="36"/>
      <c r="C264" s="132"/>
      <c r="D264" s="132"/>
      <c r="E264" s="132"/>
      <c r="F264" s="132"/>
      <c r="G264" s="132"/>
    </row>
    <row r="265">
      <c r="A265" s="122"/>
      <c r="B265" s="36"/>
      <c r="C265" s="132"/>
      <c r="D265" s="132"/>
      <c r="E265" s="132"/>
      <c r="F265" s="132"/>
      <c r="G265" s="132"/>
    </row>
    <row r="266">
      <c r="A266" s="122"/>
      <c r="B266" s="36"/>
      <c r="C266" s="132"/>
      <c r="D266" s="132"/>
      <c r="E266" s="132"/>
      <c r="F266" s="132"/>
      <c r="G266" s="132"/>
    </row>
    <row r="267">
      <c r="A267" s="133"/>
      <c r="B267" s="134"/>
      <c r="C267" s="135"/>
      <c r="D267" s="135"/>
      <c r="E267" s="135"/>
      <c r="F267" s="135"/>
      <c r="G267" s="135"/>
    </row>
    <row r="268">
      <c r="A268" s="133"/>
      <c r="B268" s="134"/>
      <c r="C268" s="135"/>
      <c r="D268" s="135"/>
      <c r="E268" s="135"/>
      <c r="F268" s="135"/>
      <c r="G268" s="135"/>
    </row>
    <row r="269">
      <c r="A269" s="133"/>
      <c r="B269" s="134"/>
      <c r="C269" s="135"/>
      <c r="D269" s="135"/>
      <c r="E269" s="135"/>
      <c r="F269" s="135"/>
      <c r="G269" s="135"/>
    </row>
    <row r="270">
      <c r="A270" s="133"/>
      <c r="B270" s="134"/>
      <c r="C270" s="135"/>
      <c r="D270" s="135"/>
      <c r="E270" s="135"/>
      <c r="F270" s="135"/>
      <c r="G270" s="135"/>
    </row>
    <row r="271">
      <c r="A271" s="122"/>
      <c r="B271" s="36"/>
      <c r="C271" s="132"/>
      <c r="D271" s="132"/>
      <c r="E271" s="132"/>
      <c r="F271" s="132"/>
      <c r="G271" s="132"/>
    </row>
    <row r="272">
      <c r="A272" s="122"/>
      <c r="B272" s="36"/>
      <c r="C272" s="132"/>
      <c r="D272" s="132"/>
      <c r="E272" s="132"/>
      <c r="F272" s="132"/>
      <c r="G272" s="132"/>
    </row>
    <row r="273">
      <c r="A273" s="122"/>
      <c r="B273" s="36"/>
      <c r="C273" s="132"/>
      <c r="D273" s="132"/>
      <c r="E273" s="132"/>
      <c r="F273" s="132"/>
      <c r="G273" s="132"/>
    </row>
    <row r="274">
      <c r="A274" s="122"/>
      <c r="B274" s="36"/>
      <c r="C274" s="132"/>
      <c r="D274" s="132"/>
      <c r="E274" s="132"/>
      <c r="F274" s="132"/>
      <c r="G274" s="132"/>
    </row>
    <row r="275">
      <c r="A275" s="133"/>
      <c r="B275" s="134"/>
      <c r="C275" s="135"/>
      <c r="D275" s="135"/>
      <c r="E275" s="135"/>
      <c r="F275" s="135"/>
      <c r="G275" s="135"/>
    </row>
    <row r="276">
      <c r="A276" s="133"/>
      <c r="B276" s="134"/>
      <c r="C276" s="135"/>
      <c r="D276" s="135"/>
      <c r="E276" s="135"/>
      <c r="F276" s="135"/>
      <c r="G276" s="135"/>
    </row>
    <row r="277">
      <c r="A277" s="133"/>
      <c r="B277" s="134"/>
      <c r="C277" s="135"/>
      <c r="D277" s="135"/>
      <c r="E277" s="135"/>
      <c r="F277" s="135"/>
      <c r="G277" s="135"/>
    </row>
    <row r="278">
      <c r="A278" s="133"/>
      <c r="B278" s="134"/>
      <c r="C278" s="135"/>
      <c r="D278" s="135"/>
      <c r="E278" s="135"/>
      <c r="F278" s="135"/>
      <c r="G278" s="135"/>
    </row>
    <row r="279">
      <c r="A279" s="122"/>
      <c r="B279" s="36"/>
      <c r="C279" s="132"/>
      <c r="D279" s="132"/>
      <c r="E279" s="132"/>
      <c r="F279" s="132"/>
      <c r="G279" s="132"/>
    </row>
    <row r="280">
      <c r="A280" s="122"/>
      <c r="B280" s="36"/>
      <c r="C280" s="132"/>
      <c r="D280" s="132"/>
      <c r="E280" s="132"/>
      <c r="F280" s="132"/>
      <c r="G280" s="132"/>
    </row>
    <row r="281">
      <c r="A281" s="122"/>
      <c r="B281" s="36"/>
      <c r="C281" s="132"/>
      <c r="D281" s="132"/>
      <c r="E281" s="132"/>
      <c r="F281" s="132"/>
      <c r="G281" s="132"/>
    </row>
    <row r="282">
      <c r="A282" s="122"/>
      <c r="B282" s="36"/>
      <c r="C282" s="132"/>
      <c r="D282" s="132"/>
      <c r="E282" s="132"/>
      <c r="F282" s="132"/>
      <c r="G282" s="132"/>
    </row>
    <row r="283">
      <c r="A283" s="133"/>
      <c r="B283" s="134"/>
      <c r="C283" s="135"/>
      <c r="D283" s="135"/>
      <c r="E283" s="135"/>
      <c r="F283" s="135"/>
      <c r="G283" s="135"/>
    </row>
    <row r="284">
      <c r="A284" s="133"/>
      <c r="B284" s="134"/>
      <c r="C284" s="135"/>
      <c r="D284" s="135"/>
      <c r="E284" s="135"/>
      <c r="F284" s="135"/>
      <c r="G284" s="135"/>
    </row>
    <row r="285">
      <c r="A285" s="133"/>
      <c r="B285" s="134"/>
      <c r="C285" s="135"/>
      <c r="D285" s="135"/>
      <c r="E285" s="135"/>
      <c r="F285" s="135"/>
      <c r="G285" s="135"/>
    </row>
    <row r="286">
      <c r="A286" s="133"/>
      <c r="B286" s="134"/>
      <c r="C286" s="135"/>
      <c r="D286" s="135"/>
      <c r="E286" s="135"/>
      <c r="F286" s="135"/>
      <c r="G286" s="135"/>
    </row>
    <row r="287">
      <c r="A287" s="122"/>
      <c r="B287" s="36"/>
      <c r="C287" s="132"/>
      <c r="D287" s="132"/>
      <c r="E287" s="132"/>
      <c r="F287" s="132"/>
      <c r="G287" s="132"/>
    </row>
    <row r="288">
      <c r="A288" s="122"/>
      <c r="B288" s="36"/>
      <c r="C288" s="132"/>
      <c r="D288" s="132"/>
      <c r="E288" s="132"/>
      <c r="F288" s="132"/>
      <c r="G288" s="132"/>
    </row>
    <row r="289">
      <c r="A289" s="122"/>
      <c r="B289" s="36"/>
      <c r="C289" s="132"/>
      <c r="D289" s="132"/>
      <c r="E289" s="132"/>
      <c r="F289" s="132"/>
      <c r="G289" s="132"/>
    </row>
    <row r="290">
      <c r="A290" s="122"/>
      <c r="B290" s="36"/>
      <c r="C290" s="132"/>
      <c r="D290" s="132"/>
      <c r="E290" s="132"/>
      <c r="F290" s="132"/>
      <c r="G290" s="132"/>
    </row>
    <row r="291">
      <c r="A291" s="133"/>
      <c r="B291" s="134"/>
      <c r="C291" s="135"/>
      <c r="D291" s="135"/>
      <c r="E291" s="135"/>
      <c r="F291" s="135"/>
      <c r="G291" s="135"/>
    </row>
    <row r="292">
      <c r="A292" s="133"/>
      <c r="B292" s="134"/>
      <c r="C292" s="135"/>
      <c r="D292" s="135"/>
      <c r="E292" s="135"/>
      <c r="F292" s="135"/>
      <c r="G292" s="135"/>
    </row>
    <row r="293">
      <c r="A293" s="133"/>
      <c r="B293" s="134"/>
      <c r="C293" s="135"/>
      <c r="D293" s="135"/>
      <c r="E293" s="135"/>
      <c r="F293" s="135"/>
      <c r="G293" s="135"/>
    </row>
    <row r="294">
      <c r="A294" s="133"/>
      <c r="B294" s="134"/>
      <c r="C294" s="135"/>
      <c r="D294" s="135"/>
      <c r="E294" s="135"/>
      <c r="F294" s="135"/>
      <c r="G294" s="135"/>
    </row>
    <row r="295">
      <c r="A295" s="122"/>
      <c r="B295" s="36"/>
      <c r="C295" s="132"/>
      <c r="D295" s="132"/>
      <c r="E295" s="132"/>
      <c r="F295" s="132"/>
      <c r="G295" s="132"/>
    </row>
    <row r="296">
      <c r="A296" s="122"/>
      <c r="B296" s="36"/>
      <c r="C296" s="132"/>
      <c r="D296" s="132"/>
      <c r="E296" s="132"/>
      <c r="F296" s="132"/>
      <c r="G296" s="132"/>
    </row>
    <row r="297">
      <c r="A297" s="122"/>
      <c r="B297" s="36"/>
      <c r="C297" s="132"/>
      <c r="D297" s="132"/>
      <c r="E297" s="132"/>
      <c r="F297" s="132"/>
      <c r="G297" s="132"/>
    </row>
    <row r="298">
      <c r="A298" s="122"/>
      <c r="B298" s="36"/>
      <c r="C298" s="132"/>
      <c r="D298" s="132"/>
      <c r="E298" s="132"/>
      <c r="F298" s="132"/>
      <c r="G298" s="132"/>
    </row>
    <row r="299">
      <c r="A299" s="5"/>
      <c r="C299" s="5"/>
      <c r="D299" s="5"/>
      <c r="E299" s="5"/>
      <c r="F299" s="5"/>
    </row>
    <row r="300">
      <c r="A300" s="5"/>
      <c r="C300" s="5"/>
      <c r="D300" s="5"/>
      <c r="E300" s="5"/>
      <c r="F300" s="5"/>
    </row>
    <row r="301">
      <c r="A301" s="5"/>
      <c r="C301" s="5"/>
      <c r="D301" s="5"/>
      <c r="E301" s="5"/>
      <c r="F301" s="5"/>
    </row>
    <row r="302">
      <c r="A302" s="43"/>
      <c r="B302" s="134" t="s">
        <v>201</v>
      </c>
      <c r="C302" s="5"/>
      <c r="D302" s="115" t="s">
        <v>177</v>
      </c>
      <c r="E302" s="25"/>
      <c r="F302" s="26"/>
    </row>
    <row r="303">
      <c r="A303" s="136">
        <v>1.0</v>
      </c>
      <c r="B303" s="137" t="str">
        <f>IFERROR(__xludf.DUMMYFUNCTION("QUERY(B5:R68,""Select B where R = 'X' order by B asc"",0)"),"Adrian Tay")</f>
        <v>Adrian Tay</v>
      </c>
      <c r="C303" s="5"/>
      <c r="D303" s="139" t="str">
        <f>IFERROR(__xludf.DUMMYFUNCTION("QUERY(B5:R68,""Select B where R = '' order by B asc"",0)"),"#N/A")</f>
        <v>#N/A</v>
      </c>
      <c r="E303" s="25"/>
      <c r="F303" s="26"/>
    </row>
    <row r="304">
      <c r="A304" s="136">
        <f t="shared" ref="A304:A367" si="97">A303+1</f>
        <v>2</v>
      </c>
      <c r="B304" s="137" t="str">
        <f>IFERROR(__xludf.DUMMYFUNCTION("""COMPUTED_VALUE"""),"Alejandro Mejia")</f>
        <v>Alejandro Mejia</v>
      </c>
      <c r="C304" s="5"/>
      <c r="D304" s="139"/>
      <c r="E304" s="25"/>
      <c r="F304" s="26"/>
    </row>
    <row r="305">
      <c r="A305" s="136">
        <f t="shared" si="97"/>
        <v>3</v>
      </c>
      <c r="B305" s="137" t="str">
        <f>IFERROR(__xludf.DUMMYFUNCTION("""COMPUTED_VALUE"""),"Alex Hou")</f>
        <v>Alex Hou</v>
      </c>
      <c r="C305" s="5"/>
      <c r="D305" s="139"/>
      <c r="E305" s="25"/>
      <c r="F305" s="26"/>
    </row>
    <row r="306">
      <c r="A306" s="136">
        <f t="shared" si="97"/>
        <v>4</v>
      </c>
      <c r="B306" s="137" t="str">
        <f>IFERROR(__xludf.DUMMYFUNCTION("""COMPUTED_VALUE"""),"Allen Zhang")</f>
        <v>Allen Zhang</v>
      </c>
      <c r="C306" s="5"/>
      <c r="D306" s="139"/>
      <c r="E306" s="25"/>
      <c r="F306" s="26"/>
    </row>
    <row r="307">
      <c r="A307" s="136">
        <f t="shared" si="97"/>
        <v>5</v>
      </c>
      <c r="B307" s="137" t="str">
        <f>IFERROR(__xludf.DUMMYFUNCTION("""COMPUTED_VALUE"""),"Andrew Wen")</f>
        <v>Andrew Wen</v>
      </c>
      <c r="C307" s="5"/>
      <c r="D307" s="139"/>
      <c r="E307" s="25"/>
      <c r="F307" s="26"/>
    </row>
    <row r="308">
      <c r="A308" s="136">
        <f t="shared" si="97"/>
        <v>6</v>
      </c>
      <c r="B308" s="137" t="str">
        <f>IFERROR(__xludf.DUMMYFUNCTION("""COMPUTED_VALUE"""),"Balaji Alahari")</f>
        <v>Balaji Alahari</v>
      </c>
      <c r="C308" s="5"/>
      <c r="D308" s="139"/>
      <c r="E308" s="25"/>
      <c r="F308" s="26"/>
    </row>
    <row r="309">
      <c r="A309" s="136">
        <f t="shared" si="97"/>
        <v>7</v>
      </c>
      <c r="B309" s="137" t="str">
        <f>IFERROR(__xludf.DUMMYFUNCTION("""COMPUTED_VALUE"""),"Barathi Sundaram")</f>
        <v>Barathi Sundaram</v>
      </c>
      <c r="C309" s="5"/>
      <c r="D309" s="139"/>
      <c r="E309" s="25"/>
      <c r="F309" s="26"/>
    </row>
    <row r="310">
      <c r="A310" s="136">
        <f t="shared" si="97"/>
        <v>8</v>
      </c>
      <c r="B310" s="137" t="str">
        <f>IFERROR(__xludf.DUMMYFUNCTION("""COMPUTED_VALUE"""),"Basudev Thoppai Vidyasankar")</f>
        <v>Basudev Thoppai Vidyasankar</v>
      </c>
      <c r="C310" s="5"/>
      <c r="D310" s="139"/>
      <c r="E310" s="25"/>
      <c r="F310" s="26"/>
    </row>
    <row r="311">
      <c r="A311" s="136">
        <f t="shared" si="97"/>
        <v>9</v>
      </c>
      <c r="B311" s="137" t="str">
        <f>IFERROR(__xludf.DUMMYFUNCTION("""COMPUTED_VALUE"""),"Chinna Ponnaganti")</f>
        <v>Chinna Ponnaganti</v>
      </c>
      <c r="C311" s="5"/>
      <c r="D311" s="139"/>
      <c r="E311" s="25"/>
      <c r="F311" s="26"/>
    </row>
    <row r="312">
      <c r="A312" s="136">
        <f t="shared" si="97"/>
        <v>10</v>
      </c>
      <c r="B312" s="137" t="str">
        <f>IFERROR(__xludf.DUMMYFUNCTION("""COMPUTED_VALUE"""),"Cid Macaraeg")</f>
        <v>Cid Macaraeg</v>
      </c>
      <c r="C312" s="5"/>
      <c r="D312" s="139"/>
      <c r="E312" s="25"/>
      <c r="F312" s="26"/>
    </row>
    <row r="313">
      <c r="A313" s="136">
        <f t="shared" si="97"/>
        <v>11</v>
      </c>
      <c r="B313" s="137" t="str">
        <f>IFERROR(__xludf.DUMMYFUNCTION("""COMPUTED_VALUE"""),"Coco Yan")</f>
        <v>Coco Yan</v>
      </c>
      <c r="C313" s="5"/>
      <c r="D313" s="139"/>
      <c r="E313" s="25"/>
      <c r="F313" s="26"/>
    </row>
    <row r="314">
      <c r="A314" s="136">
        <f t="shared" si="97"/>
        <v>12</v>
      </c>
      <c r="B314" s="137" t="str">
        <f>IFERROR(__xludf.DUMMYFUNCTION("""COMPUTED_VALUE"""),"Darren Wong")</f>
        <v>Darren Wong</v>
      </c>
      <c r="C314" s="5"/>
      <c r="D314" s="139"/>
      <c r="E314" s="25"/>
      <c r="F314" s="26"/>
    </row>
    <row r="315">
      <c r="A315" s="136">
        <f t="shared" si="97"/>
        <v>13</v>
      </c>
      <c r="B315" s="137" t="str">
        <f>IFERROR(__xludf.DUMMYFUNCTION("""COMPUTED_VALUE"""),"David Shin")</f>
        <v>David Shin</v>
      </c>
      <c r="C315" s="5"/>
      <c r="D315" s="139"/>
      <c r="E315" s="25"/>
      <c r="F315" s="26"/>
    </row>
    <row r="316">
      <c r="A316" s="136">
        <f t="shared" si="97"/>
        <v>14</v>
      </c>
      <c r="B316" s="137" t="str">
        <f>IFERROR(__xludf.DUMMYFUNCTION("""COMPUTED_VALUE"""),"Elayaraja Thangaraj")</f>
        <v>Elayaraja Thangaraj</v>
      </c>
      <c r="C316" s="5"/>
      <c r="D316" s="139"/>
      <c r="E316" s="25"/>
      <c r="F316" s="26"/>
    </row>
    <row r="317">
      <c r="A317" s="136">
        <f t="shared" si="97"/>
        <v>15</v>
      </c>
      <c r="B317" s="137" t="str">
        <f>IFERROR(__xludf.DUMMYFUNCTION("""COMPUTED_VALUE"""),"Eric Pan")</f>
        <v>Eric Pan</v>
      </c>
      <c r="C317" s="5"/>
      <c r="D317" s="139"/>
      <c r="E317" s="25"/>
      <c r="F317" s="26"/>
    </row>
    <row r="318">
      <c r="A318" s="136">
        <f t="shared" si="97"/>
        <v>16</v>
      </c>
      <c r="B318" s="137" t="str">
        <f>IFERROR(__xludf.DUMMYFUNCTION("""COMPUTED_VALUE"""),"Eric Tan")</f>
        <v>Eric Tan</v>
      </c>
      <c r="C318" s="5"/>
      <c r="D318" s="139"/>
      <c r="E318" s="25"/>
      <c r="F318" s="26"/>
    </row>
    <row r="319">
      <c r="A319" s="136">
        <f t="shared" si="97"/>
        <v>17</v>
      </c>
      <c r="B319" s="137" t="str">
        <f>IFERROR(__xludf.DUMMYFUNCTION("""COMPUTED_VALUE"""),"Erik Hoeckmann")</f>
        <v>Erik Hoeckmann</v>
      </c>
      <c r="C319" s="5"/>
      <c r="D319" s="139"/>
      <c r="E319" s="25"/>
      <c r="F319" s="26"/>
    </row>
    <row r="320">
      <c r="A320" s="136">
        <f t="shared" si="97"/>
        <v>18</v>
      </c>
      <c r="B320" s="137" t="str">
        <f>IFERROR(__xludf.DUMMYFUNCTION("""COMPUTED_VALUE"""),"Ethan Gu")</f>
        <v>Ethan Gu</v>
      </c>
      <c r="C320" s="5"/>
      <c r="D320" s="139"/>
      <c r="E320" s="25"/>
      <c r="F320" s="26"/>
    </row>
    <row r="321">
      <c r="A321" s="136">
        <f t="shared" si="97"/>
        <v>19</v>
      </c>
      <c r="B321" s="137" t="str">
        <f>IFERROR(__xludf.DUMMYFUNCTION("""COMPUTED_VALUE"""),"Frank Moon")</f>
        <v>Frank Moon</v>
      </c>
      <c r="C321" s="5"/>
      <c r="D321" s="139"/>
      <c r="E321" s="25"/>
      <c r="F321" s="26"/>
    </row>
    <row r="322">
      <c r="A322" s="136">
        <f t="shared" si="97"/>
        <v>20</v>
      </c>
      <c r="B322" s="137" t="str">
        <f>IFERROR(__xludf.DUMMYFUNCTION("""COMPUTED_VALUE"""),"Herman Au")</f>
        <v>Herman Au</v>
      </c>
      <c r="C322" s="5"/>
      <c r="D322" s="139"/>
      <c r="E322" s="25"/>
      <c r="F322" s="26"/>
    </row>
    <row r="323">
      <c r="A323" s="136">
        <f t="shared" si="97"/>
        <v>21</v>
      </c>
      <c r="B323" s="137" t="str">
        <f>IFERROR(__xludf.DUMMYFUNCTION("""COMPUTED_VALUE"""),"Hongyuan Wen")</f>
        <v>Hongyuan Wen</v>
      </c>
      <c r="C323" s="5"/>
      <c r="D323" s="139"/>
      <c r="E323" s="25"/>
      <c r="F323" s="26"/>
    </row>
    <row r="324">
      <c r="A324" s="136">
        <f t="shared" si="97"/>
        <v>22</v>
      </c>
      <c r="B324" s="137" t="str">
        <f>IFERROR(__xludf.DUMMYFUNCTION("""COMPUTED_VALUE"""),"Hubert J Sung")</f>
        <v>Hubert J Sung</v>
      </c>
      <c r="C324" s="5"/>
      <c r="D324" s="139"/>
      <c r="E324" s="25"/>
      <c r="F324" s="26"/>
    </row>
    <row r="325">
      <c r="A325" s="136">
        <f t="shared" si="97"/>
        <v>23</v>
      </c>
      <c r="B325" s="137" t="str">
        <f>IFERROR(__xludf.DUMMYFUNCTION("""COMPUTED_VALUE"""),"James Phan")</f>
        <v>James Phan</v>
      </c>
      <c r="C325" s="5"/>
      <c r="D325" s="139"/>
      <c r="E325" s="25"/>
      <c r="F325" s="26"/>
    </row>
    <row r="326">
      <c r="A326" s="136">
        <f t="shared" si="97"/>
        <v>24</v>
      </c>
      <c r="B326" s="137" t="str">
        <f>IFERROR(__xludf.DUMMYFUNCTION("""COMPUTED_VALUE"""),"Jim Miao")</f>
        <v>Jim Miao</v>
      </c>
      <c r="C326" s="5"/>
      <c r="D326" s="139"/>
      <c r="E326" s="25"/>
      <c r="F326" s="26"/>
    </row>
    <row r="327">
      <c r="A327" s="136">
        <f t="shared" si="97"/>
        <v>25</v>
      </c>
      <c r="B327" s="137" t="str">
        <f>IFERROR(__xludf.DUMMYFUNCTION("""COMPUTED_VALUE"""),"Jimmy Awolesi")</f>
        <v>Jimmy Awolesi</v>
      </c>
      <c r="C327" s="5"/>
      <c r="D327" s="139"/>
      <c r="E327" s="25"/>
      <c r="F327" s="26"/>
    </row>
    <row r="328">
      <c r="A328" s="136">
        <f t="shared" si="97"/>
        <v>26</v>
      </c>
      <c r="B328" s="137" t="str">
        <f>IFERROR(__xludf.DUMMYFUNCTION("""COMPUTED_VALUE"""),"Joe Luzzi")</f>
        <v>Joe Luzzi</v>
      </c>
      <c r="C328" s="5"/>
      <c r="D328" s="139"/>
      <c r="E328" s="25"/>
      <c r="F328" s="26"/>
    </row>
    <row r="329">
      <c r="A329" s="136">
        <f t="shared" si="97"/>
        <v>27</v>
      </c>
      <c r="B329" s="137" t="str">
        <f>IFERROR(__xludf.DUMMYFUNCTION("""COMPUTED_VALUE"""),"Jonathan Phan")</f>
        <v>Jonathan Phan</v>
      </c>
      <c r="C329" s="5"/>
      <c r="D329" s="139"/>
      <c r="E329" s="25"/>
      <c r="F329" s="26"/>
    </row>
    <row r="330">
      <c r="A330" s="136">
        <f t="shared" si="97"/>
        <v>28</v>
      </c>
      <c r="B330" s="137" t="str">
        <f>IFERROR(__xludf.DUMMYFUNCTION("""COMPUTED_VALUE"""),"Joyce Zhu")</f>
        <v>Joyce Zhu</v>
      </c>
      <c r="C330" s="5"/>
      <c r="D330" s="139"/>
      <c r="E330" s="25"/>
      <c r="F330" s="26"/>
    </row>
    <row r="331">
      <c r="A331" s="136">
        <f t="shared" si="97"/>
        <v>29</v>
      </c>
      <c r="B331" s="137" t="str">
        <f>IFERROR(__xludf.DUMMYFUNCTION("""COMPUTED_VALUE"""),"Kumar Palakeel")</f>
        <v>Kumar Palakeel</v>
      </c>
      <c r="C331" s="5"/>
      <c r="D331" s="139"/>
      <c r="E331" s="25"/>
      <c r="F331" s="26"/>
    </row>
    <row r="332">
      <c r="A332" s="136">
        <f t="shared" si="97"/>
        <v>30</v>
      </c>
      <c r="B332" s="137" t="str">
        <f>IFERROR(__xludf.DUMMYFUNCTION("""COMPUTED_VALUE"""),"Lam Bui")</f>
        <v>Lam Bui</v>
      </c>
      <c r="C332" s="5"/>
      <c r="D332" s="139"/>
      <c r="E332" s="25"/>
      <c r="F332" s="26"/>
    </row>
    <row r="333">
      <c r="A333" s="136">
        <f t="shared" si="97"/>
        <v>31</v>
      </c>
      <c r="B333" s="137" t="str">
        <f>IFERROR(__xludf.DUMMYFUNCTION("""COMPUTED_VALUE"""),"Leigh-Anh Nguyen")</f>
        <v>Leigh-Anh Nguyen</v>
      </c>
      <c r="C333" s="5"/>
      <c r="D333" s="139"/>
      <c r="E333" s="25"/>
      <c r="F333" s="26"/>
    </row>
    <row r="334">
      <c r="A334" s="136">
        <f t="shared" si="97"/>
        <v>32</v>
      </c>
      <c r="B334" s="137" t="str">
        <f>IFERROR(__xludf.DUMMYFUNCTION("""COMPUTED_VALUE"""),"Lloyd Sagar")</f>
        <v>Lloyd Sagar</v>
      </c>
      <c r="C334" s="5"/>
      <c r="D334" s="139"/>
      <c r="E334" s="25"/>
      <c r="F334" s="26"/>
    </row>
    <row r="335">
      <c r="A335" s="136">
        <f t="shared" si="97"/>
        <v>33</v>
      </c>
      <c r="B335" s="137" t="str">
        <f>IFERROR(__xludf.DUMMYFUNCTION("""COMPUTED_VALUE"""),"Luis Hsu")</f>
        <v>Luis Hsu</v>
      </c>
      <c r="C335" s="5"/>
      <c r="D335" s="139"/>
      <c r="E335" s="25"/>
      <c r="F335" s="26"/>
    </row>
    <row r="336">
      <c r="A336" s="136">
        <f t="shared" si="97"/>
        <v>34</v>
      </c>
      <c r="B336" s="137" t="str">
        <f>IFERROR(__xludf.DUMMYFUNCTION("""COMPUTED_VALUE"""),"Manish Anand")</f>
        <v>Manish Anand</v>
      </c>
      <c r="C336" s="5"/>
      <c r="D336" s="139"/>
      <c r="E336" s="25"/>
      <c r="F336" s="26"/>
    </row>
    <row r="337">
      <c r="A337" s="136">
        <f t="shared" si="97"/>
        <v>35</v>
      </c>
      <c r="B337" s="137" t="str">
        <f>IFERROR(__xludf.DUMMYFUNCTION("""COMPUTED_VALUE"""),"Manuel Rivera")</f>
        <v>Manuel Rivera</v>
      </c>
      <c r="C337" s="5"/>
      <c r="D337" s="139"/>
      <c r="E337" s="25"/>
      <c r="F337" s="26"/>
    </row>
    <row r="338">
      <c r="A338" s="136">
        <f t="shared" si="97"/>
        <v>36</v>
      </c>
      <c r="B338" s="137" t="str">
        <f>IFERROR(__xludf.DUMMYFUNCTION("""COMPUTED_VALUE"""),"Matthew Huang")</f>
        <v>Matthew Huang</v>
      </c>
      <c r="C338" s="5"/>
      <c r="D338" s="139"/>
      <c r="E338" s="25"/>
      <c r="F338" s="26"/>
    </row>
    <row r="339">
      <c r="A339" s="136">
        <f t="shared" si="97"/>
        <v>37</v>
      </c>
      <c r="B339" s="137" t="str">
        <f>IFERROR(__xludf.DUMMYFUNCTION("""COMPUTED_VALUE"""),"Mauricio Palacios")</f>
        <v>Mauricio Palacios</v>
      </c>
      <c r="C339" s="5"/>
      <c r="D339" s="139"/>
      <c r="E339" s="25"/>
      <c r="F339" s="26"/>
    </row>
    <row r="340">
      <c r="A340" s="136">
        <f t="shared" si="97"/>
        <v>38</v>
      </c>
      <c r="B340" s="137" t="str">
        <f>IFERROR(__xludf.DUMMYFUNCTION("""COMPUTED_VALUE"""),"Naveen Raj")</f>
        <v>Naveen Raj</v>
      </c>
      <c r="C340" s="5"/>
      <c r="D340" s="139"/>
      <c r="E340" s="25"/>
      <c r="F340" s="26"/>
    </row>
    <row r="341">
      <c r="A341" s="136">
        <f t="shared" si="97"/>
        <v>39</v>
      </c>
      <c r="B341" s="137" t="str">
        <f>IFERROR(__xludf.DUMMYFUNCTION("""COMPUTED_VALUE"""),"Nicole Ni")</f>
        <v>Nicole Ni</v>
      </c>
      <c r="C341" s="5"/>
      <c r="D341" s="139"/>
      <c r="E341" s="25"/>
      <c r="F341" s="26"/>
    </row>
    <row r="342">
      <c r="A342" s="136">
        <f t="shared" si="97"/>
        <v>40</v>
      </c>
      <c r="B342" s="137" t="str">
        <f>IFERROR(__xludf.DUMMYFUNCTION("""COMPUTED_VALUE"""),"Oscar Bonilla")</f>
        <v>Oscar Bonilla</v>
      </c>
      <c r="C342" s="5"/>
      <c r="D342" s="139"/>
      <c r="E342" s="25"/>
      <c r="F342" s="26"/>
    </row>
    <row r="343">
      <c r="A343" s="136">
        <f t="shared" si="97"/>
        <v>41</v>
      </c>
      <c r="B343" s="137" t="str">
        <f>IFERROR(__xludf.DUMMYFUNCTION("""COMPUTED_VALUE"""),"Pavan Akkimsetty")</f>
        <v>Pavan Akkimsetty</v>
      </c>
      <c r="C343" s="5"/>
      <c r="D343" s="139"/>
      <c r="E343" s="25"/>
      <c r="F343" s="26"/>
    </row>
    <row r="344">
      <c r="A344" s="136">
        <f t="shared" si="97"/>
        <v>42</v>
      </c>
      <c r="B344" s="137" t="str">
        <f>IFERROR(__xludf.DUMMYFUNCTION("""COMPUTED_VALUE"""),"Pulkit Mathur")</f>
        <v>Pulkit Mathur</v>
      </c>
      <c r="C344" s="5"/>
      <c r="D344" s="139"/>
      <c r="E344" s="25"/>
      <c r="F344" s="26"/>
    </row>
    <row r="345">
      <c r="A345" s="136">
        <f t="shared" si="97"/>
        <v>43</v>
      </c>
      <c r="B345" s="137" t="str">
        <f>IFERROR(__xludf.DUMMYFUNCTION("""COMPUTED_VALUE"""),"Rajasekar Ramasamy")</f>
        <v>Rajasekar Ramasamy</v>
      </c>
      <c r="C345" s="5"/>
      <c r="D345" s="139"/>
      <c r="E345" s="25"/>
      <c r="F345" s="26"/>
    </row>
    <row r="346">
      <c r="A346" s="136">
        <f t="shared" si="97"/>
        <v>44</v>
      </c>
      <c r="B346" s="137" t="str">
        <f>IFERROR(__xludf.DUMMYFUNCTION("""COMPUTED_VALUE"""),"Rajesh Dorairaj")</f>
        <v>Rajesh Dorairaj</v>
      </c>
      <c r="C346" s="5"/>
      <c r="D346" s="139"/>
      <c r="E346" s="25"/>
      <c r="F346" s="26"/>
    </row>
    <row r="347">
      <c r="A347" s="136">
        <f t="shared" si="97"/>
        <v>45</v>
      </c>
      <c r="B347" s="137" t="str">
        <f>IFERROR(__xludf.DUMMYFUNCTION("""COMPUTED_VALUE"""),"Ramesh Bandaru")</f>
        <v>Ramesh Bandaru</v>
      </c>
      <c r="C347" s="5"/>
      <c r="D347" s="139"/>
      <c r="E347" s="25"/>
      <c r="F347" s="26"/>
    </row>
    <row r="348">
      <c r="A348" s="136">
        <f t="shared" si="97"/>
        <v>46</v>
      </c>
      <c r="B348" s="137" t="str">
        <f>IFERROR(__xludf.DUMMYFUNCTION("""COMPUTED_VALUE"""),"Robert Chang")</f>
        <v>Robert Chang</v>
      </c>
      <c r="C348" s="5"/>
      <c r="D348" s="139"/>
      <c r="E348" s="25"/>
      <c r="F348" s="26"/>
    </row>
    <row r="349">
      <c r="A349" s="136">
        <f t="shared" si="97"/>
        <v>47</v>
      </c>
      <c r="B349" s="137" t="str">
        <f>IFERROR(__xludf.DUMMYFUNCTION("""COMPUTED_VALUE"""),"Sandeep Kamalon")</f>
        <v>Sandeep Kamalon</v>
      </c>
      <c r="C349" s="5"/>
      <c r="D349" s="139"/>
      <c r="E349" s="25"/>
      <c r="F349" s="26"/>
    </row>
    <row r="350">
      <c r="A350" s="136">
        <f t="shared" si="97"/>
        <v>48</v>
      </c>
      <c r="B350" s="137" t="str">
        <f>IFERROR(__xludf.DUMMYFUNCTION("""COMPUTED_VALUE"""),"Sandy Weyant")</f>
        <v>Sandy Weyant</v>
      </c>
      <c r="C350" s="5"/>
      <c r="D350" s="139"/>
      <c r="E350" s="25"/>
      <c r="F350" s="26"/>
    </row>
    <row r="351">
      <c r="A351" s="136">
        <f t="shared" si="97"/>
        <v>49</v>
      </c>
      <c r="B351" s="137" t="str">
        <f>IFERROR(__xludf.DUMMYFUNCTION("""COMPUTED_VALUE"""),"Sanjaye Elayattu")</f>
        <v>Sanjaye Elayattu</v>
      </c>
      <c r="C351" s="5"/>
      <c r="D351" s="139"/>
      <c r="E351" s="25"/>
      <c r="F351" s="26"/>
    </row>
    <row r="352">
      <c r="A352" s="136">
        <f t="shared" si="97"/>
        <v>50</v>
      </c>
      <c r="B352" s="137" t="str">
        <f>IFERROR(__xludf.DUMMYFUNCTION("""COMPUTED_VALUE"""),"Santosh Sundaresan")</f>
        <v>Santosh Sundaresan</v>
      </c>
      <c r="C352" s="5"/>
      <c r="D352" s="139"/>
      <c r="E352" s="25"/>
      <c r="F352" s="26"/>
    </row>
    <row r="353">
      <c r="A353" s="136">
        <f t="shared" si="97"/>
        <v>51</v>
      </c>
      <c r="B353" s="137" t="str">
        <f>IFERROR(__xludf.DUMMYFUNCTION("""COMPUTED_VALUE"""),"Saravanan Veerapandian")</f>
        <v>Saravanan Veerapandian</v>
      </c>
      <c r="C353" s="5"/>
      <c r="D353" s="139"/>
      <c r="E353" s="25"/>
      <c r="F353" s="26"/>
    </row>
    <row r="354">
      <c r="A354" s="136">
        <f t="shared" si="97"/>
        <v>52</v>
      </c>
      <c r="B354" s="137" t="str">
        <f>IFERROR(__xludf.DUMMYFUNCTION("""COMPUTED_VALUE"""),"Scott Li")</f>
        <v>Scott Li</v>
      </c>
      <c r="C354" s="5"/>
      <c r="D354" s="139"/>
      <c r="E354" s="25"/>
      <c r="F354" s="26"/>
    </row>
    <row r="355">
      <c r="A355" s="136">
        <f t="shared" si="97"/>
        <v>53</v>
      </c>
      <c r="B355" s="137" t="str">
        <f>IFERROR(__xludf.DUMMYFUNCTION("""COMPUTED_VALUE"""),"Sean Chang")</f>
        <v>Sean Chang</v>
      </c>
      <c r="C355" s="5"/>
      <c r="D355" s="139"/>
      <c r="E355" s="25"/>
      <c r="F355" s="26"/>
    </row>
    <row r="356">
      <c r="A356" s="136">
        <f t="shared" si="97"/>
        <v>54</v>
      </c>
      <c r="B356" s="137" t="str">
        <f>IFERROR(__xludf.DUMMYFUNCTION("""COMPUTED_VALUE"""),"Suleman Alidina")</f>
        <v>Suleman Alidina</v>
      </c>
      <c r="C356" s="5"/>
      <c r="D356" s="139"/>
      <c r="E356" s="25"/>
      <c r="F356" s="26"/>
    </row>
    <row r="357">
      <c r="A357" s="136">
        <f t="shared" si="97"/>
        <v>55</v>
      </c>
      <c r="B357" s="137" t="str">
        <f>IFERROR(__xludf.DUMMYFUNCTION("""COMPUTED_VALUE"""),"Susanta Mishra")</f>
        <v>Susanta Mishra</v>
      </c>
      <c r="C357" s="5"/>
      <c r="D357" s="139"/>
      <c r="E357" s="25"/>
      <c r="F357" s="26"/>
    </row>
    <row r="358">
      <c r="A358" s="136">
        <f t="shared" si="97"/>
        <v>56</v>
      </c>
      <c r="B358" s="137" t="str">
        <f>IFERROR(__xludf.DUMMYFUNCTION("""COMPUTED_VALUE"""),"Ted Shen")</f>
        <v>Ted Shen</v>
      </c>
      <c r="C358" s="5"/>
      <c r="D358" s="139"/>
      <c r="E358" s="25"/>
      <c r="F358" s="26"/>
    </row>
    <row r="359">
      <c r="A359" s="136">
        <f t="shared" si="97"/>
        <v>57</v>
      </c>
      <c r="B359" s="137" t="str">
        <f>IFERROR(__xludf.DUMMYFUNCTION("""COMPUTED_VALUE"""),"Tina Hanson")</f>
        <v>Tina Hanson</v>
      </c>
      <c r="C359" s="5"/>
      <c r="D359" s="139"/>
      <c r="E359" s="25"/>
      <c r="F359" s="26"/>
    </row>
    <row r="360">
      <c r="A360" s="136">
        <f t="shared" si="97"/>
        <v>58</v>
      </c>
      <c r="B360" s="137" t="str">
        <f>IFERROR(__xludf.DUMMYFUNCTION("""COMPUTED_VALUE"""),"Tom Le")</f>
        <v>Tom Le</v>
      </c>
      <c r="C360" s="5"/>
      <c r="D360" s="139"/>
      <c r="E360" s="25"/>
      <c r="F360" s="26"/>
    </row>
    <row r="361">
      <c r="A361" s="136">
        <f t="shared" si="97"/>
        <v>59</v>
      </c>
      <c r="B361" s="137" t="str">
        <f>IFERROR(__xludf.DUMMYFUNCTION("""COMPUTED_VALUE"""),"Trish Newlin")</f>
        <v>Trish Newlin</v>
      </c>
      <c r="C361" s="5"/>
      <c r="D361" s="139"/>
      <c r="E361" s="25"/>
      <c r="F361" s="26"/>
    </row>
    <row r="362">
      <c r="A362" s="136">
        <f t="shared" si="97"/>
        <v>60</v>
      </c>
      <c r="B362" s="137" t="str">
        <f>IFERROR(__xludf.DUMMYFUNCTION("""COMPUTED_VALUE"""),"Troy Wong")</f>
        <v>Troy Wong</v>
      </c>
      <c r="C362" s="5"/>
      <c r="D362" s="139"/>
      <c r="E362" s="25"/>
      <c r="F362" s="26"/>
    </row>
    <row r="363">
      <c r="A363" s="136">
        <f t="shared" si="97"/>
        <v>61</v>
      </c>
      <c r="B363" s="137" t="str">
        <f>IFERROR(__xludf.DUMMYFUNCTION("""COMPUTED_VALUE"""),"Vicki Martinet")</f>
        <v>Vicki Martinet</v>
      </c>
      <c r="C363" s="5"/>
      <c r="D363" s="139"/>
      <c r="E363" s="25"/>
      <c r="F363" s="26"/>
    </row>
    <row r="364">
      <c r="A364" s="136">
        <f t="shared" si="97"/>
        <v>62</v>
      </c>
      <c r="B364" s="137" t="str">
        <f>IFERROR(__xludf.DUMMYFUNCTION("""COMPUTED_VALUE"""),"Vinaya Kajla")</f>
        <v>Vinaya Kajla</v>
      </c>
      <c r="C364" s="5"/>
      <c r="D364" s="139"/>
      <c r="E364" s="25"/>
      <c r="F364" s="26"/>
    </row>
    <row r="365">
      <c r="A365" s="136">
        <f t="shared" si="97"/>
        <v>63</v>
      </c>
      <c r="B365" s="137" t="str">
        <f>IFERROR(__xludf.DUMMYFUNCTION("""COMPUTED_VALUE"""),"Vishnu Amarnath")</f>
        <v>Vishnu Amarnath</v>
      </c>
      <c r="C365" s="5"/>
      <c r="D365" s="139"/>
      <c r="E365" s="25"/>
      <c r="F365" s="26"/>
    </row>
    <row r="366">
      <c r="A366" s="136">
        <f t="shared" si="97"/>
        <v>64</v>
      </c>
      <c r="B366" s="137" t="str">
        <f>IFERROR(__xludf.DUMMYFUNCTION("""COMPUTED_VALUE"""),"Wayne Liu")</f>
        <v>Wayne Liu</v>
      </c>
      <c r="C366" s="5"/>
      <c r="D366" s="139"/>
      <c r="E366" s="25"/>
      <c r="F366" s="26"/>
    </row>
    <row r="367">
      <c r="A367" s="136">
        <f t="shared" si="97"/>
        <v>65</v>
      </c>
      <c r="B367" s="137"/>
      <c r="C367" s="5"/>
      <c r="D367" s="139"/>
      <c r="E367" s="25"/>
      <c r="F367" s="26"/>
    </row>
    <row r="368">
      <c r="A368" s="5"/>
      <c r="C368" s="5"/>
      <c r="D368" s="5"/>
      <c r="E368" s="5"/>
      <c r="F368" s="5"/>
    </row>
    <row r="369">
      <c r="A369" s="5"/>
      <c r="C369" s="5"/>
      <c r="D369" s="5"/>
      <c r="E369" s="5"/>
      <c r="F369" s="5"/>
    </row>
    <row r="370">
      <c r="A370" s="5"/>
      <c r="C370" s="5"/>
      <c r="D370" s="5"/>
      <c r="E370" s="5"/>
      <c r="F370" s="5"/>
    </row>
    <row r="371">
      <c r="A371" s="5"/>
      <c r="C371" s="5"/>
      <c r="D371" s="5"/>
      <c r="E371" s="5"/>
      <c r="F371" s="5"/>
    </row>
    <row r="372">
      <c r="A372" s="5"/>
      <c r="C372" s="5"/>
      <c r="D372" s="5"/>
      <c r="E372" s="5"/>
      <c r="F372" s="5"/>
    </row>
    <row r="373">
      <c r="A373" s="5"/>
      <c r="C373" s="5"/>
      <c r="D373" s="5"/>
      <c r="E373" s="5"/>
      <c r="F373" s="5"/>
    </row>
    <row r="374">
      <c r="A374" s="5"/>
      <c r="C374" s="5"/>
      <c r="D374" s="5"/>
      <c r="E374" s="5"/>
      <c r="F374" s="5"/>
    </row>
    <row r="375">
      <c r="A375" s="5"/>
      <c r="C375" s="5"/>
      <c r="D375" s="5"/>
      <c r="E375" s="5"/>
      <c r="F375" s="5"/>
    </row>
    <row r="376">
      <c r="A376" s="5"/>
      <c r="C376" s="5"/>
      <c r="D376" s="5"/>
      <c r="E376" s="5"/>
      <c r="F376" s="5"/>
    </row>
    <row r="377">
      <c r="A377" s="5"/>
      <c r="C377" s="5"/>
      <c r="D377" s="5"/>
      <c r="E377" s="5"/>
      <c r="F377" s="5"/>
    </row>
    <row r="378">
      <c r="A378" s="5"/>
      <c r="C378" s="5"/>
      <c r="D378" s="5"/>
      <c r="E378" s="5"/>
      <c r="F378" s="5"/>
    </row>
    <row r="379">
      <c r="A379" s="5"/>
      <c r="C379" s="5"/>
      <c r="D379" s="5"/>
      <c r="E379" s="5"/>
      <c r="F379" s="5"/>
    </row>
    <row r="380">
      <c r="A380" s="5"/>
      <c r="C380" s="5"/>
      <c r="D380" s="5"/>
      <c r="E380" s="5"/>
      <c r="F380" s="5"/>
    </row>
    <row r="381">
      <c r="A381" s="5"/>
      <c r="C381" s="5"/>
      <c r="D381" s="5"/>
      <c r="E381" s="5"/>
      <c r="F381" s="5"/>
    </row>
    <row r="382">
      <c r="A382" s="5"/>
      <c r="C382" s="5"/>
      <c r="D382" s="5"/>
      <c r="E382" s="5"/>
      <c r="F382" s="5"/>
    </row>
    <row r="383">
      <c r="A383" s="5"/>
      <c r="C383" s="5"/>
      <c r="D383" s="5"/>
      <c r="E383" s="5"/>
      <c r="F383" s="5"/>
    </row>
    <row r="384">
      <c r="A384" s="5"/>
      <c r="C384" s="5"/>
      <c r="D384" s="5"/>
      <c r="E384" s="5"/>
      <c r="F384" s="5"/>
    </row>
    <row r="385">
      <c r="A385" s="5"/>
      <c r="C385" s="5"/>
      <c r="D385" s="5"/>
      <c r="E385" s="5"/>
      <c r="F385" s="5"/>
    </row>
    <row r="386">
      <c r="A386" s="5"/>
      <c r="C386" s="5"/>
      <c r="D386" s="5"/>
      <c r="E386" s="5"/>
      <c r="F386" s="5"/>
    </row>
    <row r="387">
      <c r="A387" s="5"/>
      <c r="C387" s="5"/>
      <c r="D387" s="5"/>
      <c r="E387" s="5"/>
      <c r="F387" s="5"/>
    </row>
    <row r="388">
      <c r="A388" s="5"/>
      <c r="C388" s="5"/>
      <c r="D388" s="5"/>
      <c r="E388" s="5"/>
      <c r="F388" s="5"/>
    </row>
    <row r="389">
      <c r="A389" s="5"/>
      <c r="C389" s="5"/>
      <c r="D389" s="5"/>
      <c r="E389" s="5"/>
      <c r="F389" s="5"/>
    </row>
    <row r="390">
      <c r="A390" s="5"/>
      <c r="C390" s="5"/>
      <c r="D390" s="5"/>
      <c r="E390" s="5"/>
      <c r="F390" s="5"/>
    </row>
    <row r="391">
      <c r="A391" s="5"/>
      <c r="C391" s="5"/>
      <c r="D391" s="5"/>
      <c r="E391" s="5"/>
      <c r="F391" s="5"/>
    </row>
    <row r="392">
      <c r="A392" s="5"/>
      <c r="C392" s="5"/>
      <c r="D392" s="5"/>
      <c r="E392" s="5"/>
      <c r="F392" s="5"/>
    </row>
    <row r="393">
      <c r="A393" s="5"/>
      <c r="C393" s="5"/>
      <c r="D393" s="5"/>
      <c r="E393" s="5"/>
      <c r="F393" s="5"/>
    </row>
    <row r="394">
      <c r="A394" s="5"/>
      <c r="C394" s="5"/>
      <c r="D394" s="5"/>
      <c r="E394" s="5"/>
      <c r="F394" s="5"/>
    </row>
    <row r="395">
      <c r="A395" s="5"/>
      <c r="C395" s="5"/>
      <c r="D395" s="5"/>
      <c r="E395" s="5"/>
      <c r="F395" s="5"/>
    </row>
    <row r="396">
      <c r="A396" s="5"/>
      <c r="C396" s="5"/>
      <c r="D396" s="5"/>
      <c r="E396" s="5"/>
      <c r="F396" s="5"/>
    </row>
    <row r="397">
      <c r="A397" s="5"/>
      <c r="C397" s="5"/>
      <c r="D397" s="5"/>
      <c r="E397" s="5"/>
      <c r="F397" s="5"/>
    </row>
    <row r="398">
      <c r="A398" s="5"/>
      <c r="C398" s="5"/>
      <c r="D398" s="5"/>
      <c r="E398" s="5"/>
      <c r="F398" s="5"/>
    </row>
    <row r="399">
      <c r="A399" s="5"/>
      <c r="C399" s="5"/>
      <c r="D399" s="5"/>
      <c r="E399" s="5"/>
      <c r="F399" s="5"/>
    </row>
    <row r="400">
      <c r="A400" s="5"/>
      <c r="C400" s="5"/>
      <c r="D400" s="5"/>
      <c r="E400" s="5"/>
      <c r="F400" s="5"/>
    </row>
    <row r="401">
      <c r="A401" s="5"/>
      <c r="C401" s="5"/>
      <c r="D401" s="5"/>
      <c r="E401" s="5"/>
      <c r="F401" s="5"/>
    </row>
    <row r="402">
      <c r="A402" s="5"/>
      <c r="C402" s="5"/>
      <c r="D402" s="5"/>
      <c r="E402" s="5"/>
      <c r="F402" s="5"/>
    </row>
    <row r="403">
      <c r="A403" s="5"/>
      <c r="C403" s="5"/>
      <c r="D403" s="5"/>
      <c r="E403" s="5"/>
      <c r="F403" s="5"/>
    </row>
    <row r="404">
      <c r="A404" s="5"/>
      <c r="C404" s="5"/>
      <c r="D404" s="5"/>
      <c r="E404" s="5"/>
      <c r="F404" s="5"/>
    </row>
    <row r="405">
      <c r="A405" s="5"/>
      <c r="C405" s="5"/>
      <c r="D405" s="5"/>
      <c r="E405" s="5"/>
      <c r="F405" s="5"/>
    </row>
    <row r="406">
      <c r="A406" s="5"/>
      <c r="C406" s="5"/>
      <c r="D406" s="5"/>
      <c r="E406" s="5"/>
      <c r="F406" s="5"/>
    </row>
    <row r="407">
      <c r="A407" s="5"/>
      <c r="C407" s="5"/>
      <c r="D407" s="5"/>
      <c r="E407" s="5"/>
      <c r="F407" s="5"/>
    </row>
    <row r="408">
      <c r="A408" s="5"/>
      <c r="C408" s="5"/>
      <c r="D408" s="5"/>
      <c r="E408" s="5"/>
      <c r="F408" s="5"/>
    </row>
    <row r="409">
      <c r="A409" s="5"/>
      <c r="C409" s="5"/>
      <c r="D409" s="5"/>
      <c r="E409" s="5"/>
      <c r="F409" s="5"/>
    </row>
    <row r="410">
      <c r="A410" s="5"/>
      <c r="C410" s="5"/>
      <c r="D410" s="5"/>
      <c r="E410" s="5"/>
      <c r="F410" s="5"/>
    </row>
    <row r="411">
      <c r="A411" s="5"/>
      <c r="C411" s="5"/>
      <c r="D411" s="5"/>
      <c r="E411" s="5"/>
      <c r="F411" s="5"/>
    </row>
    <row r="412">
      <c r="A412" s="5"/>
      <c r="C412" s="5"/>
      <c r="D412" s="5"/>
      <c r="E412" s="5"/>
      <c r="F412" s="5"/>
    </row>
    <row r="413">
      <c r="A413" s="5"/>
      <c r="C413" s="5"/>
      <c r="D413" s="5"/>
      <c r="E413" s="5"/>
      <c r="F413" s="5"/>
    </row>
    <row r="414">
      <c r="A414" s="5"/>
      <c r="C414" s="5"/>
      <c r="D414" s="5"/>
      <c r="E414" s="5"/>
      <c r="F414" s="5"/>
    </row>
    <row r="415">
      <c r="A415" s="5"/>
      <c r="C415" s="5"/>
      <c r="D415" s="5"/>
      <c r="E415" s="5"/>
      <c r="F415" s="5"/>
    </row>
    <row r="416">
      <c r="A416" s="5"/>
      <c r="C416" s="5"/>
      <c r="D416" s="5"/>
      <c r="E416" s="5"/>
      <c r="F416" s="5"/>
    </row>
    <row r="417">
      <c r="A417" s="5"/>
      <c r="C417" s="5"/>
      <c r="D417" s="5"/>
      <c r="E417" s="5"/>
      <c r="F417" s="5"/>
    </row>
    <row r="418">
      <c r="A418" s="5"/>
      <c r="C418" s="5"/>
      <c r="D418" s="5"/>
      <c r="E418" s="5"/>
      <c r="F418" s="5"/>
    </row>
    <row r="419">
      <c r="A419" s="5"/>
      <c r="C419" s="5"/>
      <c r="D419" s="5"/>
      <c r="E419" s="5"/>
      <c r="F419" s="5"/>
    </row>
    <row r="420">
      <c r="A420" s="5"/>
      <c r="C420" s="5"/>
      <c r="D420" s="5"/>
      <c r="E420" s="5"/>
      <c r="F420" s="5"/>
    </row>
    <row r="421">
      <c r="A421" s="5"/>
      <c r="C421" s="5"/>
      <c r="D421" s="5"/>
      <c r="E421" s="5"/>
      <c r="F421" s="5"/>
    </row>
    <row r="422">
      <c r="A422" s="5"/>
      <c r="C422" s="5"/>
      <c r="D422" s="5"/>
      <c r="E422" s="5"/>
      <c r="F422" s="5"/>
    </row>
    <row r="423">
      <c r="A423" s="5"/>
      <c r="C423" s="5"/>
      <c r="D423" s="5"/>
      <c r="E423" s="5"/>
      <c r="F423" s="5"/>
    </row>
    <row r="424">
      <c r="A424" s="5"/>
      <c r="C424" s="5"/>
      <c r="D424" s="5"/>
      <c r="E424" s="5"/>
      <c r="F424" s="5"/>
    </row>
    <row r="425">
      <c r="A425" s="5"/>
      <c r="C425" s="5"/>
      <c r="D425" s="5"/>
      <c r="E425" s="5"/>
      <c r="F425" s="5"/>
    </row>
    <row r="426">
      <c r="A426" s="5"/>
      <c r="C426" s="5"/>
      <c r="D426" s="5"/>
      <c r="E426" s="5"/>
      <c r="F426" s="5"/>
    </row>
    <row r="427">
      <c r="A427" s="5"/>
      <c r="C427" s="5"/>
      <c r="D427" s="5"/>
      <c r="E427" s="5"/>
      <c r="F427" s="5"/>
    </row>
    <row r="428">
      <c r="A428" s="5"/>
      <c r="C428" s="5"/>
      <c r="D428" s="5"/>
      <c r="E428" s="5"/>
      <c r="F428" s="5"/>
    </row>
    <row r="429">
      <c r="A429" s="5"/>
      <c r="C429" s="5"/>
      <c r="D429" s="5"/>
      <c r="E429" s="5"/>
      <c r="F429" s="5"/>
    </row>
    <row r="430">
      <c r="A430" s="5"/>
      <c r="C430" s="5"/>
      <c r="D430" s="5"/>
      <c r="E430" s="5"/>
      <c r="F430" s="5"/>
    </row>
    <row r="431">
      <c r="A431" s="5"/>
      <c r="C431" s="5"/>
      <c r="D431" s="5"/>
      <c r="E431" s="5"/>
      <c r="F431" s="5"/>
    </row>
    <row r="432">
      <c r="A432" s="5"/>
      <c r="C432" s="5"/>
      <c r="D432" s="5"/>
      <c r="E432" s="5"/>
      <c r="F432" s="5"/>
    </row>
    <row r="433">
      <c r="A433" s="5"/>
      <c r="C433" s="5"/>
      <c r="D433" s="5"/>
      <c r="E433" s="5"/>
      <c r="F433" s="5"/>
    </row>
    <row r="434">
      <c r="A434" s="5"/>
      <c r="C434" s="5"/>
      <c r="D434" s="5"/>
      <c r="E434" s="5"/>
      <c r="F434" s="5"/>
    </row>
    <row r="435">
      <c r="A435" s="5"/>
      <c r="C435" s="5"/>
      <c r="D435" s="5"/>
      <c r="E435" s="5"/>
      <c r="F435" s="5"/>
    </row>
    <row r="436">
      <c r="A436" s="5"/>
      <c r="C436" s="5"/>
      <c r="D436" s="5"/>
      <c r="E436" s="5"/>
      <c r="F436" s="5"/>
    </row>
    <row r="437">
      <c r="A437" s="5"/>
      <c r="C437" s="5"/>
      <c r="D437" s="5"/>
      <c r="E437" s="5"/>
      <c r="F437" s="5"/>
    </row>
    <row r="438">
      <c r="A438" s="5"/>
      <c r="C438" s="5"/>
      <c r="D438" s="5"/>
      <c r="E438" s="5"/>
      <c r="F438" s="5"/>
    </row>
    <row r="439">
      <c r="A439" s="5"/>
      <c r="C439" s="5"/>
      <c r="D439" s="5"/>
      <c r="E439" s="5"/>
      <c r="F439" s="5"/>
    </row>
    <row r="440">
      <c r="A440" s="5"/>
      <c r="C440" s="5"/>
      <c r="D440" s="5"/>
      <c r="E440" s="5"/>
      <c r="F440" s="5"/>
    </row>
    <row r="441">
      <c r="A441" s="5"/>
      <c r="C441" s="5"/>
      <c r="D441" s="5"/>
      <c r="E441" s="5"/>
      <c r="F441" s="5"/>
    </row>
    <row r="442">
      <c r="A442" s="5"/>
      <c r="C442" s="5"/>
      <c r="D442" s="5"/>
      <c r="E442" s="5"/>
      <c r="F442" s="5"/>
    </row>
    <row r="443">
      <c r="A443" s="5"/>
      <c r="C443" s="5"/>
      <c r="D443" s="5"/>
      <c r="E443" s="5"/>
      <c r="F443" s="5"/>
    </row>
    <row r="444">
      <c r="A444" s="5"/>
      <c r="C444" s="5"/>
      <c r="D444" s="5"/>
      <c r="E444" s="5"/>
      <c r="F444" s="5"/>
    </row>
    <row r="445">
      <c r="A445" s="5"/>
      <c r="C445" s="5"/>
      <c r="D445" s="5"/>
      <c r="E445" s="5"/>
      <c r="F445" s="5"/>
    </row>
    <row r="446">
      <c r="A446" s="5"/>
      <c r="C446" s="5"/>
      <c r="D446" s="5"/>
      <c r="E446" s="5"/>
      <c r="F446" s="5"/>
    </row>
    <row r="447">
      <c r="A447" s="5"/>
      <c r="C447" s="5"/>
      <c r="D447" s="5"/>
      <c r="E447" s="5"/>
      <c r="F447" s="5"/>
    </row>
    <row r="448">
      <c r="A448" s="5"/>
      <c r="C448" s="5"/>
      <c r="D448" s="5"/>
      <c r="E448" s="5"/>
      <c r="F448" s="5"/>
    </row>
    <row r="449">
      <c r="A449" s="5"/>
      <c r="C449" s="5"/>
      <c r="D449" s="5"/>
      <c r="E449" s="5"/>
      <c r="F449" s="5"/>
    </row>
    <row r="450">
      <c r="A450" s="5"/>
      <c r="C450" s="5"/>
      <c r="D450" s="5"/>
      <c r="E450" s="5"/>
      <c r="F450" s="5"/>
    </row>
    <row r="451">
      <c r="A451" s="5"/>
      <c r="C451" s="5"/>
      <c r="D451" s="5"/>
      <c r="E451" s="5"/>
      <c r="F451" s="5"/>
    </row>
    <row r="452">
      <c r="A452" s="5"/>
      <c r="C452" s="5"/>
      <c r="D452" s="5"/>
      <c r="E452" s="5"/>
      <c r="F452" s="5"/>
    </row>
    <row r="453">
      <c r="A453" s="5"/>
      <c r="C453" s="5"/>
      <c r="D453" s="5"/>
      <c r="E453" s="5"/>
      <c r="F453" s="5"/>
    </row>
    <row r="454">
      <c r="A454" s="5"/>
      <c r="C454" s="5"/>
      <c r="D454" s="5"/>
      <c r="E454" s="5"/>
      <c r="F454" s="5"/>
    </row>
    <row r="455">
      <c r="A455" s="5"/>
      <c r="C455" s="5"/>
      <c r="D455" s="5"/>
      <c r="E455" s="5"/>
      <c r="F455" s="5"/>
    </row>
    <row r="456">
      <c r="A456" s="5"/>
      <c r="C456" s="5"/>
      <c r="D456" s="5"/>
      <c r="E456" s="5"/>
      <c r="F456" s="5"/>
    </row>
    <row r="457">
      <c r="A457" s="5"/>
      <c r="C457" s="5"/>
      <c r="D457" s="5"/>
      <c r="E457" s="5"/>
      <c r="F457" s="5"/>
    </row>
    <row r="458">
      <c r="A458" s="5"/>
      <c r="C458" s="5"/>
      <c r="D458" s="5"/>
      <c r="E458" s="5"/>
      <c r="F458" s="5"/>
    </row>
    <row r="459">
      <c r="A459" s="5"/>
      <c r="C459" s="5"/>
      <c r="D459" s="5"/>
      <c r="E459" s="5"/>
      <c r="F459" s="5"/>
    </row>
    <row r="460">
      <c r="A460" s="5"/>
      <c r="C460" s="5"/>
      <c r="D460" s="5"/>
      <c r="E460" s="5"/>
      <c r="F460" s="5"/>
    </row>
    <row r="461">
      <c r="A461" s="5"/>
      <c r="C461" s="5"/>
      <c r="D461" s="5"/>
      <c r="E461" s="5"/>
      <c r="F461" s="5"/>
    </row>
    <row r="462">
      <c r="A462" s="5"/>
      <c r="C462" s="5"/>
      <c r="D462" s="5"/>
      <c r="E462" s="5"/>
      <c r="F462" s="5"/>
    </row>
    <row r="463">
      <c r="A463" s="5"/>
      <c r="C463" s="5"/>
      <c r="D463" s="5"/>
      <c r="E463" s="5"/>
      <c r="F463" s="5"/>
    </row>
    <row r="464">
      <c r="A464" s="5"/>
      <c r="C464" s="5"/>
      <c r="D464" s="5"/>
      <c r="E464" s="5"/>
      <c r="F464" s="5"/>
    </row>
    <row r="465">
      <c r="A465" s="5"/>
      <c r="C465" s="5"/>
      <c r="D465" s="5"/>
      <c r="E465" s="5"/>
      <c r="F465" s="5"/>
    </row>
    <row r="466">
      <c r="A466" s="5"/>
      <c r="C466" s="5"/>
      <c r="D466" s="5"/>
      <c r="E466" s="5"/>
      <c r="F466" s="5"/>
    </row>
    <row r="467">
      <c r="A467" s="5"/>
      <c r="C467" s="5"/>
      <c r="D467" s="5"/>
      <c r="E467" s="5"/>
      <c r="F467" s="5"/>
    </row>
    <row r="468">
      <c r="A468" s="5"/>
      <c r="C468" s="5"/>
      <c r="D468" s="5"/>
      <c r="E468" s="5"/>
      <c r="F468" s="5"/>
    </row>
    <row r="469">
      <c r="A469" s="5"/>
      <c r="C469" s="5"/>
      <c r="D469" s="5"/>
      <c r="E469" s="5"/>
      <c r="F469" s="5"/>
    </row>
    <row r="470">
      <c r="A470" s="5"/>
      <c r="C470" s="5"/>
      <c r="D470" s="5"/>
      <c r="E470" s="5"/>
      <c r="F470" s="5"/>
    </row>
    <row r="471">
      <c r="A471" s="5"/>
      <c r="C471" s="5"/>
      <c r="D471" s="5"/>
      <c r="E471" s="5"/>
      <c r="F471" s="5"/>
    </row>
    <row r="472">
      <c r="A472" s="5"/>
      <c r="C472" s="5"/>
      <c r="D472" s="5"/>
      <c r="E472" s="5"/>
      <c r="F472" s="5"/>
    </row>
    <row r="473">
      <c r="A473" s="5"/>
      <c r="C473" s="5"/>
      <c r="D473" s="5"/>
      <c r="E473" s="5"/>
      <c r="F473" s="5"/>
    </row>
    <row r="474">
      <c r="A474" s="5"/>
      <c r="C474" s="5"/>
      <c r="D474" s="5"/>
      <c r="E474" s="5"/>
      <c r="F474" s="5"/>
    </row>
    <row r="475">
      <c r="A475" s="5"/>
      <c r="C475" s="5"/>
      <c r="D475" s="5"/>
      <c r="E475" s="5"/>
      <c r="F475" s="5"/>
    </row>
    <row r="476">
      <c r="A476" s="5"/>
      <c r="C476" s="5"/>
      <c r="D476" s="5"/>
      <c r="E476" s="5"/>
      <c r="F476" s="5"/>
    </row>
    <row r="477">
      <c r="A477" s="5"/>
      <c r="C477" s="5"/>
      <c r="D477" s="5"/>
      <c r="E477" s="5"/>
      <c r="F477" s="5"/>
    </row>
    <row r="478">
      <c r="A478" s="5"/>
      <c r="C478" s="5"/>
      <c r="D478" s="5"/>
      <c r="E478" s="5"/>
      <c r="F478" s="5"/>
    </row>
    <row r="479">
      <c r="A479" s="5"/>
      <c r="C479" s="5"/>
      <c r="D479" s="5"/>
      <c r="E479" s="5"/>
      <c r="F479" s="5"/>
    </row>
    <row r="480">
      <c r="A480" s="5"/>
      <c r="C480" s="5"/>
      <c r="D480" s="5"/>
      <c r="E480" s="5"/>
      <c r="F480" s="5"/>
    </row>
    <row r="481">
      <c r="A481" s="5"/>
      <c r="C481" s="5"/>
      <c r="D481" s="5"/>
      <c r="E481" s="5"/>
      <c r="F481" s="5"/>
    </row>
    <row r="482">
      <c r="A482" s="5"/>
      <c r="C482" s="5"/>
      <c r="D482" s="5"/>
      <c r="E482" s="5"/>
      <c r="F482" s="5"/>
    </row>
    <row r="483">
      <c r="A483" s="5"/>
      <c r="C483" s="5"/>
      <c r="D483" s="5"/>
      <c r="E483" s="5"/>
      <c r="F483" s="5"/>
    </row>
    <row r="484">
      <c r="A484" s="5"/>
      <c r="C484" s="5"/>
      <c r="D484" s="5"/>
      <c r="E484" s="5"/>
      <c r="F484" s="5"/>
    </row>
    <row r="485">
      <c r="A485" s="5"/>
      <c r="C485" s="5"/>
      <c r="D485" s="5"/>
      <c r="E485" s="5"/>
      <c r="F485" s="5"/>
    </row>
    <row r="486">
      <c r="A486" s="5"/>
      <c r="C486" s="5"/>
      <c r="D486" s="5"/>
      <c r="E486" s="5"/>
      <c r="F486" s="5"/>
    </row>
    <row r="487">
      <c r="A487" s="5"/>
      <c r="C487" s="5"/>
      <c r="D487" s="5"/>
      <c r="E487" s="5"/>
      <c r="F487" s="5"/>
    </row>
    <row r="488">
      <c r="A488" s="5"/>
      <c r="C488" s="5"/>
      <c r="D488" s="5"/>
      <c r="E488" s="5"/>
      <c r="F488" s="5"/>
    </row>
    <row r="489">
      <c r="A489" s="5"/>
      <c r="C489" s="5"/>
      <c r="D489" s="5"/>
      <c r="E489" s="5"/>
      <c r="F489" s="5"/>
    </row>
    <row r="490">
      <c r="A490" s="5"/>
      <c r="C490" s="5"/>
      <c r="D490" s="5"/>
      <c r="E490" s="5"/>
      <c r="F490" s="5"/>
    </row>
    <row r="491">
      <c r="A491" s="5"/>
      <c r="C491" s="5"/>
      <c r="D491" s="5"/>
      <c r="E491" s="5"/>
      <c r="F491" s="5"/>
    </row>
    <row r="492">
      <c r="A492" s="5"/>
      <c r="C492" s="5"/>
      <c r="D492" s="5"/>
      <c r="E492" s="5"/>
      <c r="F492" s="5"/>
    </row>
    <row r="493">
      <c r="A493" s="5"/>
      <c r="C493" s="5"/>
      <c r="D493" s="5"/>
      <c r="E493" s="5"/>
      <c r="F493" s="5"/>
    </row>
    <row r="494">
      <c r="A494" s="5"/>
      <c r="C494" s="5"/>
      <c r="D494" s="5"/>
      <c r="E494" s="5"/>
      <c r="F494" s="5"/>
    </row>
    <row r="495">
      <c r="A495" s="5"/>
      <c r="C495" s="5"/>
      <c r="D495" s="5"/>
      <c r="E495" s="5"/>
      <c r="F495" s="5"/>
    </row>
    <row r="496">
      <c r="A496" s="5"/>
      <c r="C496" s="5"/>
      <c r="D496" s="5"/>
      <c r="E496" s="5"/>
      <c r="F496" s="5"/>
    </row>
    <row r="497">
      <c r="A497" s="5"/>
      <c r="C497" s="5"/>
      <c r="D497" s="5"/>
      <c r="E497" s="5"/>
      <c r="F497" s="5"/>
    </row>
    <row r="498">
      <c r="A498" s="5"/>
      <c r="C498" s="5"/>
      <c r="D498" s="5"/>
      <c r="E498" s="5"/>
      <c r="F498" s="5"/>
    </row>
    <row r="499">
      <c r="A499" s="5"/>
      <c r="C499" s="5"/>
      <c r="D499" s="5"/>
      <c r="E499" s="5"/>
      <c r="F499" s="5"/>
    </row>
    <row r="500">
      <c r="A500" s="5"/>
      <c r="C500" s="5"/>
      <c r="D500" s="5"/>
      <c r="E500" s="5"/>
      <c r="F500" s="5"/>
    </row>
    <row r="501">
      <c r="A501" s="5"/>
      <c r="C501" s="5"/>
      <c r="D501" s="5"/>
      <c r="E501" s="5"/>
      <c r="F501" s="5"/>
    </row>
    <row r="502">
      <c r="A502" s="5"/>
      <c r="C502" s="5"/>
      <c r="D502" s="5"/>
      <c r="E502" s="5"/>
      <c r="F502" s="5"/>
    </row>
    <row r="503">
      <c r="A503" s="5"/>
      <c r="C503" s="5"/>
      <c r="D503" s="5"/>
      <c r="E503" s="5"/>
      <c r="F503" s="5"/>
    </row>
    <row r="504">
      <c r="A504" s="5"/>
      <c r="C504" s="5"/>
      <c r="D504" s="5"/>
      <c r="E504" s="5"/>
      <c r="F504" s="5"/>
    </row>
    <row r="505">
      <c r="A505" s="5"/>
      <c r="C505" s="5"/>
      <c r="D505" s="5"/>
      <c r="E505" s="5"/>
      <c r="F505" s="5"/>
    </row>
    <row r="506">
      <c r="A506" s="5"/>
      <c r="C506" s="5"/>
      <c r="D506" s="5"/>
      <c r="E506" s="5"/>
      <c r="F506" s="5"/>
    </row>
    <row r="507">
      <c r="A507" s="5"/>
      <c r="C507" s="5"/>
      <c r="D507" s="5"/>
      <c r="E507" s="5"/>
      <c r="F507" s="5"/>
    </row>
    <row r="508">
      <c r="A508" s="5"/>
      <c r="C508" s="5"/>
      <c r="D508" s="5"/>
      <c r="E508" s="5"/>
      <c r="F508" s="5"/>
    </row>
    <row r="509">
      <c r="A509" s="5"/>
      <c r="C509" s="5"/>
      <c r="D509" s="5"/>
      <c r="E509" s="5"/>
      <c r="F509" s="5"/>
    </row>
    <row r="510">
      <c r="A510" s="5"/>
      <c r="C510" s="5"/>
      <c r="D510" s="5"/>
      <c r="E510" s="5"/>
      <c r="F510" s="5"/>
    </row>
    <row r="511">
      <c r="A511" s="5"/>
      <c r="C511" s="5"/>
      <c r="D511" s="5"/>
      <c r="E511" s="5"/>
      <c r="F511" s="5"/>
    </row>
    <row r="512">
      <c r="A512" s="5"/>
      <c r="C512" s="5"/>
      <c r="D512" s="5"/>
      <c r="E512" s="5"/>
      <c r="F512" s="5"/>
    </row>
    <row r="513">
      <c r="A513" s="5"/>
      <c r="C513" s="5"/>
      <c r="D513" s="5"/>
      <c r="E513" s="5"/>
      <c r="F513" s="5"/>
    </row>
    <row r="514">
      <c r="A514" s="5"/>
      <c r="C514" s="5"/>
      <c r="D514" s="5"/>
      <c r="E514" s="5"/>
      <c r="F514" s="5"/>
    </row>
    <row r="515">
      <c r="A515" s="5"/>
      <c r="C515" s="5"/>
      <c r="D515" s="5"/>
      <c r="E515" s="5"/>
      <c r="F515" s="5"/>
    </row>
    <row r="516">
      <c r="A516" s="5"/>
      <c r="C516" s="5"/>
      <c r="D516" s="5"/>
      <c r="E516" s="5"/>
      <c r="F516" s="5"/>
    </row>
    <row r="517">
      <c r="A517" s="5"/>
      <c r="C517" s="5"/>
      <c r="D517" s="5"/>
      <c r="E517" s="5"/>
      <c r="F517" s="5"/>
    </row>
    <row r="518">
      <c r="A518" s="5"/>
      <c r="C518" s="5"/>
      <c r="D518" s="5"/>
      <c r="E518" s="5"/>
      <c r="F518" s="5"/>
    </row>
    <row r="519">
      <c r="A519" s="5"/>
      <c r="C519" s="5"/>
      <c r="D519" s="5"/>
      <c r="E519" s="5"/>
      <c r="F519" s="5"/>
    </row>
    <row r="520">
      <c r="A520" s="5"/>
      <c r="C520" s="5"/>
      <c r="D520" s="5"/>
      <c r="E520" s="5"/>
      <c r="F520" s="5"/>
    </row>
    <row r="521">
      <c r="A521" s="5"/>
      <c r="C521" s="5"/>
      <c r="D521" s="5"/>
      <c r="E521" s="5"/>
      <c r="F521" s="5"/>
    </row>
    <row r="522">
      <c r="A522" s="5"/>
      <c r="C522" s="5"/>
      <c r="D522" s="5"/>
      <c r="E522" s="5"/>
      <c r="F522" s="5"/>
    </row>
    <row r="523">
      <c r="A523" s="5"/>
      <c r="C523" s="5"/>
      <c r="D523" s="5"/>
      <c r="E523" s="5"/>
      <c r="F523" s="5"/>
    </row>
    <row r="524">
      <c r="A524" s="5"/>
      <c r="C524" s="5"/>
      <c r="D524" s="5"/>
      <c r="E524" s="5"/>
      <c r="F524" s="5"/>
    </row>
    <row r="525">
      <c r="A525" s="5"/>
      <c r="C525" s="5"/>
      <c r="D525" s="5"/>
      <c r="E525" s="5"/>
      <c r="F525" s="5"/>
    </row>
    <row r="526">
      <c r="A526" s="5"/>
      <c r="C526" s="5"/>
      <c r="D526" s="5"/>
      <c r="E526" s="5"/>
      <c r="F526" s="5"/>
    </row>
    <row r="527">
      <c r="A527" s="5"/>
      <c r="C527" s="5"/>
      <c r="D527" s="5"/>
      <c r="E527" s="5"/>
      <c r="F527" s="5"/>
    </row>
    <row r="528">
      <c r="A528" s="5"/>
      <c r="C528" s="5"/>
      <c r="D528" s="5"/>
      <c r="E528" s="5"/>
      <c r="F528" s="5"/>
    </row>
    <row r="529">
      <c r="A529" s="5"/>
      <c r="C529" s="5"/>
      <c r="D529" s="5"/>
      <c r="E529" s="5"/>
      <c r="F529" s="5"/>
    </row>
    <row r="530">
      <c r="A530" s="5"/>
      <c r="C530" s="5"/>
      <c r="D530" s="5"/>
      <c r="E530" s="5"/>
      <c r="F530" s="5"/>
    </row>
    <row r="531">
      <c r="A531" s="5"/>
      <c r="C531" s="5"/>
      <c r="D531" s="5"/>
      <c r="E531" s="5"/>
      <c r="F531" s="5"/>
    </row>
    <row r="532">
      <c r="A532" s="5"/>
      <c r="C532" s="5"/>
      <c r="D532" s="5"/>
      <c r="E532" s="5"/>
      <c r="F532" s="5"/>
    </row>
    <row r="533">
      <c r="A533" s="5"/>
      <c r="C533" s="5"/>
      <c r="D533" s="5"/>
      <c r="E533" s="5"/>
      <c r="F533" s="5"/>
    </row>
    <row r="534">
      <c r="A534" s="5"/>
      <c r="C534" s="5"/>
      <c r="D534" s="5"/>
      <c r="E534" s="5"/>
      <c r="F534" s="5"/>
    </row>
    <row r="535">
      <c r="A535" s="5"/>
      <c r="C535" s="5"/>
      <c r="D535" s="5"/>
      <c r="E535" s="5"/>
      <c r="F535" s="5"/>
    </row>
    <row r="536">
      <c r="A536" s="5"/>
      <c r="C536" s="5"/>
      <c r="D536" s="5"/>
      <c r="E536" s="5"/>
      <c r="F536" s="5"/>
    </row>
    <row r="537">
      <c r="A537" s="5"/>
      <c r="C537" s="5"/>
      <c r="D537" s="5"/>
      <c r="E537" s="5"/>
      <c r="F537" s="5"/>
    </row>
    <row r="538">
      <c r="A538" s="5"/>
      <c r="C538" s="5"/>
      <c r="D538" s="5"/>
      <c r="E538" s="5"/>
      <c r="F538" s="5"/>
    </row>
    <row r="539">
      <c r="A539" s="5"/>
      <c r="C539" s="5"/>
      <c r="D539" s="5"/>
      <c r="E539" s="5"/>
      <c r="F539" s="5"/>
    </row>
    <row r="540">
      <c r="A540" s="5"/>
      <c r="C540" s="5"/>
      <c r="D540" s="5"/>
      <c r="E540" s="5"/>
      <c r="F540" s="5"/>
    </row>
    <row r="541">
      <c r="A541" s="5"/>
      <c r="C541" s="5"/>
      <c r="D541" s="5"/>
      <c r="E541" s="5"/>
      <c r="F541" s="5"/>
    </row>
    <row r="542">
      <c r="A542" s="5"/>
      <c r="C542" s="5"/>
      <c r="D542" s="5"/>
      <c r="E542" s="5"/>
      <c r="F542" s="5"/>
    </row>
    <row r="543">
      <c r="A543" s="5"/>
      <c r="C543" s="5"/>
      <c r="D543" s="5"/>
      <c r="E543" s="5"/>
      <c r="F543" s="5"/>
    </row>
    <row r="544">
      <c r="A544" s="5"/>
      <c r="C544" s="5"/>
      <c r="D544" s="5"/>
      <c r="E544" s="5"/>
      <c r="F544" s="5"/>
    </row>
    <row r="545">
      <c r="A545" s="5"/>
      <c r="C545" s="5"/>
      <c r="D545" s="5"/>
      <c r="E545" s="5"/>
      <c r="F545" s="5"/>
    </row>
    <row r="546">
      <c r="A546" s="5"/>
      <c r="C546" s="5"/>
      <c r="D546" s="5"/>
      <c r="E546" s="5"/>
      <c r="F546" s="5"/>
    </row>
    <row r="547">
      <c r="A547" s="5"/>
      <c r="C547" s="5"/>
      <c r="D547" s="5"/>
      <c r="E547" s="5"/>
      <c r="F547" s="5"/>
    </row>
    <row r="548">
      <c r="A548" s="5"/>
      <c r="C548" s="5"/>
      <c r="D548" s="5"/>
      <c r="E548" s="5"/>
      <c r="F548" s="5"/>
    </row>
    <row r="549">
      <c r="A549" s="5"/>
      <c r="C549" s="5"/>
      <c r="D549" s="5"/>
      <c r="E549" s="5"/>
      <c r="F549" s="5"/>
    </row>
    <row r="550">
      <c r="A550" s="5"/>
      <c r="C550" s="5"/>
      <c r="D550" s="5"/>
      <c r="E550" s="5"/>
      <c r="F550" s="5"/>
    </row>
    <row r="551">
      <c r="A551" s="5"/>
      <c r="C551" s="5"/>
      <c r="D551" s="5"/>
      <c r="E551" s="5"/>
      <c r="F551" s="5"/>
    </row>
    <row r="552">
      <c r="A552" s="5"/>
      <c r="C552" s="5"/>
      <c r="D552" s="5"/>
      <c r="E552" s="5"/>
      <c r="F552" s="5"/>
    </row>
    <row r="553">
      <c r="A553" s="5"/>
      <c r="C553" s="5"/>
      <c r="D553" s="5"/>
      <c r="E553" s="5"/>
      <c r="F553" s="5"/>
    </row>
    <row r="554">
      <c r="A554" s="5"/>
      <c r="C554" s="5"/>
      <c r="D554" s="5"/>
      <c r="E554" s="5"/>
      <c r="F554" s="5"/>
    </row>
    <row r="555">
      <c r="A555" s="5"/>
      <c r="C555" s="5"/>
      <c r="D555" s="5"/>
      <c r="E555" s="5"/>
      <c r="F555" s="5"/>
    </row>
    <row r="556">
      <c r="A556" s="5"/>
      <c r="C556" s="5"/>
      <c r="D556" s="5"/>
      <c r="E556" s="5"/>
      <c r="F556" s="5"/>
    </row>
    <row r="557">
      <c r="A557" s="5"/>
      <c r="C557" s="5"/>
      <c r="D557" s="5"/>
      <c r="E557" s="5"/>
      <c r="F557" s="5"/>
    </row>
    <row r="558">
      <c r="A558" s="5"/>
      <c r="C558" s="5"/>
      <c r="D558" s="5"/>
      <c r="E558" s="5"/>
      <c r="F558" s="5"/>
    </row>
    <row r="559">
      <c r="A559" s="5"/>
      <c r="C559" s="5"/>
      <c r="D559" s="5"/>
      <c r="E559" s="5"/>
      <c r="F559" s="5"/>
    </row>
    <row r="560">
      <c r="A560" s="5"/>
      <c r="C560" s="5"/>
      <c r="D560" s="5"/>
      <c r="E560" s="5"/>
      <c r="F560" s="5"/>
    </row>
    <row r="561">
      <c r="A561" s="5"/>
      <c r="C561" s="5"/>
      <c r="D561" s="5"/>
      <c r="E561" s="5"/>
      <c r="F561" s="5"/>
    </row>
    <row r="562">
      <c r="A562" s="5"/>
      <c r="C562" s="5"/>
      <c r="D562" s="5"/>
      <c r="E562" s="5"/>
      <c r="F562" s="5"/>
    </row>
    <row r="563">
      <c r="A563" s="5"/>
      <c r="C563" s="5"/>
      <c r="D563" s="5"/>
      <c r="E563" s="5"/>
      <c r="F563" s="5"/>
    </row>
    <row r="564">
      <c r="A564" s="5"/>
      <c r="C564" s="5"/>
      <c r="D564" s="5"/>
      <c r="E564" s="5"/>
      <c r="F564" s="5"/>
    </row>
    <row r="565">
      <c r="A565" s="5"/>
      <c r="C565" s="5"/>
      <c r="D565" s="5"/>
      <c r="E565" s="5"/>
      <c r="F565" s="5"/>
    </row>
    <row r="566">
      <c r="A566" s="5"/>
      <c r="C566" s="5"/>
      <c r="D566" s="5"/>
      <c r="E566" s="5"/>
      <c r="F566" s="5"/>
    </row>
    <row r="567">
      <c r="A567" s="5"/>
      <c r="C567" s="5"/>
      <c r="D567" s="5"/>
      <c r="E567" s="5"/>
      <c r="F567" s="5"/>
    </row>
    <row r="568">
      <c r="A568" s="5"/>
      <c r="C568" s="5"/>
      <c r="D568" s="5"/>
      <c r="E568" s="5"/>
      <c r="F568" s="5"/>
    </row>
    <row r="569">
      <c r="A569" s="5"/>
      <c r="C569" s="5"/>
      <c r="D569" s="5"/>
      <c r="E569" s="5"/>
      <c r="F569" s="5"/>
    </row>
    <row r="570">
      <c r="A570" s="5"/>
      <c r="C570" s="5"/>
      <c r="D570" s="5"/>
      <c r="E570" s="5"/>
      <c r="F570" s="5"/>
    </row>
    <row r="571">
      <c r="A571" s="5"/>
      <c r="C571" s="5"/>
      <c r="D571" s="5"/>
      <c r="E571" s="5"/>
      <c r="F571" s="5"/>
    </row>
    <row r="572">
      <c r="A572" s="5"/>
      <c r="C572" s="5"/>
      <c r="D572" s="5"/>
      <c r="E572" s="5"/>
      <c r="F572" s="5"/>
    </row>
    <row r="573">
      <c r="A573" s="5"/>
      <c r="C573" s="5"/>
      <c r="D573" s="5"/>
      <c r="E573" s="5"/>
      <c r="F573" s="5"/>
    </row>
    <row r="574">
      <c r="A574" s="5"/>
      <c r="C574" s="5"/>
      <c r="D574" s="5"/>
      <c r="E574" s="5"/>
      <c r="F574" s="5"/>
    </row>
    <row r="575">
      <c r="A575" s="5"/>
      <c r="C575" s="5"/>
      <c r="D575" s="5"/>
      <c r="E575" s="5"/>
      <c r="F575" s="5"/>
    </row>
    <row r="576">
      <c r="A576" s="5"/>
      <c r="C576" s="5"/>
      <c r="D576" s="5"/>
      <c r="E576" s="5"/>
      <c r="F576" s="5"/>
    </row>
    <row r="577">
      <c r="A577" s="5"/>
      <c r="C577" s="5"/>
      <c r="D577" s="5"/>
      <c r="E577" s="5"/>
      <c r="F577" s="5"/>
    </row>
    <row r="578">
      <c r="A578" s="5"/>
      <c r="C578" s="5"/>
      <c r="D578" s="5"/>
      <c r="E578" s="5"/>
      <c r="F578" s="5"/>
    </row>
    <row r="579">
      <c r="A579" s="5"/>
      <c r="C579" s="5"/>
      <c r="D579" s="5"/>
      <c r="E579" s="5"/>
      <c r="F579" s="5"/>
    </row>
    <row r="580">
      <c r="A580" s="5"/>
      <c r="C580" s="5"/>
      <c r="D580" s="5"/>
      <c r="E580" s="5"/>
      <c r="F580" s="5"/>
    </row>
    <row r="581">
      <c r="A581" s="5"/>
      <c r="C581" s="5"/>
      <c r="D581" s="5"/>
      <c r="E581" s="5"/>
      <c r="F581" s="5"/>
    </row>
    <row r="582">
      <c r="A582" s="5"/>
      <c r="C582" s="5"/>
      <c r="D582" s="5"/>
      <c r="E582" s="5"/>
      <c r="F582" s="5"/>
    </row>
    <row r="583">
      <c r="A583" s="5"/>
      <c r="C583" s="5"/>
      <c r="D583" s="5"/>
      <c r="E583" s="5"/>
      <c r="F583" s="5"/>
    </row>
    <row r="584">
      <c r="A584" s="5"/>
      <c r="C584" s="5"/>
      <c r="D584" s="5"/>
      <c r="E584" s="5"/>
      <c r="F584" s="5"/>
    </row>
    <row r="585">
      <c r="A585" s="5"/>
      <c r="C585" s="5"/>
      <c r="D585" s="5"/>
      <c r="E585" s="5"/>
      <c r="F585" s="5"/>
    </row>
    <row r="586">
      <c r="A586" s="5"/>
      <c r="C586" s="5"/>
      <c r="D586" s="5"/>
      <c r="E586" s="5"/>
      <c r="F586" s="5"/>
    </row>
    <row r="587">
      <c r="A587" s="5"/>
      <c r="C587" s="5"/>
      <c r="D587" s="5"/>
      <c r="E587" s="5"/>
      <c r="F587" s="5"/>
    </row>
    <row r="588">
      <c r="A588" s="5"/>
      <c r="C588" s="5"/>
      <c r="D588" s="5"/>
      <c r="E588" s="5"/>
      <c r="F588" s="5"/>
    </row>
    <row r="589">
      <c r="A589" s="5"/>
      <c r="C589" s="5"/>
      <c r="D589" s="5"/>
      <c r="E589" s="5"/>
      <c r="F589" s="5"/>
    </row>
    <row r="590">
      <c r="A590" s="5"/>
      <c r="C590" s="5"/>
      <c r="D590" s="5"/>
      <c r="E590" s="5"/>
      <c r="F590" s="5"/>
    </row>
    <row r="591">
      <c r="A591" s="5"/>
      <c r="C591" s="5"/>
      <c r="D591" s="5"/>
      <c r="E591" s="5"/>
      <c r="F591" s="5"/>
    </row>
    <row r="592">
      <c r="A592" s="5"/>
      <c r="C592" s="5"/>
      <c r="D592" s="5"/>
      <c r="E592" s="5"/>
      <c r="F592" s="5"/>
    </row>
    <row r="593">
      <c r="A593" s="5"/>
      <c r="C593" s="5"/>
      <c r="D593" s="5"/>
      <c r="E593" s="5"/>
      <c r="F593" s="5"/>
    </row>
    <row r="594">
      <c r="A594" s="5"/>
      <c r="C594" s="5"/>
      <c r="D594" s="5"/>
      <c r="E594" s="5"/>
      <c r="F594" s="5"/>
    </row>
    <row r="595">
      <c r="A595" s="5"/>
      <c r="C595" s="5"/>
      <c r="D595" s="5"/>
      <c r="E595" s="5"/>
      <c r="F595" s="5"/>
    </row>
    <row r="596">
      <c r="A596" s="5"/>
      <c r="C596" s="5"/>
      <c r="D596" s="5"/>
      <c r="E596" s="5"/>
      <c r="F596" s="5"/>
    </row>
    <row r="597">
      <c r="A597" s="5"/>
      <c r="C597" s="5"/>
      <c r="D597" s="5"/>
      <c r="E597" s="5"/>
      <c r="F597" s="5"/>
    </row>
    <row r="598">
      <c r="A598" s="5"/>
      <c r="C598" s="5"/>
      <c r="D598" s="5"/>
      <c r="E598" s="5"/>
      <c r="F598" s="5"/>
    </row>
    <row r="599">
      <c r="A599" s="5"/>
      <c r="C599" s="5"/>
      <c r="D599" s="5"/>
      <c r="E599" s="5"/>
      <c r="F599" s="5"/>
    </row>
    <row r="600">
      <c r="A600" s="5"/>
      <c r="C600" s="5"/>
      <c r="D600" s="5"/>
      <c r="E600" s="5"/>
      <c r="F600" s="5"/>
    </row>
    <row r="601">
      <c r="A601" s="5"/>
      <c r="C601" s="5"/>
      <c r="D601" s="5"/>
      <c r="E601" s="5"/>
      <c r="F601" s="5"/>
    </row>
    <row r="602">
      <c r="A602" s="5"/>
      <c r="C602" s="5"/>
      <c r="D602" s="5"/>
      <c r="E602" s="5"/>
      <c r="F602" s="5"/>
    </row>
    <row r="603">
      <c r="A603" s="5"/>
      <c r="C603" s="5"/>
      <c r="D603" s="5"/>
      <c r="E603" s="5"/>
      <c r="F603" s="5"/>
    </row>
    <row r="604">
      <c r="A604" s="5"/>
      <c r="C604" s="5"/>
      <c r="D604" s="5"/>
      <c r="E604" s="5"/>
      <c r="F604" s="5"/>
    </row>
    <row r="605">
      <c r="A605" s="5"/>
      <c r="C605" s="5"/>
      <c r="D605" s="5"/>
      <c r="E605" s="5"/>
      <c r="F605" s="5"/>
    </row>
    <row r="606">
      <c r="A606" s="5"/>
      <c r="C606" s="5"/>
      <c r="D606" s="5"/>
      <c r="E606" s="5"/>
      <c r="F606" s="5"/>
    </row>
    <row r="607">
      <c r="A607" s="5"/>
      <c r="C607" s="5"/>
      <c r="D607" s="5"/>
      <c r="E607" s="5"/>
      <c r="F607" s="5"/>
    </row>
    <row r="608">
      <c r="A608" s="5"/>
      <c r="C608" s="5"/>
      <c r="D608" s="5"/>
      <c r="E608" s="5"/>
      <c r="F608" s="5"/>
    </row>
    <row r="609">
      <c r="A609" s="5"/>
      <c r="C609" s="5"/>
      <c r="D609" s="5"/>
      <c r="E609" s="5"/>
      <c r="F609" s="5"/>
    </row>
    <row r="610">
      <c r="A610" s="5"/>
      <c r="C610" s="5"/>
      <c r="D610" s="5"/>
      <c r="E610" s="5"/>
      <c r="F610" s="5"/>
    </row>
    <row r="611">
      <c r="A611" s="5"/>
      <c r="C611" s="5"/>
      <c r="D611" s="5"/>
      <c r="E611" s="5"/>
      <c r="F611" s="5"/>
    </row>
    <row r="612">
      <c r="A612" s="5"/>
      <c r="C612" s="5"/>
      <c r="D612" s="5"/>
      <c r="E612" s="5"/>
      <c r="F612" s="5"/>
    </row>
    <row r="613">
      <c r="A613" s="5"/>
      <c r="C613" s="5"/>
      <c r="D613" s="5"/>
      <c r="E613" s="5"/>
      <c r="F613" s="5"/>
    </row>
    <row r="614">
      <c r="A614" s="5"/>
      <c r="C614" s="5"/>
      <c r="D614" s="5"/>
      <c r="E614" s="5"/>
      <c r="F614" s="5"/>
    </row>
    <row r="615">
      <c r="A615" s="5"/>
      <c r="C615" s="5"/>
      <c r="D615" s="5"/>
      <c r="E615" s="5"/>
      <c r="F615" s="5"/>
    </row>
    <row r="616">
      <c r="A616" s="5"/>
      <c r="C616" s="5"/>
      <c r="D616" s="5"/>
      <c r="E616" s="5"/>
      <c r="F616" s="5"/>
    </row>
    <row r="617">
      <c r="A617" s="5"/>
      <c r="C617" s="5"/>
      <c r="D617" s="5"/>
      <c r="E617" s="5"/>
      <c r="F617" s="5"/>
    </row>
    <row r="618">
      <c r="A618" s="5"/>
      <c r="C618" s="5"/>
      <c r="D618" s="5"/>
      <c r="E618" s="5"/>
      <c r="F618" s="5"/>
    </row>
    <row r="619">
      <c r="A619" s="5"/>
      <c r="C619" s="5"/>
      <c r="D619" s="5"/>
      <c r="E619" s="5"/>
      <c r="F619" s="5"/>
    </row>
    <row r="620">
      <c r="A620" s="5"/>
      <c r="C620" s="5"/>
      <c r="D620" s="5"/>
      <c r="E620" s="5"/>
      <c r="F620" s="5"/>
    </row>
    <row r="621">
      <c r="A621" s="5"/>
      <c r="C621" s="5"/>
      <c r="D621" s="5"/>
      <c r="E621" s="5"/>
      <c r="F621" s="5"/>
    </row>
    <row r="622">
      <c r="A622" s="5"/>
      <c r="C622" s="5"/>
      <c r="D622" s="5"/>
      <c r="E622" s="5"/>
      <c r="F622" s="5"/>
    </row>
    <row r="623">
      <c r="A623" s="5"/>
      <c r="C623" s="5"/>
      <c r="D623" s="5"/>
      <c r="E623" s="5"/>
      <c r="F623" s="5"/>
    </row>
    <row r="624">
      <c r="A624" s="5"/>
      <c r="C624" s="5"/>
      <c r="D624" s="5"/>
      <c r="E624" s="5"/>
      <c r="F624" s="5"/>
    </row>
    <row r="625">
      <c r="A625" s="5"/>
      <c r="C625" s="5"/>
      <c r="D625" s="5"/>
      <c r="E625" s="5"/>
      <c r="F625" s="5"/>
    </row>
    <row r="626">
      <c r="A626" s="5"/>
      <c r="C626" s="5"/>
      <c r="D626" s="5"/>
      <c r="E626" s="5"/>
      <c r="F626" s="5"/>
    </row>
    <row r="627">
      <c r="A627" s="5"/>
      <c r="C627" s="5"/>
      <c r="D627" s="5"/>
      <c r="E627" s="5"/>
      <c r="F627" s="5"/>
    </row>
    <row r="628">
      <c r="A628" s="5"/>
      <c r="C628" s="5"/>
      <c r="D628" s="5"/>
      <c r="E628" s="5"/>
      <c r="F628" s="5"/>
    </row>
    <row r="629">
      <c r="A629" s="5"/>
      <c r="C629" s="5"/>
      <c r="D629" s="5"/>
      <c r="E629" s="5"/>
      <c r="F629" s="5"/>
    </row>
    <row r="630">
      <c r="A630" s="5"/>
      <c r="C630" s="5"/>
      <c r="D630" s="5"/>
      <c r="E630" s="5"/>
      <c r="F630" s="5"/>
    </row>
    <row r="631">
      <c r="A631" s="5"/>
      <c r="C631" s="5"/>
      <c r="D631" s="5"/>
      <c r="E631" s="5"/>
      <c r="F631" s="5"/>
    </row>
    <row r="632">
      <c r="A632" s="5"/>
      <c r="C632" s="5"/>
      <c r="D632" s="5"/>
      <c r="E632" s="5"/>
      <c r="F632" s="5"/>
    </row>
    <row r="633">
      <c r="A633" s="5"/>
      <c r="C633" s="5"/>
      <c r="D633" s="5"/>
      <c r="E633" s="5"/>
      <c r="F633" s="5"/>
    </row>
    <row r="634">
      <c r="A634" s="5"/>
      <c r="C634" s="5"/>
      <c r="D634" s="5"/>
      <c r="E634" s="5"/>
      <c r="F634" s="5"/>
    </row>
    <row r="635">
      <c r="A635" s="5"/>
      <c r="C635" s="5"/>
      <c r="D635" s="5"/>
      <c r="E635" s="5"/>
      <c r="F635" s="5"/>
    </row>
    <row r="636">
      <c r="A636" s="5"/>
      <c r="C636" s="5"/>
      <c r="D636" s="5"/>
      <c r="E636" s="5"/>
      <c r="F636" s="5"/>
    </row>
    <row r="637">
      <c r="A637" s="5"/>
      <c r="C637" s="5"/>
      <c r="D637" s="5"/>
      <c r="E637" s="5"/>
      <c r="F637" s="5"/>
    </row>
    <row r="638">
      <c r="A638" s="5"/>
      <c r="C638" s="5"/>
      <c r="D638" s="5"/>
      <c r="E638" s="5"/>
      <c r="F638" s="5"/>
    </row>
    <row r="639">
      <c r="A639" s="5"/>
      <c r="C639" s="5"/>
      <c r="D639" s="5"/>
      <c r="E639" s="5"/>
      <c r="F639" s="5"/>
    </row>
    <row r="640">
      <c r="A640" s="5"/>
      <c r="C640" s="5"/>
      <c r="D640" s="5"/>
      <c r="E640" s="5"/>
      <c r="F640" s="5"/>
    </row>
    <row r="641">
      <c r="A641" s="5"/>
      <c r="C641" s="5"/>
      <c r="D641" s="5"/>
      <c r="E641" s="5"/>
      <c r="F641" s="5"/>
    </row>
    <row r="642">
      <c r="A642" s="5"/>
      <c r="C642" s="5"/>
      <c r="D642" s="5"/>
      <c r="E642" s="5"/>
      <c r="F642" s="5"/>
    </row>
    <row r="643">
      <c r="A643" s="5"/>
      <c r="C643" s="5"/>
      <c r="D643" s="5"/>
      <c r="E643" s="5"/>
      <c r="F643" s="5"/>
    </row>
    <row r="644">
      <c r="A644" s="5"/>
      <c r="C644" s="5"/>
      <c r="D644" s="5"/>
      <c r="E644" s="5"/>
      <c r="F644" s="5"/>
    </row>
    <row r="645">
      <c r="A645" s="5"/>
      <c r="C645" s="5"/>
      <c r="D645" s="5"/>
      <c r="E645" s="5"/>
      <c r="F645" s="5"/>
    </row>
    <row r="646">
      <c r="A646" s="5"/>
      <c r="C646" s="5"/>
      <c r="D646" s="5"/>
      <c r="E646" s="5"/>
      <c r="F646" s="5"/>
    </row>
    <row r="647">
      <c r="A647" s="5"/>
      <c r="C647" s="5"/>
      <c r="D647" s="5"/>
      <c r="E647" s="5"/>
      <c r="F647" s="5"/>
    </row>
    <row r="648">
      <c r="A648" s="5"/>
      <c r="C648" s="5"/>
      <c r="D648" s="5"/>
      <c r="E648" s="5"/>
      <c r="F648" s="5"/>
    </row>
    <row r="649">
      <c r="A649" s="5"/>
      <c r="C649" s="5"/>
      <c r="D649" s="5"/>
      <c r="E649" s="5"/>
      <c r="F649" s="5"/>
    </row>
    <row r="650">
      <c r="A650" s="5"/>
      <c r="C650" s="5"/>
      <c r="D650" s="5"/>
      <c r="E650" s="5"/>
      <c r="F650" s="5"/>
    </row>
    <row r="651">
      <c r="A651" s="5"/>
      <c r="C651" s="5"/>
      <c r="D651" s="5"/>
      <c r="E651" s="5"/>
      <c r="F651" s="5"/>
    </row>
    <row r="652">
      <c r="A652" s="5"/>
      <c r="C652" s="5"/>
      <c r="D652" s="5"/>
      <c r="E652" s="5"/>
      <c r="F652" s="5"/>
    </row>
    <row r="653">
      <c r="A653" s="5"/>
      <c r="C653" s="5"/>
      <c r="D653" s="5"/>
      <c r="E653" s="5"/>
      <c r="F653" s="5"/>
    </row>
    <row r="654">
      <c r="A654" s="5"/>
      <c r="C654" s="5"/>
      <c r="D654" s="5"/>
      <c r="E654" s="5"/>
      <c r="F654" s="5"/>
    </row>
    <row r="655">
      <c r="A655" s="5"/>
      <c r="C655" s="5"/>
      <c r="D655" s="5"/>
      <c r="E655" s="5"/>
      <c r="F655" s="5"/>
    </row>
    <row r="656">
      <c r="A656" s="5"/>
      <c r="C656" s="5"/>
      <c r="D656" s="5"/>
      <c r="E656" s="5"/>
      <c r="F656" s="5"/>
    </row>
    <row r="657">
      <c r="A657" s="5"/>
      <c r="C657" s="5"/>
      <c r="D657" s="5"/>
      <c r="E657" s="5"/>
      <c r="F657" s="5"/>
    </row>
    <row r="658">
      <c r="A658" s="5"/>
      <c r="C658" s="5"/>
      <c r="D658" s="5"/>
      <c r="E658" s="5"/>
      <c r="F658" s="5"/>
    </row>
    <row r="659">
      <c r="A659" s="5"/>
      <c r="C659" s="5"/>
      <c r="D659" s="5"/>
      <c r="E659" s="5"/>
      <c r="F659" s="5"/>
    </row>
    <row r="660">
      <c r="A660" s="5"/>
      <c r="C660" s="5"/>
      <c r="D660" s="5"/>
      <c r="E660" s="5"/>
      <c r="F660" s="5"/>
    </row>
    <row r="661">
      <c r="A661" s="5"/>
      <c r="C661" s="5"/>
      <c r="D661" s="5"/>
      <c r="E661" s="5"/>
      <c r="F661" s="5"/>
    </row>
    <row r="662">
      <c r="A662" s="5"/>
      <c r="C662" s="5"/>
      <c r="D662" s="5"/>
      <c r="E662" s="5"/>
      <c r="F662" s="5"/>
    </row>
    <row r="663">
      <c r="A663" s="5"/>
      <c r="C663" s="5"/>
      <c r="D663" s="5"/>
      <c r="E663" s="5"/>
      <c r="F663" s="5"/>
    </row>
    <row r="664">
      <c r="A664" s="5"/>
      <c r="C664" s="5"/>
      <c r="D664" s="5"/>
      <c r="E664" s="5"/>
      <c r="F664" s="5"/>
    </row>
    <row r="665">
      <c r="A665" s="5"/>
      <c r="C665" s="5"/>
      <c r="D665" s="5"/>
      <c r="E665" s="5"/>
      <c r="F665" s="5"/>
    </row>
    <row r="666">
      <c r="A666" s="5"/>
      <c r="C666" s="5"/>
      <c r="D666" s="5"/>
      <c r="E666" s="5"/>
      <c r="F666" s="5"/>
    </row>
    <row r="667">
      <c r="A667" s="5"/>
      <c r="C667" s="5"/>
      <c r="D667" s="5"/>
      <c r="E667" s="5"/>
      <c r="F667" s="5"/>
    </row>
    <row r="668">
      <c r="A668" s="5"/>
      <c r="C668" s="5"/>
      <c r="D668" s="5"/>
      <c r="E668" s="5"/>
      <c r="F668" s="5"/>
    </row>
    <row r="669">
      <c r="A669" s="5"/>
      <c r="C669" s="5"/>
      <c r="D669" s="5"/>
      <c r="E669" s="5"/>
      <c r="F669" s="5"/>
    </row>
    <row r="670">
      <c r="A670" s="5"/>
      <c r="C670" s="5"/>
      <c r="D670" s="5"/>
      <c r="E670" s="5"/>
      <c r="F670" s="5"/>
    </row>
    <row r="671">
      <c r="A671" s="5"/>
      <c r="C671" s="5"/>
      <c r="D671" s="5"/>
      <c r="E671" s="5"/>
      <c r="F671" s="5"/>
    </row>
    <row r="672">
      <c r="A672" s="5"/>
      <c r="C672" s="5"/>
      <c r="D672" s="5"/>
      <c r="E672" s="5"/>
      <c r="F672" s="5"/>
    </row>
    <row r="673">
      <c r="A673" s="5"/>
      <c r="C673" s="5"/>
      <c r="D673" s="5"/>
      <c r="E673" s="5"/>
      <c r="F673" s="5"/>
    </row>
    <row r="674">
      <c r="A674" s="5"/>
      <c r="C674" s="5"/>
      <c r="D674" s="5"/>
      <c r="E674" s="5"/>
      <c r="F674" s="5"/>
    </row>
    <row r="675">
      <c r="A675" s="5"/>
      <c r="C675" s="5"/>
      <c r="D675" s="5"/>
      <c r="E675" s="5"/>
      <c r="F675" s="5"/>
    </row>
    <row r="676">
      <c r="A676" s="5"/>
      <c r="C676" s="5"/>
      <c r="D676" s="5"/>
      <c r="E676" s="5"/>
      <c r="F676" s="5"/>
    </row>
    <row r="677">
      <c r="A677" s="5"/>
      <c r="C677" s="5"/>
      <c r="D677" s="5"/>
      <c r="E677" s="5"/>
      <c r="F677" s="5"/>
    </row>
    <row r="678">
      <c r="A678" s="5"/>
      <c r="C678" s="5"/>
      <c r="D678" s="5"/>
      <c r="E678" s="5"/>
      <c r="F678" s="5"/>
    </row>
    <row r="679">
      <c r="A679" s="5"/>
      <c r="C679" s="5"/>
      <c r="D679" s="5"/>
      <c r="E679" s="5"/>
      <c r="F679" s="5"/>
    </row>
    <row r="680">
      <c r="A680" s="5"/>
      <c r="C680" s="5"/>
      <c r="D680" s="5"/>
      <c r="E680" s="5"/>
      <c r="F680" s="5"/>
    </row>
    <row r="681">
      <c r="A681" s="5"/>
      <c r="C681" s="5"/>
      <c r="D681" s="5"/>
      <c r="E681" s="5"/>
      <c r="F681" s="5"/>
    </row>
    <row r="682">
      <c r="A682" s="5"/>
      <c r="C682" s="5"/>
      <c r="D682" s="5"/>
      <c r="E682" s="5"/>
      <c r="F682" s="5"/>
    </row>
    <row r="683">
      <c r="A683" s="5"/>
      <c r="C683" s="5"/>
      <c r="D683" s="5"/>
      <c r="E683" s="5"/>
      <c r="F683" s="5"/>
    </row>
    <row r="684">
      <c r="A684" s="5"/>
      <c r="C684" s="5"/>
      <c r="D684" s="5"/>
      <c r="E684" s="5"/>
      <c r="F684" s="5"/>
    </row>
    <row r="685">
      <c r="A685" s="5"/>
      <c r="C685" s="5"/>
      <c r="D685" s="5"/>
      <c r="E685" s="5"/>
      <c r="F685" s="5"/>
    </row>
    <row r="686">
      <c r="A686" s="5"/>
      <c r="C686" s="5"/>
      <c r="D686" s="5"/>
      <c r="E686" s="5"/>
      <c r="F686" s="5"/>
    </row>
    <row r="687">
      <c r="A687" s="5"/>
      <c r="C687" s="5"/>
      <c r="D687" s="5"/>
      <c r="E687" s="5"/>
      <c r="F687" s="5"/>
    </row>
    <row r="688">
      <c r="A688" s="5"/>
      <c r="C688" s="5"/>
      <c r="D688" s="5"/>
      <c r="E688" s="5"/>
      <c r="F688" s="5"/>
    </row>
    <row r="689">
      <c r="A689" s="5"/>
      <c r="C689" s="5"/>
      <c r="D689" s="5"/>
      <c r="E689" s="5"/>
      <c r="F689" s="5"/>
    </row>
    <row r="690">
      <c r="A690" s="5"/>
      <c r="C690" s="5"/>
      <c r="D690" s="5"/>
      <c r="E690" s="5"/>
      <c r="F690" s="5"/>
    </row>
    <row r="691">
      <c r="A691" s="5"/>
      <c r="C691" s="5"/>
      <c r="D691" s="5"/>
      <c r="E691" s="5"/>
      <c r="F691" s="5"/>
    </row>
    <row r="692">
      <c r="A692" s="5"/>
      <c r="C692" s="5"/>
      <c r="D692" s="5"/>
      <c r="E692" s="5"/>
      <c r="F692" s="5"/>
    </row>
    <row r="693">
      <c r="A693" s="5"/>
      <c r="C693" s="5"/>
      <c r="D693" s="5"/>
      <c r="E693" s="5"/>
      <c r="F693" s="5"/>
    </row>
    <row r="694">
      <c r="A694" s="5"/>
      <c r="C694" s="5"/>
      <c r="D694" s="5"/>
      <c r="E694" s="5"/>
      <c r="F694" s="5"/>
    </row>
    <row r="695">
      <c r="A695" s="5"/>
      <c r="C695" s="5"/>
      <c r="D695" s="5"/>
      <c r="E695" s="5"/>
      <c r="F695" s="5"/>
    </row>
    <row r="696">
      <c r="A696" s="5"/>
      <c r="C696" s="5"/>
      <c r="D696" s="5"/>
      <c r="E696" s="5"/>
      <c r="F696" s="5"/>
    </row>
    <row r="697">
      <c r="A697" s="5"/>
      <c r="C697" s="5"/>
      <c r="D697" s="5"/>
      <c r="E697" s="5"/>
      <c r="F697" s="5"/>
    </row>
    <row r="698">
      <c r="A698" s="5"/>
      <c r="C698" s="5"/>
      <c r="D698" s="5"/>
      <c r="E698" s="5"/>
      <c r="F698" s="5"/>
    </row>
    <row r="699">
      <c r="A699" s="5"/>
      <c r="C699" s="5"/>
      <c r="D699" s="5"/>
      <c r="E699" s="5"/>
      <c r="F699" s="5"/>
    </row>
    <row r="700">
      <c r="A700" s="5"/>
      <c r="C700" s="5"/>
      <c r="D700" s="5"/>
      <c r="E700" s="5"/>
      <c r="F700" s="5"/>
    </row>
    <row r="701">
      <c r="A701" s="5"/>
      <c r="C701" s="5"/>
      <c r="D701" s="5"/>
      <c r="E701" s="5"/>
      <c r="F701" s="5"/>
    </row>
    <row r="702">
      <c r="A702" s="5"/>
      <c r="C702" s="5"/>
      <c r="D702" s="5"/>
      <c r="E702" s="5"/>
      <c r="F702" s="5"/>
    </row>
  </sheetData>
  <mergeCells count="84"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61:F361"/>
    <mergeCell ref="D362:F362"/>
    <mergeCell ref="D363:F363"/>
    <mergeCell ref="D364:F364"/>
    <mergeCell ref="D365:F365"/>
    <mergeCell ref="D366:F366"/>
    <mergeCell ref="D367:F367"/>
    <mergeCell ref="D354:F354"/>
    <mergeCell ref="D355:F355"/>
    <mergeCell ref="D356:F356"/>
    <mergeCell ref="D357:F357"/>
    <mergeCell ref="D358:F358"/>
    <mergeCell ref="D359:F359"/>
    <mergeCell ref="D360:F360"/>
    <mergeCell ref="C1:F1"/>
    <mergeCell ref="I1:K1"/>
    <mergeCell ref="L1:M1"/>
    <mergeCell ref="B2:C2"/>
    <mergeCell ref="C3:E3"/>
    <mergeCell ref="F3:M3"/>
    <mergeCell ref="N3:O3"/>
    <mergeCell ref="P83:R83"/>
    <mergeCell ref="P84:Q84"/>
    <mergeCell ref="B85:J85"/>
    <mergeCell ref="P85:Q85"/>
    <mergeCell ref="P86:Q86"/>
    <mergeCell ref="P87:Q87"/>
    <mergeCell ref="B88:E88"/>
    <mergeCell ref="B107:G107"/>
    <mergeCell ref="A125:E125"/>
    <mergeCell ref="B141:C141"/>
    <mergeCell ref="A160:B160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</mergeCells>
  <conditionalFormatting sqref="L5:L79">
    <cfRule type="expression" dxfId="0" priority="1">
      <formula> L5&gt;=18</formula>
    </cfRule>
  </conditionalFormatting>
  <conditionalFormatting sqref="C10 L10 N10">
    <cfRule type="expression" dxfId="1" priority="2">
      <formula>iseven</formula>
    </cfRule>
  </conditionalFormatting>
  <conditionalFormatting sqref="B5:B79">
    <cfRule type="expression" dxfId="0" priority="3">
      <formula>F5=1</formula>
    </cfRule>
  </conditionalFormatting>
  <conditionalFormatting sqref="B5:B79">
    <cfRule type="expression" dxfId="4" priority="4">
      <formula>F5=2</formula>
    </cfRule>
  </conditionalFormatting>
  <conditionalFormatting sqref="B5:B79">
    <cfRule type="expression" dxfId="7" priority="5">
      <formula>F5=3</formula>
    </cfRule>
  </conditionalFormatting>
  <conditionalFormatting sqref="B5:B79">
    <cfRule type="expression" dxfId="3" priority="6">
      <formula>F5=4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9" max="9" width="32.63"/>
  </cols>
  <sheetData>
    <row r="1">
      <c r="A1" s="144" t="s">
        <v>203</v>
      </c>
      <c r="B1" s="21" t="s">
        <v>204</v>
      </c>
      <c r="I1" s="144" t="s">
        <v>203</v>
      </c>
      <c r="O1" s="36" t="s">
        <v>51</v>
      </c>
    </row>
    <row r="2">
      <c r="A2" s="36" t="s">
        <v>146</v>
      </c>
      <c r="B2" s="32">
        <f t="shared" ref="B2:B76" si="1">RAND()</f>
        <v>0.2855255358</v>
      </c>
      <c r="I2" s="36" t="s">
        <v>51</v>
      </c>
      <c r="O2" s="36" t="s">
        <v>54</v>
      </c>
    </row>
    <row r="3">
      <c r="A3" s="36" t="s">
        <v>94</v>
      </c>
      <c r="B3" s="32">
        <f t="shared" si="1"/>
        <v>0.8882250687</v>
      </c>
      <c r="I3" s="36" t="s">
        <v>89</v>
      </c>
      <c r="O3" s="36" t="s">
        <v>59</v>
      </c>
    </row>
    <row r="4">
      <c r="A4" s="36" t="s">
        <v>73</v>
      </c>
      <c r="B4" s="32">
        <f t="shared" si="1"/>
        <v>0.5149570151</v>
      </c>
      <c r="I4" s="36" t="s">
        <v>104</v>
      </c>
      <c r="O4" s="36" t="s">
        <v>64</v>
      </c>
    </row>
    <row r="5">
      <c r="A5" s="36" t="s">
        <v>95</v>
      </c>
      <c r="B5" s="32">
        <f t="shared" si="1"/>
        <v>0.1510675221</v>
      </c>
      <c r="I5" s="36" t="s">
        <v>114</v>
      </c>
      <c r="O5" s="36" t="s">
        <v>70</v>
      </c>
    </row>
    <row r="6">
      <c r="A6" s="36" t="s">
        <v>125</v>
      </c>
      <c r="B6" s="32">
        <f t="shared" si="1"/>
        <v>0.3451722022</v>
      </c>
      <c r="I6" s="36" t="s">
        <v>63</v>
      </c>
      <c r="O6" s="36" t="s">
        <v>50</v>
      </c>
    </row>
    <row r="7">
      <c r="A7" s="36" t="s">
        <v>117</v>
      </c>
      <c r="B7" s="32">
        <f t="shared" si="1"/>
        <v>0.29267259</v>
      </c>
      <c r="I7" s="36" t="s">
        <v>68</v>
      </c>
      <c r="O7" s="36" t="s">
        <v>76</v>
      </c>
    </row>
    <row r="8">
      <c r="A8" s="36" t="s">
        <v>152</v>
      </c>
      <c r="B8" s="32">
        <f t="shared" si="1"/>
        <v>0.8152697638</v>
      </c>
      <c r="I8" s="36" t="s">
        <v>94</v>
      </c>
      <c r="O8" s="36" t="s">
        <v>78</v>
      </c>
    </row>
    <row r="9">
      <c r="A9" s="36" t="s">
        <v>142</v>
      </c>
      <c r="B9" s="32">
        <f t="shared" si="1"/>
        <v>0.1142900074</v>
      </c>
      <c r="I9" s="36" t="s">
        <v>92</v>
      </c>
      <c r="O9" s="36" t="s">
        <v>87</v>
      </c>
    </row>
    <row r="10">
      <c r="A10" s="36" t="s">
        <v>98</v>
      </c>
      <c r="B10" s="32">
        <f t="shared" si="1"/>
        <v>0.2792207029</v>
      </c>
      <c r="I10" s="36" t="s">
        <v>112</v>
      </c>
      <c r="O10" s="36" t="s">
        <v>90</v>
      </c>
    </row>
    <row r="11">
      <c r="A11" s="36" t="s">
        <v>78</v>
      </c>
      <c r="B11" s="32">
        <f t="shared" si="1"/>
        <v>0.5520286583</v>
      </c>
      <c r="I11" s="36" t="s">
        <v>80</v>
      </c>
      <c r="O11" s="36" t="s">
        <v>98</v>
      </c>
    </row>
    <row r="12">
      <c r="A12" s="36" t="s">
        <v>148</v>
      </c>
      <c r="B12" s="32">
        <f t="shared" si="1"/>
        <v>0.1654378615</v>
      </c>
      <c r="I12" s="36" t="s">
        <v>113</v>
      </c>
      <c r="O12" s="36" t="s">
        <v>100</v>
      </c>
    </row>
    <row r="13">
      <c r="A13" s="36" t="s">
        <v>96</v>
      </c>
      <c r="B13" s="32">
        <f t="shared" si="1"/>
        <v>0.9583960341</v>
      </c>
      <c r="I13" s="36" t="s">
        <v>103</v>
      </c>
      <c r="O13" s="36" t="s">
        <v>101</v>
      </c>
    </row>
    <row r="14">
      <c r="A14" s="36" t="s">
        <v>124</v>
      </c>
      <c r="B14" s="32">
        <f t="shared" si="1"/>
        <v>0.3553495916</v>
      </c>
      <c r="I14" s="36" t="s">
        <v>117</v>
      </c>
      <c r="O14" s="36" t="s">
        <v>109</v>
      </c>
    </row>
    <row r="15">
      <c r="A15" s="36" t="s">
        <v>116</v>
      </c>
      <c r="B15" s="32">
        <f t="shared" si="1"/>
        <v>0.9997465733</v>
      </c>
      <c r="I15" s="36" t="s">
        <v>77</v>
      </c>
      <c r="O15" s="36" t="s">
        <v>110</v>
      </c>
    </row>
    <row r="16">
      <c r="A16" s="36" t="s">
        <v>153</v>
      </c>
      <c r="B16" s="32">
        <f t="shared" si="1"/>
        <v>0.6783550826</v>
      </c>
      <c r="I16" s="36" t="s">
        <v>96</v>
      </c>
      <c r="O16" s="36" t="s">
        <v>89</v>
      </c>
    </row>
    <row r="17">
      <c r="A17" s="36" t="s">
        <v>54</v>
      </c>
      <c r="B17" s="32">
        <f t="shared" si="1"/>
        <v>0.1784923489</v>
      </c>
      <c r="I17" s="36" t="s">
        <v>115</v>
      </c>
      <c r="O17" s="36" t="s">
        <v>94</v>
      </c>
    </row>
    <row r="18">
      <c r="A18" s="36" t="s">
        <v>105</v>
      </c>
      <c r="B18" s="32">
        <f t="shared" si="1"/>
        <v>0.6169308333</v>
      </c>
      <c r="I18" s="36" t="s">
        <v>91</v>
      </c>
      <c r="O18" s="36" t="s">
        <v>97</v>
      </c>
    </row>
    <row r="19">
      <c r="A19" s="36" t="s">
        <v>132</v>
      </c>
      <c r="B19" s="32">
        <f t="shared" si="1"/>
        <v>0.3778337875</v>
      </c>
      <c r="I19" s="36" t="s">
        <v>135</v>
      </c>
      <c r="O19" s="36" t="s">
        <v>114</v>
      </c>
    </row>
    <row r="20">
      <c r="A20" s="36" t="s">
        <v>118</v>
      </c>
      <c r="B20" s="32">
        <f t="shared" si="1"/>
        <v>0.7463423023</v>
      </c>
      <c r="I20" s="36" t="s">
        <v>139</v>
      </c>
      <c r="O20" s="36" t="s">
        <v>116</v>
      </c>
    </row>
    <row r="21">
      <c r="A21" s="36" t="s">
        <v>107</v>
      </c>
      <c r="B21" s="32">
        <f t="shared" si="1"/>
        <v>0.5973255728</v>
      </c>
      <c r="I21" s="36" t="s">
        <v>108</v>
      </c>
      <c r="O21" s="36" t="s">
        <v>93</v>
      </c>
    </row>
    <row r="22">
      <c r="A22" s="36" t="s">
        <v>51</v>
      </c>
      <c r="B22" s="32">
        <f t="shared" si="1"/>
        <v>0.9688942634</v>
      </c>
      <c r="I22" s="36" t="s">
        <v>99</v>
      </c>
      <c r="O22" s="36" t="s">
        <v>92</v>
      </c>
    </row>
    <row r="23">
      <c r="A23" s="36" t="s">
        <v>140</v>
      </c>
      <c r="B23" s="32">
        <f t="shared" si="1"/>
        <v>0.1031233403</v>
      </c>
      <c r="I23" s="36" t="s">
        <v>97</v>
      </c>
      <c r="O23" s="36" t="s">
        <v>96</v>
      </c>
    </row>
    <row r="24">
      <c r="A24" s="36" t="s">
        <v>137</v>
      </c>
      <c r="B24" s="32">
        <f t="shared" si="1"/>
        <v>0.5915644825</v>
      </c>
      <c r="I24" s="36" t="s">
        <v>110</v>
      </c>
      <c r="O24" s="36" t="s">
        <v>117</v>
      </c>
    </row>
    <row r="25">
      <c r="A25" s="36" t="s">
        <v>113</v>
      </c>
      <c r="B25" s="32">
        <f t="shared" si="1"/>
        <v>0.6637062367</v>
      </c>
      <c r="I25" s="36" t="s">
        <v>64</v>
      </c>
      <c r="O25" s="36" t="s">
        <v>118</v>
      </c>
    </row>
    <row r="26">
      <c r="A26" s="36" t="s">
        <v>120</v>
      </c>
      <c r="B26" s="32">
        <f t="shared" si="1"/>
        <v>0.4149640925</v>
      </c>
      <c r="I26" s="36" t="s">
        <v>73</v>
      </c>
      <c r="O26" s="36" t="s">
        <v>124</v>
      </c>
    </row>
    <row r="27">
      <c r="A27" s="36" t="s">
        <v>50</v>
      </c>
      <c r="B27" s="32">
        <f t="shared" si="1"/>
        <v>0.93980736</v>
      </c>
      <c r="I27" s="36" t="s">
        <v>129</v>
      </c>
      <c r="O27" s="36" t="s">
        <v>125</v>
      </c>
    </row>
    <row r="28">
      <c r="A28" s="36" t="s">
        <v>106</v>
      </c>
      <c r="B28" s="32">
        <f t="shared" si="1"/>
        <v>0.5057373808</v>
      </c>
      <c r="I28" s="36" t="s">
        <v>140</v>
      </c>
      <c r="O28" s="36" t="s">
        <v>111</v>
      </c>
    </row>
    <row r="29">
      <c r="A29" s="36" t="s">
        <v>76</v>
      </c>
      <c r="B29" s="32">
        <f t="shared" si="1"/>
        <v>0.7089069932</v>
      </c>
      <c r="I29" s="36" t="s">
        <v>131</v>
      </c>
      <c r="O29" s="36" t="s">
        <v>128</v>
      </c>
    </row>
    <row r="30">
      <c r="A30" s="36" t="s">
        <v>127</v>
      </c>
      <c r="B30" s="32">
        <f t="shared" si="1"/>
        <v>0.2967615107</v>
      </c>
      <c r="I30" s="36" t="s">
        <v>59</v>
      </c>
      <c r="O30" s="36" t="s">
        <v>129</v>
      </c>
    </row>
    <row r="31">
      <c r="A31" s="36" t="s">
        <v>128</v>
      </c>
      <c r="B31" s="32">
        <f t="shared" si="1"/>
        <v>0.6457685879</v>
      </c>
      <c r="I31" s="36" t="s">
        <v>109</v>
      </c>
      <c r="O31" s="36" t="s">
        <v>103</v>
      </c>
    </row>
    <row r="32">
      <c r="A32" s="36" t="s">
        <v>108</v>
      </c>
      <c r="B32" s="32">
        <f t="shared" si="1"/>
        <v>0.260966745</v>
      </c>
      <c r="I32" s="36" t="s">
        <v>93</v>
      </c>
      <c r="O32" s="36" t="s">
        <v>131</v>
      </c>
    </row>
    <row r="33">
      <c r="A33" s="36" t="s">
        <v>97</v>
      </c>
      <c r="B33" s="32">
        <f t="shared" si="1"/>
        <v>0.2700747755</v>
      </c>
      <c r="I33" s="36" t="s">
        <v>118</v>
      </c>
      <c r="O33" s="36" t="s">
        <v>132</v>
      </c>
    </row>
    <row r="34">
      <c r="A34" s="36" t="s">
        <v>90</v>
      </c>
      <c r="B34" s="32">
        <f t="shared" si="1"/>
        <v>0.1245260799</v>
      </c>
      <c r="I34" s="36" t="s">
        <v>101</v>
      </c>
      <c r="O34" s="36" t="s">
        <v>133</v>
      </c>
    </row>
    <row r="35">
      <c r="A35" s="36" t="s">
        <v>104</v>
      </c>
      <c r="B35" s="32">
        <f t="shared" si="1"/>
        <v>0.2823153432</v>
      </c>
      <c r="I35" s="36" t="s">
        <v>128</v>
      </c>
      <c r="O35" s="36" t="s">
        <v>134</v>
      </c>
    </row>
    <row r="36">
      <c r="A36" s="36" t="s">
        <v>112</v>
      </c>
      <c r="B36" s="32">
        <f t="shared" si="1"/>
        <v>0.4909440919</v>
      </c>
      <c r="I36" s="36" t="s">
        <v>107</v>
      </c>
      <c r="O36" s="36" t="s">
        <v>104</v>
      </c>
    </row>
    <row r="37">
      <c r="A37" s="36" t="s">
        <v>110</v>
      </c>
      <c r="B37" s="32">
        <f t="shared" si="1"/>
        <v>0.4148913061</v>
      </c>
      <c r="I37" s="36" t="s">
        <v>90</v>
      </c>
      <c r="O37" s="36" t="s">
        <v>105</v>
      </c>
    </row>
    <row r="38">
      <c r="A38" s="36" t="s">
        <v>64</v>
      </c>
      <c r="B38" s="32">
        <f t="shared" si="1"/>
        <v>0.7347155239</v>
      </c>
      <c r="I38" s="36" t="s">
        <v>143</v>
      </c>
      <c r="O38" s="36" t="s">
        <v>136</v>
      </c>
    </row>
    <row r="39">
      <c r="A39" s="36" t="s">
        <v>139</v>
      </c>
      <c r="B39" s="32">
        <f t="shared" si="1"/>
        <v>0.6552460205</v>
      </c>
      <c r="I39" s="36" t="s">
        <v>134</v>
      </c>
      <c r="O39" s="36" t="s">
        <v>137</v>
      </c>
    </row>
    <row r="40">
      <c r="A40" s="36" t="s">
        <v>151</v>
      </c>
      <c r="B40" s="32">
        <f t="shared" si="1"/>
        <v>0.0653573555</v>
      </c>
      <c r="I40" s="36" t="s">
        <v>125</v>
      </c>
      <c r="O40" s="36" t="s">
        <v>120</v>
      </c>
    </row>
    <row r="41">
      <c r="A41" s="36" t="s">
        <v>144</v>
      </c>
      <c r="B41" s="32">
        <f t="shared" si="1"/>
        <v>0.9831617102</v>
      </c>
      <c r="I41" s="36" t="s">
        <v>141</v>
      </c>
      <c r="O41" s="36" t="s">
        <v>95</v>
      </c>
    </row>
    <row r="42">
      <c r="A42" s="36" t="s">
        <v>135</v>
      </c>
      <c r="B42" s="32">
        <f t="shared" si="1"/>
        <v>0.06150197633</v>
      </c>
      <c r="I42" s="36" t="s">
        <v>78</v>
      </c>
      <c r="O42" s="36" t="s">
        <v>138</v>
      </c>
    </row>
    <row r="43">
      <c r="A43" s="36" t="s">
        <v>101</v>
      </c>
      <c r="B43" s="32">
        <f t="shared" si="1"/>
        <v>0.7897395234</v>
      </c>
      <c r="I43" s="36" t="s">
        <v>70</v>
      </c>
      <c r="O43" s="36" t="s">
        <v>91</v>
      </c>
    </row>
    <row r="44">
      <c r="A44" s="36" t="s">
        <v>91</v>
      </c>
      <c r="B44" s="32">
        <f t="shared" si="1"/>
        <v>0.6102564039</v>
      </c>
      <c r="I44" s="36" t="s">
        <v>95</v>
      </c>
      <c r="O44" s="36" t="s">
        <v>99</v>
      </c>
    </row>
    <row r="45">
      <c r="A45" s="36" t="s">
        <v>145</v>
      </c>
      <c r="B45" s="32">
        <f t="shared" si="1"/>
        <v>0.7987068875</v>
      </c>
      <c r="I45" s="36" t="s">
        <v>145</v>
      </c>
      <c r="O45" s="36" t="s">
        <v>139</v>
      </c>
    </row>
    <row r="46">
      <c r="A46" s="36" t="s">
        <v>63</v>
      </c>
      <c r="B46" s="32">
        <f t="shared" si="1"/>
        <v>0.7671901547</v>
      </c>
      <c r="I46" s="36" t="s">
        <v>116</v>
      </c>
      <c r="O46" s="36" t="s">
        <v>140</v>
      </c>
    </row>
    <row r="47">
      <c r="A47" s="36" t="s">
        <v>77</v>
      </c>
      <c r="B47" s="32">
        <f t="shared" si="1"/>
        <v>0.4323880854</v>
      </c>
      <c r="I47" s="36" t="s">
        <v>147</v>
      </c>
      <c r="O47" s="36" t="s">
        <v>113</v>
      </c>
    </row>
    <row r="48">
      <c r="A48" s="36" t="s">
        <v>114</v>
      </c>
      <c r="B48" s="32">
        <f t="shared" si="1"/>
        <v>0.3632472002</v>
      </c>
      <c r="I48" s="36" t="s">
        <v>152</v>
      </c>
      <c r="O48" s="36" t="s">
        <v>80</v>
      </c>
    </row>
    <row r="49">
      <c r="A49" s="36" t="s">
        <v>130</v>
      </c>
      <c r="B49" s="32">
        <f t="shared" si="1"/>
        <v>0.1988798282</v>
      </c>
      <c r="I49" s="36" t="s">
        <v>146</v>
      </c>
      <c r="O49" s="36" t="s">
        <v>63</v>
      </c>
    </row>
    <row r="50">
      <c r="A50" s="36" t="s">
        <v>138</v>
      </c>
      <c r="B50" s="32">
        <f t="shared" si="1"/>
        <v>0.3408410114</v>
      </c>
      <c r="I50" s="36" t="s">
        <v>138</v>
      </c>
      <c r="O50" s="36" t="s">
        <v>112</v>
      </c>
    </row>
    <row r="51">
      <c r="A51" s="36" t="s">
        <v>131</v>
      </c>
      <c r="B51" s="32">
        <f t="shared" si="1"/>
        <v>0.3207597218</v>
      </c>
      <c r="I51" s="36" t="s">
        <v>130</v>
      </c>
      <c r="O51" s="36" t="s">
        <v>141</v>
      </c>
    </row>
    <row r="52">
      <c r="A52" s="36" t="s">
        <v>133</v>
      </c>
      <c r="B52" s="32">
        <f t="shared" si="1"/>
        <v>0.4947700809</v>
      </c>
      <c r="I52" s="36" t="s">
        <v>151</v>
      </c>
      <c r="O52" s="36" t="s">
        <v>143</v>
      </c>
    </row>
    <row r="53">
      <c r="A53" s="36" t="s">
        <v>149</v>
      </c>
      <c r="B53" s="32">
        <f t="shared" si="1"/>
        <v>0.6792219911</v>
      </c>
      <c r="I53" s="36" t="s">
        <v>54</v>
      </c>
      <c r="O53" s="36" t="s">
        <v>144</v>
      </c>
    </row>
    <row r="54">
      <c r="A54" s="36" t="s">
        <v>100</v>
      </c>
      <c r="B54" s="32">
        <f t="shared" si="1"/>
        <v>0.04489218949</v>
      </c>
      <c r="I54" s="36" t="s">
        <v>153</v>
      </c>
      <c r="O54" s="36" t="s">
        <v>106</v>
      </c>
    </row>
    <row r="55">
      <c r="A55" s="36" t="s">
        <v>99</v>
      </c>
      <c r="B55" s="32">
        <f t="shared" si="1"/>
        <v>0.3641973353</v>
      </c>
      <c r="I55" s="36" t="s">
        <v>106</v>
      </c>
      <c r="O55" s="36" t="s">
        <v>142</v>
      </c>
    </row>
    <row r="56">
      <c r="A56" s="36" t="s">
        <v>150</v>
      </c>
      <c r="B56" s="32">
        <f t="shared" si="1"/>
        <v>0.8753518211</v>
      </c>
      <c r="I56" s="36" t="s">
        <v>149</v>
      </c>
      <c r="O56" s="36" t="s">
        <v>127</v>
      </c>
    </row>
    <row r="57">
      <c r="A57" s="36" t="s">
        <v>111</v>
      </c>
      <c r="B57" s="32">
        <f t="shared" si="1"/>
        <v>0.05722076474</v>
      </c>
      <c r="I57" s="36" t="s">
        <v>150</v>
      </c>
      <c r="O57" s="36" t="s">
        <v>68</v>
      </c>
    </row>
    <row r="58">
      <c r="A58" s="36" t="s">
        <v>134</v>
      </c>
      <c r="B58" s="32">
        <f t="shared" si="1"/>
        <v>0.266324032</v>
      </c>
      <c r="I58" s="36" t="s">
        <v>148</v>
      </c>
      <c r="O58" s="36" t="s">
        <v>145</v>
      </c>
    </row>
    <row r="59">
      <c r="A59" s="36" t="s">
        <v>126</v>
      </c>
      <c r="B59" s="32">
        <f t="shared" si="1"/>
        <v>0.9391323042</v>
      </c>
      <c r="I59" s="36" t="s">
        <v>120</v>
      </c>
      <c r="O59" s="36" t="s">
        <v>146</v>
      </c>
    </row>
    <row r="60">
      <c r="A60" s="36" t="s">
        <v>141</v>
      </c>
      <c r="B60" s="32">
        <f t="shared" si="1"/>
        <v>0.02360252393</v>
      </c>
      <c r="I60" s="36" t="s">
        <v>154</v>
      </c>
      <c r="O60" s="36" t="s">
        <v>148</v>
      </c>
    </row>
    <row r="61">
      <c r="A61" s="36" t="s">
        <v>129</v>
      </c>
      <c r="B61" s="32">
        <f t="shared" si="1"/>
        <v>0.3218245193</v>
      </c>
      <c r="I61" s="36" t="s">
        <v>133</v>
      </c>
      <c r="O61" s="36" t="s">
        <v>149</v>
      </c>
    </row>
    <row r="62">
      <c r="A62" s="36" t="s">
        <v>147</v>
      </c>
      <c r="B62" s="32">
        <f t="shared" si="1"/>
        <v>0.4119286141</v>
      </c>
      <c r="I62" s="36" t="s">
        <v>137</v>
      </c>
      <c r="O62" s="36" t="s">
        <v>135</v>
      </c>
    </row>
    <row r="63">
      <c r="A63" s="36" t="s">
        <v>115</v>
      </c>
      <c r="B63" s="32">
        <f t="shared" si="1"/>
        <v>0.2180101801</v>
      </c>
      <c r="I63" s="36" t="s">
        <v>105</v>
      </c>
      <c r="O63" s="36" t="s">
        <v>107</v>
      </c>
    </row>
    <row r="64">
      <c r="A64" s="36" t="s">
        <v>59</v>
      </c>
      <c r="B64" s="32">
        <f t="shared" si="1"/>
        <v>0.630862319</v>
      </c>
      <c r="I64" s="36" t="s">
        <v>124</v>
      </c>
      <c r="O64" s="36" t="s">
        <v>77</v>
      </c>
    </row>
    <row r="65">
      <c r="A65" s="36" t="s">
        <v>92</v>
      </c>
      <c r="B65" s="32">
        <f t="shared" si="1"/>
        <v>0.254317244</v>
      </c>
      <c r="I65" s="36" t="s">
        <v>87</v>
      </c>
      <c r="O65" s="36" t="s">
        <v>150</v>
      </c>
    </row>
    <row r="66">
      <c r="A66" s="36" t="s">
        <v>103</v>
      </c>
      <c r="B66" s="32">
        <f t="shared" si="1"/>
        <v>0.4764957319</v>
      </c>
      <c r="I66" s="36" t="s">
        <v>127</v>
      </c>
      <c r="O66" s="36" t="s">
        <v>108</v>
      </c>
    </row>
    <row r="67">
      <c r="A67" s="36" t="s">
        <v>68</v>
      </c>
      <c r="B67" s="32">
        <f t="shared" si="1"/>
        <v>0.8229969134</v>
      </c>
      <c r="I67" s="36" t="s">
        <v>136</v>
      </c>
      <c r="O67" s="36" t="s">
        <v>115</v>
      </c>
    </row>
    <row r="68">
      <c r="A68" s="36" t="s">
        <v>80</v>
      </c>
      <c r="B68" s="32">
        <f t="shared" si="1"/>
        <v>0.6257850831</v>
      </c>
      <c r="I68" s="36" t="s">
        <v>111</v>
      </c>
      <c r="O68" s="36" t="s">
        <v>73</v>
      </c>
    </row>
    <row r="69">
      <c r="A69" s="36" t="s">
        <v>154</v>
      </c>
      <c r="B69" s="32">
        <f t="shared" si="1"/>
        <v>0.9813496233</v>
      </c>
      <c r="I69" s="36" t="s">
        <v>76</v>
      </c>
      <c r="O69" s="36" t="s">
        <v>151</v>
      </c>
    </row>
    <row r="70">
      <c r="A70" s="36" t="s">
        <v>109</v>
      </c>
      <c r="B70" s="32">
        <f t="shared" si="1"/>
        <v>0.8082391055</v>
      </c>
      <c r="I70" s="36" t="s">
        <v>126</v>
      </c>
      <c r="O70" s="36" t="s">
        <v>153</v>
      </c>
    </row>
    <row r="71">
      <c r="A71" s="36" t="s">
        <v>143</v>
      </c>
      <c r="B71" s="32">
        <f t="shared" si="1"/>
        <v>0.1239540459</v>
      </c>
      <c r="I71" s="36" t="s">
        <v>144</v>
      </c>
      <c r="O71" s="36" t="s">
        <v>154</v>
      </c>
    </row>
    <row r="72">
      <c r="A72" s="36" t="s">
        <v>89</v>
      </c>
      <c r="B72" s="32">
        <f t="shared" si="1"/>
        <v>0.2157792949</v>
      </c>
      <c r="I72" s="36" t="s">
        <v>132</v>
      </c>
      <c r="O72" s="36" t="s">
        <v>152</v>
      </c>
    </row>
    <row r="73">
      <c r="A73" s="36" t="s">
        <v>70</v>
      </c>
      <c r="B73" s="32">
        <f t="shared" si="1"/>
        <v>0.8523691341</v>
      </c>
      <c r="I73" s="36" t="s">
        <v>50</v>
      </c>
      <c r="O73" s="36" t="s">
        <v>126</v>
      </c>
    </row>
    <row r="74">
      <c r="A74" s="36" t="s">
        <v>136</v>
      </c>
      <c r="B74" s="32">
        <f t="shared" si="1"/>
        <v>0.3975426141</v>
      </c>
      <c r="I74" s="36" t="s">
        <v>142</v>
      </c>
      <c r="O74" s="36" t="s">
        <v>147</v>
      </c>
    </row>
    <row r="75">
      <c r="A75" s="36" t="s">
        <v>93</v>
      </c>
      <c r="B75" s="32">
        <f t="shared" si="1"/>
        <v>0.1847418794</v>
      </c>
      <c r="I75" s="36" t="s">
        <v>98</v>
      </c>
      <c r="O75" s="36" t="s">
        <v>130</v>
      </c>
    </row>
    <row r="76">
      <c r="A76" s="36" t="s">
        <v>87</v>
      </c>
      <c r="B76" s="32">
        <f t="shared" si="1"/>
        <v>0.7221090226</v>
      </c>
      <c r="I76" s="36" t="s">
        <v>100</v>
      </c>
    </row>
  </sheetData>
  <conditionalFormatting sqref="A1:A76 I1:I76 O1:O75">
    <cfRule type="expression" dxfId="0" priority="1">
      <formula>E1=1</formula>
    </cfRule>
  </conditionalFormatting>
  <conditionalFormatting sqref="A1:A76 I1:I76 O1:O75">
    <cfRule type="expression" dxfId="4" priority="2">
      <formula>E1=2</formula>
    </cfRule>
  </conditionalFormatting>
  <conditionalFormatting sqref="A1:A76 I1:I76 O1:O75">
    <cfRule type="expression" dxfId="7" priority="3">
      <formula>E1=3</formula>
    </cfRule>
  </conditionalFormatting>
  <conditionalFormatting sqref="A1:A76 I1:I76 O1:O75">
    <cfRule type="expression" dxfId="3" priority="4">
      <formula>E1=4</formula>
    </cfRule>
  </conditionalFormatting>
  <drawing r:id="rId1"/>
</worksheet>
</file>