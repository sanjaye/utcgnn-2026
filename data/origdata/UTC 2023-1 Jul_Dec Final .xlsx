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122323" sheetId="4" r:id="rId8"/>
    <sheet state="visible" name="121623" sheetId="5" r:id="rId9"/>
    <sheet state="visible" name="120923" sheetId="6" r:id="rId10"/>
    <sheet state="visible" name="120223" sheetId="7" r:id="rId11"/>
    <sheet state="visible" name="112523" sheetId="8" r:id="rId12"/>
    <sheet state="visible" name="111123" sheetId="9" r:id="rId13"/>
    <sheet state="visible" name="110423" sheetId="10" r:id="rId14"/>
    <sheet state="visible" name="102823" sheetId="11" r:id="rId15"/>
    <sheet state="visible" name="102123" sheetId="12" r:id="rId16"/>
    <sheet state="visible" name="101423" sheetId="13" r:id="rId17"/>
    <sheet state="visible" name="10723" sheetId="14" r:id="rId18"/>
    <sheet state="visible" name="93023" sheetId="15" r:id="rId19"/>
    <sheet state="visible" name="92323" sheetId="16" r:id="rId20"/>
    <sheet state="visible" name="91623" sheetId="17" r:id="rId21"/>
    <sheet state="visible" name="9923" sheetId="18" r:id="rId22"/>
    <sheet state="visible" name="82623" sheetId="19" r:id="rId23"/>
    <sheet state="visible" name="81923" sheetId="20" r:id="rId24"/>
    <sheet state="visible" name="81223" sheetId="21" r:id="rId25"/>
    <sheet state="visible" name="8523" sheetId="22" r:id="rId26"/>
    <sheet state="visible" name="72923" sheetId="23" r:id="rId27"/>
    <sheet state="visible" name="72223" sheetId="24" r:id="rId28"/>
    <sheet state="visible" name="71523" sheetId="25" r:id="rId29"/>
    <sheet state="visible" name="7823" sheetId="26" r:id="rId30"/>
    <sheet state="visible" name="7123" sheetId="27" r:id="rId31"/>
  </sheets>
  <definedNames/>
  <calcPr/>
</workbook>
</file>

<file path=xl/sharedStrings.xml><?xml version="1.0" encoding="utf-8"?>
<sst xmlns="http://schemas.openxmlformats.org/spreadsheetml/2006/main" count="5543" uniqueCount="129">
  <si>
    <t>Name</t>
  </si>
  <si>
    <t xml:space="preserve">Standings as of </t>
  </si>
  <si>
    <t xml:space="preserve">Court # </t>
  </si>
  <si>
    <t xml:space="preserve">Check in </t>
  </si>
  <si>
    <t>Sl.No</t>
  </si>
  <si>
    <t>Name of the Player</t>
  </si>
  <si>
    <t>Number of Weeks Played</t>
  </si>
  <si>
    <t>Options: 1</t>
  </si>
  <si>
    <t>Games Won</t>
  </si>
  <si>
    <t>Options: 2</t>
  </si>
  <si>
    <t>Options: 3</t>
  </si>
  <si>
    <t>Option 4</t>
  </si>
  <si>
    <t>To Respond</t>
  </si>
  <si>
    <t>Sitouts</t>
  </si>
  <si>
    <t>Sets Won</t>
  </si>
  <si>
    <t>Beginning of week</t>
  </si>
  <si>
    <t>Check In</t>
  </si>
  <si>
    <t>Set 1</t>
  </si>
  <si>
    <t>Set 2</t>
  </si>
  <si>
    <t>Set 3</t>
  </si>
  <si>
    <t>Total Games won</t>
  </si>
  <si>
    <t>Current Week Scores</t>
  </si>
  <si>
    <t>End of week</t>
  </si>
  <si>
    <t>Jan-Jul 2024</t>
  </si>
  <si>
    <t>Ranking</t>
  </si>
  <si>
    <t>Name of Player</t>
  </si>
  <si>
    <t>Check IN</t>
  </si>
  <si>
    <t>Court #</t>
  </si>
  <si>
    <t>Set 0</t>
  </si>
  <si>
    <t>Waiver</t>
  </si>
  <si>
    <t>Fee</t>
  </si>
  <si>
    <t>Sit outs</t>
  </si>
  <si>
    <t>No Shows</t>
  </si>
  <si>
    <t>Absent</t>
  </si>
  <si>
    <t>Peter Cheng</t>
  </si>
  <si>
    <t>Playing</t>
  </si>
  <si>
    <t>Playing-Can Sit</t>
  </si>
  <si>
    <t>X</t>
  </si>
  <si>
    <t>Out/Can Play</t>
  </si>
  <si>
    <t>Out</t>
  </si>
  <si>
    <t>TBD</t>
  </si>
  <si>
    <t>Total</t>
  </si>
  <si>
    <t>Adrian Tay</t>
  </si>
  <si>
    <t>skip court 3</t>
  </si>
  <si>
    <t xml:space="preserve">  N</t>
  </si>
  <si>
    <t>skip court 4</t>
  </si>
  <si>
    <t>Vacations</t>
  </si>
  <si>
    <t>Robert Chang</t>
  </si>
  <si>
    <t>Pulkit Mathur</t>
  </si>
  <si>
    <t>Alejandro Mejia</t>
  </si>
  <si>
    <t>Matthew Huang</t>
  </si>
  <si>
    <t>Lam Bui</t>
  </si>
  <si>
    <t>Pavan Akkimsetty</t>
  </si>
  <si>
    <t>Erik Hoeckmann</t>
  </si>
  <si>
    <t>Peter Homsey</t>
  </si>
  <si>
    <t>Oscar Bonilla</t>
  </si>
  <si>
    <t>Chinna Ponnaganti</t>
  </si>
  <si>
    <t>Joe Luzzi</t>
  </si>
  <si>
    <t>David Shin</t>
  </si>
  <si>
    <t>Lloyd Sagar</t>
  </si>
  <si>
    <t>Ted Shen</t>
  </si>
  <si>
    <t>Jonathan Phan</t>
  </si>
  <si>
    <t>Tony Wong</t>
  </si>
  <si>
    <t>Kingsley Kuo</t>
  </si>
  <si>
    <t>Trinath Goteti</t>
  </si>
  <si>
    <t>Sai Dilip Ponnaganti</t>
  </si>
  <si>
    <t>Sean Chang</t>
  </si>
  <si>
    <t>Anish Kumar</t>
  </si>
  <si>
    <t>Tom Le</t>
  </si>
  <si>
    <t>Christopher Li</t>
  </si>
  <si>
    <t>Rajasekar Ramasamy</t>
  </si>
  <si>
    <t>Susanta Mishra</t>
  </si>
  <si>
    <t>Eric Pan</t>
  </si>
  <si>
    <t>Sanjaye Elayattu</t>
  </si>
  <si>
    <t>Rosie Bonilla</t>
  </si>
  <si>
    <t>Naveen Raj</t>
  </si>
  <si>
    <t>Suleman Alidina</t>
  </si>
  <si>
    <t>Troy Wong</t>
  </si>
  <si>
    <t>Manuel Rivera</t>
  </si>
  <si>
    <t>Mauricio Palacios</t>
  </si>
  <si>
    <t>Derek Fu</t>
  </si>
  <si>
    <t>Sandy Weyant</t>
  </si>
  <si>
    <t>Andrew Chin</t>
  </si>
  <si>
    <t>Paul Sanchez</t>
  </si>
  <si>
    <t>Not Renewing</t>
  </si>
  <si>
    <t xml:space="preserve">Elayaraja Thangaraj </t>
  </si>
  <si>
    <t>Vinot Kumar Nagappan</t>
  </si>
  <si>
    <t xml:space="preserve">Vamsi Lolla </t>
  </si>
  <si>
    <t>James Cole III</t>
  </si>
  <si>
    <t>Nohely Mejia</t>
  </si>
  <si>
    <t>Jimmy Awolesi</t>
  </si>
  <si>
    <t>Balaji Alahari</t>
  </si>
  <si>
    <t>Luis Hsu</t>
  </si>
  <si>
    <t>Pan Lee</t>
  </si>
  <si>
    <t>Lauren Chang</t>
  </si>
  <si>
    <t xml:space="preserve">Santosh Sundaresan </t>
  </si>
  <si>
    <t>Kevin Wang</t>
  </si>
  <si>
    <t>Vilas Janardhanan</t>
  </si>
  <si>
    <t>Piyorasa Li</t>
  </si>
  <si>
    <t xml:space="preserve">Jason Kim </t>
  </si>
  <si>
    <t>Amit Patel</t>
  </si>
  <si>
    <t>Coco Yan</t>
  </si>
  <si>
    <t>Thomas Zou</t>
  </si>
  <si>
    <t>Savay Lieu</t>
  </si>
  <si>
    <t>Mihir Anand</t>
  </si>
  <si>
    <t>Manish Anand</t>
  </si>
  <si>
    <t>Fendi Purwadi</t>
  </si>
  <si>
    <t>Tiffany Yu</t>
  </si>
  <si>
    <t>Jose Ortiz</t>
  </si>
  <si>
    <t>Joyce Zhu</t>
  </si>
  <si>
    <t>Paid</t>
  </si>
  <si>
    <t>To Pay</t>
  </si>
  <si>
    <t xml:space="preserve"> </t>
  </si>
  <si>
    <t>Top Scores</t>
  </si>
  <si>
    <t>Games</t>
  </si>
  <si>
    <t>Sets</t>
  </si>
  <si>
    <t>Jul-Dec</t>
  </si>
  <si>
    <t>Current week scores</t>
  </si>
  <si>
    <t>Cumulative</t>
  </si>
  <si>
    <t>Court # 4 correction</t>
  </si>
  <si>
    <t>Before</t>
  </si>
  <si>
    <t>After</t>
  </si>
  <si>
    <t>In</t>
  </si>
  <si>
    <t>In (s/o)</t>
  </si>
  <si>
    <t>Out (Plan B)</t>
  </si>
  <si>
    <t>Weeks Absent</t>
  </si>
  <si>
    <t xml:space="preserve">Check  in for </t>
  </si>
  <si>
    <t>Bruce Tsurutani</t>
  </si>
  <si>
    <t>Sunny Wang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</si>
</sst>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0;-0;;@"/>
    <numFmt numFmtId="166" formatCode="m/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sz val="14.0"/>
      <color theme="1"/>
      <name val="Arial"/>
      <scheme val="minor"/>
    </font>
    <font>
      <sz val="14.0"/>
      <color theme="1"/>
      <name val="Arial"/>
    </font>
    <font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2" numFmtId="164" xfId="0" applyAlignment="1" applyFill="1" applyFont="1" applyNumberFormat="1">
      <alignment horizontal="center" readingOrder="0"/>
    </xf>
    <xf borderId="1" fillId="3" fontId="1" numFmtId="0" xfId="0" applyAlignment="1" applyBorder="1" applyFill="1" applyFont="1">
      <alignment readingOrder="0"/>
    </xf>
    <xf borderId="0" fillId="2" fontId="3" numFmtId="0" xfId="0" applyAlignment="1" applyFill="1" applyFont="1">
      <alignment horizontal="right" readingOrder="0"/>
    </xf>
    <xf borderId="1" fillId="3" fontId="4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readingOrder="0" shrinkToFit="0" wrapText="1"/>
    </xf>
    <xf borderId="2" fillId="2" fontId="6" numFmtId="0" xfId="0" applyAlignment="1" applyBorder="1" applyFill="1" applyFont="1">
      <alignment horizontal="center" readingOrder="0" shrinkToFit="0" wrapText="1"/>
    </xf>
    <xf borderId="3" fillId="0" fontId="7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4" fontId="2" numFmtId="0" xfId="0" applyAlignment="1" applyBorder="1" applyFill="1" applyFont="1">
      <alignment horizontal="center" readingOrder="0"/>
    </xf>
    <xf borderId="4" fillId="0" fontId="7" numFmtId="0" xfId="0" applyBorder="1" applyFont="1"/>
    <xf borderId="2" fillId="2" fontId="2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1" fillId="5" fontId="8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horizontal="center" readingOrder="0" shrinkToFit="0" wrapText="1"/>
    </xf>
    <xf borderId="1" fillId="6" fontId="8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ill="1" applyFont="1">
      <alignment readingOrder="0"/>
    </xf>
    <xf borderId="1" fillId="7" fontId="1" numFmtId="0" xfId="0" applyBorder="1" applyFill="1" applyFont="1"/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6" fontId="8" numFmtId="165" xfId="0" applyAlignment="1" applyBorder="1" applyFill="1" applyFont="1" applyNumberFormat="1">
      <alignment horizontal="center" readingOrder="0"/>
    </xf>
    <xf borderId="1" fillId="6" fontId="8" numFmtId="3" xfId="0" applyAlignment="1" applyBorder="1" applyFill="1" applyFont="1" applyNumberFormat="1">
      <alignment horizontal="center" readingOrder="0"/>
    </xf>
    <xf borderId="0" fillId="8" fontId="1" numFmtId="0" xfId="0" applyFill="1" applyFont="1"/>
    <xf borderId="1" fillId="5" fontId="8" numFmtId="165" xfId="0" applyAlignment="1" applyBorder="1" applyFill="1" applyFont="1" applyNumberFormat="1">
      <alignment horizontal="center" readingOrder="0"/>
    </xf>
    <xf borderId="1" fillId="4" fontId="8" numFmtId="165" xfId="0" applyAlignment="1" applyBorder="1" applyFill="1" applyFont="1" applyNumberFormat="1">
      <alignment horizontal="center" readingOrder="0"/>
    </xf>
    <xf borderId="1" fillId="2" fontId="8" numFmtId="165" xfId="0" applyAlignment="1" applyBorder="1" applyFill="1" applyFont="1" applyNumberFormat="1">
      <alignment horizontal="center" readingOrder="0"/>
    </xf>
    <xf borderId="1" fillId="6" fontId="8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1" fillId="0" fontId="9" numFmtId="0" xfId="0" applyAlignment="1" applyBorder="1" applyFont="1">
      <alignment readingOrder="0" vertical="bottom"/>
    </xf>
    <xf borderId="1" fillId="9" fontId="8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Font="1"/>
    <xf borderId="5" fillId="0" fontId="9" numFmtId="0" xfId="0" applyAlignment="1" applyBorder="1" applyFont="1">
      <alignment vertical="bottom"/>
    </xf>
    <xf borderId="1" fillId="2" fontId="9" numFmtId="0" xfId="0" applyAlignment="1" applyBorder="1" applyFill="1" applyFont="1">
      <alignment readingOrder="0" vertical="bottom"/>
    </xf>
    <xf borderId="1" fillId="0" fontId="9" numFmtId="165" xfId="0" applyAlignment="1" applyBorder="1" applyFont="1" applyNumberFormat="1">
      <alignment readingOrder="0" vertical="bottom"/>
    </xf>
    <xf borderId="0" fillId="0" fontId="1" numFmtId="0" xfId="0" applyAlignment="1" applyFont="1">
      <alignment horizontal="right"/>
    </xf>
    <xf borderId="1" fillId="0" fontId="9" numFmtId="0" xfId="0" applyBorder="1" applyFont="1"/>
    <xf borderId="1" fillId="0" fontId="9" numFmtId="165" xfId="0" applyAlignment="1" applyBorder="1" applyFont="1" applyNumberFormat="1">
      <alignment horizontal="center"/>
    </xf>
    <xf borderId="1" fillId="0" fontId="9" numFmtId="3" xfId="0" applyAlignment="1" applyBorder="1" applyFont="1" applyNumberFormat="1">
      <alignment horizontal="center"/>
    </xf>
    <xf borderId="1" fillId="0" fontId="9" numFmtId="165" xfId="0" applyBorder="1" applyFont="1" applyNumberFormat="1"/>
    <xf borderId="1" fillId="0" fontId="9" numFmtId="3" xfId="0" applyBorder="1" applyFont="1" applyNumberFormat="1"/>
    <xf borderId="1" fillId="7" fontId="9" numFmtId="0" xfId="0" applyBorder="1" applyFill="1" applyFont="1"/>
    <xf borderId="1" fillId="7" fontId="9" numFmtId="165" xfId="0" applyAlignment="1" applyBorder="1" applyFill="1" applyFont="1" applyNumberFormat="1">
      <alignment horizontal="center"/>
    </xf>
    <xf borderId="1" fillId="7" fontId="9" numFmtId="3" xfId="0" applyAlignment="1" applyBorder="1" applyFill="1" applyFont="1" applyNumberFormat="1">
      <alignment horizontal="center"/>
    </xf>
    <xf borderId="1" fillId="7" fontId="9" numFmtId="165" xfId="0" applyBorder="1" applyFill="1" applyFont="1" applyNumberFormat="1"/>
    <xf borderId="1" fillId="7" fontId="9" numFmtId="3" xfId="0" applyBorder="1" applyFill="1" applyFont="1" applyNumberFormat="1"/>
    <xf borderId="1" fillId="10" fontId="8" numFmtId="0" xfId="0" applyAlignment="1" applyBorder="1" applyFill="1" applyFont="1">
      <alignment horizontal="center" readingOrder="0"/>
    </xf>
    <xf borderId="1" fillId="7" fontId="9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Font="1" applyNumberFormat="1"/>
    <xf borderId="0" fillId="0" fontId="1" numFmtId="3" xfId="0" applyFont="1" applyNumberFormat="1"/>
    <xf borderId="1" fillId="7" fontId="9" numFmtId="165" xfId="0" applyAlignment="1" applyBorder="1" applyFill="1" applyFont="1" applyNumberFormat="1">
      <alignment readingOrder="0"/>
    </xf>
    <xf borderId="2" fillId="2" fontId="2" numFmtId="0" xfId="0" applyAlignment="1" applyBorder="1" applyFill="1" applyFont="1">
      <alignment horizontal="center" readingOrder="0"/>
    </xf>
    <xf borderId="1" fillId="7" fontId="8" numFmtId="0" xfId="0" applyAlignment="1" applyBorder="1" applyFill="1" applyFont="1">
      <alignment horizontal="center" readingOrder="0"/>
    </xf>
    <xf borderId="1" fillId="7" fontId="8" numFmtId="0" xfId="0" applyAlignment="1" applyBorder="1" applyFill="1" applyFont="1">
      <alignment readingOrder="0"/>
    </xf>
    <xf borderId="1" fillId="7" fontId="8" numFmtId="0" xfId="0" applyAlignment="1" applyBorder="1" applyFill="1" applyFont="1">
      <alignment horizontal="center" readingOrder="0" shrinkToFit="0" wrapText="1"/>
    </xf>
    <xf borderId="1" fillId="4" fontId="8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/>
    </xf>
    <xf borderId="1" fillId="11" fontId="8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1" fillId="0" fontId="1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0" fillId="2" fontId="3" numFmtId="164" xfId="0" applyAlignment="1" applyFill="1" applyFont="1" applyNumberFormat="1">
      <alignment horizontal="right" readingOrder="0"/>
    </xf>
    <xf borderId="1" fillId="10" fontId="9" numFmtId="0" xfId="0" applyAlignment="1" applyBorder="1" applyFill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89</xdr:row>
      <xdr:rowOff>0</xdr:rowOff>
    </xdr:from>
    <xdr:ext cx="7915275" cy="12001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7905750" cy="11715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45283.0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24.0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18" t="s">
        <v>23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339.0</v>
      </c>
      <c r="D5" s="28">
        <v>36.0</v>
      </c>
      <c r="E5" s="30">
        <f>if(isna(VLOOKUP(B5,Checkin!A:B,2,false)),0,VLOOKUP(B5,Checkin!A:B,2,false))</f>
        <v>0</v>
      </c>
      <c r="F5" s="31">
        <f>if(OR($E5=1, $E5=2),VLOOKUP($B5,Courts!$B$2:$K$33,10,false),0)</f>
        <v>0</v>
      </c>
      <c r="G5" s="27">
        <f t="shared" ref="G5:G68" si="2">IF(OR(E5=3,E5=4),9,IF(E5=5,13,0))</f>
        <v>0</v>
      </c>
      <c r="H5" s="31">
        <f>if(OR($E5=1, $E5=2),VLOOKUP($B5,Courts!$B$2:$J$33,5,false),0)</f>
        <v>0</v>
      </c>
      <c r="I5" s="31">
        <f>if(OR($E5=1, $E5=2),VLOOKUP($B5,Courts!$B$2:$J$33,6,false),0)</f>
        <v>0</v>
      </c>
      <c r="J5" s="31">
        <f>if(OR($E5=1, $E5=2),VLOOKUP($B5,Courts!$B$2:$J$33,7,false),0)</f>
        <v>0</v>
      </c>
      <c r="K5" s="32">
        <f t="shared" ref="K5:K68" si="3">G5+H5+I5+J5</f>
        <v>0</v>
      </c>
      <c r="L5" s="31">
        <f>if(OR($E5=1, $E5=2),VLOOKUP($B5,Courts!$B$2:$J$33,9,false),0)</f>
        <v>0</v>
      </c>
      <c r="M5" s="27">
        <f t="shared" ref="M5:N5" si="1">C5+K5</f>
        <v>339</v>
      </c>
      <c r="N5" s="28">
        <f t="shared" si="1"/>
        <v>36</v>
      </c>
      <c r="O5" s="33" t="s">
        <v>37</v>
      </c>
      <c r="P5" s="33" t="s">
        <v>37</v>
      </c>
      <c r="Q5" s="31">
        <f>if(G5=13,1,0)+VLOOKUP(B5,'122323'!B:Q,16,false)</f>
        <v>1</v>
      </c>
      <c r="R5" s="31"/>
      <c r="S5" s="31">
        <f>if(G5=9,1,0)+VLOOKUP(B5,'122323'!B:S,18,false)</f>
        <v>6</v>
      </c>
    </row>
    <row r="6">
      <c r="A6" s="25">
        <f t="shared" ref="A6:A68" si="5">A5+1</f>
        <v>2</v>
      </c>
      <c r="B6" s="26" t="s">
        <v>42</v>
      </c>
      <c r="C6" s="27">
        <v>324.0</v>
      </c>
      <c r="D6" s="28">
        <v>31.0</v>
      </c>
      <c r="E6" s="30">
        <f>if(isna(VLOOKUP(B6,Checkin!A:B,2,false)),0,VLOOKUP(B6,Checkin!A:B,2,false))</f>
        <v>0</v>
      </c>
      <c r="F6" s="31">
        <f>if(OR($E6=1, $E6=2),VLOOKUP($B6,Courts!$B$2:$K$33,10,false),0)</f>
        <v>0</v>
      </c>
      <c r="G6" s="27">
        <f t="shared" si="2"/>
        <v>0</v>
      </c>
      <c r="H6" s="31">
        <f>if(OR($E6=1, $E6=2),VLOOKUP($B6,Courts!$B$2:$J$33,5,false),0)</f>
        <v>0</v>
      </c>
      <c r="I6" s="31">
        <f>if(OR($E6=1, $E6=2),VLOOKUP($B6,Courts!$B$2:$J$33,6,false),0)</f>
        <v>0</v>
      </c>
      <c r="J6" s="31">
        <f>if(OR($E6=1, $E6=2),VLOOKUP($B6,Courts!$B$2:$J$33,7,false),0)</f>
        <v>0</v>
      </c>
      <c r="K6" s="32">
        <f t="shared" si="3"/>
        <v>0</v>
      </c>
      <c r="L6" s="31">
        <f>if(OR($E6=1, $E6=2),VLOOKUP($B6,Courts!$B$2:$J$33,9,false),0)</f>
        <v>0</v>
      </c>
      <c r="M6" s="27">
        <f t="shared" ref="M6:N6" si="4">C6+K6</f>
        <v>324</v>
      </c>
      <c r="N6" s="28">
        <f t="shared" si="4"/>
        <v>31</v>
      </c>
      <c r="O6" s="33" t="s">
        <v>37</v>
      </c>
      <c r="P6" s="33" t="s">
        <v>37</v>
      </c>
      <c r="Q6" s="31">
        <f>if(G6=13,1,0)+VLOOKUP(B6,'122323'!B:Q,16,false)</f>
        <v>0</v>
      </c>
      <c r="R6" s="31"/>
      <c r="S6" s="31">
        <f>if(G6=9,1,0)+VLOOKUP(B6,'122323'!B:S,18,false)</f>
        <v>9</v>
      </c>
    </row>
    <row r="7">
      <c r="A7" s="25">
        <f t="shared" si="5"/>
        <v>3</v>
      </c>
      <c r="B7" s="26" t="s">
        <v>47</v>
      </c>
      <c r="C7" s="27">
        <v>324.0</v>
      </c>
      <c r="D7" s="28">
        <v>31.0</v>
      </c>
      <c r="E7" s="30">
        <f>if(isna(VLOOKUP(B7,Checkin!A:B,2,false)),0,VLOOKUP(B7,Checkin!A:B,2,false))</f>
        <v>0</v>
      </c>
      <c r="F7" s="31">
        <f>if(OR($E7=1, $E7=2),VLOOKUP($B7,Courts!$B$2:$K$33,10,false),0)</f>
        <v>0</v>
      </c>
      <c r="G7" s="27">
        <f t="shared" si="2"/>
        <v>0</v>
      </c>
      <c r="H7" s="31">
        <f>if(OR($E7=1, $E7=2),VLOOKUP($B7,Courts!$B$2:$J$33,5,false),0)</f>
        <v>0</v>
      </c>
      <c r="I7" s="31">
        <f>if(OR($E7=1, $E7=2),VLOOKUP($B7,Courts!$B$2:$J$33,6,false),0)</f>
        <v>0</v>
      </c>
      <c r="J7" s="31">
        <f>if(OR($E7=1, $E7=2),VLOOKUP($B7,Courts!$B$2:$J$33,7,false),0)</f>
        <v>0</v>
      </c>
      <c r="K7" s="32">
        <f t="shared" si="3"/>
        <v>0</v>
      </c>
      <c r="L7" s="31">
        <f>if(OR($E7=1, $E7=2),VLOOKUP($B7,Courts!$B$2:$J$33,9,false),0)</f>
        <v>0</v>
      </c>
      <c r="M7" s="27">
        <f t="shared" ref="M7:N7" si="6">C7+K7</f>
        <v>324</v>
      </c>
      <c r="N7" s="28">
        <f t="shared" si="6"/>
        <v>31</v>
      </c>
      <c r="O7" s="33" t="s">
        <v>37</v>
      </c>
      <c r="P7" s="33" t="s">
        <v>37</v>
      </c>
      <c r="Q7" s="31">
        <f>if(G7=13,1,0)+VLOOKUP(B7,'122323'!B:Q,16,false)</f>
        <v>0</v>
      </c>
      <c r="R7" s="31"/>
      <c r="S7" s="31">
        <f>if(G7=9,1,0)+VLOOKUP(B7,'122323'!B:S,18,false)</f>
        <v>10</v>
      </c>
    </row>
    <row r="8">
      <c r="A8" s="25">
        <f t="shared" si="5"/>
        <v>4</v>
      </c>
      <c r="B8" s="26" t="s">
        <v>49</v>
      </c>
      <c r="C8" s="27">
        <v>314.0</v>
      </c>
      <c r="D8" s="28">
        <v>28.0</v>
      </c>
      <c r="E8" s="30">
        <f>if(isna(VLOOKUP(B8,Checkin!A:B,2,false)),0,VLOOKUP(B8,Checkin!A:B,2,false))</f>
        <v>0</v>
      </c>
      <c r="F8" s="31">
        <f>if(OR($E8=1, $E8=2),VLOOKUP($B8,Courts!$B$2:$K$33,10,false),0)</f>
        <v>0</v>
      </c>
      <c r="G8" s="27">
        <f t="shared" si="2"/>
        <v>0</v>
      </c>
      <c r="H8" s="31">
        <f>if(OR($E8=1, $E8=2),VLOOKUP($B8,Courts!$B$2:$J$33,5,false),0)</f>
        <v>0</v>
      </c>
      <c r="I8" s="31">
        <f>if(OR($E8=1, $E8=2),VLOOKUP($B8,Courts!$B$2:$J$33,6,false),0)</f>
        <v>0</v>
      </c>
      <c r="J8" s="31">
        <f>if(OR($E8=1, $E8=2),VLOOKUP($B8,Courts!$B$2:$J$33,7,false),0)</f>
        <v>0</v>
      </c>
      <c r="K8" s="32">
        <f t="shared" si="3"/>
        <v>0</v>
      </c>
      <c r="L8" s="31">
        <f>if(OR($E8=1, $E8=2),VLOOKUP($B8,Courts!$B$2:$J$33,9,false),0)</f>
        <v>0</v>
      </c>
      <c r="M8" s="27">
        <f t="shared" ref="M8:N8" si="7">C8+K8</f>
        <v>314</v>
      </c>
      <c r="N8" s="28">
        <f t="shared" si="7"/>
        <v>28</v>
      </c>
      <c r="O8" s="33" t="s">
        <v>37</v>
      </c>
      <c r="P8" s="33" t="s">
        <v>37</v>
      </c>
      <c r="Q8" s="31">
        <f>if(G8=13,1,0)+VLOOKUP(B8,'122323'!B:Q,16,false)</f>
        <v>1</v>
      </c>
      <c r="R8" s="31"/>
      <c r="S8" s="31">
        <f>if(G8=9,1,0)+VLOOKUP(B8,'122323'!B:S,18,false)</f>
        <v>4</v>
      </c>
    </row>
    <row r="9">
      <c r="A9" s="25">
        <f t="shared" si="5"/>
        <v>5</v>
      </c>
      <c r="B9" s="26" t="s">
        <v>50</v>
      </c>
      <c r="C9" s="27">
        <v>309.0</v>
      </c>
      <c r="D9" s="28">
        <v>25.0</v>
      </c>
      <c r="E9" s="30">
        <f>if(isna(VLOOKUP(B9,Checkin!A:B,2,false)),0,VLOOKUP(B9,Checkin!A:B,2,false))</f>
        <v>0</v>
      </c>
      <c r="F9" s="31">
        <f>if(OR($E9=1, $E9=2),VLOOKUP($B9,Courts!$B$2:$K$33,10,false),0)</f>
        <v>0</v>
      </c>
      <c r="G9" s="27">
        <f t="shared" si="2"/>
        <v>0</v>
      </c>
      <c r="H9" s="31">
        <f>if(OR($E9=1, $E9=2),VLOOKUP($B9,Courts!$B$2:$J$33,5,false),0)</f>
        <v>0</v>
      </c>
      <c r="I9" s="31">
        <f>if(OR($E9=1, $E9=2),VLOOKUP($B9,Courts!$B$2:$J$33,6,false),0)</f>
        <v>0</v>
      </c>
      <c r="J9" s="31">
        <f>if(OR($E9=1, $E9=2),VLOOKUP($B9,Courts!$B$2:$J$33,7,false),0)</f>
        <v>0</v>
      </c>
      <c r="K9" s="32">
        <f t="shared" si="3"/>
        <v>0</v>
      </c>
      <c r="L9" s="31">
        <f>if(OR($E9=1, $E9=2),VLOOKUP($B9,Courts!$B$2:$J$33,9,false),0)</f>
        <v>0</v>
      </c>
      <c r="M9" s="27">
        <f t="shared" ref="M9:N9" si="8">C9+K9</f>
        <v>309</v>
      </c>
      <c r="N9" s="28">
        <f t="shared" si="8"/>
        <v>25</v>
      </c>
      <c r="O9" s="33" t="s">
        <v>37</v>
      </c>
      <c r="P9" s="33" t="s">
        <v>37</v>
      </c>
      <c r="Q9" s="31">
        <f>if(G9=13,1,0)+VLOOKUP(B9,'122323'!B:Q,16,false)</f>
        <v>0</v>
      </c>
      <c r="R9" s="31"/>
      <c r="S9" s="31">
        <f>if(G9=9,1,0)+VLOOKUP(B9,'122323'!B:S,18,false)</f>
        <v>10</v>
      </c>
    </row>
    <row r="10">
      <c r="A10" s="25">
        <f t="shared" si="5"/>
        <v>6</v>
      </c>
      <c r="B10" s="26" t="s">
        <v>48</v>
      </c>
      <c r="C10" s="27">
        <v>308.0</v>
      </c>
      <c r="D10" s="28">
        <v>25.0</v>
      </c>
      <c r="E10" s="30">
        <f>if(isna(VLOOKUP(B10,Checkin!A:B,2,false)),0,VLOOKUP(B10,Checkin!A:B,2,false))</f>
        <v>0</v>
      </c>
      <c r="F10" s="31">
        <f>if(OR($E10=1, $E10=2),VLOOKUP($B10,Courts!$B$2:$K$33,10,false),0)</f>
        <v>0</v>
      </c>
      <c r="G10" s="27">
        <f t="shared" si="2"/>
        <v>0</v>
      </c>
      <c r="H10" s="31">
        <f>if(OR($E10=1, $E10=2),VLOOKUP($B10,Courts!$B$2:$J$33,5,false),0)</f>
        <v>0</v>
      </c>
      <c r="I10" s="31">
        <f>if(OR($E10=1, $E10=2),VLOOKUP($B10,Courts!$B$2:$J$33,6,false),0)</f>
        <v>0</v>
      </c>
      <c r="J10" s="31">
        <f>if(OR($E10=1, $E10=2),VLOOKUP($B10,Courts!$B$2:$J$33,7,false),0)</f>
        <v>0</v>
      </c>
      <c r="K10" s="32">
        <f t="shared" si="3"/>
        <v>0</v>
      </c>
      <c r="L10" s="31">
        <f>if(OR($E10=1, $E10=2),VLOOKUP($B10,Courts!$B$2:$J$33,9,false),0)</f>
        <v>0</v>
      </c>
      <c r="M10" s="27">
        <f t="shared" ref="M10:N10" si="9">C10+K10</f>
        <v>308</v>
      </c>
      <c r="N10" s="28">
        <f t="shared" si="9"/>
        <v>25</v>
      </c>
      <c r="O10" s="33" t="s">
        <v>37</v>
      </c>
      <c r="P10" s="33" t="s">
        <v>37</v>
      </c>
      <c r="Q10" s="31">
        <f>if(G10=13,1,0)+VLOOKUP(B10,'122323'!B:Q,16,false)</f>
        <v>0</v>
      </c>
      <c r="R10" s="31"/>
      <c r="S10" s="31">
        <f>if(G10=9,1,0)+VLOOKUP(B10,'122323'!B:S,18,false)</f>
        <v>9</v>
      </c>
    </row>
    <row r="11">
      <c r="A11" s="25">
        <f t="shared" si="5"/>
        <v>7</v>
      </c>
      <c r="B11" s="26" t="s">
        <v>52</v>
      </c>
      <c r="C11" s="27">
        <v>305.0</v>
      </c>
      <c r="D11" s="28">
        <v>27.0</v>
      </c>
      <c r="E11" s="30">
        <f>if(isna(VLOOKUP(B11,Checkin!A:B,2,false)),0,VLOOKUP(B11,Checkin!A:B,2,false))</f>
        <v>0</v>
      </c>
      <c r="F11" s="31">
        <f>if(OR($E11=1, $E11=2),VLOOKUP($B11,Courts!$B$2:$K$33,10,false),0)</f>
        <v>0</v>
      </c>
      <c r="G11" s="27">
        <f t="shared" si="2"/>
        <v>0</v>
      </c>
      <c r="H11" s="31">
        <f>if(OR($E11=1, $E11=2),VLOOKUP($B11,Courts!$B$2:$J$33,5,false),0)</f>
        <v>0</v>
      </c>
      <c r="I11" s="31">
        <f>if(OR($E11=1, $E11=2),VLOOKUP($B11,Courts!$B$2:$J$33,6,false),0)</f>
        <v>0</v>
      </c>
      <c r="J11" s="31">
        <f>if(OR($E11=1, $E11=2),VLOOKUP($B11,Courts!$B$2:$J$33,7,false),0)</f>
        <v>0</v>
      </c>
      <c r="K11" s="32">
        <f t="shared" si="3"/>
        <v>0</v>
      </c>
      <c r="L11" s="31">
        <f>if(OR($E11=1, $E11=2),VLOOKUP($B11,Courts!$B$2:$J$33,9,false),0)</f>
        <v>0</v>
      </c>
      <c r="M11" s="27">
        <f t="shared" ref="M11:N11" si="10">C11+K11</f>
        <v>305</v>
      </c>
      <c r="N11" s="28">
        <f t="shared" si="10"/>
        <v>27</v>
      </c>
      <c r="O11" s="33" t="s">
        <v>37</v>
      </c>
      <c r="P11" s="33" t="s">
        <v>37</v>
      </c>
      <c r="Q11" s="31">
        <f>if(G11=13,1,0)+VLOOKUP(B11,'122323'!B:Q,16,false)</f>
        <v>0</v>
      </c>
      <c r="R11" s="31"/>
      <c r="S11" s="31">
        <f>if(G11=9,1,0)+VLOOKUP(B11,'122323'!B:S,18,false)</f>
        <v>2</v>
      </c>
    </row>
    <row r="12">
      <c r="A12" s="25">
        <f t="shared" si="5"/>
        <v>8</v>
      </c>
      <c r="B12" s="26" t="s">
        <v>51</v>
      </c>
      <c r="C12" s="27">
        <v>302.0</v>
      </c>
      <c r="D12" s="28">
        <v>26.0</v>
      </c>
      <c r="E12" s="30">
        <f>if(isna(VLOOKUP(B12,Checkin!A:B,2,false)),0,VLOOKUP(B12,Checkin!A:B,2,false))</f>
        <v>0</v>
      </c>
      <c r="F12" s="31">
        <f>if(OR($E12=1, $E12=2),VLOOKUP($B12,Courts!$B$2:$K$33,10,false),0)</f>
        <v>0</v>
      </c>
      <c r="G12" s="27">
        <f t="shared" si="2"/>
        <v>0</v>
      </c>
      <c r="H12" s="31">
        <f>if(OR($E12=1, $E12=2),VLOOKUP($B12,Courts!$B$2:$J$33,5,false),0)</f>
        <v>0</v>
      </c>
      <c r="I12" s="31">
        <f>if(OR($E12=1, $E12=2),VLOOKUP($B12,Courts!$B$2:$J$33,6,false),0)</f>
        <v>0</v>
      </c>
      <c r="J12" s="31">
        <f>if(OR($E12=1, $E12=2),VLOOKUP($B12,Courts!$B$2:$J$33,7,false),0)</f>
        <v>0</v>
      </c>
      <c r="K12" s="32">
        <f t="shared" si="3"/>
        <v>0</v>
      </c>
      <c r="L12" s="31">
        <f>if(OR($E12=1, $E12=2),VLOOKUP($B12,Courts!$B$2:$J$33,9,false),0)</f>
        <v>0</v>
      </c>
      <c r="M12" s="27">
        <f t="shared" ref="M12:N12" si="11">C12+K12</f>
        <v>302</v>
      </c>
      <c r="N12" s="28">
        <f t="shared" si="11"/>
        <v>26</v>
      </c>
      <c r="O12" s="33" t="s">
        <v>37</v>
      </c>
      <c r="P12" s="33" t="s">
        <v>37</v>
      </c>
      <c r="Q12" s="31">
        <f>if(G12=13,1,0)+VLOOKUP(B12,'122323'!B:Q,16,false)</f>
        <v>1</v>
      </c>
      <c r="R12" s="31"/>
      <c r="S12" s="31">
        <f>if(G12=9,1,0)+VLOOKUP(B12,'122323'!B:S,18,false)</f>
        <v>10</v>
      </c>
    </row>
    <row r="13">
      <c r="A13" s="25">
        <f t="shared" si="5"/>
        <v>9</v>
      </c>
      <c r="B13" s="26" t="s">
        <v>57</v>
      </c>
      <c r="C13" s="27">
        <v>301.0</v>
      </c>
      <c r="D13" s="28">
        <v>28.0</v>
      </c>
      <c r="E13" s="30">
        <f>if(isna(VLOOKUP(B13,Checkin!A:B,2,false)),0,VLOOKUP(B13,Checkin!A:B,2,false))</f>
        <v>0</v>
      </c>
      <c r="F13" s="31">
        <f>if(OR($E13=1, $E13=2),VLOOKUP($B13,Courts!$B$2:$K$33,10,false),0)</f>
        <v>0</v>
      </c>
      <c r="G13" s="27">
        <f t="shared" si="2"/>
        <v>0</v>
      </c>
      <c r="H13" s="31">
        <f>if(OR($E13=1, $E13=2),VLOOKUP($B13,Courts!$B$2:$J$33,5,false),0)</f>
        <v>0</v>
      </c>
      <c r="I13" s="31">
        <f>if(OR($E13=1, $E13=2),VLOOKUP($B13,Courts!$B$2:$J$33,6,false),0)</f>
        <v>0</v>
      </c>
      <c r="J13" s="31">
        <f>if(OR($E13=1, $E13=2),VLOOKUP($B13,Courts!$B$2:$J$33,7,false),0)</f>
        <v>0</v>
      </c>
      <c r="K13" s="32">
        <f t="shared" si="3"/>
        <v>0</v>
      </c>
      <c r="L13" s="31">
        <f>if(OR($E13=1, $E13=2),VLOOKUP($B13,Courts!$B$2:$J$33,9,false),0)</f>
        <v>0</v>
      </c>
      <c r="M13" s="27">
        <f t="shared" ref="M13:N13" si="12">C13+K13</f>
        <v>301</v>
      </c>
      <c r="N13" s="28">
        <f t="shared" si="12"/>
        <v>28</v>
      </c>
      <c r="O13" s="33" t="s">
        <v>37</v>
      </c>
      <c r="P13" s="33" t="s">
        <v>37</v>
      </c>
      <c r="Q13" s="31">
        <f>if(G13=13,1,0)+VLOOKUP(B13,'122323'!B:Q,16,false)</f>
        <v>0</v>
      </c>
      <c r="R13" s="31"/>
      <c r="S13" s="31">
        <f>if(G13=9,1,0)+VLOOKUP(B13,'122323'!B:S,18,false)</f>
        <v>6</v>
      </c>
    </row>
    <row r="14">
      <c r="A14" s="25">
        <f t="shared" si="5"/>
        <v>10</v>
      </c>
      <c r="B14" s="26" t="s">
        <v>54</v>
      </c>
      <c r="C14" s="27">
        <v>301.0</v>
      </c>
      <c r="D14" s="28">
        <v>27.0</v>
      </c>
      <c r="E14" s="30">
        <f>if(isna(VLOOKUP(B14,Checkin!A:B,2,false)),0,VLOOKUP(B14,Checkin!A:B,2,false))</f>
        <v>0</v>
      </c>
      <c r="F14" s="31">
        <f>if(OR($E14=1, $E14=2),VLOOKUP($B14,Courts!$B$2:$K$33,10,false),0)</f>
        <v>0</v>
      </c>
      <c r="G14" s="27">
        <f t="shared" si="2"/>
        <v>0</v>
      </c>
      <c r="H14" s="31">
        <f>if(OR($E14=1, $E14=2),VLOOKUP($B14,Courts!$B$2:$J$33,5,false),0)</f>
        <v>0</v>
      </c>
      <c r="I14" s="31">
        <f>if(OR($E14=1, $E14=2),VLOOKUP($B14,Courts!$B$2:$J$33,6,false),0)</f>
        <v>0</v>
      </c>
      <c r="J14" s="31">
        <f>if(OR($E14=1, $E14=2),VLOOKUP($B14,Courts!$B$2:$J$33,7,false),0)</f>
        <v>0</v>
      </c>
      <c r="K14" s="32">
        <f t="shared" si="3"/>
        <v>0</v>
      </c>
      <c r="L14" s="31">
        <f>if(OR($E14=1, $E14=2),VLOOKUP($B14,Courts!$B$2:$J$33,9,false),0)</f>
        <v>0</v>
      </c>
      <c r="M14" s="27">
        <f t="shared" ref="M14:N14" si="13">C14+K14</f>
        <v>301</v>
      </c>
      <c r="N14" s="28">
        <f t="shared" si="13"/>
        <v>27</v>
      </c>
      <c r="O14" s="33" t="s">
        <v>37</v>
      </c>
      <c r="P14" s="33" t="s">
        <v>37</v>
      </c>
      <c r="Q14" s="31">
        <f>if(G14=13,1,0)+VLOOKUP(B14,'122323'!B:Q,16,false)</f>
        <v>0</v>
      </c>
      <c r="R14" s="31"/>
      <c r="S14" s="31">
        <f>if(G14=9,1,0)+VLOOKUP(B14,'122323'!B:S,18,false)</f>
        <v>8</v>
      </c>
    </row>
    <row r="15">
      <c r="A15" s="25">
        <f t="shared" si="5"/>
        <v>11</v>
      </c>
      <c r="B15" s="26" t="s">
        <v>53</v>
      </c>
      <c r="C15" s="27">
        <v>301.0</v>
      </c>
      <c r="D15" s="28">
        <v>24.0</v>
      </c>
      <c r="E15" s="30">
        <f>if(isna(VLOOKUP(B15,Checkin!A:B,2,false)),0,VLOOKUP(B15,Checkin!A:B,2,false))</f>
        <v>0</v>
      </c>
      <c r="F15" s="31">
        <f>if(OR($E15=1, $E15=2),VLOOKUP($B15,Courts!$B$2:$K$33,10,false),0)</f>
        <v>0</v>
      </c>
      <c r="G15" s="27">
        <f t="shared" si="2"/>
        <v>0</v>
      </c>
      <c r="H15" s="31">
        <f>if(OR($E15=1, $E15=2),VLOOKUP($B15,Courts!$B$2:$J$33,5,false),0)</f>
        <v>0</v>
      </c>
      <c r="I15" s="31">
        <f>if(OR($E15=1, $E15=2),VLOOKUP($B15,Courts!$B$2:$J$33,6,false),0)</f>
        <v>0</v>
      </c>
      <c r="J15" s="31">
        <f>if(OR($E15=1, $E15=2),VLOOKUP($B15,Courts!$B$2:$J$33,7,false),0)</f>
        <v>0</v>
      </c>
      <c r="K15" s="32">
        <f t="shared" si="3"/>
        <v>0</v>
      </c>
      <c r="L15" s="31">
        <f>if(OR($E15=1, $E15=2),VLOOKUP($B15,Courts!$B$2:$J$33,9,false),0)</f>
        <v>0</v>
      </c>
      <c r="M15" s="27">
        <f t="shared" ref="M15:N15" si="14">C15+K15</f>
        <v>301</v>
      </c>
      <c r="N15" s="28">
        <f t="shared" si="14"/>
        <v>24</v>
      </c>
      <c r="O15" s="33" t="s">
        <v>37</v>
      </c>
      <c r="P15" s="33" t="s">
        <v>37</v>
      </c>
      <c r="Q15" s="31">
        <f>if(G15=13,1,0)+VLOOKUP(B15,'122323'!B:Q,16,false)</f>
        <v>0</v>
      </c>
      <c r="R15" s="31"/>
      <c r="S15" s="31">
        <f>if(G15=9,1,0)+VLOOKUP(B15,'122323'!B:S,18,false)</f>
        <v>6</v>
      </c>
    </row>
    <row r="16">
      <c r="A16" s="25">
        <f t="shared" si="5"/>
        <v>12</v>
      </c>
      <c r="B16" s="26" t="s">
        <v>60</v>
      </c>
      <c r="C16" s="27">
        <v>297.0</v>
      </c>
      <c r="D16" s="28">
        <v>26.0</v>
      </c>
      <c r="E16" s="30">
        <f>if(isna(VLOOKUP(B16,Checkin!A:B,2,false)),0,VLOOKUP(B16,Checkin!A:B,2,false))</f>
        <v>0</v>
      </c>
      <c r="F16" s="31">
        <f>if(OR($E16=1, $E16=2),VLOOKUP($B16,Courts!$B$2:$K$33,10,false),0)</f>
        <v>0</v>
      </c>
      <c r="G16" s="27">
        <f t="shared" si="2"/>
        <v>0</v>
      </c>
      <c r="H16" s="31">
        <f>if(OR($E16=1, $E16=2),VLOOKUP($B16,Courts!$B$2:$J$33,5,false),0)</f>
        <v>0</v>
      </c>
      <c r="I16" s="31">
        <f>if(OR($E16=1, $E16=2),VLOOKUP($B16,Courts!$B$2:$J$33,6,false),0)</f>
        <v>0</v>
      </c>
      <c r="J16" s="31">
        <f>if(OR($E16=1, $E16=2),VLOOKUP($B16,Courts!$B$2:$J$33,7,false),0)</f>
        <v>0</v>
      </c>
      <c r="K16" s="32">
        <f t="shared" si="3"/>
        <v>0</v>
      </c>
      <c r="L16" s="31">
        <f>if(OR($E16=1, $E16=2),VLOOKUP($B16,Courts!$B$2:$J$33,9,false),0)</f>
        <v>0</v>
      </c>
      <c r="M16" s="27">
        <f t="shared" ref="M16:N16" si="15">C16+K16</f>
        <v>297</v>
      </c>
      <c r="N16" s="28">
        <f t="shared" si="15"/>
        <v>26</v>
      </c>
      <c r="O16" s="33" t="s">
        <v>37</v>
      </c>
      <c r="P16" s="33" t="s">
        <v>37</v>
      </c>
      <c r="Q16" s="31">
        <f>if(G16=13,1,0)+VLOOKUP(B16,'122323'!B:Q,16,false)</f>
        <v>0</v>
      </c>
      <c r="R16" s="31"/>
      <c r="S16" s="31">
        <f>if(G16=9,1,0)+VLOOKUP(B16,'122323'!B:S,18,false)</f>
        <v>8</v>
      </c>
    </row>
    <row r="17">
      <c r="A17" s="25">
        <f t="shared" si="5"/>
        <v>13</v>
      </c>
      <c r="B17" s="26" t="s">
        <v>61</v>
      </c>
      <c r="C17" s="27">
        <v>297.0</v>
      </c>
      <c r="D17" s="28">
        <v>22.0</v>
      </c>
      <c r="E17" s="30">
        <f>if(isna(VLOOKUP(B17,Checkin!A:B,2,false)),0,VLOOKUP(B17,Checkin!A:B,2,false))</f>
        <v>0</v>
      </c>
      <c r="F17" s="31">
        <f>if(OR($E17=1, $E17=2),VLOOKUP($B17,Courts!$B$2:$K$33,10,false),0)</f>
        <v>0</v>
      </c>
      <c r="G17" s="27">
        <f t="shared" si="2"/>
        <v>0</v>
      </c>
      <c r="H17" s="31">
        <f>if(OR($E17=1, $E17=2),VLOOKUP($B17,Courts!$B$2:$J$33,5,false),0)</f>
        <v>0</v>
      </c>
      <c r="I17" s="31">
        <f>if(OR($E17=1, $E17=2),VLOOKUP($B17,Courts!$B$2:$J$33,6,false),0)</f>
        <v>0</v>
      </c>
      <c r="J17" s="31">
        <f>if(OR($E17=1, $E17=2),VLOOKUP($B17,Courts!$B$2:$J$33,7,false),0)</f>
        <v>0</v>
      </c>
      <c r="K17" s="32">
        <f t="shared" si="3"/>
        <v>0</v>
      </c>
      <c r="L17" s="31">
        <f>if(OR($E17=1, $E17=2),VLOOKUP($B17,Courts!$B$2:$J$33,9,false),0)</f>
        <v>0</v>
      </c>
      <c r="M17" s="27">
        <f t="shared" ref="M17:N17" si="16">C17+K17</f>
        <v>297</v>
      </c>
      <c r="N17" s="28">
        <f t="shared" si="16"/>
        <v>22</v>
      </c>
      <c r="O17" s="33" t="s">
        <v>37</v>
      </c>
      <c r="P17" s="33" t="s">
        <v>37</v>
      </c>
      <c r="Q17" s="31">
        <f>if(G17=13,1,0)+VLOOKUP(B17,'122323'!B:Q,16,false)</f>
        <v>0</v>
      </c>
      <c r="R17" s="31"/>
      <c r="S17" s="31">
        <f>if(G17=9,1,0)+VLOOKUP(B17,'122323'!B:S,18,false)</f>
        <v>6</v>
      </c>
    </row>
    <row r="18">
      <c r="A18" s="25">
        <f t="shared" si="5"/>
        <v>14</v>
      </c>
      <c r="B18" s="26" t="s">
        <v>58</v>
      </c>
      <c r="C18" s="27">
        <v>296.0</v>
      </c>
      <c r="D18" s="28">
        <v>22.0</v>
      </c>
      <c r="E18" s="30">
        <f>if(isna(VLOOKUP(B18,Checkin!A:B,2,false)),0,VLOOKUP(B18,Checkin!A:B,2,false))</f>
        <v>0</v>
      </c>
      <c r="F18" s="31">
        <f>if(OR($E18=1, $E18=2),VLOOKUP($B18,Courts!$B$2:$K$33,10,false),0)</f>
        <v>0</v>
      </c>
      <c r="G18" s="27">
        <f t="shared" si="2"/>
        <v>0</v>
      </c>
      <c r="H18" s="31">
        <f>if(OR($E18=1, $E18=2),VLOOKUP($B18,Courts!$B$2:$J$33,5,false),0)</f>
        <v>0</v>
      </c>
      <c r="I18" s="31">
        <f>if(OR($E18=1, $E18=2),VLOOKUP($B18,Courts!$B$2:$J$33,6,false),0)</f>
        <v>0</v>
      </c>
      <c r="J18" s="31">
        <f>if(OR($E18=1, $E18=2),VLOOKUP($B18,Courts!$B$2:$J$33,7,false),0)</f>
        <v>0</v>
      </c>
      <c r="K18" s="32">
        <f t="shared" si="3"/>
        <v>0</v>
      </c>
      <c r="L18" s="31">
        <f>if(OR($E18=1, $E18=2),VLOOKUP($B18,Courts!$B$2:$J$33,9,false),0)</f>
        <v>0</v>
      </c>
      <c r="M18" s="27">
        <f t="shared" ref="M18:N18" si="17">C18+K18</f>
        <v>296</v>
      </c>
      <c r="N18" s="28">
        <f t="shared" si="17"/>
        <v>22</v>
      </c>
      <c r="O18" s="33" t="s">
        <v>37</v>
      </c>
      <c r="P18" s="33" t="s">
        <v>37</v>
      </c>
      <c r="Q18" s="31">
        <f>if(G18=13,1,0)+VLOOKUP(B18,'122323'!B:Q,16,false)</f>
        <v>0</v>
      </c>
      <c r="R18" s="31"/>
      <c r="S18" s="31">
        <f>if(G18=9,1,0)+VLOOKUP(B18,'122323'!B:S,18,false)</f>
        <v>7</v>
      </c>
    </row>
    <row r="19">
      <c r="A19" s="25">
        <f t="shared" si="5"/>
        <v>15</v>
      </c>
      <c r="B19" s="36" t="s">
        <v>56</v>
      </c>
      <c r="C19" s="27">
        <v>293.0</v>
      </c>
      <c r="D19" s="28">
        <v>27.0</v>
      </c>
      <c r="E19" s="30">
        <f>if(isna(VLOOKUP(B19,Checkin!A:B,2,false)),0,VLOOKUP(B19,Checkin!A:B,2,false))</f>
        <v>0</v>
      </c>
      <c r="F19" s="31">
        <f>if(OR($E19=1, $E19=2),VLOOKUP($B19,Courts!$B$2:$K$33,10,false),0)</f>
        <v>0</v>
      </c>
      <c r="G19" s="27">
        <f t="shared" si="2"/>
        <v>0</v>
      </c>
      <c r="H19" s="31">
        <f>if(OR($E19=1, $E19=2),VLOOKUP($B19,Courts!$B$2:$J$33,5,false),0)</f>
        <v>0</v>
      </c>
      <c r="I19" s="31">
        <f>if(OR($E19=1, $E19=2),VLOOKUP($B19,Courts!$B$2:$J$33,6,false),0)</f>
        <v>0</v>
      </c>
      <c r="J19" s="31">
        <f>if(OR($E19=1, $E19=2),VLOOKUP($B19,Courts!$B$2:$J$33,7,false),0)</f>
        <v>0</v>
      </c>
      <c r="K19" s="32">
        <f t="shared" si="3"/>
        <v>0</v>
      </c>
      <c r="L19" s="31">
        <f>if(OR($E19=1, $E19=2),VLOOKUP($B19,Courts!$B$2:$J$33,9,false),0)</f>
        <v>0</v>
      </c>
      <c r="M19" s="27">
        <f t="shared" ref="M19:N19" si="18">C19+K19</f>
        <v>293</v>
      </c>
      <c r="N19" s="28">
        <f t="shared" si="18"/>
        <v>27</v>
      </c>
      <c r="O19" s="33" t="s">
        <v>37</v>
      </c>
      <c r="P19" s="33" t="s">
        <v>37</v>
      </c>
      <c r="Q19" s="31">
        <f>if(G19=13,1,0)+VLOOKUP(B19,'122323'!B:Q,16,false)</f>
        <v>1</v>
      </c>
      <c r="R19" s="31"/>
      <c r="S19" s="31">
        <f>if(G19=9,1,0)+VLOOKUP(B19,'122323'!B:S,18,false)</f>
        <v>5</v>
      </c>
    </row>
    <row r="20">
      <c r="A20" s="25">
        <f t="shared" si="5"/>
        <v>16</v>
      </c>
      <c r="B20" s="26" t="s">
        <v>55</v>
      </c>
      <c r="C20" s="27">
        <v>292.0</v>
      </c>
      <c r="D20" s="28">
        <v>23.0</v>
      </c>
      <c r="E20" s="30">
        <f>if(isna(VLOOKUP(B20,Checkin!A:B,2,false)),0,VLOOKUP(B20,Checkin!A:B,2,false))</f>
        <v>0</v>
      </c>
      <c r="F20" s="31">
        <f>if(OR($E20=1, $E20=2),VLOOKUP($B20,Courts!$B$2:$K$33,10,false),0)</f>
        <v>0</v>
      </c>
      <c r="G20" s="27">
        <f t="shared" si="2"/>
        <v>0</v>
      </c>
      <c r="H20" s="31">
        <f>if(OR($E20=1, $E20=2),VLOOKUP($B20,Courts!$B$2:$J$33,5,false),0)</f>
        <v>0</v>
      </c>
      <c r="I20" s="31">
        <f>if(OR($E20=1, $E20=2),VLOOKUP($B20,Courts!$B$2:$J$33,6,false),0)</f>
        <v>0</v>
      </c>
      <c r="J20" s="31">
        <f>if(OR($E20=1, $E20=2),VLOOKUP($B20,Courts!$B$2:$J$33,7,false),0)</f>
        <v>0</v>
      </c>
      <c r="K20" s="32">
        <f t="shared" si="3"/>
        <v>0</v>
      </c>
      <c r="L20" s="31">
        <f>if(OR($E20=1, $E20=2),VLOOKUP($B20,Courts!$B$2:$J$33,9,false),0)</f>
        <v>0</v>
      </c>
      <c r="M20" s="27">
        <f t="shared" ref="M20:N20" si="19">C20+K20</f>
        <v>292</v>
      </c>
      <c r="N20" s="28">
        <f t="shared" si="19"/>
        <v>23</v>
      </c>
      <c r="O20" s="33" t="s">
        <v>37</v>
      </c>
      <c r="P20" s="33" t="s">
        <v>37</v>
      </c>
      <c r="Q20" s="31">
        <f>if(G20=13,1,0)+VLOOKUP(B20,'122323'!B:Q,16,false)</f>
        <v>0</v>
      </c>
      <c r="R20" s="31"/>
      <c r="S20" s="31">
        <f>if(G20=9,1,0)+VLOOKUP(B20,'122323'!B:S,18,false)</f>
        <v>11</v>
      </c>
    </row>
    <row r="21">
      <c r="A21" s="25">
        <f t="shared" si="5"/>
        <v>17</v>
      </c>
      <c r="B21" s="36" t="s">
        <v>59</v>
      </c>
      <c r="C21" s="27">
        <v>289.0</v>
      </c>
      <c r="D21" s="28">
        <v>19.0</v>
      </c>
      <c r="E21" s="30">
        <f>if(isna(VLOOKUP(B21,Checkin!A:B,2,false)),0,VLOOKUP(B21,Checkin!A:B,2,false))</f>
        <v>0</v>
      </c>
      <c r="F21" s="31">
        <f>if(OR($E21=1, $E21=2),VLOOKUP($B21,Courts!$B$2:$K$33,10,false),0)</f>
        <v>0</v>
      </c>
      <c r="G21" s="27">
        <f t="shared" si="2"/>
        <v>0</v>
      </c>
      <c r="H21" s="31">
        <f>if(OR($E21=1, $E21=2),VLOOKUP($B21,Courts!$B$2:$J$33,5,false),0)</f>
        <v>0</v>
      </c>
      <c r="I21" s="31">
        <f>if(OR($E21=1, $E21=2),VLOOKUP($B21,Courts!$B$2:$J$33,6,false),0)</f>
        <v>0</v>
      </c>
      <c r="J21" s="31">
        <f>if(OR($E21=1, $E21=2),VLOOKUP($B21,Courts!$B$2:$J$33,7,false),0)</f>
        <v>0</v>
      </c>
      <c r="K21" s="32">
        <f t="shared" si="3"/>
        <v>0</v>
      </c>
      <c r="L21" s="31">
        <f>if(OR($E21=1, $E21=2),VLOOKUP($B21,Courts!$B$2:$J$33,9,false),0)</f>
        <v>0</v>
      </c>
      <c r="M21" s="27">
        <f t="shared" ref="M21:N21" si="20">C21+K21</f>
        <v>289</v>
      </c>
      <c r="N21" s="28">
        <f t="shared" si="20"/>
        <v>19</v>
      </c>
      <c r="O21" s="33" t="s">
        <v>37</v>
      </c>
      <c r="P21" s="33" t="s">
        <v>37</v>
      </c>
      <c r="Q21" s="31">
        <f>if(G21=13,1,0)+VLOOKUP(B21,'122323'!B:Q,16,false)</f>
        <v>0</v>
      </c>
      <c r="R21" s="31"/>
      <c r="S21" s="31">
        <f>if(G21=9,1,0)+VLOOKUP(B21,'122323'!B:S,18,false)</f>
        <v>7</v>
      </c>
    </row>
    <row r="22">
      <c r="A22" s="25">
        <f t="shared" si="5"/>
        <v>18</v>
      </c>
      <c r="B22" s="36" t="s">
        <v>63</v>
      </c>
      <c r="C22" s="27">
        <v>286.0</v>
      </c>
      <c r="D22" s="28">
        <v>20.0</v>
      </c>
      <c r="E22" s="30">
        <f>if(isna(VLOOKUP(B22,Checkin!A:B,2,false)),0,VLOOKUP(B22,Checkin!A:B,2,false))</f>
        <v>0</v>
      </c>
      <c r="F22" s="31">
        <f>if(OR($E22=1, $E22=2),VLOOKUP($B22,Courts!$B$2:$K$33,10,false),0)</f>
        <v>0</v>
      </c>
      <c r="G22" s="27">
        <f t="shared" si="2"/>
        <v>0</v>
      </c>
      <c r="H22" s="31">
        <f>if(OR($E22=1, $E22=2),VLOOKUP($B22,Courts!$B$2:$J$33,5,false),0)</f>
        <v>0</v>
      </c>
      <c r="I22" s="31">
        <f>if(OR($E22=1, $E22=2),VLOOKUP($B22,Courts!$B$2:$J$33,6,false),0)</f>
        <v>0</v>
      </c>
      <c r="J22" s="31">
        <f>if(OR($E22=1, $E22=2),VLOOKUP($B22,Courts!$B$2:$J$33,7,false),0)</f>
        <v>0</v>
      </c>
      <c r="K22" s="32">
        <f t="shared" si="3"/>
        <v>0</v>
      </c>
      <c r="L22" s="31">
        <f>if(OR($E22=1, $E22=2),VLOOKUP($B22,Courts!$B$2:$J$33,9,false),0)</f>
        <v>0</v>
      </c>
      <c r="M22" s="27">
        <f t="shared" ref="M22:N22" si="21">C22+K22</f>
        <v>286</v>
      </c>
      <c r="N22" s="28">
        <f t="shared" si="21"/>
        <v>20</v>
      </c>
      <c r="O22" s="33" t="s">
        <v>37</v>
      </c>
      <c r="P22" s="33" t="s">
        <v>37</v>
      </c>
      <c r="Q22" s="31">
        <f>if(G22=13,1,0)+VLOOKUP(B22,'122323'!B:Q,16,false)</f>
        <v>0</v>
      </c>
      <c r="R22" s="31"/>
      <c r="S22" s="31">
        <f>if(G22=9,1,0)+VLOOKUP(B22,'122323'!B:S,18,false)</f>
        <v>14</v>
      </c>
    </row>
    <row r="23">
      <c r="A23" s="25">
        <f t="shared" si="5"/>
        <v>19</v>
      </c>
      <c r="B23" s="26" t="s">
        <v>65</v>
      </c>
      <c r="C23" s="27">
        <v>286.0</v>
      </c>
      <c r="D23" s="28">
        <v>19.0</v>
      </c>
      <c r="E23" s="30">
        <f>if(isna(VLOOKUP(B23,Checkin!A:B,2,false)),0,VLOOKUP(B23,Checkin!A:B,2,false))</f>
        <v>0</v>
      </c>
      <c r="F23" s="31">
        <f>if(OR($E23=1, $E23=2),VLOOKUP($B23,Courts!$B$2:$K$33,10,false),0)</f>
        <v>0</v>
      </c>
      <c r="G23" s="27">
        <f t="shared" si="2"/>
        <v>0</v>
      </c>
      <c r="H23" s="31">
        <f>if(OR($E23=1, $E23=2),VLOOKUP($B23,Courts!$B$2:$J$33,5,false),0)</f>
        <v>0</v>
      </c>
      <c r="I23" s="31">
        <f>if(OR($E23=1, $E23=2),VLOOKUP($B23,Courts!$B$2:$J$33,6,false),0)</f>
        <v>0</v>
      </c>
      <c r="J23" s="31">
        <f>if(OR($E23=1, $E23=2),VLOOKUP($B23,Courts!$B$2:$J$33,7,false),0)</f>
        <v>0</v>
      </c>
      <c r="K23" s="32">
        <f t="shared" si="3"/>
        <v>0</v>
      </c>
      <c r="L23" s="31">
        <f>if(OR($E23=1, $E23=2),VLOOKUP($B23,Courts!$B$2:$J$33,9,false),0)</f>
        <v>0</v>
      </c>
      <c r="M23" s="27">
        <f t="shared" ref="M23:N23" si="22">C23+K23</f>
        <v>286</v>
      </c>
      <c r="N23" s="28">
        <f t="shared" si="22"/>
        <v>19</v>
      </c>
      <c r="O23" s="33" t="s">
        <v>37</v>
      </c>
      <c r="P23" s="33" t="s">
        <v>37</v>
      </c>
      <c r="Q23" s="31">
        <f>if(G23=13,1,0)+VLOOKUP(B23,'122323'!B:Q,16,false)</f>
        <v>0</v>
      </c>
      <c r="R23" s="31"/>
      <c r="S23" s="31">
        <f>if(G23=9,1,0)+VLOOKUP(B23,'122323'!B:S,18,false)</f>
        <v>13</v>
      </c>
    </row>
    <row r="24">
      <c r="A24" s="25">
        <f t="shared" si="5"/>
        <v>20</v>
      </c>
      <c r="B24" s="26" t="s">
        <v>64</v>
      </c>
      <c r="C24" s="27">
        <v>284.0</v>
      </c>
      <c r="D24" s="28">
        <v>20.0</v>
      </c>
      <c r="E24" s="30">
        <f>if(isna(VLOOKUP(B24,Checkin!A:B,2,false)),0,VLOOKUP(B24,Checkin!A:B,2,false))</f>
        <v>0</v>
      </c>
      <c r="F24" s="31">
        <f>if(OR($E24=1, $E24=2),VLOOKUP($B24,Courts!$B$2:$K$33,10,false),0)</f>
        <v>0</v>
      </c>
      <c r="G24" s="27">
        <f t="shared" si="2"/>
        <v>0</v>
      </c>
      <c r="H24" s="31">
        <f>if(OR($E24=1, $E24=2),VLOOKUP($B24,Courts!$B$2:$J$33,5,false),0)</f>
        <v>0</v>
      </c>
      <c r="I24" s="31">
        <f>if(OR($E24=1, $E24=2),VLOOKUP($B24,Courts!$B$2:$J$33,6,false),0)</f>
        <v>0</v>
      </c>
      <c r="J24" s="31">
        <f>if(OR($E24=1, $E24=2),VLOOKUP($B24,Courts!$B$2:$J$33,7,false),0)</f>
        <v>0</v>
      </c>
      <c r="K24" s="32">
        <f t="shared" si="3"/>
        <v>0</v>
      </c>
      <c r="L24" s="31">
        <f>if(OR($E24=1, $E24=2),VLOOKUP($B24,Courts!$B$2:$J$33,9,false),0)</f>
        <v>0</v>
      </c>
      <c r="M24" s="27">
        <f t="shared" ref="M24:N24" si="23">C24+K24</f>
        <v>284</v>
      </c>
      <c r="N24" s="28">
        <f t="shared" si="23"/>
        <v>20</v>
      </c>
      <c r="O24" s="33" t="s">
        <v>37</v>
      </c>
      <c r="P24" s="33" t="s">
        <v>37</v>
      </c>
      <c r="Q24" s="31">
        <f>if(G24=13,1,0)+VLOOKUP(B24,'122323'!B:Q,16,false)</f>
        <v>0</v>
      </c>
      <c r="R24" s="31"/>
      <c r="S24" s="31">
        <f>if(G24=9,1,0)+VLOOKUP(B24,'122323'!B:S,18,false)</f>
        <v>14</v>
      </c>
    </row>
    <row r="25">
      <c r="A25" s="25">
        <f t="shared" si="5"/>
        <v>21</v>
      </c>
      <c r="B25" s="36" t="s">
        <v>62</v>
      </c>
      <c r="C25" s="27">
        <v>283.0</v>
      </c>
      <c r="D25" s="28">
        <v>18.0</v>
      </c>
      <c r="E25" s="30">
        <f>if(isna(VLOOKUP(B25,Checkin!A:B,2,false)),0,VLOOKUP(B25,Checkin!A:B,2,false))</f>
        <v>0</v>
      </c>
      <c r="F25" s="31">
        <f>if(OR($E25=1, $E25=2),VLOOKUP($B25,Courts!$B$2:$K$33,10,false),0)</f>
        <v>0</v>
      </c>
      <c r="G25" s="27">
        <f t="shared" si="2"/>
        <v>0</v>
      </c>
      <c r="H25" s="31">
        <f>if(OR($E25=1, $E25=2),VLOOKUP($B25,Courts!$B$2:$J$33,5,false),0)</f>
        <v>0</v>
      </c>
      <c r="I25" s="31">
        <f>if(OR($E25=1, $E25=2),VLOOKUP($B25,Courts!$B$2:$J$33,6,false),0)</f>
        <v>0</v>
      </c>
      <c r="J25" s="31">
        <f>if(OR($E25=1, $E25=2),VLOOKUP($B25,Courts!$B$2:$J$33,7,false),0)</f>
        <v>0</v>
      </c>
      <c r="K25" s="32">
        <f t="shared" si="3"/>
        <v>0</v>
      </c>
      <c r="L25" s="31">
        <f>if(OR($E25=1, $E25=2),VLOOKUP($B25,Courts!$B$2:$J$33,9,false),0)</f>
        <v>0</v>
      </c>
      <c r="M25" s="27">
        <f t="shared" ref="M25:N25" si="24">C25+K25</f>
        <v>283</v>
      </c>
      <c r="N25" s="28">
        <f t="shared" si="24"/>
        <v>18</v>
      </c>
      <c r="O25" s="33" t="s">
        <v>37</v>
      </c>
      <c r="P25" s="33" t="s">
        <v>37</v>
      </c>
      <c r="Q25" s="31">
        <f>if(G25=13,1,0)+VLOOKUP(B25,'122323'!B:Q,16,false)</f>
        <v>0</v>
      </c>
      <c r="R25" s="31"/>
      <c r="S25" s="31">
        <f>if(G25=9,1,0)+VLOOKUP(B25,'122323'!B:S,18,false)</f>
        <v>6</v>
      </c>
    </row>
    <row r="26">
      <c r="A26" s="25">
        <f t="shared" si="5"/>
        <v>22</v>
      </c>
      <c r="B26" s="36" t="s">
        <v>69</v>
      </c>
      <c r="C26" s="27">
        <v>278.0</v>
      </c>
      <c r="D26" s="28">
        <v>19.0</v>
      </c>
      <c r="E26" s="30">
        <f>if(isna(VLOOKUP(B26,Checkin!A:B,2,false)),0,VLOOKUP(B26,Checkin!A:B,2,false))</f>
        <v>0</v>
      </c>
      <c r="F26" s="31">
        <f>if(OR($E26=1, $E26=2),VLOOKUP($B26,Courts!$B$2:$K$33,10,false),0)</f>
        <v>0</v>
      </c>
      <c r="G26" s="27">
        <f t="shared" si="2"/>
        <v>0</v>
      </c>
      <c r="H26" s="31">
        <f>if(OR($E26=1, $E26=2),VLOOKUP($B26,Courts!$B$2:$J$33,5,false),0)</f>
        <v>0</v>
      </c>
      <c r="I26" s="31">
        <f>if(OR($E26=1, $E26=2),VLOOKUP($B26,Courts!$B$2:$J$33,6,false),0)</f>
        <v>0</v>
      </c>
      <c r="J26" s="31">
        <f>if(OR($E26=1, $E26=2),VLOOKUP($B26,Courts!$B$2:$J$33,7,false),0)</f>
        <v>0</v>
      </c>
      <c r="K26" s="32">
        <f t="shared" si="3"/>
        <v>0</v>
      </c>
      <c r="L26" s="31">
        <f>if(OR($E26=1, $E26=2),VLOOKUP($B26,Courts!$B$2:$J$33,9,false),0)</f>
        <v>0</v>
      </c>
      <c r="M26" s="27">
        <f t="shared" ref="M26:N26" si="25">C26+K26</f>
        <v>278</v>
      </c>
      <c r="N26" s="28">
        <f t="shared" si="25"/>
        <v>19</v>
      </c>
      <c r="O26" s="33" t="s">
        <v>37</v>
      </c>
      <c r="P26" s="33" t="s">
        <v>37</v>
      </c>
      <c r="Q26" s="31">
        <f>if(G26=13,1,0)+VLOOKUP(B26,'122323'!B:Q,16,false)</f>
        <v>0</v>
      </c>
      <c r="R26" s="31"/>
      <c r="S26" s="31">
        <f>if(G26=9,1,0)+VLOOKUP(B26,'122323'!B:S,18,false)</f>
        <v>17</v>
      </c>
    </row>
    <row r="27">
      <c r="A27" s="25">
        <f t="shared" si="5"/>
        <v>23</v>
      </c>
      <c r="B27" s="26" t="s">
        <v>66</v>
      </c>
      <c r="C27" s="27">
        <v>278.0</v>
      </c>
      <c r="D27" s="28">
        <v>18.0</v>
      </c>
      <c r="E27" s="30">
        <f>if(isna(VLOOKUP(B27,Checkin!A:B,2,false)),0,VLOOKUP(B27,Checkin!A:B,2,false))</f>
        <v>0</v>
      </c>
      <c r="F27" s="31">
        <f>if(OR($E27=1, $E27=2),VLOOKUP($B27,Courts!$B$2:$K$33,10,false),0)</f>
        <v>0</v>
      </c>
      <c r="G27" s="27">
        <f t="shared" si="2"/>
        <v>0</v>
      </c>
      <c r="H27" s="31">
        <f>if(OR($E27=1, $E27=2),VLOOKUP($B27,Courts!$B$2:$J$33,5,false),0)</f>
        <v>0</v>
      </c>
      <c r="I27" s="31">
        <f>if(OR($E27=1, $E27=2),VLOOKUP($B27,Courts!$B$2:$J$33,6,false),0)</f>
        <v>0</v>
      </c>
      <c r="J27" s="31">
        <f>if(OR($E27=1, $E27=2),VLOOKUP($B27,Courts!$B$2:$J$33,7,false),0)</f>
        <v>0</v>
      </c>
      <c r="K27" s="32">
        <f t="shared" si="3"/>
        <v>0</v>
      </c>
      <c r="L27" s="31">
        <f>if(OR($E27=1, $E27=2),VLOOKUP($B27,Courts!$B$2:$J$33,9,false),0)</f>
        <v>0</v>
      </c>
      <c r="M27" s="27">
        <f t="shared" ref="M27:N27" si="26">C27+K27</f>
        <v>278</v>
      </c>
      <c r="N27" s="28">
        <f t="shared" si="26"/>
        <v>18</v>
      </c>
      <c r="O27" s="33" t="s">
        <v>37</v>
      </c>
      <c r="P27" s="33" t="s">
        <v>37</v>
      </c>
      <c r="Q27" s="31">
        <f>if(G27=13,1,0)+VLOOKUP(B27,'122323'!B:Q,16,false)</f>
        <v>2</v>
      </c>
      <c r="R27" s="31"/>
      <c r="S27" s="31">
        <f>if(G27=9,1,0)+VLOOKUP(B27,'122323'!B:S,18,false)</f>
        <v>8</v>
      </c>
    </row>
    <row r="28">
      <c r="A28" s="25">
        <f t="shared" si="5"/>
        <v>24</v>
      </c>
      <c r="B28" s="36" t="s">
        <v>67</v>
      </c>
      <c r="C28" s="27">
        <v>272.0</v>
      </c>
      <c r="D28" s="28">
        <v>17.0</v>
      </c>
      <c r="E28" s="30">
        <f>if(isna(VLOOKUP(B28,Checkin!A:B,2,false)),0,VLOOKUP(B28,Checkin!A:B,2,false))</f>
        <v>0</v>
      </c>
      <c r="F28" s="31">
        <f>if(OR($E28=1, $E28=2),VLOOKUP($B28,Courts!$B$2:$K$33,10,false),0)</f>
        <v>0</v>
      </c>
      <c r="G28" s="27">
        <f t="shared" si="2"/>
        <v>0</v>
      </c>
      <c r="H28" s="31">
        <f>if(OR($E28=1, $E28=2),VLOOKUP($B28,Courts!$B$2:$J$33,5,false),0)</f>
        <v>0</v>
      </c>
      <c r="I28" s="31">
        <f>if(OR($E28=1, $E28=2),VLOOKUP($B28,Courts!$B$2:$J$33,6,false),0)</f>
        <v>0</v>
      </c>
      <c r="J28" s="31">
        <f>if(OR($E28=1, $E28=2),VLOOKUP($B28,Courts!$B$2:$J$33,7,false),0)</f>
        <v>0</v>
      </c>
      <c r="K28" s="32">
        <f t="shared" si="3"/>
        <v>0</v>
      </c>
      <c r="L28" s="31">
        <f>if(OR($E28=1, $E28=2),VLOOKUP($B28,Courts!$B$2:$J$33,9,false),0)</f>
        <v>0</v>
      </c>
      <c r="M28" s="27">
        <f t="shared" ref="M28:N28" si="27">C28+K28</f>
        <v>272</v>
      </c>
      <c r="N28" s="28">
        <f t="shared" si="27"/>
        <v>17</v>
      </c>
      <c r="O28" s="33" t="s">
        <v>37</v>
      </c>
      <c r="P28" s="33" t="s">
        <v>37</v>
      </c>
      <c r="Q28" s="31">
        <f>if(G28=13,1,0)+VLOOKUP(B28,'122323'!B:Q,16,false)</f>
        <v>0</v>
      </c>
      <c r="R28" s="31"/>
      <c r="S28" s="31">
        <f>if(G28=9,1,0)+VLOOKUP(B28,'122323'!B:S,18,false)</f>
        <v>14</v>
      </c>
    </row>
    <row r="29">
      <c r="A29" s="25">
        <f t="shared" si="5"/>
        <v>25</v>
      </c>
      <c r="B29" s="26" t="s">
        <v>68</v>
      </c>
      <c r="C29" s="27">
        <v>272.0</v>
      </c>
      <c r="D29" s="28">
        <v>15.0</v>
      </c>
      <c r="E29" s="30">
        <f>if(isna(VLOOKUP(B29,Checkin!A:B,2,false)),0,VLOOKUP(B29,Checkin!A:B,2,false))</f>
        <v>0</v>
      </c>
      <c r="F29" s="31">
        <f>if(OR($E29=1, $E29=2),VLOOKUP($B29,Courts!$B$2:$K$33,10,false),0)</f>
        <v>0</v>
      </c>
      <c r="G29" s="27">
        <f t="shared" si="2"/>
        <v>0</v>
      </c>
      <c r="H29" s="31">
        <f>if(OR($E29=1, $E29=2),VLOOKUP($B29,Courts!$B$2:$J$33,5,false),0)</f>
        <v>0</v>
      </c>
      <c r="I29" s="31">
        <f>if(OR($E29=1, $E29=2),VLOOKUP($B29,Courts!$B$2:$J$33,6,false),0)</f>
        <v>0</v>
      </c>
      <c r="J29" s="31">
        <f>if(OR($E29=1, $E29=2),VLOOKUP($B29,Courts!$B$2:$J$33,7,false),0)</f>
        <v>0</v>
      </c>
      <c r="K29" s="32">
        <f t="shared" si="3"/>
        <v>0</v>
      </c>
      <c r="L29" s="31">
        <f>if(OR($E29=1, $E29=2),VLOOKUP($B29,Courts!$B$2:$J$33,9,false),0)</f>
        <v>0</v>
      </c>
      <c r="M29" s="27">
        <f t="shared" ref="M29:N29" si="28">C29+K29</f>
        <v>272</v>
      </c>
      <c r="N29" s="28">
        <f t="shared" si="28"/>
        <v>15</v>
      </c>
      <c r="O29" s="33" t="s">
        <v>37</v>
      </c>
      <c r="P29" s="33" t="s">
        <v>37</v>
      </c>
      <c r="Q29" s="31">
        <f>if(G29=13,1,0)+VLOOKUP(B29,'122323'!B:Q,16,false)</f>
        <v>1</v>
      </c>
      <c r="R29" s="31"/>
      <c r="S29" s="31">
        <f>if(G29=9,1,0)+VLOOKUP(B29,'122323'!B:S,18,false)</f>
        <v>16</v>
      </c>
    </row>
    <row r="30">
      <c r="A30" s="25">
        <f t="shared" si="5"/>
        <v>26</v>
      </c>
      <c r="B30" s="26" t="s">
        <v>70</v>
      </c>
      <c r="C30" s="27">
        <v>270.0</v>
      </c>
      <c r="D30" s="28">
        <v>22.0</v>
      </c>
      <c r="E30" s="30">
        <f>if(isna(VLOOKUP(B30,Checkin!A:B,2,false)),0,VLOOKUP(B30,Checkin!A:B,2,false))</f>
        <v>0</v>
      </c>
      <c r="F30" s="31">
        <f>if(OR($E30=1, $E30=2),VLOOKUP($B30,Courts!$B$2:$K$33,10,false),0)</f>
        <v>0</v>
      </c>
      <c r="G30" s="27">
        <f t="shared" si="2"/>
        <v>0</v>
      </c>
      <c r="H30" s="31">
        <f>if(OR($E30=1, $E30=2),VLOOKUP($B30,Courts!$B$2:$J$33,5,false),0)</f>
        <v>0</v>
      </c>
      <c r="I30" s="31">
        <f>if(OR($E30=1, $E30=2),VLOOKUP($B30,Courts!$B$2:$J$33,6,false),0)</f>
        <v>0</v>
      </c>
      <c r="J30" s="31">
        <f>if(OR($E30=1, $E30=2),VLOOKUP($B30,Courts!$B$2:$J$33,7,false),0)</f>
        <v>0</v>
      </c>
      <c r="K30" s="32">
        <f t="shared" si="3"/>
        <v>0</v>
      </c>
      <c r="L30" s="31">
        <f>if(OR($E30=1, $E30=2),VLOOKUP($B30,Courts!$B$2:$J$33,9,false),0)</f>
        <v>0</v>
      </c>
      <c r="M30" s="27">
        <f t="shared" ref="M30:N30" si="29">C30+K30</f>
        <v>270</v>
      </c>
      <c r="N30" s="28">
        <f t="shared" si="29"/>
        <v>22</v>
      </c>
      <c r="O30" s="33" t="s">
        <v>37</v>
      </c>
      <c r="P30" s="33" t="s">
        <v>37</v>
      </c>
      <c r="Q30" s="31">
        <f>if(G30=13,1,0)+VLOOKUP(B30,'122323'!B:Q,16,false)</f>
        <v>0</v>
      </c>
      <c r="R30" s="31"/>
      <c r="S30" s="31">
        <f>if(G30=9,1,0)+VLOOKUP(B30,'122323'!B:S,18,false)</f>
        <v>8</v>
      </c>
    </row>
    <row r="31">
      <c r="A31" s="25">
        <f t="shared" si="5"/>
        <v>27</v>
      </c>
      <c r="B31" s="26" t="s">
        <v>71</v>
      </c>
      <c r="C31" s="27">
        <v>265.0</v>
      </c>
      <c r="D31" s="28">
        <v>17.0</v>
      </c>
      <c r="E31" s="30">
        <f>if(isna(VLOOKUP(B31,Checkin!A:B,2,false)),0,VLOOKUP(B31,Checkin!A:B,2,false))</f>
        <v>0</v>
      </c>
      <c r="F31" s="31">
        <f>if(OR($E31=1, $E31=2),VLOOKUP($B31,Courts!$B$2:$K$33,10,false),0)</f>
        <v>0</v>
      </c>
      <c r="G31" s="27">
        <f t="shared" si="2"/>
        <v>0</v>
      </c>
      <c r="H31" s="31">
        <f>if(OR($E31=1, $E31=2),VLOOKUP($B31,Courts!$B$2:$J$33,5,false),0)</f>
        <v>0</v>
      </c>
      <c r="I31" s="31">
        <f>if(OR($E31=1, $E31=2),VLOOKUP($B31,Courts!$B$2:$J$33,6,false),0)</f>
        <v>0</v>
      </c>
      <c r="J31" s="31">
        <f>if(OR($E31=1, $E31=2),VLOOKUP($B31,Courts!$B$2:$J$33,7,false),0)</f>
        <v>0</v>
      </c>
      <c r="K31" s="32">
        <f t="shared" si="3"/>
        <v>0</v>
      </c>
      <c r="L31" s="31">
        <f>if(OR($E31=1, $E31=2),VLOOKUP($B31,Courts!$B$2:$J$33,9,false),0)</f>
        <v>0</v>
      </c>
      <c r="M31" s="27">
        <f t="shared" ref="M31:N31" si="30">C31+K31</f>
        <v>265</v>
      </c>
      <c r="N31" s="28">
        <f t="shared" si="30"/>
        <v>17</v>
      </c>
      <c r="O31" s="33" t="s">
        <v>37</v>
      </c>
      <c r="P31" s="33" t="s">
        <v>37</v>
      </c>
      <c r="Q31" s="31">
        <f>if(G31=13,1,0)+VLOOKUP(B31,'122323'!B:Q,16,false)</f>
        <v>1</v>
      </c>
      <c r="R31" s="31"/>
      <c r="S31" s="31">
        <f>if(G31=9,1,0)+VLOOKUP(B31,'122323'!B:S,18,false)</f>
        <v>15</v>
      </c>
    </row>
    <row r="32">
      <c r="A32" s="25">
        <f t="shared" si="5"/>
        <v>28</v>
      </c>
      <c r="B32" s="26" t="s">
        <v>72</v>
      </c>
      <c r="C32" s="27">
        <v>260.0</v>
      </c>
      <c r="D32" s="28">
        <v>16.0</v>
      </c>
      <c r="E32" s="30">
        <f>if(isna(VLOOKUP(B32,Checkin!A:B,2,false)),0,VLOOKUP(B32,Checkin!A:B,2,false))</f>
        <v>0</v>
      </c>
      <c r="F32" s="31">
        <f>if(OR($V31=1, $V31=2),VLOOKUP($B32,Courts!$B$2:$K$33,10,false),0)</f>
        <v>0</v>
      </c>
      <c r="G32" s="27">
        <f t="shared" si="2"/>
        <v>0</v>
      </c>
      <c r="H32" s="31">
        <f>if(OR($V31=1, $V31=2),VLOOKUP($B32,Courts!$B$2:$J$33,5,false),0)</f>
        <v>0</v>
      </c>
      <c r="I32" s="31">
        <f>if(OR($V31=1, $V31=2),VLOOKUP($B32,Courts!$B$2:$J$33,6,false),0)</f>
        <v>0</v>
      </c>
      <c r="J32" s="31">
        <f>if(OR($V31=1, $V31=2),VLOOKUP($B32,Courts!$B$2:$J$33,7,false),0)</f>
        <v>0</v>
      </c>
      <c r="K32" s="32">
        <f t="shared" si="3"/>
        <v>0</v>
      </c>
      <c r="L32" s="31">
        <f>if(OR($V31=1, $V31=2),VLOOKUP($B32,Courts!$B$2:$J$33,9,false),0)</f>
        <v>0</v>
      </c>
      <c r="M32" s="27">
        <f t="shared" ref="M32:N32" si="31">C32+K32</f>
        <v>260</v>
      </c>
      <c r="N32" s="28">
        <f t="shared" si="31"/>
        <v>16</v>
      </c>
      <c r="O32" s="33" t="s">
        <v>37</v>
      </c>
      <c r="P32" s="33" t="s">
        <v>37</v>
      </c>
      <c r="Q32" s="31">
        <f>if(G32=13,1,0)+VLOOKUP(B32,'122323'!B:Q,16,false)</f>
        <v>1</v>
      </c>
      <c r="R32" s="31"/>
      <c r="S32" s="31">
        <f>if(G32=9,1,0)+VLOOKUP(B32,'122323'!B:S,18,false)</f>
        <v>15</v>
      </c>
    </row>
    <row r="33">
      <c r="A33" s="25">
        <f t="shared" si="5"/>
        <v>29</v>
      </c>
      <c r="B33" s="26" t="s">
        <v>79</v>
      </c>
      <c r="C33" s="27">
        <v>259.0</v>
      </c>
      <c r="D33" s="28">
        <v>25.0</v>
      </c>
      <c r="E33" s="30">
        <f>if(isna(VLOOKUP(B33,Checkin!A:B,2,false)),0,VLOOKUP(B33,Checkin!A:B,2,false))</f>
        <v>0</v>
      </c>
      <c r="F33" s="31">
        <f>if(OR($E33=1, $E33=2),VLOOKUP($B33,Courts!$B$2:$K$33,10,false),0)</f>
        <v>0</v>
      </c>
      <c r="G33" s="27">
        <f t="shared" si="2"/>
        <v>0</v>
      </c>
      <c r="H33" s="31">
        <f>if(OR($E33=1, $E33=2),VLOOKUP($B33,Courts!$B$2:$J$33,5,false),0)</f>
        <v>0</v>
      </c>
      <c r="I33" s="31">
        <f>if(OR($E33=1, $E33=2),VLOOKUP($B33,Courts!$B$2:$J$33,6,false),0)</f>
        <v>0</v>
      </c>
      <c r="J33" s="31">
        <f>if(OR($E33=1, $E33=2),VLOOKUP($B33,Courts!$B$2:$J$33,7,false),0)</f>
        <v>0</v>
      </c>
      <c r="K33" s="32">
        <f t="shared" si="3"/>
        <v>0</v>
      </c>
      <c r="L33" s="31">
        <f>if(OR($E33=1, $E33=2),VLOOKUP($B33,Courts!$B$2:$J$33,9,false),0)</f>
        <v>0</v>
      </c>
      <c r="M33" s="27">
        <f t="shared" ref="M33:N33" si="32">C33+K33</f>
        <v>259</v>
      </c>
      <c r="N33" s="28">
        <f t="shared" si="32"/>
        <v>25</v>
      </c>
      <c r="O33" s="33" t="s">
        <v>37</v>
      </c>
      <c r="P33" s="33" t="s">
        <v>37</v>
      </c>
      <c r="Q33" s="31">
        <f>if(G33=13,1,0)+VLOOKUP(B33,'122323'!B:Q,16,false)</f>
        <v>0</v>
      </c>
      <c r="R33" s="31"/>
      <c r="S33" s="31">
        <f>if(G33=9,1,0)+VLOOKUP(B33,'122323'!B:S,18,false)</f>
        <v>4</v>
      </c>
    </row>
    <row r="34">
      <c r="A34" s="25">
        <f t="shared" si="5"/>
        <v>30</v>
      </c>
      <c r="B34" s="26" t="s">
        <v>73</v>
      </c>
      <c r="C34" s="27">
        <v>259.0</v>
      </c>
      <c r="D34" s="28">
        <v>11.0</v>
      </c>
      <c r="E34" s="30">
        <f>if(isna(VLOOKUP(B34,Checkin!A:B,2,false)),0,VLOOKUP(B34,Checkin!A:B,2,false))</f>
        <v>0</v>
      </c>
      <c r="F34" s="31">
        <f>if(OR($E34=1, $E34=2),VLOOKUP($B34,Courts!$B$2:$K$33,10,false),0)</f>
        <v>0</v>
      </c>
      <c r="G34" s="27">
        <f t="shared" si="2"/>
        <v>0</v>
      </c>
      <c r="H34" s="31">
        <f>if(OR($E34=1, $E34=2),VLOOKUP($B34,Courts!$B$2:$J$33,5,false),0)</f>
        <v>0</v>
      </c>
      <c r="I34" s="31">
        <f>if(OR($E34=1, $E34=2),VLOOKUP($B34,Courts!$B$2:$J$33,6,false),0)</f>
        <v>0</v>
      </c>
      <c r="J34" s="31">
        <f>if(OR($E34=1, $E34=2),VLOOKUP($B34,Courts!$B$2:$J$33,7,false),0)</f>
        <v>0</v>
      </c>
      <c r="K34" s="32">
        <f t="shared" si="3"/>
        <v>0</v>
      </c>
      <c r="L34" s="31">
        <f>if(OR($E34=1, $E34=2),VLOOKUP($B34,Courts!$B$2:$J$33,9,false),0)</f>
        <v>0</v>
      </c>
      <c r="M34" s="27">
        <f t="shared" ref="M34:N34" si="33">C34+K34</f>
        <v>259</v>
      </c>
      <c r="N34" s="28">
        <f t="shared" si="33"/>
        <v>11</v>
      </c>
      <c r="O34" s="33" t="s">
        <v>37</v>
      </c>
      <c r="P34" s="33" t="s">
        <v>37</v>
      </c>
      <c r="Q34" s="31">
        <f>if(G34=13,1,0)+VLOOKUP(B34,'122323'!B:Q,16,false)</f>
        <v>0</v>
      </c>
      <c r="R34" s="31"/>
      <c r="S34" s="31">
        <f>if(G34=9,1,0)+VLOOKUP(B34,'122323'!B:S,18,false)</f>
        <v>17</v>
      </c>
    </row>
    <row r="35">
      <c r="A35" s="25">
        <f t="shared" si="5"/>
        <v>31</v>
      </c>
      <c r="B35" s="26" t="s">
        <v>75</v>
      </c>
      <c r="C35" s="27">
        <v>258.0</v>
      </c>
      <c r="D35" s="28">
        <v>16.0</v>
      </c>
      <c r="E35" s="30">
        <f>if(isna(VLOOKUP(B35,Checkin!A:B,2,false)),0,VLOOKUP(B35,Checkin!A:B,2,false))</f>
        <v>0</v>
      </c>
      <c r="F35" s="31">
        <f>if(OR($E35=1, $E35=2),VLOOKUP($B35,Courts!$B$2:$K$33,10,false),0)</f>
        <v>0</v>
      </c>
      <c r="G35" s="27">
        <f t="shared" si="2"/>
        <v>0</v>
      </c>
      <c r="H35" s="31">
        <f>if(OR($E35=1, $E35=2),VLOOKUP($B35,Courts!$B$2:$J$33,5,false),0)</f>
        <v>0</v>
      </c>
      <c r="I35" s="31">
        <f>if(OR($E35=1, $E35=2),VLOOKUP($B35,Courts!$B$2:$J$33,6,false),0)</f>
        <v>0</v>
      </c>
      <c r="J35" s="31">
        <f>if(OR($E35=1, $E35=2),VLOOKUP($B35,Courts!$B$2:$J$33,7,false),0)</f>
        <v>0</v>
      </c>
      <c r="K35" s="32">
        <f t="shared" si="3"/>
        <v>0</v>
      </c>
      <c r="L35" s="31">
        <f>if(OR($E35=1, $E35=2),VLOOKUP($B35,Courts!$B$2:$J$33,9,false),0)</f>
        <v>0</v>
      </c>
      <c r="M35" s="27">
        <f t="shared" ref="M35:N35" si="34">C35+K35</f>
        <v>258</v>
      </c>
      <c r="N35" s="28">
        <f t="shared" si="34"/>
        <v>16</v>
      </c>
      <c r="O35" s="33" t="s">
        <v>37</v>
      </c>
      <c r="P35" s="33" t="s">
        <v>37</v>
      </c>
      <c r="Q35" s="31">
        <f>if(G35=13,1,0)+VLOOKUP(B35,'122323'!B:Q,16,false)</f>
        <v>0</v>
      </c>
      <c r="R35" s="31"/>
      <c r="S35" s="31">
        <f>if(G35=9,1,0)+VLOOKUP(B35,'122323'!B:S,18,false)</f>
        <v>7</v>
      </c>
    </row>
    <row r="36">
      <c r="A36" s="25">
        <f t="shared" si="5"/>
        <v>32</v>
      </c>
      <c r="B36" s="26" t="s">
        <v>78</v>
      </c>
      <c r="C36" s="27">
        <v>256.0</v>
      </c>
      <c r="D36" s="28">
        <v>17.0</v>
      </c>
      <c r="E36" s="30">
        <f>if(isna(VLOOKUP(B36,Checkin!A:B,2,false)),0,VLOOKUP(B36,Checkin!A:B,2,false))</f>
        <v>0</v>
      </c>
      <c r="F36" s="31">
        <f>if(OR($E36=1, $E36=2),VLOOKUP($B36,Courts!$B$2:$K$33,10,false),0)</f>
        <v>0</v>
      </c>
      <c r="G36" s="27">
        <f t="shared" si="2"/>
        <v>0</v>
      </c>
      <c r="H36" s="31">
        <f>if(OR($E36=1, $E36=2),VLOOKUP($B36,Courts!$B$2:$J$33,5,false),0)</f>
        <v>0</v>
      </c>
      <c r="I36" s="31">
        <f>if(OR($E36=1, $E36=2),VLOOKUP($B36,Courts!$B$2:$J$33,6,false),0)</f>
        <v>0</v>
      </c>
      <c r="J36" s="31">
        <f>if(OR($E36=1, $E36=2),VLOOKUP($B36,Courts!$B$2:$J$33,7,false),0)</f>
        <v>0</v>
      </c>
      <c r="K36" s="32">
        <f t="shared" si="3"/>
        <v>0</v>
      </c>
      <c r="L36" s="31">
        <f>if(OR($E36=1, $E36=2),VLOOKUP($B36,Courts!$B$2:$J$33,9,false),0)</f>
        <v>0</v>
      </c>
      <c r="M36" s="27">
        <f t="shared" ref="M36:N36" si="35">C36+K36</f>
        <v>256</v>
      </c>
      <c r="N36" s="28">
        <f t="shared" si="35"/>
        <v>17</v>
      </c>
      <c r="O36" s="33" t="s">
        <v>37</v>
      </c>
      <c r="P36" s="33" t="s">
        <v>37</v>
      </c>
      <c r="Q36" s="31">
        <f>if(G36=13,1,0)+VLOOKUP(B36,'122323'!B:Q,16,false)</f>
        <v>0</v>
      </c>
      <c r="R36" s="31"/>
      <c r="S36" s="31">
        <f>if(G36=9,1,0)+VLOOKUP(B36,'122323'!B:S,18,false)</f>
        <v>10</v>
      </c>
    </row>
    <row r="37">
      <c r="A37" s="25">
        <f t="shared" si="5"/>
        <v>33</v>
      </c>
      <c r="B37" s="26" t="s">
        <v>74</v>
      </c>
      <c r="C37" s="27">
        <v>255.0</v>
      </c>
      <c r="D37" s="28">
        <v>14.0</v>
      </c>
      <c r="E37" s="30">
        <f>if(isna(VLOOKUP(B37,Checkin!A:B,2,false)),0,VLOOKUP(B37,Checkin!A:B,2,false))</f>
        <v>0</v>
      </c>
      <c r="F37" s="31">
        <f>if(OR($E37=1, $E37=2),VLOOKUP($B37,Courts!$B$2:$K$33,10,false),0)</f>
        <v>0</v>
      </c>
      <c r="G37" s="27">
        <f t="shared" si="2"/>
        <v>0</v>
      </c>
      <c r="H37" s="31">
        <f>if(OR($E37=1, $E37=2),VLOOKUP($B37,Courts!$B$2:$J$33,5,false),0)</f>
        <v>0</v>
      </c>
      <c r="I37" s="31">
        <f>if(OR($E37=1, $E37=2),VLOOKUP($B37,Courts!$B$2:$J$33,6,false),0)</f>
        <v>0</v>
      </c>
      <c r="J37" s="31">
        <f>if(OR($E37=1, $E37=2),VLOOKUP($B37,Courts!$B$2:$J$33,7,false),0)</f>
        <v>0</v>
      </c>
      <c r="K37" s="32">
        <f t="shared" si="3"/>
        <v>0</v>
      </c>
      <c r="L37" s="31">
        <f>if(OR($E37=1, $E37=2),VLOOKUP($B37,Courts!$B$2:$J$33,9,false),0)</f>
        <v>0</v>
      </c>
      <c r="M37" s="27">
        <f t="shared" ref="M37:N37" si="36">C37+K37</f>
        <v>255</v>
      </c>
      <c r="N37" s="28">
        <f t="shared" si="36"/>
        <v>14</v>
      </c>
      <c r="O37" s="33" t="s">
        <v>37</v>
      </c>
      <c r="P37" s="33" t="s">
        <v>37</v>
      </c>
      <c r="Q37" s="31">
        <f>if(G37=13,1,0)+VLOOKUP(B37,'122323'!B:Q,16,false)</f>
        <v>0</v>
      </c>
      <c r="R37" s="31"/>
      <c r="S37" s="31">
        <f>if(G37=9,1,0)+VLOOKUP(B37,'122323'!B:S,18,false)</f>
        <v>10</v>
      </c>
    </row>
    <row r="38">
      <c r="A38" s="25">
        <f t="shared" si="5"/>
        <v>34</v>
      </c>
      <c r="B38" s="36" t="s">
        <v>81</v>
      </c>
      <c r="C38" s="27">
        <v>252.0</v>
      </c>
      <c r="D38" s="28">
        <v>15.0</v>
      </c>
      <c r="E38" s="30">
        <f>if(isna(VLOOKUP(B38,Checkin!A:B,2,false)),0,VLOOKUP(B38,Checkin!A:B,2,false))</f>
        <v>0</v>
      </c>
      <c r="F38" s="31">
        <f>if(OR($E38=1, $E38=2),VLOOKUP($B38,Courts!$B$2:$K$33,10,false),0)</f>
        <v>0</v>
      </c>
      <c r="G38" s="27">
        <f t="shared" si="2"/>
        <v>0</v>
      </c>
      <c r="H38" s="31">
        <f>if(OR($E38=1, $E38=2),VLOOKUP($B38,Courts!$B$2:$J$33,5,false),0)</f>
        <v>0</v>
      </c>
      <c r="I38" s="31">
        <f>if(OR($E38=1, $E38=2),VLOOKUP($B38,Courts!$B$2:$J$33,6,false),0)</f>
        <v>0</v>
      </c>
      <c r="J38" s="31">
        <f>if(OR($E38=1, $E38=2),VLOOKUP($B38,Courts!$B$2:$J$33,7,false),0)</f>
        <v>0</v>
      </c>
      <c r="K38" s="32">
        <f t="shared" si="3"/>
        <v>0</v>
      </c>
      <c r="L38" s="31">
        <f>if(OR($E38=1, $E38=2),VLOOKUP($B38,Courts!$B$2:$J$33,9,false),0)</f>
        <v>0</v>
      </c>
      <c r="M38" s="27">
        <f t="shared" ref="M38:N38" si="37">C38+K38</f>
        <v>252</v>
      </c>
      <c r="N38" s="28">
        <f t="shared" si="37"/>
        <v>15</v>
      </c>
      <c r="O38" s="33" t="s">
        <v>37</v>
      </c>
      <c r="P38" s="33" t="s">
        <v>37</v>
      </c>
      <c r="Q38" s="31">
        <f>if(G38=13,1,0)+VLOOKUP(B38,'122323'!B:Q,16,false)</f>
        <v>0</v>
      </c>
      <c r="R38" s="31"/>
      <c r="S38" s="31">
        <f>if(G38=9,1,0)+VLOOKUP(B38,'122323'!B:S,18,false)</f>
        <v>7</v>
      </c>
    </row>
    <row r="39">
      <c r="A39" s="25">
        <f t="shared" si="5"/>
        <v>35</v>
      </c>
      <c r="B39" s="36" t="s">
        <v>76</v>
      </c>
      <c r="C39" s="27">
        <v>252.0</v>
      </c>
      <c r="D39" s="28">
        <v>13.0</v>
      </c>
      <c r="E39" s="30">
        <f>if(isna(VLOOKUP(B39,Checkin!A:B,2,false)),0,VLOOKUP(B39,Checkin!A:B,2,false))</f>
        <v>0</v>
      </c>
      <c r="F39" s="31">
        <f>if(OR($E39=1, $E39=2),VLOOKUP($B39,Courts!$B$2:$K$33,10,false),0)</f>
        <v>0</v>
      </c>
      <c r="G39" s="27">
        <f t="shared" si="2"/>
        <v>0</v>
      </c>
      <c r="H39" s="31">
        <f>if(OR($E39=1, $E39=2),VLOOKUP($B39,Courts!$B$2:$J$33,5,false),0)</f>
        <v>0</v>
      </c>
      <c r="I39" s="31">
        <f>if(OR($E39=1, $E39=2),VLOOKUP($B39,Courts!$B$2:$J$33,6,false),0)</f>
        <v>0</v>
      </c>
      <c r="J39" s="31">
        <f>if(OR($E39=1, $E39=2),VLOOKUP($B39,Courts!$B$2:$J$33,7,false),0)</f>
        <v>0</v>
      </c>
      <c r="K39" s="32">
        <f t="shared" si="3"/>
        <v>0</v>
      </c>
      <c r="L39" s="31">
        <f>if(OR($E39=1, $E39=2),VLOOKUP($B39,Courts!$B$2:$J$33,9,false),0)</f>
        <v>0</v>
      </c>
      <c r="M39" s="27">
        <f t="shared" ref="M39:N39" si="38">C39+K39</f>
        <v>252</v>
      </c>
      <c r="N39" s="28">
        <f t="shared" si="38"/>
        <v>13</v>
      </c>
      <c r="O39" s="33" t="s">
        <v>37</v>
      </c>
      <c r="P39" s="33" t="s">
        <v>37</v>
      </c>
      <c r="Q39" s="31">
        <f>if(G39=13,1,0)+VLOOKUP(B39,'122323'!B:Q,16,false)</f>
        <v>0</v>
      </c>
      <c r="R39" s="31"/>
      <c r="S39" s="31">
        <f>if(G39=9,1,0)+VLOOKUP(B39,'122323'!B:S,18,false)</f>
        <v>18</v>
      </c>
    </row>
    <row r="40">
      <c r="A40" s="25">
        <f t="shared" si="5"/>
        <v>36</v>
      </c>
      <c r="B40" s="36" t="s">
        <v>77</v>
      </c>
      <c r="C40" s="27">
        <v>252.0</v>
      </c>
      <c r="D40" s="28">
        <v>10.0</v>
      </c>
      <c r="E40" s="30">
        <f>if(isna(VLOOKUP(B40,Checkin!A:B,2,false)),0,VLOOKUP(B40,Checkin!A:B,2,false))</f>
        <v>0</v>
      </c>
      <c r="F40" s="31">
        <f>if(OR($E40=1, $E40=2),VLOOKUP($B40,Courts!$B$2:$K$33,10,false),0)</f>
        <v>0</v>
      </c>
      <c r="G40" s="27">
        <f t="shared" si="2"/>
        <v>0</v>
      </c>
      <c r="H40" s="31">
        <f>if(OR($E40=1, $E40=2),VLOOKUP($B40,Courts!$B$2:$J$33,5,false),0)</f>
        <v>0</v>
      </c>
      <c r="I40" s="31">
        <f>if(OR($E40=1, $E40=2),VLOOKUP($B40,Courts!$B$2:$J$33,6,false),0)</f>
        <v>0</v>
      </c>
      <c r="J40" s="31">
        <f>if(OR($E40=1, $E40=2),VLOOKUP($B40,Courts!$B$2:$J$33,7,false),0)</f>
        <v>0</v>
      </c>
      <c r="K40" s="32">
        <f t="shared" si="3"/>
        <v>0</v>
      </c>
      <c r="L40" s="31">
        <f>if(OR($E40=1, $E40=2),VLOOKUP($B40,Courts!$B$2:$J$33,9,false),0)</f>
        <v>0</v>
      </c>
      <c r="M40" s="27">
        <f t="shared" ref="M40:N40" si="39">C40+K40</f>
        <v>252</v>
      </c>
      <c r="N40" s="28">
        <f t="shared" si="39"/>
        <v>10</v>
      </c>
      <c r="O40" s="33" t="s">
        <v>37</v>
      </c>
      <c r="P40" s="33" t="s">
        <v>37</v>
      </c>
      <c r="Q40" s="31">
        <f>if(G40=13,1,0)+VLOOKUP(B40,'122323'!B:Q,16,false)</f>
        <v>0</v>
      </c>
      <c r="R40" s="31"/>
      <c r="S40" s="31">
        <f>if(G40=9,1,0)+VLOOKUP(B40,'122323'!B:S,18,false)</f>
        <v>19</v>
      </c>
    </row>
    <row r="41">
      <c r="A41" s="25">
        <f t="shared" si="5"/>
        <v>37</v>
      </c>
      <c r="B41" s="26" t="s">
        <v>87</v>
      </c>
      <c r="C41" s="27">
        <v>251.0</v>
      </c>
      <c r="D41" s="28">
        <v>14.0</v>
      </c>
      <c r="E41" s="30">
        <f>if(isna(VLOOKUP(B41,Checkin!A:B,2,false)),0,VLOOKUP(B41,Checkin!A:B,2,false))</f>
        <v>0</v>
      </c>
      <c r="F41" s="31">
        <f>if(OR($E41=1, $E41=2),VLOOKUP($B41,Courts!$B$2:$K$33,10,false),0)</f>
        <v>0</v>
      </c>
      <c r="G41" s="27">
        <f t="shared" si="2"/>
        <v>0</v>
      </c>
      <c r="H41" s="31">
        <f>if(OR($E41=1, $E41=2),VLOOKUP($B41,Courts!$B$2:$J$33,5,false),0)</f>
        <v>0</v>
      </c>
      <c r="I41" s="31">
        <f>if(OR($E41=1, $E41=2),VLOOKUP($B41,Courts!$B$2:$J$33,6,false),0)</f>
        <v>0</v>
      </c>
      <c r="J41" s="31">
        <f>if(OR($E41=1, $E41=2),VLOOKUP($B41,Courts!$B$2:$J$33,7,false),0)</f>
        <v>0</v>
      </c>
      <c r="K41" s="32">
        <f t="shared" si="3"/>
        <v>0</v>
      </c>
      <c r="L41" s="31">
        <f>if(OR($E41=1, $E41=2),VLOOKUP($B41,Courts!$B$2:$J$33,9,false),0)</f>
        <v>0</v>
      </c>
      <c r="M41" s="27">
        <f t="shared" ref="M41:N41" si="40">C41+K41</f>
        <v>251</v>
      </c>
      <c r="N41" s="28">
        <f t="shared" si="40"/>
        <v>14</v>
      </c>
      <c r="O41" s="33" t="s">
        <v>37</v>
      </c>
      <c r="P41" s="33" t="s">
        <v>37</v>
      </c>
      <c r="Q41" s="31">
        <f>if(G41=13,1,0)+VLOOKUP(B41,'122323'!B:Q,16,false)</f>
        <v>1</v>
      </c>
      <c r="R41" s="31"/>
      <c r="S41" s="31">
        <f>if(G41=9,1,0)+VLOOKUP(B41,'122323'!B:S,18,false)</f>
        <v>11</v>
      </c>
    </row>
    <row r="42">
      <c r="A42" s="25">
        <f t="shared" si="5"/>
        <v>38</v>
      </c>
      <c r="B42" s="26" t="s">
        <v>80</v>
      </c>
      <c r="C42" s="27">
        <v>249.0</v>
      </c>
      <c r="D42" s="28">
        <v>10.0</v>
      </c>
      <c r="E42" s="30">
        <f>if(isna(VLOOKUP(B42,Checkin!A:B,2,false)),0,VLOOKUP(B42,Checkin!A:B,2,false))</f>
        <v>0</v>
      </c>
      <c r="F42" s="31">
        <f>if(OR($E42=1, $E42=2),VLOOKUP($B42,Courts!$B$2:$K$33,10,false),0)</f>
        <v>0</v>
      </c>
      <c r="G42" s="27">
        <f t="shared" si="2"/>
        <v>0</v>
      </c>
      <c r="H42" s="31">
        <f>if(OR($E42=1, $E42=2),VLOOKUP($B42,Courts!$B$2:$J$33,5,false),0)</f>
        <v>0</v>
      </c>
      <c r="I42" s="31">
        <f>if(OR($E42=1, $E42=2),VLOOKUP($B42,Courts!$B$2:$J$33,6,false),0)</f>
        <v>0</v>
      </c>
      <c r="J42" s="31">
        <f>if(OR($E42=1, $E42=2),VLOOKUP($B42,Courts!$B$2:$J$33,7,false),0)</f>
        <v>0</v>
      </c>
      <c r="K42" s="32">
        <f t="shared" si="3"/>
        <v>0</v>
      </c>
      <c r="L42" s="31">
        <f>if(OR($E42=1, $E42=2),VLOOKUP($B42,Courts!$B$2:$J$33,9,false),0)</f>
        <v>0</v>
      </c>
      <c r="M42" s="27">
        <f t="shared" ref="M42:N42" si="41">C42+K42</f>
        <v>249</v>
      </c>
      <c r="N42" s="28">
        <f t="shared" si="41"/>
        <v>10</v>
      </c>
      <c r="O42" s="33" t="s">
        <v>37</v>
      </c>
      <c r="P42" s="37"/>
      <c r="Q42" s="31">
        <f>if(G42=13,1,0)+VLOOKUP(B42,'122323'!B:Q,16,false)</f>
        <v>0</v>
      </c>
      <c r="R42" s="31"/>
      <c r="S42" s="31">
        <f>if(G42=9,1,0)+VLOOKUP(B42,'122323'!B:S,18,false)</f>
        <v>20</v>
      </c>
    </row>
    <row r="43">
      <c r="A43" s="25">
        <f t="shared" si="5"/>
        <v>39</v>
      </c>
      <c r="B43" s="36" t="s">
        <v>85</v>
      </c>
      <c r="C43" s="27">
        <v>248.0</v>
      </c>
      <c r="D43" s="28">
        <v>21.0</v>
      </c>
      <c r="E43" s="30">
        <f>if(isna(VLOOKUP(B43,Checkin!A:B,2,false)),0,VLOOKUP(B43,Checkin!A:B,2,false))</f>
        <v>0</v>
      </c>
      <c r="F43" s="31">
        <f>if(OR($E43=1, $E43=2),VLOOKUP($B43,Courts!$B$2:$K$33,10,false),0)</f>
        <v>0</v>
      </c>
      <c r="G43" s="27">
        <f t="shared" si="2"/>
        <v>0</v>
      </c>
      <c r="H43" s="31">
        <f>if(OR($E43=1, $E43=2),VLOOKUP($B43,Courts!$B$2:$J$33,5,false),0)</f>
        <v>0</v>
      </c>
      <c r="I43" s="31">
        <f>if(OR($E43=1, $E43=2),VLOOKUP($B43,Courts!$B$2:$J$33,6,false),0)</f>
        <v>0</v>
      </c>
      <c r="J43" s="31">
        <f>if(OR($E43=1, $E43=2),VLOOKUP($B43,Courts!$B$2:$J$33,7,false),0)</f>
        <v>0</v>
      </c>
      <c r="K43" s="32">
        <f t="shared" si="3"/>
        <v>0</v>
      </c>
      <c r="L43" s="31">
        <f>if(OR($E43=1, $E43=2),VLOOKUP($B43,Courts!$B$2:$J$33,9,false),0)</f>
        <v>0</v>
      </c>
      <c r="M43" s="27">
        <f t="shared" ref="M43:N43" si="42">C43+K43</f>
        <v>248</v>
      </c>
      <c r="N43" s="28">
        <f t="shared" si="42"/>
        <v>21</v>
      </c>
      <c r="O43" s="33" t="s">
        <v>37</v>
      </c>
      <c r="P43" s="33" t="s">
        <v>37</v>
      </c>
      <c r="Q43" s="31">
        <f>if(G43=13,1,0)+VLOOKUP(B43,'122323'!B:Q,16,false)</f>
        <v>0</v>
      </c>
      <c r="R43" s="31"/>
      <c r="S43" s="31">
        <f>if(G43=9,1,0)+VLOOKUP(B43,'122323'!B:S,18,false)</f>
        <v>9</v>
      </c>
    </row>
    <row r="44">
      <c r="A44" s="25">
        <f t="shared" si="5"/>
        <v>40</v>
      </c>
      <c r="B44" s="36" t="s">
        <v>82</v>
      </c>
      <c r="C44" s="27">
        <v>244.0</v>
      </c>
      <c r="D44" s="28">
        <v>9.0</v>
      </c>
      <c r="E44" s="30">
        <f>if(isna(VLOOKUP(B44,Checkin!A:B,2,false)),0,VLOOKUP(B44,Checkin!A:B,2,false))</f>
        <v>0</v>
      </c>
      <c r="F44" s="31">
        <f>if(OR($E44=1, $E44=2),VLOOKUP($B44,Courts!$B$2:$K$33,10,false),0)</f>
        <v>0</v>
      </c>
      <c r="G44" s="27">
        <f t="shared" si="2"/>
        <v>0</v>
      </c>
      <c r="H44" s="31">
        <f>if(OR($E44=1, $E44=2),VLOOKUP($B44,Courts!$B$2:$J$33,5,false),0)</f>
        <v>0</v>
      </c>
      <c r="I44" s="31">
        <f>if(OR($E44=1, $E44=2),VLOOKUP($B44,Courts!$B$2:$J$33,6,false),0)</f>
        <v>0</v>
      </c>
      <c r="J44" s="31">
        <f>if(OR($E44=1, $E44=2),VLOOKUP($B44,Courts!$B$2:$J$33,7,false),0)</f>
        <v>0</v>
      </c>
      <c r="K44" s="32">
        <f t="shared" si="3"/>
        <v>0</v>
      </c>
      <c r="L44" s="31">
        <f>if(OR($E44=1, $E44=2),VLOOKUP($B44,Courts!$B$2:$J$33,9,false),0)</f>
        <v>0</v>
      </c>
      <c r="M44" s="27">
        <f t="shared" ref="M44:N44" si="43">C44+K44</f>
        <v>244</v>
      </c>
      <c r="N44" s="28">
        <f t="shared" si="43"/>
        <v>9</v>
      </c>
      <c r="O44" s="33" t="s">
        <v>37</v>
      </c>
      <c r="P44" s="33" t="s">
        <v>37</v>
      </c>
      <c r="Q44" s="31">
        <f>if(G44=13,1,0)+VLOOKUP(B44,'122323'!B:Q,16,false)</f>
        <v>0</v>
      </c>
      <c r="R44" s="31"/>
      <c r="S44" s="31">
        <f>if(G44=9,1,0)+VLOOKUP(B44,'122323'!B:S,18,false)</f>
        <v>20</v>
      </c>
    </row>
    <row r="45">
      <c r="A45" s="25">
        <f t="shared" si="5"/>
        <v>41</v>
      </c>
      <c r="B45" s="26" t="s">
        <v>86</v>
      </c>
      <c r="C45" s="27">
        <v>243.0</v>
      </c>
      <c r="D45" s="28">
        <v>13.0</v>
      </c>
      <c r="E45" s="30">
        <f>if(isna(VLOOKUP(B45,Checkin!A:B,2,false)),0,VLOOKUP(B45,Checkin!A:B,2,false))</f>
        <v>0</v>
      </c>
      <c r="F45" s="31">
        <f>if(OR($E45=1, $E45=2),VLOOKUP($B45,Courts!$B$2:$K$33,10,false),0)</f>
        <v>0</v>
      </c>
      <c r="G45" s="27">
        <f t="shared" si="2"/>
        <v>0</v>
      </c>
      <c r="H45" s="31">
        <f>if(OR($E45=1, $E45=2),VLOOKUP($B45,Courts!$B$2:$J$33,5,false),0)</f>
        <v>0</v>
      </c>
      <c r="I45" s="31">
        <f>if(OR($E45=1, $E45=2),VLOOKUP($B45,Courts!$B$2:$J$33,6,false),0)</f>
        <v>0</v>
      </c>
      <c r="J45" s="31">
        <f>if(OR($E45=1, $E45=2),VLOOKUP($B45,Courts!$B$2:$J$33,7,false),0)</f>
        <v>0</v>
      </c>
      <c r="K45" s="32">
        <f t="shared" si="3"/>
        <v>0</v>
      </c>
      <c r="L45" s="31">
        <f>if(OR($E45=1, $E45=2),VLOOKUP($B45,Courts!$B$2:$J$33,9,false),0)</f>
        <v>0</v>
      </c>
      <c r="M45" s="27">
        <f t="shared" ref="M45:N45" si="44">C45+K45</f>
        <v>243</v>
      </c>
      <c r="N45" s="28">
        <f t="shared" si="44"/>
        <v>13</v>
      </c>
      <c r="O45" s="33" t="s">
        <v>37</v>
      </c>
      <c r="P45" s="33" t="s">
        <v>37</v>
      </c>
      <c r="Q45" s="31">
        <f>if(G45=13,1,0)+VLOOKUP(B45,'122323'!B:Q,16,false)</f>
        <v>0</v>
      </c>
      <c r="R45" s="31"/>
      <c r="S45" s="31">
        <f>if(G45=9,1,0)+VLOOKUP(B45,'122323'!B:S,18,false)</f>
        <v>13</v>
      </c>
    </row>
    <row r="46">
      <c r="A46" s="25">
        <f t="shared" si="5"/>
        <v>42</v>
      </c>
      <c r="B46" s="36" t="s">
        <v>83</v>
      </c>
      <c r="C46" s="27">
        <v>243.0</v>
      </c>
      <c r="D46" s="28">
        <v>9.0</v>
      </c>
      <c r="E46" s="30">
        <f>if(isna(VLOOKUP(B46,Checkin!A:B,2,false)),0,VLOOKUP(B46,Checkin!A:B,2,false))</f>
        <v>0</v>
      </c>
      <c r="F46" s="31">
        <f>if(OR($E46=1, $E46=2),VLOOKUP($B46,Courts!$B$2:$K$33,10,false),0)</f>
        <v>0</v>
      </c>
      <c r="G46" s="27">
        <f t="shared" si="2"/>
        <v>0</v>
      </c>
      <c r="H46" s="31">
        <f>if(OR($E46=1, $E46=2),VLOOKUP($B46,Courts!$B$2:$J$33,5,false),0)</f>
        <v>0</v>
      </c>
      <c r="I46" s="31">
        <f>if(OR($E46=1, $E46=2),VLOOKUP($B46,Courts!$B$2:$J$33,6,false),0)</f>
        <v>0</v>
      </c>
      <c r="J46" s="31">
        <f>if(OR($E46=1, $E46=2),VLOOKUP($B46,Courts!$B$2:$J$33,7,false),0)</f>
        <v>0</v>
      </c>
      <c r="K46" s="32">
        <f t="shared" si="3"/>
        <v>0</v>
      </c>
      <c r="L46" s="31">
        <f>if(OR($E46=1, $E46=2),VLOOKUP($B46,Courts!$B$2:$J$33,9,false),0)</f>
        <v>0</v>
      </c>
      <c r="M46" s="27">
        <f t="shared" ref="M46:N46" si="45">C46+K46</f>
        <v>243</v>
      </c>
      <c r="N46" s="28">
        <f t="shared" si="45"/>
        <v>9</v>
      </c>
      <c r="O46" s="33" t="s">
        <v>37</v>
      </c>
      <c r="P46" s="37"/>
      <c r="Q46" s="31">
        <f>if(G46=13,1,0)+VLOOKUP(B46,'122323'!B:Q,16,false)</f>
        <v>0</v>
      </c>
      <c r="R46" s="31"/>
      <c r="S46" s="31">
        <f>if(G46=9,1,0)+VLOOKUP(B46,'122323'!B:S,18,false)</f>
        <v>16</v>
      </c>
    </row>
    <row r="47">
      <c r="A47" s="25">
        <f t="shared" si="5"/>
        <v>43</v>
      </c>
      <c r="B47" s="26" t="s">
        <v>90</v>
      </c>
      <c r="C47" s="27">
        <v>238.0</v>
      </c>
      <c r="D47" s="28">
        <v>15.0</v>
      </c>
      <c r="E47" s="30">
        <f>if(isna(VLOOKUP(B47,Checkin!A:B,2,false)),0,VLOOKUP(B47,Checkin!A:B,2,false))</f>
        <v>0</v>
      </c>
      <c r="F47" s="31">
        <f>if(OR($E47=1, $E47=2),VLOOKUP($B47,Courts!$B$2:$K$33,10,false),0)</f>
        <v>0</v>
      </c>
      <c r="G47" s="27">
        <f t="shared" si="2"/>
        <v>0</v>
      </c>
      <c r="H47" s="31">
        <f>if(OR($E47=1, $E47=2),VLOOKUP($B47,Courts!$B$2:$J$33,5,false),0)</f>
        <v>0</v>
      </c>
      <c r="I47" s="31">
        <f>if(OR($E47=1, $E47=2),VLOOKUP($B47,Courts!$B$2:$J$33,6,false),0)</f>
        <v>0</v>
      </c>
      <c r="J47" s="31">
        <f>if(OR($E47=1, $E47=2),VLOOKUP($B47,Courts!$B$2:$J$33,7,false),0)</f>
        <v>0</v>
      </c>
      <c r="K47" s="32">
        <f t="shared" si="3"/>
        <v>0</v>
      </c>
      <c r="L47" s="31">
        <f>if(OR($E47=1, $E47=2),VLOOKUP($B47,Courts!$B$2:$J$33,9,false),0)</f>
        <v>0</v>
      </c>
      <c r="M47" s="27">
        <f t="shared" ref="M47:N47" si="46">C47+K47</f>
        <v>238</v>
      </c>
      <c r="N47" s="28">
        <f t="shared" si="46"/>
        <v>15</v>
      </c>
      <c r="O47" s="33" t="s">
        <v>37</v>
      </c>
      <c r="P47" s="33" t="s">
        <v>37</v>
      </c>
      <c r="Q47" s="31">
        <f>if(G47=13,1,0)+VLOOKUP(B47,'122323'!B:Q,16,false)</f>
        <v>0</v>
      </c>
      <c r="R47" s="31"/>
      <c r="S47" s="31">
        <f>if(G47=9,1,0)+VLOOKUP(B47,'122323'!B:S,18,false)</f>
        <v>10</v>
      </c>
    </row>
    <row r="48">
      <c r="A48" s="25">
        <f t="shared" si="5"/>
        <v>44</v>
      </c>
      <c r="B48" s="26" t="s">
        <v>89</v>
      </c>
      <c r="C48" s="27">
        <v>238.0</v>
      </c>
      <c r="D48" s="28">
        <v>12.0</v>
      </c>
      <c r="E48" s="30">
        <f>if(isna(VLOOKUP(B48,Checkin!A:B,2,false)),0,VLOOKUP(B48,Checkin!A:B,2,false))</f>
        <v>0</v>
      </c>
      <c r="F48" s="31">
        <f>if(OR($E48=1, $E48=2),VLOOKUP($B48,Courts!$B$2:$K$33,10,false),0)</f>
        <v>0</v>
      </c>
      <c r="G48" s="27">
        <f t="shared" si="2"/>
        <v>0</v>
      </c>
      <c r="H48" s="31">
        <f>if(OR($E48=1, $E48=2),VLOOKUP($B48,Courts!$B$2:$J$33,5,false),0)</f>
        <v>0</v>
      </c>
      <c r="I48" s="31">
        <f>if(OR($E48=1, $E48=2),VLOOKUP($B48,Courts!$B$2:$J$33,6,false),0)</f>
        <v>0</v>
      </c>
      <c r="J48" s="31">
        <f>if(OR($E48=1, $E48=2),VLOOKUP($B48,Courts!$B$2:$J$33,7,false),0)</f>
        <v>0</v>
      </c>
      <c r="K48" s="32">
        <f t="shared" si="3"/>
        <v>0</v>
      </c>
      <c r="L48" s="31">
        <f>if(OR($E48=1, $E48=2),VLOOKUP($B48,Courts!$B$2:$J$33,9,false),0)</f>
        <v>0</v>
      </c>
      <c r="M48" s="27">
        <f t="shared" ref="M48:N48" si="47">C48+K48</f>
        <v>238</v>
      </c>
      <c r="N48" s="28">
        <f t="shared" si="47"/>
        <v>12</v>
      </c>
      <c r="O48" s="33" t="s">
        <v>37</v>
      </c>
      <c r="P48" s="33" t="s">
        <v>37</v>
      </c>
      <c r="Q48" s="31">
        <f>if(G48=13,1,0)+VLOOKUP(B48,'122323'!B:Q,16,false)</f>
        <v>2</v>
      </c>
      <c r="R48" s="31"/>
      <c r="S48" s="31">
        <f>if(G48=9,1,0)+VLOOKUP(B48,'122323'!B:S,18,false)</f>
        <v>8</v>
      </c>
    </row>
    <row r="49">
      <c r="A49" s="25">
        <f t="shared" si="5"/>
        <v>45</v>
      </c>
      <c r="B49" s="36" t="s">
        <v>88</v>
      </c>
      <c r="C49" s="27">
        <v>238.0</v>
      </c>
      <c r="D49" s="28">
        <v>8.0</v>
      </c>
      <c r="E49" s="30">
        <f>if(isna(VLOOKUP(B49,Checkin!A:B,2,false)),0,VLOOKUP(B49,Checkin!A:B,2,false))</f>
        <v>0</v>
      </c>
      <c r="F49" s="31">
        <f>if(OR($E49=1, $E49=2),VLOOKUP($B49,Courts!$B$2:$K$33,10,false),0)</f>
        <v>0</v>
      </c>
      <c r="G49" s="27">
        <f t="shared" si="2"/>
        <v>0</v>
      </c>
      <c r="H49" s="31">
        <f>if(OR($E49=1, $E49=2),VLOOKUP($B49,Courts!$B$2:$J$33,5,false),0)</f>
        <v>0</v>
      </c>
      <c r="I49" s="31">
        <f>if(OR($E49=1, $E49=2),VLOOKUP($B49,Courts!$B$2:$J$33,6,false),0)</f>
        <v>0</v>
      </c>
      <c r="J49" s="31">
        <f>if(OR($E49=1, $E49=2),VLOOKUP($B49,Courts!$B$2:$J$33,7,false),0)</f>
        <v>0</v>
      </c>
      <c r="K49" s="32">
        <f t="shared" si="3"/>
        <v>0</v>
      </c>
      <c r="L49" s="31">
        <f>if(OR($E49=1, $E49=2),VLOOKUP($B49,Courts!$B$2:$J$33,9,false),0)</f>
        <v>0</v>
      </c>
      <c r="M49" s="27">
        <f t="shared" ref="M49:N49" si="48">C49+K49</f>
        <v>238</v>
      </c>
      <c r="N49" s="28">
        <f t="shared" si="48"/>
        <v>8</v>
      </c>
      <c r="O49" s="33" t="s">
        <v>37</v>
      </c>
      <c r="P49" s="37"/>
      <c r="Q49" s="31">
        <f>if(G49=13,1,0)+VLOOKUP(B49,'122323'!B:Q,16,false)</f>
        <v>0</v>
      </c>
      <c r="R49" s="31"/>
      <c r="S49" s="31">
        <f>if(G49=9,1,0)+VLOOKUP(B49,'122323'!B:S,18,false)</f>
        <v>18</v>
      </c>
    </row>
    <row r="50">
      <c r="A50" s="25">
        <f t="shared" si="5"/>
        <v>46</v>
      </c>
      <c r="B50" s="26" t="s">
        <v>91</v>
      </c>
      <c r="C50" s="27">
        <v>236.0</v>
      </c>
      <c r="D50" s="28">
        <v>7.0</v>
      </c>
      <c r="E50" s="30">
        <f>if(isna(VLOOKUP(B50,Checkin!A:B,2,false)),0,VLOOKUP(B50,Checkin!A:B,2,false))</f>
        <v>0</v>
      </c>
      <c r="F50" s="31">
        <f>if(OR($E50=1, $E50=2),VLOOKUP($B50,Courts!$B$2:$K$33,10,false),0)</f>
        <v>0</v>
      </c>
      <c r="G50" s="27">
        <f t="shared" si="2"/>
        <v>0</v>
      </c>
      <c r="H50" s="31">
        <f>if(OR($E50=1, $E50=2),VLOOKUP($B50,Courts!$B$2:$J$33,5,false),0)</f>
        <v>0</v>
      </c>
      <c r="I50" s="31">
        <f>if(OR($E50=1, $E50=2),VLOOKUP($B50,Courts!$B$2:$J$33,6,false),0)</f>
        <v>0</v>
      </c>
      <c r="J50" s="31">
        <f>if(OR($E50=1, $E50=2),VLOOKUP($B50,Courts!$B$2:$J$33,7,false),0)</f>
        <v>0</v>
      </c>
      <c r="K50" s="32">
        <f t="shared" si="3"/>
        <v>0</v>
      </c>
      <c r="L50" s="31">
        <f>if(OR($E50=1, $E50=2),VLOOKUP($B50,Courts!$B$2:$J$33,9,false),0)</f>
        <v>0</v>
      </c>
      <c r="M50" s="27">
        <f t="shared" ref="M50:N50" si="49">C50+K50</f>
        <v>236</v>
      </c>
      <c r="N50" s="28">
        <f t="shared" si="49"/>
        <v>7</v>
      </c>
      <c r="O50" s="33" t="s">
        <v>37</v>
      </c>
      <c r="P50" s="33" t="s">
        <v>37</v>
      </c>
      <c r="Q50" s="31">
        <f>if(G50=13,1,0)+VLOOKUP(B50,'122323'!B:Q,16,false)</f>
        <v>1</v>
      </c>
      <c r="R50" s="31"/>
      <c r="S50" s="31">
        <f>if(G50=9,1,0)+VLOOKUP(B50,'122323'!B:S,18,false)</f>
        <v>18</v>
      </c>
    </row>
    <row r="51">
      <c r="A51" s="25">
        <f t="shared" si="5"/>
        <v>47</v>
      </c>
      <c r="B51" s="36" t="s">
        <v>96</v>
      </c>
      <c r="C51" s="27">
        <v>231.0</v>
      </c>
      <c r="D51" s="28">
        <v>16.0</v>
      </c>
      <c r="E51" s="30">
        <f>if(isna(VLOOKUP(B51,Checkin!A:B,2,false)),0,VLOOKUP(B51,Checkin!A:B,2,false))</f>
        <v>0</v>
      </c>
      <c r="F51" s="31">
        <f>if(OR($E51=1, $E51=2),VLOOKUP($B51,Courts!$B$2:$K$33,10,false),0)</f>
        <v>0</v>
      </c>
      <c r="G51" s="27">
        <f t="shared" si="2"/>
        <v>0</v>
      </c>
      <c r="H51" s="31">
        <f>if(OR($E51=1, $E51=2),VLOOKUP($B51,Courts!$B$2:$J$33,5,false),0)</f>
        <v>0</v>
      </c>
      <c r="I51" s="31">
        <f>if(OR($E51=1, $E51=2),VLOOKUP($B51,Courts!$B$2:$J$33,6,false),0)</f>
        <v>0</v>
      </c>
      <c r="J51" s="31">
        <f>if(OR($E51=1, $E51=2),VLOOKUP($B51,Courts!$B$2:$J$33,7,false),0)</f>
        <v>0</v>
      </c>
      <c r="K51" s="32">
        <f t="shared" si="3"/>
        <v>0</v>
      </c>
      <c r="L51" s="31">
        <f>if(OR($E51=1, $E51=2),VLOOKUP($B51,Courts!$B$2:$J$33,9,false),0)</f>
        <v>0</v>
      </c>
      <c r="M51" s="27">
        <f t="shared" ref="M51:N51" si="50">C51+K51</f>
        <v>231</v>
      </c>
      <c r="N51" s="28">
        <f t="shared" si="50"/>
        <v>16</v>
      </c>
      <c r="O51" s="33" t="s">
        <v>37</v>
      </c>
      <c r="P51" s="37"/>
      <c r="Q51" s="31">
        <f>if(G51=13,1,0)+VLOOKUP(B51,'122323'!B:Q,16,false)</f>
        <v>0</v>
      </c>
      <c r="R51" s="31"/>
      <c r="S51" s="31">
        <f>if(G51=9,1,0)+VLOOKUP(B51,'122323'!B:S,18,false)</f>
        <v>9</v>
      </c>
    </row>
    <row r="52">
      <c r="A52" s="25">
        <f t="shared" si="5"/>
        <v>48</v>
      </c>
      <c r="B52" s="36" t="s">
        <v>92</v>
      </c>
      <c r="C52" s="27">
        <v>231.0</v>
      </c>
      <c r="D52" s="28">
        <v>5.0</v>
      </c>
      <c r="E52" s="30">
        <f>if(isna(VLOOKUP(B52,Checkin!A:B,2,false)),0,VLOOKUP(B52,Checkin!A:B,2,false))</f>
        <v>0</v>
      </c>
      <c r="F52" s="31">
        <f>if(OR($E52=1, $E52=2),VLOOKUP($B52,Courts!$B$2:$K$33,10,false),0)</f>
        <v>0</v>
      </c>
      <c r="G52" s="27">
        <f t="shared" si="2"/>
        <v>0</v>
      </c>
      <c r="H52" s="31">
        <f>if(OR($E52=1, $E52=2),VLOOKUP($B52,Courts!$B$2:$J$33,5,false),0)</f>
        <v>0</v>
      </c>
      <c r="I52" s="31">
        <f>if(OR($E52=1, $E52=2),VLOOKUP($B52,Courts!$B$2:$J$33,6,false),0)</f>
        <v>0</v>
      </c>
      <c r="J52" s="31">
        <f>if(OR($E52=1, $E52=2),VLOOKUP($B52,Courts!$B$2:$J$33,7,false),0)</f>
        <v>0</v>
      </c>
      <c r="K52" s="32">
        <f t="shared" si="3"/>
        <v>0</v>
      </c>
      <c r="L52" s="31">
        <f>if(OR($E52=1, $E52=2),VLOOKUP($B52,Courts!$B$2:$J$33,9,false),0)</f>
        <v>0</v>
      </c>
      <c r="M52" s="27">
        <f t="shared" ref="M52:N52" si="51">C52+K52</f>
        <v>231</v>
      </c>
      <c r="N52" s="28">
        <f t="shared" si="51"/>
        <v>5</v>
      </c>
      <c r="O52" s="33" t="s">
        <v>37</v>
      </c>
      <c r="P52" s="33" t="s">
        <v>37</v>
      </c>
      <c r="Q52" s="31">
        <f>if(G52=13,1,0)+VLOOKUP(B52,'122323'!B:Q,16,false)</f>
        <v>0</v>
      </c>
      <c r="R52" s="31"/>
      <c r="S52" s="31">
        <f>if(G52=9,1,0)+VLOOKUP(B52,'122323'!B:S,18,false)</f>
        <v>21</v>
      </c>
    </row>
    <row r="53">
      <c r="A53" s="25">
        <f t="shared" si="5"/>
        <v>49</v>
      </c>
      <c r="B53" s="36" t="s">
        <v>93</v>
      </c>
      <c r="C53" s="27">
        <v>230.0</v>
      </c>
      <c r="D53" s="28">
        <v>5.0</v>
      </c>
      <c r="E53" s="30">
        <f>if(isna(VLOOKUP(B53,Checkin!A:B,2,false)),0,VLOOKUP(B53,Checkin!A:B,2,false))</f>
        <v>0</v>
      </c>
      <c r="F53" s="31">
        <f>if(OR($E53=1, $E53=2),VLOOKUP($B53,Courts!$B$2:$K$33,10,false),0)</f>
        <v>0</v>
      </c>
      <c r="G53" s="27">
        <f t="shared" si="2"/>
        <v>0</v>
      </c>
      <c r="H53" s="31">
        <f>if(OR($E53=1, $E53=2),VLOOKUP($B53,Courts!$B$2:$J$33,5,false),0)</f>
        <v>0</v>
      </c>
      <c r="I53" s="31">
        <f>if(OR($E53=1, $E53=2),VLOOKUP($B53,Courts!$B$2:$J$33,6,false),0)</f>
        <v>0</v>
      </c>
      <c r="J53" s="31">
        <f>if(OR($E53=1, $E53=2),VLOOKUP($B53,Courts!$B$2:$J$33,7,false),0)</f>
        <v>0</v>
      </c>
      <c r="K53" s="32">
        <f t="shared" si="3"/>
        <v>0</v>
      </c>
      <c r="L53" s="31">
        <f>if(OR($E53=1, $E53=2),VLOOKUP($B53,Courts!$B$2:$J$33,9,false),0)</f>
        <v>0</v>
      </c>
      <c r="M53" s="27">
        <f t="shared" ref="M53:N53" si="52">C53+K53</f>
        <v>230</v>
      </c>
      <c r="N53" s="28">
        <f t="shared" si="52"/>
        <v>5</v>
      </c>
      <c r="O53" s="33" t="s">
        <v>37</v>
      </c>
      <c r="P53" s="37"/>
      <c r="Q53" s="31">
        <f>if(G53=13,1,0)+VLOOKUP(B53,'122323'!B:Q,16,false)</f>
        <v>0</v>
      </c>
      <c r="R53" s="31"/>
      <c r="S53" s="31">
        <f>if(G53=9,1,0)+VLOOKUP(B53,'122323'!B:S,18,false)</f>
        <v>22</v>
      </c>
    </row>
    <row r="54">
      <c r="A54" s="25">
        <f t="shared" si="5"/>
        <v>50</v>
      </c>
      <c r="B54" s="36" t="s">
        <v>94</v>
      </c>
      <c r="C54" s="27">
        <v>228.0</v>
      </c>
      <c r="D54" s="28">
        <v>4.0</v>
      </c>
      <c r="E54" s="30">
        <f>if(isna(VLOOKUP(B54,Checkin!A:B,2,false)),0,VLOOKUP(B54,Checkin!A:B,2,false))</f>
        <v>0</v>
      </c>
      <c r="F54" s="31">
        <f>if(OR($E54=1, $E54=2),VLOOKUP($B54,Courts!$B$2:$K$33,10,false),0)</f>
        <v>0</v>
      </c>
      <c r="G54" s="27">
        <f t="shared" si="2"/>
        <v>0</v>
      </c>
      <c r="H54" s="31">
        <f>if(OR($E54=1, $E54=2),VLOOKUP($B54,Courts!$B$2:$J$33,5,false),0)</f>
        <v>0</v>
      </c>
      <c r="I54" s="31">
        <f>if(OR($E54=1, $E54=2),VLOOKUP($B54,Courts!$B$2:$J$33,6,false),0)</f>
        <v>0</v>
      </c>
      <c r="J54" s="31">
        <f>if(OR($E54=1, $E54=2),VLOOKUP($B54,Courts!$B$2:$J$33,7,false),0)</f>
        <v>0</v>
      </c>
      <c r="K54" s="32">
        <f t="shared" si="3"/>
        <v>0</v>
      </c>
      <c r="L54" s="31">
        <f>if(OR($E54=1, $E54=2),VLOOKUP($B54,Courts!$B$2:$J$33,9,false),0)</f>
        <v>0</v>
      </c>
      <c r="M54" s="27">
        <f t="shared" ref="M54:N54" si="53">C54+K54</f>
        <v>228</v>
      </c>
      <c r="N54" s="28">
        <f t="shared" si="53"/>
        <v>4</v>
      </c>
      <c r="O54" s="33" t="s">
        <v>37</v>
      </c>
      <c r="P54" s="37"/>
      <c r="Q54" s="31">
        <f>if(G54=13,1,0)+VLOOKUP(B54,'122323'!B:Q,16,false)</f>
        <v>0</v>
      </c>
      <c r="R54" s="31"/>
      <c r="S54" s="31">
        <f>if(G54=9,1,0)+VLOOKUP(B54,'122323'!B:S,18,false)</f>
        <v>19</v>
      </c>
    </row>
    <row r="55">
      <c r="A55" s="25">
        <f t="shared" si="5"/>
        <v>51</v>
      </c>
      <c r="B55" s="26" t="s">
        <v>95</v>
      </c>
      <c r="C55" s="27">
        <v>226.0</v>
      </c>
      <c r="D55" s="28">
        <v>6.0</v>
      </c>
      <c r="E55" s="30">
        <f>if(isna(VLOOKUP(B55,Checkin!A:B,2,false)),0,VLOOKUP(B55,Checkin!A:B,2,false))</f>
        <v>0</v>
      </c>
      <c r="F55" s="31">
        <f>if(OR($E55=1, $E55=2),VLOOKUP($B55,Courts!$B$2:$K$33,10,false),0)</f>
        <v>0</v>
      </c>
      <c r="G55" s="27">
        <f t="shared" si="2"/>
        <v>0</v>
      </c>
      <c r="H55" s="31">
        <f>if(OR($E55=1, $E55=2),VLOOKUP($B55,Courts!$B$2:$J$33,5,false),0)</f>
        <v>0</v>
      </c>
      <c r="I55" s="31">
        <f>if(OR($E55=1, $E55=2),VLOOKUP($B55,Courts!$B$2:$J$33,6,false),0)</f>
        <v>0</v>
      </c>
      <c r="J55" s="31">
        <f>if(OR($E55=1, $E55=2),VLOOKUP($B55,Courts!$B$2:$J$33,7,false),0)</f>
        <v>0</v>
      </c>
      <c r="K55" s="32">
        <f t="shared" si="3"/>
        <v>0</v>
      </c>
      <c r="L55" s="31">
        <f>if(OR($E55=1, $E55=2),VLOOKUP($B55,Courts!$B$2:$J$33,9,false),0)</f>
        <v>0</v>
      </c>
      <c r="M55" s="27">
        <f t="shared" ref="M55:N55" si="54">C55+K55</f>
        <v>226</v>
      </c>
      <c r="N55" s="28">
        <f t="shared" si="54"/>
        <v>6</v>
      </c>
      <c r="O55" s="33" t="s">
        <v>37</v>
      </c>
      <c r="P55" s="33" t="s">
        <v>37</v>
      </c>
      <c r="Q55" s="31">
        <f>if(G55=13,1,0)+VLOOKUP(B55,'122323'!B:Q,16,false)</f>
        <v>0</v>
      </c>
      <c r="R55" s="31"/>
      <c r="S55" s="31">
        <f>if(G55=9,1,0)+VLOOKUP(B55,'122323'!B:S,18,false)</f>
        <v>18</v>
      </c>
    </row>
    <row r="56">
      <c r="A56" s="25">
        <f t="shared" si="5"/>
        <v>52</v>
      </c>
      <c r="B56" s="36" t="s">
        <v>97</v>
      </c>
      <c r="C56" s="27">
        <v>225.0</v>
      </c>
      <c r="D56" s="28">
        <v>7.0</v>
      </c>
      <c r="E56" s="30">
        <f>if(isna(VLOOKUP(B56,Checkin!A:B,2,false)),0,VLOOKUP(B56,Checkin!A:B,2,false))</f>
        <v>0</v>
      </c>
      <c r="F56" s="31">
        <f>if(OR($E56=1, $E56=2),VLOOKUP($B56,Courts!$B$2:$K$33,10,false),0)</f>
        <v>0</v>
      </c>
      <c r="G56" s="27">
        <f t="shared" si="2"/>
        <v>0</v>
      </c>
      <c r="H56" s="31">
        <f>if(OR($E56=1, $E56=2),VLOOKUP($B56,Courts!$B$2:$J$33,5,false),0)</f>
        <v>0</v>
      </c>
      <c r="I56" s="31">
        <f>if(OR($E56=1, $E56=2),VLOOKUP($B56,Courts!$B$2:$J$33,6,false),0)</f>
        <v>0</v>
      </c>
      <c r="J56" s="31">
        <f>if(OR($E56=1, $E56=2),VLOOKUP($B56,Courts!$B$2:$J$33,7,false),0)</f>
        <v>0</v>
      </c>
      <c r="K56" s="32">
        <f t="shared" si="3"/>
        <v>0</v>
      </c>
      <c r="L56" s="31">
        <f>if(OR($E56=1, $E56=2),VLOOKUP($B56,Courts!$B$2:$J$33,9,false),0)</f>
        <v>0</v>
      </c>
      <c r="M56" s="27">
        <f t="shared" ref="M56:N56" si="55">C56+K56</f>
        <v>225</v>
      </c>
      <c r="N56" s="28">
        <f t="shared" si="55"/>
        <v>7</v>
      </c>
      <c r="O56" s="33" t="s">
        <v>37</v>
      </c>
      <c r="P56" s="33" t="s">
        <v>37</v>
      </c>
      <c r="Q56" s="31">
        <f>if(G56=13,1,0)+VLOOKUP(B56,'122323'!B:Q,16,false)</f>
        <v>0</v>
      </c>
      <c r="R56" s="31"/>
      <c r="S56" s="31">
        <f>if(G56=9,1,0)+VLOOKUP(B56,'122323'!B:S,18,false)</f>
        <v>18</v>
      </c>
    </row>
    <row r="57">
      <c r="A57" s="25">
        <f t="shared" si="5"/>
        <v>53</v>
      </c>
      <c r="B57" s="36" t="s">
        <v>98</v>
      </c>
      <c r="C57" s="27">
        <v>225.0</v>
      </c>
      <c r="D57" s="28">
        <v>3.0</v>
      </c>
      <c r="E57" s="30">
        <f>if(isna(VLOOKUP(B57,Checkin!A:B,2,false)),0,VLOOKUP(B57,Checkin!A:B,2,false))</f>
        <v>0</v>
      </c>
      <c r="F57" s="31">
        <f>if(OR($E57=1, $E57=2),VLOOKUP($B57,Courts!$B$2:$K$33,10,false),0)</f>
        <v>0</v>
      </c>
      <c r="G57" s="27">
        <f t="shared" si="2"/>
        <v>0</v>
      </c>
      <c r="H57" s="31">
        <f>if(OR($E57=1, $E57=2),VLOOKUP($B57,Courts!$B$2:$J$33,5,false),0)</f>
        <v>0</v>
      </c>
      <c r="I57" s="31">
        <f>if(OR($E57=1, $E57=2),VLOOKUP($B57,Courts!$B$2:$J$33,6,false),0)</f>
        <v>0</v>
      </c>
      <c r="J57" s="31">
        <f>if(OR($E57=1, $E57=2),VLOOKUP($B57,Courts!$B$2:$J$33,7,false),0)</f>
        <v>0</v>
      </c>
      <c r="K57" s="32">
        <f t="shared" si="3"/>
        <v>0</v>
      </c>
      <c r="L57" s="31">
        <f>if(OR($E57=1, $E57=2),VLOOKUP($B57,Courts!$B$2:$J$33,9,false),0)</f>
        <v>0</v>
      </c>
      <c r="M57" s="27">
        <f t="shared" ref="M57:N57" si="56">C57+K57</f>
        <v>225</v>
      </c>
      <c r="N57" s="28">
        <f t="shared" si="56"/>
        <v>3</v>
      </c>
      <c r="O57" s="33" t="s">
        <v>37</v>
      </c>
      <c r="P57" s="37"/>
      <c r="Q57" s="31">
        <f>if(G57=13,1,0)+VLOOKUP(B57,'122323'!B:Q,16,false)</f>
        <v>0</v>
      </c>
      <c r="R57" s="31"/>
      <c r="S57" s="31">
        <f>if(G57=9,1,0)+VLOOKUP(B57,'122323'!B:S,18,false)</f>
        <v>19</v>
      </c>
    </row>
    <row r="58">
      <c r="A58" s="25">
        <f t="shared" si="5"/>
        <v>54</v>
      </c>
      <c r="B58" s="36" t="s">
        <v>99</v>
      </c>
      <c r="C58" s="27">
        <v>225.0</v>
      </c>
      <c r="D58" s="28">
        <v>3.0</v>
      </c>
      <c r="E58" s="30">
        <f>if(isna(VLOOKUP(B58,Checkin!A:B,2,false)),0,VLOOKUP(B58,Checkin!A:B,2,false))</f>
        <v>0</v>
      </c>
      <c r="F58" s="31">
        <f>if(OR($E58=1, $E58=2),VLOOKUP($B58,Courts!$B$2:$K$33,10,false),0)</f>
        <v>0</v>
      </c>
      <c r="G58" s="27">
        <f t="shared" si="2"/>
        <v>0</v>
      </c>
      <c r="H58" s="31">
        <f>if(OR($E58=1, $E58=2),VLOOKUP($B58,Courts!$B$2:$J$33,5,false),0)</f>
        <v>0</v>
      </c>
      <c r="I58" s="31">
        <f>if(OR($E58=1, $E58=2),VLOOKUP($B58,Courts!$B$2:$J$33,6,false),0)</f>
        <v>0</v>
      </c>
      <c r="J58" s="31">
        <f>if(OR($E58=1, $E58=2),VLOOKUP($B58,Courts!$B$2:$J$33,7,false),0)</f>
        <v>0</v>
      </c>
      <c r="K58" s="32">
        <f t="shared" si="3"/>
        <v>0</v>
      </c>
      <c r="L58" s="31">
        <f>if(OR($E58=1, $E58=2),VLOOKUP($B58,Courts!$B$2:$J$33,9,false),0)</f>
        <v>0</v>
      </c>
      <c r="M58" s="27">
        <f t="shared" ref="M58:N58" si="57">C58+K58</f>
        <v>225</v>
      </c>
      <c r="N58" s="28">
        <f t="shared" si="57"/>
        <v>3</v>
      </c>
      <c r="O58" s="33" t="s">
        <v>37</v>
      </c>
      <c r="P58" s="37"/>
      <c r="Q58" s="31">
        <f>if(G58=13,1,0)+VLOOKUP(B58,'122323'!B:Q,16,false)</f>
        <v>0</v>
      </c>
      <c r="R58" s="31"/>
      <c r="S58" s="31">
        <f>if(G58=9,1,0)+VLOOKUP(B58,'122323'!B:S,18,false)</f>
        <v>20</v>
      </c>
    </row>
    <row r="59">
      <c r="A59" s="25">
        <f t="shared" si="5"/>
        <v>55</v>
      </c>
      <c r="B59" s="26" t="s">
        <v>100</v>
      </c>
      <c r="C59" s="27">
        <v>223.0</v>
      </c>
      <c r="D59" s="28">
        <v>4.0</v>
      </c>
      <c r="E59" s="30">
        <f>if(isna(VLOOKUP(B59,Checkin!A:B,2,false)),0,VLOOKUP(B59,Checkin!A:B,2,false))</f>
        <v>0</v>
      </c>
      <c r="F59" s="31">
        <f>if(OR($E59=1, $E59=2),VLOOKUP($B59,Courts!$B$2:$K$33,10,false),0)</f>
        <v>0</v>
      </c>
      <c r="G59" s="27">
        <f t="shared" si="2"/>
        <v>0</v>
      </c>
      <c r="H59" s="31">
        <f>if(OR($E59=1, $E59=2),VLOOKUP($B59,Courts!$B$2:$J$33,5,false),0)</f>
        <v>0</v>
      </c>
      <c r="I59" s="31">
        <f>if(OR($E59=1, $E59=2),VLOOKUP($B59,Courts!$B$2:$J$33,6,false),0)</f>
        <v>0</v>
      </c>
      <c r="J59" s="31">
        <f>if(OR($E59=1, $E59=2),VLOOKUP($B59,Courts!$B$2:$J$33,7,false),0)</f>
        <v>0</v>
      </c>
      <c r="K59" s="32">
        <f t="shared" si="3"/>
        <v>0</v>
      </c>
      <c r="L59" s="31">
        <f>if(OR($E59=1, $E59=2),VLOOKUP($B59,Courts!$B$2:$J$33,9,false),0)</f>
        <v>0</v>
      </c>
      <c r="M59" s="27">
        <f t="shared" ref="M59:N59" si="58">C59+K59</f>
        <v>223</v>
      </c>
      <c r="N59" s="28">
        <f t="shared" si="58"/>
        <v>4</v>
      </c>
      <c r="O59" s="33" t="s">
        <v>37</v>
      </c>
      <c r="P59" s="33" t="s">
        <v>37</v>
      </c>
      <c r="Q59" s="31">
        <f>if(G59=13,1,0)+VLOOKUP(B59,'122323'!B:Q,16,false)</f>
        <v>0</v>
      </c>
      <c r="R59" s="31"/>
      <c r="S59" s="31">
        <f>if(G59=9,1,0)+VLOOKUP(B59,'122323'!B:S,18,false)</f>
        <v>21</v>
      </c>
    </row>
    <row r="60">
      <c r="A60" s="25">
        <f t="shared" si="5"/>
        <v>56</v>
      </c>
      <c r="B60" s="38" t="s">
        <v>101</v>
      </c>
      <c r="C60" s="27">
        <v>220.0</v>
      </c>
      <c r="D60" s="28">
        <v>2.0</v>
      </c>
      <c r="E60" s="30">
        <f>if(isna(VLOOKUP(B60,Checkin!A:B,2,false)),0,VLOOKUP(B60,Checkin!A:B,2,false))</f>
        <v>0</v>
      </c>
      <c r="F60" s="31">
        <f>if(OR($E60=1, $E60=2),VLOOKUP($B60,Courts!$B$2:$K$33,10,false),0)</f>
        <v>0</v>
      </c>
      <c r="G60" s="27">
        <f t="shared" si="2"/>
        <v>0</v>
      </c>
      <c r="H60" s="31">
        <f>if(OR($E60=1, $E60=2),VLOOKUP($B60,Courts!$B$2:$J$33,5,false),0)</f>
        <v>0</v>
      </c>
      <c r="I60" s="31">
        <f>if(OR($E60=1, $E60=2),VLOOKUP($B60,Courts!$B$2:$J$33,6,false),0)</f>
        <v>0</v>
      </c>
      <c r="J60" s="31">
        <f>if(OR($E60=1, $E60=2),VLOOKUP($B60,Courts!$B$2:$J$33,7,false),0)</f>
        <v>0</v>
      </c>
      <c r="K60" s="32">
        <f t="shared" si="3"/>
        <v>0</v>
      </c>
      <c r="L60" s="31">
        <f>if(OR($E60=1, $E60=2),VLOOKUP($B60,Courts!$B$2:$J$33,9,false),0)</f>
        <v>0</v>
      </c>
      <c r="M60" s="27">
        <f t="shared" ref="M60:N60" si="59">C60+K60</f>
        <v>220</v>
      </c>
      <c r="N60" s="28">
        <f t="shared" si="59"/>
        <v>2</v>
      </c>
      <c r="O60" s="33" t="s">
        <v>37</v>
      </c>
      <c r="P60" s="33" t="s">
        <v>37</v>
      </c>
      <c r="Q60" s="31">
        <f>if(G60=13,1,0)+VLOOKUP(B60,'122323'!B:Q,16,false)</f>
        <v>0</v>
      </c>
      <c r="R60" s="31"/>
      <c r="S60" s="31">
        <f>if(G60=9,1,0)+VLOOKUP(B60,'122323'!B:S,18,false)</f>
        <v>23</v>
      </c>
    </row>
    <row r="61">
      <c r="A61" s="25">
        <f t="shared" si="5"/>
        <v>57</v>
      </c>
      <c r="B61" s="38" t="s">
        <v>102</v>
      </c>
      <c r="C61" s="27">
        <v>220.0</v>
      </c>
      <c r="D61" s="28">
        <v>2.0</v>
      </c>
      <c r="E61" s="30">
        <f>if(isna(VLOOKUP(B61,Checkin!A:B,2,false)),0,VLOOKUP(B61,Checkin!A:B,2,false))</f>
        <v>0</v>
      </c>
      <c r="F61" s="31">
        <f>if(OR($E61=1, $E61=2),VLOOKUP($B61,Courts!$B$2:$K$33,10,false),0)</f>
        <v>0</v>
      </c>
      <c r="G61" s="27">
        <f t="shared" si="2"/>
        <v>0</v>
      </c>
      <c r="H61" s="31"/>
      <c r="I61" s="31"/>
      <c r="J61" s="31"/>
      <c r="K61" s="32">
        <f t="shared" si="3"/>
        <v>0</v>
      </c>
      <c r="L61" s="31"/>
      <c r="M61" s="27">
        <f t="shared" ref="M61:N61" si="60">C61+K61</f>
        <v>220</v>
      </c>
      <c r="N61" s="28">
        <f t="shared" si="60"/>
        <v>2</v>
      </c>
      <c r="O61" s="33" t="s">
        <v>37</v>
      </c>
      <c r="P61" s="37"/>
      <c r="Q61" s="31">
        <f>if(G61=13,1,0)+VLOOKUP(B61,'122323'!B:Q,16,false)</f>
        <v>0</v>
      </c>
      <c r="R61" s="31"/>
      <c r="S61" s="31">
        <f>if(G61=9,1,0)+VLOOKUP(B61,'122323'!B:S,18,false)</f>
        <v>23</v>
      </c>
    </row>
    <row r="62">
      <c r="A62" s="25">
        <f t="shared" si="5"/>
        <v>58</v>
      </c>
      <c r="B62" s="26" t="s">
        <v>103</v>
      </c>
      <c r="C62" s="27">
        <v>216.0</v>
      </c>
      <c r="D62" s="28">
        <v>0.0</v>
      </c>
      <c r="E62" s="30">
        <f>if(isna(VLOOKUP(B62,Checkin!A:B,2,false)),0,VLOOKUP(B62,Checkin!A:B,2,false))</f>
        <v>0</v>
      </c>
      <c r="F62" s="31">
        <f>if(OR($E62=1, $E62=2),VLOOKUP($B62,Courts!$B$2:$K$33,10,false),0)</f>
        <v>0</v>
      </c>
      <c r="G62" s="27">
        <f t="shared" si="2"/>
        <v>0</v>
      </c>
      <c r="H62" s="31">
        <f>if(OR($E62=1, $E62=2),VLOOKUP($B62,Courts!$B$2:$J$33,5,false),0)</f>
        <v>0</v>
      </c>
      <c r="I62" s="31">
        <f>if(OR($E62=1, $E62=2),VLOOKUP($B62,Courts!$B$2:$J$33,6,false),0)</f>
        <v>0</v>
      </c>
      <c r="J62" s="31">
        <f>if(OR($E62=1, $E62=2),VLOOKUP($B62,Courts!$B$2:$J$33,7,false),0)</f>
        <v>0</v>
      </c>
      <c r="K62" s="32">
        <f t="shared" si="3"/>
        <v>0</v>
      </c>
      <c r="L62" s="31">
        <f>if(OR($E62=1, $E62=2),VLOOKUP($B62,Courts!$B$2:$J$33,9,false),0)</f>
        <v>0</v>
      </c>
      <c r="M62" s="27">
        <f t="shared" ref="M62:N62" si="61">C62+K62</f>
        <v>216</v>
      </c>
      <c r="N62" s="28">
        <f t="shared" si="61"/>
        <v>0</v>
      </c>
      <c r="O62" s="33" t="s">
        <v>37</v>
      </c>
      <c r="P62" s="33" t="s">
        <v>37</v>
      </c>
      <c r="Q62" s="31">
        <f>if(G62=13,1,0)+VLOOKUP(B62,'122323'!B:Q,16,false)</f>
        <v>0</v>
      </c>
      <c r="R62" s="31"/>
      <c r="S62" s="31">
        <f>if(G62=9,1,0)+VLOOKUP(B62,'122323'!B:S,18,false)</f>
        <v>24</v>
      </c>
    </row>
    <row r="63">
      <c r="A63" s="25">
        <f t="shared" si="5"/>
        <v>59</v>
      </c>
      <c r="B63" s="36" t="s">
        <v>104</v>
      </c>
      <c r="C63" s="27">
        <v>216.0</v>
      </c>
      <c r="D63" s="28">
        <v>0.0</v>
      </c>
      <c r="E63" s="30">
        <f>if(isna(VLOOKUP(B63,Checkin!A:B,2,false)),0,VLOOKUP(B63,Checkin!A:B,2,false))</f>
        <v>0</v>
      </c>
      <c r="F63" s="31">
        <f>if(OR($E63=1, $E63=2),VLOOKUP($B63,Courts!$B$2:$K$33,10,false),0)</f>
        <v>0</v>
      </c>
      <c r="G63" s="27">
        <f t="shared" si="2"/>
        <v>0</v>
      </c>
      <c r="H63" s="31">
        <f>if(OR($E63=1, $E63=2),VLOOKUP($B63,Courts!$B$2:$J$33,5,false),0)</f>
        <v>0</v>
      </c>
      <c r="I63" s="31">
        <f>if(OR($E63=1, $E63=2),VLOOKUP($B63,Courts!$B$2:$J$33,6,false),0)</f>
        <v>0</v>
      </c>
      <c r="J63" s="31">
        <f>if(OR($E63=1, $E63=2),VLOOKUP($B63,Courts!$B$2:$J$33,7,false),0)</f>
        <v>0</v>
      </c>
      <c r="K63" s="32">
        <f t="shared" si="3"/>
        <v>0</v>
      </c>
      <c r="L63" s="31">
        <f>if(OR($E63=1, $E63=2),VLOOKUP($B63,Courts!$B$2:$J$33,9,false),0)</f>
        <v>0</v>
      </c>
      <c r="M63" s="27">
        <f t="shared" ref="M63:N63" si="62">C63+K63</f>
        <v>216</v>
      </c>
      <c r="N63" s="28">
        <f t="shared" si="62"/>
        <v>0</v>
      </c>
      <c r="O63" s="33" t="s">
        <v>37</v>
      </c>
      <c r="P63" s="37"/>
      <c r="Q63" s="31">
        <f>if(G63=13,1,0)+VLOOKUP(B63,'122323'!B:Q,16,false)</f>
        <v>0</v>
      </c>
      <c r="R63" s="31"/>
      <c r="S63" s="31">
        <f>if(G63=9,1,0)+VLOOKUP(B63,'122323'!B:S,18,false)</f>
        <v>24</v>
      </c>
    </row>
    <row r="64">
      <c r="A64" s="25">
        <f t="shared" si="5"/>
        <v>60</v>
      </c>
      <c r="B64" s="26" t="s">
        <v>105</v>
      </c>
      <c r="C64" s="27">
        <v>216.0</v>
      </c>
      <c r="D64" s="28">
        <v>0.0</v>
      </c>
      <c r="E64" s="30">
        <f>if(isna(VLOOKUP(B64,Checkin!A:B,2,false)),0,VLOOKUP(B64,Checkin!A:B,2,false))</f>
        <v>0</v>
      </c>
      <c r="F64" s="31">
        <f>if(OR($E64=1, $E64=2),VLOOKUP($B64,Courts!$B$2:$K$33,10,false),0)</f>
        <v>0</v>
      </c>
      <c r="G64" s="27">
        <f t="shared" si="2"/>
        <v>0</v>
      </c>
      <c r="H64" s="31">
        <f>if(OR($E64=1, $E64=2),VLOOKUP($B64,Courts!$B$2:$J$33,5,false),0)</f>
        <v>0</v>
      </c>
      <c r="I64" s="31">
        <f>if(OR($E64=1, $E64=2),VLOOKUP($B64,Courts!$B$2:$J$33,6,false),0)</f>
        <v>0</v>
      </c>
      <c r="J64" s="31">
        <f>if(OR($E64=1, $E64=2),VLOOKUP($B64,Courts!$B$2:$J$33,7,false),0)</f>
        <v>0</v>
      </c>
      <c r="K64" s="32">
        <f t="shared" si="3"/>
        <v>0</v>
      </c>
      <c r="L64" s="31">
        <f>if(OR($E64=1, $E64=2),VLOOKUP($B64,Courts!$B$2:$J$33,9,false),0)</f>
        <v>0</v>
      </c>
      <c r="M64" s="27">
        <f t="shared" ref="M64:N64" si="63">C64+K64</f>
        <v>216</v>
      </c>
      <c r="N64" s="28">
        <f t="shared" si="63"/>
        <v>0</v>
      </c>
      <c r="O64" s="33" t="s">
        <v>37</v>
      </c>
      <c r="P64" s="33" t="s">
        <v>37</v>
      </c>
      <c r="Q64" s="31">
        <f>if(G64=13,1,0)+VLOOKUP(B64,'122323'!B:Q,16,false)</f>
        <v>0</v>
      </c>
      <c r="R64" s="31"/>
      <c r="S64" s="31">
        <f>if(G64=9,1,0)+VLOOKUP(B64,'122323'!B:S,18,false)</f>
        <v>24</v>
      </c>
    </row>
    <row r="65">
      <c r="A65" s="25">
        <f t="shared" si="5"/>
        <v>61</v>
      </c>
      <c r="B65" s="26" t="s">
        <v>106</v>
      </c>
      <c r="C65" s="27">
        <v>216.0</v>
      </c>
      <c r="D65" s="28">
        <v>0.0</v>
      </c>
      <c r="E65" s="30">
        <f>if(isna(VLOOKUP(B65,Checkin!A:B,2,false)),0,VLOOKUP(B65,Checkin!A:B,2,false))</f>
        <v>0</v>
      </c>
      <c r="F65" s="31">
        <f>if(OR($E65=1, $E65=2),VLOOKUP($B65,Courts!$B$2:$K$33,10,false),0)</f>
        <v>0</v>
      </c>
      <c r="G65" s="27">
        <f t="shared" si="2"/>
        <v>0</v>
      </c>
      <c r="H65" s="31">
        <f>if(OR($E65=1, $E65=2),VLOOKUP($B65,Courts!$B$2:$J$33,5,false),0)</f>
        <v>0</v>
      </c>
      <c r="I65" s="31">
        <f>if(OR($E65=1, $E65=2),VLOOKUP($B65,Courts!$B$2:$J$33,6,false),0)</f>
        <v>0</v>
      </c>
      <c r="J65" s="31">
        <f>if(OR($E65=1, $E65=2),VLOOKUP($B65,Courts!$B$2:$J$33,7,false),0)</f>
        <v>0</v>
      </c>
      <c r="K65" s="32">
        <f t="shared" si="3"/>
        <v>0</v>
      </c>
      <c r="L65" s="31">
        <f>if(OR($E65=1, $E65=2),VLOOKUP($B65,Courts!$B$2:$J$33,9,false),0)</f>
        <v>0</v>
      </c>
      <c r="M65" s="27">
        <f t="shared" ref="M65:N65" si="64">C65+K65</f>
        <v>216</v>
      </c>
      <c r="N65" s="28">
        <f t="shared" si="64"/>
        <v>0</v>
      </c>
      <c r="O65" s="33" t="s">
        <v>37</v>
      </c>
      <c r="P65" s="37"/>
      <c r="Q65" s="31">
        <f>if(G65=13,1,0)+VLOOKUP(B65,'122323'!B:Q,16,false)</f>
        <v>0</v>
      </c>
      <c r="R65" s="31"/>
      <c r="S65" s="31">
        <f>if(G65=9,1,0)+VLOOKUP(B65,'122323'!B:S,18,false)</f>
        <v>24</v>
      </c>
    </row>
    <row r="66">
      <c r="A66" s="25">
        <f t="shared" si="5"/>
        <v>62</v>
      </c>
      <c r="B66" s="36" t="s">
        <v>107</v>
      </c>
      <c r="C66" s="27">
        <v>214.0</v>
      </c>
      <c r="D66" s="28">
        <v>2.0</v>
      </c>
      <c r="E66" s="30">
        <f>if(isna(VLOOKUP(B66,Checkin!A:B,2,false)),0,VLOOKUP(B66,Checkin!A:B,2,false))</f>
        <v>0</v>
      </c>
      <c r="F66" s="31">
        <f>if(OR($E66=1, $E66=2),VLOOKUP($B66,Courts!$B$2:$K$33,10,false),0)</f>
        <v>0</v>
      </c>
      <c r="G66" s="27">
        <f t="shared" si="2"/>
        <v>0</v>
      </c>
      <c r="H66" s="31">
        <f>if(OR($E66=1, $E66=2),VLOOKUP($B66,Courts!$B$2:$J$33,5,false),0)</f>
        <v>0</v>
      </c>
      <c r="I66" s="31">
        <f>if(OR($E66=1, $E66=2),VLOOKUP($B66,Courts!$B$2:$J$33,6,false),0)</f>
        <v>0</v>
      </c>
      <c r="J66" s="31">
        <f>if(OR($E66=1, $E66=2),VLOOKUP($B66,Courts!$B$2:$J$33,7,false),0)</f>
        <v>0</v>
      </c>
      <c r="K66" s="32">
        <f t="shared" si="3"/>
        <v>0</v>
      </c>
      <c r="L66" s="31">
        <f>if(OR($E66=1, $E66=2),VLOOKUP($B66,Courts!$B$2:$J$33,9,false),0)</f>
        <v>0</v>
      </c>
      <c r="M66" s="27">
        <f t="shared" ref="M66:N66" si="65">C66+K66</f>
        <v>214</v>
      </c>
      <c r="N66" s="28">
        <f t="shared" si="65"/>
        <v>2</v>
      </c>
      <c r="O66" s="33" t="s">
        <v>37</v>
      </c>
      <c r="P66" s="33" t="s">
        <v>37</v>
      </c>
      <c r="Q66" s="31">
        <f>if(G66=13,1,0)+VLOOKUP(B66,'122323'!B:Q,16,false)</f>
        <v>0</v>
      </c>
      <c r="R66" s="31"/>
      <c r="S66" s="31">
        <f>if(G66=9,1,0)+VLOOKUP(B66,'122323'!B:S,18,false)</f>
        <v>22</v>
      </c>
    </row>
    <row r="67">
      <c r="A67" s="25">
        <f t="shared" si="5"/>
        <v>63</v>
      </c>
      <c r="B67" s="36" t="s">
        <v>108</v>
      </c>
      <c r="C67" s="27">
        <v>213.0</v>
      </c>
      <c r="D67" s="28">
        <v>5.0</v>
      </c>
      <c r="E67" s="30">
        <f>if(isna(VLOOKUP(B67,Checkin!A:B,2,false)),0,VLOOKUP(B67,Checkin!A:B,2,false))</f>
        <v>0</v>
      </c>
      <c r="F67" s="31">
        <f>if(OR($E67=1, $E67=2),VLOOKUP($B67,Courts!$B$2:$K$33,10,false),0)</f>
        <v>0</v>
      </c>
      <c r="G67" s="27">
        <f t="shared" si="2"/>
        <v>0</v>
      </c>
      <c r="H67" s="31">
        <f>if(OR($E67=1, $E67=2),VLOOKUP($B67,Courts!$B$2:$J$33,5,false),0)</f>
        <v>0</v>
      </c>
      <c r="I67" s="31">
        <f>if(OR($E67=1, $E67=2),VLOOKUP($B67,Courts!$B$2:$J$33,6,false),0)</f>
        <v>0</v>
      </c>
      <c r="J67" s="31">
        <f>if(OR($E67=1, $E67=2),VLOOKUP($B67,Courts!$B$2:$J$33,7,false),0)</f>
        <v>0</v>
      </c>
      <c r="K67" s="32">
        <f t="shared" si="3"/>
        <v>0</v>
      </c>
      <c r="L67" s="31">
        <f>if(OR($E67=1, $E67=2),VLOOKUP($B67,Courts!$B$2:$J$33,9,false),0)</f>
        <v>0</v>
      </c>
      <c r="M67" s="27">
        <f t="shared" ref="M67:N67" si="66">C67+K67</f>
        <v>213</v>
      </c>
      <c r="N67" s="28">
        <f t="shared" si="66"/>
        <v>5</v>
      </c>
      <c r="O67" s="33" t="s">
        <v>37</v>
      </c>
      <c r="P67" s="33" t="s">
        <v>37</v>
      </c>
      <c r="Q67" s="31">
        <f>if(G67=13,1,0)+VLOOKUP(B67,'122323'!B:Q,16,false)</f>
        <v>0</v>
      </c>
      <c r="R67" s="31"/>
      <c r="S67" s="31">
        <f>if(G67=9,1,0)+VLOOKUP(B67,'122323'!B:S,18,false)</f>
        <v>19</v>
      </c>
    </row>
    <row r="68">
      <c r="A68" s="25">
        <f t="shared" si="5"/>
        <v>64</v>
      </c>
      <c r="B68" s="36" t="s">
        <v>109</v>
      </c>
      <c r="C68" s="27">
        <v>212.0</v>
      </c>
      <c r="D68" s="28">
        <v>3.0</v>
      </c>
      <c r="E68" s="30">
        <f>if(isna(VLOOKUP(B68,Checkin!A:B,2,false)),0,VLOOKUP(B68,Checkin!A:B,2,false))</f>
        <v>0</v>
      </c>
      <c r="F68" s="31">
        <f>if(OR($E68=1, $E68=2),VLOOKUP($B68,Courts!$B$2:$K$33,10,false),0)</f>
        <v>0</v>
      </c>
      <c r="G68" s="27">
        <f t="shared" si="2"/>
        <v>0</v>
      </c>
      <c r="H68" s="31">
        <f>if(OR($E68=1, $E68=2),VLOOKUP($B68,Courts!$B$2:$J$33,5,false),0)</f>
        <v>0</v>
      </c>
      <c r="I68" s="31">
        <f>if(OR($E68=1, $E68=2),VLOOKUP($B68,Courts!$B$2:$J$33,6,false),0)</f>
        <v>0</v>
      </c>
      <c r="J68" s="31">
        <f>if(OR($E68=1, $E68=2),VLOOKUP($B68,Courts!$B$2:$J$33,7,false),0)</f>
        <v>0</v>
      </c>
      <c r="K68" s="32">
        <f t="shared" si="3"/>
        <v>0</v>
      </c>
      <c r="L68" s="31">
        <f>if(OR($G68=1, $G68=2),VLOOKUP($B68,Courts!$B$2:$J$33,9,false),0)</f>
        <v>0</v>
      </c>
      <c r="M68" s="27">
        <f t="shared" ref="M68:N68" si="67">C68+K68</f>
        <v>212</v>
      </c>
      <c r="N68" s="28">
        <f t="shared" si="67"/>
        <v>3</v>
      </c>
      <c r="O68" s="33" t="s">
        <v>37</v>
      </c>
      <c r="P68" s="33" t="s">
        <v>37</v>
      </c>
      <c r="Q68" s="31">
        <f>if(G68=13,1,0)+VLOOKUP(B68,'122323'!B:Q,16,false)</f>
        <v>0</v>
      </c>
      <c r="R68" s="31"/>
      <c r="S68" s="31">
        <f>if(G68=9,1,0)+VLOOKUP(B68,'122323'!B:S,18,false)</f>
        <v>11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14" t="s">
        <v>110</v>
      </c>
      <c r="P70" s="13">
        <f>COUNTA(P5:P68)</f>
        <v>53</v>
      </c>
    </row>
    <row r="71">
      <c r="A71" s="1"/>
      <c r="C71" s="1"/>
      <c r="D71" s="1"/>
      <c r="E71" s="1"/>
      <c r="O71" s="14" t="s">
        <v>111</v>
      </c>
      <c r="P71" s="13">
        <f>P72-P70</f>
        <v>11</v>
      </c>
    </row>
    <row r="72">
      <c r="A72" s="1"/>
      <c r="C72" s="1"/>
      <c r="D72" s="1"/>
      <c r="J72" s="41"/>
      <c r="K72" s="42"/>
      <c r="L72" s="43"/>
      <c r="O72" s="14" t="s">
        <v>41</v>
      </c>
      <c r="P72" s="13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desc"",0)"),"#N/A")</f>
        <v>#N/A</v>
      </c>
      <c r="C77" s="36"/>
      <c r="D77" s="36"/>
      <c r="E77" s="1"/>
      <c r="K77" s="42"/>
      <c r="L77" s="43"/>
    </row>
    <row r="78">
      <c r="A78" s="1"/>
      <c r="B78" s="36"/>
      <c r="C78" s="36"/>
      <c r="D78" s="36"/>
      <c r="E78" s="1"/>
      <c r="L78" s="47"/>
    </row>
    <row r="79">
      <c r="A79" s="1"/>
      <c r="B79" s="36"/>
      <c r="C79" s="36"/>
      <c r="D79" s="36"/>
      <c r="E79" s="1"/>
    </row>
    <row r="80">
      <c r="A80" s="1"/>
      <c r="B80" s="36"/>
      <c r="C80" s="36"/>
      <c r="D80" s="36"/>
      <c r="E80" s="1"/>
    </row>
    <row r="81">
      <c r="A81" s="1"/>
      <c r="B81" s="36"/>
      <c r="C81" s="46"/>
      <c r="D81" s="46"/>
      <c r="E81" s="1"/>
      <c r="K81" s="34"/>
    </row>
    <row r="82">
      <c r="A82" s="1"/>
      <c r="B82" s="36"/>
      <c r="C82" s="46"/>
      <c r="D82" s="46"/>
      <c r="E82" s="1"/>
      <c r="K82" s="34"/>
    </row>
    <row r="83">
      <c r="A83" s="1"/>
      <c r="B83" s="36"/>
      <c r="C83" s="46"/>
      <c r="D83" s="46"/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1"")"),"#N/A")</f>
        <v>#N/A</v>
      </c>
      <c r="C90" s="60"/>
      <c r="D90" s="60"/>
      <c r="E90" s="60"/>
      <c r="F90" s="48"/>
      <c r="G90" s="48"/>
      <c r="H90" s="48"/>
      <c r="I90" s="48"/>
      <c r="J90" s="48"/>
      <c r="K90" s="48"/>
      <c r="L90" s="48"/>
      <c r="M90" s="48"/>
      <c r="N90" s="48"/>
    </row>
    <row r="91">
      <c r="A91" s="1"/>
      <c r="B91" s="48"/>
      <c r="C91" s="60"/>
      <c r="D91" s="60"/>
      <c r="E91" s="60"/>
      <c r="F91" s="48"/>
      <c r="G91" s="48"/>
      <c r="H91" s="48"/>
      <c r="I91" s="48"/>
      <c r="J91" s="48"/>
      <c r="K91" s="48"/>
      <c r="L91" s="48"/>
      <c r="M91" s="48"/>
      <c r="N91" s="48"/>
    </row>
    <row r="92">
      <c r="A92" s="1"/>
      <c r="B92" s="48"/>
      <c r="C92" s="60"/>
      <c r="D92" s="60"/>
      <c r="E92" s="60"/>
      <c r="F92" s="48"/>
      <c r="G92" s="48"/>
      <c r="H92" s="48"/>
      <c r="I92" s="48"/>
      <c r="J92" s="48"/>
      <c r="K92" s="48"/>
      <c r="L92" s="48"/>
      <c r="M92" s="48"/>
      <c r="N92" s="48"/>
    </row>
    <row r="93">
      <c r="A93" s="1"/>
      <c r="B93" s="48"/>
      <c r="C93" s="60"/>
      <c r="D93" s="60"/>
      <c r="E93" s="60"/>
      <c r="F93" s="48"/>
      <c r="G93" s="48"/>
      <c r="H93" s="48"/>
      <c r="I93" s="48"/>
      <c r="J93" s="48"/>
      <c r="K93" s="48"/>
      <c r="L93" s="48"/>
      <c r="M93" s="48"/>
      <c r="N93" s="48"/>
    </row>
    <row r="94">
      <c r="A94" s="1"/>
      <c r="B94" s="53"/>
      <c r="C94" s="59"/>
      <c r="D94" s="59"/>
      <c r="E94" s="59"/>
      <c r="F94" s="53"/>
      <c r="G94" s="53"/>
      <c r="H94" s="53"/>
      <c r="I94" s="53"/>
      <c r="J94" s="53"/>
      <c r="K94" s="53"/>
      <c r="L94" s="53"/>
      <c r="M94" s="53"/>
      <c r="N94" s="53"/>
    </row>
    <row r="95">
      <c r="A95" s="1"/>
      <c r="B95" s="53"/>
      <c r="C95" s="59"/>
      <c r="D95" s="59"/>
      <c r="E95" s="59"/>
      <c r="F95" s="53"/>
      <c r="G95" s="53"/>
      <c r="H95" s="53"/>
      <c r="I95" s="53"/>
      <c r="J95" s="53"/>
      <c r="K95" s="53"/>
      <c r="L95" s="53"/>
      <c r="M95" s="53"/>
      <c r="N95" s="53"/>
    </row>
    <row r="96">
      <c r="A96" s="1"/>
      <c r="B96" s="53"/>
      <c r="C96" s="59"/>
      <c r="D96" s="59"/>
      <c r="E96" s="59"/>
      <c r="F96" s="53"/>
      <c r="G96" s="53"/>
      <c r="H96" s="53"/>
      <c r="I96" s="53"/>
      <c r="J96" s="53"/>
      <c r="K96" s="53"/>
      <c r="L96" s="53"/>
      <c r="M96" s="53"/>
      <c r="N96" s="53"/>
    </row>
    <row r="97">
      <c r="A97" s="1"/>
      <c r="B97" s="53"/>
      <c r="C97" s="59"/>
      <c r="D97" s="59"/>
      <c r="E97" s="59"/>
      <c r="F97" s="53"/>
      <c r="G97" s="53"/>
      <c r="H97" s="53"/>
      <c r="I97" s="53"/>
      <c r="J97" s="53"/>
      <c r="K97" s="53"/>
      <c r="L97" s="53"/>
      <c r="M97" s="53"/>
      <c r="N97" s="53"/>
    </row>
    <row r="98">
      <c r="A98" s="1"/>
      <c r="B98" s="48"/>
      <c r="C98" s="60"/>
      <c r="D98" s="60"/>
      <c r="E98" s="60"/>
      <c r="F98" s="48"/>
      <c r="G98" s="48"/>
      <c r="H98" s="48"/>
      <c r="I98" s="48"/>
      <c r="J98" s="48"/>
      <c r="K98" s="48"/>
      <c r="L98" s="48"/>
      <c r="M98" s="48"/>
      <c r="N98" s="48"/>
    </row>
    <row r="99">
      <c r="A99" s="1"/>
      <c r="B99" s="48"/>
      <c r="C99" s="60"/>
      <c r="D99" s="60"/>
      <c r="E99" s="60"/>
      <c r="F99" s="48"/>
      <c r="G99" s="48"/>
      <c r="H99" s="48"/>
      <c r="I99" s="48"/>
      <c r="J99" s="48"/>
      <c r="K99" s="48"/>
      <c r="L99" s="48"/>
      <c r="M99" s="48"/>
      <c r="N99" s="48"/>
    </row>
    <row r="100">
      <c r="A100" s="1"/>
      <c r="B100" s="48"/>
      <c r="C100" s="60"/>
      <c r="D100" s="60"/>
      <c r="E100" s="60"/>
      <c r="F100" s="48"/>
      <c r="G100" s="48"/>
      <c r="H100" s="48"/>
      <c r="I100" s="48"/>
      <c r="J100" s="48"/>
      <c r="K100" s="48"/>
      <c r="L100" s="48"/>
      <c r="M100" s="48"/>
      <c r="N100" s="48"/>
    </row>
    <row r="101">
      <c r="A101" s="1"/>
      <c r="B101" s="48"/>
      <c r="C101" s="60"/>
      <c r="D101" s="60"/>
      <c r="E101" s="60"/>
      <c r="F101" s="48"/>
      <c r="G101" s="48"/>
      <c r="H101" s="48"/>
      <c r="I101" s="48"/>
      <c r="J101" s="48"/>
      <c r="K101" s="48"/>
      <c r="L101" s="48"/>
      <c r="M101" s="48"/>
      <c r="N101" s="48"/>
    </row>
    <row r="102">
      <c r="A102" s="1"/>
      <c r="B102" s="53"/>
      <c r="C102" s="59"/>
      <c r="D102" s="59"/>
      <c r="E102" s="59"/>
      <c r="F102" s="53"/>
      <c r="G102" s="53"/>
      <c r="H102" s="53"/>
      <c r="I102" s="53"/>
      <c r="J102" s="53"/>
      <c r="K102" s="53"/>
      <c r="L102" s="53"/>
      <c r="M102" s="53"/>
      <c r="N102" s="53"/>
    </row>
    <row r="103">
      <c r="A103" s="1"/>
      <c r="B103" s="53"/>
      <c r="C103" s="59"/>
      <c r="D103" s="59"/>
      <c r="E103" s="59"/>
      <c r="F103" s="53"/>
      <c r="G103" s="53"/>
      <c r="H103" s="53"/>
      <c r="I103" s="53"/>
      <c r="J103" s="53"/>
      <c r="K103" s="53"/>
      <c r="L103" s="53"/>
      <c r="M103" s="53"/>
      <c r="N103" s="53"/>
    </row>
    <row r="104">
      <c r="A104" s="1"/>
      <c r="B104" s="53"/>
      <c r="C104" s="59"/>
      <c r="D104" s="59"/>
      <c r="E104" s="59"/>
      <c r="F104" s="53"/>
      <c r="G104" s="53"/>
      <c r="H104" s="53"/>
      <c r="I104" s="53"/>
      <c r="J104" s="53"/>
      <c r="K104" s="53"/>
      <c r="L104" s="53"/>
      <c r="M104" s="53"/>
      <c r="N104" s="53"/>
    </row>
    <row r="105">
      <c r="A105" s="1"/>
      <c r="B105" s="53"/>
      <c r="C105" s="59"/>
      <c r="D105" s="59"/>
      <c r="E105" s="59"/>
      <c r="F105" s="53"/>
      <c r="G105" s="53"/>
      <c r="H105" s="53"/>
      <c r="I105" s="53"/>
      <c r="J105" s="53"/>
      <c r="K105" s="53"/>
      <c r="L105" s="53"/>
      <c r="M105" s="53"/>
      <c r="N105" s="53"/>
    </row>
    <row r="106">
      <c r="A106" s="1"/>
      <c r="B106" s="48"/>
      <c r="C106" s="60"/>
      <c r="D106" s="60"/>
      <c r="E106" s="60"/>
      <c r="F106" s="48"/>
      <c r="G106" s="48"/>
      <c r="H106" s="48"/>
      <c r="I106" s="48"/>
      <c r="J106" s="48"/>
      <c r="K106" s="48"/>
      <c r="L106" s="48"/>
      <c r="M106" s="48"/>
      <c r="N106" s="48"/>
    </row>
    <row r="107">
      <c r="A107" s="1"/>
      <c r="B107" s="48"/>
      <c r="C107" s="60"/>
      <c r="D107" s="60"/>
      <c r="E107" s="60"/>
      <c r="F107" s="48"/>
      <c r="G107" s="48"/>
      <c r="H107" s="48"/>
      <c r="I107" s="48"/>
      <c r="J107" s="48"/>
      <c r="K107" s="48"/>
      <c r="L107" s="48"/>
      <c r="M107" s="48"/>
      <c r="N107" s="48"/>
    </row>
    <row r="108">
      <c r="A108" s="1"/>
      <c r="B108" s="48"/>
      <c r="C108" s="60"/>
      <c r="D108" s="60"/>
      <c r="E108" s="60"/>
      <c r="F108" s="48"/>
      <c r="G108" s="48"/>
      <c r="H108" s="48"/>
      <c r="I108" s="48"/>
      <c r="J108" s="48"/>
      <c r="K108" s="48"/>
      <c r="L108" s="48"/>
      <c r="M108" s="48"/>
      <c r="N108" s="48"/>
    </row>
    <row r="109">
      <c r="A109" s="1"/>
      <c r="B109" s="48"/>
      <c r="C109" s="60"/>
      <c r="D109" s="60"/>
      <c r="E109" s="60"/>
      <c r="F109" s="48"/>
      <c r="G109" s="48"/>
      <c r="H109" s="48"/>
      <c r="I109" s="48"/>
      <c r="J109" s="48"/>
      <c r="K109" s="48"/>
      <c r="L109" s="48"/>
      <c r="M109" s="48"/>
      <c r="N109" s="48"/>
    </row>
    <row r="110">
      <c r="A110" s="1"/>
      <c r="B110" s="53"/>
      <c r="C110" s="59"/>
      <c r="D110" s="59"/>
      <c r="E110" s="59"/>
      <c r="F110" s="53"/>
      <c r="G110" s="53"/>
      <c r="H110" s="53"/>
      <c r="I110" s="53"/>
      <c r="J110" s="53"/>
      <c r="K110" s="53"/>
      <c r="L110" s="53"/>
      <c r="M110" s="53"/>
      <c r="N110" s="53"/>
    </row>
    <row r="111">
      <c r="A111" s="1"/>
      <c r="B111" s="53"/>
      <c r="C111" s="59"/>
      <c r="D111" s="59"/>
      <c r="E111" s="59"/>
      <c r="F111" s="53"/>
      <c r="G111" s="53"/>
      <c r="H111" s="53"/>
      <c r="I111" s="53"/>
      <c r="J111" s="53"/>
      <c r="K111" s="53"/>
      <c r="L111" s="53"/>
      <c r="M111" s="53"/>
      <c r="N111" s="53"/>
    </row>
    <row r="112">
      <c r="A112" s="1"/>
      <c r="B112" s="53"/>
      <c r="C112" s="59"/>
      <c r="D112" s="59"/>
      <c r="E112" s="59"/>
      <c r="F112" s="53"/>
      <c r="G112" s="53"/>
      <c r="H112" s="53"/>
      <c r="I112" s="53"/>
      <c r="J112" s="53"/>
      <c r="K112" s="53"/>
      <c r="L112" s="53"/>
      <c r="M112" s="53"/>
      <c r="N112" s="53"/>
    </row>
    <row r="113">
      <c r="A113" s="1"/>
      <c r="B113" s="53"/>
      <c r="C113" s="59"/>
      <c r="D113" s="59"/>
      <c r="E113" s="59"/>
      <c r="F113" s="53"/>
      <c r="G113" s="53"/>
      <c r="H113" s="53"/>
      <c r="I113" s="53"/>
      <c r="J113" s="53"/>
      <c r="K113" s="53"/>
      <c r="L113" s="53"/>
      <c r="M113" s="53"/>
      <c r="N113" s="53"/>
    </row>
    <row r="114">
      <c r="A114" s="1"/>
      <c r="B114" s="48"/>
      <c r="C114" s="60"/>
      <c r="D114" s="60"/>
      <c r="E114" s="60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1"/>
      <c r="B115" s="48"/>
      <c r="C115" s="60"/>
      <c r="D115" s="60"/>
      <c r="E115" s="60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1"/>
      <c r="B116" s="48"/>
      <c r="C116" s="60"/>
      <c r="D116" s="60"/>
      <c r="E116" s="60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1"/>
      <c r="B117" s="48"/>
      <c r="C117" s="60"/>
      <c r="D117" s="60"/>
      <c r="E117" s="60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0"")"),"Peter Cheng")</f>
        <v>Peter Cheng</v>
      </c>
      <c r="C134" s="49">
        <f>IFERROR(__xludf.DUMMYFUNCTION("""COMPUTED_VALUE"""),339.0)</f>
        <v>339</v>
      </c>
      <c r="D134" s="50">
        <f>IFERROR(__xludf.DUMMYFUNCTION("""COMPUTED_VALUE"""),36.0)</f>
        <v>36</v>
      </c>
      <c r="E134" s="49">
        <f>IFERROR(__xludf.DUMMYFUNCTION("""COMPUTED_VALUE"""),0.0)</f>
        <v>0</v>
      </c>
      <c r="F134" s="51">
        <f>IFERROR(__xludf.DUMMYFUNCTION("""COMPUTED_VALUE"""),0.0)</f>
        <v>0</v>
      </c>
      <c r="G134" s="51">
        <f>IFERROR(__xludf.DUMMYFUNCTION("""COMPUTED_VALUE"""),0.0)</f>
        <v>0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IFERROR(__xludf.DUMMYFUNCTION("""COMPUTED_VALUE"""),0.0)</f>
        <v>0</v>
      </c>
      <c r="L134" s="51">
        <f>IFERROR(__xludf.DUMMYFUNCTION("""COMPUTED_VALUE"""),0.0)</f>
        <v>0</v>
      </c>
      <c r="M134" s="51">
        <f>IFERROR(__xludf.DUMMYFUNCTION("""COMPUTED_VALUE"""),339.0)</f>
        <v>339</v>
      </c>
      <c r="N134" s="52">
        <f>IFERROR(__xludf.DUMMYFUNCTION("""COMPUTED_VALUE"""),36.0)</f>
        <v>36</v>
      </c>
    </row>
    <row r="135">
      <c r="A135" s="1"/>
      <c r="B135" s="48" t="str">
        <f>IFERROR(__xludf.DUMMYFUNCTION("""COMPUTED_VALUE"""),"Adrian Tay")</f>
        <v>Adrian Tay</v>
      </c>
      <c r="C135" s="49">
        <f>IFERROR(__xludf.DUMMYFUNCTION("""COMPUTED_VALUE"""),324.0)</f>
        <v>324</v>
      </c>
      <c r="D135" s="50">
        <f>IFERROR(__xludf.DUMMYFUNCTION("""COMPUTED_VALUE"""),31.0)</f>
        <v>31</v>
      </c>
      <c r="E135" s="49">
        <f>IFERROR(__xludf.DUMMYFUNCTION("""COMPUTED_VALUE"""),0.0)</f>
        <v>0</v>
      </c>
      <c r="F135" s="51">
        <f>IFERROR(__xludf.DUMMYFUNCTION("""COMPUTED_VALUE"""),0.0)</f>
        <v>0</v>
      </c>
      <c r="G135" s="51">
        <f>IFERROR(__xludf.DUMMYFUNCTION("""COMPUTED_VALUE"""),0.0)</f>
        <v>0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IFERROR(__xludf.DUMMYFUNCTION("""COMPUTED_VALUE"""),0.0)</f>
        <v>0</v>
      </c>
      <c r="L135" s="51">
        <f>IFERROR(__xludf.DUMMYFUNCTION("""COMPUTED_VALUE"""),0.0)</f>
        <v>0</v>
      </c>
      <c r="M135" s="51">
        <f>IFERROR(__xludf.DUMMYFUNCTION("""COMPUTED_VALUE"""),324.0)</f>
        <v>324</v>
      </c>
      <c r="N135" s="52">
        <f>IFERROR(__xludf.DUMMYFUNCTION("""COMPUTED_VALUE"""),31.0)</f>
        <v>31</v>
      </c>
    </row>
    <row r="136">
      <c r="A136" s="1"/>
      <c r="B136" s="48" t="str">
        <f>IFERROR(__xludf.DUMMYFUNCTION("""COMPUTED_VALUE"""),"Robert Chang")</f>
        <v>Robert Chang</v>
      </c>
      <c r="C136" s="49">
        <f>IFERROR(__xludf.DUMMYFUNCTION("""COMPUTED_VALUE"""),324.0)</f>
        <v>324</v>
      </c>
      <c r="D136" s="50">
        <f>IFERROR(__xludf.DUMMYFUNCTION("""COMPUTED_VALUE"""),31.0)</f>
        <v>31</v>
      </c>
      <c r="E136" s="49">
        <f>IFERROR(__xludf.DUMMYFUNCTION("""COMPUTED_VALUE"""),0.0)</f>
        <v>0</v>
      </c>
      <c r="F136" s="51">
        <f>IFERROR(__xludf.DUMMYFUNCTION("""COMPUTED_VALUE"""),0.0)</f>
        <v>0</v>
      </c>
      <c r="G136" s="51">
        <f>IFERROR(__xludf.DUMMYFUNCTION("""COMPUTED_VALUE"""),0.0)</f>
        <v>0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IFERROR(__xludf.DUMMYFUNCTION("""COMPUTED_VALUE"""),0.0)</f>
        <v>0</v>
      </c>
      <c r="L136" s="51">
        <f>IFERROR(__xludf.DUMMYFUNCTION("""COMPUTED_VALUE"""),0.0)</f>
        <v>0</v>
      </c>
      <c r="M136" s="51">
        <f>IFERROR(__xludf.DUMMYFUNCTION("""COMPUTED_VALUE"""),324.0)</f>
        <v>324</v>
      </c>
      <c r="N136" s="52">
        <f>IFERROR(__xludf.DUMMYFUNCTION("""COMPUTED_VALUE"""),31.0)</f>
        <v>31</v>
      </c>
    </row>
    <row r="137">
      <c r="A137" s="1"/>
      <c r="B137" s="48" t="str">
        <f>IFERROR(__xludf.DUMMYFUNCTION("""COMPUTED_VALUE"""),"Alejandro Mejia")</f>
        <v>Alejandro Mejia</v>
      </c>
      <c r="C137" s="49">
        <f>IFERROR(__xludf.DUMMYFUNCTION("""COMPUTED_VALUE"""),314.0)</f>
        <v>314</v>
      </c>
      <c r="D137" s="50">
        <f>IFERROR(__xludf.DUMMYFUNCTION("""COMPUTED_VALUE"""),28.0)</f>
        <v>28</v>
      </c>
      <c r="E137" s="49">
        <f>IFERROR(__xludf.DUMMYFUNCTION("""COMPUTED_VALUE"""),0.0)</f>
        <v>0</v>
      </c>
      <c r="F137" s="51">
        <f>IFERROR(__xludf.DUMMYFUNCTION("""COMPUTED_VALUE"""),0.0)</f>
        <v>0</v>
      </c>
      <c r="G137" s="51">
        <f>IFERROR(__xludf.DUMMYFUNCTION("""COMPUTED_VALUE"""),0.0)</f>
        <v>0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IFERROR(__xludf.DUMMYFUNCTION("""COMPUTED_VALUE"""),0.0)</f>
        <v>0</v>
      </c>
      <c r="L137" s="51">
        <f>IFERROR(__xludf.DUMMYFUNCTION("""COMPUTED_VALUE"""),0.0)</f>
        <v>0</v>
      </c>
      <c r="M137" s="51">
        <f>IFERROR(__xludf.DUMMYFUNCTION("""COMPUTED_VALUE"""),314.0)</f>
        <v>314</v>
      </c>
      <c r="N137" s="52">
        <f>IFERROR(__xludf.DUMMYFUNCTION("""COMPUTED_VALUE"""),28.0)</f>
        <v>28</v>
      </c>
    </row>
    <row r="138">
      <c r="A138" s="1"/>
      <c r="B138" s="48" t="str">
        <f>IFERROR(__xludf.DUMMYFUNCTION("""COMPUTED_VALUE"""),"Matthew Huang")</f>
        <v>Matthew Huang</v>
      </c>
      <c r="C138" s="49">
        <f>IFERROR(__xludf.DUMMYFUNCTION("""COMPUTED_VALUE"""),309.0)</f>
        <v>309</v>
      </c>
      <c r="D138" s="50">
        <f>IFERROR(__xludf.DUMMYFUNCTION("""COMPUTED_VALUE"""),25.0)</f>
        <v>25</v>
      </c>
      <c r="E138" s="49">
        <f>IFERROR(__xludf.DUMMYFUNCTION("""COMPUTED_VALUE"""),0.0)</f>
        <v>0</v>
      </c>
      <c r="F138" s="51">
        <f>IFERROR(__xludf.DUMMYFUNCTION("""COMPUTED_VALUE"""),0.0)</f>
        <v>0</v>
      </c>
      <c r="G138" s="51">
        <f>IFERROR(__xludf.DUMMYFUNCTION("""COMPUTED_VALUE"""),0.0)</f>
        <v>0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IFERROR(__xludf.DUMMYFUNCTION("""COMPUTED_VALUE"""),0.0)</f>
        <v>0</v>
      </c>
      <c r="L138" s="51">
        <f>IFERROR(__xludf.DUMMYFUNCTION("""COMPUTED_VALUE"""),0.0)</f>
        <v>0</v>
      </c>
      <c r="M138" s="51">
        <f>IFERROR(__xludf.DUMMYFUNCTION("""COMPUTED_VALUE"""),309.0)</f>
        <v>309</v>
      </c>
      <c r="N138" s="52">
        <f>IFERROR(__xludf.DUMMYFUNCTION("""COMPUTED_VALUE"""),25.0)</f>
        <v>25</v>
      </c>
    </row>
    <row r="139">
      <c r="A139" s="1"/>
      <c r="B139" s="48" t="str">
        <f>IFERROR(__xludf.DUMMYFUNCTION("""COMPUTED_VALUE"""),"Pulkit Mathur")</f>
        <v>Pulkit Mathur</v>
      </c>
      <c r="C139" s="49">
        <f>IFERROR(__xludf.DUMMYFUNCTION("""COMPUTED_VALUE"""),308.0)</f>
        <v>308</v>
      </c>
      <c r="D139" s="50">
        <f>IFERROR(__xludf.DUMMYFUNCTION("""COMPUTED_VALUE"""),25.0)</f>
        <v>25</v>
      </c>
      <c r="E139" s="49">
        <f>IFERROR(__xludf.DUMMYFUNCTION("""COMPUTED_VALUE"""),0.0)</f>
        <v>0</v>
      </c>
      <c r="F139" s="51">
        <f>IFERROR(__xludf.DUMMYFUNCTION("""COMPUTED_VALUE"""),0.0)</f>
        <v>0</v>
      </c>
      <c r="G139" s="51">
        <f>IFERROR(__xludf.DUMMYFUNCTION("""COMPUTED_VALUE"""),0.0)</f>
        <v>0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IFERROR(__xludf.DUMMYFUNCTION("""COMPUTED_VALUE"""),0.0)</f>
        <v>0</v>
      </c>
      <c r="L139" s="51">
        <f>IFERROR(__xludf.DUMMYFUNCTION("""COMPUTED_VALUE"""),0.0)</f>
        <v>0</v>
      </c>
      <c r="M139" s="51">
        <f>IFERROR(__xludf.DUMMYFUNCTION("""COMPUTED_VALUE"""),308.0)</f>
        <v>308</v>
      </c>
      <c r="N139" s="52">
        <f>IFERROR(__xludf.DUMMYFUNCTION("""COMPUTED_VALUE"""),25.0)</f>
        <v>25</v>
      </c>
    </row>
    <row r="140">
      <c r="A140" s="1"/>
      <c r="B140" s="48" t="str">
        <f>IFERROR(__xludf.DUMMYFUNCTION("""COMPUTED_VALUE"""),"Pavan Akkimsetty")</f>
        <v>Pavan Akkimsetty</v>
      </c>
      <c r="C140" s="49">
        <f>IFERROR(__xludf.DUMMYFUNCTION("""COMPUTED_VALUE"""),305.0)</f>
        <v>305</v>
      </c>
      <c r="D140" s="50">
        <f>IFERROR(__xludf.DUMMYFUNCTION("""COMPUTED_VALUE"""),27.0)</f>
        <v>27</v>
      </c>
      <c r="E140" s="49">
        <f>IFERROR(__xludf.DUMMYFUNCTION("""COMPUTED_VALUE"""),0.0)</f>
        <v>0</v>
      </c>
      <c r="F140" s="51">
        <f>IFERROR(__xludf.DUMMYFUNCTION("""COMPUTED_VALUE"""),0.0)</f>
        <v>0</v>
      </c>
      <c r="G140" s="51">
        <f>IFERROR(__xludf.DUMMYFUNCTION("""COMPUTED_VALUE"""),0.0)</f>
        <v>0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IFERROR(__xludf.DUMMYFUNCTION("""COMPUTED_VALUE"""),0.0)</f>
        <v>0</v>
      </c>
      <c r="L140" s="51">
        <f>IFERROR(__xludf.DUMMYFUNCTION("""COMPUTED_VALUE"""),0.0)</f>
        <v>0</v>
      </c>
      <c r="M140" s="51">
        <f>IFERROR(__xludf.DUMMYFUNCTION("""COMPUTED_VALUE"""),305.0)</f>
        <v>305</v>
      </c>
      <c r="N140" s="52">
        <f>IFERROR(__xludf.DUMMYFUNCTION("""COMPUTED_VALUE"""),27.0)</f>
        <v>27</v>
      </c>
    </row>
    <row r="141">
      <c r="A141" s="1"/>
      <c r="B141" s="48" t="str">
        <f>IFERROR(__xludf.DUMMYFUNCTION("""COMPUTED_VALUE"""),"Lam Bui")</f>
        <v>Lam Bui</v>
      </c>
      <c r="C141" s="49">
        <f>IFERROR(__xludf.DUMMYFUNCTION("""COMPUTED_VALUE"""),302.0)</f>
        <v>302</v>
      </c>
      <c r="D141" s="50">
        <f>IFERROR(__xludf.DUMMYFUNCTION("""COMPUTED_VALUE"""),26.0)</f>
        <v>26</v>
      </c>
      <c r="E141" s="49">
        <f>IFERROR(__xludf.DUMMYFUNCTION("""COMPUTED_VALUE"""),0.0)</f>
        <v>0</v>
      </c>
      <c r="F141" s="51">
        <f>IFERROR(__xludf.DUMMYFUNCTION("""COMPUTED_VALUE"""),0.0)</f>
        <v>0</v>
      </c>
      <c r="G141" s="51">
        <f>IFERROR(__xludf.DUMMYFUNCTION("""COMPUTED_VALUE"""),0.0)</f>
        <v>0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IFERROR(__xludf.DUMMYFUNCTION("""COMPUTED_VALUE"""),0.0)</f>
        <v>0</v>
      </c>
      <c r="L141" s="51">
        <f>IFERROR(__xludf.DUMMYFUNCTION("""COMPUTED_VALUE"""),0.0)</f>
        <v>0</v>
      </c>
      <c r="M141" s="51">
        <f>IFERROR(__xludf.DUMMYFUNCTION("""COMPUTED_VALUE"""),302.0)</f>
        <v>302</v>
      </c>
      <c r="N141" s="52">
        <f>IFERROR(__xludf.DUMMYFUNCTION("""COMPUTED_VALUE"""),26.0)</f>
        <v>26</v>
      </c>
    </row>
    <row r="142">
      <c r="A142" s="1"/>
      <c r="B142" s="48" t="str">
        <f>IFERROR(__xludf.DUMMYFUNCTION("""COMPUTED_VALUE"""),"Joe Luzzi")</f>
        <v>Joe Luzzi</v>
      </c>
      <c r="C142" s="49">
        <f>IFERROR(__xludf.DUMMYFUNCTION("""COMPUTED_VALUE"""),301.0)</f>
        <v>301</v>
      </c>
      <c r="D142" s="50">
        <f>IFERROR(__xludf.DUMMYFUNCTION("""COMPUTED_VALUE"""),28.0)</f>
        <v>28</v>
      </c>
      <c r="E142" s="49">
        <f>IFERROR(__xludf.DUMMYFUNCTION("""COMPUTED_VALUE"""),0.0)</f>
        <v>0</v>
      </c>
      <c r="F142" s="51">
        <f>IFERROR(__xludf.DUMMYFUNCTION("""COMPUTED_VALUE"""),0.0)</f>
        <v>0</v>
      </c>
      <c r="G142" s="51">
        <f>IFERROR(__xludf.DUMMYFUNCTION("""COMPUTED_VALUE"""),0.0)</f>
        <v>0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IFERROR(__xludf.DUMMYFUNCTION("""COMPUTED_VALUE"""),0.0)</f>
        <v>0</v>
      </c>
      <c r="L142" s="51">
        <f>IFERROR(__xludf.DUMMYFUNCTION("""COMPUTED_VALUE"""),0.0)</f>
        <v>0</v>
      </c>
      <c r="M142" s="51">
        <f>IFERROR(__xludf.DUMMYFUNCTION("""COMPUTED_VALUE"""),301.0)</f>
        <v>301</v>
      </c>
      <c r="N142" s="52">
        <f>IFERROR(__xludf.DUMMYFUNCTION("""COMPUTED_VALUE"""),28.0)</f>
        <v>28</v>
      </c>
    </row>
    <row r="143">
      <c r="A143" s="1"/>
      <c r="B143" s="48" t="str">
        <f>IFERROR(__xludf.DUMMYFUNCTION("""COMPUTED_VALUE"""),"Peter Homsey")</f>
        <v>Peter Homsey</v>
      </c>
      <c r="C143" s="49">
        <f>IFERROR(__xludf.DUMMYFUNCTION("""COMPUTED_VALUE"""),301.0)</f>
        <v>301</v>
      </c>
      <c r="D143" s="50">
        <f>IFERROR(__xludf.DUMMYFUNCTION("""COMPUTED_VALUE"""),27.0)</f>
        <v>27</v>
      </c>
      <c r="E143" s="49">
        <f>IFERROR(__xludf.DUMMYFUNCTION("""COMPUTED_VALUE"""),0.0)</f>
        <v>0</v>
      </c>
      <c r="F143" s="51">
        <f>IFERROR(__xludf.DUMMYFUNCTION("""COMPUTED_VALUE"""),0.0)</f>
        <v>0</v>
      </c>
      <c r="G143" s="51">
        <f>IFERROR(__xludf.DUMMYFUNCTION("""COMPUTED_VALUE"""),0.0)</f>
        <v>0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IFERROR(__xludf.DUMMYFUNCTION("""COMPUTED_VALUE"""),0.0)</f>
        <v>0</v>
      </c>
      <c r="L143" s="51">
        <f>IFERROR(__xludf.DUMMYFUNCTION("""COMPUTED_VALUE"""),0.0)</f>
        <v>0</v>
      </c>
      <c r="M143" s="51">
        <f>IFERROR(__xludf.DUMMYFUNCTION("""COMPUTED_VALUE"""),301.0)</f>
        <v>301</v>
      </c>
      <c r="N143" s="52">
        <f>IFERROR(__xludf.DUMMYFUNCTION("""COMPUTED_VALUE"""),27.0)</f>
        <v>27</v>
      </c>
    </row>
    <row r="144">
      <c r="A144" s="1"/>
      <c r="B144" s="48" t="str">
        <f>IFERROR(__xludf.DUMMYFUNCTION("""COMPUTED_VALUE"""),"Erik Hoeckmann")</f>
        <v>Erik Hoeckmann</v>
      </c>
      <c r="C144" s="49">
        <f>IFERROR(__xludf.DUMMYFUNCTION("""COMPUTED_VALUE"""),301.0)</f>
        <v>301</v>
      </c>
      <c r="D144" s="50">
        <f>IFERROR(__xludf.DUMMYFUNCTION("""COMPUTED_VALUE"""),24.0)</f>
        <v>24</v>
      </c>
      <c r="E144" s="49">
        <f>IFERROR(__xludf.DUMMYFUNCTION("""COMPUTED_VALUE"""),0.0)</f>
        <v>0</v>
      </c>
      <c r="F144" s="51">
        <f>IFERROR(__xludf.DUMMYFUNCTION("""COMPUTED_VALUE"""),0.0)</f>
        <v>0</v>
      </c>
      <c r="G144" s="51">
        <f>IFERROR(__xludf.DUMMYFUNCTION("""COMPUTED_VALUE"""),0.0)</f>
        <v>0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IFERROR(__xludf.DUMMYFUNCTION("""COMPUTED_VALUE"""),0.0)</f>
        <v>0</v>
      </c>
      <c r="L144" s="51">
        <f>IFERROR(__xludf.DUMMYFUNCTION("""COMPUTED_VALUE"""),0.0)</f>
        <v>0</v>
      </c>
      <c r="M144" s="51">
        <f>IFERROR(__xludf.DUMMYFUNCTION("""COMPUTED_VALUE"""),301.0)</f>
        <v>301</v>
      </c>
      <c r="N144" s="52">
        <f>IFERROR(__xludf.DUMMYFUNCTION("""COMPUTED_VALUE"""),24.0)</f>
        <v>24</v>
      </c>
    </row>
    <row r="145">
      <c r="A145" s="1"/>
      <c r="B145" s="48" t="str">
        <f>IFERROR(__xludf.DUMMYFUNCTION("""COMPUTED_VALUE"""),"Ted Shen")</f>
        <v>Ted Shen</v>
      </c>
      <c r="C145" s="49">
        <f>IFERROR(__xludf.DUMMYFUNCTION("""COMPUTED_VALUE"""),297.0)</f>
        <v>297</v>
      </c>
      <c r="D145" s="50">
        <f>IFERROR(__xludf.DUMMYFUNCTION("""COMPUTED_VALUE"""),26.0)</f>
        <v>26</v>
      </c>
      <c r="E145" s="49">
        <f>IFERROR(__xludf.DUMMYFUNCTION("""COMPUTED_VALUE"""),0.0)</f>
        <v>0</v>
      </c>
      <c r="F145" s="51">
        <f>IFERROR(__xludf.DUMMYFUNCTION("""COMPUTED_VALUE"""),0.0)</f>
        <v>0</v>
      </c>
      <c r="G145" s="51">
        <f>IFERROR(__xludf.DUMMYFUNCTION("""COMPUTED_VALUE"""),0.0)</f>
        <v>0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IFERROR(__xludf.DUMMYFUNCTION("""COMPUTED_VALUE"""),0.0)</f>
        <v>0</v>
      </c>
      <c r="L145" s="51">
        <f>IFERROR(__xludf.DUMMYFUNCTION("""COMPUTED_VALUE"""),0.0)</f>
        <v>0</v>
      </c>
      <c r="M145" s="51">
        <f>IFERROR(__xludf.DUMMYFUNCTION("""COMPUTED_VALUE"""),297.0)</f>
        <v>297</v>
      </c>
      <c r="N145" s="52">
        <f>IFERROR(__xludf.DUMMYFUNCTION("""COMPUTED_VALUE"""),26.0)</f>
        <v>26</v>
      </c>
    </row>
    <row r="146">
      <c r="A146" s="1"/>
      <c r="B146" s="48" t="str">
        <f>IFERROR(__xludf.DUMMYFUNCTION("""COMPUTED_VALUE"""),"Jonathan Phan")</f>
        <v>Jonathan Phan</v>
      </c>
      <c r="C146" s="49">
        <f>IFERROR(__xludf.DUMMYFUNCTION("""COMPUTED_VALUE"""),297.0)</f>
        <v>297</v>
      </c>
      <c r="D146" s="50">
        <f>IFERROR(__xludf.DUMMYFUNCTION("""COMPUTED_VALUE"""),22.0)</f>
        <v>22</v>
      </c>
      <c r="E146" s="49">
        <f>IFERROR(__xludf.DUMMYFUNCTION("""COMPUTED_VALUE"""),0.0)</f>
        <v>0</v>
      </c>
      <c r="F146" s="51">
        <f>IFERROR(__xludf.DUMMYFUNCTION("""COMPUTED_VALUE"""),0.0)</f>
        <v>0</v>
      </c>
      <c r="G146" s="51">
        <f>IFERROR(__xludf.DUMMYFUNCTION("""COMPUTED_VALUE"""),0.0)</f>
        <v>0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IFERROR(__xludf.DUMMYFUNCTION("""COMPUTED_VALUE"""),0.0)</f>
        <v>0</v>
      </c>
      <c r="L146" s="51">
        <f>IFERROR(__xludf.DUMMYFUNCTION("""COMPUTED_VALUE"""),0.0)</f>
        <v>0</v>
      </c>
      <c r="M146" s="51">
        <f>IFERROR(__xludf.DUMMYFUNCTION("""COMPUTED_VALUE"""),297.0)</f>
        <v>297</v>
      </c>
      <c r="N146" s="52">
        <f>IFERROR(__xludf.DUMMYFUNCTION("""COMPUTED_VALUE"""),22.0)</f>
        <v>22</v>
      </c>
    </row>
    <row r="147">
      <c r="A147" s="1"/>
      <c r="B147" s="48" t="str">
        <f>IFERROR(__xludf.DUMMYFUNCTION("""COMPUTED_VALUE"""),"David Shin")</f>
        <v>David Shin</v>
      </c>
      <c r="C147" s="49">
        <f>IFERROR(__xludf.DUMMYFUNCTION("""COMPUTED_VALUE"""),296.0)</f>
        <v>296</v>
      </c>
      <c r="D147" s="50">
        <f>IFERROR(__xludf.DUMMYFUNCTION("""COMPUTED_VALUE"""),22.0)</f>
        <v>22</v>
      </c>
      <c r="E147" s="49">
        <f>IFERROR(__xludf.DUMMYFUNCTION("""COMPUTED_VALUE"""),0.0)</f>
        <v>0</v>
      </c>
      <c r="F147" s="51">
        <f>IFERROR(__xludf.DUMMYFUNCTION("""COMPUTED_VALUE"""),0.0)</f>
        <v>0</v>
      </c>
      <c r="G147" s="51">
        <f>IFERROR(__xludf.DUMMYFUNCTION("""COMPUTED_VALUE"""),0.0)</f>
        <v>0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IFERROR(__xludf.DUMMYFUNCTION("""COMPUTED_VALUE"""),0.0)</f>
        <v>0</v>
      </c>
      <c r="L147" s="51">
        <f>IFERROR(__xludf.DUMMYFUNCTION("""COMPUTED_VALUE"""),0.0)</f>
        <v>0</v>
      </c>
      <c r="M147" s="51">
        <f>IFERROR(__xludf.DUMMYFUNCTION("""COMPUTED_VALUE"""),296.0)</f>
        <v>296</v>
      </c>
      <c r="N147" s="52">
        <f>IFERROR(__xludf.DUMMYFUNCTION("""COMPUTED_VALUE"""),22.0)</f>
        <v>22</v>
      </c>
    </row>
    <row r="148">
      <c r="A148" s="1"/>
      <c r="B148" s="48" t="str">
        <f>IFERROR(__xludf.DUMMYFUNCTION("""COMPUTED_VALUE"""),"Chinna Ponnaganti")</f>
        <v>Chinna Ponnaganti</v>
      </c>
      <c r="C148" s="49">
        <f>IFERROR(__xludf.DUMMYFUNCTION("""COMPUTED_VALUE"""),293.0)</f>
        <v>293</v>
      </c>
      <c r="D148" s="50">
        <f>IFERROR(__xludf.DUMMYFUNCTION("""COMPUTED_VALUE"""),27.0)</f>
        <v>27</v>
      </c>
      <c r="E148" s="49">
        <f>IFERROR(__xludf.DUMMYFUNCTION("""COMPUTED_VALUE"""),0.0)</f>
        <v>0</v>
      </c>
      <c r="F148" s="51">
        <f>IFERROR(__xludf.DUMMYFUNCTION("""COMPUTED_VALUE"""),0.0)</f>
        <v>0</v>
      </c>
      <c r="G148" s="51">
        <f>IFERROR(__xludf.DUMMYFUNCTION("""COMPUTED_VALUE"""),0.0)</f>
        <v>0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IFERROR(__xludf.DUMMYFUNCTION("""COMPUTED_VALUE"""),0.0)</f>
        <v>0</v>
      </c>
      <c r="L148" s="51">
        <f>IFERROR(__xludf.DUMMYFUNCTION("""COMPUTED_VALUE"""),0.0)</f>
        <v>0</v>
      </c>
      <c r="M148" s="51">
        <f>IFERROR(__xludf.DUMMYFUNCTION("""COMPUTED_VALUE"""),293.0)</f>
        <v>293</v>
      </c>
      <c r="N148" s="52">
        <f>IFERROR(__xludf.DUMMYFUNCTION("""COMPUTED_VALUE"""),27.0)</f>
        <v>27</v>
      </c>
    </row>
    <row r="149">
      <c r="A149" s="1"/>
      <c r="B149" s="48" t="str">
        <f>IFERROR(__xludf.DUMMYFUNCTION("""COMPUTED_VALUE"""),"Oscar Bonilla")</f>
        <v>Oscar Bonilla</v>
      </c>
      <c r="C149" s="49">
        <f>IFERROR(__xludf.DUMMYFUNCTION("""COMPUTED_VALUE"""),292.0)</f>
        <v>292</v>
      </c>
      <c r="D149" s="50">
        <f>IFERROR(__xludf.DUMMYFUNCTION("""COMPUTED_VALUE"""),23.0)</f>
        <v>23</v>
      </c>
      <c r="E149" s="49">
        <f>IFERROR(__xludf.DUMMYFUNCTION("""COMPUTED_VALUE"""),0.0)</f>
        <v>0</v>
      </c>
      <c r="F149" s="51">
        <f>IFERROR(__xludf.DUMMYFUNCTION("""COMPUTED_VALUE"""),0.0)</f>
        <v>0</v>
      </c>
      <c r="G149" s="51">
        <f>IFERROR(__xludf.DUMMYFUNCTION("""COMPUTED_VALUE"""),0.0)</f>
        <v>0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IFERROR(__xludf.DUMMYFUNCTION("""COMPUTED_VALUE"""),0.0)</f>
        <v>0</v>
      </c>
      <c r="L149" s="51">
        <f>IFERROR(__xludf.DUMMYFUNCTION("""COMPUTED_VALUE"""),0.0)</f>
        <v>0</v>
      </c>
      <c r="M149" s="51">
        <f>IFERROR(__xludf.DUMMYFUNCTION("""COMPUTED_VALUE"""),292.0)</f>
        <v>292</v>
      </c>
      <c r="N149" s="52">
        <f>IFERROR(__xludf.DUMMYFUNCTION("""COMPUTED_VALUE"""),23.0)</f>
        <v>23</v>
      </c>
    </row>
    <row r="150">
      <c r="A150" s="1"/>
      <c r="B150" s="48" t="str">
        <f>IFERROR(__xludf.DUMMYFUNCTION("""COMPUTED_VALUE"""),"Lloyd Sagar")</f>
        <v>Lloyd Sagar</v>
      </c>
      <c r="C150" s="49">
        <f>IFERROR(__xludf.DUMMYFUNCTION("""COMPUTED_VALUE"""),289.0)</f>
        <v>289</v>
      </c>
      <c r="D150" s="50">
        <f>IFERROR(__xludf.DUMMYFUNCTION("""COMPUTED_VALUE"""),19.0)</f>
        <v>19</v>
      </c>
      <c r="E150" s="49">
        <f>IFERROR(__xludf.DUMMYFUNCTION("""COMPUTED_VALUE"""),0.0)</f>
        <v>0</v>
      </c>
      <c r="F150" s="51">
        <f>IFERROR(__xludf.DUMMYFUNCTION("""COMPUTED_VALUE"""),0.0)</f>
        <v>0</v>
      </c>
      <c r="G150" s="51">
        <f>IFERROR(__xludf.DUMMYFUNCTION("""COMPUTED_VALUE"""),0.0)</f>
        <v>0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IFERROR(__xludf.DUMMYFUNCTION("""COMPUTED_VALUE"""),0.0)</f>
        <v>0</v>
      </c>
      <c r="L150" s="51">
        <f>IFERROR(__xludf.DUMMYFUNCTION("""COMPUTED_VALUE"""),0.0)</f>
        <v>0</v>
      </c>
      <c r="M150" s="51">
        <f>IFERROR(__xludf.DUMMYFUNCTION("""COMPUTED_VALUE"""),289.0)</f>
        <v>289</v>
      </c>
      <c r="N150" s="52">
        <f>IFERROR(__xludf.DUMMYFUNCTION("""COMPUTED_VALUE"""),19.0)</f>
        <v>19</v>
      </c>
    </row>
    <row r="151">
      <c r="A151" s="1"/>
      <c r="B151" s="48" t="str">
        <f>IFERROR(__xludf.DUMMYFUNCTION("""COMPUTED_VALUE"""),"Kingsley Kuo")</f>
        <v>Kingsley Kuo</v>
      </c>
      <c r="C151" s="49">
        <f>IFERROR(__xludf.DUMMYFUNCTION("""COMPUTED_VALUE"""),286.0)</f>
        <v>286</v>
      </c>
      <c r="D151" s="50">
        <f>IFERROR(__xludf.DUMMYFUNCTION("""COMPUTED_VALUE"""),20.0)</f>
        <v>20</v>
      </c>
      <c r="E151" s="49">
        <f>IFERROR(__xludf.DUMMYFUNCTION("""COMPUTED_VALUE"""),0.0)</f>
        <v>0</v>
      </c>
      <c r="F151" s="51">
        <f>IFERROR(__xludf.DUMMYFUNCTION("""COMPUTED_VALUE"""),0.0)</f>
        <v>0</v>
      </c>
      <c r="G151" s="51">
        <f>IFERROR(__xludf.DUMMYFUNCTION("""COMPUTED_VALUE"""),0.0)</f>
        <v>0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IFERROR(__xludf.DUMMYFUNCTION("""COMPUTED_VALUE"""),0.0)</f>
        <v>0</v>
      </c>
      <c r="L151" s="51">
        <f>IFERROR(__xludf.DUMMYFUNCTION("""COMPUTED_VALUE"""),0.0)</f>
        <v>0</v>
      </c>
      <c r="M151" s="51">
        <f>IFERROR(__xludf.DUMMYFUNCTION("""COMPUTED_VALUE"""),286.0)</f>
        <v>286</v>
      </c>
      <c r="N151" s="52">
        <f>IFERROR(__xludf.DUMMYFUNCTION("""COMPUTED_VALUE"""),20.0)</f>
        <v>20</v>
      </c>
    </row>
    <row r="152">
      <c r="A152" s="1"/>
      <c r="B152" s="48" t="str">
        <f>IFERROR(__xludf.DUMMYFUNCTION("""COMPUTED_VALUE"""),"Sai Dilip Ponnaganti")</f>
        <v>Sai Dilip Ponnaganti</v>
      </c>
      <c r="C152" s="49">
        <f>IFERROR(__xludf.DUMMYFUNCTION("""COMPUTED_VALUE"""),286.0)</f>
        <v>286</v>
      </c>
      <c r="D152" s="50">
        <f>IFERROR(__xludf.DUMMYFUNCTION("""COMPUTED_VALUE"""),19.0)</f>
        <v>19</v>
      </c>
      <c r="E152" s="49">
        <f>IFERROR(__xludf.DUMMYFUNCTION("""COMPUTED_VALUE"""),0.0)</f>
        <v>0</v>
      </c>
      <c r="F152" s="51">
        <f>IFERROR(__xludf.DUMMYFUNCTION("""COMPUTED_VALUE"""),0.0)</f>
        <v>0</v>
      </c>
      <c r="G152" s="51">
        <f>IFERROR(__xludf.DUMMYFUNCTION("""COMPUTED_VALUE"""),0.0)</f>
        <v>0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IFERROR(__xludf.DUMMYFUNCTION("""COMPUTED_VALUE"""),0.0)</f>
        <v>0</v>
      </c>
      <c r="L152" s="51">
        <f>IFERROR(__xludf.DUMMYFUNCTION("""COMPUTED_VALUE"""),0.0)</f>
        <v>0</v>
      </c>
      <c r="M152" s="51">
        <f>IFERROR(__xludf.DUMMYFUNCTION("""COMPUTED_VALUE"""),286.0)</f>
        <v>286</v>
      </c>
      <c r="N152" s="52">
        <f>IFERROR(__xludf.DUMMYFUNCTION("""COMPUTED_VALUE"""),19.0)</f>
        <v>19</v>
      </c>
    </row>
    <row r="153">
      <c r="A153" s="1"/>
      <c r="B153" s="48" t="str">
        <f>IFERROR(__xludf.DUMMYFUNCTION("""COMPUTED_VALUE"""),"Trinath Goteti")</f>
        <v>Trinath Goteti</v>
      </c>
      <c r="C153" s="49">
        <f>IFERROR(__xludf.DUMMYFUNCTION("""COMPUTED_VALUE"""),284.0)</f>
        <v>284</v>
      </c>
      <c r="D153" s="50">
        <f>IFERROR(__xludf.DUMMYFUNCTION("""COMPUTED_VALUE"""),20.0)</f>
        <v>20</v>
      </c>
      <c r="E153" s="49">
        <f>IFERROR(__xludf.DUMMYFUNCTION("""COMPUTED_VALUE"""),0.0)</f>
        <v>0</v>
      </c>
      <c r="F153" s="51">
        <f>IFERROR(__xludf.DUMMYFUNCTION("""COMPUTED_VALUE"""),0.0)</f>
        <v>0</v>
      </c>
      <c r="G153" s="51">
        <f>IFERROR(__xludf.DUMMYFUNCTION("""COMPUTED_VALUE"""),0.0)</f>
        <v>0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IFERROR(__xludf.DUMMYFUNCTION("""COMPUTED_VALUE"""),0.0)</f>
        <v>0</v>
      </c>
      <c r="L153" s="51">
        <f>IFERROR(__xludf.DUMMYFUNCTION("""COMPUTED_VALUE"""),0.0)</f>
        <v>0</v>
      </c>
      <c r="M153" s="51">
        <f>IFERROR(__xludf.DUMMYFUNCTION("""COMPUTED_VALUE"""),284.0)</f>
        <v>284</v>
      </c>
      <c r="N153" s="52">
        <f>IFERROR(__xludf.DUMMYFUNCTION("""COMPUTED_VALUE"""),20.0)</f>
        <v>20</v>
      </c>
    </row>
    <row r="154">
      <c r="A154" s="1"/>
      <c r="B154" s="48" t="str">
        <f>IFERROR(__xludf.DUMMYFUNCTION("""COMPUTED_VALUE"""),"Tony Wong")</f>
        <v>Tony Wong</v>
      </c>
      <c r="C154" s="49">
        <f>IFERROR(__xludf.DUMMYFUNCTION("""COMPUTED_VALUE"""),283.0)</f>
        <v>283</v>
      </c>
      <c r="D154" s="50">
        <f>IFERROR(__xludf.DUMMYFUNCTION("""COMPUTED_VALUE"""),18.0)</f>
        <v>18</v>
      </c>
      <c r="E154" s="49">
        <f>IFERROR(__xludf.DUMMYFUNCTION("""COMPUTED_VALUE"""),0.0)</f>
        <v>0</v>
      </c>
      <c r="F154" s="51">
        <f>IFERROR(__xludf.DUMMYFUNCTION("""COMPUTED_VALUE"""),0.0)</f>
        <v>0</v>
      </c>
      <c r="G154" s="51">
        <f>IFERROR(__xludf.DUMMYFUNCTION("""COMPUTED_VALUE"""),0.0)</f>
        <v>0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IFERROR(__xludf.DUMMYFUNCTION("""COMPUTED_VALUE"""),0.0)</f>
        <v>0</v>
      </c>
      <c r="L154" s="51">
        <f>IFERROR(__xludf.DUMMYFUNCTION("""COMPUTED_VALUE"""),0.0)</f>
        <v>0</v>
      </c>
      <c r="M154" s="51">
        <f>IFERROR(__xludf.DUMMYFUNCTION("""COMPUTED_VALUE"""),283.0)</f>
        <v>283</v>
      </c>
      <c r="N154" s="52">
        <f>IFERROR(__xludf.DUMMYFUNCTION("""COMPUTED_VALUE"""),18.0)</f>
        <v>18</v>
      </c>
    </row>
    <row r="155">
      <c r="A155" s="1"/>
      <c r="B155" s="48" t="str">
        <f>IFERROR(__xludf.DUMMYFUNCTION("""COMPUTED_VALUE"""),"Christopher Li")</f>
        <v>Christopher Li</v>
      </c>
      <c r="C155" s="49">
        <f>IFERROR(__xludf.DUMMYFUNCTION("""COMPUTED_VALUE"""),278.0)</f>
        <v>278</v>
      </c>
      <c r="D155" s="50">
        <f>IFERROR(__xludf.DUMMYFUNCTION("""COMPUTED_VALUE"""),19.0)</f>
        <v>19</v>
      </c>
      <c r="E155" s="49">
        <f>IFERROR(__xludf.DUMMYFUNCTION("""COMPUTED_VALUE"""),0.0)</f>
        <v>0</v>
      </c>
      <c r="F155" s="51">
        <f>IFERROR(__xludf.DUMMYFUNCTION("""COMPUTED_VALUE"""),0.0)</f>
        <v>0</v>
      </c>
      <c r="G155" s="51">
        <f>IFERROR(__xludf.DUMMYFUNCTION("""COMPUTED_VALUE"""),0.0)</f>
        <v>0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IFERROR(__xludf.DUMMYFUNCTION("""COMPUTED_VALUE"""),0.0)</f>
        <v>0</v>
      </c>
      <c r="L155" s="51">
        <f>IFERROR(__xludf.DUMMYFUNCTION("""COMPUTED_VALUE"""),0.0)</f>
        <v>0</v>
      </c>
      <c r="M155" s="51">
        <f>IFERROR(__xludf.DUMMYFUNCTION("""COMPUTED_VALUE"""),278.0)</f>
        <v>278</v>
      </c>
      <c r="N155" s="52">
        <f>IFERROR(__xludf.DUMMYFUNCTION("""COMPUTED_VALUE"""),19.0)</f>
        <v>19</v>
      </c>
    </row>
    <row r="156">
      <c r="A156" s="1"/>
      <c r="B156" s="48" t="str">
        <f>IFERROR(__xludf.DUMMYFUNCTION("""COMPUTED_VALUE"""),"Sean Chang")</f>
        <v>Sean Chang</v>
      </c>
      <c r="C156" s="49">
        <f>IFERROR(__xludf.DUMMYFUNCTION("""COMPUTED_VALUE"""),278.0)</f>
        <v>278</v>
      </c>
      <c r="D156" s="50">
        <f>IFERROR(__xludf.DUMMYFUNCTION("""COMPUTED_VALUE"""),18.0)</f>
        <v>18</v>
      </c>
      <c r="E156" s="49">
        <f>IFERROR(__xludf.DUMMYFUNCTION("""COMPUTED_VALUE"""),0.0)</f>
        <v>0</v>
      </c>
      <c r="F156" s="51">
        <f>IFERROR(__xludf.DUMMYFUNCTION("""COMPUTED_VALUE"""),0.0)</f>
        <v>0</v>
      </c>
      <c r="G156" s="51">
        <f>IFERROR(__xludf.DUMMYFUNCTION("""COMPUTED_VALUE"""),0.0)</f>
        <v>0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IFERROR(__xludf.DUMMYFUNCTION("""COMPUTED_VALUE"""),0.0)</f>
        <v>0</v>
      </c>
      <c r="L156" s="51">
        <f>IFERROR(__xludf.DUMMYFUNCTION("""COMPUTED_VALUE"""),0.0)</f>
        <v>0</v>
      </c>
      <c r="M156" s="51">
        <f>IFERROR(__xludf.DUMMYFUNCTION("""COMPUTED_VALUE"""),278.0)</f>
        <v>278</v>
      </c>
      <c r="N156" s="52">
        <f>IFERROR(__xludf.DUMMYFUNCTION("""COMPUTED_VALUE"""),18.0)</f>
        <v>18</v>
      </c>
    </row>
    <row r="157">
      <c r="A157" s="1"/>
      <c r="B157" s="48" t="str">
        <f>IFERROR(__xludf.DUMMYFUNCTION("""COMPUTED_VALUE"""),"Anish Kumar")</f>
        <v>Anish Kumar</v>
      </c>
      <c r="C157" s="49">
        <f>IFERROR(__xludf.DUMMYFUNCTION("""COMPUTED_VALUE"""),272.0)</f>
        <v>272</v>
      </c>
      <c r="D157" s="50">
        <f>IFERROR(__xludf.DUMMYFUNCTION("""COMPUTED_VALUE"""),17.0)</f>
        <v>17</v>
      </c>
      <c r="E157" s="49">
        <f>IFERROR(__xludf.DUMMYFUNCTION("""COMPUTED_VALUE"""),0.0)</f>
        <v>0</v>
      </c>
      <c r="F157" s="51">
        <f>IFERROR(__xludf.DUMMYFUNCTION("""COMPUTED_VALUE"""),0.0)</f>
        <v>0</v>
      </c>
      <c r="G157" s="51">
        <f>IFERROR(__xludf.DUMMYFUNCTION("""COMPUTED_VALUE"""),0.0)</f>
        <v>0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IFERROR(__xludf.DUMMYFUNCTION("""COMPUTED_VALUE"""),0.0)</f>
        <v>0</v>
      </c>
      <c r="L157" s="51">
        <f>IFERROR(__xludf.DUMMYFUNCTION("""COMPUTED_VALUE"""),0.0)</f>
        <v>0</v>
      </c>
      <c r="M157" s="51">
        <f>IFERROR(__xludf.DUMMYFUNCTION("""COMPUTED_VALUE"""),272.0)</f>
        <v>272</v>
      </c>
      <c r="N157" s="52">
        <f>IFERROR(__xludf.DUMMYFUNCTION("""COMPUTED_VALUE"""),17.0)</f>
        <v>17</v>
      </c>
    </row>
    <row r="158">
      <c r="A158" s="1"/>
      <c r="B158" s="48" t="str">
        <f>IFERROR(__xludf.DUMMYFUNCTION("""COMPUTED_VALUE"""),"Tom Le")</f>
        <v>Tom Le</v>
      </c>
      <c r="C158" s="49">
        <f>IFERROR(__xludf.DUMMYFUNCTION("""COMPUTED_VALUE"""),272.0)</f>
        <v>272</v>
      </c>
      <c r="D158" s="50">
        <f>IFERROR(__xludf.DUMMYFUNCTION("""COMPUTED_VALUE"""),15.0)</f>
        <v>15</v>
      </c>
      <c r="E158" s="49">
        <f>IFERROR(__xludf.DUMMYFUNCTION("""COMPUTED_VALUE"""),0.0)</f>
        <v>0</v>
      </c>
      <c r="F158" s="51">
        <f>IFERROR(__xludf.DUMMYFUNCTION("""COMPUTED_VALUE"""),0.0)</f>
        <v>0</v>
      </c>
      <c r="G158" s="51">
        <f>IFERROR(__xludf.DUMMYFUNCTION("""COMPUTED_VALUE"""),0.0)</f>
        <v>0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IFERROR(__xludf.DUMMYFUNCTION("""COMPUTED_VALUE"""),0.0)</f>
        <v>0</v>
      </c>
      <c r="L158" s="51">
        <f>IFERROR(__xludf.DUMMYFUNCTION("""COMPUTED_VALUE"""),0.0)</f>
        <v>0</v>
      </c>
      <c r="M158" s="51">
        <f>IFERROR(__xludf.DUMMYFUNCTION("""COMPUTED_VALUE"""),272.0)</f>
        <v>272</v>
      </c>
      <c r="N158" s="52">
        <f>IFERROR(__xludf.DUMMYFUNCTION("""COMPUTED_VALUE"""),15.0)</f>
        <v>15</v>
      </c>
    </row>
    <row r="159">
      <c r="A159" s="1"/>
      <c r="B159" s="48" t="str">
        <f>IFERROR(__xludf.DUMMYFUNCTION("""COMPUTED_VALUE"""),"Rajasekar Ramasamy")</f>
        <v>Rajasekar Ramasamy</v>
      </c>
      <c r="C159" s="49">
        <f>IFERROR(__xludf.DUMMYFUNCTION("""COMPUTED_VALUE"""),270.0)</f>
        <v>270</v>
      </c>
      <c r="D159" s="50">
        <f>IFERROR(__xludf.DUMMYFUNCTION("""COMPUTED_VALUE"""),22.0)</f>
        <v>22</v>
      </c>
      <c r="E159" s="49">
        <f>IFERROR(__xludf.DUMMYFUNCTION("""COMPUTED_VALUE"""),0.0)</f>
        <v>0</v>
      </c>
      <c r="F159" s="51">
        <f>IFERROR(__xludf.DUMMYFUNCTION("""COMPUTED_VALUE"""),0.0)</f>
        <v>0</v>
      </c>
      <c r="G159" s="51">
        <f>IFERROR(__xludf.DUMMYFUNCTION("""COMPUTED_VALUE"""),0.0)</f>
        <v>0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IFERROR(__xludf.DUMMYFUNCTION("""COMPUTED_VALUE"""),0.0)</f>
        <v>0</v>
      </c>
      <c r="L159" s="51">
        <f>IFERROR(__xludf.DUMMYFUNCTION("""COMPUTED_VALUE"""),0.0)</f>
        <v>0</v>
      </c>
      <c r="M159" s="51">
        <f>IFERROR(__xludf.DUMMYFUNCTION("""COMPUTED_VALUE"""),270.0)</f>
        <v>270</v>
      </c>
      <c r="N159" s="52">
        <f>IFERROR(__xludf.DUMMYFUNCTION("""COMPUTED_VALUE"""),22.0)</f>
        <v>22</v>
      </c>
    </row>
    <row r="160">
      <c r="A160" s="1"/>
      <c r="B160" s="48" t="str">
        <f>IFERROR(__xludf.DUMMYFUNCTION("""COMPUTED_VALUE"""),"Susanta Mishra")</f>
        <v>Susanta Mishra</v>
      </c>
      <c r="C160" s="49">
        <f>IFERROR(__xludf.DUMMYFUNCTION("""COMPUTED_VALUE"""),265.0)</f>
        <v>265</v>
      </c>
      <c r="D160" s="50">
        <f>IFERROR(__xludf.DUMMYFUNCTION("""COMPUTED_VALUE"""),17.0)</f>
        <v>17</v>
      </c>
      <c r="E160" s="49">
        <f>IFERROR(__xludf.DUMMYFUNCTION("""COMPUTED_VALUE"""),0.0)</f>
        <v>0</v>
      </c>
      <c r="F160" s="51">
        <f>IFERROR(__xludf.DUMMYFUNCTION("""COMPUTED_VALUE"""),0.0)</f>
        <v>0</v>
      </c>
      <c r="G160" s="51">
        <f>IFERROR(__xludf.DUMMYFUNCTION("""COMPUTED_VALUE"""),0.0)</f>
        <v>0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IFERROR(__xludf.DUMMYFUNCTION("""COMPUTED_VALUE"""),0.0)</f>
        <v>0</v>
      </c>
      <c r="L160" s="51">
        <f>IFERROR(__xludf.DUMMYFUNCTION("""COMPUTED_VALUE"""),0.0)</f>
        <v>0</v>
      </c>
      <c r="M160" s="51">
        <f>IFERROR(__xludf.DUMMYFUNCTION("""COMPUTED_VALUE"""),265.0)</f>
        <v>265</v>
      </c>
      <c r="N160" s="52">
        <f>IFERROR(__xludf.DUMMYFUNCTION("""COMPUTED_VALUE"""),17.0)</f>
        <v>17</v>
      </c>
    </row>
    <row r="161">
      <c r="A161" s="1"/>
      <c r="B161" s="48" t="str">
        <f>IFERROR(__xludf.DUMMYFUNCTION("""COMPUTED_VALUE"""),"Eric Pan")</f>
        <v>Eric Pan</v>
      </c>
      <c r="C161" s="49">
        <f>IFERROR(__xludf.DUMMYFUNCTION("""COMPUTED_VALUE"""),260.0)</f>
        <v>260</v>
      </c>
      <c r="D161" s="50">
        <f>IFERROR(__xludf.DUMMYFUNCTION("""COMPUTED_VALUE"""),16.0)</f>
        <v>16</v>
      </c>
      <c r="E161" s="49">
        <f>IFERROR(__xludf.DUMMYFUNCTION("""COMPUTED_VALUE"""),0.0)</f>
        <v>0</v>
      </c>
      <c r="F161" s="51">
        <f>IFERROR(__xludf.DUMMYFUNCTION("""COMPUTED_VALUE"""),0.0)</f>
        <v>0</v>
      </c>
      <c r="G161" s="51">
        <f>IFERROR(__xludf.DUMMYFUNCTION("""COMPUTED_VALUE"""),0.0)</f>
        <v>0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IFERROR(__xludf.DUMMYFUNCTION("""COMPUTED_VALUE"""),0.0)</f>
        <v>0</v>
      </c>
      <c r="L161" s="51">
        <f>IFERROR(__xludf.DUMMYFUNCTION("""COMPUTED_VALUE"""),0.0)</f>
        <v>0</v>
      </c>
      <c r="M161" s="51">
        <f>IFERROR(__xludf.DUMMYFUNCTION("""COMPUTED_VALUE"""),260.0)</f>
        <v>260</v>
      </c>
      <c r="N161" s="52">
        <f>IFERROR(__xludf.DUMMYFUNCTION("""COMPUTED_VALUE"""),16.0)</f>
        <v>16</v>
      </c>
    </row>
    <row r="162">
      <c r="A162" s="1"/>
      <c r="B162" s="48" t="str">
        <f>IFERROR(__xludf.DUMMYFUNCTION("""COMPUTED_VALUE"""),"Mauricio Palacios")</f>
        <v>Mauricio Palacios</v>
      </c>
      <c r="C162" s="49">
        <f>IFERROR(__xludf.DUMMYFUNCTION("""COMPUTED_VALUE"""),259.0)</f>
        <v>259</v>
      </c>
      <c r="D162" s="50">
        <f>IFERROR(__xludf.DUMMYFUNCTION("""COMPUTED_VALUE"""),25.0)</f>
        <v>25</v>
      </c>
      <c r="E162" s="49">
        <f>IFERROR(__xludf.DUMMYFUNCTION("""COMPUTED_VALUE"""),0.0)</f>
        <v>0</v>
      </c>
      <c r="F162" s="51">
        <f>IFERROR(__xludf.DUMMYFUNCTION("""COMPUTED_VALUE"""),0.0)</f>
        <v>0</v>
      </c>
      <c r="G162" s="51">
        <f>IFERROR(__xludf.DUMMYFUNCTION("""COMPUTED_VALUE"""),0.0)</f>
        <v>0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IFERROR(__xludf.DUMMYFUNCTION("""COMPUTED_VALUE"""),0.0)</f>
        <v>0</v>
      </c>
      <c r="L162" s="51">
        <f>IFERROR(__xludf.DUMMYFUNCTION("""COMPUTED_VALUE"""),0.0)</f>
        <v>0</v>
      </c>
      <c r="M162" s="51">
        <f>IFERROR(__xludf.DUMMYFUNCTION("""COMPUTED_VALUE"""),259.0)</f>
        <v>259</v>
      </c>
      <c r="N162" s="52">
        <f>IFERROR(__xludf.DUMMYFUNCTION("""COMPUTED_VALUE"""),25.0)</f>
        <v>25</v>
      </c>
    </row>
    <row r="163">
      <c r="A163" s="1"/>
      <c r="B163" s="48" t="str">
        <f>IFERROR(__xludf.DUMMYFUNCTION("""COMPUTED_VALUE"""),"Sanjaye Elayattu")</f>
        <v>Sanjaye Elayattu</v>
      </c>
      <c r="C163" s="49">
        <f>IFERROR(__xludf.DUMMYFUNCTION("""COMPUTED_VALUE"""),259.0)</f>
        <v>259</v>
      </c>
      <c r="D163" s="50">
        <f>IFERROR(__xludf.DUMMYFUNCTION("""COMPUTED_VALUE"""),11.0)</f>
        <v>11</v>
      </c>
      <c r="E163" s="49">
        <f>IFERROR(__xludf.DUMMYFUNCTION("""COMPUTED_VALUE"""),0.0)</f>
        <v>0</v>
      </c>
      <c r="F163" s="51">
        <f>IFERROR(__xludf.DUMMYFUNCTION("""COMPUTED_VALUE"""),0.0)</f>
        <v>0</v>
      </c>
      <c r="G163" s="51">
        <f>IFERROR(__xludf.DUMMYFUNCTION("""COMPUTED_VALUE"""),0.0)</f>
        <v>0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IFERROR(__xludf.DUMMYFUNCTION("""COMPUTED_VALUE"""),0.0)</f>
        <v>0</v>
      </c>
      <c r="L163" s="51">
        <f>IFERROR(__xludf.DUMMYFUNCTION("""COMPUTED_VALUE"""),0.0)</f>
        <v>0</v>
      </c>
      <c r="M163" s="51">
        <f>IFERROR(__xludf.DUMMYFUNCTION("""COMPUTED_VALUE"""),259.0)</f>
        <v>259</v>
      </c>
      <c r="N163" s="52">
        <f>IFERROR(__xludf.DUMMYFUNCTION("""COMPUTED_VALUE"""),11.0)</f>
        <v>11</v>
      </c>
    </row>
    <row r="164">
      <c r="A164" s="1"/>
      <c r="B164" s="48" t="str">
        <f>IFERROR(__xludf.DUMMYFUNCTION("""COMPUTED_VALUE"""),"Naveen Raj")</f>
        <v>Naveen Raj</v>
      </c>
      <c r="C164" s="49">
        <f>IFERROR(__xludf.DUMMYFUNCTION("""COMPUTED_VALUE"""),258.0)</f>
        <v>258</v>
      </c>
      <c r="D164" s="50">
        <f>IFERROR(__xludf.DUMMYFUNCTION("""COMPUTED_VALUE"""),16.0)</f>
        <v>16</v>
      </c>
      <c r="E164" s="49">
        <f>IFERROR(__xludf.DUMMYFUNCTION("""COMPUTED_VALUE"""),0.0)</f>
        <v>0</v>
      </c>
      <c r="F164" s="51">
        <f>IFERROR(__xludf.DUMMYFUNCTION("""COMPUTED_VALUE"""),0.0)</f>
        <v>0</v>
      </c>
      <c r="G164" s="51">
        <f>IFERROR(__xludf.DUMMYFUNCTION("""COMPUTED_VALUE"""),0.0)</f>
        <v>0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IFERROR(__xludf.DUMMYFUNCTION("""COMPUTED_VALUE"""),0.0)</f>
        <v>0</v>
      </c>
      <c r="L164" s="51">
        <f>IFERROR(__xludf.DUMMYFUNCTION("""COMPUTED_VALUE"""),0.0)</f>
        <v>0</v>
      </c>
      <c r="M164" s="51">
        <f>IFERROR(__xludf.DUMMYFUNCTION("""COMPUTED_VALUE"""),258.0)</f>
        <v>258</v>
      </c>
      <c r="N164" s="52">
        <f>IFERROR(__xludf.DUMMYFUNCTION("""COMPUTED_VALUE"""),16.0)</f>
        <v>16</v>
      </c>
    </row>
    <row r="165">
      <c r="A165" s="1"/>
      <c r="B165" s="48" t="str">
        <f>IFERROR(__xludf.DUMMYFUNCTION("""COMPUTED_VALUE"""),"Manuel Rivera")</f>
        <v>Manuel Rivera</v>
      </c>
      <c r="C165" s="49">
        <f>IFERROR(__xludf.DUMMYFUNCTION("""COMPUTED_VALUE"""),256.0)</f>
        <v>256</v>
      </c>
      <c r="D165" s="50">
        <f>IFERROR(__xludf.DUMMYFUNCTION("""COMPUTED_VALUE"""),17.0)</f>
        <v>17</v>
      </c>
      <c r="E165" s="49">
        <f>IFERROR(__xludf.DUMMYFUNCTION("""COMPUTED_VALUE"""),0.0)</f>
        <v>0</v>
      </c>
      <c r="F165" s="51">
        <f>IFERROR(__xludf.DUMMYFUNCTION("""COMPUTED_VALUE"""),0.0)</f>
        <v>0</v>
      </c>
      <c r="G165" s="51">
        <f>IFERROR(__xludf.DUMMYFUNCTION("""COMPUTED_VALUE"""),0.0)</f>
        <v>0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IFERROR(__xludf.DUMMYFUNCTION("""COMPUTED_VALUE"""),0.0)</f>
        <v>0</v>
      </c>
      <c r="L165" s="51">
        <f>IFERROR(__xludf.DUMMYFUNCTION("""COMPUTED_VALUE"""),0.0)</f>
        <v>0</v>
      </c>
      <c r="M165" s="51">
        <f>IFERROR(__xludf.DUMMYFUNCTION("""COMPUTED_VALUE"""),256.0)</f>
        <v>256</v>
      </c>
      <c r="N165" s="52">
        <f>IFERROR(__xludf.DUMMYFUNCTION("""COMPUTED_VALUE"""),17.0)</f>
        <v>17</v>
      </c>
    </row>
    <row r="166">
      <c r="A166" s="1"/>
      <c r="B166" s="48" t="str">
        <f>IFERROR(__xludf.DUMMYFUNCTION("""COMPUTED_VALUE"""),"Rosie Bonilla")</f>
        <v>Rosie Bonilla</v>
      </c>
      <c r="C166" s="49">
        <f>IFERROR(__xludf.DUMMYFUNCTION("""COMPUTED_VALUE"""),255.0)</f>
        <v>255</v>
      </c>
      <c r="D166" s="50">
        <f>IFERROR(__xludf.DUMMYFUNCTION("""COMPUTED_VALUE"""),14.0)</f>
        <v>14</v>
      </c>
      <c r="E166" s="49">
        <f>IFERROR(__xludf.DUMMYFUNCTION("""COMPUTED_VALUE"""),0.0)</f>
        <v>0</v>
      </c>
      <c r="F166" s="51">
        <f>IFERROR(__xludf.DUMMYFUNCTION("""COMPUTED_VALUE"""),0.0)</f>
        <v>0</v>
      </c>
      <c r="G166" s="51">
        <f>IFERROR(__xludf.DUMMYFUNCTION("""COMPUTED_VALUE"""),0.0)</f>
        <v>0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IFERROR(__xludf.DUMMYFUNCTION("""COMPUTED_VALUE"""),0.0)</f>
        <v>0</v>
      </c>
      <c r="L166" s="51">
        <f>IFERROR(__xludf.DUMMYFUNCTION("""COMPUTED_VALUE"""),0.0)</f>
        <v>0</v>
      </c>
      <c r="M166" s="51">
        <f>IFERROR(__xludf.DUMMYFUNCTION("""COMPUTED_VALUE"""),255.0)</f>
        <v>255</v>
      </c>
      <c r="N166" s="52">
        <f>IFERROR(__xludf.DUMMYFUNCTION("""COMPUTED_VALUE"""),14.0)</f>
        <v>14</v>
      </c>
    </row>
    <row r="167">
      <c r="A167" s="1"/>
      <c r="B167" s="48" t="str">
        <f>IFERROR(__xludf.DUMMYFUNCTION("""COMPUTED_VALUE"""),"Sandy Weyant")</f>
        <v>Sandy Weyant</v>
      </c>
      <c r="C167" s="49">
        <f>IFERROR(__xludf.DUMMYFUNCTION("""COMPUTED_VALUE"""),252.0)</f>
        <v>252</v>
      </c>
      <c r="D167" s="50">
        <f>IFERROR(__xludf.DUMMYFUNCTION("""COMPUTED_VALUE"""),15.0)</f>
        <v>15</v>
      </c>
      <c r="E167" s="49">
        <f>IFERROR(__xludf.DUMMYFUNCTION("""COMPUTED_VALUE"""),0.0)</f>
        <v>0</v>
      </c>
      <c r="F167" s="51">
        <f>IFERROR(__xludf.DUMMYFUNCTION("""COMPUTED_VALUE"""),0.0)</f>
        <v>0</v>
      </c>
      <c r="G167" s="51">
        <f>IFERROR(__xludf.DUMMYFUNCTION("""COMPUTED_VALUE"""),0.0)</f>
        <v>0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IFERROR(__xludf.DUMMYFUNCTION("""COMPUTED_VALUE"""),0.0)</f>
        <v>0</v>
      </c>
      <c r="L167" s="51">
        <f>IFERROR(__xludf.DUMMYFUNCTION("""COMPUTED_VALUE"""),0.0)</f>
        <v>0</v>
      </c>
      <c r="M167" s="51">
        <f>IFERROR(__xludf.DUMMYFUNCTION("""COMPUTED_VALUE"""),252.0)</f>
        <v>252</v>
      </c>
      <c r="N167" s="52">
        <f>IFERROR(__xludf.DUMMYFUNCTION("""COMPUTED_VALUE"""),15.0)</f>
        <v>15</v>
      </c>
    </row>
    <row r="168">
      <c r="A168" s="1"/>
      <c r="B168" s="48" t="str">
        <f>IFERROR(__xludf.DUMMYFUNCTION("""COMPUTED_VALUE"""),"Suleman Alidina")</f>
        <v>Suleman Alidina</v>
      </c>
      <c r="C168" s="49">
        <f>IFERROR(__xludf.DUMMYFUNCTION("""COMPUTED_VALUE"""),252.0)</f>
        <v>252</v>
      </c>
      <c r="D168" s="50">
        <f>IFERROR(__xludf.DUMMYFUNCTION("""COMPUTED_VALUE"""),13.0)</f>
        <v>13</v>
      </c>
      <c r="E168" s="49">
        <f>IFERROR(__xludf.DUMMYFUNCTION("""COMPUTED_VALUE"""),0.0)</f>
        <v>0</v>
      </c>
      <c r="F168" s="51">
        <f>IFERROR(__xludf.DUMMYFUNCTION("""COMPUTED_VALUE"""),0.0)</f>
        <v>0</v>
      </c>
      <c r="G168" s="51">
        <f>IFERROR(__xludf.DUMMYFUNCTION("""COMPUTED_VALUE"""),0.0)</f>
        <v>0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IFERROR(__xludf.DUMMYFUNCTION("""COMPUTED_VALUE"""),0.0)</f>
        <v>0</v>
      </c>
      <c r="L168" s="51">
        <f>IFERROR(__xludf.DUMMYFUNCTION("""COMPUTED_VALUE"""),0.0)</f>
        <v>0</v>
      </c>
      <c r="M168" s="51">
        <f>IFERROR(__xludf.DUMMYFUNCTION("""COMPUTED_VALUE"""),252.0)</f>
        <v>252</v>
      </c>
      <c r="N168" s="52">
        <f>IFERROR(__xludf.DUMMYFUNCTION("""COMPUTED_VALUE"""),13.0)</f>
        <v>13</v>
      </c>
    </row>
    <row r="169">
      <c r="A169" s="1"/>
      <c r="B169" s="48" t="str">
        <f>IFERROR(__xludf.DUMMYFUNCTION("""COMPUTED_VALUE"""),"Troy Wong")</f>
        <v>Troy Wong</v>
      </c>
      <c r="C169" s="49">
        <f>IFERROR(__xludf.DUMMYFUNCTION("""COMPUTED_VALUE"""),252.0)</f>
        <v>252</v>
      </c>
      <c r="D169" s="50">
        <f>IFERROR(__xludf.DUMMYFUNCTION("""COMPUTED_VALUE"""),10.0)</f>
        <v>10</v>
      </c>
      <c r="E169" s="49">
        <f>IFERROR(__xludf.DUMMYFUNCTION("""COMPUTED_VALUE"""),0.0)</f>
        <v>0</v>
      </c>
      <c r="F169" s="51">
        <f>IFERROR(__xludf.DUMMYFUNCTION("""COMPUTED_VALUE"""),0.0)</f>
        <v>0</v>
      </c>
      <c r="G169" s="51">
        <f>IFERROR(__xludf.DUMMYFUNCTION("""COMPUTED_VALUE"""),0.0)</f>
        <v>0</v>
      </c>
      <c r="H169" s="51">
        <f>IFERROR(__xludf.DUMMYFUNCTION("""COMPUTED_VALUE"""),0.0)</f>
        <v>0</v>
      </c>
      <c r="I169" s="51">
        <f>IFERROR(__xludf.DUMMYFUNCTION("""COMPUTED_VALUE"""),0.0)</f>
        <v>0</v>
      </c>
      <c r="J169" s="51">
        <f>IFERROR(__xludf.DUMMYFUNCTION("""COMPUTED_VALUE"""),0.0)</f>
        <v>0</v>
      </c>
      <c r="K169" s="51">
        <f>IFERROR(__xludf.DUMMYFUNCTION("""COMPUTED_VALUE"""),0.0)</f>
        <v>0</v>
      </c>
      <c r="L169" s="51">
        <f>IFERROR(__xludf.DUMMYFUNCTION("""COMPUTED_VALUE"""),0.0)</f>
        <v>0</v>
      </c>
      <c r="M169" s="51">
        <f>IFERROR(__xludf.DUMMYFUNCTION("""COMPUTED_VALUE"""),252.0)</f>
        <v>252</v>
      </c>
      <c r="N169" s="52">
        <f>IFERROR(__xludf.DUMMYFUNCTION("""COMPUTED_VALUE"""),10.0)</f>
        <v>10</v>
      </c>
    </row>
    <row r="170">
      <c r="A170" s="1"/>
      <c r="B170" s="48" t="str">
        <f>IFERROR(__xludf.DUMMYFUNCTION("""COMPUTED_VALUE"""),"Vamsi Lolla ")</f>
        <v>Vamsi Lolla </v>
      </c>
      <c r="C170" s="49">
        <f>IFERROR(__xludf.DUMMYFUNCTION("""COMPUTED_VALUE"""),251.0)</f>
        <v>251</v>
      </c>
      <c r="D170" s="50">
        <f>IFERROR(__xludf.DUMMYFUNCTION("""COMPUTED_VALUE"""),14.0)</f>
        <v>14</v>
      </c>
      <c r="E170" s="49">
        <f>IFERROR(__xludf.DUMMYFUNCTION("""COMPUTED_VALUE"""),0.0)</f>
        <v>0</v>
      </c>
      <c r="F170" s="51">
        <f>IFERROR(__xludf.DUMMYFUNCTION("""COMPUTED_VALUE"""),0.0)</f>
        <v>0</v>
      </c>
      <c r="G170" s="51">
        <f>IFERROR(__xludf.DUMMYFUNCTION("""COMPUTED_VALUE"""),0.0)</f>
        <v>0</v>
      </c>
      <c r="H170" s="51">
        <f>IFERROR(__xludf.DUMMYFUNCTION("""COMPUTED_VALUE"""),0.0)</f>
        <v>0</v>
      </c>
      <c r="I170" s="51">
        <f>IFERROR(__xludf.DUMMYFUNCTION("""COMPUTED_VALUE"""),0.0)</f>
        <v>0</v>
      </c>
      <c r="J170" s="51">
        <f>IFERROR(__xludf.DUMMYFUNCTION("""COMPUTED_VALUE"""),0.0)</f>
        <v>0</v>
      </c>
      <c r="K170" s="51">
        <f>IFERROR(__xludf.DUMMYFUNCTION("""COMPUTED_VALUE"""),0.0)</f>
        <v>0</v>
      </c>
      <c r="L170" s="51">
        <f>IFERROR(__xludf.DUMMYFUNCTION("""COMPUTED_VALUE"""),0.0)</f>
        <v>0</v>
      </c>
      <c r="M170" s="51">
        <f>IFERROR(__xludf.DUMMYFUNCTION("""COMPUTED_VALUE"""),251.0)</f>
        <v>251</v>
      </c>
      <c r="N170" s="52">
        <f>IFERROR(__xludf.DUMMYFUNCTION("""COMPUTED_VALUE"""),14.0)</f>
        <v>14</v>
      </c>
    </row>
    <row r="171">
      <c r="A171" s="1"/>
      <c r="B171" s="48" t="str">
        <f>IFERROR(__xludf.DUMMYFUNCTION("""COMPUTED_VALUE"""),"Derek Fu")</f>
        <v>Derek Fu</v>
      </c>
      <c r="C171" s="49">
        <f>IFERROR(__xludf.DUMMYFUNCTION("""COMPUTED_VALUE"""),249.0)</f>
        <v>249</v>
      </c>
      <c r="D171" s="50">
        <f>IFERROR(__xludf.DUMMYFUNCTION("""COMPUTED_VALUE"""),10.0)</f>
        <v>10</v>
      </c>
      <c r="E171" s="49">
        <f>IFERROR(__xludf.DUMMYFUNCTION("""COMPUTED_VALUE"""),0.0)</f>
        <v>0</v>
      </c>
      <c r="F171" s="51">
        <f>IFERROR(__xludf.DUMMYFUNCTION("""COMPUTED_VALUE"""),0.0)</f>
        <v>0</v>
      </c>
      <c r="G171" s="51">
        <f>IFERROR(__xludf.DUMMYFUNCTION("""COMPUTED_VALUE"""),0.0)</f>
        <v>0</v>
      </c>
      <c r="H171" s="51">
        <f>IFERROR(__xludf.DUMMYFUNCTION("""COMPUTED_VALUE"""),0.0)</f>
        <v>0</v>
      </c>
      <c r="I171" s="51">
        <f>IFERROR(__xludf.DUMMYFUNCTION("""COMPUTED_VALUE"""),0.0)</f>
        <v>0</v>
      </c>
      <c r="J171" s="51">
        <f>IFERROR(__xludf.DUMMYFUNCTION("""COMPUTED_VALUE"""),0.0)</f>
        <v>0</v>
      </c>
      <c r="K171" s="51">
        <f>IFERROR(__xludf.DUMMYFUNCTION("""COMPUTED_VALUE"""),0.0)</f>
        <v>0</v>
      </c>
      <c r="L171" s="51">
        <f>IFERROR(__xludf.DUMMYFUNCTION("""COMPUTED_VALUE"""),0.0)</f>
        <v>0</v>
      </c>
      <c r="M171" s="51">
        <f>IFERROR(__xludf.DUMMYFUNCTION("""COMPUTED_VALUE"""),249.0)</f>
        <v>249</v>
      </c>
      <c r="N171" s="52">
        <f>IFERROR(__xludf.DUMMYFUNCTION("""COMPUTED_VALUE"""),10.0)</f>
        <v>10</v>
      </c>
    </row>
    <row r="172">
      <c r="A172" s="1"/>
      <c r="B172" s="48" t="str">
        <f>IFERROR(__xludf.DUMMYFUNCTION("""COMPUTED_VALUE"""),"Elayaraja Thangaraj ")</f>
        <v>Elayaraja Thangaraj </v>
      </c>
      <c r="C172" s="49">
        <f>IFERROR(__xludf.DUMMYFUNCTION("""COMPUTED_VALUE"""),248.0)</f>
        <v>248</v>
      </c>
      <c r="D172" s="50">
        <f>IFERROR(__xludf.DUMMYFUNCTION("""COMPUTED_VALUE"""),21.0)</f>
        <v>21</v>
      </c>
      <c r="E172" s="49">
        <f>IFERROR(__xludf.DUMMYFUNCTION("""COMPUTED_VALUE"""),0.0)</f>
        <v>0</v>
      </c>
      <c r="F172" s="51">
        <f>IFERROR(__xludf.DUMMYFUNCTION("""COMPUTED_VALUE"""),0.0)</f>
        <v>0</v>
      </c>
      <c r="G172" s="51">
        <f>IFERROR(__xludf.DUMMYFUNCTION("""COMPUTED_VALUE"""),0.0)</f>
        <v>0</v>
      </c>
      <c r="H172" s="51">
        <f>IFERROR(__xludf.DUMMYFUNCTION("""COMPUTED_VALUE"""),0.0)</f>
        <v>0</v>
      </c>
      <c r="I172" s="51">
        <f>IFERROR(__xludf.DUMMYFUNCTION("""COMPUTED_VALUE"""),0.0)</f>
        <v>0</v>
      </c>
      <c r="J172" s="51">
        <f>IFERROR(__xludf.DUMMYFUNCTION("""COMPUTED_VALUE"""),0.0)</f>
        <v>0</v>
      </c>
      <c r="K172" s="51">
        <f>IFERROR(__xludf.DUMMYFUNCTION("""COMPUTED_VALUE"""),0.0)</f>
        <v>0</v>
      </c>
      <c r="L172" s="51">
        <f>IFERROR(__xludf.DUMMYFUNCTION("""COMPUTED_VALUE"""),0.0)</f>
        <v>0</v>
      </c>
      <c r="M172" s="51">
        <f>IFERROR(__xludf.DUMMYFUNCTION("""COMPUTED_VALUE"""),248.0)</f>
        <v>248</v>
      </c>
      <c r="N172" s="52">
        <f>IFERROR(__xludf.DUMMYFUNCTION("""COMPUTED_VALUE"""),21.0)</f>
        <v>21</v>
      </c>
    </row>
    <row r="173">
      <c r="A173" s="1"/>
      <c r="B173" s="48" t="str">
        <f>IFERROR(__xludf.DUMMYFUNCTION("""COMPUTED_VALUE"""),"Andrew Chin")</f>
        <v>Andrew Chin</v>
      </c>
      <c r="C173" s="49">
        <f>IFERROR(__xludf.DUMMYFUNCTION("""COMPUTED_VALUE"""),244.0)</f>
        <v>244</v>
      </c>
      <c r="D173" s="50">
        <f>IFERROR(__xludf.DUMMYFUNCTION("""COMPUTED_VALUE"""),9.0)</f>
        <v>9</v>
      </c>
      <c r="E173" s="49">
        <f>IFERROR(__xludf.DUMMYFUNCTION("""COMPUTED_VALUE"""),0.0)</f>
        <v>0</v>
      </c>
      <c r="F173" s="51">
        <f>IFERROR(__xludf.DUMMYFUNCTION("""COMPUTED_VALUE"""),0.0)</f>
        <v>0</v>
      </c>
      <c r="G173" s="51">
        <f>IFERROR(__xludf.DUMMYFUNCTION("""COMPUTED_VALUE"""),0.0)</f>
        <v>0</v>
      </c>
      <c r="H173" s="51">
        <f>IFERROR(__xludf.DUMMYFUNCTION("""COMPUTED_VALUE"""),0.0)</f>
        <v>0</v>
      </c>
      <c r="I173" s="51">
        <f>IFERROR(__xludf.DUMMYFUNCTION("""COMPUTED_VALUE"""),0.0)</f>
        <v>0</v>
      </c>
      <c r="J173" s="51">
        <f>IFERROR(__xludf.DUMMYFUNCTION("""COMPUTED_VALUE"""),0.0)</f>
        <v>0</v>
      </c>
      <c r="K173" s="51">
        <f>IFERROR(__xludf.DUMMYFUNCTION("""COMPUTED_VALUE"""),0.0)</f>
        <v>0</v>
      </c>
      <c r="L173" s="51">
        <f>IFERROR(__xludf.DUMMYFUNCTION("""COMPUTED_VALUE"""),0.0)</f>
        <v>0</v>
      </c>
      <c r="M173" s="51">
        <f>IFERROR(__xludf.DUMMYFUNCTION("""COMPUTED_VALUE"""),244.0)</f>
        <v>244</v>
      </c>
      <c r="N173" s="52">
        <f>IFERROR(__xludf.DUMMYFUNCTION("""COMPUTED_VALUE"""),9.0)</f>
        <v>9</v>
      </c>
    </row>
    <row r="174">
      <c r="A174" s="1"/>
      <c r="B174" s="48" t="str">
        <f>IFERROR(__xludf.DUMMYFUNCTION("""COMPUTED_VALUE"""),"Vinot Kumar Nagappan")</f>
        <v>Vinot Kumar Nagappan</v>
      </c>
      <c r="C174" s="49">
        <f>IFERROR(__xludf.DUMMYFUNCTION("""COMPUTED_VALUE"""),243.0)</f>
        <v>243</v>
      </c>
      <c r="D174" s="50">
        <f>IFERROR(__xludf.DUMMYFUNCTION("""COMPUTED_VALUE"""),13.0)</f>
        <v>13</v>
      </c>
      <c r="E174" s="49">
        <f>IFERROR(__xludf.DUMMYFUNCTION("""COMPUTED_VALUE"""),0.0)</f>
        <v>0</v>
      </c>
      <c r="F174" s="51">
        <f>IFERROR(__xludf.DUMMYFUNCTION("""COMPUTED_VALUE"""),0.0)</f>
        <v>0</v>
      </c>
      <c r="G174" s="51">
        <f>IFERROR(__xludf.DUMMYFUNCTION("""COMPUTED_VALUE"""),0.0)</f>
        <v>0</v>
      </c>
      <c r="H174" s="51">
        <f>IFERROR(__xludf.DUMMYFUNCTION("""COMPUTED_VALUE"""),0.0)</f>
        <v>0</v>
      </c>
      <c r="I174" s="51">
        <f>IFERROR(__xludf.DUMMYFUNCTION("""COMPUTED_VALUE"""),0.0)</f>
        <v>0</v>
      </c>
      <c r="J174" s="51">
        <f>IFERROR(__xludf.DUMMYFUNCTION("""COMPUTED_VALUE"""),0.0)</f>
        <v>0</v>
      </c>
      <c r="K174" s="51">
        <f>IFERROR(__xludf.DUMMYFUNCTION("""COMPUTED_VALUE"""),0.0)</f>
        <v>0</v>
      </c>
      <c r="L174" s="51">
        <f>IFERROR(__xludf.DUMMYFUNCTION("""COMPUTED_VALUE"""),0.0)</f>
        <v>0</v>
      </c>
      <c r="M174" s="51">
        <f>IFERROR(__xludf.DUMMYFUNCTION("""COMPUTED_VALUE"""),243.0)</f>
        <v>243</v>
      </c>
      <c r="N174" s="52">
        <f>IFERROR(__xludf.DUMMYFUNCTION("""COMPUTED_VALUE"""),13.0)</f>
        <v>13</v>
      </c>
    </row>
    <row r="175">
      <c r="A175" s="1"/>
      <c r="B175" s="48" t="str">
        <f>IFERROR(__xludf.DUMMYFUNCTION("""COMPUTED_VALUE"""),"Paul Sanchez")</f>
        <v>Paul Sanchez</v>
      </c>
      <c r="C175" s="49">
        <f>IFERROR(__xludf.DUMMYFUNCTION("""COMPUTED_VALUE"""),243.0)</f>
        <v>243</v>
      </c>
      <c r="D175" s="50">
        <f>IFERROR(__xludf.DUMMYFUNCTION("""COMPUTED_VALUE"""),9.0)</f>
        <v>9</v>
      </c>
      <c r="E175" s="49">
        <f>IFERROR(__xludf.DUMMYFUNCTION("""COMPUTED_VALUE"""),0.0)</f>
        <v>0</v>
      </c>
      <c r="F175" s="51">
        <f>IFERROR(__xludf.DUMMYFUNCTION("""COMPUTED_VALUE"""),0.0)</f>
        <v>0</v>
      </c>
      <c r="G175" s="51">
        <f>IFERROR(__xludf.DUMMYFUNCTION("""COMPUTED_VALUE"""),0.0)</f>
        <v>0</v>
      </c>
      <c r="H175" s="51">
        <f>IFERROR(__xludf.DUMMYFUNCTION("""COMPUTED_VALUE"""),0.0)</f>
        <v>0</v>
      </c>
      <c r="I175" s="51">
        <f>IFERROR(__xludf.DUMMYFUNCTION("""COMPUTED_VALUE"""),0.0)</f>
        <v>0</v>
      </c>
      <c r="J175" s="51">
        <f>IFERROR(__xludf.DUMMYFUNCTION("""COMPUTED_VALUE"""),0.0)</f>
        <v>0</v>
      </c>
      <c r="K175" s="51">
        <f>IFERROR(__xludf.DUMMYFUNCTION("""COMPUTED_VALUE"""),0.0)</f>
        <v>0</v>
      </c>
      <c r="L175" s="51">
        <f>IFERROR(__xludf.DUMMYFUNCTION("""COMPUTED_VALUE"""),0.0)</f>
        <v>0</v>
      </c>
      <c r="M175" s="51">
        <f>IFERROR(__xludf.DUMMYFUNCTION("""COMPUTED_VALUE"""),243.0)</f>
        <v>243</v>
      </c>
      <c r="N175" s="52">
        <f>IFERROR(__xludf.DUMMYFUNCTION("""COMPUTED_VALUE"""),9.0)</f>
        <v>9</v>
      </c>
    </row>
    <row r="176">
      <c r="A176" s="1"/>
      <c r="B176" s="48" t="str">
        <f>IFERROR(__xludf.DUMMYFUNCTION("""COMPUTED_VALUE"""),"Jimmy Awolesi")</f>
        <v>Jimmy Awolesi</v>
      </c>
      <c r="C176" s="49">
        <f>IFERROR(__xludf.DUMMYFUNCTION("""COMPUTED_VALUE"""),238.0)</f>
        <v>238</v>
      </c>
      <c r="D176" s="50">
        <f>IFERROR(__xludf.DUMMYFUNCTION("""COMPUTED_VALUE"""),15.0)</f>
        <v>15</v>
      </c>
      <c r="E176" s="49">
        <f>IFERROR(__xludf.DUMMYFUNCTION("""COMPUTED_VALUE"""),0.0)</f>
        <v>0</v>
      </c>
      <c r="F176" s="51">
        <f>IFERROR(__xludf.DUMMYFUNCTION("""COMPUTED_VALUE"""),0.0)</f>
        <v>0</v>
      </c>
      <c r="G176" s="51">
        <f>IFERROR(__xludf.DUMMYFUNCTION("""COMPUTED_VALUE"""),0.0)</f>
        <v>0</v>
      </c>
      <c r="H176" s="51">
        <f>IFERROR(__xludf.DUMMYFUNCTION("""COMPUTED_VALUE"""),0.0)</f>
        <v>0</v>
      </c>
      <c r="I176" s="51">
        <f>IFERROR(__xludf.DUMMYFUNCTION("""COMPUTED_VALUE"""),0.0)</f>
        <v>0</v>
      </c>
      <c r="J176" s="51">
        <f>IFERROR(__xludf.DUMMYFUNCTION("""COMPUTED_VALUE"""),0.0)</f>
        <v>0</v>
      </c>
      <c r="K176" s="51">
        <f>IFERROR(__xludf.DUMMYFUNCTION("""COMPUTED_VALUE"""),0.0)</f>
        <v>0</v>
      </c>
      <c r="L176" s="51">
        <f>IFERROR(__xludf.DUMMYFUNCTION("""COMPUTED_VALUE"""),0.0)</f>
        <v>0</v>
      </c>
      <c r="M176" s="51">
        <f>IFERROR(__xludf.DUMMYFUNCTION("""COMPUTED_VALUE"""),238.0)</f>
        <v>238</v>
      </c>
      <c r="N176" s="52">
        <f>IFERROR(__xludf.DUMMYFUNCTION("""COMPUTED_VALUE"""),15.0)</f>
        <v>15</v>
      </c>
    </row>
    <row r="177">
      <c r="A177" s="1"/>
      <c r="B177" s="48" t="str">
        <f>IFERROR(__xludf.DUMMYFUNCTION("""COMPUTED_VALUE"""),"Nohely Mejia")</f>
        <v>Nohely Mejia</v>
      </c>
      <c r="C177" s="49">
        <f>IFERROR(__xludf.DUMMYFUNCTION("""COMPUTED_VALUE"""),238.0)</f>
        <v>238</v>
      </c>
      <c r="D177" s="50">
        <f>IFERROR(__xludf.DUMMYFUNCTION("""COMPUTED_VALUE"""),12.0)</f>
        <v>12</v>
      </c>
      <c r="E177" s="49">
        <f>IFERROR(__xludf.DUMMYFUNCTION("""COMPUTED_VALUE"""),0.0)</f>
        <v>0</v>
      </c>
      <c r="F177" s="51">
        <f>IFERROR(__xludf.DUMMYFUNCTION("""COMPUTED_VALUE"""),0.0)</f>
        <v>0</v>
      </c>
      <c r="G177" s="51">
        <f>IFERROR(__xludf.DUMMYFUNCTION("""COMPUTED_VALUE"""),0.0)</f>
        <v>0</v>
      </c>
      <c r="H177" s="51">
        <f>IFERROR(__xludf.DUMMYFUNCTION("""COMPUTED_VALUE"""),0.0)</f>
        <v>0</v>
      </c>
      <c r="I177" s="51">
        <f>IFERROR(__xludf.DUMMYFUNCTION("""COMPUTED_VALUE"""),0.0)</f>
        <v>0</v>
      </c>
      <c r="J177" s="51">
        <f>IFERROR(__xludf.DUMMYFUNCTION("""COMPUTED_VALUE"""),0.0)</f>
        <v>0</v>
      </c>
      <c r="K177" s="51">
        <f>IFERROR(__xludf.DUMMYFUNCTION("""COMPUTED_VALUE"""),0.0)</f>
        <v>0</v>
      </c>
      <c r="L177" s="51">
        <f>IFERROR(__xludf.DUMMYFUNCTION("""COMPUTED_VALUE"""),0.0)</f>
        <v>0</v>
      </c>
      <c r="M177" s="51">
        <f>IFERROR(__xludf.DUMMYFUNCTION("""COMPUTED_VALUE"""),238.0)</f>
        <v>238</v>
      </c>
      <c r="N177" s="52">
        <f>IFERROR(__xludf.DUMMYFUNCTION("""COMPUTED_VALUE"""),12.0)</f>
        <v>12</v>
      </c>
    </row>
    <row r="178">
      <c r="A178" s="1"/>
      <c r="B178" s="48" t="str">
        <f>IFERROR(__xludf.DUMMYFUNCTION("""COMPUTED_VALUE"""),"James Cole III")</f>
        <v>James Cole III</v>
      </c>
      <c r="C178" s="49">
        <f>IFERROR(__xludf.DUMMYFUNCTION("""COMPUTED_VALUE"""),238.0)</f>
        <v>238</v>
      </c>
      <c r="D178" s="50">
        <f>IFERROR(__xludf.DUMMYFUNCTION("""COMPUTED_VALUE"""),8.0)</f>
        <v>8</v>
      </c>
      <c r="E178" s="49">
        <f>IFERROR(__xludf.DUMMYFUNCTION("""COMPUTED_VALUE"""),0.0)</f>
        <v>0</v>
      </c>
      <c r="F178" s="51">
        <f>IFERROR(__xludf.DUMMYFUNCTION("""COMPUTED_VALUE"""),0.0)</f>
        <v>0</v>
      </c>
      <c r="G178" s="51">
        <f>IFERROR(__xludf.DUMMYFUNCTION("""COMPUTED_VALUE"""),0.0)</f>
        <v>0</v>
      </c>
      <c r="H178" s="51">
        <f>IFERROR(__xludf.DUMMYFUNCTION("""COMPUTED_VALUE"""),0.0)</f>
        <v>0</v>
      </c>
      <c r="I178" s="51">
        <f>IFERROR(__xludf.DUMMYFUNCTION("""COMPUTED_VALUE"""),0.0)</f>
        <v>0</v>
      </c>
      <c r="J178" s="51">
        <f>IFERROR(__xludf.DUMMYFUNCTION("""COMPUTED_VALUE"""),0.0)</f>
        <v>0</v>
      </c>
      <c r="K178" s="51">
        <f>IFERROR(__xludf.DUMMYFUNCTION("""COMPUTED_VALUE"""),0.0)</f>
        <v>0</v>
      </c>
      <c r="L178" s="51">
        <f>IFERROR(__xludf.DUMMYFUNCTION("""COMPUTED_VALUE"""),0.0)</f>
        <v>0</v>
      </c>
      <c r="M178" s="51">
        <f>IFERROR(__xludf.DUMMYFUNCTION("""COMPUTED_VALUE"""),238.0)</f>
        <v>238</v>
      </c>
      <c r="N178" s="52">
        <f>IFERROR(__xludf.DUMMYFUNCTION("""COMPUTED_VALUE"""),8.0)</f>
        <v>8</v>
      </c>
    </row>
    <row r="179">
      <c r="A179" s="1"/>
      <c r="B179" s="48" t="str">
        <f>IFERROR(__xludf.DUMMYFUNCTION("""COMPUTED_VALUE"""),"Balaji Alahari")</f>
        <v>Balaji Alahari</v>
      </c>
      <c r="C179" s="49">
        <f>IFERROR(__xludf.DUMMYFUNCTION("""COMPUTED_VALUE"""),236.0)</f>
        <v>236</v>
      </c>
      <c r="D179" s="50">
        <f>IFERROR(__xludf.DUMMYFUNCTION("""COMPUTED_VALUE"""),7.0)</f>
        <v>7</v>
      </c>
      <c r="E179" s="49">
        <f>IFERROR(__xludf.DUMMYFUNCTION("""COMPUTED_VALUE"""),0.0)</f>
        <v>0</v>
      </c>
      <c r="F179" s="51">
        <f>IFERROR(__xludf.DUMMYFUNCTION("""COMPUTED_VALUE"""),0.0)</f>
        <v>0</v>
      </c>
      <c r="G179" s="51">
        <f>IFERROR(__xludf.DUMMYFUNCTION("""COMPUTED_VALUE"""),0.0)</f>
        <v>0</v>
      </c>
      <c r="H179" s="51">
        <f>IFERROR(__xludf.DUMMYFUNCTION("""COMPUTED_VALUE"""),0.0)</f>
        <v>0</v>
      </c>
      <c r="I179" s="51">
        <f>IFERROR(__xludf.DUMMYFUNCTION("""COMPUTED_VALUE"""),0.0)</f>
        <v>0</v>
      </c>
      <c r="J179" s="51">
        <f>IFERROR(__xludf.DUMMYFUNCTION("""COMPUTED_VALUE"""),0.0)</f>
        <v>0</v>
      </c>
      <c r="K179" s="51">
        <f>IFERROR(__xludf.DUMMYFUNCTION("""COMPUTED_VALUE"""),0.0)</f>
        <v>0</v>
      </c>
      <c r="L179" s="51">
        <f>IFERROR(__xludf.DUMMYFUNCTION("""COMPUTED_VALUE"""),0.0)</f>
        <v>0</v>
      </c>
      <c r="M179" s="51">
        <f>IFERROR(__xludf.DUMMYFUNCTION("""COMPUTED_VALUE"""),236.0)</f>
        <v>236</v>
      </c>
      <c r="N179" s="52">
        <f>IFERROR(__xludf.DUMMYFUNCTION("""COMPUTED_VALUE"""),7.0)</f>
        <v>7</v>
      </c>
    </row>
    <row r="180">
      <c r="A180" s="1"/>
      <c r="B180" s="48" t="str">
        <f>IFERROR(__xludf.DUMMYFUNCTION("""COMPUTED_VALUE"""),"Kevin Wang")</f>
        <v>Kevin Wang</v>
      </c>
      <c r="C180" s="49">
        <f>IFERROR(__xludf.DUMMYFUNCTION("""COMPUTED_VALUE"""),231.0)</f>
        <v>231</v>
      </c>
      <c r="D180" s="50">
        <f>IFERROR(__xludf.DUMMYFUNCTION("""COMPUTED_VALUE"""),16.0)</f>
        <v>16</v>
      </c>
      <c r="E180" s="49">
        <f>IFERROR(__xludf.DUMMYFUNCTION("""COMPUTED_VALUE"""),0.0)</f>
        <v>0</v>
      </c>
      <c r="F180" s="51">
        <f>IFERROR(__xludf.DUMMYFUNCTION("""COMPUTED_VALUE"""),0.0)</f>
        <v>0</v>
      </c>
      <c r="G180" s="51">
        <f>IFERROR(__xludf.DUMMYFUNCTION("""COMPUTED_VALUE"""),0.0)</f>
        <v>0</v>
      </c>
      <c r="H180" s="51">
        <f>IFERROR(__xludf.DUMMYFUNCTION("""COMPUTED_VALUE"""),0.0)</f>
        <v>0</v>
      </c>
      <c r="I180" s="51">
        <f>IFERROR(__xludf.DUMMYFUNCTION("""COMPUTED_VALUE"""),0.0)</f>
        <v>0</v>
      </c>
      <c r="J180" s="51">
        <f>IFERROR(__xludf.DUMMYFUNCTION("""COMPUTED_VALUE"""),0.0)</f>
        <v>0</v>
      </c>
      <c r="K180" s="51">
        <f>IFERROR(__xludf.DUMMYFUNCTION("""COMPUTED_VALUE"""),0.0)</f>
        <v>0</v>
      </c>
      <c r="L180" s="51">
        <f>IFERROR(__xludf.DUMMYFUNCTION("""COMPUTED_VALUE"""),0.0)</f>
        <v>0</v>
      </c>
      <c r="M180" s="51">
        <f>IFERROR(__xludf.DUMMYFUNCTION("""COMPUTED_VALUE"""),231.0)</f>
        <v>231</v>
      </c>
      <c r="N180" s="52">
        <f>IFERROR(__xludf.DUMMYFUNCTION("""COMPUTED_VALUE"""),16.0)</f>
        <v>16</v>
      </c>
    </row>
    <row r="181">
      <c r="A181" s="1"/>
      <c r="B181" s="48" t="str">
        <f>IFERROR(__xludf.DUMMYFUNCTION("""COMPUTED_VALUE"""),"Luis Hsu")</f>
        <v>Luis Hsu</v>
      </c>
      <c r="C181" s="49">
        <f>IFERROR(__xludf.DUMMYFUNCTION("""COMPUTED_VALUE"""),231.0)</f>
        <v>231</v>
      </c>
      <c r="D181" s="50">
        <f>IFERROR(__xludf.DUMMYFUNCTION("""COMPUTED_VALUE"""),5.0)</f>
        <v>5</v>
      </c>
      <c r="E181" s="49">
        <f>IFERROR(__xludf.DUMMYFUNCTION("""COMPUTED_VALUE"""),0.0)</f>
        <v>0</v>
      </c>
      <c r="F181" s="51">
        <f>IFERROR(__xludf.DUMMYFUNCTION("""COMPUTED_VALUE"""),0.0)</f>
        <v>0</v>
      </c>
      <c r="G181" s="51">
        <f>IFERROR(__xludf.DUMMYFUNCTION("""COMPUTED_VALUE"""),0.0)</f>
        <v>0</v>
      </c>
      <c r="H181" s="51">
        <f>IFERROR(__xludf.DUMMYFUNCTION("""COMPUTED_VALUE"""),0.0)</f>
        <v>0</v>
      </c>
      <c r="I181" s="51">
        <f>IFERROR(__xludf.DUMMYFUNCTION("""COMPUTED_VALUE"""),0.0)</f>
        <v>0</v>
      </c>
      <c r="J181" s="51">
        <f>IFERROR(__xludf.DUMMYFUNCTION("""COMPUTED_VALUE"""),0.0)</f>
        <v>0</v>
      </c>
      <c r="K181" s="51">
        <f>IFERROR(__xludf.DUMMYFUNCTION("""COMPUTED_VALUE"""),0.0)</f>
        <v>0</v>
      </c>
      <c r="L181" s="51">
        <f>IFERROR(__xludf.DUMMYFUNCTION("""COMPUTED_VALUE"""),0.0)</f>
        <v>0</v>
      </c>
      <c r="M181" s="51">
        <f>IFERROR(__xludf.DUMMYFUNCTION("""COMPUTED_VALUE"""),231.0)</f>
        <v>231</v>
      </c>
      <c r="N181" s="52">
        <f>IFERROR(__xludf.DUMMYFUNCTION("""COMPUTED_VALUE"""),5.0)</f>
        <v>5</v>
      </c>
    </row>
    <row r="182">
      <c r="A182" s="1"/>
      <c r="B182" s="48" t="str">
        <f>IFERROR(__xludf.DUMMYFUNCTION("""COMPUTED_VALUE"""),"Pan Lee")</f>
        <v>Pan Lee</v>
      </c>
      <c r="C182" s="49">
        <f>IFERROR(__xludf.DUMMYFUNCTION("""COMPUTED_VALUE"""),230.0)</f>
        <v>230</v>
      </c>
      <c r="D182" s="50">
        <f>IFERROR(__xludf.DUMMYFUNCTION("""COMPUTED_VALUE"""),5.0)</f>
        <v>5</v>
      </c>
      <c r="E182" s="49">
        <f>IFERROR(__xludf.DUMMYFUNCTION("""COMPUTED_VALUE"""),0.0)</f>
        <v>0</v>
      </c>
      <c r="F182" s="51">
        <f>IFERROR(__xludf.DUMMYFUNCTION("""COMPUTED_VALUE"""),0.0)</f>
        <v>0</v>
      </c>
      <c r="G182" s="51">
        <f>IFERROR(__xludf.DUMMYFUNCTION("""COMPUTED_VALUE"""),0.0)</f>
        <v>0</v>
      </c>
      <c r="H182" s="51">
        <f>IFERROR(__xludf.DUMMYFUNCTION("""COMPUTED_VALUE"""),0.0)</f>
        <v>0</v>
      </c>
      <c r="I182" s="51">
        <f>IFERROR(__xludf.DUMMYFUNCTION("""COMPUTED_VALUE"""),0.0)</f>
        <v>0</v>
      </c>
      <c r="J182" s="51">
        <f>IFERROR(__xludf.DUMMYFUNCTION("""COMPUTED_VALUE"""),0.0)</f>
        <v>0</v>
      </c>
      <c r="K182" s="51">
        <f>IFERROR(__xludf.DUMMYFUNCTION("""COMPUTED_VALUE"""),0.0)</f>
        <v>0</v>
      </c>
      <c r="L182" s="51">
        <f>IFERROR(__xludf.DUMMYFUNCTION("""COMPUTED_VALUE"""),0.0)</f>
        <v>0</v>
      </c>
      <c r="M182" s="51">
        <f>IFERROR(__xludf.DUMMYFUNCTION("""COMPUTED_VALUE"""),230.0)</f>
        <v>230</v>
      </c>
      <c r="N182" s="52">
        <f>IFERROR(__xludf.DUMMYFUNCTION("""COMPUTED_VALUE"""),5.0)</f>
        <v>5</v>
      </c>
    </row>
    <row r="183">
      <c r="A183" s="1"/>
      <c r="B183" s="48" t="str">
        <f>IFERROR(__xludf.DUMMYFUNCTION("""COMPUTED_VALUE"""),"Lauren Chang")</f>
        <v>Lauren Chang</v>
      </c>
      <c r="C183" s="49">
        <f>IFERROR(__xludf.DUMMYFUNCTION("""COMPUTED_VALUE"""),228.0)</f>
        <v>228</v>
      </c>
      <c r="D183" s="50">
        <f>IFERROR(__xludf.DUMMYFUNCTION("""COMPUTED_VALUE"""),4.0)</f>
        <v>4</v>
      </c>
      <c r="E183" s="49">
        <f>IFERROR(__xludf.DUMMYFUNCTION("""COMPUTED_VALUE"""),0.0)</f>
        <v>0</v>
      </c>
      <c r="F183" s="51">
        <f>IFERROR(__xludf.DUMMYFUNCTION("""COMPUTED_VALUE"""),0.0)</f>
        <v>0</v>
      </c>
      <c r="G183" s="51">
        <f>IFERROR(__xludf.DUMMYFUNCTION("""COMPUTED_VALUE"""),0.0)</f>
        <v>0</v>
      </c>
      <c r="H183" s="51">
        <f>IFERROR(__xludf.DUMMYFUNCTION("""COMPUTED_VALUE"""),0.0)</f>
        <v>0</v>
      </c>
      <c r="I183" s="51">
        <f>IFERROR(__xludf.DUMMYFUNCTION("""COMPUTED_VALUE"""),0.0)</f>
        <v>0</v>
      </c>
      <c r="J183" s="51">
        <f>IFERROR(__xludf.DUMMYFUNCTION("""COMPUTED_VALUE"""),0.0)</f>
        <v>0</v>
      </c>
      <c r="K183" s="51">
        <f>IFERROR(__xludf.DUMMYFUNCTION("""COMPUTED_VALUE"""),0.0)</f>
        <v>0</v>
      </c>
      <c r="L183" s="51">
        <f>IFERROR(__xludf.DUMMYFUNCTION("""COMPUTED_VALUE"""),0.0)</f>
        <v>0</v>
      </c>
      <c r="M183" s="51">
        <f>IFERROR(__xludf.DUMMYFUNCTION("""COMPUTED_VALUE"""),228.0)</f>
        <v>228</v>
      </c>
      <c r="N183" s="52">
        <f>IFERROR(__xludf.DUMMYFUNCTION("""COMPUTED_VALUE"""),4.0)</f>
        <v>4</v>
      </c>
    </row>
    <row r="184">
      <c r="A184" s="1"/>
      <c r="B184" s="48" t="str">
        <f>IFERROR(__xludf.DUMMYFUNCTION("""COMPUTED_VALUE"""),"Santosh Sundaresan ")</f>
        <v>Santosh Sundaresan </v>
      </c>
      <c r="C184" s="49">
        <f>IFERROR(__xludf.DUMMYFUNCTION("""COMPUTED_VALUE"""),226.0)</f>
        <v>226</v>
      </c>
      <c r="D184" s="50">
        <f>IFERROR(__xludf.DUMMYFUNCTION("""COMPUTED_VALUE"""),6.0)</f>
        <v>6</v>
      </c>
      <c r="E184" s="49">
        <f>IFERROR(__xludf.DUMMYFUNCTION("""COMPUTED_VALUE"""),0.0)</f>
        <v>0</v>
      </c>
      <c r="F184" s="51">
        <f>IFERROR(__xludf.DUMMYFUNCTION("""COMPUTED_VALUE"""),0.0)</f>
        <v>0</v>
      </c>
      <c r="G184" s="51">
        <f>IFERROR(__xludf.DUMMYFUNCTION("""COMPUTED_VALUE"""),0.0)</f>
        <v>0</v>
      </c>
      <c r="H184" s="51">
        <f>IFERROR(__xludf.DUMMYFUNCTION("""COMPUTED_VALUE"""),0.0)</f>
        <v>0</v>
      </c>
      <c r="I184" s="51">
        <f>IFERROR(__xludf.DUMMYFUNCTION("""COMPUTED_VALUE"""),0.0)</f>
        <v>0</v>
      </c>
      <c r="J184" s="51">
        <f>IFERROR(__xludf.DUMMYFUNCTION("""COMPUTED_VALUE"""),0.0)</f>
        <v>0</v>
      </c>
      <c r="K184" s="51">
        <f>IFERROR(__xludf.DUMMYFUNCTION("""COMPUTED_VALUE"""),0.0)</f>
        <v>0</v>
      </c>
      <c r="L184" s="51">
        <f>IFERROR(__xludf.DUMMYFUNCTION("""COMPUTED_VALUE"""),0.0)</f>
        <v>0</v>
      </c>
      <c r="M184" s="51">
        <f>IFERROR(__xludf.DUMMYFUNCTION("""COMPUTED_VALUE"""),226.0)</f>
        <v>226</v>
      </c>
      <c r="N184" s="52">
        <f>IFERROR(__xludf.DUMMYFUNCTION("""COMPUTED_VALUE"""),6.0)</f>
        <v>6</v>
      </c>
    </row>
    <row r="185">
      <c r="A185" s="1"/>
      <c r="B185" s="48" t="str">
        <f>IFERROR(__xludf.DUMMYFUNCTION("""COMPUTED_VALUE"""),"Vilas Janardhanan")</f>
        <v>Vilas Janardhanan</v>
      </c>
      <c r="C185" s="49">
        <f>IFERROR(__xludf.DUMMYFUNCTION("""COMPUTED_VALUE"""),225.0)</f>
        <v>225</v>
      </c>
      <c r="D185" s="50">
        <f>IFERROR(__xludf.DUMMYFUNCTION("""COMPUTED_VALUE"""),7.0)</f>
        <v>7</v>
      </c>
      <c r="E185" s="49">
        <f>IFERROR(__xludf.DUMMYFUNCTION("""COMPUTED_VALUE"""),0.0)</f>
        <v>0</v>
      </c>
      <c r="F185" s="51">
        <f>IFERROR(__xludf.DUMMYFUNCTION("""COMPUTED_VALUE"""),0.0)</f>
        <v>0</v>
      </c>
      <c r="G185" s="51">
        <f>IFERROR(__xludf.DUMMYFUNCTION("""COMPUTED_VALUE"""),0.0)</f>
        <v>0</v>
      </c>
      <c r="H185" s="51">
        <f>IFERROR(__xludf.DUMMYFUNCTION("""COMPUTED_VALUE"""),0.0)</f>
        <v>0</v>
      </c>
      <c r="I185" s="51">
        <f>IFERROR(__xludf.DUMMYFUNCTION("""COMPUTED_VALUE"""),0.0)</f>
        <v>0</v>
      </c>
      <c r="J185" s="51">
        <f>IFERROR(__xludf.DUMMYFUNCTION("""COMPUTED_VALUE"""),0.0)</f>
        <v>0</v>
      </c>
      <c r="K185" s="51">
        <f>IFERROR(__xludf.DUMMYFUNCTION("""COMPUTED_VALUE"""),0.0)</f>
        <v>0</v>
      </c>
      <c r="L185" s="51">
        <f>IFERROR(__xludf.DUMMYFUNCTION("""COMPUTED_VALUE"""),0.0)</f>
        <v>0</v>
      </c>
      <c r="M185" s="51">
        <f>IFERROR(__xludf.DUMMYFUNCTION("""COMPUTED_VALUE"""),225.0)</f>
        <v>225</v>
      </c>
      <c r="N185" s="52">
        <f>IFERROR(__xludf.DUMMYFUNCTION("""COMPUTED_VALUE"""),7.0)</f>
        <v>7</v>
      </c>
    </row>
    <row r="186">
      <c r="A186" s="1"/>
      <c r="B186" s="48" t="str">
        <f>IFERROR(__xludf.DUMMYFUNCTION("""COMPUTED_VALUE"""),"Piyorasa Li")</f>
        <v>Piyorasa Li</v>
      </c>
      <c r="C186" s="49">
        <f>IFERROR(__xludf.DUMMYFUNCTION("""COMPUTED_VALUE"""),225.0)</f>
        <v>225</v>
      </c>
      <c r="D186" s="50">
        <f>IFERROR(__xludf.DUMMYFUNCTION("""COMPUTED_VALUE"""),3.0)</f>
        <v>3</v>
      </c>
      <c r="E186" s="49">
        <f>IFERROR(__xludf.DUMMYFUNCTION("""COMPUTED_VALUE"""),0.0)</f>
        <v>0</v>
      </c>
      <c r="F186" s="51">
        <f>IFERROR(__xludf.DUMMYFUNCTION("""COMPUTED_VALUE"""),0.0)</f>
        <v>0</v>
      </c>
      <c r="G186" s="51">
        <f>IFERROR(__xludf.DUMMYFUNCTION("""COMPUTED_VALUE"""),0.0)</f>
        <v>0</v>
      </c>
      <c r="H186" s="51">
        <f>IFERROR(__xludf.DUMMYFUNCTION("""COMPUTED_VALUE"""),0.0)</f>
        <v>0</v>
      </c>
      <c r="I186" s="51">
        <f>IFERROR(__xludf.DUMMYFUNCTION("""COMPUTED_VALUE"""),0.0)</f>
        <v>0</v>
      </c>
      <c r="J186" s="51">
        <f>IFERROR(__xludf.DUMMYFUNCTION("""COMPUTED_VALUE"""),0.0)</f>
        <v>0</v>
      </c>
      <c r="K186" s="51">
        <f>IFERROR(__xludf.DUMMYFUNCTION("""COMPUTED_VALUE"""),0.0)</f>
        <v>0</v>
      </c>
      <c r="L186" s="51">
        <f>IFERROR(__xludf.DUMMYFUNCTION("""COMPUTED_VALUE"""),0.0)</f>
        <v>0</v>
      </c>
      <c r="M186" s="51">
        <f>IFERROR(__xludf.DUMMYFUNCTION("""COMPUTED_VALUE"""),225.0)</f>
        <v>225</v>
      </c>
      <c r="N186" s="52">
        <f>IFERROR(__xludf.DUMMYFUNCTION("""COMPUTED_VALUE"""),3.0)</f>
        <v>3</v>
      </c>
    </row>
    <row r="187">
      <c r="A187" s="1"/>
      <c r="B187" s="48" t="str">
        <f>IFERROR(__xludf.DUMMYFUNCTION("""COMPUTED_VALUE"""),"Jason Kim ")</f>
        <v>Jason Kim </v>
      </c>
      <c r="C187" s="49">
        <f>IFERROR(__xludf.DUMMYFUNCTION("""COMPUTED_VALUE"""),225.0)</f>
        <v>225</v>
      </c>
      <c r="D187" s="50">
        <f>IFERROR(__xludf.DUMMYFUNCTION("""COMPUTED_VALUE"""),3.0)</f>
        <v>3</v>
      </c>
      <c r="E187" s="49">
        <f>IFERROR(__xludf.DUMMYFUNCTION("""COMPUTED_VALUE"""),0.0)</f>
        <v>0</v>
      </c>
      <c r="F187" s="51">
        <f>IFERROR(__xludf.DUMMYFUNCTION("""COMPUTED_VALUE"""),0.0)</f>
        <v>0</v>
      </c>
      <c r="G187" s="51">
        <f>IFERROR(__xludf.DUMMYFUNCTION("""COMPUTED_VALUE"""),0.0)</f>
        <v>0</v>
      </c>
      <c r="H187" s="51">
        <f>IFERROR(__xludf.DUMMYFUNCTION("""COMPUTED_VALUE"""),0.0)</f>
        <v>0</v>
      </c>
      <c r="I187" s="51">
        <f>IFERROR(__xludf.DUMMYFUNCTION("""COMPUTED_VALUE"""),0.0)</f>
        <v>0</v>
      </c>
      <c r="J187" s="51">
        <f>IFERROR(__xludf.DUMMYFUNCTION("""COMPUTED_VALUE"""),0.0)</f>
        <v>0</v>
      </c>
      <c r="K187" s="51">
        <f>IFERROR(__xludf.DUMMYFUNCTION("""COMPUTED_VALUE"""),0.0)</f>
        <v>0</v>
      </c>
      <c r="L187" s="51">
        <f>IFERROR(__xludf.DUMMYFUNCTION("""COMPUTED_VALUE"""),0.0)</f>
        <v>0</v>
      </c>
      <c r="M187" s="51">
        <f>IFERROR(__xludf.DUMMYFUNCTION("""COMPUTED_VALUE"""),225.0)</f>
        <v>225</v>
      </c>
      <c r="N187" s="52">
        <f>IFERROR(__xludf.DUMMYFUNCTION("""COMPUTED_VALUE"""),3.0)</f>
        <v>3</v>
      </c>
    </row>
    <row r="188">
      <c r="A188" s="1"/>
      <c r="B188" s="48" t="str">
        <f>IFERROR(__xludf.DUMMYFUNCTION("""COMPUTED_VALUE"""),"Amit Patel")</f>
        <v>Amit Patel</v>
      </c>
      <c r="C188" s="49">
        <f>IFERROR(__xludf.DUMMYFUNCTION("""COMPUTED_VALUE"""),223.0)</f>
        <v>223</v>
      </c>
      <c r="D188" s="50">
        <f>IFERROR(__xludf.DUMMYFUNCTION("""COMPUTED_VALUE"""),4.0)</f>
        <v>4</v>
      </c>
      <c r="E188" s="49">
        <f>IFERROR(__xludf.DUMMYFUNCTION("""COMPUTED_VALUE"""),0.0)</f>
        <v>0</v>
      </c>
      <c r="F188" s="51">
        <f>IFERROR(__xludf.DUMMYFUNCTION("""COMPUTED_VALUE"""),0.0)</f>
        <v>0</v>
      </c>
      <c r="G188" s="51">
        <f>IFERROR(__xludf.DUMMYFUNCTION("""COMPUTED_VALUE"""),0.0)</f>
        <v>0</v>
      </c>
      <c r="H188" s="51">
        <f>IFERROR(__xludf.DUMMYFUNCTION("""COMPUTED_VALUE"""),0.0)</f>
        <v>0</v>
      </c>
      <c r="I188" s="51">
        <f>IFERROR(__xludf.DUMMYFUNCTION("""COMPUTED_VALUE"""),0.0)</f>
        <v>0</v>
      </c>
      <c r="J188" s="51">
        <f>IFERROR(__xludf.DUMMYFUNCTION("""COMPUTED_VALUE"""),0.0)</f>
        <v>0</v>
      </c>
      <c r="K188" s="51">
        <f>IFERROR(__xludf.DUMMYFUNCTION("""COMPUTED_VALUE"""),0.0)</f>
        <v>0</v>
      </c>
      <c r="L188" s="51">
        <f>IFERROR(__xludf.DUMMYFUNCTION("""COMPUTED_VALUE"""),0.0)</f>
        <v>0</v>
      </c>
      <c r="M188" s="51">
        <f>IFERROR(__xludf.DUMMYFUNCTION("""COMPUTED_VALUE"""),223.0)</f>
        <v>223</v>
      </c>
      <c r="N188" s="52">
        <f>IFERROR(__xludf.DUMMYFUNCTION("""COMPUTED_VALUE"""),4.0)</f>
        <v>4</v>
      </c>
    </row>
    <row r="189">
      <c r="A189" s="1"/>
      <c r="B189" s="40" t="str">
        <f>IFERROR(__xludf.DUMMYFUNCTION("""COMPUTED_VALUE"""),"Coco Yan")</f>
        <v>Coco Yan</v>
      </c>
      <c r="C189" s="61">
        <f>IFERROR(__xludf.DUMMYFUNCTION("""COMPUTED_VALUE"""),220.0)</f>
        <v>220</v>
      </c>
      <c r="D189" s="62">
        <f>IFERROR(__xludf.DUMMYFUNCTION("""COMPUTED_VALUE"""),2.0)</f>
        <v>2</v>
      </c>
      <c r="E189" s="61">
        <f>IFERROR(__xludf.DUMMYFUNCTION("""COMPUTED_VALUE"""),0.0)</f>
        <v>0</v>
      </c>
      <c r="F189" s="63">
        <f>IFERROR(__xludf.DUMMYFUNCTION("""COMPUTED_VALUE"""),0.0)</f>
        <v>0</v>
      </c>
      <c r="G189" s="63">
        <f>IFERROR(__xludf.DUMMYFUNCTION("""COMPUTED_VALUE"""),0.0)</f>
        <v>0</v>
      </c>
      <c r="H189" s="63">
        <f>IFERROR(__xludf.DUMMYFUNCTION("""COMPUTED_VALUE"""),0.0)</f>
        <v>0</v>
      </c>
      <c r="I189" s="63">
        <f>IFERROR(__xludf.DUMMYFUNCTION("""COMPUTED_VALUE"""),0.0)</f>
        <v>0</v>
      </c>
      <c r="J189" s="63">
        <f>IFERROR(__xludf.DUMMYFUNCTION("""COMPUTED_VALUE"""),0.0)</f>
        <v>0</v>
      </c>
      <c r="K189" s="63">
        <f>IFERROR(__xludf.DUMMYFUNCTION("""COMPUTED_VALUE"""),0.0)</f>
        <v>0</v>
      </c>
      <c r="L189" s="63">
        <f>IFERROR(__xludf.DUMMYFUNCTION("""COMPUTED_VALUE"""),0.0)</f>
        <v>0</v>
      </c>
      <c r="M189" s="63">
        <f>IFERROR(__xludf.DUMMYFUNCTION("""COMPUTED_VALUE"""),220.0)</f>
        <v>220</v>
      </c>
      <c r="N189" s="64">
        <f>IFERROR(__xludf.DUMMYFUNCTION("""COMPUTED_VALUE"""),2.0)</f>
        <v>2</v>
      </c>
    </row>
    <row r="190">
      <c r="A190" s="1"/>
      <c r="B190" s="40" t="str">
        <f>IFERROR(__xludf.DUMMYFUNCTION("""COMPUTED_VALUE"""),"Thomas Zou")</f>
        <v>Thomas Zou</v>
      </c>
      <c r="C190" s="61">
        <f>IFERROR(__xludf.DUMMYFUNCTION("""COMPUTED_VALUE"""),220.0)</f>
        <v>220</v>
      </c>
      <c r="D190" s="62">
        <f>IFERROR(__xludf.DUMMYFUNCTION("""COMPUTED_VALUE"""),2.0)</f>
        <v>2</v>
      </c>
      <c r="E190" s="61">
        <f>IFERROR(__xludf.DUMMYFUNCTION("""COMPUTED_VALUE"""),0.0)</f>
        <v>0</v>
      </c>
      <c r="F190" s="63">
        <f>IFERROR(__xludf.DUMMYFUNCTION("""COMPUTED_VALUE"""),0.0)</f>
        <v>0</v>
      </c>
      <c r="G190" s="63">
        <f>IFERROR(__xludf.DUMMYFUNCTION("""COMPUTED_VALUE"""),0.0)</f>
        <v>0</v>
      </c>
      <c r="H190" s="63"/>
      <c r="I190" s="63"/>
      <c r="J190" s="63"/>
      <c r="K190" s="63">
        <f>IFERROR(__xludf.DUMMYFUNCTION("""COMPUTED_VALUE"""),0.0)</f>
        <v>0</v>
      </c>
      <c r="L190" s="63"/>
      <c r="M190" s="63">
        <f>IFERROR(__xludf.DUMMYFUNCTION("""COMPUTED_VALUE"""),220.0)</f>
        <v>220</v>
      </c>
      <c r="N190" s="64">
        <f>IFERROR(__xludf.DUMMYFUNCTION("""COMPUTED_VALUE"""),2.0)</f>
        <v>2</v>
      </c>
    </row>
    <row r="191">
      <c r="A191" s="1"/>
      <c r="B191" s="40" t="str">
        <f>IFERROR(__xludf.DUMMYFUNCTION("""COMPUTED_VALUE"""),"Savay Lieu")</f>
        <v>Savay Lieu</v>
      </c>
      <c r="C191" s="61">
        <f>IFERROR(__xludf.DUMMYFUNCTION("""COMPUTED_VALUE"""),216.0)</f>
        <v>216</v>
      </c>
      <c r="D191" s="62">
        <f>IFERROR(__xludf.DUMMYFUNCTION("""COMPUTED_VALUE"""),0.0)</f>
        <v>0</v>
      </c>
      <c r="E191" s="61">
        <f>IFERROR(__xludf.DUMMYFUNCTION("""COMPUTED_VALUE"""),0.0)</f>
        <v>0</v>
      </c>
      <c r="F191" s="63">
        <f>IFERROR(__xludf.DUMMYFUNCTION("""COMPUTED_VALUE"""),0.0)</f>
        <v>0</v>
      </c>
      <c r="G191" s="63">
        <f>IFERROR(__xludf.DUMMYFUNCTION("""COMPUTED_VALUE"""),0.0)</f>
        <v>0</v>
      </c>
      <c r="H191" s="63">
        <f>IFERROR(__xludf.DUMMYFUNCTION("""COMPUTED_VALUE"""),0.0)</f>
        <v>0</v>
      </c>
      <c r="I191" s="63">
        <f>IFERROR(__xludf.DUMMYFUNCTION("""COMPUTED_VALUE"""),0.0)</f>
        <v>0</v>
      </c>
      <c r="J191" s="63">
        <f>IFERROR(__xludf.DUMMYFUNCTION("""COMPUTED_VALUE"""),0.0)</f>
        <v>0</v>
      </c>
      <c r="K191" s="63">
        <f>IFERROR(__xludf.DUMMYFUNCTION("""COMPUTED_VALUE"""),0.0)</f>
        <v>0</v>
      </c>
      <c r="L191" s="63">
        <f>IFERROR(__xludf.DUMMYFUNCTION("""COMPUTED_VALUE"""),0.0)</f>
        <v>0</v>
      </c>
      <c r="M191" s="63">
        <f>IFERROR(__xludf.DUMMYFUNCTION("""COMPUTED_VALUE"""),216.0)</f>
        <v>216</v>
      </c>
      <c r="N191" s="64">
        <f>IFERROR(__xludf.DUMMYFUNCTION("""COMPUTED_VALUE"""),0.0)</f>
        <v>0</v>
      </c>
    </row>
    <row r="192">
      <c r="A192" s="1"/>
      <c r="B192" s="40" t="str">
        <f>IFERROR(__xludf.DUMMYFUNCTION("""COMPUTED_VALUE"""),"Mihir Anand")</f>
        <v>Mihir Anand</v>
      </c>
      <c r="C192" s="61">
        <f>IFERROR(__xludf.DUMMYFUNCTION("""COMPUTED_VALUE"""),216.0)</f>
        <v>216</v>
      </c>
      <c r="D192" s="62">
        <f>IFERROR(__xludf.DUMMYFUNCTION("""COMPUTED_VALUE"""),0.0)</f>
        <v>0</v>
      </c>
      <c r="E192" s="61">
        <f>IFERROR(__xludf.DUMMYFUNCTION("""COMPUTED_VALUE"""),0.0)</f>
        <v>0</v>
      </c>
      <c r="F192" s="63">
        <f>IFERROR(__xludf.DUMMYFUNCTION("""COMPUTED_VALUE"""),0.0)</f>
        <v>0</v>
      </c>
      <c r="G192" s="63">
        <f>IFERROR(__xludf.DUMMYFUNCTION("""COMPUTED_VALUE"""),0.0)</f>
        <v>0</v>
      </c>
      <c r="H192" s="63">
        <f>IFERROR(__xludf.DUMMYFUNCTION("""COMPUTED_VALUE"""),0.0)</f>
        <v>0</v>
      </c>
      <c r="I192" s="63">
        <f>IFERROR(__xludf.DUMMYFUNCTION("""COMPUTED_VALUE"""),0.0)</f>
        <v>0</v>
      </c>
      <c r="J192" s="63">
        <f>IFERROR(__xludf.DUMMYFUNCTION("""COMPUTED_VALUE"""),0.0)</f>
        <v>0</v>
      </c>
      <c r="K192" s="63">
        <f>IFERROR(__xludf.DUMMYFUNCTION("""COMPUTED_VALUE"""),0.0)</f>
        <v>0</v>
      </c>
      <c r="L192" s="63">
        <f>IFERROR(__xludf.DUMMYFUNCTION("""COMPUTED_VALUE"""),0.0)</f>
        <v>0</v>
      </c>
      <c r="M192" s="63">
        <f>IFERROR(__xludf.DUMMYFUNCTION("""COMPUTED_VALUE"""),216.0)</f>
        <v>216</v>
      </c>
      <c r="N192" s="64">
        <f>IFERROR(__xludf.DUMMYFUNCTION("""COMPUTED_VALUE"""),0.0)</f>
        <v>0</v>
      </c>
    </row>
    <row r="193">
      <c r="A193" s="1"/>
      <c r="B193" s="40" t="str">
        <f>IFERROR(__xludf.DUMMYFUNCTION("""COMPUTED_VALUE"""),"Manish Anand")</f>
        <v>Manish Anand</v>
      </c>
      <c r="C193" s="61">
        <f>IFERROR(__xludf.DUMMYFUNCTION("""COMPUTED_VALUE"""),216.0)</f>
        <v>216</v>
      </c>
      <c r="D193" s="62">
        <f>IFERROR(__xludf.DUMMYFUNCTION("""COMPUTED_VALUE"""),0.0)</f>
        <v>0</v>
      </c>
      <c r="E193" s="61">
        <f>IFERROR(__xludf.DUMMYFUNCTION("""COMPUTED_VALUE"""),0.0)</f>
        <v>0</v>
      </c>
      <c r="F193" s="63">
        <f>IFERROR(__xludf.DUMMYFUNCTION("""COMPUTED_VALUE"""),0.0)</f>
        <v>0</v>
      </c>
      <c r="G193" s="63">
        <f>IFERROR(__xludf.DUMMYFUNCTION("""COMPUTED_VALUE"""),0.0)</f>
        <v>0</v>
      </c>
      <c r="H193" s="63">
        <f>IFERROR(__xludf.DUMMYFUNCTION("""COMPUTED_VALUE"""),0.0)</f>
        <v>0</v>
      </c>
      <c r="I193" s="63">
        <f>IFERROR(__xludf.DUMMYFUNCTION("""COMPUTED_VALUE"""),0.0)</f>
        <v>0</v>
      </c>
      <c r="J193" s="63">
        <f>IFERROR(__xludf.DUMMYFUNCTION("""COMPUTED_VALUE"""),0.0)</f>
        <v>0</v>
      </c>
      <c r="K193" s="63">
        <f>IFERROR(__xludf.DUMMYFUNCTION("""COMPUTED_VALUE"""),0.0)</f>
        <v>0</v>
      </c>
      <c r="L193" s="63">
        <f>IFERROR(__xludf.DUMMYFUNCTION("""COMPUTED_VALUE"""),0.0)</f>
        <v>0</v>
      </c>
      <c r="M193" s="63">
        <f>IFERROR(__xludf.DUMMYFUNCTION("""COMPUTED_VALUE"""),216.0)</f>
        <v>216</v>
      </c>
      <c r="N193" s="64">
        <f>IFERROR(__xludf.DUMMYFUNCTION("""COMPUTED_VALUE"""),0.0)</f>
        <v>0</v>
      </c>
    </row>
    <row r="194">
      <c r="A194" s="1"/>
      <c r="B194" s="40" t="str">
        <f>IFERROR(__xludf.DUMMYFUNCTION("""COMPUTED_VALUE"""),"Fendi Purwadi")</f>
        <v>Fendi Purwadi</v>
      </c>
      <c r="C194" s="61">
        <f>IFERROR(__xludf.DUMMYFUNCTION("""COMPUTED_VALUE"""),216.0)</f>
        <v>216</v>
      </c>
      <c r="D194" s="62">
        <f>IFERROR(__xludf.DUMMYFUNCTION("""COMPUTED_VALUE"""),0.0)</f>
        <v>0</v>
      </c>
      <c r="E194" s="61">
        <f>IFERROR(__xludf.DUMMYFUNCTION("""COMPUTED_VALUE"""),0.0)</f>
        <v>0</v>
      </c>
      <c r="F194" s="63">
        <f>IFERROR(__xludf.DUMMYFUNCTION("""COMPUTED_VALUE"""),0.0)</f>
        <v>0</v>
      </c>
      <c r="G194" s="63">
        <f>IFERROR(__xludf.DUMMYFUNCTION("""COMPUTED_VALUE"""),0.0)</f>
        <v>0</v>
      </c>
      <c r="H194" s="63">
        <f>IFERROR(__xludf.DUMMYFUNCTION("""COMPUTED_VALUE"""),0.0)</f>
        <v>0</v>
      </c>
      <c r="I194" s="63">
        <f>IFERROR(__xludf.DUMMYFUNCTION("""COMPUTED_VALUE"""),0.0)</f>
        <v>0</v>
      </c>
      <c r="J194" s="63">
        <f>IFERROR(__xludf.DUMMYFUNCTION("""COMPUTED_VALUE"""),0.0)</f>
        <v>0</v>
      </c>
      <c r="K194" s="63">
        <f>IFERROR(__xludf.DUMMYFUNCTION("""COMPUTED_VALUE"""),0.0)</f>
        <v>0</v>
      </c>
      <c r="L194" s="63">
        <f>IFERROR(__xludf.DUMMYFUNCTION("""COMPUTED_VALUE"""),0.0)</f>
        <v>0</v>
      </c>
      <c r="M194" s="63">
        <f>IFERROR(__xludf.DUMMYFUNCTION("""COMPUTED_VALUE"""),216.0)</f>
        <v>216</v>
      </c>
      <c r="N194" s="64">
        <f>IFERROR(__xludf.DUMMYFUNCTION("""COMPUTED_VALUE"""),0.0)</f>
        <v>0</v>
      </c>
    </row>
    <row r="195">
      <c r="A195" s="1"/>
      <c r="B195" s="40" t="str">
        <f>IFERROR(__xludf.DUMMYFUNCTION("""COMPUTED_VALUE"""),"Tiffany Yu")</f>
        <v>Tiffany Yu</v>
      </c>
      <c r="C195" s="61">
        <f>IFERROR(__xludf.DUMMYFUNCTION("""COMPUTED_VALUE"""),214.0)</f>
        <v>214</v>
      </c>
      <c r="D195" s="62">
        <f>IFERROR(__xludf.DUMMYFUNCTION("""COMPUTED_VALUE"""),2.0)</f>
        <v>2</v>
      </c>
      <c r="E195" s="61">
        <f>IFERROR(__xludf.DUMMYFUNCTION("""COMPUTED_VALUE"""),0.0)</f>
        <v>0</v>
      </c>
      <c r="F195" s="63">
        <f>IFERROR(__xludf.DUMMYFUNCTION("""COMPUTED_VALUE"""),0.0)</f>
        <v>0</v>
      </c>
      <c r="G195" s="63">
        <f>IFERROR(__xludf.DUMMYFUNCTION("""COMPUTED_VALUE"""),0.0)</f>
        <v>0</v>
      </c>
      <c r="H195" s="63">
        <f>IFERROR(__xludf.DUMMYFUNCTION("""COMPUTED_VALUE"""),0.0)</f>
        <v>0</v>
      </c>
      <c r="I195" s="63">
        <f>IFERROR(__xludf.DUMMYFUNCTION("""COMPUTED_VALUE"""),0.0)</f>
        <v>0</v>
      </c>
      <c r="J195" s="63">
        <f>IFERROR(__xludf.DUMMYFUNCTION("""COMPUTED_VALUE"""),0.0)</f>
        <v>0</v>
      </c>
      <c r="K195" s="63">
        <f>IFERROR(__xludf.DUMMYFUNCTION("""COMPUTED_VALUE"""),0.0)</f>
        <v>0</v>
      </c>
      <c r="L195" s="63">
        <f>IFERROR(__xludf.DUMMYFUNCTION("""COMPUTED_VALUE"""),0.0)</f>
        <v>0</v>
      </c>
      <c r="M195" s="63">
        <f>IFERROR(__xludf.DUMMYFUNCTION("""COMPUTED_VALUE"""),214.0)</f>
        <v>214</v>
      </c>
      <c r="N195" s="64">
        <f>IFERROR(__xludf.DUMMYFUNCTION("""COMPUTED_VALUE"""),2.0)</f>
        <v>2</v>
      </c>
    </row>
    <row r="196">
      <c r="A196" s="1"/>
      <c r="B196" s="40" t="str">
        <f>IFERROR(__xludf.DUMMYFUNCTION("""COMPUTED_VALUE"""),"Jose Ortiz")</f>
        <v>Jose Ortiz</v>
      </c>
      <c r="C196" s="61">
        <f>IFERROR(__xludf.DUMMYFUNCTION("""COMPUTED_VALUE"""),213.0)</f>
        <v>213</v>
      </c>
      <c r="D196" s="62">
        <f>IFERROR(__xludf.DUMMYFUNCTION("""COMPUTED_VALUE"""),5.0)</f>
        <v>5</v>
      </c>
      <c r="E196" s="61">
        <f>IFERROR(__xludf.DUMMYFUNCTION("""COMPUTED_VALUE"""),0.0)</f>
        <v>0</v>
      </c>
      <c r="F196" s="63">
        <f>IFERROR(__xludf.DUMMYFUNCTION("""COMPUTED_VALUE"""),0.0)</f>
        <v>0</v>
      </c>
      <c r="G196" s="63">
        <f>IFERROR(__xludf.DUMMYFUNCTION("""COMPUTED_VALUE"""),0.0)</f>
        <v>0</v>
      </c>
      <c r="H196" s="63">
        <f>IFERROR(__xludf.DUMMYFUNCTION("""COMPUTED_VALUE"""),0.0)</f>
        <v>0</v>
      </c>
      <c r="I196" s="63">
        <f>IFERROR(__xludf.DUMMYFUNCTION("""COMPUTED_VALUE"""),0.0)</f>
        <v>0</v>
      </c>
      <c r="J196" s="63">
        <f>IFERROR(__xludf.DUMMYFUNCTION("""COMPUTED_VALUE"""),0.0)</f>
        <v>0</v>
      </c>
      <c r="K196" s="63">
        <f>IFERROR(__xludf.DUMMYFUNCTION("""COMPUTED_VALUE"""),0.0)</f>
        <v>0</v>
      </c>
      <c r="L196" s="63">
        <f>IFERROR(__xludf.DUMMYFUNCTION("""COMPUTED_VALUE"""),0.0)</f>
        <v>0</v>
      </c>
      <c r="M196" s="63">
        <f>IFERROR(__xludf.DUMMYFUNCTION("""COMPUTED_VALUE"""),213.0)</f>
        <v>213</v>
      </c>
      <c r="N196" s="64">
        <f>IFERROR(__xludf.DUMMYFUNCTION("""COMPUTED_VALUE"""),5.0)</f>
        <v>5</v>
      </c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2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</cols>
  <sheetData>
    <row r="1">
      <c r="A1" s="6" t="s">
        <v>2</v>
      </c>
      <c r="B1" s="6" t="s">
        <v>5</v>
      </c>
      <c r="C1" s="10" t="s">
        <v>8</v>
      </c>
      <c r="D1" s="10" t="s">
        <v>14</v>
      </c>
      <c r="E1" s="10" t="s">
        <v>16</v>
      </c>
      <c r="F1" s="10" t="s">
        <v>17</v>
      </c>
      <c r="G1" s="10" t="s">
        <v>18</v>
      </c>
      <c r="H1" s="10" t="s">
        <v>19</v>
      </c>
      <c r="I1" s="10" t="s">
        <v>20</v>
      </c>
      <c r="J1" s="10" t="s">
        <v>14</v>
      </c>
      <c r="K1" s="6" t="s">
        <v>2</v>
      </c>
    </row>
    <row r="2">
      <c r="A2" s="14">
        <v>1.0</v>
      </c>
      <c r="B2" s="13" t="str">
        <f>IFERROR(__xludf.DUMMYFUNCTION("QUERY(Current!B5:E68,""Select B, C, D, E where E = 1 or E = 2 "",0)"),"#N/A")</f>
        <v>#N/A</v>
      </c>
      <c r="C2" s="13"/>
      <c r="D2" s="13"/>
      <c r="E2" s="13"/>
      <c r="F2" s="14"/>
      <c r="G2" s="14"/>
      <c r="H2" s="14"/>
      <c r="I2" s="14">
        <f t="shared" ref="I2:I33" si="1">sum(F2:H2)</f>
        <v>0</v>
      </c>
      <c r="J2" s="14"/>
      <c r="K2" s="14">
        <f t="shared" ref="K2:K33" si="2">A2</f>
        <v>1</v>
      </c>
    </row>
    <row r="3">
      <c r="A3" s="14">
        <v>1.0</v>
      </c>
      <c r="B3" s="13"/>
      <c r="C3" s="13"/>
      <c r="D3" s="13"/>
      <c r="E3" s="13"/>
      <c r="F3" s="14"/>
      <c r="G3" s="14"/>
      <c r="H3" s="14"/>
      <c r="I3" s="14">
        <f t="shared" si="1"/>
        <v>0</v>
      </c>
      <c r="J3" s="14"/>
      <c r="K3" s="14">
        <f t="shared" si="2"/>
        <v>1</v>
      </c>
    </row>
    <row r="4">
      <c r="A4" s="14">
        <v>1.0</v>
      </c>
      <c r="B4" s="13"/>
      <c r="C4" s="13"/>
      <c r="D4" s="13"/>
      <c r="E4" s="13"/>
      <c r="F4" s="14"/>
      <c r="G4" s="14"/>
      <c r="H4" s="14"/>
      <c r="I4" s="14">
        <f t="shared" si="1"/>
        <v>0</v>
      </c>
      <c r="J4" s="14"/>
      <c r="K4" s="14">
        <f t="shared" si="2"/>
        <v>1</v>
      </c>
    </row>
    <row r="5">
      <c r="A5" s="14">
        <v>1.0</v>
      </c>
      <c r="B5" s="13"/>
      <c r="C5" s="13"/>
      <c r="D5" s="13"/>
      <c r="E5" s="13"/>
      <c r="F5" s="14"/>
      <c r="G5" s="14"/>
      <c r="H5" s="14"/>
      <c r="I5" s="14">
        <f t="shared" si="1"/>
        <v>0</v>
      </c>
      <c r="J5" s="14"/>
      <c r="K5" s="14">
        <f t="shared" si="2"/>
        <v>1</v>
      </c>
    </row>
    <row r="6">
      <c r="A6" s="23">
        <v>2.0</v>
      </c>
      <c r="B6" s="24"/>
      <c r="C6" s="24"/>
      <c r="D6" s="24"/>
      <c r="E6" s="24"/>
      <c r="F6" s="23"/>
      <c r="G6" s="23"/>
      <c r="H6" s="23"/>
      <c r="I6" s="24">
        <f t="shared" si="1"/>
        <v>0</v>
      </c>
      <c r="J6" s="23"/>
      <c r="K6" s="23">
        <f t="shared" si="2"/>
        <v>2</v>
      </c>
    </row>
    <row r="7">
      <c r="A7" s="23">
        <v>2.0</v>
      </c>
      <c r="B7" s="24"/>
      <c r="C7" s="24"/>
      <c r="D7" s="24"/>
      <c r="E7" s="24"/>
      <c r="F7" s="23"/>
      <c r="G7" s="23"/>
      <c r="H7" s="23"/>
      <c r="I7" s="24">
        <f t="shared" si="1"/>
        <v>0</v>
      </c>
      <c r="J7" s="23"/>
      <c r="K7" s="23">
        <f t="shared" si="2"/>
        <v>2</v>
      </c>
    </row>
    <row r="8">
      <c r="A8" s="23">
        <v>2.0</v>
      </c>
      <c r="B8" s="24"/>
      <c r="C8" s="24"/>
      <c r="D8" s="24"/>
      <c r="E8" s="24"/>
      <c r="F8" s="23"/>
      <c r="G8" s="23"/>
      <c r="H8" s="23"/>
      <c r="I8" s="24">
        <f t="shared" si="1"/>
        <v>0</v>
      </c>
      <c r="J8" s="23"/>
      <c r="K8" s="23">
        <f t="shared" si="2"/>
        <v>2</v>
      </c>
      <c r="L8" s="29"/>
    </row>
    <row r="9">
      <c r="A9" s="23">
        <v>2.0</v>
      </c>
      <c r="B9" s="24"/>
      <c r="C9" s="24"/>
      <c r="D9" s="24"/>
      <c r="E9" s="24"/>
      <c r="F9" s="23"/>
      <c r="G9" s="23"/>
      <c r="H9" s="23"/>
      <c r="I9" s="24">
        <f t="shared" si="1"/>
        <v>0</v>
      </c>
      <c r="J9" s="23"/>
      <c r="K9" s="23">
        <f t="shared" si="2"/>
        <v>2</v>
      </c>
      <c r="L9" s="29"/>
    </row>
    <row r="10">
      <c r="A10" s="14">
        <f>if(C38="Y",A9+3,A9+1)</f>
        <v>3</v>
      </c>
      <c r="B10" s="13"/>
      <c r="C10" s="13"/>
      <c r="D10" s="13"/>
      <c r="E10" s="13"/>
      <c r="F10" s="14"/>
      <c r="G10" s="14"/>
      <c r="H10" s="14"/>
      <c r="I10" s="14">
        <f t="shared" si="1"/>
        <v>0</v>
      </c>
      <c r="J10" s="14"/>
      <c r="K10" s="14">
        <f t="shared" si="2"/>
        <v>3</v>
      </c>
    </row>
    <row r="11">
      <c r="A11" s="14">
        <f t="shared" ref="A11:A13" si="3">A10</f>
        <v>3</v>
      </c>
      <c r="B11" s="13"/>
      <c r="C11" s="13"/>
      <c r="D11" s="13"/>
      <c r="E11" s="13"/>
      <c r="F11" s="14"/>
      <c r="G11" s="14"/>
      <c r="H11" s="14"/>
      <c r="I11" s="14">
        <f t="shared" si="1"/>
        <v>0</v>
      </c>
      <c r="J11" s="14"/>
      <c r="K11" s="14">
        <f t="shared" si="2"/>
        <v>3</v>
      </c>
    </row>
    <row r="12">
      <c r="A12" s="14">
        <f t="shared" si="3"/>
        <v>3</v>
      </c>
      <c r="B12" s="13"/>
      <c r="C12" s="13"/>
      <c r="D12" s="13"/>
      <c r="E12" s="13"/>
      <c r="F12" s="14"/>
      <c r="G12" s="14"/>
      <c r="H12" s="14"/>
      <c r="I12" s="13">
        <f t="shared" si="1"/>
        <v>0</v>
      </c>
      <c r="J12" s="14"/>
      <c r="K12" s="14">
        <f t="shared" si="2"/>
        <v>3</v>
      </c>
    </row>
    <row r="13">
      <c r="A13" s="14">
        <f t="shared" si="3"/>
        <v>3</v>
      </c>
      <c r="B13" s="13"/>
      <c r="C13" s="13"/>
      <c r="D13" s="13"/>
      <c r="E13" s="13"/>
      <c r="F13" s="14"/>
      <c r="G13" s="14"/>
      <c r="H13" s="14"/>
      <c r="I13" s="13">
        <f t="shared" si="1"/>
        <v>0</v>
      </c>
      <c r="J13" s="14"/>
      <c r="K13" s="14">
        <f t="shared" si="2"/>
        <v>3</v>
      </c>
    </row>
    <row r="14">
      <c r="A14" s="23">
        <f>if(C39="Y",A13+2,A13+1)</f>
        <v>4</v>
      </c>
      <c r="B14" s="24"/>
      <c r="C14" s="24"/>
      <c r="D14" s="24"/>
      <c r="E14" s="24"/>
      <c r="F14" s="23"/>
      <c r="G14" s="23"/>
      <c r="H14" s="23"/>
      <c r="I14" s="23">
        <f t="shared" si="1"/>
        <v>0</v>
      </c>
      <c r="J14" s="23"/>
      <c r="K14" s="23">
        <f t="shared" si="2"/>
        <v>4</v>
      </c>
    </row>
    <row r="15">
      <c r="A15" s="23">
        <f t="shared" ref="A15:A17" si="4">A14</f>
        <v>4</v>
      </c>
      <c r="B15" s="24"/>
      <c r="C15" s="24"/>
      <c r="D15" s="24"/>
      <c r="E15" s="24"/>
      <c r="F15" s="23"/>
      <c r="G15" s="23"/>
      <c r="H15" s="23"/>
      <c r="I15" s="23">
        <f t="shared" si="1"/>
        <v>0</v>
      </c>
      <c r="J15" s="23"/>
      <c r="K15" s="23">
        <f t="shared" si="2"/>
        <v>4</v>
      </c>
    </row>
    <row r="16">
      <c r="A16" s="23">
        <f t="shared" si="4"/>
        <v>4</v>
      </c>
      <c r="B16" s="24"/>
      <c r="C16" s="24"/>
      <c r="D16" s="24"/>
      <c r="E16" s="24"/>
      <c r="F16" s="23"/>
      <c r="G16" s="23"/>
      <c r="H16" s="23"/>
      <c r="I16" s="23">
        <f t="shared" si="1"/>
        <v>0</v>
      </c>
      <c r="J16" s="23"/>
      <c r="K16" s="23">
        <f t="shared" si="2"/>
        <v>4</v>
      </c>
    </row>
    <row r="17">
      <c r="A17" s="23">
        <f t="shared" si="4"/>
        <v>4</v>
      </c>
      <c r="B17" s="24"/>
      <c r="C17" s="24"/>
      <c r="D17" s="24"/>
      <c r="E17" s="24"/>
      <c r="F17" s="23"/>
      <c r="G17" s="23"/>
      <c r="H17" s="23"/>
      <c r="I17" s="23">
        <f t="shared" si="1"/>
        <v>0</v>
      </c>
      <c r="J17" s="23"/>
      <c r="K17" s="23">
        <f t="shared" si="2"/>
        <v>4</v>
      </c>
    </row>
    <row r="18">
      <c r="A18" s="14">
        <f>A17+1</f>
        <v>5</v>
      </c>
      <c r="B18" s="13"/>
      <c r="C18" s="13"/>
      <c r="D18" s="13"/>
      <c r="E18" s="13"/>
      <c r="F18" s="14"/>
      <c r="G18" s="14"/>
      <c r="H18" s="14"/>
      <c r="I18" s="13">
        <f t="shared" si="1"/>
        <v>0</v>
      </c>
      <c r="J18" s="14"/>
      <c r="K18" s="14">
        <f t="shared" si="2"/>
        <v>5</v>
      </c>
    </row>
    <row r="19">
      <c r="A19" s="14">
        <f t="shared" ref="A19:A21" si="5">A18</f>
        <v>5</v>
      </c>
      <c r="B19" s="13"/>
      <c r="C19" s="13"/>
      <c r="D19" s="13"/>
      <c r="E19" s="13"/>
      <c r="F19" s="14"/>
      <c r="G19" s="14"/>
      <c r="H19" s="14"/>
      <c r="I19" s="13">
        <f t="shared" si="1"/>
        <v>0</v>
      </c>
      <c r="J19" s="14"/>
      <c r="K19" s="14">
        <f t="shared" si="2"/>
        <v>5</v>
      </c>
    </row>
    <row r="20">
      <c r="A20" s="14">
        <f t="shared" si="5"/>
        <v>5</v>
      </c>
      <c r="B20" s="13"/>
      <c r="C20" s="13"/>
      <c r="D20" s="13"/>
      <c r="E20" s="13"/>
      <c r="F20" s="14"/>
      <c r="G20" s="14"/>
      <c r="H20" s="14"/>
      <c r="I20" s="13">
        <f t="shared" si="1"/>
        <v>0</v>
      </c>
      <c r="J20" s="14"/>
      <c r="K20" s="14">
        <f t="shared" si="2"/>
        <v>5</v>
      </c>
    </row>
    <row r="21">
      <c r="A21" s="14">
        <f t="shared" si="5"/>
        <v>5</v>
      </c>
      <c r="B21" s="13"/>
      <c r="C21" s="13"/>
      <c r="D21" s="13"/>
      <c r="E21" s="13"/>
      <c r="F21" s="14"/>
      <c r="G21" s="14"/>
      <c r="H21" s="14"/>
      <c r="I21" s="13">
        <f t="shared" si="1"/>
        <v>0</v>
      </c>
      <c r="J21" s="14"/>
      <c r="K21" s="14">
        <f t="shared" si="2"/>
        <v>5</v>
      </c>
    </row>
    <row r="22">
      <c r="A22" s="23">
        <f>A21+1</f>
        <v>6</v>
      </c>
      <c r="B22" s="24"/>
      <c r="C22" s="24"/>
      <c r="D22" s="24"/>
      <c r="E22" s="24"/>
      <c r="F22" s="23"/>
      <c r="G22" s="23"/>
      <c r="H22" s="23"/>
      <c r="I22" s="24">
        <f t="shared" si="1"/>
        <v>0</v>
      </c>
      <c r="J22" s="23"/>
      <c r="K22" s="23">
        <f t="shared" si="2"/>
        <v>6</v>
      </c>
    </row>
    <row r="23">
      <c r="A23" s="23">
        <f t="shared" ref="A23:A25" si="6">A22</f>
        <v>6</v>
      </c>
      <c r="B23" s="24"/>
      <c r="C23" s="24"/>
      <c r="D23" s="24"/>
      <c r="E23" s="24"/>
      <c r="F23" s="23"/>
      <c r="G23" s="23"/>
      <c r="H23" s="23"/>
      <c r="I23" s="24">
        <f t="shared" si="1"/>
        <v>0</v>
      </c>
      <c r="J23" s="23"/>
      <c r="K23" s="23">
        <f t="shared" si="2"/>
        <v>6</v>
      </c>
    </row>
    <row r="24">
      <c r="A24" s="23">
        <f t="shared" si="6"/>
        <v>6</v>
      </c>
      <c r="B24" s="24"/>
      <c r="C24" s="24"/>
      <c r="D24" s="24"/>
      <c r="E24" s="24"/>
      <c r="F24" s="23"/>
      <c r="G24" s="23"/>
      <c r="H24" s="23"/>
      <c r="I24" s="24">
        <f t="shared" si="1"/>
        <v>0</v>
      </c>
      <c r="J24" s="23"/>
      <c r="K24" s="23">
        <f t="shared" si="2"/>
        <v>6</v>
      </c>
    </row>
    <row r="25">
      <c r="A25" s="23">
        <f t="shared" si="6"/>
        <v>6</v>
      </c>
      <c r="B25" s="24"/>
      <c r="C25" s="24"/>
      <c r="D25" s="24"/>
      <c r="E25" s="24"/>
      <c r="F25" s="23"/>
      <c r="G25" s="23"/>
      <c r="H25" s="23"/>
      <c r="I25" s="24">
        <f t="shared" si="1"/>
        <v>0</v>
      </c>
      <c r="J25" s="23"/>
      <c r="K25" s="23">
        <f t="shared" si="2"/>
        <v>6</v>
      </c>
    </row>
    <row r="26">
      <c r="A26" s="14">
        <f>A25+1</f>
        <v>7</v>
      </c>
      <c r="B26" s="13"/>
      <c r="C26" s="13"/>
      <c r="D26" s="13"/>
      <c r="E26" s="13"/>
      <c r="F26" s="14"/>
      <c r="G26" s="14"/>
      <c r="H26" s="14"/>
      <c r="I26" s="13">
        <f t="shared" si="1"/>
        <v>0</v>
      </c>
      <c r="J26" s="14"/>
      <c r="K26" s="14">
        <f t="shared" si="2"/>
        <v>7</v>
      </c>
    </row>
    <row r="27">
      <c r="A27" s="14">
        <f t="shared" ref="A27:A29" si="7">A26</f>
        <v>7</v>
      </c>
      <c r="B27" s="13"/>
      <c r="C27" s="13"/>
      <c r="D27" s="13"/>
      <c r="E27" s="13"/>
      <c r="F27" s="14"/>
      <c r="G27" s="14"/>
      <c r="H27" s="14"/>
      <c r="I27" s="13">
        <f t="shared" si="1"/>
        <v>0</v>
      </c>
      <c r="J27" s="14"/>
      <c r="K27" s="14">
        <f t="shared" si="2"/>
        <v>7</v>
      </c>
    </row>
    <row r="28">
      <c r="A28" s="14">
        <f t="shared" si="7"/>
        <v>7</v>
      </c>
      <c r="B28" s="13"/>
      <c r="C28" s="13"/>
      <c r="D28" s="13"/>
      <c r="E28" s="13"/>
      <c r="F28" s="14"/>
      <c r="G28" s="14"/>
      <c r="H28" s="14"/>
      <c r="I28" s="13">
        <f t="shared" si="1"/>
        <v>0</v>
      </c>
      <c r="J28" s="14"/>
      <c r="K28" s="14">
        <f t="shared" si="2"/>
        <v>7</v>
      </c>
    </row>
    <row r="29">
      <c r="A29" s="14">
        <f t="shared" si="7"/>
        <v>7</v>
      </c>
      <c r="B29" s="13"/>
      <c r="C29" s="13"/>
      <c r="D29" s="13"/>
      <c r="E29" s="13"/>
      <c r="F29" s="14"/>
      <c r="G29" s="14"/>
      <c r="H29" s="14"/>
      <c r="I29" s="13">
        <f t="shared" si="1"/>
        <v>0</v>
      </c>
      <c r="J29" s="14"/>
      <c r="K29" s="14">
        <f t="shared" si="2"/>
        <v>7</v>
      </c>
    </row>
    <row r="30">
      <c r="A30" s="23">
        <f>A29+1</f>
        <v>8</v>
      </c>
      <c r="B30" s="24"/>
      <c r="C30" s="24"/>
      <c r="D30" s="24"/>
      <c r="E30" s="24"/>
      <c r="F30" s="23"/>
      <c r="G30" s="23"/>
      <c r="H30" s="23"/>
      <c r="I30" s="24">
        <f t="shared" si="1"/>
        <v>0</v>
      </c>
      <c r="J30" s="23"/>
      <c r="K30" s="23">
        <f t="shared" si="2"/>
        <v>8</v>
      </c>
    </row>
    <row r="31">
      <c r="A31" s="23">
        <f t="shared" ref="A31:A33" si="8">A30</f>
        <v>8</v>
      </c>
      <c r="B31" s="24"/>
      <c r="C31" s="24"/>
      <c r="D31" s="24"/>
      <c r="E31" s="24"/>
      <c r="F31" s="23"/>
      <c r="G31" s="23"/>
      <c r="H31" s="23"/>
      <c r="I31" s="24">
        <f t="shared" si="1"/>
        <v>0</v>
      </c>
      <c r="J31" s="23"/>
      <c r="K31" s="23">
        <f t="shared" si="2"/>
        <v>8</v>
      </c>
    </row>
    <row r="32">
      <c r="A32" s="23">
        <f t="shared" si="8"/>
        <v>8</v>
      </c>
      <c r="B32" s="24"/>
      <c r="C32" s="24"/>
      <c r="D32" s="24"/>
      <c r="E32" s="24"/>
      <c r="F32" s="23"/>
      <c r="G32" s="23"/>
      <c r="H32" s="23"/>
      <c r="I32" s="24">
        <f t="shared" si="1"/>
        <v>0</v>
      </c>
      <c r="J32" s="23"/>
      <c r="K32" s="23">
        <f t="shared" si="2"/>
        <v>8</v>
      </c>
    </row>
    <row r="33">
      <c r="A33" s="23">
        <f t="shared" si="8"/>
        <v>8</v>
      </c>
      <c r="B33" s="24"/>
      <c r="C33" s="24"/>
      <c r="D33" s="24"/>
      <c r="E33" s="24"/>
      <c r="F33" s="23"/>
      <c r="G33" s="23"/>
      <c r="H33" s="23"/>
      <c r="I33" s="24">
        <f t="shared" si="1"/>
        <v>0</v>
      </c>
      <c r="J33" s="23"/>
      <c r="K33" s="23">
        <f t="shared" si="2"/>
        <v>8</v>
      </c>
    </row>
    <row r="38">
      <c r="B38" s="34" t="s">
        <v>43</v>
      </c>
      <c r="C38" s="34" t="s">
        <v>44</v>
      </c>
    </row>
    <row r="39">
      <c r="B39" s="34" t="s">
        <v>45</v>
      </c>
      <c r="C39" s="34" t="s">
        <v>44</v>
      </c>
    </row>
  </sheetData>
  <dataValidations>
    <dataValidation type="list" allowBlank="1" showErrorMessage="1" sqref="C38:C39">
      <formula1>"Y,  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0.25"/>
    <col customWidth="1" min="4" max="4" width="5.13"/>
    <col customWidth="1" min="5" max="5" width="17.63"/>
    <col customWidth="1" min="6" max="7" width="18.5"/>
    <col customWidth="1" min="8" max="9" width="19.25"/>
    <col customWidth="1" min="10" max="10" width="15.13"/>
    <col customWidth="1" min="13" max="13" width="13.88"/>
    <col customWidth="1" min="14" max="14" width="6.63"/>
    <col customWidth="1" min="15" max="15" width="13.5"/>
  </cols>
  <sheetData>
    <row r="1">
      <c r="A1" s="4" t="s">
        <v>0</v>
      </c>
      <c r="B1" s="4" t="s">
        <v>3</v>
      </c>
      <c r="D1" s="7" t="s">
        <v>4</v>
      </c>
      <c r="E1" s="4" t="s">
        <v>7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</row>
    <row r="2">
      <c r="A2" s="13" t="str">
        <f>IFERROR(__xludf.DUMMYFUNCTION("IMPORTRANGE(""1uZFF2o7rrfB0YZtASdZnP52Ef50ZinvtOPb1Tbuq8J4"",""CheckIn!C1:D99"")"),"#REF!")</f>
        <v>#REF!</v>
      </c>
      <c r="B2" s="13"/>
      <c r="D2" s="14">
        <v>1.0</v>
      </c>
      <c r="E2" s="13" t="str">
        <f>IFERROR(__xludf.DUMMYFUNCTION("QUERY(A2:B70, ""Select A  where B = 1   order by A"")"),"#N/A")</f>
        <v>#N/A</v>
      </c>
      <c r="F2" s="13" t="str">
        <f>IFERROR(__xludf.DUMMYFUNCTION("QUERY($A2:$B65, ""Select A where B = 2"")"),"#N/A")</f>
        <v>#N/A</v>
      </c>
      <c r="G2" s="13" t="str">
        <f>IFERROR(__xludf.DUMMYFUNCTION("QUERY($A2:$B65, ""Select A where B = 3 order by A"")"),"#N/A")</f>
        <v>#N/A</v>
      </c>
      <c r="H2" s="13" t="str">
        <f>IFERROR(__xludf.DUMMYFUNCTION("QUERY($A2:$B65, ""Select A where B = 4 order by A"")"),"#N/A")</f>
        <v>#N/A</v>
      </c>
      <c r="I2" s="13" t="str">
        <f>IFERROR(__xludf.DUMMYFUNCTION("QUERY(Current!B5:E70, ""Select B  where E = 0 order by B"")"),"Adrian Tay")</f>
        <v>Adrian Tay</v>
      </c>
      <c r="J2" s="13" t="str">
        <f>IFERROR(__xludf.DUMMYFUNCTION("QUERY(Current!B5:E68, ""Select B  where E = 5 order by B"")"),"#N/A")</f>
        <v>#N/A</v>
      </c>
    </row>
    <row r="3">
      <c r="A3" s="13"/>
      <c r="B3" s="13"/>
      <c r="D3" s="13">
        <f t="shared" ref="D3:D65" si="1">D2+1</f>
        <v>2</v>
      </c>
      <c r="E3" s="13"/>
      <c r="F3" s="13"/>
      <c r="G3" s="13"/>
      <c r="I3" s="13" t="str">
        <f>IFERROR(__xludf.DUMMYFUNCTION("""COMPUTED_VALUE"""),"Alejandro Mejia")</f>
        <v>Alejandro Mejia</v>
      </c>
      <c r="J3" s="13"/>
    </row>
    <row r="4">
      <c r="A4" s="13"/>
      <c r="B4" s="13"/>
      <c r="D4" s="13">
        <f t="shared" si="1"/>
        <v>3</v>
      </c>
      <c r="E4" s="13"/>
      <c r="F4" s="13"/>
      <c r="G4" s="13"/>
      <c r="H4" s="13"/>
      <c r="I4" s="13" t="str">
        <f>IFERROR(__xludf.DUMMYFUNCTION("""COMPUTED_VALUE"""),"Amit Patel")</f>
        <v>Amit Patel</v>
      </c>
      <c r="J4" s="13"/>
    </row>
    <row r="5">
      <c r="A5" s="13"/>
      <c r="B5" s="13"/>
      <c r="D5" s="13">
        <f t="shared" si="1"/>
        <v>4</v>
      </c>
      <c r="E5" s="13"/>
      <c r="F5" s="13"/>
      <c r="G5" s="13"/>
      <c r="H5" s="13"/>
      <c r="I5" s="13" t="str">
        <f>IFERROR(__xludf.DUMMYFUNCTION("""COMPUTED_VALUE"""),"Andrew Chin")</f>
        <v>Andrew Chin</v>
      </c>
      <c r="J5" s="13"/>
    </row>
    <row r="6">
      <c r="A6" s="13"/>
      <c r="B6" s="13"/>
      <c r="D6" s="13">
        <f t="shared" si="1"/>
        <v>5</v>
      </c>
      <c r="E6" s="13"/>
      <c r="F6" s="13"/>
      <c r="G6" s="13"/>
      <c r="H6" s="13"/>
      <c r="I6" s="13" t="str">
        <f>IFERROR(__xludf.DUMMYFUNCTION("""COMPUTED_VALUE"""),"Anish Kumar")</f>
        <v>Anish Kumar</v>
      </c>
      <c r="J6" s="13"/>
    </row>
    <row r="7">
      <c r="A7" s="13"/>
      <c r="B7" s="13"/>
      <c r="D7" s="13">
        <f t="shared" si="1"/>
        <v>6</v>
      </c>
      <c r="E7" s="13"/>
      <c r="F7" s="13"/>
      <c r="G7" s="13"/>
      <c r="H7" s="13"/>
      <c r="I7" s="13" t="str">
        <f>IFERROR(__xludf.DUMMYFUNCTION("""COMPUTED_VALUE"""),"Balaji Alahari")</f>
        <v>Balaji Alahari</v>
      </c>
      <c r="J7" s="13"/>
    </row>
    <row r="8">
      <c r="A8" s="13"/>
      <c r="B8" s="13"/>
      <c r="D8" s="13">
        <f t="shared" si="1"/>
        <v>7</v>
      </c>
      <c r="E8" s="13"/>
      <c r="F8" s="13"/>
      <c r="G8" s="13"/>
      <c r="H8" s="13"/>
      <c r="I8" s="13" t="str">
        <f>IFERROR(__xludf.DUMMYFUNCTION("""COMPUTED_VALUE"""),"Chinna Ponnaganti")</f>
        <v>Chinna Ponnaganti</v>
      </c>
      <c r="J8" s="13"/>
    </row>
    <row r="9">
      <c r="A9" s="13"/>
      <c r="B9" s="13"/>
      <c r="D9" s="13">
        <f t="shared" si="1"/>
        <v>8</v>
      </c>
      <c r="E9" s="13"/>
      <c r="F9" s="13"/>
      <c r="G9" s="13"/>
      <c r="H9" s="13"/>
      <c r="I9" s="13" t="str">
        <f>IFERROR(__xludf.DUMMYFUNCTION("""COMPUTED_VALUE"""),"Christopher Li")</f>
        <v>Christopher Li</v>
      </c>
      <c r="J9" s="13"/>
      <c r="M9" s="14" t="s">
        <v>35</v>
      </c>
      <c r="N9" s="13">
        <f>if(isna(E2),0,COUNTA(E$2:E$58))</f>
        <v>0</v>
      </c>
    </row>
    <row r="10">
      <c r="A10" s="13"/>
      <c r="B10" s="13"/>
      <c r="D10" s="13">
        <f t="shared" si="1"/>
        <v>9</v>
      </c>
      <c r="E10" s="13"/>
      <c r="F10" s="13"/>
      <c r="G10" s="13"/>
      <c r="H10" s="13"/>
      <c r="I10" s="13" t="str">
        <f>IFERROR(__xludf.DUMMYFUNCTION("""COMPUTED_VALUE"""),"Coco Yan")</f>
        <v>Coco Yan</v>
      </c>
      <c r="J10" s="13"/>
      <c r="M10" s="14" t="s">
        <v>36</v>
      </c>
      <c r="N10" s="13">
        <f>if(isna(F2),0,COUNTA(F$2:F$58))</f>
        <v>0</v>
      </c>
    </row>
    <row r="11">
      <c r="A11" s="13"/>
      <c r="B11" s="13"/>
      <c r="D11" s="13">
        <f t="shared" si="1"/>
        <v>10</v>
      </c>
      <c r="E11" s="13"/>
      <c r="F11" s="13"/>
      <c r="G11" s="13"/>
      <c r="H11" s="13"/>
      <c r="I11" s="13" t="str">
        <f>IFERROR(__xludf.DUMMYFUNCTION("""COMPUTED_VALUE"""),"David Shin")</f>
        <v>David Shin</v>
      </c>
      <c r="J11" s="13"/>
      <c r="M11" s="14" t="s">
        <v>38</v>
      </c>
      <c r="N11" s="13">
        <f>if(isna(H2),0,COUNTA(H$2:H$58))</f>
        <v>0</v>
      </c>
    </row>
    <row r="12">
      <c r="A12" s="13"/>
      <c r="B12" s="13"/>
      <c r="D12" s="13">
        <f t="shared" si="1"/>
        <v>11</v>
      </c>
      <c r="E12" s="13"/>
      <c r="F12" s="13"/>
      <c r="G12" s="13"/>
      <c r="H12" s="13"/>
      <c r="I12" s="13" t="str">
        <f>IFERROR(__xludf.DUMMYFUNCTION("""COMPUTED_VALUE"""),"Derek Fu")</f>
        <v>Derek Fu</v>
      </c>
      <c r="J12" s="13"/>
      <c r="M12" s="14" t="s">
        <v>39</v>
      </c>
      <c r="N12" s="13">
        <f>if(isna(G2),0,COUNTA(G$2:G$58))</f>
        <v>0</v>
      </c>
    </row>
    <row r="13">
      <c r="A13" s="13"/>
      <c r="B13" s="13"/>
      <c r="D13" s="13">
        <f t="shared" si="1"/>
        <v>12</v>
      </c>
      <c r="E13" s="13"/>
      <c r="F13" s="13"/>
      <c r="G13" s="13"/>
      <c r="H13" s="13"/>
      <c r="I13" s="13" t="str">
        <f>IFERROR(__xludf.DUMMYFUNCTION("""COMPUTED_VALUE"""),"Elayaraja Thangaraj ")</f>
        <v>Elayaraja Thangaraj </v>
      </c>
      <c r="J13" s="13"/>
      <c r="M13" s="14" t="s">
        <v>40</v>
      </c>
      <c r="N13" s="13">
        <f>if(isna(I2),0,COUNTA(I$2:I$63))</f>
        <v>62</v>
      </c>
    </row>
    <row r="14">
      <c r="A14" s="13"/>
      <c r="B14" s="13"/>
      <c r="D14" s="13">
        <f t="shared" si="1"/>
        <v>13</v>
      </c>
      <c r="E14" s="13"/>
      <c r="F14" s="13"/>
      <c r="G14" s="13"/>
      <c r="H14" s="13"/>
      <c r="I14" s="13" t="str">
        <f>IFERROR(__xludf.DUMMYFUNCTION("""COMPUTED_VALUE"""),"Eric Pan")</f>
        <v>Eric Pan</v>
      </c>
      <c r="J14" s="13"/>
      <c r="M14" s="14" t="s">
        <v>41</v>
      </c>
      <c r="N14" s="13">
        <f>sum(N9:N13)</f>
        <v>62</v>
      </c>
    </row>
    <row r="15">
      <c r="A15" s="13"/>
      <c r="B15" s="13"/>
      <c r="D15" s="13">
        <f t="shared" si="1"/>
        <v>14</v>
      </c>
      <c r="E15" s="13"/>
      <c r="F15" s="13"/>
      <c r="G15" s="13"/>
      <c r="H15" s="13"/>
      <c r="I15" s="13" t="str">
        <f>IFERROR(__xludf.DUMMYFUNCTION("""COMPUTED_VALUE"""),"Erik Hoeckmann")</f>
        <v>Erik Hoeckmann</v>
      </c>
      <c r="J15" s="13"/>
    </row>
    <row r="16">
      <c r="A16" s="13"/>
      <c r="B16" s="13"/>
      <c r="D16" s="13">
        <f t="shared" si="1"/>
        <v>15</v>
      </c>
      <c r="E16" s="13"/>
      <c r="F16" s="13"/>
      <c r="G16" s="13"/>
      <c r="H16" s="13"/>
      <c r="I16" s="13" t="str">
        <f>IFERROR(__xludf.DUMMYFUNCTION("""COMPUTED_VALUE"""),"Fendi Purwadi")</f>
        <v>Fendi Purwadi</v>
      </c>
      <c r="J16" s="13"/>
      <c r="M16" s="14" t="s">
        <v>35</v>
      </c>
      <c r="N16" s="13">
        <f>sum(N9:N11)</f>
        <v>0</v>
      </c>
    </row>
    <row r="17">
      <c r="A17" s="13"/>
      <c r="B17" s="13"/>
      <c r="D17" s="13">
        <f t="shared" si="1"/>
        <v>16</v>
      </c>
      <c r="E17" s="13"/>
      <c r="F17" s="13"/>
      <c r="G17" s="13"/>
      <c r="H17" s="13"/>
      <c r="I17" s="13" t="str">
        <f>IFERROR(__xludf.DUMMYFUNCTION("""COMPUTED_VALUE"""),"James Cole III")</f>
        <v>James Cole III</v>
      </c>
      <c r="J17" s="13"/>
      <c r="M17" s="14" t="s">
        <v>39</v>
      </c>
      <c r="N17" s="13">
        <f>if(isna(G2),0,COUNTA(G$2:G$58))</f>
        <v>0</v>
      </c>
    </row>
    <row r="18">
      <c r="A18" s="13"/>
      <c r="B18" s="13"/>
      <c r="D18" s="13">
        <f t="shared" si="1"/>
        <v>17</v>
      </c>
      <c r="E18" s="13"/>
      <c r="F18" s="13"/>
      <c r="G18" s="13"/>
      <c r="H18" s="13"/>
      <c r="I18" s="13" t="str">
        <f>IFERROR(__xludf.DUMMYFUNCTION("""COMPUTED_VALUE"""),"Jason Kim ")</f>
        <v>Jason Kim </v>
      </c>
      <c r="J18" s="13"/>
      <c r="M18" s="14" t="s">
        <v>40</v>
      </c>
      <c r="N18" s="13">
        <f>N13</f>
        <v>62</v>
      </c>
    </row>
    <row r="19">
      <c r="A19" s="13"/>
      <c r="B19" s="13"/>
      <c r="D19" s="13">
        <f t="shared" si="1"/>
        <v>18</v>
      </c>
      <c r="E19" s="13"/>
      <c r="F19" s="13"/>
      <c r="G19" s="13"/>
      <c r="H19" s="13"/>
      <c r="I19" s="13" t="str">
        <f>IFERROR(__xludf.DUMMYFUNCTION("""COMPUTED_VALUE"""),"Jimmy Awolesi")</f>
        <v>Jimmy Awolesi</v>
      </c>
      <c r="J19" s="13"/>
      <c r="M19" s="14" t="s">
        <v>41</v>
      </c>
      <c r="N19" s="13">
        <f>sum(N15:N18)</f>
        <v>62</v>
      </c>
    </row>
    <row r="20">
      <c r="A20" s="13"/>
      <c r="B20" s="13"/>
      <c r="D20" s="13">
        <f t="shared" si="1"/>
        <v>19</v>
      </c>
      <c r="E20" s="13"/>
      <c r="F20" s="13"/>
      <c r="G20" s="13"/>
      <c r="H20" s="13"/>
      <c r="I20" s="13" t="str">
        <f>IFERROR(__xludf.DUMMYFUNCTION("""COMPUTED_VALUE"""),"Joe Luzzi")</f>
        <v>Joe Luzzi</v>
      </c>
      <c r="J20" s="13"/>
    </row>
    <row r="21">
      <c r="A21" s="13"/>
      <c r="B21" s="13"/>
      <c r="D21" s="13">
        <f t="shared" si="1"/>
        <v>20</v>
      </c>
      <c r="E21" s="13"/>
      <c r="F21" s="13"/>
      <c r="G21" s="13"/>
      <c r="H21" s="13"/>
      <c r="I21" s="13" t="str">
        <f>IFERROR(__xludf.DUMMYFUNCTION("""COMPUTED_VALUE"""),"Jonathan Phan")</f>
        <v>Jonathan Phan</v>
      </c>
      <c r="J21" s="13"/>
    </row>
    <row r="22">
      <c r="A22" s="13"/>
      <c r="B22" s="13"/>
      <c r="D22" s="13">
        <f t="shared" si="1"/>
        <v>21</v>
      </c>
      <c r="E22" s="13"/>
      <c r="F22" s="13"/>
      <c r="G22" s="13"/>
      <c r="H22" s="13"/>
      <c r="I22" s="13" t="str">
        <f>IFERROR(__xludf.DUMMYFUNCTION("""COMPUTED_VALUE"""),"Jose Ortiz")</f>
        <v>Jose Ortiz</v>
      </c>
      <c r="J22" s="13"/>
    </row>
    <row r="23">
      <c r="A23" s="13"/>
      <c r="B23" s="13"/>
      <c r="D23" s="13">
        <f t="shared" si="1"/>
        <v>22</v>
      </c>
      <c r="E23" s="13"/>
      <c r="F23" s="13"/>
      <c r="G23" s="13"/>
      <c r="H23" s="13"/>
      <c r="I23" s="13" t="str">
        <f>IFERROR(__xludf.DUMMYFUNCTION("""COMPUTED_VALUE"""),"Joyce Zhu")</f>
        <v>Joyce Zhu</v>
      </c>
      <c r="J23" s="13"/>
      <c r="M23" s="34" t="s">
        <v>46</v>
      </c>
    </row>
    <row r="24">
      <c r="A24" s="13"/>
      <c r="B24" s="13"/>
      <c r="D24" s="13">
        <f t="shared" si="1"/>
        <v>23</v>
      </c>
      <c r="E24" s="13"/>
      <c r="F24" s="13"/>
      <c r="G24" s="13"/>
      <c r="H24" s="13"/>
      <c r="I24" s="13" t="str">
        <f>IFERROR(__xludf.DUMMYFUNCTION("""COMPUTED_VALUE"""),"Kevin Wang")</f>
        <v>Kevin Wang</v>
      </c>
      <c r="J24" s="13"/>
      <c r="L24" s="35"/>
      <c r="N24" s="35"/>
    </row>
    <row r="25">
      <c r="A25" s="13"/>
      <c r="B25" s="13"/>
      <c r="D25" s="13">
        <f t="shared" si="1"/>
        <v>24</v>
      </c>
      <c r="E25" s="13"/>
      <c r="F25" s="13"/>
      <c r="G25" s="13"/>
      <c r="H25" s="13"/>
      <c r="I25" s="13" t="str">
        <f>IFERROR(__xludf.DUMMYFUNCTION("""COMPUTED_VALUE"""),"Kingsley Kuo")</f>
        <v>Kingsley Kuo</v>
      </c>
      <c r="J25" s="13"/>
      <c r="L25" s="35"/>
    </row>
    <row r="26">
      <c r="A26" s="13"/>
      <c r="B26" s="13"/>
      <c r="D26" s="13">
        <f t="shared" si="1"/>
        <v>25</v>
      </c>
      <c r="E26" s="13"/>
      <c r="F26" s="13"/>
      <c r="G26" s="13"/>
      <c r="H26" s="13"/>
      <c r="I26" s="13" t="str">
        <f>IFERROR(__xludf.DUMMYFUNCTION("""COMPUTED_VALUE"""),"Lam Bui")</f>
        <v>Lam Bui</v>
      </c>
      <c r="J26" s="13"/>
    </row>
    <row r="27">
      <c r="A27" s="13"/>
      <c r="B27" s="13"/>
      <c r="D27" s="13">
        <f t="shared" si="1"/>
        <v>26</v>
      </c>
      <c r="E27" s="13"/>
      <c r="F27" s="13"/>
      <c r="G27" s="13"/>
      <c r="H27" s="13"/>
      <c r="I27" s="13" t="str">
        <f>IFERROR(__xludf.DUMMYFUNCTION("""COMPUTED_VALUE"""),"Lauren Chang")</f>
        <v>Lauren Chang</v>
      </c>
      <c r="J27" s="13"/>
    </row>
    <row r="28">
      <c r="A28" s="13"/>
      <c r="B28" s="13"/>
      <c r="D28" s="13">
        <f t="shared" si="1"/>
        <v>27</v>
      </c>
      <c r="E28" s="13"/>
      <c r="F28" s="13"/>
      <c r="G28" s="13"/>
      <c r="H28" s="13"/>
      <c r="I28" s="13" t="str">
        <f>IFERROR(__xludf.DUMMYFUNCTION("""COMPUTED_VALUE"""),"Lloyd Sagar")</f>
        <v>Lloyd Sagar</v>
      </c>
      <c r="J28" s="13"/>
    </row>
    <row r="29">
      <c r="A29" s="13"/>
      <c r="B29" s="13"/>
      <c r="D29" s="13">
        <f t="shared" si="1"/>
        <v>28</v>
      </c>
      <c r="E29" s="13"/>
      <c r="F29" s="13"/>
      <c r="G29" s="13"/>
      <c r="H29" s="13"/>
      <c r="I29" s="13" t="str">
        <f>IFERROR(__xludf.DUMMYFUNCTION("""COMPUTED_VALUE"""),"Luis Hsu")</f>
        <v>Luis Hsu</v>
      </c>
      <c r="J29" s="13"/>
    </row>
    <row r="30">
      <c r="A30" s="13"/>
      <c r="B30" s="13"/>
      <c r="D30" s="13">
        <f t="shared" si="1"/>
        <v>29</v>
      </c>
      <c r="E30" s="13"/>
      <c r="F30" s="13"/>
      <c r="G30" s="13"/>
      <c r="H30" s="13"/>
      <c r="I30" s="13" t="str">
        <f>IFERROR(__xludf.DUMMYFUNCTION("""COMPUTED_VALUE"""),"Manish Anand")</f>
        <v>Manish Anand</v>
      </c>
      <c r="J30" s="13"/>
    </row>
    <row r="31">
      <c r="A31" s="13"/>
      <c r="B31" s="13"/>
      <c r="D31" s="13">
        <f t="shared" si="1"/>
        <v>30</v>
      </c>
      <c r="E31" s="13"/>
      <c r="F31" s="13"/>
      <c r="G31" s="13"/>
      <c r="H31" s="13"/>
      <c r="I31" s="13" t="str">
        <f>IFERROR(__xludf.DUMMYFUNCTION("""COMPUTED_VALUE"""),"Manuel Rivera")</f>
        <v>Manuel Rivera</v>
      </c>
      <c r="J31" s="13"/>
    </row>
    <row r="32">
      <c r="A32" s="13"/>
      <c r="B32" s="13"/>
      <c r="D32" s="13">
        <f t="shared" si="1"/>
        <v>31</v>
      </c>
      <c r="E32" s="13"/>
      <c r="F32" s="13"/>
      <c r="G32" s="13"/>
      <c r="H32" s="13"/>
      <c r="I32" s="13" t="str">
        <f>IFERROR(__xludf.DUMMYFUNCTION("""COMPUTED_VALUE"""),"Matthew Huang")</f>
        <v>Matthew Huang</v>
      </c>
      <c r="J32" s="13"/>
    </row>
    <row r="33">
      <c r="A33" s="13"/>
      <c r="B33" s="13"/>
      <c r="D33" s="13">
        <f t="shared" si="1"/>
        <v>32</v>
      </c>
      <c r="E33" s="13"/>
      <c r="F33" s="13"/>
      <c r="G33" s="13"/>
      <c r="H33" s="13"/>
      <c r="I33" s="13" t="str">
        <f>IFERROR(__xludf.DUMMYFUNCTION("""COMPUTED_VALUE"""),"Mauricio Palacios")</f>
        <v>Mauricio Palacios</v>
      </c>
      <c r="J33" s="13"/>
    </row>
    <row r="34">
      <c r="A34" s="13"/>
      <c r="B34" s="13"/>
      <c r="D34" s="13">
        <f t="shared" si="1"/>
        <v>33</v>
      </c>
      <c r="E34" s="13"/>
      <c r="F34" s="13"/>
      <c r="G34" s="13"/>
      <c r="H34" s="13"/>
      <c r="I34" s="13" t="str">
        <f>IFERROR(__xludf.DUMMYFUNCTION("""COMPUTED_VALUE"""),"Mihir Anand")</f>
        <v>Mihir Anand</v>
      </c>
      <c r="J34" s="13"/>
    </row>
    <row r="35">
      <c r="A35" s="13"/>
      <c r="B35" s="13"/>
      <c r="D35" s="13">
        <f t="shared" si="1"/>
        <v>34</v>
      </c>
      <c r="E35" s="13"/>
      <c r="F35" s="13"/>
      <c r="G35" s="13"/>
      <c r="H35" s="13"/>
      <c r="I35" s="13" t="str">
        <f>IFERROR(__xludf.DUMMYFUNCTION("""COMPUTED_VALUE"""),"Naveen Raj")</f>
        <v>Naveen Raj</v>
      </c>
      <c r="J35" s="13"/>
    </row>
    <row r="36">
      <c r="A36" s="13"/>
      <c r="B36" s="13"/>
      <c r="D36" s="13">
        <f t="shared" si="1"/>
        <v>35</v>
      </c>
      <c r="E36" s="13"/>
      <c r="F36" s="13"/>
      <c r="G36" s="13"/>
      <c r="H36" s="13"/>
      <c r="I36" s="13" t="str">
        <f>IFERROR(__xludf.DUMMYFUNCTION("""COMPUTED_VALUE"""),"Nohely Mejia")</f>
        <v>Nohely Mejia</v>
      </c>
      <c r="J36" s="13"/>
    </row>
    <row r="37">
      <c r="A37" s="13"/>
      <c r="B37" s="13"/>
      <c r="D37" s="13">
        <f t="shared" si="1"/>
        <v>36</v>
      </c>
      <c r="E37" s="13"/>
      <c r="F37" s="13"/>
      <c r="G37" s="13"/>
      <c r="H37" s="13"/>
      <c r="I37" s="13" t="str">
        <f>IFERROR(__xludf.DUMMYFUNCTION("""COMPUTED_VALUE"""),"Oscar Bonilla")</f>
        <v>Oscar Bonilla</v>
      </c>
      <c r="J37" s="13"/>
    </row>
    <row r="38">
      <c r="A38" s="13"/>
      <c r="B38" s="13"/>
      <c r="D38" s="13">
        <f t="shared" si="1"/>
        <v>37</v>
      </c>
      <c r="E38" s="13"/>
      <c r="F38" s="13"/>
      <c r="G38" s="13"/>
      <c r="H38" s="13"/>
      <c r="I38" s="13" t="str">
        <f>IFERROR(__xludf.DUMMYFUNCTION("""COMPUTED_VALUE"""),"Pan Lee")</f>
        <v>Pan Lee</v>
      </c>
      <c r="J38" s="13"/>
    </row>
    <row r="39">
      <c r="A39" s="13"/>
      <c r="B39" s="13"/>
      <c r="D39" s="13">
        <f t="shared" si="1"/>
        <v>38</v>
      </c>
      <c r="E39" s="13"/>
      <c r="F39" s="13"/>
      <c r="G39" s="13"/>
      <c r="H39" s="13"/>
      <c r="I39" s="13" t="str">
        <f>IFERROR(__xludf.DUMMYFUNCTION("""COMPUTED_VALUE"""),"Paul Sanchez")</f>
        <v>Paul Sanchez</v>
      </c>
      <c r="J39" s="13"/>
    </row>
    <row r="40">
      <c r="A40" s="13"/>
      <c r="B40" s="13"/>
      <c r="D40" s="13">
        <f t="shared" si="1"/>
        <v>39</v>
      </c>
      <c r="E40" s="13"/>
      <c r="F40" s="13"/>
      <c r="G40" s="13"/>
      <c r="H40" s="13"/>
      <c r="I40" s="13" t="str">
        <f>IFERROR(__xludf.DUMMYFUNCTION("""COMPUTED_VALUE"""),"Pavan Akkimsetty")</f>
        <v>Pavan Akkimsetty</v>
      </c>
      <c r="J40" s="13"/>
    </row>
    <row r="41">
      <c r="A41" s="13"/>
      <c r="B41" s="13"/>
      <c r="D41" s="13">
        <f t="shared" si="1"/>
        <v>40</v>
      </c>
      <c r="E41" s="13"/>
      <c r="F41" s="13"/>
      <c r="G41" s="13"/>
      <c r="H41" s="13"/>
      <c r="I41" s="13" t="str">
        <f>IFERROR(__xludf.DUMMYFUNCTION("""COMPUTED_VALUE"""),"Peter Cheng")</f>
        <v>Peter Cheng</v>
      </c>
      <c r="J41" s="13"/>
    </row>
    <row r="42">
      <c r="A42" s="13"/>
      <c r="B42" s="13"/>
      <c r="D42" s="13">
        <f t="shared" si="1"/>
        <v>41</v>
      </c>
      <c r="E42" s="13"/>
      <c r="F42" s="13"/>
      <c r="G42" s="13"/>
      <c r="H42" s="13"/>
      <c r="I42" s="13" t="str">
        <f>IFERROR(__xludf.DUMMYFUNCTION("""COMPUTED_VALUE"""),"Peter Homsey")</f>
        <v>Peter Homsey</v>
      </c>
      <c r="J42" s="13"/>
    </row>
    <row r="43">
      <c r="A43" s="13"/>
      <c r="B43" s="13"/>
      <c r="D43" s="13">
        <f t="shared" si="1"/>
        <v>42</v>
      </c>
      <c r="E43" s="13"/>
      <c r="F43" s="13"/>
      <c r="G43" s="13"/>
      <c r="H43" s="13"/>
      <c r="I43" s="13" t="str">
        <f>IFERROR(__xludf.DUMMYFUNCTION("""COMPUTED_VALUE"""),"Piyorasa Li")</f>
        <v>Piyorasa Li</v>
      </c>
      <c r="J43" s="13"/>
    </row>
    <row r="44">
      <c r="A44" s="13"/>
      <c r="B44" s="13"/>
      <c r="D44" s="13">
        <f t="shared" si="1"/>
        <v>43</v>
      </c>
      <c r="E44" s="13"/>
      <c r="F44" s="13"/>
      <c r="G44" s="13"/>
      <c r="H44" s="13"/>
      <c r="I44" s="13" t="str">
        <f>IFERROR(__xludf.DUMMYFUNCTION("""COMPUTED_VALUE"""),"Pulkit Mathur")</f>
        <v>Pulkit Mathur</v>
      </c>
      <c r="J44" s="13"/>
    </row>
    <row r="45">
      <c r="A45" s="13"/>
      <c r="B45" s="13"/>
      <c r="D45" s="13">
        <f t="shared" si="1"/>
        <v>44</v>
      </c>
      <c r="E45" s="13"/>
      <c r="F45" s="13"/>
      <c r="G45" s="13"/>
      <c r="H45" s="13"/>
      <c r="I45" s="13" t="str">
        <f>IFERROR(__xludf.DUMMYFUNCTION("""COMPUTED_VALUE"""),"Rajasekar Ramasamy")</f>
        <v>Rajasekar Ramasamy</v>
      </c>
      <c r="J45" s="13"/>
    </row>
    <row r="46">
      <c r="A46" s="13"/>
      <c r="B46" s="13"/>
      <c r="D46" s="13">
        <f t="shared" si="1"/>
        <v>45</v>
      </c>
      <c r="E46" s="13"/>
      <c r="F46" s="13"/>
      <c r="G46" s="13"/>
      <c r="H46" s="13"/>
      <c r="I46" s="13" t="str">
        <f>IFERROR(__xludf.DUMMYFUNCTION("""COMPUTED_VALUE"""),"Robert Chang")</f>
        <v>Robert Chang</v>
      </c>
      <c r="J46" s="13"/>
    </row>
    <row r="47">
      <c r="A47" s="13"/>
      <c r="B47" s="13"/>
      <c r="D47" s="13">
        <f t="shared" si="1"/>
        <v>46</v>
      </c>
      <c r="E47" s="13"/>
      <c r="F47" s="13"/>
      <c r="G47" s="13"/>
      <c r="H47" s="13"/>
      <c r="I47" s="13" t="str">
        <f>IFERROR(__xludf.DUMMYFUNCTION("""COMPUTED_VALUE"""),"Rosie Bonilla")</f>
        <v>Rosie Bonilla</v>
      </c>
      <c r="J47" s="13"/>
    </row>
    <row r="48">
      <c r="A48" s="13"/>
      <c r="B48" s="13"/>
      <c r="D48" s="13">
        <f t="shared" si="1"/>
        <v>47</v>
      </c>
      <c r="E48" s="13"/>
      <c r="F48" s="13"/>
      <c r="G48" s="13"/>
      <c r="H48" s="13"/>
      <c r="I48" s="13" t="str">
        <f>IFERROR(__xludf.DUMMYFUNCTION("""COMPUTED_VALUE"""),"Sai Dilip Ponnaganti")</f>
        <v>Sai Dilip Ponnaganti</v>
      </c>
      <c r="J48" s="13"/>
    </row>
    <row r="49">
      <c r="A49" s="13"/>
      <c r="B49" s="13"/>
      <c r="D49" s="13">
        <f t="shared" si="1"/>
        <v>48</v>
      </c>
      <c r="E49" s="13"/>
      <c r="F49" s="13"/>
      <c r="G49" s="13"/>
      <c r="H49" s="13"/>
      <c r="I49" s="13" t="str">
        <f>IFERROR(__xludf.DUMMYFUNCTION("""COMPUTED_VALUE"""),"Sandy Weyant")</f>
        <v>Sandy Weyant</v>
      </c>
      <c r="J49" s="13"/>
    </row>
    <row r="50">
      <c r="A50" s="13"/>
      <c r="B50" s="13"/>
      <c r="D50" s="13">
        <f t="shared" si="1"/>
        <v>49</v>
      </c>
      <c r="E50" s="13"/>
      <c r="F50" s="13"/>
      <c r="G50" s="13"/>
      <c r="H50" s="13"/>
      <c r="I50" s="13" t="str">
        <f>IFERROR(__xludf.DUMMYFUNCTION("""COMPUTED_VALUE"""),"Sanjaye Elayattu")</f>
        <v>Sanjaye Elayattu</v>
      </c>
      <c r="J50" s="13"/>
    </row>
    <row r="51">
      <c r="A51" s="13"/>
      <c r="B51" s="13"/>
      <c r="D51" s="13">
        <f t="shared" si="1"/>
        <v>50</v>
      </c>
      <c r="E51" s="13"/>
      <c r="F51" s="13"/>
      <c r="G51" s="13"/>
      <c r="H51" s="13"/>
      <c r="I51" s="13" t="str">
        <f>IFERROR(__xludf.DUMMYFUNCTION("""COMPUTED_VALUE"""),"Santosh Sundaresan ")</f>
        <v>Santosh Sundaresan </v>
      </c>
      <c r="J51" s="13"/>
    </row>
    <row r="52">
      <c r="A52" s="13"/>
      <c r="B52" s="13"/>
      <c r="D52" s="13">
        <f t="shared" si="1"/>
        <v>51</v>
      </c>
      <c r="E52" s="13"/>
      <c r="F52" s="13"/>
      <c r="G52" s="13"/>
      <c r="H52" s="13"/>
      <c r="I52" s="13" t="str">
        <f>IFERROR(__xludf.DUMMYFUNCTION("""COMPUTED_VALUE"""),"Savay Lieu")</f>
        <v>Savay Lieu</v>
      </c>
      <c r="J52" s="13"/>
    </row>
    <row r="53">
      <c r="A53" s="13"/>
      <c r="B53" s="13"/>
      <c r="D53" s="13">
        <f t="shared" si="1"/>
        <v>52</v>
      </c>
      <c r="E53" s="13"/>
      <c r="F53" s="13"/>
      <c r="G53" s="13"/>
      <c r="H53" s="13"/>
      <c r="I53" s="13" t="str">
        <f>IFERROR(__xludf.DUMMYFUNCTION("""COMPUTED_VALUE"""),"Sean Chang")</f>
        <v>Sean Chang</v>
      </c>
      <c r="J53" s="13"/>
    </row>
    <row r="54">
      <c r="A54" s="13"/>
      <c r="B54" s="13"/>
      <c r="D54" s="13">
        <f t="shared" si="1"/>
        <v>53</v>
      </c>
      <c r="E54" s="13"/>
      <c r="F54" s="13"/>
      <c r="G54" s="13"/>
      <c r="H54" s="13"/>
      <c r="I54" s="13" t="str">
        <f>IFERROR(__xludf.DUMMYFUNCTION("""COMPUTED_VALUE"""),"Suleman Alidina")</f>
        <v>Suleman Alidina</v>
      </c>
      <c r="J54" s="13"/>
    </row>
    <row r="55">
      <c r="A55" s="13"/>
      <c r="B55" s="13"/>
      <c r="D55" s="13">
        <f t="shared" si="1"/>
        <v>54</v>
      </c>
      <c r="E55" s="13"/>
      <c r="F55" s="13"/>
      <c r="G55" s="13"/>
      <c r="H55" s="13"/>
      <c r="I55" s="13" t="str">
        <f>IFERROR(__xludf.DUMMYFUNCTION("""COMPUTED_VALUE"""),"Susanta Mishra")</f>
        <v>Susanta Mishra</v>
      </c>
      <c r="J55" s="13"/>
    </row>
    <row r="56">
      <c r="A56" s="13"/>
      <c r="B56" s="13"/>
      <c r="D56" s="13">
        <f t="shared" si="1"/>
        <v>55</v>
      </c>
      <c r="E56" s="13"/>
      <c r="F56" s="13"/>
      <c r="G56" s="13"/>
      <c r="H56" s="13"/>
      <c r="I56" s="13" t="str">
        <f>IFERROR(__xludf.DUMMYFUNCTION("""COMPUTED_VALUE"""),"Ted Shen")</f>
        <v>Ted Shen</v>
      </c>
      <c r="J56" s="13"/>
    </row>
    <row r="57">
      <c r="A57" s="13"/>
      <c r="B57" s="13"/>
      <c r="D57" s="13">
        <f t="shared" si="1"/>
        <v>56</v>
      </c>
      <c r="E57" s="13"/>
      <c r="F57" s="13"/>
      <c r="G57" s="13"/>
      <c r="H57" s="13"/>
      <c r="I57" s="13" t="str">
        <f>IFERROR(__xludf.DUMMYFUNCTION("""COMPUTED_VALUE"""),"Thomas Zou")</f>
        <v>Thomas Zou</v>
      </c>
      <c r="J57" s="13"/>
    </row>
    <row r="58">
      <c r="A58" s="13"/>
      <c r="B58" s="13"/>
      <c r="D58" s="13">
        <f t="shared" si="1"/>
        <v>57</v>
      </c>
      <c r="E58" s="13"/>
      <c r="F58" s="13"/>
      <c r="G58" s="13"/>
      <c r="H58" s="13"/>
      <c r="I58" s="13" t="str">
        <f>IFERROR(__xludf.DUMMYFUNCTION("""COMPUTED_VALUE"""),"Tiffany Yu")</f>
        <v>Tiffany Yu</v>
      </c>
      <c r="J58" s="13"/>
    </row>
    <row r="59">
      <c r="A59" s="13"/>
      <c r="B59" s="13"/>
      <c r="D59" s="13">
        <f t="shared" si="1"/>
        <v>58</v>
      </c>
      <c r="E59" s="13"/>
      <c r="F59" s="13"/>
      <c r="G59" s="13"/>
      <c r="H59" s="13"/>
      <c r="I59" s="13" t="str">
        <f>IFERROR(__xludf.DUMMYFUNCTION("""COMPUTED_VALUE"""),"Tom Le")</f>
        <v>Tom Le</v>
      </c>
      <c r="J59" s="13"/>
    </row>
    <row r="60">
      <c r="A60" s="13"/>
      <c r="B60" s="13"/>
      <c r="D60" s="13">
        <f t="shared" si="1"/>
        <v>59</v>
      </c>
      <c r="E60" s="13"/>
      <c r="F60" s="13"/>
      <c r="G60" s="13"/>
      <c r="H60" s="13"/>
      <c r="I60" s="13" t="str">
        <f>IFERROR(__xludf.DUMMYFUNCTION("""COMPUTED_VALUE"""),"Tony Wong")</f>
        <v>Tony Wong</v>
      </c>
      <c r="J60" s="13"/>
    </row>
    <row r="61">
      <c r="A61" s="13"/>
      <c r="B61" s="13"/>
      <c r="D61" s="13">
        <f t="shared" si="1"/>
        <v>60</v>
      </c>
      <c r="E61" s="13"/>
      <c r="F61" s="13"/>
      <c r="G61" s="13"/>
      <c r="H61" s="13"/>
      <c r="I61" s="13" t="str">
        <f>IFERROR(__xludf.DUMMYFUNCTION("""COMPUTED_VALUE"""),"Trinath Goteti")</f>
        <v>Trinath Goteti</v>
      </c>
      <c r="J61" s="13"/>
    </row>
    <row r="62">
      <c r="A62" s="13"/>
      <c r="B62" s="13"/>
      <c r="D62" s="13">
        <f t="shared" si="1"/>
        <v>61</v>
      </c>
      <c r="E62" s="13"/>
      <c r="F62" s="13"/>
      <c r="G62" s="13"/>
      <c r="H62" s="13"/>
      <c r="I62" s="13" t="str">
        <f>IFERROR(__xludf.DUMMYFUNCTION("""COMPUTED_VALUE"""),"Troy Wong")</f>
        <v>Troy Wong</v>
      </c>
      <c r="J62" s="13"/>
    </row>
    <row r="63">
      <c r="A63" s="13"/>
      <c r="B63" s="13"/>
      <c r="D63" s="13">
        <f t="shared" si="1"/>
        <v>62</v>
      </c>
      <c r="E63" s="13"/>
      <c r="F63" s="13"/>
      <c r="G63" s="13"/>
      <c r="H63" s="13"/>
      <c r="I63" s="13" t="str">
        <f>IFERROR(__xludf.DUMMYFUNCTION("""COMPUTED_VALUE"""),"Vamsi Lolla ")</f>
        <v>Vamsi Lolla </v>
      </c>
      <c r="J63" s="13"/>
    </row>
    <row r="64">
      <c r="A64" s="13"/>
      <c r="B64" s="13"/>
      <c r="D64" s="13">
        <f t="shared" si="1"/>
        <v>63</v>
      </c>
      <c r="E64" s="13"/>
      <c r="F64" s="13"/>
      <c r="G64" s="13"/>
      <c r="H64" s="13"/>
      <c r="I64" s="13" t="str">
        <f>IFERROR(__xludf.DUMMYFUNCTION("""COMPUTED_VALUE"""),"Vilas Janardhanan")</f>
        <v>Vilas Janardhanan</v>
      </c>
      <c r="J64" s="13"/>
    </row>
    <row r="65">
      <c r="A65" s="13"/>
      <c r="B65" s="13"/>
      <c r="D65" s="13">
        <f t="shared" si="1"/>
        <v>64</v>
      </c>
      <c r="E65" s="13"/>
      <c r="F65" s="13"/>
      <c r="G65" s="13"/>
      <c r="H65" s="13"/>
      <c r="I65" s="13" t="str">
        <f>IFERROR(__xludf.DUMMYFUNCTION("""COMPUTED_VALUE"""),"Vinot Kumar Nagappan")</f>
        <v>Vinot Kumar Nagappan</v>
      </c>
      <c r="J65" s="13"/>
    </row>
    <row r="66">
      <c r="A66" s="13"/>
      <c r="B6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45283.0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24.0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18" t="s">
        <v>23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321.0</v>
      </c>
      <c r="D5" s="28">
        <v>34.0</v>
      </c>
      <c r="E5" s="30">
        <v>1.0</v>
      </c>
      <c r="F5" s="31">
        <v>1.0</v>
      </c>
      <c r="G5" s="27">
        <v>0.0</v>
      </c>
      <c r="H5" s="31">
        <v>6.0</v>
      </c>
      <c r="I5" s="31">
        <v>6.0</v>
      </c>
      <c r="J5" s="31">
        <v>6.0</v>
      </c>
      <c r="K5" s="32">
        <v>18.0</v>
      </c>
      <c r="L5" s="31">
        <v>2.0</v>
      </c>
      <c r="M5" s="27">
        <f t="shared" ref="M5:N5" si="1">C5+K5</f>
        <v>339</v>
      </c>
      <c r="N5" s="28">
        <f t="shared" si="1"/>
        <v>36</v>
      </c>
      <c r="O5" s="33" t="s">
        <v>37</v>
      </c>
      <c r="P5" s="33"/>
      <c r="Q5" s="31">
        <f>if(G5=13,1,0)+VLOOKUP(B5,'121623'!B$5:Q$64,16,false)</f>
        <v>1</v>
      </c>
      <c r="R5" s="31"/>
      <c r="S5" s="31">
        <f>if(G5=9,1,0)+VLOOKUP(B5,'121623'!B:S,18,false)</f>
        <v>6</v>
      </c>
    </row>
    <row r="6">
      <c r="A6" s="25">
        <f t="shared" ref="A6:A68" si="3">A5+1</f>
        <v>2</v>
      </c>
      <c r="B6" s="26" t="s">
        <v>42</v>
      </c>
      <c r="C6" s="27">
        <v>315.0</v>
      </c>
      <c r="D6" s="28">
        <v>31.0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324</v>
      </c>
      <c r="N6" s="28">
        <f t="shared" si="2"/>
        <v>31</v>
      </c>
      <c r="O6" s="33" t="s">
        <v>37</v>
      </c>
      <c r="P6" s="33" t="s">
        <v>37</v>
      </c>
      <c r="Q6" s="31">
        <f>if(G6=13,1,0)+VLOOKUP(B6,'121623'!B$5:Q$64,16,false)</f>
        <v>0</v>
      </c>
      <c r="R6" s="31"/>
      <c r="S6" s="31">
        <f>if(G6=9,1,0)+VLOOKUP(B6,'121623'!B:S,18,false)</f>
        <v>9</v>
      </c>
    </row>
    <row r="7">
      <c r="A7" s="25">
        <f t="shared" si="3"/>
        <v>3</v>
      </c>
      <c r="B7" s="26" t="s">
        <v>47</v>
      </c>
      <c r="C7" s="27">
        <v>307.0</v>
      </c>
      <c r="D7" s="28">
        <v>29.0</v>
      </c>
      <c r="E7" s="30">
        <v>2.0</v>
      </c>
      <c r="F7" s="31">
        <v>1.0</v>
      </c>
      <c r="G7" s="27">
        <v>0.0</v>
      </c>
      <c r="H7" s="31">
        <v>6.0</v>
      </c>
      <c r="I7" s="31">
        <v>4.0</v>
      </c>
      <c r="J7" s="31">
        <v>7.0</v>
      </c>
      <c r="K7" s="32">
        <v>17.0</v>
      </c>
      <c r="L7" s="31">
        <v>2.0</v>
      </c>
      <c r="M7" s="27">
        <f t="shared" ref="M7:N7" si="4">C7+K7</f>
        <v>324</v>
      </c>
      <c r="N7" s="28">
        <f t="shared" si="4"/>
        <v>31</v>
      </c>
      <c r="O7" s="33" t="s">
        <v>37</v>
      </c>
      <c r="P7" s="33" t="s">
        <v>37</v>
      </c>
      <c r="Q7" s="31">
        <f>if(G7=13,1,0)+VLOOKUP(B7,'121623'!B$5:Q$64,16,false)</f>
        <v>0</v>
      </c>
      <c r="R7" s="31"/>
      <c r="S7" s="31">
        <f>if(G7=9,1,0)+VLOOKUP(B7,'121623'!B:S,18,false)</f>
        <v>10</v>
      </c>
    </row>
    <row r="8">
      <c r="A8" s="25">
        <f t="shared" si="3"/>
        <v>4</v>
      </c>
      <c r="B8" s="26" t="s">
        <v>48</v>
      </c>
      <c r="C8" s="27">
        <v>299.0</v>
      </c>
      <c r="D8" s="28">
        <v>25.0</v>
      </c>
      <c r="E8" s="30">
        <v>3.0</v>
      </c>
      <c r="F8" s="31">
        <v>0.0</v>
      </c>
      <c r="G8" s="27">
        <v>9.0</v>
      </c>
      <c r="H8" s="31">
        <v>0.0</v>
      </c>
      <c r="I8" s="31">
        <v>0.0</v>
      </c>
      <c r="J8" s="31">
        <v>0.0</v>
      </c>
      <c r="K8" s="32">
        <v>9.0</v>
      </c>
      <c r="L8" s="31">
        <v>0.0</v>
      </c>
      <c r="M8" s="27">
        <f t="shared" ref="M8:N8" si="5">C8+K8</f>
        <v>308</v>
      </c>
      <c r="N8" s="28">
        <f t="shared" si="5"/>
        <v>25</v>
      </c>
      <c r="O8" s="33" t="s">
        <v>37</v>
      </c>
      <c r="P8" s="33" t="s">
        <v>37</v>
      </c>
      <c r="Q8" s="31">
        <f>if(G8=13,1,0)+VLOOKUP(B8,'121623'!B$5:Q$64,16,false)</f>
        <v>0</v>
      </c>
      <c r="R8" s="31"/>
      <c r="S8" s="31">
        <f>if(G8=9,1,0)+VLOOKUP(B8,'121623'!B:S,18,false)</f>
        <v>9</v>
      </c>
    </row>
    <row r="9">
      <c r="A9" s="25">
        <f t="shared" si="3"/>
        <v>5</v>
      </c>
      <c r="B9" s="26" t="s">
        <v>49</v>
      </c>
      <c r="C9" s="27">
        <v>297.0</v>
      </c>
      <c r="D9" s="28">
        <v>26.0</v>
      </c>
      <c r="E9" s="30">
        <v>1.0</v>
      </c>
      <c r="F9" s="31">
        <v>1.0</v>
      </c>
      <c r="G9" s="27">
        <v>0.0</v>
      </c>
      <c r="H9" s="31">
        <v>4.0</v>
      </c>
      <c r="I9" s="31">
        <v>6.0</v>
      </c>
      <c r="J9" s="31">
        <v>7.0</v>
      </c>
      <c r="K9" s="32">
        <v>17.0</v>
      </c>
      <c r="L9" s="31">
        <v>2.0</v>
      </c>
      <c r="M9" s="27">
        <f t="shared" ref="M9:N9" si="6">C9+K9</f>
        <v>314</v>
      </c>
      <c r="N9" s="28">
        <f t="shared" si="6"/>
        <v>28</v>
      </c>
      <c r="O9" s="33" t="s">
        <v>37</v>
      </c>
      <c r="P9" s="33" t="s">
        <v>37</v>
      </c>
      <c r="Q9" s="31">
        <f>if(G9=13,1,0)+VLOOKUP(B9,'121623'!B$5:Q$64,16,false)</f>
        <v>1</v>
      </c>
      <c r="R9" s="31"/>
      <c r="S9" s="31">
        <f>if(G9=9,1,0)+VLOOKUP(B9,'121623'!B:S,18,false)</f>
        <v>4</v>
      </c>
    </row>
    <row r="10">
      <c r="A10" s="25">
        <f t="shared" si="3"/>
        <v>6</v>
      </c>
      <c r="B10" s="26" t="s">
        <v>50</v>
      </c>
      <c r="C10" s="27">
        <v>295.0</v>
      </c>
      <c r="D10" s="28">
        <v>25.0</v>
      </c>
      <c r="E10" s="30">
        <v>1.0</v>
      </c>
      <c r="F10" s="31">
        <v>1.0</v>
      </c>
      <c r="G10" s="27">
        <v>0.0</v>
      </c>
      <c r="H10" s="31">
        <v>4.0</v>
      </c>
      <c r="I10" s="31">
        <v>4.0</v>
      </c>
      <c r="J10" s="31">
        <v>6.0</v>
      </c>
      <c r="K10" s="32">
        <v>14.0</v>
      </c>
      <c r="L10" s="31">
        <v>0.0</v>
      </c>
      <c r="M10" s="27">
        <f t="shared" ref="M10:N10" si="7">C10+K10</f>
        <v>309</v>
      </c>
      <c r="N10" s="28">
        <f t="shared" si="7"/>
        <v>25</v>
      </c>
      <c r="O10" s="33" t="s">
        <v>37</v>
      </c>
      <c r="P10" s="33" t="s">
        <v>37</v>
      </c>
      <c r="Q10" s="31">
        <f>if(G10=13,1,0)+VLOOKUP(B10,'121623'!B$5:Q$64,16,false)</f>
        <v>0</v>
      </c>
      <c r="R10" s="31"/>
      <c r="S10" s="31">
        <f>if(G10=9,1,0)+VLOOKUP(B10,'121623'!B:S,18,false)</f>
        <v>10</v>
      </c>
    </row>
    <row r="11">
      <c r="A11" s="25">
        <f t="shared" si="3"/>
        <v>7</v>
      </c>
      <c r="B11" s="26" t="s">
        <v>51</v>
      </c>
      <c r="C11" s="27">
        <v>293.0</v>
      </c>
      <c r="D11" s="28">
        <v>26.0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302</v>
      </c>
      <c r="N11" s="28">
        <f t="shared" si="8"/>
        <v>26</v>
      </c>
      <c r="O11" s="33" t="s">
        <v>37</v>
      </c>
      <c r="P11" s="33" t="s">
        <v>37</v>
      </c>
      <c r="Q11" s="31">
        <f>if(G11=13,1,0)+VLOOKUP(B11,'121623'!B$5:Q$64,16,false)</f>
        <v>1</v>
      </c>
      <c r="R11" s="31"/>
      <c r="S11" s="31">
        <f>if(G11=9,1,0)+VLOOKUP(B11,'121623'!B:S,18,false)</f>
        <v>10</v>
      </c>
    </row>
    <row r="12">
      <c r="A12" s="25">
        <f t="shared" si="3"/>
        <v>8</v>
      </c>
      <c r="B12" s="26" t="s">
        <v>52</v>
      </c>
      <c r="C12" s="27">
        <v>291.0</v>
      </c>
      <c r="D12" s="28">
        <v>26.0</v>
      </c>
      <c r="E12" s="30">
        <v>1.0</v>
      </c>
      <c r="F12" s="31">
        <v>2.0</v>
      </c>
      <c r="G12" s="27">
        <v>0.0</v>
      </c>
      <c r="H12" s="31">
        <v>6.0</v>
      </c>
      <c r="I12" s="31">
        <v>4.0</v>
      </c>
      <c r="J12" s="31">
        <v>4.0</v>
      </c>
      <c r="K12" s="32">
        <v>14.0</v>
      </c>
      <c r="L12" s="31">
        <v>1.0</v>
      </c>
      <c r="M12" s="27">
        <f t="shared" ref="M12:N12" si="9">C12+K12</f>
        <v>305</v>
      </c>
      <c r="N12" s="28">
        <f t="shared" si="9"/>
        <v>27</v>
      </c>
      <c r="O12" s="33" t="s">
        <v>37</v>
      </c>
      <c r="P12" s="33" t="s">
        <v>37</v>
      </c>
      <c r="Q12" s="31">
        <f>if(G12=13,1,0)+VLOOKUP(B12,'121623'!B$5:Q$64,16,false)</f>
        <v>0</v>
      </c>
      <c r="R12" s="31"/>
      <c r="S12" s="31">
        <f>if(G12=9,1,0)+VLOOKUP(B12,'121623'!B:S,18,false)</f>
        <v>2</v>
      </c>
    </row>
    <row r="13">
      <c r="A13" s="25">
        <f t="shared" si="3"/>
        <v>9</v>
      </c>
      <c r="B13" s="26" t="s">
        <v>53</v>
      </c>
      <c r="C13" s="27">
        <v>290.0</v>
      </c>
      <c r="D13" s="28">
        <v>23.0</v>
      </c>
      <c r="E13" s="30">
        <v>1.0</v>
      </c>
      <c r="F13" s="31">
        <v>2.0</v>
      </c>
      <c r="G13" s="27">
        <v>0.0</v>
      </c>
      <c r="H13" s="31">
        <v>1.0</v>
      </c>
      <c r="I13" s="31">
        <v>4.0</v>
      </c>
      <c r="J13" s="31">
        <v>6.0</v>
      </c>
      <c r="K13" s="32">
        <v>11.0</v>
      </c>
      <c r="L13" s="31">
        <v>1.0</v>
      </c>
      <c r="M13" s="27">
        <f t="shared" ref="M13:N13" si="10">C13+K13</f>
        <v>301</v>
      </c>
      <c r="N13" s="28">
        <f t="shared" si="10"/>
        <v>24</v>
      </c>
      <c r="O13" s="33" t="s">
        <v>37</v>
      </c>
      <c r="P13" s="33" t="s">
        <v>37</v>
      </c>
      <c r="Q13" s="31">
        <f>if(G13=13,1,0)+VLOOKUP(B13,'121623'!B$5:Q$64,16,false)</f>
        <v>0</v>
      </c>
      <c r="R13" s="31"/>
      <c r="S13" s="31">
        <f>if(G13=9,1,0)+VLOOKUP(B13,'121623'!B:S,18,false)</f>
        <v>6</v>
      </c>
    </row>
    <row r="14">
      <c r="A14" s="25">
        <f t="shared" si="3"/>
        <v>10</v>
      </c>
      <c r="B14" s="26" t="s">
        <v>54</v>
      </c>
      <c r="C14" s="27">
        <v>283.0</v>
      </c>
      <c r="D14" s="28">
        <v>24.0</v>
      </c>
      <c r="E14" s="30">
        <v>1.0</v>
      </c>
      <c r="F14" s="31">
        <v>2.0</v>
      </c>
      <c r="G14" s="27">
        <v>0.0</v>
      </c>
      <c r="H14" s="31">
        <v>6.0</v>
      </c>
      <c r="I14" s="31">
        <v>6.0</v>
      </c>
      <c r="J14" s="31">
        <v>6.0</v>
      </c>
      <c r="K14" s="32">
        <v>18.0</v>
      </c>
      <c r="L14" s="31">
        <v>3.0</v>
      </c>
      <c r="M14" s="27">
        <f t="shared" ref="M14:N14" si="11">C14+K14</f>
        <v>301</v>
      </c>
      <c r="N14" s="28">
        <f t="shared" si="11"/>
        <v>27</v>
      </c>
      <c r="O14" s="33" t="s">
        <v>37</v>
      </c>
      <c r="P14" s="33" t="s">
        <v>37</v>
      </c>
      <c r="Q14" s="31">
        <f>if(G14=13,1,0)+VLOOKUP(B14,'121623'!B$5:Q$64,16,false)</f>
        <v>0</v>
      </c>
      <c r="R14" s="31"/>
      <c r="S14" s="31">
        <f>if(G14=9,1,0)+VLOOKUP(B14,'121623'!B:S,18,false)</f>
        <v>8</v>
      </c>
    </row>
    <row r="15">
      <c r="A15" s="25">
        <f t="shared" si="3"/>
        <v>11</v>
      </c>
      <c r="B15" s="26" t="s">
        <v>55</v>
      </c>
      <c r="C15" s="27">
        <v>283.0</v>
      </c>
      <c r="D15" s="28">
        <v>23.0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292</v>
      </c>
      <c r="N15" s="28">
        <f t="shared" si="12"/>
        <v>23</v>
      </c>
      <c r="O15" s="33" t="s">
        <v>37</v>
      </c>
      <c r="P15" s="33" t="s">
        <v>37</v>
      </c>
      <c r="Q15" s="31">
        <f>if(G15=13,1,0)+VLOOKUP(B15,'121623'!B$5:Q$64,16,false)</f>
        <v>0</v>
      </c>
      <c r="R15" s="31"/>
      <c r="S15" s="31">
        <f>if(G15=9,1,0)+VLOOKUP(B15,'121623'!B:S,18,false)</f>
        <v>11</v>
      </c>
    </row>
    <row r="16">
      <c r="A16" s="25">
        <f t="shared" si="3"/>
        <v>12</v>
      </c>
      <c r="B16" s="36" t="s">
        <v>56</v>
      </c>
      <c r="C16" s="27">
        <v>282.0</v>
      </c>
      <c r="D16" s="28">
        <v>26.0</v>
      </c>
      <c r="E16" s="30">
        <v>1.0</v>
      </c>
      <c r="F16" s="31">
        <v>2.0</v>
      </c>
      <c r="G16" s="27">
        <v>0.0</v>
      </c>
      <c r="H16" s="31">
        <v>1.0</v>
      </c>
      <c r="I16" s="31">
        <v>6.0</v>
      </c>
      <c r="J16" s="31">
        <v>4.0</v>
      </c>
      <c r="K16" s="32">
        <v>11.0</v>
      </c>
      <c r="L16" s="31">
        <v>1.0</v>
      </c>
      <c r="M16" s="27">
        <f t="shared" ref="M16:N16" si="13">C16+K16</f>
        <v>293</v>
      </c>
      <c r="N16" s="28">
        <f t="shared" si="13"/>
        <v>27</v>
      </c>
      <c r="O16" s="33" t="s">
        <v>37</v>
      </c>
      <c r="P16" s="33" t="s">
        <v>37</v>
      </c>
      <c r="Q16" s="31">
        <f>if(G16=13,1,0)+VLOOKUP(B16,'121623'!B$5:Q$64,16,false)</f>
        <v>1</v>
      </c>
      <c r="R16" s="31"/>
      <c r="S16" s="31">
        <f>if(G16=9,1,0)+VLOOKUP(B16,'121623'!B:S,18,false)</f>
        <v>5</v>
      </c>
    </row>
    <row r="17">
      <c r="A17" s="25">
        <f t="shared" si="3"/>
        <v>13</v>
      </c>
      <c r="B17" s="26" t="s">
        <v>57</v>
      </c>
      <c r="C17" s="27">
        <v>282.0</v>
      </c>
      <c r="D17" s="28">
        <v>26.0</v>
      </c>
      <c r="E17" s="30">
        <v>2.0</v>
      </c>
      <c r="F17" s="31">
        <v>3.0</v>
      </c>
      <c r="G17" s="27">
        <v>0.0</v>
      </c>
      <c r="H17" s="31">
        <v>6.0</v>
      </c>
      <c r="I17" s="31">
        <v>6.0</v>
      </c>
      <c r="J17" s="31">
        <v>7.0</v>
      </c>
      <c r="K17" s="32">
        <v>19.0</v>
      </c>
      <c r="L17" s="31">
        <v>2.0</v>
      </c>
      <c r="M17" s="27">
        <f t="shared" ref="M17:N17" si="14">C17+K17</f>
        <v>301</v>
      </c>
      <c r="N17" s="28">
        <f t="shared" si="14"/>
        <v>28</v>
      </c>
      <c r="O17" s="33" t="s">
        <v>37</v>
      </c>
      <c r="P17" s="33" t="s">
        <v>37</v>
      </c>
      <c r="Q17" s="31">
        <f>if(G17=13,1,0)+VLOOKUP(B17,'121623'!B$5:Q$64,16,false)</f>
        <v>0</v>
      </c>
      <c r="R17" s="31"/>
      <c r="S17" s="31">
        <f>if(G17=9,1,0)+VLOOKUP(B17,'121623'!B:S,18,false)</f>
        <v>6</v>
      </c>
    </row>
    <row r="18">
      <c r="A18" s="25">
        <f t="shared" si="3"/>
        <v>14</v>
      </c>
      <c r="B18" s="26" t="s">
        <v>58</v>
      </c>
      <c r="C18" s="27">
        <v>280.0</v>
      </c>
      <c r="D18" s="28">
        <v>22.0</v>
      </c>
      <c r="E18" s="30">
        <v>2.0</v>
      </c>
      <c r="F18" s="31">
        <v>3.0</v>
      </c>
      <c r="G18" s="27">
        <v>0.0</v>
      </c>
      <c r="H18" s="31">
        <v>4.0</v>
      </c>
      <c r="I18" s="31">
        <v>6.0</v>
      </c>
      <c r="J18" s="31">
        <v>6.0</v>
      </c>
      <c r="K18" s="32">
        <v>16.0</v>
      </c>
      <c r="L18" s="31">
        <v>0.0</v>
      </c>
      <c r="M18" s="27">
        <f t="shared" ref="M18:N18" si="15">C18+K18</f>
        <v>296</v>
      </c>
      <c r="N18" s="28">
        <f t="shared" si="15"/>
        <v>22</v>
      </c>
      <c r="O18" s="33" t="s">
        <v>37</v>
      </c>
      <c r="P18" s="33" t="s">
        <v>37</v>
      </c>
      <c r="Q18" s="31">
        <f>if(G18=13,1,0)+VLOOKUP(B18,'121623'!B$5:Q$64,16,false)</f>
        <v>0</v>
      </c>
      <c r="R18" s="31"/>
      <c r="S18" s="31">
        <f>if(G18=9,1,0)+VLOOKUP(B18,'121623'!B:S,18,false)</f>
        <v>7</v>
      </c>
    </row>
    <row r="19">
      <c r="A19" s="25">
        <f t="shared" si="3"/>
        <v>15</v>
      </c>
      <c r="B19" s="36" t="s">
        <v>59</v>
      </c>
      <c r="C19" s="27">
        <v>280.0</v>
      </c>
      <c r="D19" s="28">
        <v>19.0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289</v>
      </c>
      <c r="N19" s="28">
        <f t="shared" si="16"/>
        <v>19</v>
      </c>
      <c r="O19" s="33" t="s">
        <v>37</v>
      </c>
      <c r="P19" s="33" t="s">
        <v>37</v>
      </c>
      <c r="Q19" s="31">
        <f>if(G19=13,1,0)+VLOOKUP(B19,'121623'!B$5:Q$64,16,false)</f>
        <v>0</v>
      </c>
      <c r="R19" s="31"/>
      <c r="S19" s="31">
        <f>if(G19=9,1,0)+VLOOKUP(B19,'121623'!B:S,18,false)</f>
        <v>7</v>
      </c>
    </row>
    <row r="20">
      <c r="A20" s="25">
        <f t="shared" si="3"/>
        <v>16</v>
      </c>
      <c r="B20" s="26" t="s">
        <v>60</v>
      </c>
      <c r="C20" s="27">
        <v>279.0</v>
      </c>
      <c r="D20" s="28">
        <v>24.0</v>
      </c>
      <c r="E20" s="30">
        <v>1.0</v>
      </c>
      <c r="F20" s="31">
        <v>3.0</v>
      </c>
      <c r="G20" s="27">
        <v>0.0</v>
      </c>
      <c r="H20" s="31">
        <v>4.0</v>
      </c>
      <c r="I20" s="31">
        <v>7.0</v>
      </c>
      <c r="J20" s="31">
        <v>7.0</v>
      </c>
      <c r="K20" s="32">
        <v>18.0</v>
      </c>
      <c r="L20" s="31">
        <v>2.0</v>
      </c>
      <c r="M20" s="27">
        <f t="shared" ref="M20:N20" si="17">C20+K20</f>
        <v>297</v>
      </c>
      <c r="N20" s="28">
        <f t="shared" si="17"/>
        <v>26</v>
      </c>
      <c r="O20" s="33" t="s">
        <v>37</v>
      </c>
      <c r="P20" s="33" t="s">
        <v>37</v>
      </c>
      <c r="Q20" s="31">
        <f>if(G20=13,1,0)+VLOOKUP(B20,'121623'!B$5:Q$64,16,false)</f>
        <v>0</v>
      </c>
      <c r="R20" s="31"/>
      <c r="S20" s="31">
        <f>if(G20=9,1,0)+VLOOKUP(B20,'121623'!B:S,18,false)</f>
        <v>8</v>
      </c>
    </row>
    <row r="21">
      <c r="A21" s="25">
        <f t="shared" si="3"/>
        <v>17</v>
      </c>
      <c r="B21" s="26" t="s">
        <v>61</v>
      </c>
      <c r="C21" s="27">
        <v>278.0</v>
      </c>
      <c r="D21" s="28">
        <v>20.0</v>
      </c>
      <c r="E21" s="30">
        <v>1.0</v>
      </c>
      <c r="F21" s="31">
        <v>3.0</v>
      </c>
      <c r="G21" s="27">
        <v>0.0</v>
      </c>
      <c r="H21" s="31">
        <v>6.0</v>
      </c>
      <c r="I21" s="31">
        <v>7.0</v>
      </c>
      <c r="J21" s="31">
        <v>6.0</v>
      </c>
      <c r="K21" s="32">
        <v>19.0</v>
      </c>
      <c r="L21" s="31">
        <v>2.0</v>
      </c>
      <c r="M21" s="27">
        <f t="shared" ref="M21:N21" si="18">C21+K21</f>
        <v>297</v>
      </c>
      <c r="N21" s="28">
        <f t="shared" si="18"/>
        <v>22</v>
      </c>
      <c r="O21" s="33" t="s">
        <v>37</v>
      </c>
      <c r="P21" s="33" t="s">
        <v>37</v>
      </c>
      <c r="Q21" s="31">
        <f>if(G21=13,1,0)+VLOOKUP(B21,'121623'!B$5:Q$64,16,false)</f>
        <v>0</v>
      </c>
      <c r="R21" s="31"/>
      <c r="S21" s="31">
        <f>if(G21=9,1,0)+VLOOKUP(B21,'121623'!B:S,18,false)</f>
        <v>6</v>
      </c>
    </row>
    <row r="22">
      <c r="A22" s="25">
        <f t="shared" si="3"/>
        <v>18</v>
      </c>
      <c r="B22" s="36" t="s">
        <v>62</v>
      </c>
      <c r="C22" s="27">
        <v>276.0</v>
      </c>
      <c r="D22" s="28">
        <v>18.0</v>
      </c>
      <c r="E22" s="30">
        <v>2.0</v>
      </c>
      <c r="F22" s="31">
        <v>4.0</v>
      </c>
      <c r="G22" s="27">
        <v>0.0</v>
      </c>
      <c r="H22" s="31">
        <v>0.0</v>
      </c>
      <c r="I22" s="31">
        <v>2.0</v>
      </c>
      <c r="J22" s="31">
        <v>5.0</v>
      </c>
      <c r="K22" s="32">
        <v>7.0</v>
      </c>
      <c r="L22" s="31">
        <v>0.0</v>
      </c>
      <c r="M22" s="27">
        <f t="shared" ref="M22:N22" si="19">C22+K22</f>
        <v>283</v>
      </c>
      <c r="N22" s="28">
        <f t="shared" si="19"/>
        <v>18</v>
      </c>
      <c r="O22" s="33" t="s">
        <v>37</v>
      </c>
      <c r="P22" s="33" t="s">
        <v>37</v>
      </c>
      <c r="Q22" s="31">
        <f>if(G22=13,1,0)+VLOOKUP(B22,'121623'!B$5:Q$64,16,false)</f>
        <v>0</v>
      </c>
      <c r="R22" s="31"/>
      <c r="S22" s="31">
        <f>if(G22=9,1,0)+VLOOKUP(B22,'121623'!B:S,18,false)</f>
        <v>6</v>
      </c>
    </row>
    <row r="23">
      <c r="A23" s="25">
        <f t="shared" si="3"/>
        <v>19</v>
      </c>
      <c r="B23" s="36" t="s">
        <v>63</v>
      </c>
      <c r="C23" s="27">
        <v>271.0</v>
      </c>
      <c r="D23" s="28">
        <v>18.0</v>
      </c>
      <c r="E23" s="30">
        <v>1.0</v>
      </c>
      <c r="F23" s="31">
        <v>4.0</v>
      </c>
      <c r="G23" s="27">
        <v>0.0</v>
      </c>
      <c r="H23" s="31">
        <v>6.0</v>
      </c>
      <c r="I23" s="31">
        <v>2.0</v>
      </c>
      <c r="J23" s="31">
        <v>7.0</v>
      </c>
      <c r="K23" s="32">
        <v>15.0</v>
      </c>
      <c r="L23" s="31">
        <v>2.0</v>
      </c>
      <c r="M23" s="27">
        <f t="shared" ref="M23:N23" si="20">C23+K23</f>
        <v>286</v>
      </c>
      <c r="N23" s="28">
        <f t="shared" si="20"/>
        <v>20</v>
      </c>
      <c r="O23" s="33" t="s">
        <v>37</v>
      </c>
      <c r="P23" s="33" t="s">
        <v>37</v>
      </c>
      <c r="Q23" s="31">
        <f>if(G23=13,1,0)+VLOOKUP(B23,'121623'!B$5:Q$64,16,false)</f>
        <v>0</v>
      </c>
      <c r="R23" s="31"/>
      <c r="S23" s="31">
        <f>if(G23=9,1,0)+VLOOKUP(B23,'121623'!B:S,18,false)</f>
        <v>14</v>
      </c>
    </row>
    <row r="24">
      <c r="A24" s="25">
        <f t="shared" si="3"/>
        <v>20</v>
      </c>
      <c r="B24" s="26" t="s">
        <v>64</v>
      </c>
      <c r="C24" s="27">
        <v>271.0</v>
      </c>
      <c r="D24" s="28">
        <v>18.0</v>
      </c>
      <c r="E24" s="30">
        <v>2.0</v>
      </c>
      <c r="F24" s="31">
        <v>4.0</v>
      </c>
      <c r="G24" s="27">
        <v>0.0</v>
      </c>
      <c r="H24" s="31">
        <v>0.0</v>
      </c>
      <c r="I24" s="31">
        <v>6.0</v>
      </c>
      <c r="J24" s="31">
        <v>7.0</v>
      </c>
      <c r="K24" s="32">
        <v>13.0</v>
      </c>
      <c r="L24" s="31">
        <v>2.0</v>
      </c>
      <c r="M24" s="27">
        <f t="shared" ref="M24:N24" si="21">C24+K24</f>
        <v>284</v>
      </c>
      <c r="N24" s="28">
        <f t="shared" si="21"/>
        <v>20</v>
      </c>
      <c r="O24" s="33" t="s">
        <v>37</v>
      </c>
      <c r="P24" s="33" t="s">
        <v>37</v>
      </c>
      <c r="Q24" s="31">
        <f>if(G24=13,1,0)+VLOOKUP(B24,'121623'!B$5:Q$64,16,false)</f>
        <v>0</v>
      </c>
      <c r="R24" s="31"/>
      <c r="S24" s="31">
        <f>if(G24=9,1,0)+VLOOKUP(B24,'121623'!B:S,18,false)</f>
        <v>14</v>
      </c>
    </row>
    <row r="25">
      <c r="A25" s="25">
        <f t="shared" si="3"/>
        <v>21</v>
      </c>
      <c r="B25" s="26" t="s">
        <v>65</v>
      </c>
      <c r="C25" s="27">
        <v>269.0</v>
      </c>
      <c r="D25" s="28">
        <v>17.0</v>
      </c>
      <c r="E25" s="30">
        <v>1.0</v>
      </c>
      <c r="F25" s="31">
        <v>4.0</v>
      </c>
      <c r="G25" s="27">
        <v>0.0</v>
      </c>
      <c r="H25" s="31">
        <v>6.0</v>
      </c>
      <c r="I25" s="31">
        <v>6.0</v>
      </c>
      <c r="J25" s="31">
        <v>5.0</v>
      </c>
      <c r="K25" s="32">
        <v>17.0</v>
      </c>
      <c r="L25" s="31">
        <v>2.0</v>
      </c>
      <c r="M25" s="27">
        <f t="shared" ref="M25:N25" si="22">C25+K25</f>
        <v>286</v>
      </c>
      <c r="N25" s="28">
        <f t="shared" si="22"/>
        <v>19</v>
      </c>
      <c r="O25" s="33" t="s">
        <v>37</v>
      </c>
      <c r="P25" s="33" t="s">
        <v>37</v>
      </c>
      <c r="Q25" s="31">
        <f>if(G25=13,1,0)+VLOOKUP(B25,'121623'!B$5:Q$64,16,false)</f>
        <v>0</v>
      </c>
      <c r="R25" s="31"/>
      <c r="S25" s="31">
        <f>if(G25=9,1,0)+VLOOKUP(B25,'121623'!B:S,18,false)</f>
        <v>13</v>
      </c>
    </row>
    <row r="26">
      <c r="A26" s="25">
        <f t="shared" si="3"/>
        <v>22</v>
      </c>
      <c r="B26" s="26" t="s">
        <v>66</v>
      </c>
      <c r="C26" s="27">
        <v>267.0</v>
      </c>
      <c r="D26" s="28">
        <v>17.0</v>
      </c>
      <c r="E26" s="30">
        <v>1.0</v>
      </c>
      <c r="F26" s="31">
        <v>5.0</v>
      </c>
      <c r="G26" s="27">
        <v>0.0</v>
      </c>
      <c r="H26" s="31">
        <v>4.0</v>
      </c>
      <c r="I26" s="31">
        <v>1.0</v>
      </c>
      <c r="J26" s="31">
        <v>6.0</v>
      </c>
      <c r="K26" s="32">
        <v>11.0</v>
      </c>
      <c r="L26" s="31">
        <v>1.0</v>
      </c>
      <c r="M26" s="27">
        <f t="shared" ref="M26:N26" si="23">C26+K26</f>
        <v>278</v>
      </c>
      <c r="N26" s="28">
        <f t="shared" si="23"/>
        <v>18</v>
      </c>
      <c r="O26" s="33" t="s">
        <v>37</v>
      </c>
      <c r="P26" s="33" t="s">
        <v>37</v>
      </c>
      <c r="Q26" s="31">
        <f>if(G26=13,1,0)+VLOOKUP(B26,'121623'!B$5:Q$64,16,false)</f>
        <v>2</v>
      </c>
      <c r="R26" s="31"/>
      <c r="S26" s="31">
        <f>if(G26=9,1,0)+VLOOKUP(B26,'121623'!B:S,18,false)</f>
        <v>8</v>
      </c>
    </row>
    <row r="27">
      <c r="A27" s="25">
        <f t="shared" si="3"/>
        <v>23</v>
      </c>
      <c r="B27" s="36" t="s">
        <v>67</v>
      </c>
      <c r="C27" s="27">
        <v>263.0</v>
      </c>
      <c r="D27" s="28">
        <v>17.0</v>
      </c>
      <c r="E27" s="30">
        <v>3.0</v>
      </c>
      <c r="F27" s="31">
        <v>0.0</v>
      </c>
      <c r="G27" s="27">
        <v>9.0</v>
      </c>
      <c r="H27" s="31">
        <v>0.0</v>
      </c>
      <c r="I27" s="31">
        <v>0.0</v>
      </c>
      <c r="J27" s="31">
        <v>0.0</v>
      </c>
      <c r="K27" s="32">
        <v>9.0</v>
      </c>
      <c r="L27" s="31">
        <v>0.0</v>
      </c>
      <c r="M27" s="27">
        <f t="shared" ref="M27:N27" si="24">C27+K27</f>
        <v>272</v>
      </c>
      <c r="N27" s="28">
        <f t="shared" si="24"/>
        <v>17</v>
      </c>
      <c r="O27" s="33" t="s">
        <v>37</v>
      </c>
      <c r="P27" s="33" t="s">
        <v>37</v>
      </c>
      <c r="Q27" s="31">
        <f>if(G27=13,1,0)+VLOOKUP(B27,'121623'!B$5:Q$64,16,false)</f>
        <v>0</v>
      </c>
      <c r="R27" s="31"/>
      <c r="S27" s="31">
        <f>if(G27=9,1,0)+VLOOKUP(B27,'121623'!B:S,18,false)</f>
        <v>14</v>
      </c>
    </row>
    <row r="28">
      <c r="A28" s="25">
        <f t="shared" si="3"/>
        <v>24</v>
      </c>
      <c r="B28" s="26" t="s">
        <v>68</v>
      </c>
      <c r="C28" s="27">
        <v>263.0</v>
      </c>
      <c r="D28" s="28">
        <v>15.0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272</v>
      </c>
      <c r="N28" s="28">
        <f t="shared" si="25"/>
        <v>15</v>
      </c>
      <c r="O28" s="33" t="s">
        <v>37</v>
      </c>
      <c r="P28" s="33" t="s">
        <v>37</v>
      </c>
      <c r="Q28" s="31">
        <f>if(G28=13,1,0)+VLOOKUP(B28,'121623'!B$5:Q$64,16,false)</f>
        <v>1</v>
      </c>
      <c r="R28" s="31"/>
      <c r="S28" s="31">
        <f>if(G28=9,1,0)+VLOOKUP(B28,'121623'!B:S,18,false)</f>
        <v>16</v>
      </c>
    </row>
    <row r="29">
      <c r="A29" s="25">
        <f t="shared" si="3"/>
        <v>25</v>
      </c>
      <c r="B29" s="36" t="s">
        <v>69</v>
      </c>
      <c r="C29" s="27">
        <v>260.0</v>
      </c>
      <c r="D29" s="28">
        <v>16.0</v>
      </c>
      <c r="E29" s="30">
        <v>1.0</v>
      </c>
      <c r="F29" s="31">
        <v>5.0</v>
      </c>
      <c r="G29" s="27">
        <v>0.0</v>
      </c>
      <c r="H29" s="31">
        <v>6.0</v>
      </c>
      <c r="I29" s="31">
        <v>6.0</v>
      </c>
      <c r="J29" s="31">
        <v>6.0</v>
      </c>
      <c r="K29" s="32">
        <v>18.0</v>
      </c>
      <c r="L29" s="31">
        <v>3.0</v>
      </c>
      <c r="M29" s="27">
        <f t="shared" ref="M29:N29" si="26">C29+K29</f>
        <v>278</v>
      </c>
      <c r="N29" s="28">
        <f t="shared" si="26"/>
        <v>19</v>
      </c>
      <c r="O29" s="33" t="s">
        <v>37</v>
      </c>
      <c r="P29" s="33" t="s">
        <v>37</v>
      </c>
      <c r="Q29" s="31">
        <f>if(G29=13,1,0)+VLOOKUP(B29,'121623'!B$5:Q$64,16,false)</f>
        <v>0</v>
      </c>
      <c r="R29" s="31"/>
      <c r="S29" s="31">
        <f>if(G29=9,1,0)+VLOOKUP(B29,'121623'!B:S,18,false)</f>
        <v>17</v>
      </c>
    </row>
    <row r="30">
      <c r="A30" s="25">
        <f t="shared" si="3"/>
        <v>26</v>
      </c>
      <c r="B30" s="26" t="s">
        <v>70</v>
      </c>
      <c r="C30" s="27">
        <v>258.0</v>
      </c>
      <c r="D30" s="28">
        <v>21.0</v>
      </c>
      <c r="E30" s="30">
        <v>1.0</v>
      </c>
      <c r="F30" s="31">
        <v>5.0</v>
      </c>
      <c r="G30" s="27">
        <v>0.0</v>
      </c>
      <c r="H30" s="31">
        <v>4.0</v>
      </c>
      <c r="I30" s="31">
        <v>6.0</v>
      </c>
      <c r="J30" s="31">
        <v>2.0</v>
      </c>
      <c r="K30" s="32">
        <v>12.0</v>
      </c>
      <c r="L30" s="31">
        <v>1.0</v>
      </c>
      <c r="M30" s="27">
        <f t="shared" ref="M30:N30" si="27">C30+K30</f>
        <v>270</v>
      </c>
      <c r="N30" s="28">
        <f t="shared" si="27"/>
        <v>22</v>
      </c>
      <c r="O30" s="33" t="s">
        <v>37</v>
      </c>
      <c r="P30" s="33" t="s">
        <v>37</v>
      </c>
      <c r="Q30" s="31">
        <f>if(G30=13,1,0)+VLOOKUP(B30,'121623'!B$5:Q$64,16,false)</f>
        <v>0</v>
      </c>
      <c r="R30" s="31"/>
      <c r="S30" s="31">
        <f>if(G30=9,1,0)+VLOOKUP(B30,'121623'!B:S,18,false)</f>
        <v>8</v>
      </c>
    </row>
    <row r="31">
      <c r="A31" s="25">
        <f t="shared" si="3"/>
        <v>27</v>
      </c>
      <c r="B31" s="26" t="s">
        <v>71</v>
      </c>
      <c r="C31" s="27">
        <v>256.0</v>
      </c>
      <c r="D31" s="28">
        <v>16.0</v>
      </c>
      <c r="E31" s="30">
        <v>1.0</v>
      </c>
      <c r="F31" s="31">
        <v>5.0</v>
      </c>
      <c r="G31" s="27">
        <v>0.0</v>
      </c>
      <c r="H31" s="31">
        <v>6.0</v>
      </c>
      <c r="I31" s="31">
        <v>1.0</v>
      </c>
      <c r="J31" s="31">
        <v>2.0</v>
      </c>
      <c r="K31" s="32">
        <v>9.0</v>
      </c>
      <c r="L31" s="31">
        <v>1.0</v>
      </c>
      <c r="M31" s="27">
        <f t="shared" ref="M31:N31" si="28">C31+K31</f>
        <v>265</v>
      </c>
      <c r="N31" s="28">
        <f t="shared" si="28"/>
        <v>17</v>
      </c>
      <c r="O31" s="33" t="s">
        <v>37</v>
      </c>
      <c r="P31" s="33" t="s">
        <v>37</v>
      </c>
      <c r="Q31" s="31">
        <f>if(G31=13,1,0)+VLOOKUP(B31,'121623'!B$5:Q$64,16,false)</f>
        <v>1</v>
      </c>
      <c r="R31" s="31"/>
      <c r="S31" s="31">
        <f>if(G31=9,1,0)+VLOOKUP(B31,'121623'!B:S,18,false)</f>
        <v>15</v>
      </c>
    </row>
    <row r="32">
      <c r="A32" s="25">
        <f t="shared" si="3"/>
        <v>28</v>
      </c>
      <c r="B32" s="26" t="s">
        <v>72</v>
      </c>
      <c r="C32" s="27">
        <v>251.0</v>
      </c>
      <c r="D32" s="28">
        <v>16.0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260</v>
      </c>
      <c r="N32" s="28">
        <f t="shared" si="29"/>
        <v>16</v>
      </c>
      <c r="O32" s="33" t="s">
        <v>37</v>
      </c>
      <c r="P32" s="33" t="s">
        <v>37</v>
      </c>
      <c r="Q32" s="31">
        <f>if(G32=13,1,0)+VLOOKUP(B32,'121623'!B$5:Q$64,16,false)</f>
        <v>1</v>
      </c>
      <c r="R32" s="31"/>
      <c r="S32" s="31">
        <f>if(G32=9,1,0)+VLOOKUP(B32,'121623'!B:S,18,false)</f>
        <v>15</v>
      </c>
    </row>
    <row r="33">
      <c r="A33" s="25">
        <f t="shared" si="3"/>
        <v>29</v>
      </c>
      <c r="B33" s="26" t="s">
        <v>73</v>
      </c>
      <c r="C33" s="27">
        <v>250.0</v>
      </c>
      <c r="D33" s="28">
        <v>11.0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259</v>
      </c>
      <c r="N33" s="28">
        <f t="shared" si="30"/>
        <v>11</v>
      </c>
      <c r="O33" s="33" t="s">
        <v>37</v>
      </c>
      <c r="P33" s="33" t="s">
        <v>37</v>
      </c>
      <c r="Q33" s="31">
        <f>if(G33=13,1,0)+VLOOKUP(B33,'121623'!B$5:Q$64,16,false)</f>
        <v>0</v>
      </c>
      <c r="R33" s="31"/>
      <c r="S33" s="31">
        <f>if(G33=9,1,0)+VLOOKUP(B33,'121623'!B:S,18,false)</f>
        <v>17</v>
      </c>
    </row>
    <row r="34">
      <c r="A34" s="25">
        <f t="shared" si="3"/>
        <v>30</v>
      </c>
      <c r="B34" s="26" t="s">
        <v>74</v>
      </c>
      <c r="C34" s="27">
        <v>246.0</v>
      </c>
      <c r="D34" s="28">
        <v>14.0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255</v>
      </c>
      <c r="N34" s="28">
        <f t="shared" si="31"/>
        <v>14</v>
      </c>
      <c r="O34" s="33" t="s">
        <v>37</v>
      </c>
      <c r="P34" s="33" t="s">
        <v>37</v>
      </c>
      <c r="Q34" s="31">
        <f>if(G34=13,1,0)+VLOOKUP(B34,'121623'!B$5:Q$64,16,false)</f>
        <v>0</v>
      </c>
      <c r="R34" s="31"/>
      <c r="S34" s="31">
        <f>if(G34=9,1,0)+VLOOKUP(B34,'121623'!B:S,18,false)</f>
        <v>10</v>
      </c>
    </row>
    <row r="35">
      <c r="A35" s="25">
        <f t="shared" si="3"/>
        <v>31</v>
      </c>
      <c r="B35" s="26" t="s">
        <v>75</v>
      </c>
      <c r="C35" s="27">
        <v>244.0</v>
      </c>
      <c r="D35" s="28">
        <v>15.0</v>
      </c>
      <c r="E35" s="30">
        <v>2.0</v>
      </c>
      <c r="F35" s="31">
        <v>6.0</v>
      </c>
      <c r="G35" s="27">
        <v>0.0</v>
      </c>
      <c r="H35" s="31">
        <v>6.0</v>
      </c>
      <c r="I35" s="31">
        <v>4.0</v>
      </c>
      <c r="J35" s="31">
        <v>4.0</v>
      </c>
      <c r="K35" s="32">
        <v>14.0</v>
      </c>
      <c r="L35" s="31">
        <v>1.0</v>
      </c>
      <c r="M35" s="27">
        <f t="shared" ref="M35:N35" si="32">C35+K35</f>
        <v>258</v>
      </c>
      <c r="N35" s="28">
        <f t="shared" si="32"/>
        <v>16</v>
      </c>
      <c r="O35" s="33" t="s">
        <v>37</v>
      </c>
      <c r="P35" s="33" t="s">
        <v>37</v>
      </c>
      <c r="Q35" s="31">
        <f>if(G35=13,1,0)+VLOOKUP(B35,'121623'!B$5:Q$64,16,false)</f>
        <v>0</v>
      </c>
      <c r="R35" s="31"/>
      <c r="S35" s="31">
        <f>if(G35=9,1,0)+VLOOKUP(B35,'121623'!B:S,18,false)</f>
        <v>7</v>
      </c>
    </row>
    <row r="36">
      <c r="A36" s="25">
        <f t="shared" si="3"/>
        <v>32</v>
      </c>
      <c r="B36" s="36" t="s">
        <v>76</v>
      </c>
      <c r="C36" s="27">
        <v>243.0</v>
      </c>
      <c r="D36" s="28">
        <v>13.0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252</v>
      </c>
      <c r="N36" s="28">
        <f t="shared" si="33"/>
        <v>13</v>
      </c>
      <c r="O36" s="33" t="s">
        <v>37</v>
      </c>
      <c r="P36" s="33" t="s">
        <v>37</v>
      </c>
      <c r="Q36" s="31">
        <f>if(G36=13,1,0)+VLOOKUP(B36,'121623'!B$5:Q$64,16,false)</f>
        <v>0</v>
      </c>
      <c r="R36" s="31"/>
      <c r="S36" s="31">
        <f>if(G36=9,1,0)+VLOOKUP(B36,'121623'!B:S,18,false)</f>
        <v>18</v>
      </c>
    </row>
    <row r="37">
      <c r="A37" s="25">
        <f t="shared" si="3"/>
        <v>33</v>
      </c>
      <c r="B37" s="36" t="s">
        <v>77</v>
      </c>
      <c r="C37" s="27">
        <v>243.0</v>
      </c>
      <c r="D37" s="28">
        <v>10.0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252</v>
      </c>
      <c r="N37" s="28">
        <f t="shared" si="34"/>
        <v>10</v>
      </c>
      <c r="O37" s="33" t="s">
        <v>37</v>
      </c>
      <c r="P37" s="33" t="s">
        <v>37</v>
      </c>
      <c r="Q37" s="31">
        <f>if(G37=13,1,0)+VLOOKUP(B37,'121623'!B$5:Q$64,16,false)</f>
        <v>0</v>
      </c>
      <c r="R37" s="31"/>
      <c r="S37" s="31">
        <f>if(G37=9,1,0)+VLOOKUP(B37,'121623'!B:S,18,false)</f>
        <v>19</v>
      </c>
    </row>
    <row r="38">
      <c r="A38" s="25">
        <f t="shared" si="3"/>
        <v>34</v>
      </c>
      <c r="B38" s="26" t="s">
        <v>78</v>
      </c>
      <c r="C38" s="27">
        <v>242.0</v>
      </c>
      <c r="D38" s="28">
        <v>16.0</v>
      </c>
      <c r="E38" s="30">
        <v>2.0</v>
      </c>
      <c r="F38" s="31">
        <v>6.0</v>
      </c>
      <c r="G38" s="27">
        <v>0.0</v>
      </c>
      <c r="H38" s="31">
        <v>4.0</v>
      </c>
      <c r="I38" s="31">
        <v>4.0</v>
      </c>
      <c r="J38" s="31">
        <v>6.0</v>
      </c>
      <c r="K38" s="32">
        <v>14.0</v>
      </c>
      <c r="L38" s="31">
        <v>1.0</v>
      </c>
      <c r="M38" s="27">
        <f t="shared" ref="M38:N38" si="35">C38+K38</f>
        <v>256</v>
      </c>
      <c r="N38" s="28">
        <f t="shared" si="35"/>
        <v>17</v>
      </c>
      <c r="O38" s="33" t="s">
        <v>37</v>
      </c>
      <c r="P38" s="33" t="s">
        <v>37</v>
      </c>
      <c r="Q38" s="31">
        <f>if(G38=13,1,0)+VLOOKUP(B38,'121623'!B$5:Q$64,16,false)</f>
        <v>0</v>
      </c>
      <c r="R38" s="31"/>
      <c r="S38" s="31">
        <f>if(G38=9,1,0)+VLOOKUP(B38,'121623'!B:S,18,false)</f>
        <v>10</v>
      </c>
    </row>
    <row r="39">
      <c r="A39" s="25">
        <f t="shared" si="3"/>
        <v>35</v>
      </c>
      <c r="B39" s="26" t="s">
        <v>79</v>
      </c>
      <c r="C39" s="27">
        <v>241.0</v>
      </c>
      <c r="D39" s="28">
        <v>22.0</v>
      </c>
      <c r="E39" s="30">
        <v>2.0</v>
      </c>
      <c r="F39" s="31">
        <v>6.0</v>
      </c>
      <c r="G39" s="27">
        <v>0.0</v>
      </c>
      <c r="H39" s="31">
        <v>6.0</v>
      </c>
      <c r="I39" s="31">
        <v>6.0</v>
      </c>
      <c r="J39" s="31">
        <v>6.0</v>
      </c>
      <c r="K39" s="32">
        <v>18.0</v>
      </c>
      <c r="L39" s="31">
        <v>3.0</v>
      </c>
      <c r="M39" s="27">
        <f t="shared" ref="M39:N39" si="36">C39+K39</f>
        <v>259</v>
      </c>
      <c r="N39" s="28">
        <f t="shared" si="36"/>
        <v>25</v>
      </c>
      <c r="O39" s="33" t="s">
        <v>37</v>
      </c>
      <c r="P39" s="33" t="s">
        <v>37</v>
      </c>
      <c r="Q39" s="31">
        <f>if(G39=13,1,0)+VLOOKUP(B39,'121623'!B$5:Q$64,16,false)</f>
        <v>0</v>
      </c>
      <c r="R39" s="31"/>
      <c r="S39" s="31">
        <f>if(G39=9,1,0)+VLOOKUP(B39,'121623'!B:S,18,false)</f>
        <v>4</v>
      </c>
    </row>
    <row r="40">
      <c r="A40" s="25">
        <f t="shared" si="3"/>
        <v>36</v>
      </c>
      <c r="B40" s="26" t="s">
        <v>80</v>
      </c>
      <c r="C40" s="27">
        <v>240.0</v>
      </c>
      <c r="D40" s="28">
        <v>10.0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249</v>
      </c>
      <c r="N40" s="28">
        <f t="shared" si="37"/>
        <v>10</v>
      </c>
      <c r="O40" s="33" t="s">
        <v>37</v>
      </c>
      <c r="P40" s="37"/>
      <c r="Q40" s="31">
        <f>if(G40=13,1,0)+VLOOKUP(B40,'121623'!B$5:Q$64,16,false)</f>
        <v>0</v>
      </c>
      <c r="R40" s="31"/>
      <c r="S40" s="31">
        <f>if(G40=9,1,0)+VLOOKUP(B40,'121623'!B:S,18,false)</f>
        <v>20</v>
      </c>
    </row>
    <row r="41">
      <c r="A41" s="25">
        <f t="shared" si="3"/>
        <v>37</v>
      </c>
      <c r="B41" s="36" t="s">
        <v>81</v>
      </c>
      <c r="C41" s="27">
        <v>238.0</v>
      </c>
      <c r="D41" s="28">
        <v>14.0</v>
      </c>
      <c r="E41" s="30">
        <v>1.0</v>
      </c>
      <c r="F41" s="31">
        <v>6.0</v>
      </c>
      <c r="G41" s="27">
        <v>0.0</v>
      </c>
      <c r="H41" s="31">
        <v>4.0</v>
      </c>
      <c r="I41" s="31">
        <v>6.0</v>
      </c>
      <c r="J41" s="31">
        <v>4.0</v>
      </c>
      <c r="K41" s="32">
        <v>14.0</v>
      </c>
      <c r="L41" s="31">
        <v>1.0</v>
      </c>
      <c r="M41" s="27">
        <f t="shared" ref="M41:N41" si="38">C41+K41</f>
        <v>252</v>
      </c>
      <c r="N41" s="28">
        <f t="shared" si="38"/>
        <v>15</v>
      </c>
      <c r="O41" s="33" t="s">
        <v>37</v>
      </c>
      <c r="P41" s="33" t="s">
        <v>37</v>
      </c>
      <c r="Q41" s="31">
        <f>if(G41=13,1,0)+VLOOKUP(B41,'121623'!B$5:Q$64,16,false)</f>
        <v>0</v>
      </c>
      <c r="R41" s="31"/>
      <c r="S41" s="31">
        <f>if(G41=9,1,0)+VLOOKUP(B41,'121623'!B:S,18,false)</f>
        <v>7</v>
      </c>
    </row>
    <row r="42">
      <c r="A42" s="25">
        <f t="shared" si="3"/>
        <v>38</v>
      </c>
      <c r="B42" s="26" t="s">
        <v>87</v>
      </c>
      <c r="C42" s="27">
        <v>235.0</v>
      </c>
      <c r="D42" s="28">
        <v>12.0</v>
      </c>
      <c r="E42" s="30">
        <v>1.0</v>
      </c>
      <c r="F42" s="31">
        <v>7.0</v>
      </c>
      <c r="G42" s="27">
        <v>0.0</v>
      </c>
      <c r="H42" s="31">
        <v>4.0</v>
      </c>
      <c r="I42" s="31">
        <v>6.0</v>
      </c>
      <c r="J42" s="31">
        <v>6.0</v>
      </c>
      <c r="K42" s="32">
        <v>16.0</v>
      </c>
      <c r="L42" s="31">
        <v>2.0</v>
      </c>
      <c r="M42" s="27">
        <f t="shared" ref="M42:N42" si="39">C42+K42</f>
        <v>251</v>
      </c>
      <c r="N42" s="28">
        <f t="shared" si="39"/>
        <v>14</v>
      </c>
      <c r="O42" s="33" t="s">
        <v>37</v>
      </c>
      <c r="P42" s="33" t="s">
        <v>37</v>
      </c>
      <c r="Q42" s="31">
        <f>if(G42=13,1,0)+VLOOKUP(B42,'121623'!B$5:Q$64,16,false)</f>
        <v>1</v>
      </c>
      <c r="R42" s="31"/>
      <c r="S42" s="31">
        <f>if(G42=9,1,0)+VLOOKUP(B42,'121623'!B:S,18,false)</f>
        <v>11</v>
      </c>
    </row>
    <row r="43">
      <c r="A43" s="25">
        <f t="shared" si="3"/>
        <v>39</v>
      </c>
      <c r="B43" s="36" t="s">
        <v>82</v>
      </c>
      <c r="C43" s="27">
        <v>235.0</v>
      </c>
      <c r="D43" s="28">
        <v>9.0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244</v>
      </c>
      <c r="N43" s="28">
        <f t="shared" si="40"/>
        <v>9</v>
      </c>
      <c r="O43" s="33" t="s">
        <v>37</v>
      </c>
      <c r="P43" s="33" t="s">
        <v>37</v>
      </c>
      <c r="Q43" s="31">
        <f>if(G43=13,1,0)+VLOOKUP(B43,'121623'!B$5:Q$64,16,false)</f>
        <v>0</v>
      </c>
      <c r="R43" s="31"/>
      <c r="S43" s="31">
        <f>if(G43=9,1,0)+VLOOKUP(B43,'121623'!B:S,18,false)</f>
        <v>20</v>
      </c>
    </row>
    <row r="44">
      <c r="A44" s="25">
        <f t="shared" si="3"/>
        <v>40</v>
      </c>
      <c r="B44" s="36" t="s">
        <v>85</v>
      </c>
      <c r="C44" s="27">
        <v>234.0</v>
      </c>
      <c r="D44" s="28">
        <v>19.0</v>
      </c>
      <c r="E44" s="30">
        <v>1.0</v>
      </c>
      <c r="F44" s="31">
        <v>7.0</v>
      </c>
      <c r="G44" s="27">
        <v>0.0</v>
      </c>
      <c r="H44" s="31">
        <v>6.0</v>
      </c>
      <c r="I44" s="31">
        <v>6.0</v>
      </c>
      <c r="J44" s="31">
        <v>2.0</v>
      </c>
      <c r="K44" s="32">
        <v>14.0</v>
      </c>
      <c r="L44" s="31">
        <v>2.0</v>
      </c>
      <c r="M44" s="27">
        <f t="shared" ref="M44:N44" si="41">C44+K44</f>
        <v>248</v>
      </c>
      <c r="N44" s="28">
        <f t="shared" si="41"/>
        <v>21</v>
      </c>
      <c r="O44" s="33" t="s">
        <v>37</v>
      </c>
      <c r="P44" s="33" t="s">
        <v>37</v>
      </c>
      <c r="Q44" s="31">
        <f>if(G44=13,1,0)+VLOOKUP(B44,'121623'!B$5:Q$64,16,false)</f>
        <v>0</v>
      </c>
      <c r="R44" s="31"/>
      <c r="S44" s="31">
        <f>if(G44=9,1,0)+VLOOKUP(B44,'121623'!B:S,18,false)</f>
        <v>9</v>
      </c>
    </row>
    <row r="45">
      <c r="A45" s="25">
        <f t="shared" si="3"/>
        <v>41</v>
      </c>
      <c r="B45" s="36" t="s">
        <v>83</v>
      </c>
      <c r="C45" s="27">
        <v>234.0</v>
      </c>
      <c r="D45" s="28">
        <v>9.0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243</v>
      </c>
      <c r="N45" s="28">
        <f t="shared" si="42"/>
        <v>9</v>
      </c>
      <c r="O45" s="33" t="s">
        <v>37</v>
      </c>
      <c r="P45" s="37"/>
      <c r="Q45" s="31">
        <f>if(G45=13,1,0)+VLOOKUP(B45,'121623'!B$5:Q$64,16,false)</f>
        <v>0</v>
      </c>
      <c r="R45" s="31"/>
      <c r="S45" s="31">
        <f>if(G45=9,1,0)+VLOOKUP(B45,'121623'!B:S,18,false)</f>
        <v>16</v>
      </c>
    </row>
    <row r="46">
      <c r="A46" s="25">
        <f t="shared" si="3"/>
        <v>42</v>
      </c>
      <c r="B46" s="26" t="s">
        <v>89</v>
      </c>
      <c r="C46" s="27">
        <v>232.0</v>
      </c>
      <c r="D46" s="28">
        <v>12.0</v>
      </c>
      <c r="E46" s="30">
        <v>2.0</v>
      </c>
      <c r="F46" s="31">
        <v>7.0</v>
      </c>
      <c r="G46" s="27">
        <v>0.0</v>
      </c>
      <c r="H46" s="31">
        <v>4.0</v>
      </c>
      <c r="I46" s="31">
        <v>0.0</v>
      </c>
      <c r="J46" s="31">
        <v>2.0</v>
      </c>
      <c r="K46" s="32">
        <v>6.0</v>
      </c>
      <c r="L46" s="31">
        <v>0.0</v>
      </c>
      <c r="M46" s="27">
        <f t="shared" ref="M46:N46" si="43">C46+K46</f>
        <v>238</v>
      </c>
      <c r="N46" s="28">
        <f t="shared" si="43"/>
        <v>12</v>
      </c>
      <c r="O46" s="33" t="s">
        <v>37</v>
      </c>
      <c r="P46" s="33" t="s">
        <v>37</v>
      </c>
      <c r="Q46" s="31">
        <f>if(G46=13,1,0)+VLOOKUP(B46,'121623'!B$5:Q$64,16,false)</f>
        <v>2</v>
      </c>
      <c r="R46" s="31"/>
      <c r="S46" s="31">
        <f>if(G46=9,1,0)+VLOOKUP(B46,'121623'!B:S,18,false)</f>
        <v>8</v>
      </c>
    </row>
    <row r="47">
      <c r="A47" s="25">
        <f t="shared" si="3"/>
        <v>43</v>
      </c>
      <c r="B47" s="26" t="s">
        <v>86</v>
      </c>
      <c r="C47" s="27">
        <v>231.0</v>
      </c>
      <c r="D47" s="28">
        <v>11.0</v>
      </c>
      <c r="E47" s="30">
        <v>1.0</v>
      </c>
      <c r="F47" s="31">
        <v>7.0</v>
      </c>
      <c r="G47" s="27">
        <v>0.0</v>
      </c>
      <c r="H47" s="31">
        <v>6.0</v>
      </c>
      <c r="I47" s="31">
        <v>0.0</v>
      </c>
      <c r="J47" s="31">
        <v>6.0</v>
      </c>
      <c r="K47" s="32">
        <v>12.0</v>
      </c>
      <c r="L47" s="31">
        <v>2.0</v>
      </c>
      <c r="M47" s="27">
        <f t="shared" ref="M47:N47" si="44">C47+K47</f>
        <v>243</v>
      </c>
      <c r="N47" s="28">
        <f t="shared" si="44"/>
        <v>13</v>
      </c>
      <c r="O47" s="33" t="s">
        <v>37</v>
      </c>
      <c r="P47" s="33" t="s">
        <v>37</v>
      </c>
      <c r="Q47" s="31">
        <f>if(G47=13,1,0)+VLOOKUP(B47,'121623'!B$5:Q$64,16,false)</f>
        <v>0</v>
      </c>
      <c r="R47" s="31"/>
      <c r="S47" s="31">
        <f>if(G47=9,1,0)+VLOOKUP(B47,'121623'!B:S,18,false)</f>
        <v>13</v>
      </c>
    </row>
    <row r="48">
      <c r="A48" s="25">
        <f t="shared" si="3"/>
        <v>44</v>
      </c>
      <c r="B48" s="36" t="s">
        <v>88</v>
      </c>
      <c r="C48" s="27">
        <v>229.0</v>
      </c>
      <c r="D48" s="28">
        <v>8.0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238</v>
      </c>
      <c r="N48" s="28">
        <f t="shared" si="45"/>
        <v>8</v>
      </c>
      <c r="O48" s="33" t="s">
        <v>37</v>
      </c>
      <c r="P48" s="37"/>
      <c r="Q48" s="31">
        <f>if(G48=13,1,0)+VLOOKUP(B48,'121623'!B$5:Q$64,16,false)</f>
        <v>0</v>
      </c>
      <c r="R48" s="31"/>
      <c r="S48" s="31">
        <f>if(G48=9,1,0)+VLOOKUP(B48,'121623'!B:S,18,false)</f>
        <v>18</v>
      </c>
    </row>
    <row r="49">
      <c r="A49" s="25">
        <f t="shared" si="3"/>
        <v>45</v>
      </c>
      <c r="B49" s="26" t="s">
        <v>90</v>
      </c>
      <c r="C49" s="27">
        <v>225.0</v>
      </c>
      <c r="D49" s="28">
        <v>13.0</v>
      </c>
      <c r="E49" s="30">
        <v>1.0</v>
      </c>
      <c r="F49" s="31">
        <v>8.0</v>
      </c>
      <c r="G49" s="27">
        <v>0.0</v>
      </c>
      <c r="H49" s="31">
        <v>6.0</v>
      </c>
      <c r="I49" s="31">
        <v>1.0</v>
      </c>
      <c r="J49" s="31">
        <v>6.0</v>
      </c>
      <c r="K49" s="32">
        <v>13.0</v>
      </c>
      <c r="L49" s="31">
        <v>2.0</v>
      </c>
      <c r="M49" s="27">
        <f t="shared" ref="M49:N49" si="46">C49+K49</f>
        <v>238</v>
      </c>
      <c r="N49" s="28">
        <f t="shared" si="46"/>
        <v>15</v>
      </c>
      <c r="O49" s="33" t="s">
        <v>37</v>
      </c>
      <c r="P49" s="33" t="s">
        <v>37</v>
      </c>
      <c r="Q49" s="31">
        <f>if(G49=13,1,0)+VLOOKUP(B49,'121623'!B$5:Q$64,16,false)</f>
        <v>0</v>
      </c>
      <c r="R49" s="31"/>
      <c r="S49" s="31">
        <f>if(G49=9,1,0)+VLOOKUP(B49,'121623'!B:S,18,false)</f>
        <v>10</v>
      </c>
    </row>
    <row r="50">
      <c r="A50" s="25">
        <f t="shared" si="3"/>
        <v>46</v>
      </c>
      <c r="B50" s="26" t="s">
        <v>91</v>
      </c>
      <c r="C50" s="27">
        <v>222.0</v>
      </c>
      <c r="D50" s="28">
        <v>5.0</v>
      </c>
      <c r="E50" s="30">
        <v>1.0</v>
      </c>
      <c r="F50" s="31">
        <v>8.0</v>
      </c>
      <c r="G50" s="27">
        <v>0.0</v>
      </c>
      <c r="H50" s="31">
        <v>6.0</v>
      </c>
      <c r="I50" s="31">
        <v>6.0</v>
      </c>
      <c r="J50" s="31">
        <v>2.0</v>
      </c>
      <c r="K50" s="32">
        <v>14.0</v>
      </c>
      <c r="L50" s="31">
        <v>2.0</v>
      </c>
      <c r="M50" s="27">
        <f t="shared" ref="M50:N50" si="47">C50+K50</f>
        <v>236</v>
      </c>
      <c r="N50" s="28">
        <f t="shared" si="47"/>
        <v>7</v>
      </c>
      <c r="O50" s="33" t="s">
        <v>37</v>
      </c>
      <c r="P50" s="33" t="s">
        <v>37</v>
      </c>
      <c r="Q50" s="31">
        <f>if(G50=13,1,0)+VLOOKUP(B50,'121623'!B$5:Q$64,16,false)</f>
        <v>1</v>
      </c>
      <c r="R50" s="31"/>
      <c r="S50" s="31">
        <f>if(G50=9,1,0)+VLOOKUP(B50,'121623'!B:S,18,false)</f>
        <v>18</v>
      </c>
    </row>
    <row r="51">
      <c r="A51" s="25">
        <f t="shared" si="3"/>
        <v>47</v>
      </c>
      <c r="B51" s="36" t="s">
        <v>92</v>
      </c>
      <c r="C51" s="27">
        <v>222.0</v>
      </c>
      <c r="D51" s="28">
        <v>5.0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231</v>
      </c>
      <c r="N51" s="28">
        <f t="shared" si="48"/>
        <v>5</v>
      </c>
      <c r="O51" s="33" t="s">
        <v>37</v>
      </c>
      <c r="P51" s="33" t="s">
        <v>37</v>
      </c>
      <c r="Q51" s="31">
        <f>if(G51=13,1,0)+VLOOKUP(B51,'121623'!B$5:Q$64,16,false)</f>
        <v>0</v>
      </c>
      <c r="R51" s="31"/>
      <c r="S51" s="31">
        <f>if(G51=9,1,0)+VLOOKUP(B51,'121623'!B:S,18,false)</f>
        <v>21</v>
      </c>
    </row>
    <row r="52">
      <c r="A52" s="25">
        <f t="shared" si="3"/>
        <v>48</v>
      </c>
      <c r="B52" s="36" t="s">
        <v>93</v>
      </c>
      <c r="C52" s="27">
        <v>221.0</v>
      </c>
      <c r="D52" s="28">
        <v>5.0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230</v>
      </c>
      <c r="N52" s="28">
        <f t="shared" si="49"/>
        <v>5</v>
      </c>
      <c r="O52" s="33" t="s">
        <v>37</v>
      </c>
      <c r="P52" s="37"/>
      <c r="Q52" s="31">
        <f>if(G52=13,1,0)+VLOOKUP(B52,'121623'!B$5:Q$64,16,false)</f>
        <v>0</v>
      </c>
      <c r="R52" s="31"/>
      <c r="S52" s="31">
        <f>if(G52=9,1,0)+VLOOKUP(B52,'121623'!B:S,18,false)</f>
        <v>22</v>
      </c>
    </row>
    <row r="53">
      <c r="A53" s="25">
        <f t="shared" si="3"/>
        <v>49</v>
      </c>
      <c r="B53" s="36" t="s">
        <v>94</v>
      </c>
      <c r="C53" s="27">
        <v>219.0</v>
      </c>
      <c r="D53" s="28">
        <v>4.0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228</v>
      </c>
      <c r="N53" s="28">
        <f t="shared" si="50"/>
        <v>4</v>
      </c>
      <c r="O53" s="33" t="s">
        <v>37</v>
      </c>
      <c r="P53" s="37"/>
      <c r="Q53" s="31">
        <f>if(G53=13,1,0)+VLOOKUP(B53,'121623'!B$5:Q$64,16,false)</f>
        <v>0</v>
      </c>
      <c r="R53" s="31"/>
      <c r="S53" s="31">
        <f>if(G53=9,1,0)+VLOOKUP(B53,'121623'!B:S,18,false)</f>
        <v>19</v>
      </c>
    </row>
    <row r="54">
      <c r="A54" s="25">
        <f t="shared" si="3"/>
        <v>50</v>
      </c>
      <c r="B54" s="26" t="s">
        <v>95</v>
      </c>
      <c r="C54" s="27">
        <v>217.0</v>
      </c>
      <c r="D54" s="28">
        <v>6.0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226</v>
      </c>
      <c r="N54" s="28">
        <f t="shared" si="51"/>
        <v>6</v>
      </c>
      <c r="O54" s="33" t="s">
        <v>37</v>
      </c>
      <c r="P54" s="33" t="s">
        <v>37</v>
      </c>
      <c r="Q54" s="31">
        <f>if(G54=13,1,0)+VLOOKUP(B54,'121623'!B$5:Q$64,16,false)</f>
        <v>0</v>
      </c>
      <c r="R54" s="31"/>
      <c r="S54" s="31">
        <f>if(G54=9,1,0)+VLOOKUP(B54,'121623'!B:S,18,false)</f>
        <v>18</v>
      </c>
    </row>
    <row r="55">
      <c r="A55" s="25">
        <f t="shared" si="3"/>
        <v>51</v>
      </c>
      <c r="B55" s="36" t="s">
        <v>96</v>
      </c>
      <c r="C55" s="27">
        <v>216.0</v>
      </c>
      <c r="D55" s="28">
        <v>14.0</v>
      </c>
      <c r="E55" s="30">
        <v>1.0</v>
      </c>
      <c r="F55" s="31">
        <v>8.0</v>
      </c>
      <c r="G55" s="27">
        <v>0.0</v>
      </c>
      <c r="H55" s="31">
        <v>3.0</v>
      </c>
      <c r="I55" s="31">
        <v>6.0</v>
      </c>
      <c r="J55" s="31">
        <v>6.0</v>
      </c>
      <c r="K55" s="32">
        <v>15.0</v>
      </c>
      <c r="L55" s="31">
        <v>2.0</v>
      </c>
      <c r="M55" s="27">
        <f t="shared" ref="M55:N55" si="52">C55+K55</f>
        <v>231</v>
      </c>
      <c r="N55" s="28">
        <f t="shared" si="52"/>
        <v>16</v>
      </c>
      <c r="O55" s="33" t="s">
        <v>37</v>
      </c>
      <c r="P55" s="37"/>
      <c r="Q55" s="31">
        <f>if(G55=13,1,0)+VLOOKUP(B55,'121623'!B$5:Q$64,16,false)</f>
        <v>0</v>
      </c>
      <c r="R55" s="31"/>
      <c r="S55" s="31">
        <f>if(G55=9,1,0)+VLOOKUP(B55,'121623'!B:S,18,false)</f>
        <v>9</v>
      </c>
    </row>
    <row r="56">
      <c r="A56" s="25">
        <f t="shared" si="3"/>
        <v>52</v>
      </c>
      <c r="B56" s="36" t="s">
        <v>97</v>
      </c>
      <c r="C56" s="27">
        <v>216.0</v>
      </c>
      <c r="D56" s="28">
        <v>7.0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225</v>
      </c>
      <c r="N56" s="28">
        <f t="shared" si="53"/>
        <v>7</v>
      </c>
      <c r="O56" s="33" t="s">
        <v>37</v>
      </c>
      <c r="P56" s="33" t="s">
        <v>37</v>
      </c>
      <c r="Q56" s="31">
        <f>if(G56=13,1,0)+VLOOKUP(B56,'121623'!B$5:Q$64,16,false)</f>
        <v>0</v>
      </c>
      <c r="R56" s="31"/>
      <c r="S56" s="31">
        <f>if(G56=9,1,0)+VLOOKUP(B56,'121623'!B:S,18,false)</f>
        <v>18</v>
      </c>
    </row>
    <row r="57">
      <c r="A57" s="25">
        <f t="shared" si="3"/>
        <v>53</v>
      </c>
      <c r="B57" s="36" t="s">
        <v>98</v>
      </c>
      <c r="C57" s="27">
        <v>216.0</v>
      </c>
      <c r="D57" s="28">
        <v>3.0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225</v>
      </c>
      <c r="N57" s="28">
        <f t="shared" si="54"/>
        <v>3</v>
      </c>
      <c r="O57" s="33" t="s">
        <v>37</v>
      </c>
      <c r="P57" s="37"/>
      <c r="Q57" s="31">
        <f>if(G57=13,1,0)+VLOOKUP(B57,'121623'!B$5:Q$64,16,false)</f>
        <v>0</v>
      </c>
      <c r="R57" s="31"/>
      <c r="S57" s="31">
        <f>if(G57=9,1,0)+VLOOKUP(B57,'121623'!B:S,18,false)</f>
        <v>19</v>
      </c>
    </row>
    <row r="58">
      <c r="A58" s="25">
        <f t="shared" si="3"/>
        <v>54</v>
      </c>
      <c r="B58" s="36" t="s">
        <v>99</v>
      </c>
      <c r="C58" s="27">
        <v>216.0</v>
      </c>
      <c r="D58" s="28">
        <v>3.0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225</v>
      </c>
      <c r="N58" s="28">
        <f t="shared" si="55"/>
        <v>3</v>
      </c>
      <c r="O58" s="33" t="s">
        <v>37</v>
      </c>
      <c r="P58" s="33"/>
      <c r="Q58" s="31">
        <f>if(G58=13,1,0)+VLOOKUP(B58,'121623'!B$5:Q$64,16,false)</f>
        <v>0</v>
      </c>
      <c r="R58" s="31"/>
      <c r="S58" s="31">
        <f>if(G58=9,1,0)+VLOOKUP(B58,'121623'!B:S,18,false)</f>
        <v>20</v>
      </c>
    </row>
    <row r="59">
      <c r="A59" s="25">
        <f t="shared" si="3"/>
        <v>55</v>
      </c>
      <c r="B59" s="26" t="s">
        <v>100</v>
      </c>
      <c r="C59" s="27">
        <v>214.0</v>
      </c>
      <c r="D59" s="28">
        <v>4.0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223</v>
      </c>
      <c r="N59" s="28">
        <f t="shared" si="56"/>
        <v>4</v>
      </c>
      <c r="O59" s="33" t="s">
        <v>37</v>
      </c>
      <c r="P59" s="33" t="s">
        <v>37</v>
      </c>
      <c r="Q59" s="31">
        <f>if(G59=13,1,0)+VLOOKUP(B59,'121623'!B$5:Q$64,16,false)</f>
        <v>0</v>
      </c>
      <c r="R59" s="31"/>
      <c r="S59" s="31">
        <f>if(G59=9,1,0)+VLOOKUP(B59,'121623'!B:S,18,false)</f>
        <v>21</v>
      </c>
    </row>
    <row r="60">
      <c r="A60" s="25">
        <f t="shared" si="3"/>
        <v>56</v>
      </c>
      <c r="B60" s="38" t="s">
        <v>101</v>
      </c>
      <c r="C60" s="27">
        <v>211.0</v>
      </c>
      <c r="D60" s="28">
        <v>2.0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220</v>
      </c>
      <c r="N60" s="28">
        <f t="shared" si="57"/>
        <v>2</v>
      </c>
      <c r="O60" s="33" t="s">
        <v>37</v>
      </c>
      <c r="P60" s="33" t="s">
        <v>37</v>
      </c>
      <c r="Q60" s="31">
        <f>if(G60=13,1,0)+VLOOKUP(B60,'121623'!B$5:Q$64,16,false)</f>
        <v>0</v>
      </c>
      <c r="R60" s="31"/>
      <c r="S60" s="31">
        <f>if(G60=9,1,0)+VLOOKUP(B60,'121623'!B:S,18,false)</f>
        <v>23</v>
      </c>
    </row>
    <row r="61">
      <c r="A61" s="25">
        <f t="shared" si="3"/>
        <v>57</v>
      </c>
      <c r="B61" s="38" t="s">
        <v>102</v>
      </c>
      <c r="C61" s="27">
        <v>211.0</v>
      </c>
      <c r="D61" s="28">
        <v>2.0</v>
      </c>
      <c r="E61" s="30">
        <v>3.0</v>
      </c>
      <c r="F61" s="31">
        <v>0.0</v>
      </c>
      <c r="G61" s="27">
        <v>9.0</v>
      </c>
      <c r="H61" s="31"/>
      <c r="I61" s="31"/>
      <c r="J61" s="31"/>
      <c r="K61" s="32">
        <v>9.0</v>
      </c>
      <c r="L61" s="31"/>
      <c r="M61" s="27">
        <f t="shared" ref="M61:N61" si="58">C61+K61</f>
        <v>220</v>
      </c>
      <c r="N61" s="28">
        <f t="shared" si="58"/>
        <v>2</v>
      </c>
      <c r="O61" s="33" t="s">
        <v>37</v>
      </c>
      <c r="P61" s="37"/>
      <c r="Q61" s="31">
        <f>if(G61=13,1,0)+VLOOKUP(B61,'121623'!B$5:Q$64,16,false)</f>
        <v>0</v>
      </c>
      <c r="R61" s="31"/>
      <c r="S61" s="31">
        <f>if(G61=9,1,0)+VLOOKUP(B61,'121623'!B:S,18,false)</f>
        <v>23</v>
      </c>
    </row>
    <row r="62">
      <c r="A62" s="25">
        <f t="shared" si="3"/>
        <v>58</v>
      </c>
      <c r="B62" s="26" t="s">
        <v>103</v>
      </c>
      <c r="C62" s="27">
        <v>207.0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216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if(G62=13,1,0)+VLOOKUP(B62,'121623'!B$5:Q$64,16,false)</f>
        <v>0</v>
      </c>
      <c r="R62" s="31"/>
      <c r="S62" s="31">
        <f>if(G62=9,1,0)+VLOOKUP(B62,'121623'!B:S,18,false)</f>
        <v>24</v>
      </c>
    </row>
    <row r="63">
      <c r="A63" s="25">
        <f t="shared" si="3"/>
        <v>59</v>
      </c>
      <c r="B63" s="36" t="s">
        <v>104</v>
      </c>
      <c r="C63" s="27">
        <v>207.0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216</v>
      </c>
      <c r="N63" s="28">
        <f t="shared" si="60"/>
        <v>0</v>
      </c>
      <c r="O63" s="33" t="s">
        <v>37</v>
      </c>
      <c r="P63" s="37"/>
      <c r="Q63" s="31">
        <f>if(G63=13,1,0)+VLOOKUP(B63,'121623'!B$5:Q$64,16,false)</f>
        <v>0</v>
      </c>
      <c r="R63" s="31"/>
      <c r="S63" s="31">
        <f>if(G63=9,1,0)+VLOOKUP(B63,'121623'!B:S,18,false)</f>
        <v>24</v>
      </c>
    </row>
    <row r="64">
      <c r="A64" s="25">
        <f t="shared" si="3"/>
        <v>60</v>
      </c>
      <c r="B64" s="26" t="s">
        <v>105</v>
      </c>
      <c r="C64" s="27">
        <v>207.0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216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if(G64=13,1,0)+VLOOKUP(B64,'121623'!B$5:Q$64,16,false)</f>
        <v>0</v>
      </c>
      <c r="R64" s="31"/>
      <c r="S64" s="31">
        <f>if(G64=9,1,0)+VLOOKUP(B64,'121623'!B:S,18,false)</f>
        <v>24</v>
      </c>
    </row>
    <row r="65">
      <c r="A65" s="25">
        <f t="shared" si="3"/>
        <v>61</v>
      </c>
      <c r="B65" s="26" t="s">
        <v>106</v>
      </c>
      <c r="C65" s="27">
        <v>207.0</v>
      </c>
      <c r="D65" s="28">
        <v>0.0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216</v>
      </c>
      <c r="N65" s="28">
        <f t="shared" si="62"/>
        <v>0</v>
      </c>
      <c r="O65" s="33" t="s">
        <v>37</v>
      </c>
      <c r="P65" s="37"/>
      <c r="Q65" s="31">
        <f>if(G65=13,1,0)+VLOOKUP(B65,'121623'!B:Q,16,false)</f>
        <v>0</v>
      </c>
      <c r="R65" s="31"/>
      <c r="S65" s="31">
        <f>if(G65=9,1,0)+VLOOKUP(B65,'121623'!B:S,18,false)</f>
        <v>24</v>
      </c>
    </row>
    <row r="66">
      <c r="A66" s="25">
        <f t="shared" si="3"/>
        <v>62</v>
      </c>
      <c r="B66" s="36" t="s">
        <v>109</v>
      </c>
      <c r="C66" s="27">
        <v>206.0</v>
      </c>
      <c r="D66" s="28">
        <v>3.0</v>
      </c>
      <c r="E66" s="30">
        <v>1.0</v>
      </c>
      <c r="F66" s="31">
        <v>8.0</v>
      </c>
      <c r="G66" s="27">
        <v>0.0</v>
      </c>
      <c r="H66" s="31">
        <v>3.0</v>
      </c>
      <c r="I66" s="31">
        <v>1.0</v>
      </c>
      <c r="J66" s="31">
        <v>2.0</v>
      </c>
      <c r="K66" s="32">
        <v>6.0</v>
      </c>
      <c r="L66" s="31">
        <v>0.0</v>
      </c>
      <c r="M66" s="27">
        <f t="shared" ref="M66:N66" si="63">C66+K66</f>
        <v>212</v>
      </c>
      <c r="N66" s="28">
        <f t="shared" si="63"/>
        <v>3</v>
      </c>
      <c r="O66" s="33" t="s">
        <v>37</v>
      </c>
      <c r="P66" s="33" t="s">
        <v>37</v>
      </c>
      <c r="Q66" s="31">
        <f>if(G66=13,1,0)+VLOOKUP(B66,'121623'!B:Q,16,false)</f>
        <v>0</v>
      </c>
      <c r="R66" s="31"/>
      <c r="S66" s="31">
        <f>if(G66=9,1,0)+VLOOKUP(B66,'121623'!B:S,18,false)</f>
        <v>11</v>
      </c>
    </row>
    <row r="67">
      <c r="A67" s="25">
        <f t="shared" si="3"/>
        <v>63</v>
      </c>
      <c r="B67" s="36" t="s">
        <v>107</v>
      </c>
      <c r="C67" s="27">
        <v>205.0</v>
      </c>
      <c r="D67" s="28">
        <v>2.0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214</v>
      </c>
      <c r="N67" s="28">
        <f t="shared" si="64"/>
        <v>2</v>
      </c>
      <c r="O67" s="33" t="s">
        <v>37</v>
      </c>
      <c r="P67" s="33" t="s">
        <v>37</v>
      </c>
      <c r="Q67" s="31">
        <f>if(G67=13,1,0)+VLOOKUP(B67,'121623'!B:Q,16,false)</f>
        <v>0</v>
      </c>
      <c r="R67" s="31"/>
      <c r="S67" s="31">
        <f>if(G67=9,1,0)+VLOOKUP(B67,'121623'!B:S,18,false)</f>
        <v>22</v>
      </c>
    </row>
    <row r="68">
      <c r="A68" s="25">
        <f t="shared" si="3"/>
        <v>64</v>
      </c>
      <c r="B68" s="36" t="s">
        <v>108</v>
      </c>
      <c r="C68" s="27">
        <v>204.0</v>
      </c>
      <c r="D68" s="28">
        <v>5.0</v>
      </c>
      <c r="E68" s="30">
        <v>3.0</v>
      </c>
      <c r="F68" s="31">
        <v>0.0</v>
      </c>
      <c r="G68" s="27">
        <v>9.0</v>
      </c>
      <c r="H68" s="31">
        <v>0.0</v>
      </c>
      <c r="I68" s="31">
        <v>0.0</v>
      </c>
      <c r="J68" s="31">
        <v>0.0</v>
      </c>
      <c r="K68" s="32">
        <v>9.0</v>
      </c>
      <c r="L68" s="31">
        <v>0.0</v>
      </c>
      <c r="M68" s="27">
        <f t="shared" ref="M68:N68" si="65">C68+K68</f>
        <v>213</v>
      </c>
      <c r="N68" s="28">
        <f t="shared" si="65"/>
        <v>5</v>
      </c>
      <c r="O68" s="33" t="s">
        <v>37</v>
      </c>
      <c r="P68" s="58"/>
      <c r="Q68" s="31">
        <f>if(G68=13,1,0)+VLOOKUP(B68,'121623'!B:Q,16,false)</f>
        <v>0</v>
      </c>
      <c r="R68" s="31"/>
      <c r="S68" s="31">
        <f>if(G68=9,1,0)+VLOOKUP(B68,'121623'!B:S,18,false)</f>
        <v>19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14" t="s">
        <v>110</v>
      </c>
      <c r="P70" s="13">
        <f>COUNTA(P5:P68)</f>
        <v>51</v>
      </c>
    </row>
    <row r="71">
      <c r="A71" s="1"/>
      <c r="C71" s="1"/>
      <c r="D71" s="1"/>
      <c r="E71" s="1"/>
      <c r="O71" s="14" t="s">
        <v>111</v>
      </c>
      <c r="P71" s="13">
        <f>P72-P70</f>
        <v>13</v>
      </c>
    </row>
    <row r="72">
      <c r="A72" s="1"/>
      <c r="C72" s="1"/>
      <c r="D72" s="1"/>
      <c r="J72" s="41"/>
      <c r="K72" s="42"/>
      <c r="L72" s="43"/>
      <c r="O72" s="14" t="s">
        <v>41</v>
      </c>
      <c r="P72" s="13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desc"",0)"),"Joe Luzzi")</f>
        <v>Joe Luzzi</v>
      </c>
      <c r="C77" s="46">
        <f>IFERROR(__xludf.DUMMYFUNCTION("""COMPUTED_VALUE"""),19.0)</f>
        <v>19</v>
      </c>
      <c r="D77" s="46">
        <f>IFERROR(__xludf.DUMMYFUNCTION("""COMPUTED_VALUE"""),2.0)</f>
        <v>2</v>
      </c>
      <c r="E77" s="1"/>
      <c r="K77" s="42"/>
      <c r="L77" s="43"/>
    </row>
    <row r="78">
      <c r="A78" s="1"/>
      <c r="B78" s="36" t="str">
        <f>IFERROR(__xludf.DUMMYFUNCTION("""COMPUTED_VALUE"""),"Jonathan Phan")</f>
        <v>Jonathan Phan</v>
      </c>
      <c r="C78" s="46">
        <f>IFERROR(__xludf.DUMMYFUNCTION("""COMPUTED_VALUE"""),19.0)</f>
        <v>19</v>
      </c>
      <c r="D78" s="46">
        <f>IFERROR(__xludf.DUMMYFUNCTION("""COMPUTED_VALUE"""),2.0)</f>
        <v>2</v>
      </c>
      <c r="E78" s="1"/>
      <c r="L78" s="47"/>
    </row>
    <row r="79">
      <c r="A79" s="1"/>
      <c r="B79" s="36" t="str">
        <f>IFERROR(__xludf.DUMMYFUNCTION("""COMPUTED_VALUE"""),"Peter Homsey")</f>
        <v>Peter Homsey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</row>
    <row r="80">
      <c r="A80" s="1"/>
      <c r="B80" s="36" t="str">
        <f>IFERROR(__xludf.DUMMYFUNCTION("""COMPUTED_VALUE"""),"Christopher Li")</f>
        <v>Christopher Li</v>
      </c>
      <c r="C80" s="46">
        <f>IFERROR(__xludf.DUMMYFUNCTION("""COMPUTED_VALUE"""),18.0)</f>
        <v>18</v>
      </c>
      <c r="D80" s="46">
        <f>IFERROR(__xludf.DUMMYFUNCTION("""COMPUTED_VALUE"""),3.0)</f>
        <v>3</v>
      </c>
      <c r="E80" s="1"/>
    </row>
    <row r="81">
      <c r="A81" s="1"/>
      <c r="B81" s="36" t="str">
        <f>IFERROR(__xludf.DUMMYFUNCTION("""COMPUTED_VALUE"""),"Mauricio Palacios")</f>
        <v>Mauricio Palacios</v>
      </c>
      <c r="C81" s="46">
        <f>IFERROR(__xludf.DUMMYFUNCTION("""COMPUTED_VALUE"""),18.0)</f>
        <v>18</v>
      </c>
      <c r="D81" s="46">
        <f>IFERROR(__xludf.DUMMYFUNCTION("""COMPUTED_VALUE"""),3.0)</f>
        <v>3</v>
      </c>
      <c r="E81" s="1"/>
      <c r="K81" s="34"/>
    </row>
    <row r="82">
      <c r="A82" s="1"/>
      <c r="B82" s="36" t="str">
        <f>IFERROR(__xludf.DUMMYFUNCTION("""COMPUTED_VALUE"""),"Peter Cheng")</f>
        <v>Peter Cheng</v>
      </c>
      <c r="C82" s="46">
        <f>IFERROR(__xludf.DUMMYFUNCTION("""COMPUTED_VALUE"""),18.0)</f>
        <v>18</v>
      </c>
      <c r="D82" s="46">
        <f>IFERROR(__xludf.DUMMYFUNCTION("""COMPUTED_VALUE"""),2.0)</f>
        <v>2</v>
      </c>
      <c r="E82" s="1"/>
      <c r="K82" s="34"/>
    </row>
    <row r="83">
      <c r="A83" s="1"/>
      <c r="B83" s="36" t="str">
        <f>IFERROR(__xludf.DUMMYFUNCTION("""COMPUTED_VALUE"""),"Ted Shen")</f>
        <v>Ted Shen</v>
      </c>
      <c r="C83" s="46">
        <f>IFERROR(__xludf.DUMMYFUNCTION("""COMPUTED_VALUE"""),18.0)</f>
        <v>18</v>
      </c>
      <c r="D83" s="46">
        <f>IFERROR(__xludf.DUMMYFUNCTION("""COMPUTED_VALUE"""),2.0)</f>
        <v>2</v>
      </c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IFERROR(__xludf.DUMMYFUNCTION("""COMPUTED_VALUE"""),321.0)</f>
        <v>321</v>
      </c>
      <c r="D90" s="50">
        <f>IFERROR(__xludf.DUMMYFUNCTION("""COMPUTED_VALUE"""),34.0)</f>
        <v>34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IFERROR(__xludf.DUMMYFUNCTION("""COMPUTED_VALUE"""),6.0)</f>
        <v>6</v>
      </c>
      <c r="I90" s="51">
        <f>IFERROR(__xludf.DUMMYFUNCTION("""COMPUTED_VALUE"""),6.0)</f>
        <v>6</v>
      </c>
      <c r="J90" s="51">
        <f>IFERROR(__xludf.DUMMYFUNCTION("""COMPUTED_VALUE"""),6.0)</f>
        <v>6</v>
      </c>
      <c r="K90" s="51">
        <f>IFERROR(__xludf.DUMMYFUNCTION("""COMPUTED_VALUE"""),18.0)</f>
        <v>18</v>
      </c>
      <c r="L90" s="51">
        <f>IFERROR(__xludf.DUMMYFUNCTION("""COMPUTED_VALUE"""),2.0)</f>
        <v>2</v>
      </c>
      <c r="M90" s="51">
        <f>IFERROR(__xludf.DUMMYFUNCTION("""COMPUTED_VALUE"""),339.0)</f>
        <v>339</v>
      </c>
      <c r="N90" s="52">
        <f>IFERROR(__xludf.DUMMYFUNCTION("""COMPUTED_VALUE"""),36.0)</f>
        <v>36</v>
      </c>
    </row>
    <row r="91">
      <c r="A91" s="1"/>
      <c r="B91" s="48" t="str">
        <f>IFERROR(__xludf.DUMMYFUNCTION("""COMPUTED_VALUE"""),"Robert Chang")</f>
        <v>Robert Chang</v>
      </c>
      <c r="C91" s="49">
        <f>IFERROR(__xludf.DUMMYFUNCTION("""COMPUTED_VALUE"""),307.0)</f>
        <v>307</v>
      </c>
      <c r="D91" s="50">
        <f>IFERROR(__xludf.DUMMYFUNCTION("""COMPUTED_VALUE"""),29.0)</f>
        <v>29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IFERROR(__xludf.DUMMYFUNCTION("""COMPUTED_VALUE"""),6.0)</f>
        <v>6</v>
      </c>
      <c r="I91" s="51">
        <f>IFERROR(__xludf.DUMMYFUNCTION("""COMPUTED_VALUE"""),4.0)</f>
        <v>4</v>
      </c>
      <c r="J91" s="51">
        <f>IFERROR(__xludf.DUMMYFUNCTION("""COMPUTED_VALUE"""),7.0)</f>
        <v>7</v>
      </c>
      <c r="K91" s="51">
        <f>IFERROR(__xludf.DUMMYFUNCTION("""COMPUTED_VALUE"""),17.0)</f>
        <v>17</v>
      </c>
      <c r="L91" s="51">
        <f>IFERROR(__xludf.DUMMYFUNCTION("""COMPUTED_VALUE"""),2.0)</f>
        <v>2</v>
      </c>
      <c r="M91" s="51">
        <f>IFERROR(__xludf.DUMMYFUNCTION("""COMPUTED_VALUE"""),324.0)</f>
        <v>324</v>
      </c>
      <c r="N91" s="52">
        <f>IFERROR(__xludf.DUMMYFUNCTION("""COMPUTED_VALUE"""),31.0)</f>
        <v>31</v>
      </c>
    </row>
    <row r="92">
      <c r="A92" s="1"/>
      <c r="B92" s="48" t="str">
        <f>IFERROR(__xludf.DUMMYFUNCTION("""COMPUTED_VALUE"""),"Alejandro Mejia")</f>
        <v>Alejandro Mejia</v>
      </c>
      <c r="C92" s="49">
        <f>IFERROR(__xludf.DUMMYFUNCTION("""COMPUTED_VALUE"""),297.0)</f>
        <v>297</v>
      </c>
      <c r="D92" s="50">
        <f>IFERROR(__xludf.DUMMYFUNCTION("""COMPUTED_VALUE"""),26.0)</f>
        <v>26</v>
      </c>
      <c r="E92" s="49">
        <f>IFERROR(__xludf.DUMMYFUNCTION("""COMPUTED_VALUE"""),1.0)</f>
        <v>1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IFERROR(__xludf.DUMMYFUNCTION("""COMPUTED_VALUE"""),4.0)</f>
        <v>4</v>
      </c>
      <c r="I92" s="51">
        <f>IFERROR(__xludf.DUMMYFUNCTION("""COMPUTED_VALUE"""),6.0)</f>
        <v>6</v>
      </c>
      <c r="J92" s="51">
        <f>IFERROR(__xludf.DUMMYFUNCTION("""COMPUTED_VALUE"""),7.0)</f>
        <v>7</v>
      </c>
      <c r="K92" s="51">
        <f>IFERROR(__xludf.DUMMYFUNCTION("""COMPUTED_VALUE"""),17.0)</f>
        <v>17</v>
      </c>
      <c r="L92" s="51">
        <f>IFERROR(__xludf.DUMMYFUNCTION("""COMPUTED_VALUE"""),2.0)</f>
        <v>2</v>
      </c>
      <c r="M92" s="51">
        <f>IFERROR(__xludf.DUMMYFUNCTION("""COMPUTED_VALUE"""),314.0)</f>
        <v>314</v>
      </c>
      <c r="N92" s="52">
        <f>IFERROR(__xludf.DUMMYFUNCTION("""COMPUTED_VALUE"""),28.0)</f>
        <v>28</v>
      </c>
    </row>
    <row r="93">
      <c r="A93" s="1"/>
      <c r="B93" s="48" t="str">
        <f>IFERROR(__xludf.DUMMYFUNCTION("""COMPUTED_VALUE"""),"Matthew Huang")</f>
        <v>Matthew Huang</v>
      </c>
      <c r="C93" s="49">
        <f>IFERROR(__xludf.DUMMYFUNCTION("""COMPUTED_VALUE"""),295.0)</f>
        <v>295</v>
      </c>
      <c r="D93" s="50">
        <f>IFERROR(__xludf.DUMMYFUNCTION("""COMPUTED_VALUE"""),25.0)</f>
        <v>25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IFERROR(__xludf.DUMMYFUNCTION("""COMPUTED_VALUE"""),4.0)</f>
        <v>4</v>
      </c>
      <c r="I93" s="51">
        <f>IFERROR(__xludf.DUMMYFUNCTION("""COMPUTED_VALUE"""),4.0)</f>
        <v>4</v>
      </c>
      <c r="J93" s="51">
        <f>IFERROR(__xludf.DUMMYFUNCTION("""COMPUTED_VALUE"""),6.0)</f>
        <v>6</v>
      </c>
      <c r="K93" s="51">
        <f>IFERROR(__xludf.DUMMYFUNCTION("""COMPUTED_VALUE"""),14.0)</f>
        <v>14</v>
      </c>
      <c r="L93" s="51">
        <f>IFERROR(__xludf.DUMMYFUNCTION("""COMPUTED_VALUE"""),0.0)</f>
        <v>0</v>
      </c>
      <c r="M93" s="51">
        <f>IFERROR(__xludf.DUMMYFUNCTION("""COMPUTED_VALUE"""),309.0)</f>
        <v>309</v>
      </c>
      <c r="N93" s="52">
        <f>IFERROR(__xludf.DUMMYFUNCTION("""COMPUTED_VALUE"""),25.0)</f>
        <v>25</v>
      </c>
    </row>
    <row r="94">
      <c r="A94" s="1"/>
      <c r="B94" s="53" t="str">
        <f>IFERROR(__xludf.DUMMYFUNCTION("""COMPUTED_VALUE"""),"Pavan Akkimsetty")</f>
        <v>Pavan Akkimsetty</v>
      </c>
      <c r="C94" s="54">
        <f>IFERROR(__xludf.DUMMYFUNCTION("""COMPUTED_VALUE"""),291.0)</f>
        <v>291</v>
      </c>
      <c r="D94" s="55">
        <f>IFERROR(__xludf.DUMMYFUNCTION("""COMPUTED_VALUE"""),26.0)</f>
        <v>26</v>
      </c>
      <c r="E94" s="54">
        <f>IFERROR(__xludf.DUMMYFUNCTION("""COMPUTED_VALUE"""),1.0)</f>
        <v>1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IFERROR(__xludf.DUMMYFUNCTION("""COMPUTED_VALUE"""),4.0)</f>
        <v>4</v>
      </c>
      <c r="J94" s="56">
        <f>IFERROR(__xludf.DUMMYFUNCTION("""COMPUTED_VALUE"""),4.0)</f>
        <v>4</v>
      </c>
      <c r="K94" s="56">
        <f>IFERROR(__xludf.DUMMYFUNCTION("""COMPUTED_VALUE"""),14.0)</f>
        <v>14</v>
      </c>
      <c r="L94" s="56">
        <f>IFERROR(__xludf.DUMMYFUNCTION("""COMPUTED_VALUE"""),1.0)</f>
        <v>1</v>
      </c>
      <c r="M94" s="56">
        <f>IFERROR(__xludf.DUMMYFUNCTION("""COMPUTED_VALUE"""),305.0)</f>
        <v>305</v>
      </c>
      <c r="N94" s="57">
        <f>IFERROR(__xludf.DUMMYFUNCTION("""COMPUTED_VALUE"""),27.0)</f>
        <v>27</v>
      </c>
    </row>
    <row r="95">
      <c r="A95" s="1"/>
      <c r="B95" s="53" t="str">
        <f>IFERROR(__xludf.DUMMYFUNCTION("""COMPUTED_VALUE"""),"Erik Hoeckmann")</f>
        <v>Erik Hoeckmann</v>
      </c>
      <c r="C95" s="54">
        <f>IFERROR(__xludf.DUMMYFUNCTION("""COMPUTED_VALUE"""),290.0)</f>
        <v>290</v>
      </c>
      <c r="D95" s="55">
        <f>IFERROR(__xludf.DUMMYFUNCTION("""COMPUTED_VALUE"""),23.0)</f>
        <v>23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IFERROR(__xludf.DUMMYFUNCTION("""COMPUTED_VALUE"""),1.0)</f>
        <v>1</v>
      </c>
      <c r="I95" s="56">
        <f>IFERROR(__xludf.DUMMYFUNCTION("""COMPUTED_VALUE"""),4.0)</f>
        <v>4</v>
      </c>
      <c r="J95" s="56">
        <f>IFERROR(__xludf.DUMMYFUNCTION("""COMPUTED_VALUE"""),6.0)</f>
        <v>6</v>
      </c>
      <c r="K95" s="56">
        <f>IFERROR(__xludf.DUMMYFUNCTION("""COMPUTED_VALUE"""),11.0)</f>
        <v>11</v>
      </c>
      <c r="L95" s="56">
        <f>IFERROR(__xludf.DUMMYFUNCTION("""COMPUTED_VALUE"""),1.0)</f>
        <v>1</v>
      </c>
      <c r="M95" s="56">
        <f>IFERROR(__xludf.DUMMYFUNCTION("""COMPUTED_VALUE"""),301.0)</f>
        <v>301</v>
      </c>
      <c r="N95" s="57">
        <f>IFERROR(__xludf.DUMMYFUNCTION("""COMPUTED_VALUE"""),24.0)</f>
        <v>24</v>
      </c>
    </row>
    <row r="96">
      <c r="A96" s="1"/>
      <c r="B96" s="53" t="str">
        <f>IFERROR(__xludf.DUMMYFUNCTION("""COMPUTED_VALUE"""),"Peter Homsey")</f>
        <v>Peter Homsey</v>
      </c>
      <c r="C96" s="54">
        <f>IFERROR(__xludf.DUMMYFUNCTION("""COMPUTED_VALUE"""),283.0)</f>
        <v>283</v>
      </c>
      <c r="D96" s="55">
        <f>IFERROR(__xludf.DUMMYFUNCTION("""COMPUTED_VALUE"""),24.0)</f>
        <v>24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IFERROR(__xludf.DUMMYFUNCTION("""COMPUTED_VALUE"""),6.0)</f>
        <v>6</v>
      </c>
      <c r="I96" s="56">
        <f>IFERROR(__xludf.DUMMYFUNCTION("""COMPUTED_VALUE"""),6.0)</f>
        <v>6</v>
      </c>
      <c r="J96" s="56">
        <f>IFERROR(__xludf.DUMMYFUNCTION("""COMPUTED_VALUE"""),6.0)</f>
        <v>6</v>
      </c>
      <c r="K96" s="56">
        <f>IFERROR(__xludf.DUMMYFUNCTION("""COMPUTED_VALUE"""),18.0)</f>
        <v>18</v>
      </c>
      <c r="L96" s="56">
        <f>IFERROR(__xludf.DUMMYFUNCTION("""COMPUTED_VALUE"""),3.0)</f>
        <v>3</v>
      </c>
      <c r="M96" s="56">
        <f>IFERROR(__xludf.DUMMYFUNCTION("""COMPUTED_VALUE"""),301.0)</f>
        <v>301</v>
      </c>
      <c r="N96" s="57">
        <f>IFERROR(__xludf.DUMMYFUNCTION("""COMPUTED_VALUE"""),27.0)</f>
        <v>27</v>
      </c>
    </row>
    <row r="97">
      <c r="A97" s="1"/>
      <c r="B97" s="53" t="str">
        <f>IFERROR(__xludf.DUMMYFUNCTION("""COMPUTED_VALUE"""),"Chinna Ponnaganti")</f>
        <v>Chinna Ponnaganti</v>
      </c>
      <c r="C97" s="54">
        <f>IFERROR(__xludf.DUMMYFUNCTION("""COMPUTED_VALUE"""),282.0)</f>
        <v>282</v>
      </c>
      <c r="D97" s="55">
        <f>IFERROR(__xludf.DUMMYFUNCTION("""COMPUTED_VALUE"""),26.0)</f>
        <v>26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IFERROR(__xludf.DUMMYFUNCTION("""COMPUTED_VALUE"""),1.0)</f>
        <v>1</v>
      </c>
      <c r="I97" s="56">
        <f>IFERROR(__xludf.DUMMYFUNCTION("""COMPUTED_VALUE"""),6.0)</f>
        <v>6</v>
      </c>
      <c r="J97" s="56">
        <f>IFERROR(__xludf.DUMMYFUNCTION("""COMPUTED_VALUE"""),4.0)</f>
        <v>4</v>
      </c>
      <c r="K97" s="56">
        <f>IFERROR(__xludf.DUMMYFUNCTION("""COMPUTED_VALUE"""),11.0)</f>
        <v>11</v>
      </c>
      <c r="L97" s="56">
        <f>IFERROR(__xludf.DUMMYFUNCTION("""COMPUTED_VALUE"""),1.0)</f>
        <v>1</v>
      </c>
      <c r="M97" s="56">
        <f>IFERROR(__xludf.DUMMYFUNCTION("""COMPUTED_VALUE"""),293.0)</f>
        <v>293</v>
      </c>
      <c r="N97" s="57">
        <f>IFERROR(__xludf.DUMMYFUNCTION("""COMPUTED_VALUE"""),27.0)</f>
        <v>27</v>
      </c>
    </row>
    <row r="98">
      <c r="A98" s="1"/>
      <c r="B98" s="48" t="str">
        <f>IFERROR(__xludf.DUMMYFUNCTION("""COMPUTED_VALUE"""),"Joe Luzzi")</f>
        <v>Joe Luzzi</v>
      </c>
      <c r="C98" s="49">
        <f>IFERROR(__xludf.DUMMYFUNCTION("""COMPUTED_VALUE"""),282.0)</f>
        <v>282</v>
      </c>
      <c r="D98" s="50">
        <f>IFERROR(__xludf.DUMMYFUNCTION("""COMPUTED_VALUE"""),26.0)</f>
        <v>26</v>
      </c>
      <c r="E98" s="49">
        <f>IFERROR(__xludf.DUMMYFUNCTION("""COMPUTED_VALUE"""),2.0)</f>
        <v>2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IFERROR(__xludf.DUMMYFUNCTION("""COMPUTED_VALUE"""),6.0)</f>
        <v>6</v>
      </c>
      <c r="I98" s="51">
        <f>IFERROR(__xludf.DUMMYFUNCTION("""COMPUTED_VALUE"""),6.0)</f>
        <v>6</v>
      </c>
      <c r="J98" s="51">
        <f>IFERROR(__xludf.DUMMYFUNCTION("""COMPUTED_VALUE"""),7.0)</f>
        <v>7</v>
      </c>
      <c r="K98" s="51">
        <f>IFERROR(__xludf.DUMMYFUNCTION("""COMPUTED_VALUE"""),19.0)</f>
        <v>19</v>
      </c>
      <c r="L98" s="51">
        <f>IFERROR(__xludf.DUMMYFUNCTION("""COMPUTED_VALUE"""),2.0)</f>
        <v>2</v>
      </c>
      <c r="M98" s="51">
        <f>IFERROR(__xludf.DUMMYFUNCTION("""COMPUTED_VALUE"""),301.0)</f>
        <v>301</v>
      </c>
      <c r="N98" s="52">
        <f>IFERROR(__xludf.DUMMYFUNCTION("""COMPUTED_VALUE"""),28.0)</f>
        <v>28</v>
      </c>
    </row>
    <row r="99">
      <c r="A99" s="1"/>
      <c r="B99" s="48" t="str">
        <f>IFERROR(__xludf.DUMMYFUNCTION("""COMPUTED_VALUE"""),"David Shin")</f>
        <v>David Shin</v>
      </c>
      <c r="C99" s="49">
        <f>IFERROR(__xludf.DUMMYFUNCTION("""COMPUTED_VALUE"""),280.0)</f>
        <v>280</v>
      </c>
      <c r="D99" s="50">
        <f>IFERROR(__xludf.DUMMYFUNCTION("""COMPUTED_VALUE"""),22.0)</f>
        <v>22</v>
      </c>
      <c r="E99" s="49">
        <f>IFERROR(__xludf.DUMMYFUNCTION("""COMPUTED_VALUE"""),2.0)</f>
        <v>2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IFERROR(__xludf.DUMMYFUNCTION("""COMPUTED_VALUE"""),4.0)</f>
        <v>4</v>
      </c>
      <c r="I99" s="51">
        <f>IFERROR(__xludf.DUMMYFUNCTION("""COMPUTED_VALUE"""),6.0)</f>
        <v>6</v>
      </c>
      <c r="J99" s="51">
        <f>IFERROR(__xludf.DUMMYFUNCTION("""COMPUTED_VALUE"""),6.0)</f>
        <v>6</v>
      </c>
      <c r="K99" s="51">
        <f>IFERROR(__xludf.DUMMYFUNCTION("""COMPUTED_VALUE"""),16.0)</f>
        <v>16</v>
      </c>
      <c r="L99" s="51">
        <f>IFERROR(__xludf.DUMMYFUNCTION("""COMPUTED_VALUE"""),0.0)</f>
        <v>0</v>
      </c>
      <c r="M99" s="51">
        <f>IFERROR(__xludf.DUMMYFUNCTION("""COMPUTED_VALUE"""),296.0)</f>
        <v>296</v>
      </c>
      <c r="N99" s="52">
        <f>IFERROR(__xludf.DUMMYFUNCTION("""COMPUTED_VALUE"""),22.0)</f>
        <v>22</v>
      </c>
    </row>
    <row r="100">
      <c r="A100" s="1"/>
      <c r="B100" s="48" t="str">
        <f>IFERROR(__xludf.DUMMYFUNCTION("""COMPUTED_VALUE"""),"Ted Shen")</f>
        <v>Ted Shen</v>
      </c>
      <c r="C100" s="49">
        <f>IFERROR(__xludf.DUMMYFUNCTION("""COMPUTED_VALUE"""),279.0)</f>
        <v>279</v>
      </c>
      <c r="D100" s="50">
        <f>IFERROR(__xludf.DUMMYFUNCTION("""COMPUTED_VALUE"""),24.0)</f>
        <v>24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IFERROR(__xludf.DUMMYFUNCTION("""COMPUTED_VALUE"""),4.0)</f>
        <v>4</v>
      </c>
      <c r="I100" s="51">
        <f>IFERROR(__xludf.DUMMYFUNCTION("""COMPUTED_VALUE"""),7.0)</f>
        <v>7</v>
      </c>
      <c r="J100" s="51">
        <f>IFERROR(__xludf.DUMMYFUNCTION("""COMPUTED_VALUE"""),7.0)</f>
        <v>7</v>
      </c>
      <c r="K100" s="51">
        <f>IFERROR(__xludf.DUMMYFUNCTION("""COMPUTED_VALUE"""),18.0)</f>
        <v>18</v>
      </c>
      <c r="L100" s="51">
        <f>IFERROR(__xludf.DUMMYFUNCTION("""COMPUTED_VALUE"""),2.0)</f>
        <v>2</v>
      </c>
      <c r="M100" s="51">
        <f>IFERROR(__xludf.DUMMYFUNCTION("""COMPUTED_VALUE"""),297.0)</f>
        <v>297</v>
      </c>
      <c r="N100" s="52">
        <f>IFERROR(__xludf.DUMMYFUNCTION("""COMPUTED_VALUE"""),26.0)</f>
        <v>26</v>
      </c>
    </row>
    <row r="101">
      <c r="A101" s="1"/>
      <c r="B101" s="48" t="str">
        <f>IFERROR(__xludf.DUMMYFUNCTION("""COMPUTED_VALUE"""),"Jonathan Phan")</f>
        <v>Jonathan Phan</v>
      </c>
      <c r="C101" s="49">
        <f>IFERROR(__xludf.DUMMYFUNCTION("""COMPUTED_VALUE"""),278.0)</f>
        <v>278</v>
      </c>
      <c r="D101" s="50">
        <f>IFERROR(__xludf.DUMMYFUNCTION("""COMPUTED_VALUE"""),20.0)</f>
        <v>20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IFERROR(__xludf.DUMMYFUNCTION("""COMPUTED_VALUE"""),6.0)</f>
        <v>6</v>
      </c>
      <c r="I101" s="51">
        <f>IFERROR(__xludf.DUMMYFUNCTION("""COMPUTED_VALUE"""),7.0)</f>
        <v>7</v>
      </c>
      <c r="J101" s="51">
        <f>IFERROR(__xludf.DUMMYFUNCTION("""COMPUTED_VALUE"""),6.0)</f>
        <v>6</v>
      </c>
      <c r="K101" s="51">
        <f>IFERROR(__xludf.DUMMYFUNCTION("""COMPUTED_VALUE"""),19.0)</f>
        <v>19</v>
      </c>
      <c r="L101" s="51">
        <f>IFERROR(__xludf.DUMMYFUNCTION("""COMPUTED_VALUE"""),2.0)</f>
        <v>2</v>
      </c>
      <c r="M101" s="51">
        <f>IFERROR(__xludf.DUMMYFUNCTION("""COMPUTED_VALUE"""),297.0)</f>
        <v>297</v>
      </c>
      <c r="N101" s="52">
        <f>IFERROR(__xludf.DUMMYFUNCTION("""COMPUTED_VALUE"""),22.0)</f>
        <v>22</v>
      </c>
    </row>
    <row r="102">
      <c r="A102" s="1"/>
      <c r="B102" s="53" t="str">
        <f>IFERROR(__xludf.DUMMYFUNCTION("""COMPUTED_VALUE"""),"Tony Wong")</f>
        <v>Tony Wong</v>
      </c>
      <c r="C102" s="54">
        <f>IFERROR(__xludf.DUMMYFUNCTION("""COMPUTED_VALUE"""),276.0)</f>
        <v>276</v>
      </c>
      <c r="D102" s="55">
        <f>IFERROR(__xludf.DUMMYFUNCTION("""COMPUTED_VALUE"""),18.0)</f>
        <v>18</v>
      </c>
      <c r="E102" s="54">
        <f>IFERROR(__xludf.DUMMYFUNCTION("""COMPUTED_VALUE"""),2.0)</f>
        <v>2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IFERROR(__xludf.DUMMYFUNCTION("""COMPUTED_VALUE"""),0.0)</f>
        <v>0</v>
      </c>
      <c r="I102" s="56">
        <f>IFERROR(__xludf.DUMMYFUNCTION("""COMPUTED_VALUE"""),2.0)</f>
        <v>2</v>
      </c>
      <c r="J102" s="56">
        <f>IFERROR(__xludf.DUMMYFUNCTION("""COMPUTED_VALUE"""),5.0)</f>
        <v>5</v>
      </c>
      <c r="K102" s="56">
        <f>IFERROR(__xludf.DUMMYFUNCTION("""COMPUTED_VALUE"""),7.0)</f>
        <v>7</v>
      </c>
      <c r="L102" s="56">
        <f>IFERROR(__xludf.DUMMYFUNCTION("""COMPUTED_VALUE"""),0.0)</f>
        <v>0</v>
      </c>
      <c r="M102" s="56">
        <f>IFERROR(__xludf.DUMMYFUNCTION("""COMPUTED_VALUE"""),283.0)</f>
        <v>283</v>
      </c>
      <c r="N102" s="57">
        <f>IFERROR(__xludf.DUMMYFUNCTION("""COMPUTED_VALUE"""),18.0)</f>
        <v>18</v>
      </c>
    </row>
    <row r="103">
      <c r="A103" s="1"/>
      <c r="B103" s="53" t="str">
        <f>IFERROR(__xludf.DUMMYFUNCTION("""COMPUTED_VALUE"""),"Kingsley Kuo")</f>
        <v>Kingsley Kuo</v>
      </c>
      <c r="C103" s="54">
        <f>IFERROR(__xludf.DUMMYFUNCTION("""COMPUTED_VALUE"""),271.0)</f>
        <v>271</v>
      </c>
      <c r="D103" s="55">
        <f>IFERROR(__xludf.DUMMYFUNCTION("""COMPUTED_VALUE"""),18.0)</f>
        <v>18</v>
      </c>
      <c r="E103" s="54">
        <f>IFERROR(__xludf.DUMMYFUNCTION("""COMPUTED_VALUE"""),1.0)</f>
        <v>1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IFERROR(__xludf.DUMMYFUNCTION("""COMPUTED_VALUE"""),6.0)</f>
        <v>6</v>
      </c>
      <c r="I103" s="56">
        <f>IFERROR(__xludf.DUMMYFUNCTION("""COMPUTED_VALUE"""),2.0)</f>
        <v>2</v>
      </c>
      <c r="J103" s="56">
        <f>IFERROR(__xludf.DUMMYFUNCTION("""COMPUTED_VALUE"""),7.0)</f>
        <v>7</v>
      </c>
      <c r="K103" s="56">
        <f>IFERROR(__xludf.DUMMYFUNCTION("""COMPUTED_VALUE"""),15.0)</f>
        <v>15</v>
      </c>
      <c r="L103" s="56">
        <f>IFERROR(__xludf.DUMMYFUNCTION("""COMPUTED_VALUE"""),2.0)</f>
        <v>2</v>
      </c>
      <c r="M103" s="56">
        <f>IFERROR(__xludf.DUMMYFUNCTION("""COMPUTED_VALUE"""),286.0)</f>
        <v>286</v>
      </c>
      <c r="N103" s="57">
        <f>IFERROR(__xludf.DUMMYFUNCTION("""COMPUTED_VALUE"""),20.0)</f>
        <v>20</v>
      </c>
    </row>
    <row r="104">
      <c r="A104" s="1"/>
      <c r="B104" s="53" t="str">
        <f>IFERROR(__xludf.DUMMYFUNCTION("""COMPUTED_VALUE"""),"Trinath Goteti")</f>
        <v>Trinath Goteti</v>
      </c>
      <c r="C104" s="54">
        <f>IFERROR(__xludf.DUMMYFUNCTION("""COMPUTED_VALUE"""),271.0)</f>
        <v>271</v>
      </c>
      <c r="D104" s="55">
        <f>IFERROR(__xludf.DUMMYFUNCTION("""COMPUTED_VALUE"""),18.0)</f>
        <v>18</v>
      </c>
      <c r="E104" s="54">
        <f>IFERROR(__xludf.DUMMYFUNCTION("""COMPUTED_VALUE"""),2.0)</f>
        <v>2</v>
      </c>
      <c r="F104" s="56">
        <f>IFERROR(__xludf.DUMMYFUNCTION("""COMPUTED_VALUE"""),4.0)</f>
        <v>4</v>
      </c>
      <c r="G104" s="56">
        <f>IFERROR(__xludf.DUMMYFUNCTION("""COMPUTED_VALUE"""),0.0)</f>
        <v>0</v>
      </c>
      <c r="H104" s="56">
        <f>IFERROR(__xludf.DUMMYFUNCTION("""COMPUTED_VALUE"""),0.0)</f>
        <v>0</v>
      </c>
      <c r="I104" s="56">
        <f>IFERROR(__xludf.DUMMYFUNCTION("""COMPUTED_VALUE"""),6.0)</f>
        <v>6</v>
      </c>
      <c r="J104" s="56">
        <f>IFERROR(__xludf.DUMMYFUNCTION("""COMPUTED_VALUE"""),7.0)</f>
        <v>7</v>
      </c>
      <c r="K104" s="56">
        <f>IFERROR(__xludf.DUMMYFUNCTION("""COMPUTED_VALUE"""),13.0)</f>
        <v>13</v>
      </c>
      <c r="L104" s="56">
        <f>IFERROR(__xludf.DUMMYFUNCTION("""COMPUTED_VALUE"""),2.0)</f>
        <v>2</v>
      </c>
      <c r="M104" s="56">
        <f>IFERROR(__xludf.DUMMYFUNCTION("""COMPUTED_VALUE"""),284.0)</f>
        <v>284</v>
      </c>
      <c r="N104" s="57">
        <f>IFERROR(__xludf.DUMMYFUNCTION("""COMPUTED_VALUE"""),20.0)</f>
        <v>20</v>
      </c>
    </row>
    <row r="105">
      <c r="A105" s="1"/>
      <c r="B105" s="53" t="str">
        <f>IFERROR(__xludf.DUMMYFUNCTION("""COMPUTED_VALUE"""),"Sai Dilip Ponnaganti")</f>
        <v>Sai Dilip Ponnaganti</v>
      </c>
      <c r="C105" s="54">
        <f>IFERROR(__xludf.DUMMYFUNCTION("""COMPUTED_VALUE"""),269.0)</f>
        <v>269</v>
      </c>
      <c r="D105" s="55">
        <f>IFERROR(__xludf.DUMMYFUNCTION("""COMPUTED_VALUE"""),17.0)</f>
        <v>17</v>
      </c>
      <c r="E105" s="54">
        <f>IFERROR(__xludf.DUMMYFUNCTION("""COMPUTED_VALUE"""),1.0)</f>
        <v>1</v>
      </c>
      <c r="F105" s="56">
        <f>IFERROR(__xludf.DUMMYFUNCTION("""COMPUTED_VALUE"""),4.0)</f>
        <v>4</v>
      </c>
      <c r="G105" s="56">
        <f>IFERROR(__xludf.DUMMYFUNCTION("""COMPUTED_VALUE"""),0.0)</f>
        <v>0</v>
      </c>
      <c r="H105" s="56">
        <f>IFERROR(__xludf.DUMMYFUNCTION("""COMPUTED_VALUE"""),6.0)</f>
        <v>6</v>
      </c>
      <c r="I105" s="56">
        <f>IFERROR(__xludf.DUMMYFUNCTION("""COMPUTED_VALUE"""),6.0)</f>
        <v>6</v>
      </c>
      <c r="J105" s="56">
        <f>IFERROR(__xludf.DUMMYFUNCTION("""COMPUTED_VALUE"""),5.0)</f>
        <v>5</v>
      </c>
      <c r="K105" s="56">
        <f>IFERROR(__xludf.DUMMYFUNCTION("""COMPUTED_VALUE"""),17.0)</f>
        <v>17</v>
      </c>
      <c r="L105" s="56">
        <f>IFERROR(__xludf.DUMMYFUNCTION("""COMPUTED_VALUE"""),2.0)</f>
        <v>2</v>
      </c>
      <c r="M105" s="56">
        <f>IFERROR(__xludf.DUMMYFUNCTION("""COMPUTED_VALUE"""),286.0)</f>
        <v>286</v>
      </c>
      <c r="N105" s="57">
        <f>IFERROR(__xludf.DUMMYFUNCTION("""COMPUTED_VALUE"""),19.0)</f>
        <v>19</v>
      </c>
    </row>
    <row r="106">
      <c r="A106" s="1"/>
      <c r="B106" s="48" t="str">
        <f>IFERROR(__xludf.DUMMYFUNCTION("""COMPUTED_VALUE"""),"Sean Chang")</f>
        <v>Sean Chang</v>
      </c>
      <c r="C106" s="49">
        <f>IFERROR(__xludf.DUMMYFUNCTION("""COMPUTED_VALUE"""),267.0)</f>
        <v>267</v>
      </c>
      <c r="D106" s="50">
        <f>IFERROR(__xludf.DUMMYFUNCTION("""COMPUTED_VALUE"""),17.0)</f>
        <v>17</v>
      </c>
      <c r="E106" s="49">
        <f>IFERROR(__xludf.DUMMYFUNCTION("""COMPUTED_VALUE"""),1.0)</f>
        <v>1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IFERROR(__xludf.DUMMYFUNCTION("""COMPUTED_VALUE"""),4.0)</f>
        <v>4</v>
      </c>
      <c r="I106" s="51">
        <f>IFERROR(__xludf.DUMMYFUNCTION("""COMPUTED_VALUE"""),1.0)</f>
        <v>1</v>
      </c>
      <c r="J106" s="51">
        <f>IFERROR(__xludf.DUMMYFUNCTION("""COMPUTED_VALUE"""),6.0)</f>
        <v>6</v>
      </c>
      <c r="K106" s="51">
        <f>IFERROR(__xludf.DUMMYFUNCTION("""COMPUTED_VALUE"""),11.0)</f>
        <v>11</v>
      </c>
      <c r="L106" s="51">
        <f>IFERROR(__xludf.DUMMYFUNCTION("""COMPUTED_VALUE"""),1.0)</f>
        <v>1</v>
      </c>
      <c r="M106" s="51">
        <f>IFERROR(__xludf.DUMMYFUNCTION("""COMPUTED_VALUE"""),278.0)</f>
        <v>278</v>
      </c>
      <c r="N106" s="52">
        <f>IFERROR(__xludf.DUMMYFUNCTION("""COMPUTED_VALUE"""),18.0)</f>
        <v>18</v>
      </c>
    </row>
    <row r="107">
      <c r="A107" s="1"/>
      <c r="B107" s="48" t="str">
        <f>IFERROR(__xludf.DUMMYFUNCTION("""COMPUTED_VALUE"""),"Christopher Li")</f>
        <v>Christopher Li</v>
      </c>
      <c r="C107" s="49">
        <f>IFERROR(__xludf.DUMMYFUNCTION("""COMPUTED_VALUE"""),260.0)</f>
        <v>260</v>
      </c>
      <c r="D107" s="50">
        <f>IFERROR(__xludf.DUMMYFUNCTION("""COMPUTED_VALUE"""),16.0)</f>
        <v>16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IFERROR(__xludf.DUMMYFUNCTION("""COMPUTED_VALUE"""),6.0)</f>
        <v>6</v>
      </c>
      <c r="I107" s="51">
        <f>IFERROR(__xludf.DUMMYFUNCTION("""COMPUTED_VALUE"""),6.0)</f>
        <v>6</v>
      </c>
      <c r="J107" s="51">
        <f>IFERROR(__xludf.DUMMYFUNCTION("""COMPUTED_VALUE"""),6.0)</f>
        <v>6</v>
      </c>
      <c r="K107" s="51">
        <f>IFERROR(__xludf.DUMMYFUNCTION("""COMPUTED_VALUE"""),18.0)</f>
        <v>18</v>
      </c>
      <c r="L107" s="51">
        <f>IFERROR(__xludf.DUMMYFUNCTION("""COMPUTED_VALUE"""),3.0)</f>
        <v>3</v>
      </c>
      <c r="M107" s="51">
        <f>IFERROR(__xludf.DUMMYFUNCTION("""COMPUTED_VALUE"""),278.0)</f>
        <v>278</v>
      </c>
      <c r="N107" s="52">
        <f>IFERROR(__xludf.DUMMYFUNCTION("""COMPUTED_VALUE"""),19.0)</f>
        <v>19</v>
      </c>
    </row>
    <row r="108">
      <c r="A108" s="1"/>
      <c r="B108" s="48" t="str">
        <f>IFERROR(__xludf.DUMMYFUNCTION("""COMPUTED_VALUE"""),"Rajasekar Ramasamy")</f>
        <v>Rajasekar Ramasamy</v>
      </c>
      <c r="C108" s="49">
        <f>IFERROR(__xludf.DUMMYFUNCTION("""COMPUTED_VALUE"""),258.0)</f>
        <v>258</v>
      </c>
      <c r="D108" s="50">
        <f>IFERROR(__xludf.DUMMYFUNCTION("""COMPUTED_VALUE"""),21.0)</f>
        <v>21</v>
      </c>
      <c r="E108" s="49">
        <f>IFERROR(__xludf.DUMMYFUNCTION("""COMPUTED_VALUE"""),1.0)</f>
        <v>1</v>
      </c>
      <c r="F108" s="51">
        <f>IFERROR(__xludf.DUMMYFUNCTION("""COMPUTED_VALUE"""),5.0)</f>
        <v>5</v>
      </c>
      <c r="G108" s="51">
        <f>IFERROR(__xludf.DUMMYFUNCTION("""COMPUTED_VALUE"""),0.0)</f>
        <v>0</v>
      </c>
      <c r="H108" s="51">
        <f>IFERROR(__xludf.DUMMYFUNCTION("""COMPUTED_VALUE"""),4.0)</f>
        <v>4</v>
      </c>
      <c r="I108" s="51">
        <f>IFERROR(__xludf.DUMMYFUNCTION("""COMPUTED_VALUE"""),6.0)</f>
        <v>6</v>
      </c>
      <c r="J108" s="51">
        <f>IFERROR(__xludf.DUMMYFUNCTION("""COMPUTED_VALUE"""),2.0)</f>
        <v>2</v>
      </c>
      <c r="K108" s="51">
        <f>IFERROR(__xludf.DUMMYFUNCTION("""COMPUTED_VALUE"""),12.0)</f>
        <v>12</v>
      </c>
      <c r="L108" s="51">
        <f>IFERROR(__xludf.DUMMYFUNCTION("""COMPUTED_VALUE"""),1.0)</f>
        <v>1</v>
      </c>
      <c r="M108" s="51">
        <f>IFERROR(__xludf.DUMMYFUNCTION("""COMPUTED_VALUE"""),270.0)</f>
        <v>270</v>
      </c>
      <c r="N108" s="52">
        <f>IFERROR(__xludf.DUMMYFUNCTION("""COMPUTED_VALUE"""),22.0)</f>
        <v>22</v>
      </c>
    </row>
    <row r="109">
      <c r="A109" s="1"/>
      <c r="B109" s="48" t="str">
        <f>IFERROR(__xludf.DUMMYFUNCTION("""COMPUTED_VALUE"""),"Susanta Mishra")</f>
        <v>Susanta Mishra</v>
      </c>
      <c r="C109" s="49">
        <f>IFERROR(__xludf.DUMMYFUNCTION("""COMPUTED_VALUE"""),256.0)</f>
        <v>256</v>
      </c>
      <c r="D109" s="50">
        <f>IFERROR(__xludf.DUMMYFUNCTION("""COMPUTED_VALUE"""),16.0)</f>
        <v>16</v>
      </c>
      <c r="E109" s="49">
        <f>IFERROR(__xludf.DUMMYFUNCTION("""COMPUTED_VALUE"""),1.0)</f>
        <v>1</v>
      </c>
      <c r="F109" s="51">
        <f>IFERROR(__xludf.DUMMYFUNCTION("""COMPUTED_VALUE"""),5.0)</f>
        <v>5</v>
      </c>
      <c r="G109" s="51">
        <f>IFERROR(__xludf.DUMMYFUNCTION("""COMPUTED_VALUE"""),0.0)</f>
        <v>0</v>
      </c>
      <c r="H109" s="51">
        <f>IFERROR(__xludf.DUMMYFUNCTION("""COMPUTED_VALUE"""),6.0)</f>
        <v>6</v>
      </c>
      <c r="I109" s="51">
        <f>IFERROR(__xludf.DUMMYFUNCTION("""COMPUTED_VALUE"""),1.0)</f>
        <v>1</v>
      </c>
      <c r="J109" s="51">
        <f>IFERROR(__xludf.DUMMYFUNCTION("""COMPUTED_VALUE"""),2.0)</f>
        <v>2</v>
      </c>
      <c r="K109" s="51">
        <f>IFERROR(__xludf.DUMMYFUNCTION("""COMPUTED_VALUE"""),9.0)</f>
        <v>9</v>
      </c>
      <c r="L109" s="51">
        <f>IFERROR(__xludf.DUMMYFUNCTION("""COMPUTED_VALUE"""),1.0)</f>
        <v>1</v>
      </c>
      <c r="M109" s="51">
        <f>IFERROR(__xludf.DUMMYFUNCTION("""COMPUTED_VALUE"""),265.0)</f>
        <v>265</v>
      </c>
      <c r="N109" s="52">
        <f>IFERROR(__xludf.DUMMYFUNCTION("""COMPUTED_VALUE"""),17.0)</f>
        <v>17</v>
      </c>
    </row>
    <row r="110">
      <c r="A110" s="1"/>
      <c r="B110" s="53" t="str">
        <f>IFERROR(__xludf.DUMMYFUNCTION("""COMPUTED_VALUE"""),"Naveen Raj")</f>
        <v>Naveen Raj</v>
      </c>
      <c r="C110" s="54">
        <f>IFERROR(__xludf.DUMMYFUNCTION("""COMPUTED_VALUE"""),244.0)</f>
        <v>244</v>
      </c>
      <c r="D110" s="55">
        <f>IFERROR(__xludf.DUMMYFUNCTION("""COMPUTED_VALUE"""),15.0)</f>
        <v>15</v>
      </c>
      <c r="E110" s="54">
        <f>IFERROR(__xludf.DUMMYFUNCTION("""COMPUTED_VALUE"""),2.0)</f>
        <v>2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IFERROR(__xludf.DUMMYFUNCTION("""COMPUTED_VALUE"""),6.0)</f>
        <v>6</v>
      </c>
      <c r="I110" s="56">
        <f>IFERROR(__xludf.DUMMYFUNCTION("""COMPUTED_VALUE"""),4.0)</f>
        <v>4</v>
      </c>
      <c r="J110" s="56">
        <f>IFERROR(__xludf.DUMMYFUNCTION("""COMPUTED_VALUE"""),4.0)</f>
        <v>4</v>
      </c>
      <c r="K110" s="56">
        <f>IFERROR(__xludf.DUMMYFUNCTION("""COMPUTED_VALUE"""),14.0)</f>
        <v>14</v>
      </c>
      <c r="L110" s="56">
        <f>IFERROR(__xludf.DUMMYFUNCTION("""COMPUTED_VALUE"""),1.0)</f>
        <v>1</v>
      </c>
      <c r="M110" s="56">
        <f>IFERROR(__xludf.DUMMYFUNCTION("""COMPUTED_VALUE"""),258.0)</f>
        <v>258</v>
      </c>
      <c r="N110" s="57">
        <f>IFERROR(__xludf.DUMMYFUNCTION("""COMPUTED_VALUE"""),16.0)</f>
        <v>16</v>
      </c>
    </row>
    <row r="111">
      <c r="A111" s="1"/>
      <c r="B111" s="53" t="str">
        <f>IFERROR(__xludf.DUMMYFUNCTION("""COMPUTED_VALUE"""),"Manuel Rivera")</f>
        <v>Manuel Rivera</v>
      </c>
      <c r="C111" s="54">
        <f>IFERROR(__xludf.DUMMYFUNCTION("""COMPUTED_VALUE"""),242.0)</f>
        <v>242</v>
      </c>
      <c r="D111" s="55">
        <f>IFERROR(__xludf.DUMMYFUNCTION("""COMPUTED_VALUE"""),16.0)</f>
        <v>16</v>
      </c>
      <c r="E111" s="54">
        <f>IFERROR(__xludf.DUMMYFUNCTION("""COMPUTED_VALUE"""),2.0)</f>
        <v>2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IFERROR(__xludf.DUMMYFUNCTION("""COMPUTED_VALUE"""),4.0)</f>
        <v>4</v>
      </c>
      <c r="I111" s="56">
        <f>IFERROR(__xludf.DUMMYFUNCTION("""COMPUTED_VALUE"""),4.0)</f>
        <v>4</v>
      </c>
      <c r="J111" s="56">
        <f>IFERROR(__xludf.DUMMYFUNCTION("""COMPUTED_VALUE"""),6.0)</f>
        <v>6</v>
      </c>
      <c r="K111" s="56">
        <f>IFERROR(__xludf.DUMMYFUNCTION("""COMPUTED_VALUE"""),14.0)</f>
        <v>14</v>
      </c>
      <c r="L111" s="56">
        <f>IFERROR(__xludf.DUMMYFUNCTION("""COMPUTED_VALUE"""),1.0)</f>
        <v>1</v>
      </c>
      <c r="M111" s="56">
        <f>IFERROR(__xludf.DUMMYFUNCTION("""COMPUTED_VALUE"""),256.0)</f>
        <v>256</v>
      </c>
      <c r="N111" s="57">
        <f>IFERROR(__xludf.DUMMYFUNCTION("""COMPUTED_VALUE"""),17.0)</f>
        <v>17</v>
      </c>
    </row>
    <row r="112">
      <c r="A112" s="1"/>
      <c r="B112" s="53" t="str">
        <f>IFERROR(__xludf.DUMMYFUNCTION("""COMPUTED_VALUE"""),"Mauricio Palacios")</f>
        <v>Mauricio Palacios</v>
      </c>
      <c r="C112" s="54">
        <f>IFERROR(__xludf.DUMMYFUNCTION("""COMPUTED_VALUE"""),241.0)</f>
        <v>241</v>
      </c>
      <c r="D112" s="55">
        <f>IFERROR(__xludf.DUMMYFUNCTION("""COMPUTED_VALUE"""),22.0)</f>
        <v>22</v>
      </c>
      <c r="E112" s="54">
        <f>IFERROR(__xludf.DUMMYFUNCTION("""COMPUTED_VALUE"""),2.0)</f>
        <v>2</v>
      </c>
      <c r="F112" s="56">
        <f>IFERROR(__xludf.DUMMYFUNCTION("""COMPUTED_VALUE"""),6.0)</f>
        <v>6</v>
      </c>
      <c r="G112" s="56">
        <f>IFERROR(__xludf.DUMMYFUNCTION("""COMPUTED_VALUE"""),0.0)</f>
        <v>0</v>
      </c>
      <c r="H112" s="56">
        <f>IFERROR(__xludf.DUMMYFUNCTION("""COMPUTED_VALUE"""),6.0)</f>
        <v>6</v>
      </c>
      <c r="I112" s="56">
        <f>IFERROR(__xludf.DUMMYFUNCTION("""COMPUTED_VALUE"""),6.0)</f>
        <v>6</v>
      </c>
      <c r="J112" s="56">
        <f>IFERROR(__xludf.DUMMYFUNCTION("""COMPUTED_VALUE"""),6.0)</f>
        <v>6</v>
      </c>
      <c r="K112" s="56">
        <f>IFERROR(__xludf.DUMMYFUNCTION("""COMPUTED_VALUE"""),18.0)</f>
        <v>18</v>
      </c>
      <c r="L112" s="56">
        <f>IFERROR(__xludf.DUMMYFUNCTION("""COMPUTED_VALUE"""),3.0)</f>
        <v>3</v>
      </c>
      <c r="M112" s="56">
        <f>IFERROR(__xludf.DUMMYFUNCTION("""COMPUTED_VALUE"""),259.0)</f>
        <v>259</v>
      </c>
      <c r="N112" s="57">
        <f>IFERROR(__xludf.DUMMYFUNCTION("""COMPUTED_VALUE"""),25.0)</f>
        <v>25</v>
      </c>
    </row>
    <row r="113">
      <c r="A113" s="1"/>
      <c r="B113" s="53" t="str">
        <f>IFERROR(__xludf.DUMMYFUNCTION("""COMPUTED_VALUE"""),"Sandy Weyant")</f>
        <v>Sandy Weyant</v>
      </c>
      <c r="C113" s="54">
        <f>IFERROR(__xludf.DUMMYFUNCTION("""COMPUTED_VALUE"""),238.0)</f>
        <v>238</v>
      </c>
      <c r="D113" s="55">
        <f>IFERROR(__xludf.DUMMYFUNCTION("""COMPUTED_VALUE"""),14.0)</f>
        <v>14</v>
      </c>
      <c r="E113" s="54">
        <f>IFERROR(__xludf.DUMMYFUNCTION("""COMPUTED_VALUE"""),1.0)</f>
        <v>1</v>
      </c>
      <c r="F113" s="56">
        <f>IFERROR(__xludf.DUMMYFUNCTION("""COMPUTED_VALUE"""),6.0)</f>
        <v>6</v>
      </c>
      <c r="G113" s="56">
        <f>IFERROR(__xludf.DUMMYFUNCTION("""COMPUTED_VALUE"""),0.0)</f>
        <v>0</v>
      </c>
      <c r="H113" s="56">
        <f>IFERROR(__xludf.DUMMYFUNCTION("""COMPUTED_VALUE"""),4.0)</f>
        <v>4</v>
      </c>
      <c r="I113" s="56">
        <f>IFERROR(__xludf.DUMMYFUNCTION("""COMPUTED_VALUE"""),6.0)</f>
        <v>6</v>
      </c>
      <c r="J113" s="56">
        <f>IFERROR(__xludf.DUMMYFUNCTION("""COMPUTED_VALUE"""),4.0)</f>
        <v>4</v>
      </c>
      <c r="K113" s="56">
        <f>IFERROR(__xludf.DUMMYFUNCTION("""COMPUTED_VALUE"""),14.0)</f>
        <v>14</v>
      </c>
      <c r="L113" s="56">
        <f>IFERROR(__xludf.DUMMYFUNCTION("""COMPUTED_VALUE"""),1.0)</f>
        <v>1</v>
      </c>
      <c r="M113" s="56">
        <f>IFERROR(__xludf.DUMMYFUNCTION("""COMPUTED_VALUE"""),252.0)</f>
        <v>252</v>
      </c>
      <c r="N113" s="57">
        <f>IFERROR(__xludf.DUMMYFUNCTION("""COMPUTED_VALUE"""),15.0)</f>
        <v>15</v>
      </c>
    </row>
    <row r="114">
      <c r="A114" s="1"/>
      <c r="B114" s="48" t="str">
        <f>IFERROR(__xludf.DUMMYFUNCTION("""COMPUTED_VALUE"""),"Vamsi Lolla ")</f>
        <v>Vamsi Lolla </v>
      </c>
      <c r="C114" s="49">
        <f>IFERROR(__xludf.DUMMYFUNCTION("""COMPUTED_VALUE"""),235.0)</f>
        <v>235</v>
      </c>
      <c r="D114" s="50">
        <f>IFERROR(__xludf.DUMMYFUNCTION("""COMPUTED_VALUE"""),12.0)</f>
        <v>12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IFERROR(__xludf.DUMMYFUNCTION("""COMPUTED_VALUE"""),4.0)</f>
        <v>4</v>
      </c>
      <c r="I114" s="51">
        <f>IFERROR(__xludf.DUMMYFUNCTION("""COMPUTED_VALUE"""),6.0)</f>
        <v>6</v>
      </c>
      <c r="J114" s="51">
        <f>IFERROR(__xludf.DUMMYFUNCTION("""COMPUTED_VALUE"""),6.0)</f>
        <v>6</v>
      </c>
      <c r="K114" s="51">
        <f>IFERROR(__xludf.DUMMYFUNCTION("""COMPUTED_VALUE"""),16.0)</f>
        <v>16</v>
      </c>
      <c r="L114" s="51">
        <f>IFERROR(__xludf.DUMMYFUNCTION("""COMPUTED_VALUE"""),2.0)</f>
        <v>2</v>
      </c>
      <c r="M114" s="51">
        <f>IFERROR(__xludf.DUMMYFUNCTION("""COMPUTED_VALUE"""),251.0)</f>
        <v>251</v>
      </c>
      <c r="N114" s="52">
        <f>IFERROR(__xludf.DUMMYFUNCTION("""COMPUTED_VALUE"""),14.0)</f>
        <v>14</v>
      </c>
    </row>
    <row r="115">
      <c r="A115" s="1"/>
      <c r="B115" s="48" t="str">
        <f>IFERROR(__xludf.DUMMYFUNCTION("""COMPUTED_VALUE"""),"Elayaraja Thangaraj ")</f>
        <v>Elayaraja Thangaraj </v>
      </c>
      <c r="C115" s="49">
        <f>IFERROR(__xludf.DUMMYFUNCTION("""COMPUTED_VALUE"""),234.0)</f>
        <v>234</v>
      </c>
      <c r="D115" s="50">
        <f>IFERROR(__xludf.DUMMYFUNCTION("""COMPUTED_VALUE"""),19.0)</f>
        <v>19</v>
      </c>
      <c r="E115" s="49">
        <f>IFERROR(__xludf.DUMMYFUNCTION("""COMPUTED_VALUE"""),1.0)</f>
        <v>1</v>
      </c>
      <c r="F115" s="51">
        <f>IFERROR(__xludf.DUMMYFUNCTION("""COMPUTED_VALUE"""),7.0)</f>
        <v>7</v>
      </c>
      <c r="G115" s="51">
        <f>IFERROR(__xludf.DUMMYFUNCTION("""COMPUTED_VALUE"""),0.0)</f>
        <v>0</v>
      </c>
      <c r="H115" s="51">
        <f>IFERROR(__xludf.DUMMYFUNCTION("""COMPUTED_VALUE"""),6.0)</f>
        <v>6</v>
      </c>
      <c r="I115" s="51">
        <f>IFERROR(__xludf.DUMMYFUNCTION("""COMPUTED_VALUE"""),6.0)</f>
        <v>6</v>
      </c>
      <c r="J115" s="51">
        <f>IFERROR(__xludf.DUMMYFUNCTION("""COMPUTED_VALUE"""),2.0)</f>
        <v>2</v>
      </c>
      <c r="K115" s="51">
        <f>IFERROR(__xludf.DUMMYFUNCTION("""COMPUTED_VALUE"""),14.0)</f>
        <v>14</v>
      </c>
      <c r="L115" s="51">
        <f>IFERROR(__xludf.DUMMYFUNCTION("""COMPUTED_VALUE"""),2.0)</f>
        <v>2</v>
      </c>
      <c r="M115" s="51">
        <f>IFERROR(__xludf.DUMMYFUNCTION("""COMPUTED_VALUE"""),248.0)</f>
        <v>248</v>
      </c>
      <c r="N115" s="52">
        <f>IFERROR(__xludf.DUMMYFUNCTION("""COMPUTED_VALUE"""),21.0)</f>
        <v>21</v>
      </c>
    </row>
    <row r="116">
      <c r="A116" s="1"/>
      <c r="B116" s="48" t="str">
        <f>IFERROR(__xludf.DUMMYFUNCTION("""COMPUTED_VALUE"""),"Nohely Mejia")</f>
        <v>Nohely Mejia</v>
      </c>
      <c r="C116" s="49">
        <f>IFERROR(__xludf.DUMMYFUNCTION("""COMPUTED_VALUE"""),232.0)</f>
        <v>232</v>
      </c>
      <c r="D116" s="50">
        <f>IFERROR(__xludf.DUMMYFUNCTION("""COMPUTED_VALUE"""),12.0)</f>
        <v>12</v>
      </c>
      <c r="E116" s="49">
        <f>IFERROR(__xludf.DUMMYFUNCTION("""COMPUTED_VALUE"""),2.0)</f>
        <v>2</v>
      </c>
      <c r="F116" s="51">
        <f>IFERROR(__xludf.DUMMYFUNCTION("""COMPUTED_VALUE"""),7.0)</f>
        <v>7</v>
      </c>
      <c r="G116" s="51">
        <f>IFERROR(__xludf.DUMMYFUNCTION("""COMPUTED_VALUE"""),0.0)</f>
        <v>0</v>
      </c>
      <c r="H116" s="51">
        <f>IFERROR(__xludf.DUMMYFUNCTION("""COMPUTED_VALUE"""),4.0)</f>
        <v>4</v>
      </c>
      <c r="I116" s="51">
        <f>IFERROR(__xludf.DUMMYFUNCTION("""COMPUTED_VALUE"""),0.0)</f>
        <v>0</v>
      </c>
      <c r="J116" s="51">
        <f>IFERROR(__xludf.DUMMYFUNCTION("""COMPUTED_VALUE"""),2.0)</f>
        <v>2</v>
      </c>
      <c r="K116" s="51">
        <f>IFERROR(__xludf.DUMMYFUNCTION("""COMPUTED_VALUE"""),6.0)</f>
        <v>6</v>
      </c>
      <c r="L116" s="51">
        <f>IFERROR(__xludf.DUMMYFUNCTION("""COMPUTED_VALUE"""),0.0)</f>
        <v>0</v>
      </c>
      <c r="M116" s="51">
        <f>IFERROR(__xludf.DUMMYFUNCTION("""COMPUTED_VALUE"""),238.0)</f>
        <v>238</v>
      </c>
      <c r="N116" s="52">
        <f>IFERROR(__xludf.DUMMYFUNCTION("""COMPUTED_VALUE"""),12.0)</f>
        <v>12</v>
      </c>
    </row>
    <row r="117">
      <c r="A117" s="1"/>
      <c r="B117" s="48" t="str">
        <f>IFERROR(__xludf.DUMMYFUNCTION("""COMPUTED_VALUE"""),"Vinot Kumar Nagappan")</f>
        <v>Vinot Kumar Nagappan</v>
      </c>
      <c r="C117" s="49">
        <f>IFERROR(__xludf.DUMMYFUNCTION("""COMPUTED_VALUE"""),231.0)</f>
        <v>231</v>
      </c>
      <c r="D117" s="50">
        <f>IFERROR(__xludf.DUMMYFUNCTION("""COMPUTED_VALUE"""),11.0)</f>
        <v>11</v>
      </c>
      <c r="E117" s="49">
        <f>IFERROR(__xludf.DUMMYFUNCTION("""COMPUTED_VALUE"""),1.0)</f>
        <v>1</v>
      </c>
      <c r="F117" s="51">
        <f>IFERROR(__xludf.DUMMYFUNCTION("""COMPUTED_VALUE"""),7.0)</f>
        <v>7</v>
      </c>
      <c r="G117" s="51">
        <f>IFERROR(__xludf.DUMMYFUNCTION("""COMPUTED_VALUE"""),0.0)</f>
        <v>0</v>
      </c>
      <c r="H117" s="51">
        <f>IFERROR(__xludf.DUMMYFUNCTION("""COMPUTED_VALUE"""),6.0)</f>
        <v>6</v>
      </c>
      <c r="I117" s="51">
        <f>IFERROR(__xludf.DUMMYFUNCTION("""COMPUTED_VALUE"""),0.0)</f>
        <v>0</v>
      </c>
      <c r="J117" s="51">
        <f>IFERROR(__xludf.DUMMYFUNCTION("""COMPUTED_VALUE"""),6.0)</f>
        <v>6</v>
      </c>
      <c r="K117" s="51">
        <f>IFERROR(__xludf.DUMMYFUNCTION("""COMPUTED_VALUE"""),12.0)</f>
        <v>12</v>
      </c>
      <c r="L117" s="51">
        <f>IFERROR(__xludf.DUMMYFUNCTION("""COMPUTED_VALUE"""),2.0)</f>
        <v>2</v>
      </c>
      <c r="M117" s="51">
        <f>IFERROR(__xludf.DUMMYFUNCTION("""COMPUTED_VALUE"""),243.0)</f>
        <v>243</v>
      </c>
      <c r="N117" s="52">
        <f>IFERROR(__xludf.DUMMYFUNCTION("""COMPUTED_VALUE"""),13.0)</f>
        <v>13</v>
      </c>
    </row>
    <row r="118">
      <c r="A118" s="1"/>
      <c r="B118" s="53" t="str">
        <f>IFERROR(__xludf.DUMMYFUNCTION("""COMPUTED_VALUE"""),"Jimmy Awolesi")</f>
        <v>Jimmy Awolesi</v>
      </c>
      <c r="C118" s="54">
        <f>IFERROR(__xludf.DUMMYFUNCTION("""COMPUTED_VALUE"""),225.0)</f>
        <v>225</v>
      </c>
      <c r="D118" s="55">
        <f>IFERROR(__xludf.DUMMYFUNCTION("""COMPUTED_VALUE"""),13.0)</f>
        <v>13</v>
      </c>
      <c r="E118" s="54">
        <f>IFERROR(__xludf.DUMMYFUNCTION("""COMPUTED_VALUE"""),1.0)</f>
        <v>1</v>
      </c>
      <c r="F118" s="56">
        <f>IFERROR(__xludf.DUMMYFUNCTION("""COMPUTED_VALUE"""),8.0)</f>
        <v>8</v>
      </c>
      <c r="G118" s="56">
        <f>IFERROR(__xludf.DUMMYFUNCTION("""COMPUTED_VALUE"""),0.0)</f>
        <v>0</v>
      </c>
      <c r="H118" s="56">
        <f>IFERROR(__xludf.DUMMYFUNCTION("""COMPUTED_VALUE"""),6.0)</f>
        <v>6</v>
      </c>
      <c r="I118" s="56">
        <f>IFERROR(__xludf.DUMMYFUNCTION("""COMPUTED_VALUE"""),1.0)</f>
        <v>1</v>
      </c>
      <c r="J118" s="56">
        <f>IFERROR(__xludf.DUMMYFUNCTION("""COMPUTED_VALUE"""),6.0)</f>
        <v>6</v>
      </c>
      <c r="K118" s="56">
        <f>IFERROR(__xludf.DUMMYFUNCTION("""COMPUTED_VALUE"""),13.0)</f>
        <v>13</v>
      </c>
      <c r="L118" s="56">
        <f>IFERROR(__xludf.DUMMYFUNCTION("""COMPUTED_VALUE"""),2.0)</f>
        <v>2</v>
      </c>
      <c r="M118" s="56">
        <f>IFERROR(__xludf.DUMMYFUNCTION("""COMPUTED_VALUE"""),238.0)</f>
        <v>238</v>
      </c>
      <c r="N118" s="57">
        <f>IFERROR(__xludf.DUMMYFUNCTION("""COMPUTED_VALUE"""),15.0)</f>
        <v>15</v>
      </c>
    </row>
    <row r="119">
      <c r="A119" s="1"/>
      <c r="B119" s="53" t="str">
        <f>IFERROR(__xludf.DUMMYFUNCTION("""COMPUTED_VALUE"""),"Balaji Alahari")</f>
        <v>Balaji Alahari</v>
      </c>
      <c r="C119" s="54">
        <f>IFERROR(__xludf.DUMMYFUNCTION("""COMPUTED_VALUE"""),222.0)</f>
        <v>222</v>
      </c>
      <c r="D119" s="55">
        <f>IFERROR(__xludf.DUMMYFUNCTION("""COMPUTED_VALUE"""),5.0)</f>
        <v>5</v>
      </c>
      <c r="E119" s="54">
        <f>IFERROR(__xludf.DUMMYFUNCTION("""COMPUTED_VALUE"""),1.0)</f>
        <v>1</v>
      </c>
      <c r="F119" s="56">
        <f>IFERROR(__xludf.DUMMYFUNCTION("""COMPUTED_VALUE"""),8.0)</f>
        <v>8</v>
      </c>
      <c r="G119" s="56">
        <f>IFERROR(__xludf.DUMMYFUNCTION("""COMPUTED_VALUE"""),0.0)</f>
        <v>0</v>
      </c>
      <c r="H119" s="56">
        <f>IFERROR(__xludf.DUMMYFUNCTION("""COMPUTED_VALUE"""),6.0)</f>
        <v>6</v>
      </c>
      <c r="I119" s="56">
        <f>IFERROR(__xludf.DUMMYFUNCTION("""COMPUTED_VALUE"""),6.0)</f>
        <v>6</v>
      </c>
      <c r="J119" s="56">
        <f>IFERROR(__xludf.DUMMYFUNCTION("""COMPUTED_VALUE"""),2.0)</f>
        <v>2</v>
      </c>
      <c r="K119" s="56">
        <f>IFERROR(__xludf.DUMMYFUNCTION("""COMPUTED_VALUE"""),14.0)</f>
        <v>14</v>
      </c>
      <c r="L119" s="56">
        <f>IFERROR(__xludf.DUMMYFUNCTION("""COMPUTED_VALUE"""),2.0)</f>
        <v>2</v>
      </c>
      <c r="M119" s="56">
        <f>IFERROR(__xludf.DUMMYFUNCTION("""COMPUTED_VALUE"""),236.0)</f>
        <v>236</v>
      </c>
      <c r="N119" s="57">
        <f>IFERROR(__xludf.DUMMYFUNCTION("""COMPUTED_VALUE"""),7.0)</f>
        <v>7</v>
      </c>
    </row>
    <row r="120">
      <c r="A120" s="1"/>
      <c r="B120" s="53" t="str">
        <f>IFERROR(__xludf.DUMMYFUNCTION("""COMPUTED_VALUE"""),"Kevin Wang")</f>
        <v>Kevin Wang</v>
      </c>
      <c r="C120" s="54">
        <f>IFERROR(__xludf.DUMMYFUNCTION("""COMPUTED_VALUE"""),216.0)</f>
        <v>216</v>
      </c>
      <c r="D120" s="55">
        <f>IFERROR(__xludf.DUMMYFUNCTION("""COMPUTED_VALUE"""),14.0)</f>
        <v>14</v>
      </c>
      <c r="E120" s="54">
        <f>IFERROR(__xludf.DUMMYFUNCTION("""COMPUTED_VALUE"""),1.0)</f>
        <v>1</v>
      </c>
      <c r="F120" s="56">
        <f>IFERROR(__xludf.DUMMYFUNCTION("""COMPUTED_VALUE"""),8.0)</f>
        <v>8</v>
      </c>
      <c r="G120" s="56">
        <f>IFERROR(__xludf.DUMMYFUNCTION("""COMPUTED_VALUE"""),0.0)</f>
        <v>0</v>
      </c>
      <c r="H120" s="56">
        <f>IFERROR(__xludf.DUMMYFUNCTION("""COMPUTED_VALUE"""),3.0)</f>
        <v>3</v>
      </c>
      <c r="I120" s="56">
        <f>IFERROR(__xludf.DUMMYFUNCTION("""COMPUTED_VALUE"""),6.0)</f>
        <v>6</v>
      </c>
      <c r="J120" s="56">
        <f>IFERROR(__xludf.DUMMYFUNCTION("""COMPUTED_VALUE"""),6.0)</f>
        <v>6</v>
      </c>
      <c r="K120" s="56">
        <f>IFERROR(__xludf.DUMMYFUNCTION("""COMPUTED_VALUE"""),15.0)</f>
        <v>15</v>
      </c>
      <c r="L120" s="56">
        <f>IFERROR(__xludf.DUMMYFUNCTION("""COMPUTED_VALUE"""),2.0)</f>
        <v>2</v>
      </c>
      <c r="M120" s="56">
        <f>IFERROR(__xludf.DUMMYFUNCTION("""COMPUTED_VALUE"""),231.0)</f>
        <v>231</v>
      </c>
      <c r="N120" s="57">
        <f>IFERROR(__xludf.DUMMYFUNCTION("""COMPUTED_VALUE"""),16.0)</f>
        <v>16</v>
      </c>
    </row>
    <row r="121">
      <c r="A121" s="1"/>
      <c r="B121" s="53" t="str">
        <f>IFERROR(__xludf.DUMMYFUNCTION("""COMPUTED_VALUE"""),"Joyce Zhu")</f>
        <v>Joyce Zhu</v>
      </c>
      <c r="C121" s="54">
        <f>IFERROR(__xludf.DUMMYFUNCTION("""COMPUTED_VALUE"""),206.0)</f>
        <v>206</v>
      </c>
      <c r="D121" s="55">
        <f>IFERROR(__xludf.DUMMYFUNCTION("""COMPUTED_VALUE"""),3.0)</f>
        <v>3</v>
      </c>
      <c r="E121" s="54">
        <f>IFERROR(__xludf.DUMMYFUNCTION("""COMPUTED_VALUE"""),1.0)</f>
        <v>1</v>
      </c>
      <c r="F121" s="56">
        <f>IFERROR(__xludf.DUMMYFUNCTION("""COMPUTED_VALUE"""),8.0)</f>
        <v>8</v>
      </c>
      <c r="G121" s="56">
        <f>IFERROR(__xludf.DUMMYFUNCTION("""COMPUTED_VALUE"""),0.0)</f>
        <v>0</v>
      </c>
      <c r="H121" s="56">
        <f>IFERROR(__xludf.DUMMYFUNCTION("""COMPUTED_VALUE"""),3.0)</f>
        <v>3</v>
      </c>
      <c r="I121" s="56">
        <f>IFERROR(__xludf.DUMMYFUNCTION("""COMPUTED_VALUE"""),1.0)</f>
        <v>1</v>
      </c>
      <c r="J121" s="56">
        <f>IFERROR(__xludf.DUMMYFUNCTION("""COMPUTED_VALUE"""),2.0)</f>
        <v>2</v>
      </c>
      <c r="K121" s="56">
        <f>IFERROR(__xludf.DUMMYFUNCTION("""COMPUTED_VALUE"""),6.0)</f>
        <v>6</v>
      </c>
      <c r="L121" s="56">
        <f>IFERROR(__xludf.DUMMYFUNCTION("""COMPUTED_VALUE"""),0.0)</f>
        <v>0</v>
      </c>
      <c r="M121" s="56">
        <f>IFERROR(__xludf.DUMMYFUNCTION("""COMPUTED_VALUE"""),212.0)</f>
        <v>212</v>
      </c>
      <c r="N121" s="57">
        <f>IFERROR(__xludf.DUMMYFUNCTION("""COMPUTED_VALUE"""),3.0)</f>
        <v>3</v>
      </c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0"")"),"Adrian Tay")</f>
        <v>Adrian Tay</v>
      </c>
      <c r="C134" s="49">
        <f>IFERROR(__xludf.DUMMYFUNCTION("""COMPUTED_VALUE"""),315.0)</f>
        <v>315</v>
      </c>
      <c r="D134" s="50">
        <f>IFERROR(__xludf.DUMMYFUNCTION("""COMPUTED_VALUE"""),31.0)</f>
        <v>31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IFERROR(__xludf.DUMMYFUNCTION("""COMPUTED_VALUE"""),324.0)</f>
        <v>324</v>
      </c>
      <c r="N134" s="52">
        <f>IFERROR(__xludf.DUMMYFUNCTION("""COMPUTED_VALUE"""),31.0)</f>
        <v>31</v>
      </c>
    </row>
    <row r="135">
      <c r="A135" s="1"/>
      <c r="B135" s="48" t="str">
        <f>IFERROR(__xludf.DUMMYFUNCTION("""COMPUTED_VALUE"""),"Pulkit Mathur")</f>
        <v>Pulkit Mathur</v>
      </c>
      <c r="C135" s="49">
        <f>IFERROR(__xludf.DUMMYFUNCTION("""COMPUTED_VALUE"""),299.0)</f>
        <v>299</v>
      </c>
      <c r="D135" s="50">
        <f>IFERROR(__xludf.DUMMYFUNCTION("""COMPUTED_VALUE"""),25.0)</f>
        <v>25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IFERROR(__xludf.DUMMYFUNCTION("""COMPUTED_VALUE"""),308.0)</f>
        <v>308</v>
      </c>
      <c r="N135" s="52">
        <f>IFERROR(__xludf.DUMMYFUNCTION("""COMPUTED_VALUE"""),25.0)</f>
        <v>25</v>
      </c>
    </row>
    <row r="136">
      <c r="A136" s="1"/>
      <c r="B136" s="48" t="str">
        <f>IFERROR(__xludf.DUMMYFUNCTION("""COMPUTED_VALUE"""),"Lam Bui")</f>
        <v>Lam Bui</v>
      </c>
      <c r="C136" s="49">
        <f>IFERROR(__xludf.DUMMYFUNCTION("""COMPUTED_VALUE"""),293.0)</f>
        <v>293</v>
      </c>
      <c r="D136" s="50">
        <f>IFERROR(__xludf.DUMMYFUNCTION("""COMPUTED_VALUE"""),26.0)</f>
        <v>26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IFERROR(__xludf.DUMMYFUNCTION("""COMPUTED_VALUE"""),302.0)</f>
        <v>302</v>
      </c>
      <c r="N136" s="52">
        <f>IFERROR(__xludf.DUMMYFUNCTION("""COMPUTED_VALUE"""),26.0)</f>
        <v>26</v>
      </c>
    </row>
    <row r="137">
      <c r="A137" s="1"/>
      <c r="B137" s="48" t="str">
        <f>IFERROR(__xludf.DUMMYFUNCTION("""COMPUTED_VALUE"""),"Oscar Bonilla")</f>
        <v>Oscar Bonilla</v>
      </c>
      <c r="C137" s="49">
        <f>IFERROR(__xludf.DUMMYFUNCTION("""COMPUTED_VALUE"""),283.0)</f>
        <v>283</v>
      </c>
      <c r="D137" s="50">
        <f>IFERROR(__xludf.DUMMYFUNCTION("""COMPUTED_VALUE"""),23.0)</f>
        <v>23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IFERROR(__xludf.DUMMYFUNCTION("""COMPUTED_VALUE"""),292.0)</f>
        <v>292</v>
      </c>
      <c r="N137" s="52">
        <f>IFERROR(__xludf.DUMMYFUNCTION("""COMPUTED_VALUE"""),23.0)</f>
        <v>23</v>
      </c>
    </row>
    <row r="138">
      <c r="A138" s="1"/>
      <c r="B138" s="48" t="str">
        <f>IFERROR(__xludf.DUMMYFUNCTION("""COMPUTED_VALUE"""),"Lloyd Sagar")</f>
        <v>Lloyd Sagar</v>
      </c>
      <c r="C138" s="49">
        <f>IFERROR(__xludf.DUMMYFUNCTION("""COMPUTED_VALUE"""),280.0)</f>
        <v>280</v>
      </c>
      <c r="D138" s="50">
        <f>IFERROR(__xludf.DUMMYFUNCTION("""COMPUTED_VALUE"""),19.0)</f>
        <v>19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IFERROR(__xludf.DUMMYFUNCTION("""COMPUTED_VALUE"""),289.0)</f>
        <v>289</v>
      </c>
      <c r="N138" s="52">
        <f>IFERROR(__xludf.DUMMYFUNCTION("""COMPUTED_VALUE"""),19.0)</f>
        <v>19</v>
      </c>
    </row>
    <row r="139">
      <c r="A139" s="1"/>
      <c r="B139" s="48" t="str">
        <f>IFERROR(__xludf.DUMMYFUNCTION("""COMPUTED_VALUE"""),"Anish Kumar")</f>
        <v>Anish Kumar</v>
      </c>
      <c r="C139" s="49">
        <f>IFERROR(__xludf.DUMMYFUNCTION("""COMPUTED_VALUE"""),263.0)</f>
        <v>263</v>
      </c>
      <c r="D139" s="50">
        <f>IFERROR(__xludf.DUMMYFUNCTION("""COMPUTED_VALUE"""),17.0)</f>
        <v>17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IFERROR(__xludf.DUMMYFUNCTION("""COMPUTED_VALUE"""),272.0)</f>
        <v>272</v>
      </c>
      <c r="N139" s="52">
        <f>IFERROR(__xludf.DUMMYFUNCTION("""COMPUTED_VALUE"""),17.0)</f>
        <v>17</v>
      </c>
    </row>
    <row r="140">
      <c r="A140" s="1"/>
      <c r="B140" s="48" t="str">
        <f>IFERROR(__xludf.DUMMYFUNCTION("""COMPUTED_VALUE"""),"Tom Le")</f>
        <v>Tom Le</v>
      </c>
      <c r="C140" s="49">
        <f>IFERROR(__xludf.DUMMYFUNCTION("""COMPUTED_VALUE"""),263.0)</f>
        <v>263</v>
      </c>
      <c r="D140" s="50">
        <f>IFERROR(__xludf.DUMMYFUNCTION("""COMPUTED_VALUE"""),15.0)</f>
        <v>15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IFERROR(__xludf.DUMMYFUNCTION("""COMPUTED_VALUE"""),272.0)</f>
        <v>272</v>
      </c>
      <c r="N140" s="52">
        <f>IFERROR(__xludf.DUMMYFUNCTION("""COMPUTED_VALUE"""),15.0)</f>
        <v>15</v>
      </c>
    </row>
    <row r="141">
      <c r="A141" s="1"/>
      <c r="B141" s="48" t="str">
        <f>IFERROR(__xludf.DUMMYFUNCTION("""COMPUTED_VALUE"""),"Eric Pan")</f>
        <v>Eric Pan</v>
      </c>
      <c r="C141" s="49">
        <f>IFERROR(__xludf.DUMMYFUNCTION("""COMPUTED_VALUE"""),251.0)</f>
        <v>251</v>
      </c>
      <c r="D141" s="50">
        <f>IFERROR(__xludf.DUMMYFUNCTION("""COMPUTED_VALUE"""),16.0)</f>
        <v>16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IFERROR(__xludf.DUMMYFUNCTION("""COMPUTED_VALUE"""),260.0)</f>
        <v>260</v>
      </c>
      <c r="N141" s="52">
        <f>IFERROR(__xludf.DUMMYFUNCTION("""COMPUTED_VALUE"""),16.0)</f>
        <v>16</v>
      </c>
    </row>
    <row r="142">
      <c r="A142" s="1"/>
      <c r="B142" s="48" t="str">
        <f>IFERROR(__xludf.DUMMYFUNCTION("""COMPUTED_VALUE"""),"Sanjaye Elayattu")</f>
        <v>Sanjaye Elayattu</v>
      </c>
      <c r="C142" s="49">
        <f>IFERROR(__xludf.DUMMYFUNCTION("""COMPUTED_VALUE"""),250.0)</f>
        <v>250</v>
      </c>
      <c r="D142" s="50">
        <f>IFERROR(__xludf.DUMMYFUNCTION("""COMPUTED_VALUE"""),11.0)</f>
        <v>11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IFERROR(__xludf.DUMMYFUNCTION("""COMPUTED_VALUE"""),259.0)</f>
        <v>259</v>
      </c>
      <c r="N142" s="52">
        <f>IFERROR(__xludf.DUMMYFUNCTION("""COMPUTED_VALUE"""),11.0)</f>
        <v>11</v>
      </c>
    </row>
    <row r="143">
      <c r="A143" s="1"/>
      <c r="B143" s="48" t="str">
        <f>IFERROR(__xludf.DUMMYFUNCTION("""COMPUTED_VALUE"""),"Rosie Bonilla")</f>
        <v>Rosie Bonilla</v>
      </c>
      <c r="C143" s="49">
        <f>IFERROR(__xludf.DUMMYFUNCTION("""COMPUTED_VALUE"""),246.0)</f>
        <v>246</v>
      </c>
      <c r="D143" s="50">
        <f>IFERROR(__xludf.DUMMYFUNCTION("""COMPUTED_VALUE"""),14.0)</f>
        <v>14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IFERROR(__xludf.DUMMYFUNCTION("""COMPUTED_VALUE"""),255.0)</f>
        <v>255</v>
      </c>
      <c r="N143" s="52">
        <f>IFERROR(__xludf.DUMMYFUNCTION("""COMPUTED_VALUE"""),14.0)</f>
        <v>14</v>
      </c>
    </row>
    <row r="144">
      <c r="A144" s="1"/>
      <c r="B144" s="48" t="str">
        <f>IFERROR(__xludf.DUMMYFUNCTION("""COMPUTED_VALUE"""),"Suleman Alidina")</f>
        <v>Suleman Alidina</v>
      </c>
      <c r="C144" s="49">
        <f>IFERROR(__xludf.DUMMYFUNCTION("""COMPUTED_VALUE"""),243.0)</f>
        <v>243</v>
      </c>
      <c r="D144" s="50">
        <f>IFERROR(__xludf.DUMMYFUNCTION("""COMPUTED_VALUE"""),13.0)</f>
        <v>13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IFERROR(__xludf.DUMMYFUNCTION("""COMPUTED_VALUE"""),252.0)</f>
        <v>252</v>
      </c>
      <c r="N144" s="52">
        <f>IFERROR(__xludf.DUMMYFUNCTION("""COMPUTED_VALUE"""),13.0)</f>
        <v>13</v>
      </c>
    </row>
    <row r="145">
      <c r="A145" s="1"/>
      <c r="B145" s="48" t="str">
        <f>IFERROR(__xludf.DUMMYFUNCTION("""COMPUTED_VALUE"""),"Troy Wong")</f>
        <v>Troy Wong</v>
      </c>
      <c r="C145" s="49">
        <f>IFERROR(__xludf.DUMMYFUNCTION("""COMPUTED_VALUE"""),243.0)</f>
        <v>243</v>
      </c>
      <c r="D145" s="50">
        <f>IFERROR(__xludf.DUMMYFUNCTION("""COMPUTED_VALUE"""),10.0)</f>
        <v>10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IFERROR(__xludf.DUMMYFUNCTION("""COMPUTED_VALUE"""),252.0)</f>
        <v>252</v>
      </c>
      <c r="N145" s="52">
        <f>IFERROR(__xludf.DUMMYFUNCTION("""COMPUTED_VALUE"""),10.0)</f>
        <v>10</v>
      </c>
    </row>
    <row r="146">
      <c r="A146" s="1"/>
      <c r="B146" s="48" t="str">
        <f>IFERROR(__xludf.DUMMYFUNCTION("""COMPUTED_VALUE"""),"Derek Fu")</f>
        <v>Derek Fu</v>
      </c>
      <c r="C146" s="49">
        <f>IFERROR(__xludf.DUMMYFUNCTION("""COMPUTED_VALUE"""),240.0)</f>
        <v>240</v>
      </c>
      <c r="D146" s="50">
        <f>IFERROR(__xludf.DUMMYFUNCTION("""COMPUTED_VALUE"""),10.0)</f>
        <v>10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IFERROR(__xludf.DUMMYFUNCTION("""COMPUTED_VALUE"""),249.0)</f>
        <v>249</v>
      </c>
      <c r="N146" s="52">
        <f>IFERROR(__xludf.DUMMYFUNCTION("""COMPUTED_VALUE"""),10.0)</f>
        <v>10</v>
      </c>
    </row>
    <row r="147">
      <c r="A147" s="1"/>
      <c r="B147" s="48" t="str">
        <f>IFERROR(__xludf.DUMMYFUNCTION("""COMPUTED_VALUE"""),"Andrew Chin")</f>
        <v>Andrew Chin</v>
      </c>
      <c r="C147" s="49">
        <f>IFERROR(__xludf.DUMMYFUNCTION("""COMPUTED_VALUE"""),235.0)</f>
        <v>235</v>
      </c>
      <c r="D147" s="50">
        <f>IFERROR(__xludf.DUMMYFUNCTION("""COMPUTED_VALUE"""),9.0)</f>
        <v>9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IFERROR(__xludf.DUMMYFUNCTION("""COMPUTED_VALUE"""),244.0)</f>
        <v>244</v>
      </c>
      <c r="N147" s="52">
        <f>IFERROR(__xludf.DUMMYFUNCTION("""COMPUTED_VALUE"""),9.0)</f>
        <v>9</v>
      </c>
    </row>
    <row r="148">
      <c r="A148" s="1"/>
      <c r="B148" s="48" t="str">
        <f>IFERROR(__xludf.DUMMYFUNCTION("""COMPUTED_VALUE"""),"Paul Sanchez")</f>
        <v>Paul Sanchez</v>
      </c>
      <c r="C148" s="49">
        <f>IFERROR(__xludf.DUMMYFUNCTION("""COMPUTED_VALUE"""),234.0)</f>
        <v>234</v>
      </c>
      <c r="D148" s="50">
        <f>IFERROR(__xludf.DUMMYFUNCTION("""COMPUTED_VALUE"""),9.0)</f>
        <v>9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IFERROR(__xludf.DUMMYFUNCTION("""COMPUTED_VALUE"""),243.0)</f>
        <v>243</v>
      </c>
      <c r="N148" s="52">
        <f>IFERROR(__xludf.DUMMYFUNCTION("""COMPUTED_VALUE"""),9.0)</f>
        <v>9</v>
      </c>
    </row>
    <row r="149">
      <c r="A149" s="1"/>
      <c r="B149" s="48" t="str">
        <f>IFERROR(__xludf.DUMMYFUNCTION("""COMPUTED_VALUE"""),"James Cole III")</f>
        <v>James Cole III</v>
      </c>
      <c r="C149" s="49">
        <f>IFERROR(__xludf.DUMMYFUNCTION("""COMPUTED_VALUE"""),229.0)</f>
        <v>229</v>
      </c>
      <c r="D149" s="50">
        <f>IFERROR(__xludf.DUMMYFUNCTION("""COMPUTED_VALUE"""),8.0)</f>
        <v>8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IFERROR(__xludf.DUMMYFUNCTION("""COMPUTED_VALUE"""),238.0)</f>
        <v>238</v>
      </c>
      <c r="N149" s="52">
        <f>IFERROR(__xludf.DUMMYFUNCTION("""COMPUTED_VALUE"""),8.0)</f>
        <v>8</v>
      </c>
    </row>
    <row r="150">
      <c r="A150" s="1"/>
      <c r="B150" s="48" t="str">
        <f>IFERROR(__xludf.DUMMYFUNCTION("""COMPUTED_VALUE"""),"Luis Hsu")</f>
        <v>Luis Hsu</v>
      </c>
      <c r="C150" s="49">
        <f>IFERROR(__xludf.DUMMYFUNCTION("""COMPUTED_VALUE"""),222.0)</f>
        <v>222</v>
      </c>
      <c r="D150" s="50">
        <f>IFERROR(__xludf.DUMMYFUNCTION("""COMPUTED_VALUE"""),5.0)</f>
        <v>5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IFERROR(__xludf.DUMMYFUNCTION("""COMPUTED_VALUE"""),231.0)</f>
        <v>231</v>
      </c>
      <c r="N150" s="52">
        <f>IFERROR(__xludf.DUMMYFUNCTION("""COMPUTED_VALUE"""),5.0)</f>
        <v>5</v>
      </c>
    </row>
    <row r="151">
      <c r="A151" s="1"/>
      <c r="B151" s="48" t="str">
        <f>IFERROR(__xludf.DUMMYFUNCTION("""COMPUTED_VALUE"""),"Pan Lee")</f>
        <v>Pan Lee</v>
      </c>
      <c r="C151" s="49">
        <f>IFERROR(__xludf.DUMMYFUNCTION("""COMPUTED_VALUE"""),221.0)</f>
        <v>221</v>
      </c>
      <c r="D151" s="50">
        <f>IFERROR(__xludf.DUMMYFUNCTION("""COMPUTED_VALUE"""),5.0)</f>
        <v>5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IFERROR(__xludf.DUMMYFUNCTION("""COMPUTED_VALUE"""),230.0)</f>
        <v>230</v>
      </c>
      <c r="N151" s="52">
        <f>IFERROR(__xludf.DUMMYFUNCTION("""COMPUTED_VALUE"""),5.0)</f>
        <v>5</v>
      </c>
    </row>
    <row r="152">
      <c r="A152" s="1"/>
      <c r="B152" s="48" t="str">
        <f>IFERROR(__xludf.DUMMYFUNCTION("""COMPUTED_VALUE"""),"Lauren Chang")</f>
        <v>Lauren Chang</v>
      </c>
      <c r="C152" s="49">
        <f>IFERROR(__xludf.DUMMYFUNCTION("""COMPUTED_VALUE"""),219.0)</f>
        <v>219</v>
      </c>
      <c r="D152" s="50">
        <f>IFERROR(__xludf.DUMMYFUNCTION("""COMPUTED_VALUE"""),4.0)</f>
        <v>4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IFERROR(__xludf.DUMMYFUNCTION("""COMPUTED_VALUE"""),228.0)</f>
        <v>228</v>
      </c>
      <c r="N152" s="52">
        <f>IFERROR(__xludf.DUMMYFUNCTION("""COMPUTED_VALUE"""),4.0)</f>
        <v>4</v>
      </c>
    </row>
    <row r="153">
      <c r="A153" s="1"/>
      <c r="B153" s="48" t="str">
        <f>IFERROR(__xludf.DUMMYFUNCTION("""COMPUTED_VALUE"""),"Santosh Sundaresan ")</f>
        <v>Santosh Sundaresan </v>
      </c>
      <c r="C153" s="49">
        <f>IFERROR(__xludf.DUMMYFUNCTION("""COMPUTED_VALUE"""),217.0)</f>
        <v>217</v>
      </c>
      <c r="D153" s="50">
        <f>IFERROR(__xludf.DUMMYFUNCTION("""COMPUTED_VALUE"""),6.0)</f>
        <v>6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IFERROR(__xludf.DUMMYFUNCTION("""COMPUTED_VALUE"""),226.0)</f>
        <v>226</v>
      </c>
      <c r="N153" s="52">
        <f>IFERROR(__xludf.DUMMYFUNCTION("""COMPUTED_VALUE"""),6.0)</f>
        <v>6</v>
      </c>
    </row>
    <row r="154">
      <c r="A154" s="1"/>
      <c r="B154" s="48" t="str">
        <f>IFERROR(__xludf.DUMMYFUNCTION("""COMPUTED_VALUE"""),"Vilas Janardhanan")</f>
        <v>Vilas Janardhanan</v>
      </c>
      <c r="C154" s="49">
        <f>IFERROR(__xludf.DUMMYFUNCTION("""COMPUTED_VALUE"""),216.0)</f>
        <v>216</v>
      </c>
      <c r="D154" s="50">
        <f>IFERROR(__xludf.DUMMYFUNCTION("""COMPUTED_VALUE"""),7.0)</f>
        <v>7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IFERROR(__xludf.DUMMYFUNCTION("""COMPUTED_VALUE"""),225.0)</f>
        <v>225</v>
      </c>
      <c r="N154" s="52">
        <f>IFERROR(__xludf.DUMMYFUNCTION("""COMPUTED_VALUE"""),7.0)</f>
        <v>7</v>
      </c>
    </row>
    <row r="155">
      <c r="A155" s="1"/>
      <c r="B155" s="48" t="str">
        <f>IFERROR(__xludf.DUMMYFUNCTION("""COMPUTED_VALUE"""),"Piyorasa Li")</f>
        <v>Piyorasa Li</v>
      </c>
      <c r="C155" s="49">
        <f>IFERROR(__xludf.DUMMYFUNCTION("""COMPUTED_VALUE"""),216.0)</f>
        <v>216</v>
      </c>
      <c r="D155" s="50">
        <f>IFERROR(__xludf.DUMMYFUNCTION("""COMPUTED_VALUE"""),3.0)</f>
        <v>3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IFERROR(__xludf.DUMMYFUNCTION("""COMPUTED_VALUE"""),225.0)</f>
        <v>225</v>
      </c>
      <c r="N155" s="52">
        <f>IFERROR(__xludf.DUMMYFUNCTION("""COMPUTED_VALUE"""),3.0)</f>
        <v>3</v>
      </c>
    </row>
    <row r="156">
      <c r="A156" s="1"/>
      <c r="B156" s="48" t="str">
        <f>IFERROR(__xludf.DUMMYFUNCTION("""COMPUTED_VALUE"""),"Jason Kim ")</f>
        <v>Jason Kim </v>
      </c>
      <c r="C156" s="49">
        <f>IFERROR(__xludf.DUMMYFUNCTION("""COMPUTED_VALUE"""),216.0)</f>
        <v>216</v>
      </c>
      <c r="D156" s="50">
        <f>IFERROR(__xludf.DUMMYFUNCTION("""COMPUTED_VALUE"""),3.0)</f>
        <v>3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IFERROR(__xludf.DUMMYFUNCTION("""COMPUTED_VALUE"""),225.0)</f>
        <v>225</v>
      </c>
      <c r="N156" s="52">
        <f>IFERROR(__xludf.DUMMYFUNCTION("""COMPUTED_VALUE"""),3.0)</f>
        <v>3</v>
      </c>
    </row>
    <row r="157">
      <c r="A157" s="1"/>
      <c r="B157" s="48" t="str">
        <f>IFERROR(__xludf.DUMMYFUNCTION("""COMPUTED_VALUE"""),"Amit Patel")</f>
        <v>Amit Patel</v>
      </c>
      <c r="C157" s="49">
        <f>IFERROR(__xludf.DUMMYFUNCTION("""COMPUTED_VALUE"""),214.0)</f>
        <v>214</v>
      </c>
      <c r="D157" s="50">
        <f>IFERROR(__xludf.DUMMYFUNCTION("""COMPUTED_VALUE"""),4.0)</f>
        <v>4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IFERROR(__xludf.DUMMYFUNCTION("""COMPUTED_VALUE"""),223.0)</f>
        <v>223</v>
      </c>
      <c r="N157" s="52">
        <f>IFERROR(__xludf.DUMMYFUNCTION("""COMPUTED_VALUE"""),4.0)</f>
        <v>4</v>
      </c>
    </row>
    <row r="158">
      <c r="A158" s="1"/>
      <c r="B158" s="48" t="str">
        <f>IFERROR(__xludf.DUMMYFUNCTION("""COMPUTED_VALUE"""),"Coco Yan")</f>
        <v>Coco Yan</v>
      </c>
      <c r="C158" s="49">
        <f>IFERROR(__xludf.DUMMYFUNCTION("""COMPUTED_VALUE"""),211.0)</f>
        <v>211</v>
      </c>
      <c r="D158" s="50">
        <f>IFERROR(__xludf.DUMMYFUNCTION("""COMPUTED_VALUE"""),2.0)</f>
        <v>2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IFERROR(__xludf.DUMMYFUNCTION("""COMPUTED_VALUE"""),220.0)</f>
        <v>220</v>
      </c>
      <c r="N158" s="52">
        <f>IFERROR(__xludf.DUMMYFUNCTION("""COMPUTED_VALUE"""),2.0)</f>
        <v>2</v>
      </c>
    </row>
    <row r="159">
      <c r="A159" s="1"/>
      <c r="B159" s="48" t="str">
        <f>IFERROR(__xludf.DUMMYFUNCTION("""COMPUTED_VALUE"""),"Thomas Zou")</f>
        <v>Thomas Zou</v>
      </c>
      <c r="C159" s="49">
        <f>IFERROR(__xludf.DUMMYFUNCTION("""COMPUTED_VALUE"""),211.0)</f>
        <v>211</v>
      </c>
      <c r="D159" s="50">
        <f>IFERROR(__xludf.DUMMYFUNCTION("""COMPUTED_VALUE"""),2.0)</f>
        <v>2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/>
      <c r="I159" s="51"/>
      <c r="J159" s="51"/>
      <c r="K159" s="51">
        <f>IFERROR(__xludf.DUMMYFUNCTION("""COMPUTED_VALUE"""),9.0)</f>
        <v>9</v>
      </c>
      <c r="L159" s="51"/>
      <c r="M159" s="51">
        <f>IFERROR(__xludf.DUMMYFUNCTION("""COMPUTED_VALUE"""),220.0)</f>
        <v>220</v>
      </c>
      <c r="N159" s="52">
        <f>IFERROR(__xludf.DUMMYFUNCTION("""COMPUTED_VALUE"""),2.0)</f>
        <v>2</v>
      </c>
    </row>
    <row r="160">
      <c r="A160" s="1"/>
      <c r="B160" s="48" t="str">
        <f>IFERROR(__xludf.DUMMYFUNCTION("""COMPUTED_VALUE"""),"Savay Lieu")</f>
        <v>Savay Lieu</v>
      </c>
      <c r="C160" s="49">
        <f>IFERROR(__xludf.DUMMYFUNCTION("""COMPUTED_VALUE"""),207.0)</f>
        <v>207</v>
      </c>
      <c r="D160" s="50">
        <f>IFERROR(__xludf.DUMMYFUNCTION("""COMPUTED_VALUE"""),0.0)</f>
        <v>0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IFERROR(__xludf.DUMMYFUNCTION("""COMPUTED_VALUE"""),216.0)</f>
        <v>216</v>
      </c>
      <c r="N160" s="52">
        <f>IFERROR(__xludf.DUMMYFUNCTION("""COMPUTED_VALUE"""),0.0)</f>
        <v>0</v>
      </c>
    </row>
    <row r="161">
      <c r="A161" s="1"/>
      <c r="B161" s="48" t="str">
        <f>IFERROR(__xludf.DUMMYFUNCTION("""COMPUTED_VALUE"""),"Mihir Anand")</f>
        <v>Mihir Anand</v>
      </c>
      <c r="C161" s="49">
        <f>IFERROR(__xludf.DUMMYFUNCTION("""COMPUTED_VALUE"""),207.0)</f>
        <v>207</v>
      </c>
      <c r="D161" s="50">
        <f>IFERROR(__xludf.DUMMYFUNCTION("""COMPUTED_VALUE"""),0.0)</f>
        <v>0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IFERROR(__xludf.DUMMYFUNCTION("""COMPUTED_VALUE"""),216.0)</f>
        <v>216</v>
      </c>
      <c r="N161" s="52">
        <f>IFERROR(__xludf.DUMMYFUNCTION("""COMPUTED_VALUE"""),0.0)</f>
        <v>0</v>
      </c>
    </row>
    <row r="162">
      <c r="A162" s="1"/>
      <c r="B162" s="48" t="str">
        <f>IFERROR(__xludf.DUMMYFUNCTION("""COMPUTED_VALUE"""),"Manish Anand")</f>
        <v>Manish Anand</v>
      </c>
      <c r="C162" s="49">
        <f>IFERROR(__xludf.DUMMYFUNCTION("""COMPUTED_VALUE"""),207.0)</f>
        <v>207</v>
      </c>
      <c r="D162" s="50">
        <f>IFERROR(__xludf.DUMMYFUNCTION("""COMPUTED_VALUE"""),0.0)</f>
        <v>0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IFERROR(__xludf.DUMMYFUNCTION("""COMPUTED_VALUE"""),216.0)</f>
        <v>216</v>
      </c>
      <c r="N162" s="52">
        <f>IFERROR(__xludf.DUMMYFUNCTION("""COMPUTED_VALUE"""),0.0)</f>
        <v>0</v>
      </c>
    </row>
    <row r="163">
      <c r="A163" s="1"/>
      <c r="B163" s="48" t="str">
        <f>IFERROR(__xludf.DUMMYFUNCTION("""COMPUTED_VALUE"""),"Fendi Purwadi")</f>
        <v>Fendi Purwadi</v>
      </c>
      <c r="C163" s="49">
        <f>IFERROR(__xludf.DUMMYFUNCTION("""COMPUTED_VALUE"""),207.0)</f>
        <v>207</v>
      </c>
      <c r="D163" s="50">
        <f>IFERROR(__xludf.DUMMYFUNCTION("""COMPUTED_VALUE"""),0.0)</f>
        <v>0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IFERROR(__xludf.DUMMYFUNCTION("""COMPUTED_VALUE"""),216.0)</f>
        <v>216</v>
      </c>
      <c r="N163" s="52">
        <f>IFERROR(__xludf.DUMMYFUNCTION("""COMPUTED_VALUE"""),0.0)</f>
        <v>0</v>
      </c>
    </row>
    <row r="164">
      <c r="A164" s="1"/>
      <c r="B164" s="48" t="str">
        <f>IFERROR(__xludf.DUMMYFUNCTION("""COMPUTED_VALUE"""),"Tiffany Yu")</f>
        <v>Tiffany Yu</v>
      </c>
      <c r="C164" s="49">
        <f>IFERROR(__xludf.DUMMYFUNCTION("""COMPUTED_VALUE"""),205.0)</f>
        <v>205</v>
      </c>
      <c r="D164" s="50">
        <f>IFERROR(__xludf.DUMMYFUNCTION("""COMPUTED_VALUE"""),2.0)</f>
        <v>2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IFERROR(__xludf.DUMMYFUNCTION("""COMPUTED_VALUE"""),214.0)</f>
        <v>214</v>
      </c>
      <c r="N164" s="52">
        <f>IFERROR(__xludf.DUMMYFUNCTION("""COMPUTED_VALUE"""),2.0)</f>
        <v>2</v>
      </c>
    </row>
    <row r="165">
      <c r="A165" s="1"/>
      <c r="B165" s="48"/>
      <c r="C165" s="49"/>
      <c r="D165" s="50"/>
      <c r="E165" s="49"/>
      <c r="F165" s="51"/>
      <c r="G165" s="51"/>
      <c r="H165" s="51"/>
      <c r="I165" s="51"/>
      <c r="J165" s="51"/>
      <c r="K165" s="51"/>
      <c r="L165" s="51"/>
      <c r="M165" s="51"/>
      <c r="N165" s="52"/>
    </row>
    <row r="166">
      <c r="A166" s="1"/>
      <c r="B166" s="48"/>
      <c r="C166" s="49"/>
      <c r="D166" s="50"/>
      <c r="E166" s="49"/>
      <c r="F166" s="51"/>
      <c r="G166" s="51"/>
      <c r="H166" s="51"/>
      <c r="I166" s="51"/>
      <c r="J166" s="51"/>
      <c r="K166" s="51"/>
      <c r="L166" s="51"/>
      <c r="M166" s="51"/>
      <c r="N166" s="52"/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45276.0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23.0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18" t="s">
        <v>23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302.0</v>
      </c>
      <c r="D5" s="28">
        <v>32.0</v>
      </c>
      <c r="E5" s="30">
        <v>1.0</v>
      </c>
      <c r="F5" s="31">
        <v>1.0</v>
      </c>
      <c r="G5" s="27">
        <v>0.0</v>
      </c>
      <c r="H5" s="31">
        <v>7.0</v>
      </c>
      <c r="I5" s="31">
        <v>7.0</v>
      </c>
      <c r="J5" s="31">
        <v>5.0</v>
      </c>
      <c r="K5" s="32">
        <v>19.0</v>
      </c>
      <c r="L5" s="31">
        <v>2.0</v>
      </c>
      <c r="M5" s="27">
        <f t="shared" ref="M5:N5" si="1">C5+K5</f>
        <v>321</v>
      </c>
      <c r="N5" s="28">
        <f t="shared" si="1"/>
        <v>34</v>
      </c>
      <c r="O5" s="33" t="s">
        <v>37</v>
      </c>
      <c r="P5" s="33"/>
      <c r="Q5" s="31">
        <f>if(G5=13,1,0)+VLOOKUP(B5,'120923'!B:Q,16,false)</f>
        <v>1</v>
      </c>
      <c r="R5" s="31"/>
      <c r="S5" s="31">
        <f>if(G5=9,1,0)+VLOOKUP(B5,'120923'!B:S,18,false)</f>
        <v>6</v>
      </c>
    </row>
    <row r="6">
      <c r="A6" s="25">
        <f t="shared" ref="A6:A68" si="3">A5+1</f>
        <v>2</v>
      </c>
      <c r="B6" s="26" t="s">
        <v>42</v>
      </c>
      <c r="C6" s="27">
        <v>295.0</v>
      </c>
      <c r="D6" s="28">
        <v>29.0</v>
      </c>
      <c r="E6" s="30">
        <v>1.0</v>
      </c>
      <c r="F6" s="31">
        <v>1.0</v>
      </c>
      <c r="G6" s="27">
        <v>0.0</v>
      </c>
      <c r="H6" s="31">
        <v>7.0</v>
      </c>
      <c r="I6" s="31">
        <v>6.0</v>
      </c>
      <c r="J6" s="31">
        <v>7.0</v>
      </c>
      <c r="K6" s="32">
        <v>20.0</v>
      </c>
      <c r="L6" s="31">
        <v>2.0</v>
      </c>
      <c r="M6" s="27">
        <f t="shared" ref="M6:N6" si="2">C6+K6</f>
        <v>315</v>
      </c>
      <c r="N6" s="28">
        <f t="shared" si="2"/>
        <v>31</v>
      </c>
      <c r="O6" s="33" t="s">
        <v>37</v>
      </c>
      <c r="P6" s="33"/>
      <c r="Q6" s="31">
        <f>if(G6=13,1,0)+VLOOKUP(B6,'120923'!B:Q,16,false)</f>
        <v>0</v>
      </c>
      <c r="R6" s="31"/>
      <c r="S6" s="31">
        <f>if(G6=9,1,0)+VLOOKUP(B6,'120923'!B:S,18,false)</f>
        <v>8</v>
      </c>
    </row>
    <row r="7">
      <c r="A7" s="25">
        <f t="shared" si="3"/>
        <v>3</v>
      </c>
      <c r="B7" s="26" t="s">
        <v>47</v>
      </c>
      <c r="C7" s="27">
        <v>288.0</v>
      </c>
      <c r="D7" s="28">
        <v>27.0</v>
      </c>
      <c r="E7" s="30">
        <v>2.0</v>
      </c>
      <c r="F7" s="31">
        <v>1.0</v>
      </c>
      <c r="G7" s="27">
        <v>0.0</v>
      </c>
      <c r="H7" s="31">
        <v>5.0</v>
      </c>
      <c r="I7" s="31">
        <v>7.0</v>
      </c>
      <c r="J7" s="31">
        <v>7.0</v>
      </c>
      <c r="K7" s="32">
        <v>19.0</v>
      </c>
      <c r="L7" s="31">
        <v>2.0</v>
      </c>
      <c r="M7" s="27">
        <f t="shared" ref="M7:N7" si="4">C7+K7</f>
        <v>307</v>
      </c>
      <c r="N7" s="28">
        <f t="shared" si="4"/>
        <v>29</v>
      </c>
      <c r="O7" s="33" t="s">
        <v>37</v>
      </c>
      <c r="P7" s="33" t="s">
        <v>37</v>
      </c>
      <c r="Q7" s="31">
        <f>if(G7=13,1,0)+VLOOKUP(B7,'120923'!B:Q,16,false)</f>
        <v>0</v>
      </c>
      <c r="R7" s="31"/>
      <c r="S7" s="31">
        <f>if(G7=9,1,0)+VLOOKUP(B7,'120923'!B:S,18,false)</f>
        <v>10</v>
      </c>
    </row>
    <row r="8">
      <c r="A8" s="25">
        <f t="shared" si="3"/>
        <v>4</v>
      </c>
      <c r="B8" s="26" t="s">
        <v>48</v>
      </c>
      <c r="C8" s="27">
        <v>283.0</v>
      </c>
      <c r="D8" s="28">
        <v>25.0</v>
      </c>
      <c r="E8" s="30">
        <v>2.0</v>
      </c>
      <c r="F8" s="31">
        <v>1.0</v>
      </c>
      <c r="G8" s="27">
        <v>0.0</v>
      </c>
      <c r="H8" s="31">
        <v>5.0</v>
      </c>
      <c r="I8" s="31">
        <v>6.0</v>
      </c>
      <c r="J8" s="31">
        <v>5.0</v>
      </c>
      <c r="K8" s="32">
        <v>16.0</v>
      </c>
      <c r="L8" s="31">
        <v>0.0</v>
      </c>
      <c r="M8" s="27">
        <f t="shared" ref="M8:N8" si="5">C8+K8</f>
        <v>299</v>
      </c>
      <c r="N8" s="28">
        <f t="shared" si="5"/>
        <v>25</v>
      </c>
      <c r="O8" s="33" t="s">
        <v>37</v>
      </c>
      <c r="P8" s="33" t="s">
        <v>37</v>
      </c>
      <c r="Q8" s="31">
        <f>if(G8=13,1,0)+VLOOKUP(B8,'120923'!B:Q,16,false)</f>
        <v>0</v>
      </c>
      <c r="R8" s="31"/>
      <c r="S8" s="31">
        <f>if(G8=9,1,0)+VLOOKUP(B8,'120923'!B:S,18,false)</f>
        <v>8</v>
      </c>
    </row>
    <row r="9">
      <c r="A9" s="25">
        <f t="shared" si="3"/>
        <v>5</v>
      </c>
      <c r="B9" s="26" t="s">
        <v>51</v>
      </c>
      <c r="C9" s="27">
        <v>282.0</v>
      </c>
      <c r="D9" s="28">
        <v>25.0</v>
      </c>
      <c r="E9" s="30">
        <v>2.0</v>
      </c>
      <c r="F9" s="31">
        <v>2.0</v>
      </c>
      <c r="G9" s="27">
        <v>0.0</v>
      </c>
      <c r="H9" s="31">
        <v>6.0</v>
      </c>
      <c r="I9" s="31">
        <v>3.0</v>
      </c>
      <c r="J9" s="31">
        <v>2.0</v>
      </c>
      <c r="K9" s="32">
        <v>11.0</v>
      </c>
      <c r="L9" s="31">
        <v>1.0</v>
      </c>
      <c r="M9" s="27">
        <f t="shared" ref="M9:N9" si="6">C9+K9</f>
        <v>293</v>
      </c>
      <c r="N9" s="28">
        <f t="shared" si="6"/>
        <v>26</v>
      </c>
      <c r="O9" s="33" t="s">
        <v>37</v>
      </c>
      <c r="P9" s="33" t="s">
        <v>37</v>
      </c>
      <c r="Q9" s="31">
        <f>if(G9=13,1,0)+VLOOKUP(B9,'120923'!B:Q,16,false)</f>
        <v>1</v>
      </c>
      <c r="R9" s="31"/>
      <c r="S9" s="31">
        <f>if(G9=9,1,0)+VLOOKUP(B9,'120923'!B:S,18,false)</f>
        <v>9</v>
      </c>
    </row>
    <row r="10">
      <c r="A10" s="25">
        <f t="shared" si="3"/>
        <v>6</v>
      </c>
      <c r="B10" s="26" t="s">
        <v>50</v>
      </c>
      <c r="C10" s="27">
        <v>282.0</v>
      </c>
      <c r="D10" s="28">
        <v>24.0</v>
      </c>
      <c r="E10" s="30">
        <v>1.0</v>
      </c>
      <c r="F10" s="31">
        <v>2.0</v>
      </c>
      <c r="G10" s="27">
        <v>0.0</v>
      </c>
      <c r="H10" s="31">
        <v>4.0</v>
      </c>
      <c r="I10" s="31">
        <v>3.0</v>
      </c>
      <c r="J10" s="31">
        <v>6.0</v>
      </c>
      <c r="K10" s="32">
        <v>13.0</v>
      </c>
      <c r="L10" s="31">
        <v>1.0</v>
      </c>
      <c r="M10" s="27">
        <f t="shared" ref="M10:N10" si="7">C10+K10</f>
        <v>295</v>
      </c>
      <c r="N10" s="28">
        <f t="shared" si="7"/>
        <v>25</v>
      </c>
      <c r="O10" s="33" t="s">
        <v>37</v>
      </c>
      <c r="P10" s="33" t="s">
        <v>37</v>
      </c>
      <c r="Q10" s="31">
        <f>if(G10=13,1,0)+VLOOKUP(B10,'120923'!B:Q,16,false)</f>
        <v>0</v>
      </c>
      <c r="R10" s="31"/>
      <c r="S10" s="31">
        <f>if(G10=9,1,0)+VLOOKUP(B10,'120923'!B:S,18,false)</f>
        <v>10</v>
      </c>
    </row>
    <row r="11">
      <c r="A11" s="25">
        <f t="shared" si="3"/>
        <v>7</v>
      </c>
      <c r="B11" s="26" t="s">
        <v>52</v>
      </c>
      <c r="C11" s="27">
        <v>279.0</v>
      </c>
      <c r="D11" s="28">
        <v>25.0</v>
      </c>
      <c r="E11" s="30">
        <v>1.0</v>
      </c>
      <c r="F11" s="31">
        <v>2.0</v>
      </c>
      <c r="G11" s="27">
        <v>0.0</v>
      </c>
      <c r="H11" s="31">
        <v>4.0</v>
      </c>
      <c r="I11" s="31">
        <v>6.0</v>
      </c>
      <c r="J11" s="31">
        <v>2.0</v>
      </c>
      <c r="K11" s="32">
        <v>12.0</v>
      </c>
      <c r="L11" s="31">
        <v>1.0</v>
      </c>
      <c r="M11" s="27">
        <f t="shared" ref="M11:N11" si="8">C11+K11</f>
        <v>291</v>
      </c>
      <c r="N11" s="28">
        <f t="shared" si="8"/>
        <v>26</v>
      </c>
      <c r="O11" s="33" t="s">
        <v>37</v>
      </c>
      <c r="P11" s="33" t="s">
        <v>37</v>
      </c>
      <c r="Q11" s="31">
        <f>if(G11=13,1,0)+VLOOKUP(B11,'120923'!B:Q,16,false)</f>
        <v>0</v>
      </c>
      <c r="R11" s="31"/>
      <c r="S11" s="31">
        <f>if(G11=9,1,0)+VLOOKUP(B11,'120923'!B:S,18,false)</f>
        <v>2</v>
      </c>
    </row>
    <row r="12">
      <c r="A12" s="25">
        <f t="shared" si="3"/>
        <v>8</v>
      </c>
      <c r="B12" s="26" t="s">
        <v>49</v>
      </c>
      <c r="C12" s="27">
        <v>279.0</v>
      </c>
      <c r="D12" s="28">
        <v>23.0</v>
      </c>
      <c r="E12" s="30">
        <v>1.0</v>
      </c>
      <c r="F12" s="31">
        <v>2.0</v>
      </c>
      <c r="G12" s="27">
        <v>0.0</v>
      </c>
      <c r="H12" s="31">
        <v>6.0</v>
      </c>
      <c r="I12" s="31">
        <v>6.0</v>
      </c>
      <c r="J12" s="31">
        <v>6.0</v>
      </c>
      <c r="K12" s="32">
        <v>18.0</v>
      </c>
      <c r="L12" s="31">
        <v>3.0</v>
      </c>
      <c r="M12" s="27">
        <f t="shared" ref="M12:N12" si="9">C12+K12</f>
        <v>297</v>
      </c>
      <c r="N12" s="28">
        <f t="shared" si="9"/>
        <v>26</v>
      </c>
      <c r="O12" s="33" t="s">
        <v>37</v>
      </c>
      <c r="P12" s="33" t="s">
        <v>37</v>
      </c>
      <c r="Q12" s="31">
        <f>if(G12=13,1,0)+VLOOKUP(B12,'120923'!B:Q,16,false)</f>
        <v>1</v>
      </c>
      <c r="R12" s="31"/>
      <c r="S12" s="31">
        <f>if(G12=9,1,0)+VLOOKUP(B12,'120923'!B:S,18,false)</f>
        <v>4</v>
      </c>
    </row>
    <row r="13">
      <c r="A13" s="25">
        <f t="shared" si="3"/>
        <v>9</v>
      </c>
      <c r="B13" s="26" t="s">
        <v>53</v>
      </c>
      <c r="C13" s="27">
        <v>271.0</v>
      </c>
      <c r="D13" s="28">
        <v>20.0</v>
      </c>
      <c r="E13" s="30">
        <v>1.0</v>
      </c>
      <c r="F13" s="31">
        <v>3.0</v>
      </c>
      <c r="G13" s="27">
        <v>0.0</v>
      </c>
      <c r="H13" s="31">
        <v>6.0</v>
      </c>
      <c r="I13" s="31">
        <v>7.0</v>
      </c>
      <c r="J13" s="31">
        <v>6.0</v>
      </c>
      <c r="K13" s="32">
        <v>19.0</v>
      </c>
      <c r="L13" s="31">
        <v>3.0</v>
      </c>
      <c r="M13" s="27">
        <f t="shared" ref="M13:N13" si="10">C13+K13</f>
        <v>290</v>
      </c>
      <c r="N13" s="28">
        <f t="shared" si="10"/>
        <v>23</v>
      </c>
      <c r="O13" s="33" t="s">
        <v>37</v>
      </c>
      <c r="P13" s="33" t="s">
        <v>37</v>
      </c>
      <c r="Q13" s="31">
        <f>if(G13=13,1,0)+VLOOKUP(B13,'120923'!B:Q,16,false)</f>
        <v>0</v>
      </c>
      <c r="R13" s="31"/>
      <c r="S13" s="31">
        <f>if(G13=9,1,0)+VLOOKUP(B13,'120923'!B:S,18,false)</f>
        <v>6</v>
      </c>
    </row>
    <row r="14">
      <c r="A14" s="25">
        <f t="shared" si="3"/>
        <v>10</v>
      </c>
      <c r="B14" s="36" t="s">
        <v>59</v>
      </c>
      <c r="C14" s="27">
        <v>271.0</v>
      </c>
      <c r="D14" s="28">
        <v>19.0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280</v>
      </c>
      <c r="N14" s="28">
        <f t="shared" si="11"/>
        <v>19</v>
      </c>
      <c r="O14" s="33" t="s">
        <v>37</v>
      </c>
      <c r="P14" s="33" t="s">
        <v>37</v>
      </c>
      <c r="Q14" s="31">
        <f>if(G14=13,1,0)+VLOOKUP(B14,'120923'!B:Q,16,false)</f>
        <v>0</v>
      </c>
      <c r="R14" s="31"/>
      <c r="S14" s="31">
        <f>if(G14=9,1,0)+VLOOKUP(B14,'120923'!B:S,18,false)</f>
        <v>6</v>
      </c>
    </row>
    <row r="15">
      <c r="A15" s="25">
        <f t="shared" si="3"/>
        <v>11</v>
      </c>
      <c r="B15" s="26" t="s">
        <v>54</v>
      </c>
      <c r="C15" s="27">
        <v>269.0</v>
      </c>
      <c r="D15" s="28">
        <v>23.0</v>
      </c>
      <c r="E15" s="30">
        <v>1.0</v>
      </c>
      <c r="F15" s="31">
        <v>3.0</v>
      </c>
      <c r="G15" s="27">
        <v>0.0</v>
      </c>
      <c r="H15" s="31">
        <v>6.0</v>
      </c>
      <c r="I15" s="31">
        <v>6.0</v>
      </c>
      <c r="J15" s="31">
        <v>2.0</v>
      </c>
      <c r="K15" s="32">
        <v>14.0</v>
      </c>
      <c r="L15" s="31">
        <v>1.0</v>
      </c>
      <c r="M15" s="27">
        <f t="shared" ref="M15:N15" si="12">C15+K15</f>
        <v>283</v>
      </c>
      <c r="N15" s="28">
        <f t="shared" si="12"/>
        <v>24</v>
      </c>
      <c r="O15" s="33" t="s">
        <v>37</v>
      </c>
      <c r="P15" s="33" t="s">
        <v>37</v>
      </c>
      <c r="Q15" s="31">
        <f>if(G15=13,1,0)+VLOOKUP(B15,'120923'!B:Q,16,false)</f>
        <v>0</v>
      </c>
      <c r="R15" s="31"/>
      <c r="S15" s="31">
        <f>if(G15=9,1,0)+VLOOKUP(B15,'120923'!B:S,18,false)</f>
        <v>8</v>
      </c>
    </row>
    <row r="16">
      <c r="A16" s="25">
        <f t="shared" si="3"/>
        <v>12</v>
      </c>
      <c r="B16" s="26" t="s">
        <v>61</v>
      </c>
      <c r="C16" s="27">
        <v>269.0</v>
      </c>
      <c r="D16" s="28">
        <v>20.0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278</v>
      </c>
      <c r="N16" s="28">
        <f t="shared" si="13"/>
        <v>20</v>
      </c>
      <c r="O16" s="33" t="s">
        <v>37</v>
      </c>
      <c r="P16" s="33" t="s">
        <v>37</v>
      </c>
      <c r="Q16" s="31">
        <f>if(G16=13,1,0)+VLOOKUP(B16,'120923'!B:Q,16,false)</f>
        <v>0</v>
      </c>
      <c r="R16" s="31"/>
      <c r="S16" s="31">
        <f>if(G16=9,1,0)+VLOOKUP(B16,'120923'!B:S,18,false)</f>
        <v>6</v>
      </c>
    </row>
    <row r="17">
      <c r="A17" s="25">
        <f t="shared" si="3"/>
        <v>13</v>
      </c>
      <c r="B17" s="26" t="s">
        <v>55</v>
      </c>
      <c r="C17" s="27">
        <v>268.0</v>
      </c>
      <c r="D17" s="28">
        <v>22.0</v>
      </c>
      <c r="E17" s="30">
        <v>1.0</v>
      </c>
      <c r="F17" s="31">
        <v>3.0</v>
      </c>
      <c r="G17" s="27">
        <v>0.0</v>
      </c>
      <c r="H17" s="31">
        <v>3.0</v>
      </c>
      <c r="I17" s="31">
        <v>6.0</v>
      </c>
      <c r="J17" s="31">
        <v>6.0</v>
      </c>
      <c r="K17" s="32">
        <v>15.0</v>
      </c>
      <c r="L17" s="31">
        <v>1.0</v>
      </c>
      <c r="M17" s="27">
        <f t="shared" ref="M17:N17" si="14">C17+K17</f>
        <v>283</v>
      </c>
      <c r="N17" s="28">
        <f t="shared" si="14"/>
        <v>23</v>
      </c>
      <c r="O17" s="33" t="s">
        <v>37</v>
      </c>
      <c r="P17" s="33"/>
      <c r="Q17" s="31">
        <f>if(G17=13,1,0)+VLOOKUP(B17,'120923'!B:Q,16,false)</f>
        <v>0</v>
      </c>
      <c r="R17" s="31"/>
      <c r="S17" s="31">
        <f>if(G17=9,1,0)+VLOOKUP(B17,'120923'!B:S,18,false)</f>
        <v>10</v>
      </c>
    </row>
    <row r="18">
      <c r="A18" s="25">
        <f t="shared" si="3"/>
        <v>14</v>
      </c>
      <c r="B18" s="26" t="s">
        <v>60</v>
      </c>
      <c r="C18" s="27">
        <v>267.0</v>
      </c>
      <c r="D18" s="28">
        <v>23.0</v>
      </c>
      <c r="E18" s="30">
        <v>1.0</v>
      </c>
      <c r="F18" s="31">
        <v>3.0</v>
      </c>
      <c r="G18" s="27">
        <v>0.0</v>
      </c>
      <c r="H18" s="31">
        <v>3.0</v>
      </c>
      <c r="I18" s="31">
        <v>7.0</v>
      </c>
      <c r="J18" s="31">
        <v>2.0</v>
      </c>
      <c r="K18" s="32">
        <v>12.0</v>
      </c>
      <c r="L18" s="31">
        <v>1.0</v>
      </c>
      <c r="M18" s="27">
        <f t="shared" ref="M18:N18" si="15">C18+K18</f>
        <v>279</v>
      </c>
      <c r="N18" s="28">
        <f t="shared" si="15"/>
        <v>24</v>
      </c>
      <c r="O18" s="33" t="s">
        <v>37</v>
      </c>
      <c r="P18" s="33" t="s">
        <v>37</v>
      </c>
      <c r="Q18" s="31">
        <f>if(G18=13,1,0)+VLOOKUP(B18,'120923'!B:Q,16,false)</f>
        <v>0</v>
      </c>
      <c r="R18" s="31"/>
      <c r="S18" s="31">
        <f>if(G18=9,1,0)+VLOOKUP(B18,'120923'!B:S,18,false)</f>
        <v>8</v>
      </c>
    </row>
    <row r="19">
      <c r="A19" s="25">
        <f t="shared" si="3"/>
        <v>15</v>
      </c>
      <c r="B19" s="36" t="s">
        <v>56</v>
      </c>
      <c r="C19" s="27">
        <v>266.0</v>
      </c>
      <c r="D19" s="28">
        <v>24.0</v>
      </c>
      <c r="E19" s="30">
        <v>1.0</v>
      </c>
      <c r="F19" s="31">
        <v>4.0</v>
      </c>
      <c r="G19" s="27">
        <v>0.0</v>
      </c>
      <c r="H19" s="31">
        <v>7.0</v>
      </c>
      <c r="I19" s="31">
        <v>2.0</v>
      </c>
      <c r="J19" s="31">
        <v>7.0</v>
      </c>
      <c r="K19" s="32">
        <v>16.0</v>
      </c>
      <c r="L19" s="31">
        <v>2.0</v>
      </c>
      <c r="M19" s="27">
        <f t="shared" ref="M19:N19" si="16">C19+K19</f>
        <v>282</v>
      </c>
      <c r="N19" s="28">
        <f t="shared" si="16"/>
        <v>26</v>
      </c>
      <c r="O19" s="33" t="s">
        <v>37</v>
      </c>
      <c r="P19" s="33" t="s">
        <v>37</v>
      </c>
      <c r="Q19" s="31">
        <f>if(G19=13,1,0)+VLOOKUP(B19,'120923'!B:Q,16,false)</f>
        <v>1</v>
      </c>
      <c r="R19" s="31"/>
      <c r="S19" s="31">
        <f>if(G19=9,1,0)+VLOOKUP(B19,'120923'!B:S,18,false)</f>
        <v>5</v>
      </c>
    </row>
    <row r="20">
      <c r="A20" s="25">
        <f t="shared" si="3"/>
        <v>16</v>
      </c>
      <c r="B20" s="26" t="s">
        <v>57</v>
      </c>
      <c r="C20" s="27">
        <v>263.0</v>
      </c>
      <c r="D20" s="28">
        <v>24.0</v>
      </c>
      <c r="E20" s="30">
        <v>2.0</v>
      </c>
      <c r="F20" s="31">
        <v>4.0</v>
      </c>
      <c r="G20" s="27">
        <v>0.0</v>
      </c>
      <c r="H20" s="31">
        <v>7.0</v>
      </c>
      <c r="I20" s="31">
        <v>6.0</v>
      </c>
      <c r="J20" s="31">
        <v>6.0</v>
      </c>
      <c r="K20" s="32">
        <v>19.0</v>
      </c>
      <c r="L20" s="31">
        <v>2.0</v>
      </c>
      <c r="M20" s="27">
        <f t="shared" ref="M20:N20" si="17">C20+K20</f>
        <v>282</v>
      </c>
      <c r="N20" s="28">
        <f t="shared" si="17"/>
        <v>26</v>
      </c>
      <c r="O20" s="33" t="s">
        <v>37</v>
      </c>
      <c r="P20" s="33" t="s">
        <v>37</v>
      </c>
      <c r="Q20" s="31">
        <f>if(G20=13,1,0)+VLOOKUP(B20,'120923'!B:Q,16,false)</f>
        <v>0</v>
      </c>
      <c r="R20" s="31"/>
      <c r="S20" s="31">
        <f>if(G20=9,1,0)+VLOOKUP(B20,'120923'!B:S,18,false)</f>
        <v>6</v>
      </c>
    </row>
    <row r="21">
      <c r="A21" s="25">
        <f t="shared" si="3"/>
        <v>17</v>
      </c>
      <c r="B21" s="36" t="s">
        <v>62</v>
      </c>
      <c r="C21" s="27">
        <v>263.0</v>
      </c>
      <c r="D21" s="28">
        <v>18.0</v>
      </c>
      <c r="E21" s="30">
        <v>2.0</v>
      </c>
      <c r="F21" s="31">
        <v>4.0</v>
      </c>
      <c r="G21" s="27">
        <v>0.0</v>
      </c>
      <c r="H21" s="31">
        <v>5.0</v>
      </c>
      <c r="I21" s="31">
        <v>2.0</v>
      </c>
      <c r="J21" s="31">
        <v>6.0</v>
      </c>
      <c r="K21" s="32">
        <v>13.0</v>
      </c>
      <c r="L21" s="31">
        <v>0.0</v>
      </c>
      <c r="M21" s="27">
        <f t="shared" ref="M21:N21" si="18">C21+K21</f>
        <v>276</v>
      </c>
      <c r="N21" s="28">
        <f t="shared" si="18"/>
        <v>18</v>
      </c>
      <c r="O21" s="33" t="s">
        <v>37</v>
      </c>
      <c r="P21" s="33"/>
      <c r="Q21" s="31">
        <f>if(G21=13,1,0)+VLOOKUP(B21,'120923'!B:Q,16,false)</f>
        <v>0</v>
      </c>
      <c r="R21" s="31"/>
      <c r="S21" s="31">
        <f>if(G21=9,1,0)+VLOOKUP(B21,'120923'!B:S,18,false)</f>
        <v>6</v>
      </c>
    </row>
    <row r="22">
      <c r="A22" s="25">
        <f t="shared" si="3"/>
        <v>18</v>
      </c>
      <c r="B22" s="26" t="s">
        <v>58</v>
      </c>
      <c r="C22" s="27">
        <v>262.0</v>
      </c>
      <c r="D22" s="28">
        <v>20.0</v>
      </c>
      <c r="E22" s="30">
        <v>1.0</v>
      </c>
      <c r="F22" s="31">
        <v>4.0</v>
      </c>
      <c r="G22" s="27">
        <v>0.0</v>
      </c>
      <c r="H22" s="31">
        <v>5.0</v>
      </c>
      <c r="I22" s="31">
        <v>6.0</v>
      </c>
      <c r="J22" s="31">
        <v>7.0</v>
      </c>
      <c r="K22" s="32">
        <v>18.0</v>
      </c>
      <c r="L22" s="31">
        <v>2.0</v>
      </c>
      <c r="M22" s="27">
        <f t="shared" ref="M22:N22" si="19">C22+K22</f>
        <v>280</v>
      </c>
      <c r="N22" s="28">
        <f t="shared" si="19"/>
        <v>22</v>
      </c>
      <c r="O22" s="33" t="s">
        <v>37</v>
      </c>
      <c r="P22" s="33" t="s">
        <v>37</v>
      </c>
      <c r="Q22" s="31">
        <f>if(G22=13,1,0)+VLOOKUP(B22,'120923'!B:Q,16,false)</f>
        <v>0</v>
      </c>
      <c r="R22" s="31"/>
      <c r="S22" s="31">
        <f>if(G22=9,1,0)+VLOOKUP(B22,'120923'!B:S,18,false)</f>
        <v>7</v>
      </c>
    </row>
    <row r="23">
      <c r="A23" s="25">
        <f t="shared" si="3"/>
        <v>19</v>
      </c>
      <c r="B23" s="36" t="s">
        <v>63</v>
      </c>
      <c r="C23" s="27">
        <v>262.0</v>
      </c>
      <c r="D23" s="28">
        <v>18.0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271</v>
      </c>
      <c r="N23" s="28">
        <f t="shared" si="20"/>
        <v>18</v>
      </c>
      <c r="O23" s="33" t="s">
        <v>37</v>
      </c>
      <c r="P23" s="33"/>
      <c r="Q23" s="31">
        <f>if(G23=13,1,0)+VLOOKUP(B23,'120923'!B:Q,16,false)</f>
        <v>0</v>
      </c>
      <c r="R23" s="31"/>
      <c r="S23" s="31">
        <f>if(G23=9,1,0)+VLOOKUP(B23,'120923'!B:S,18,false)</f>
        <v>14</v>
      </c>
    </row>
    <row r="24">
      <c r="A24" s="25">
        <f t="shared" si="3"/>
        <v>20</v>
      </c>
      <c r="B24" s="26" t="s">
        <v>64</v>
      </c>
      <c r="C24" s="27">
        <v>255.0</v>
      </c>
      <c r="D24" s="28">
        <v>16.0</v>
      </c>
      <c r="E24" s="30">
        <v>2.0</v>
      </c>
      <c r="F24" s="31">
        <v>5.0</v>
      </c>
      <c r="G24" s="27">
        <v>0.0</v>
      </c>
      <c r="H24" s="31">
        <v>6.0</v>
      </c>
      <c r="I24" s="31">
        <v>4.0</v>
      </c>
      <c r="J24" s="31">
        <v>6.0</v>
      </c>
      <c r="K24" s="32">
        <v>16.0</v>
      </c>
      <c r="L24" s="31">
        <v>2.0</v>
      </c>
      <c r="M24" s="27">
        <f t="shared" ref="M24:N24" si="21">C24+K24</f>
        <v>271</v>
      </c>
      <c r="N24" s="28">
        <f t="shared" si="21"/>
        <v>18</v>
      </c>
      <c r="O24" s="33" t="s">
        <v>37</v>
      </c>
      <c r="P24" s="33" t="s">
        <v>37</v>
      </c>
      <c r="Q24" s="31">
        <f>if(G24=13,1,0)+VLOOKUP(B24,'120923'!B:Q,16,false)</f>
        <v>0</v>
      </c>
      <c r="R24" s="31"/>
      <c r="S24" s="31">
        <f>if(G24=9,1,0)+VLOOKUP(B24,'120923'!B:S,18,false)</f>
        <v>14</v>
      </c>
    </row>
    <row r="25">
      <c r="A25" s="25">
        <f t="shared" si="3"/>
        <v>21</v>
      </c>
      <c r="B25" s="26" t="s">
        <v>65</v>
      </c>
      <c r="C25" s="27">
        <v>255.0</v>
      </c>
      <c r="D25" s="28">
        <v>15.0</v>
      </c>
      <c r="E25" s="30">
        <v>1.0</v>
      </c>
      <c r="F25" s="31">
        <v>5.0</v>
      </c>
      <c r="G25" s="27">
        <v>0.0</v>
      </c>
      <c r="H25" s="31">
        <v>2.0</v>
      </c>
      <c r="I25" s="31">
        <v>6.0</v>
      </c>
      <c r="J25" s="31">
        <v>6.0</v>
      </c>
      <c r="K25" s="32">
        <v>14.0</v>
      </c>
      <c r="L25" s="31">
        <v>2.0</v>
      </c>
      <c r="M25" s="27">
        <f t="shared" ref="M25:N25" si="22">C25+K25</f>
        <v>269</v>
      </c>
      <c r="N25" s="28">
        <f t="shared" si="22"/>
        <v>17</v>
      </c>
      <c r="O25" s="33" t="s">
        <v>37</v>
      </c>
      <c r="P25" s="33" t="s">
        <v>37</v>
      </c>
      <c r="Q25" s="31">
        <f>if(G25=13,1,0)+VLOOKUP(B25,'120923'!B:Q,16,false)</f>
        <v>0</v>
      </c>
      <c r="R25" s="31"/>
      <c r="S25" s="31">
        <f>if(G25=9,1,0)+VLOOKUP(B25,'120923'!B:S,18,false)</f>
        <v>13</v>
      </c>
    </row>
    <row r="26">
      <c r="A26" s="25">
        <f t="shared" si="3"/>
        <v>22</v>
      </c>
      <c r="B26" s="26" t="s">
        <v>66</v>
      </c>
      <c r="C26" s="27">
        <v>255.0</v>
      </c>
      <c r="D26" s="28">
        <v>15.0</v>
      </c>
      <c r="E26" s="30">
        <v>1.0</v>
      </c>
      <c r="F26" s="31">
        <v>5.0</v>
      </c>
      <c r="G26" s="27">
        <v>0.0</v>
      </c>
      <c r="H26" s="31">
        <v>6.0</v>
      </c>
      <c r="I26" s="31">
        <v>6.0</v>
      </c>
      <c r="J26" s="31">
        <v>0.0</v>
      </c>
      <c r="K26" s="32">
        <v>12.0</v>
      </c>
      <c r="L26" s="31">
        <v>2.0</v>
      </c>
      <c r="M26" s="27">
        <f t="shared" ref="M26:N26" si="23">C26+K26</f>
        <v>267</v>
      </c>
      <c r="N26" s="28">
        <f t="shared" si="23"/>
        <v>17</v>
      </c>
      <c r="O26" s="33" t="s">
        <v>37</v>
      </c>
      <c r="P26" s="33" t="s">
        <v>37</v>
      </c>
      <c r="Q26" s="31">
        <f>if(G26=13,1,0)+VLOOKUP(B26,'120923'!B:Q,16,false)</f>
        <v>2</v>
      </c>
      <c r="R26" s="31"/>
      <c r="S26" s="31">
        <f>if(G26=9,1,0)+VLOOKUP(B26,'120923'!B:S,18,false)</f>
        <v>8</v>
      </c>
    </row>
    <row r="27">
      <c r="A27" s="25">
        <f t="shared" si="3"/>
        <v>23</v>
      </c>
      <c r="B27" s="36" t="s">
        <v>67</v>
      </c>
      <c r="C27" s="27">
        <v>254.0</v>
      </c>
      <c r="D27" s="28">
        <v>17.0</v>
      </c>
      <c r="E27" s="30">
        <v>3.0</v>
      </c>
      <c r="F27" s="31">
        <v>0.0</v>
      </c>
      <c r="G27" s="27">
        <v>9.0</v>
      </c>
      <c r="H27" s="31">
        <v>0.0</v>
      </c>
      <c r="I27" s="31">
        <v>0.0</v>
      </c>
      <c r="J27" s="31">
        <v>0.0</v>
      </c>
      <c r="K27" s="32">
        <v>9.0</v>
      </c>
      <c r="L27" s="31">
        <v>0.0</v>
      </c>
      <c r="M27" s="27">
        <f t="shared" ref="M27:N27" si="24">C27+K27</f>
        <v>263</v>
      </c>
      <c r="N27" s="28">
        <f t="shared" si="24"/>
        <v>17</v>
      </c>
      <c r="O27" s="33" t="s">
        <v>37</v>
      </c>
      <c r="P27" s="33" t="s">
        <v>37</v>
      </c>
      <c r="Q27" s="31">
        <f>if(G27=13,1,0)+VLOOKUP(B27,'120923'!B:Q,16,false)</f>
        <v>0</v>
      </c>
      <c r="R27" s="31"/>
      <c r="S27" s="31">
        <f>if(G27=9,1,0)+VLOOKUP(B27,'120923'!B:S,18,false)</f>
        <v>13</v>
      </c>
    </row>
    <row r="28">
      <c r="A28" s="25">
        <f t="shared" si="3"/>
        <v>24</v>
      </c>
      <c r="B28" s="26" t="s">
        <v>68</v>
      </c>
      <c r="C28" s="27">
        <v>254.0</v>
      </c>
      <c r="D28" s="28">
        <v>15.0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263</v>
      </c>
      <c r="N28" s="28">
        <f t="shared" si="25"/>
        <v>15</v>
      </c>
      <c r="O28" s="33" t="s">
        <v>37</v>
      </c>
      <c r="P28" s="33" t="s">
        <v>37</v>
      </c>
      <c r="Q28" s="31">
        <f>if(G28=13,1,0)+VLOOKUP(B28,'120923'!B:Q,16,false)</f>
        <v>1</v>
      </c>
      <c r="R28" s="31"/>
      <c r="S28" s="31">
        <f>if(G28=9,1,0)+VLOOKUP(B28,'120923'!B:S,18,false)</f>
        <v>15</v>
      </c>
    </row>
    <row r="29">
      <c r="A29" s="25">
        <f t="shared" si="3"/>
        <v>25</v>
      </c>
      <c r="B29" s="36" t="s">
        <v>69</v>
      </c>
      <c r="C29" s="27">
        <v>251.0</v>
      </c>
      <c r="D29" s="28">
        <v>16.0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260</v>
      </c>
      <c r="N29" s="28">
        <f t="shared" si="26"/>
        <v>16</v>
      </c>
      <c r="O29" s="33" t="s">
        <v>37</v>
      </c>
      <c r="P29" s="33" t="s">
        <v>37</v>
      </c>
      <c r="Q29" s="31">
        <f>if(G29=13,1,0)+VLOOKUP(B29,'120923'!B:Q,16,false)</f>
        <v>0</v>
      </c>
      <c r="R29" s="31"/>
      <c r="S29" s="31">
        <f>if(G29=9,1,0)+VLOOKUP(B29,'120923'!B:S,18,false)</f>
        <v>17</v>
      </c>
    </row>
    <row r="30">
      <c r="A30" s="25">
        <f t="shared" si="3"/>
        <v>26</v>
      </c>
      <c r="B30" s="26" t="s">
        <v>70</v>
      </c>
      <c r="C30" s="27">
        <v>249.0</v>
      </c>
      <c r="D30" s="28">
        <v>21.0</v>
      </c>
      <c r="E30" s="30">
        <v>3.0</v>
      </c>
      <c r="F30" s="31">
        <v>0.0</v>
      </c>
      <c r="G30" s="27">
        <v>9.0</v>
      </c>
      <c r="H30" s="31">
        <v>0.0</v>
      </c>
      <c r="I30" s="31">
        <v>0.0</v>
      </c>
      <c r="J30" s="31">
        <v>0.0</v>
      </c>
      <c r="K30" s="32">
        <v>9.0</v>
      </c>
      <c r="L30" s="31">
        <v>0.0</v>
      </c>
      <c r="M30" s="27">
        <f t="shared" ref="M30:N30" si="27">C30+K30</f>
        <v>258</v>
      </c>
      <c r="N30" s="28">
        <f t="shared" si="27"/>
        <v>21</v>
      </c>
      <c r="O30" s="33" t="s">
        <v>37</v>
      </c>
      <c r="P30" s="33" t="s">
        <v>37</v>
      </c>
      <c r="Q30" s="31">
        <f>if(G30=13,1,0)+VLOOKUP(B30,'120923'!B:Q,16,false)</f>
        <v>0</v>
      </c>
      <c r="R30" s="31"/>
      <c r="S30" s="31">
        <f>if(G30=9,1,0)+VLOOKUP(B30,'120923'!B:S,18,false)</f>
        <v>8</v>
      </c>
    </row>
    <row r="31">
      <c r="A31" s="25">
        <f t="shared" si="3"/>
        <v>27</v>
      </c>
      <c r="B31" s="26" t="s">
        <v>72</v>
      </c>
      <c r="C31" s="27">
        <v>242.0</v>
      </c>
      <c r="D31" s="28">
        <v>16.0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251</v>
      </c>
      <c r="N31" s="28">
        <f t="shared" si="28"/>
        <v>16</v>
      </c>
      <c r="O31" s="33" t="s">
        <v>37</v>
      </c>
      <c r="P31" s="33"/>
      <c r="Q31" s="31">
        <f>if(G31=13,1,0)+VLOOKUP(B31,'120923'!B:Q,16,false)</f>
        <v>1</v>
      </c>
      <c r="R31" s="31"/>
      <c r="S31" s="31">
        <f>if(G31=9,1,0)+VLOOKUP(B31,'120923'!B:S,18,false)</f>
        <v>14</v>
      </c>
    </row>
    <row r="32">
      <c r="A32" s="25">
        <f t="shared" si="3"/>
        <v>28</v>
      </c>
      <c r="B32" s="26" t="s">
        <v>73</v>
      </c>
      <c r="C32" s="27">
        <v>241.0</v>
      </c>
      <c r="D32" s="28">
        <v>11.0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250</v>
      </c>
      <c r="N32" s="28">
        <f t="shared" si="29"/>
        <v>11</v>
      </c>
      <c r="O32" s="33" t="s">
        <v>37</v>
      </c>
      <c r="P32" s="33" t="s">
        <v>37</v>
      </c>
      <c r="Q32" s="31">
        <f>if(G32=13,1,0)+VLOOKUP(B32,'120923'!B:Q,16,false)</f>
        <v>0</v>
      </c>
      <c r="R32" s="31"/>
      <c r="S32" s="31">
        <f>if(G32=9,1,0)+VLOOKUP(B32,'120923'!B:S,18,false)</f>
        <v>16</v>
      </c>
    </row>
    <row r="33">
      <c r="A33" s="25">
        <f t="shared" si="3"/>
        <v>29</v>
      </c>
      <c r="B33" s="26" t="s">
        <v>75</v>
      </c>
      <c r="C33" s="27">
        <v>238.0</v>
      </c>
      <c r="D33" s="28">
        <v>15.0</v>
      </c>
      <c r="E33" s="30">
        <v>1.0</v>
      </c>
      <c r="F33" s="31">
        <v>5.0</v>
      </c>
      <c r="G33" s="27">
        <v>0.0</v>
      </c>
      <c r="H33" s="31">
        <v>2.0</v>
      </c>
      <c r="I33" s="31">
        <v>4.0</v>
      </c>
      <c r="J33" s="31">
        <v>0.0</v>
      </c>
      <c r="K33" s="32">
        <v>6.0</v>
      </c>
      <c r="L33" s="31">
        <v>0.0</v>
      </c>
      <c r="M33" s="27">
        <f t="shared" ref="M33:N33" si="30">C33+K33</f>
        <v>244</v>
      </c>
      <c r="N33" s="28">
        <f t="shared" si="30"/>
        <v>15</v>
      </c>
      <c r="O33" s="33" t="s">
        <v>37</v>
      </c>
      <c r="P33" s="33" t="s">
        <v>37</v>
      </c>
      <c r="Q33" s="31">
        <f>if(G33=13,1,0)+VLOOKUP(B33,'120923'!B:Q,16,false)</f>
        <v>0</v>
      </c>
      <c r="R33" s="31"/>
      <c r="S33" s="31">
        <f>if(G33=9,1,0)+VLOOKUP(B33,'120923'!B:S,18,false)</f>
        <v>7</v>
      </c>
    </row>
    <row r="34">
      <c r="A34" s="25">
        <f t="shared" si="3"/>
        <v>30</v>
      </c>
      <c r="B34" s="26" t="s">
        <v>71</v>
      </c>
      <c r="C34" s="27">
        <v>238.0</v>
      </c>
      <c r="D34" s="28">
        <v>13.0</v>
      </c>
      <c r="E34" s="30">
        <v>1.0</v>
      </c>
      <c r="F34" s="31">
        <v>6.0</v>
      </c>
      <c r="G34" s="27">
        <v>0.0</v>
      </c>
      <c r="H34" s="31">
        <v>6.0</v>
      </c>
      <c r="I34" s="31">
        <v>6.0</v>
      </c>
      <c r="J34" s="31">
        <v>6.0</v>
      </c>
      <c r="K34" s="32">
        <v>18.0</v>
      </c>
      <c r="L34" s="31">
        <v>3.0</v>
      </c>
      <c r="M34" s="27">
        <f t="shared" ref="M34:N34" si="31">C34+K34</f>
        <v>256</v>
      </c>
      <c r="N34" s="28">
        <f t="shared" si="31"/>
        <v>16</v>
      </c>
      <c r="O34" s="33" t="s">
        <v>37</v>
      </c>
      <c r="P34" s="33" t="s">
        <v>37</v>
      </c>
      <c r="Q34" s="31">
        <f>if(G34=13,1,0)+VLOOKUP(B34,'120923'!B:Q,16,false)</f>
        <v>1</v>
      </c>
      <c r="R34" s="31"/>
      <c r="S34" s="31">
        <f>if(G34=9,1,0)+VLOOKUP(B34,'120923'!B:S,18,false)</f>
        <v>15</v>
      </c>
    </row>
    <row r="35">
      <c r="A35" s="25">
        <f t="shared" si="3"/>
        <v>31</v>
      </c>
      <c r="B35" s="26" t="s">
        <v>74</v>
      </c>
      <c r="C35" s="27">
        <v>237.0</v>
      </c>
      <c r="D35" s="28">
        <v>14.0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246</v>
      </c>
      <c r="N35" s="28">
        <f t="shared" si="32"/>
        <v>14</v>
      </c>
      <c r="O35" s="33" t="s">
        <v>37</v>
      </c>
      <c r="P35" s="33"/>
      <c r="Q35" s="31">
        <f>if(G35=13,1,0)+VLOOKUP(B35,'120923'!B:Q,16,false)</f>
        <v>0</v>
      </c>
      <c r="R35" s="31"/>
      <c r="S35" s="31">
        <f>if(G35=9,1,0)+VLOOKUP(B35,'120923'!B:S,18,false)</f>
        <v>9</v>
      </c>
    </row>
    <row r="36">
      <c r="A36" s="25">
        <f t="shared" si="3"/>
        <v>32</v>
      </c>
      <c r="B36" s="36" t="s">
        <v>77</v>
      </c>
      <c r="C36" s="27">
        <v>234.0</v>
      </c>
      <c r="D36" s="28">
        <v>10.0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243</v>
      </c>
      <c r="N36" s="28">
        <f t="shared" si="33"/>
        <v>10</v>
      </c>
      <c r="O36" s="33" t="s">
        <v>37</v>
      </c>
      <c r="P36" s="33" t="s">
        <v>37</v>
      </c>
      <c r="Q36" s="31">
        <f>if(G36=13,1,0)+VLOOKUP(B36,'120923'!B:Q,16,false)</f>
        <v>0</v>
      </c>
      <c r="R36" s="31"/>
      <c r="S36" s="31">
        <f>if(G36=9,1,0)+VLOOKUP(B36,'120923'!B:S,18,false)</f>
        <v>18</v>
      </c>
    </row>
    <row r="37">
      <c r="A37" s="25">
        <f t="shared" si="3"/>
        <v>33</v>
      </c>
      <c r="B37" s="26" t="s">
        <v>78</v>
      </c>
      <c r="C37" s="27">
        <v>233.0</v>
      </c>
      <c r="D37" s="28">
        <v>16.0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242</v>
      </c>
      <c r="N37" s="28">
        <f t="shared" si="34"/>
        <v>16</v>
      </c>
      <c r="O37" s="33" t="s">
        <v>37</v>
      </c>
      <c r="P37" s="33" t="s">
        <v>37</v>
      </c>
      <c r="Q37" s="31">
        <f>if(G37=13,1,0)+VLOOKUP(B37,'120923'!B:Q,16,false)</f>
        <v>0</v>
      </c>
      <c r="R37" s="31"/>
      <c r="S37" s="31">
        <f>if(G37=9,1,0)+VLOOKUP(B37,'120923'!B:S,18,false)</f>
        <v>10</v>
      </c>
    </row>
    <row r="38">
      <c r="A38" s="25">
        <f t="shared" si="3"/>
        <v>34</v>
      </c>
      <c r="B38" s="26" t="s">
        <v>79</v>
      </c>
      <c r="C38" s="27">
        <v>232.0</v>
      </c>
      <c r="D38" s="28">
        <v>22.0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241</v>
      </c>
      <c r="N38" s="28">
        <f t="shared" si="35"/>
        <v>22</v>
      </c>
      <c r="O38" s="33" t="s">
        <v>37</v>
      </c>
      <c r="P38" s="33" t="s">
        <v>37</v>
      </c>
      <c r="Q38" s="31">
        <f>if(G38=13,1,0)+VLOOKUP(B38,'120923'!B:Q,16,false)</f>
        <v>0</v>
      </c>
      <c r="R38" s="31"/>
      <c r="S38" s="31">
        <f>if(G38=9,1,0)+VLOOKUP(B38,'120923'!B:S,18,false)</f>
        <v>4</v>
      </c>
    </row>
    <row r="39">
      <c r="A39" s="25">
        <f t="shared" si="3"/>
        <v>35</v>
      </c>
      <c r="B39" s="36" t="s">
        <v>76</v>
      </c>
      <c r="C39" s="27">
        <v>231.0</v>
      </c>
      <c r="D39" s="28">
        <v>12.0</v>
      </c>
      <c r="E39" s="30">
        <v>1.0</v>
      </c>
      <c r="F39" s="31">
        <v>6.0</v>
      </c>
      <c r="G39" s="27">
        <v>0.0</v>
      </c>
      <c r="H39" s="31">
        <v>3.0</v>
      </c>
      <c r="I39" s="31">
        <v>3.0</v>
      </c>
      <c r="J39" s="31">
        <v>6.0</v>
      </c>
      <c r="K39" s="32">
        <v>12.0</v>
      </c>
      <c r="L39" s="31">
        <v>1.0</v>
      </c>
      <c r="M39" s="27">
        <f t="shared" ref="M39:N39" si="36">C39+K39</f>
        <v>243</v>
      </c>
      <c r="N39" s="28">
        <f t="shared" si="36"/>
        <v>13</v>
      </c>
      <c r="O39" s="33" t="s">
        <v>37</v>
      </c>
      <c r="P39" s="33" t="s">
        <v>37</v>
      </c>
      <c r="Q39" s="31">
        <f>if(G39=13,1,0)+VLOOKUP(B39,'120923'!B:Q,16,false)</f>
        <v>0</v>
      </c>
      <c r="R39" s="31"/>
      <c r="S39" s="31">
        <f>if(G39=9,1,0)+VLOOKUP(B39,'120923'!B:S,18,false)</f>
        <v>17</v>
      </c>
    </row>
    <row r="40">
      <c r="A40" s="25">
        <f t="shared" si="3"/>
        <v>36</v>
      </c>
      <c r="B40" s="26" t="s">
        <v>80</v>
      </c>
      <c r="C40" s="27">
        <v>231.0</v>
      </c>
      <c r="D40" s="28">
        <v>10.0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240</v>
      </c>
      <c r="N40" s="28">
        <f t="shared" si="37"/>
        <v>10</v>
      </c>
      <c r="O40" s="33" t="s">
        <v>37</v>
      </c>
      <c r="P40" s="33"/>
      <c r="Q40" s="31">
        <f>if(G40=13,1,0)+VLOOKUP(B40,'120923'!B:Q,16,false)</f>
        <v>0</v>
      </c>
      <c r="R40" s="31"/>
      <c r="S40" s="31">
        <f>if(G40=9,1,0)+VLOOKUP(B40,'120923'!B:S,18,false)</f>
        <v>19</v>
      </c>
    </row>
    <row r="41">
      <c r="A41" s="25">
        <f t="shared" si="3"/>
        <v>37</v>
      </c>
      <c r="B41" s="36" t="s">
        <v>81</v>
      </c>
      <c r="C41" s="27">
        <v>227.0</v>
      </c>
      <c r="D41" s="28">
        <v>13.0</v>
      </c>
      <c r="E41" s="30">
        <v>1.0</v>
      </c>
      <c r="F41" s="31">
        <v>6.0</v>
      </c>
      <c r="G41" s="27">
        <v>0.0</v>
      </c>
      <c r="H41" s="31">
        <v>6.0</v>
      </c>
      <c r="I41" s="31">
        <v>3.0</v>
      </c>
      <c r="J41" s="31">
        <v>2.0</v>
      </c>
      <c r="K41" s="32">
        <v>11.0</v>
      </c>
      <c r="L41" s="31">
        <v>1.0</v>
      </c>
      <c r="M41" s="27">
        <f t="shared" ref="M41:N41" si="38">C41+K41</f>
        <v>238</v>
      </c>
      <c r="N41" s="28">
        <f t="shared" si="38"/>
        <v>14</v>
      </c>
      <c r="O41" s="33" t="s">
        <v>37</v>
      </c>
      <c r="P41" s="33" t="s">
        <v>37</v>
      </c>
      <c r="Q41" s="31">
        <f>if(G41=13,1,0)+VLOOKUP(B41,'120923'!B:Q,16,false)</f>
        <v>0</v>
      </c>
      <c r="R41" s="31"/>
      <c r="S41" s="31">
        <f>if(G41=9,1,0)+VLOOKUP(B41,'120923'!B:S,18,false)</f>
        <v>7</v>
      </c>
    </row>
    <row r="42">
      <c r="A42" s="25">
        <f t="shared" si="3"/>
        <v>38</v>
      </c>
      <c r="B42" s="36" t="s">
        <v>82</v>
      </c>
      <c r="C42" s="27">
        <v>226.0</v>
      </c>
      <c r="D42" s="28">
        <v>9.0</v>
      </c>
      <c r="E42" s="30">
        <v>3.0</v>
      </c>
      <c r="F42" s="31"/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235</v>
      </c>
      <c r="N42" s="28">
        <f t="shared" si="39"/>
        <v>9</v>
      </c>
      <c r="O42" s="33" t="s">
        <v>37</v>
      </c>
      <c r="P42" s="33"/>
      <c r="Q42" s="31">
        <f>if(G42=13,1,0)+VLOOKUP(B42,'120923'!B:Q,16,false)</f>
        <v>0</v>
      </c>
      <c r="R42" s="31"/>
      <c r="S42" s="31">
        <f>if(G42=9,1,0)+VLOOKUP(B42,'120923'!B:S,18,false)</f>
        <v>19</v>
      </c>
    </row>
    <row r="43">
      <c r="A43" s="25">
        <f t="shared" si="3"/>
        <v>39</v>
      </c>
      <c r="B43" s="36" t="s">
        <v>83</v>
      </c>
      <c r="C43" s="27">
        <v>225.0</v>
      </c>
      <c r="D43" s="28">
        <v>9.0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234</v>
      </c>
      <c r="N43" s="28">
        <f t="shared" si="40"/>
        <v>9</v>
      </c>
      <c r="O43" s="33" t="s">
        <v>37</v>
      </c>
      <c r="P43" s="37"/>
      <c r="Q43" s="31">
        <f>if(G43=13,1,0)+VLOOKUP(B43,'120923'!B:Q,16,false)</f>
        <v>0</v>
      </c>
      <c r="R43" s="31"/>
      <c r="S43" s="31">
        <f>if(G43=9,1,0)+VLOOKUP(B43,'120923'!B:S,18,false)</f>
        <v>15</v>
      </c>
      <c r="U43" s="34" t="s">
        <v>84</v>
      </c>
    </row>
    <row r="44">
      <c r="A44" s="25">
        <f t="shared" si="3"/>
        <v>40</v>
      </c>
      <c r="B44" s="36" t="s">
        <v>85</v>
      </c>
      <c r="C44" s="27">
        <v>223.0</v>
      </c>
      <c r="D44" s="28">
        <v>18.0</v>
      </c>
      <c r="E44" s="30">
        <v>1.0</v>
      </c>
      <c r="F44" s="31">
        <v>6.0</v>
      </c>
      <c r="G44" s="27">
        <v>0.0</v>
      </c>
      <c r="H44" s="31">
        <v>3.0</v>
      </c>
      <c r="I44" s="31">
        <v>6.0</v>
      </c>
      <c r="J44" s="31">
        <v>2.0</v>
      </c>
      <c r="K44" s="32">
        <v>11.0</v>
      </c>
      <c r="L44" s="31">
        <v>1.0</v>
      </c>
      <c r="M44" s="27">
        <f t="shared" ref="M44:N44" si="41">C44+K44</f>
        <v>234</v>
      </c>
      <c r="N44" s="28">
        <f t="shared" si="41"/>
        <v>19</v>
      </c>
      <c r="O44" s="33" t="s">
        <v>37</v>
      </c>
      <c r="P44" s="33" t="s">
        <v>37</v>
      </c>
      <c r="Q44" s="31">
        <f>if(G44=13,1,0)+VLOOKUP(B44,'120923'!B:Q,16,false)</f>
        <v>0</v>
      </c>
      <c r="R44" s="31"/>
      <c r="S44" s="31">
        <f>if(G44=9,1,0)+VLOOKUP(B44,'120923'!B:S,18,false)</f>
        <v>9</v>
      </c>
    </row>
    <row r="45">
      <c r="A45" s="25">
        <f t="shared" si="3"/>
        <v>41</v>
      </c>
      <c r="B45" s="26" t="s">
        <v>86</v>
      </c>
      <c r="C45" s="27">
        <v>222.0</v>
      </c>
      <c r="D45" s="28">
        <v>11.0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231</v>
      </c>
      <c r="N45" s="28">
        <f t="shared" si="42"/>
        <v>11</v>
      </c>
      <c r="O45" s="33" t="s">
        <v>37</v>
      </c>
      <c r="P45" s="33"/>
      <c r="Q45" s="31">
        <f>if(G45=13,1,0)+VLOOKUP(B45,'120923'!B:Q,16,false)</f>
        <v>0</v>
      </c>
      <c r="R45" s="31"/>
      <c r="S45" s="31">
        <f>if(G45=9,1,0)+VLOOKUP(B45,'120923'!B:S,18,false)</f>
        <v>13</v>
      </c>
    </row>
    <row r="46">
      <c r="A46" s="25">
        <f t="shared" si="3"/>
        <v>42</v>
      </c>
      <c r="B46" s="36" t="s">
        <v>88</v>
      </c>
      <c r="C46" s="27">
        <v>220.0</v>
      </c>
      <c r="D46" s="28">
        <v>8.0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229</v>
      </c>
      <c r="N46" s="28">
        <f t="shared" si="43"/>
        <v>8</v>
      </c>
      <c r="O46" s="33" t="s">
        <v>37</v>
      </c>
      <c r="P46" s="33"/>
      <c r="Q46" s="31">
        <f>if(G46=13,1,0)+VLOOKUP(B46,'120923'!B:Q,16,false)</f>
        <v>0</v>
      </c>
      <c r="R46" s="31"/>
      <c r="S46" s="31">
        <f>if(G46=9,1,0)+VLOOKUP(B46,'120923'!B:S,18,false)</f>
        <v>17</v>
      </c>
    </row>
    <row r="47">
      <c r="A47" s="25">
        <f t="shared" si="3"/>
        <v>43</v>
      </c>
      <c r="B47" s="26" t="s">
        <v>87</v>
      </c>
      <c r="C47" s="27">
        <v>219.0</v>
      </c>
      <c r="D47" s="28">
        <v>10.0</v>
      </c>
      <c r="E47" s="30">
        <v>1.0</v>
      </c>
      <c r="F47" s="31">
        <v>7.0</v>
      </c>
      <c r="G47" s="27">
        <v>0.0</v>
      </c>
      <c r="H47" s="31">
        <v>6.0</v>
      </c>
      <c r="I47" s="31">
        <v>6.0</v>
      </c>
      <c r="J47" s="31">
        <v>4.0</v>
      </c>
      <c r="K47" s="32">
        <v>16.0</v>
      </c>
      <c r="L47" s="31">
        <v>2.0</v>
      </c>
      <c r="M47" s="27">
        <f t="shared" ref="M47:N47" si="44">C47+K47</f>
        <v>235</v>
      </c>
      <c r="N47" s="28">
        <f t="shared" si="44"/>
        <v>12</v>
      </c>
      <c r="O47" s="33" t="s">
        <v>37</v>
      </c>
      <c r="P47" s="33" t="s">
        <v>37</v>
      </c>
      <c r="Q47" s="31">
        <f>if(G47=13,1,0)+VLOOKUP(B47,'120923'!B:Q,16,false)</f>
        <v>1</v>
      </c>
      <c r="R47" s="31"/>
      <c r="S47" s="31">
        <f>if(G47=9,1,0)+VLOOKUP(B47,'120923'!B:S,18,false)</f>
        <v>11</v>
      </c>
    </row>
    <row r="48">
      <c r="A48" s="25">
        <f t="shared" si="3"/>
        <v>44</v>
      </c>
      <c r="B48" s="26" t="s">
        <v>89</v>
      </c>
      <c r="C48" s="27">
        <v>218.0</v>
      </c>
      <c r="D48" s="28">
        <v>10.0</v>
      </c>
      <c r="E48" s="30">
        <v>2.0</v>
      </c>
      <c r="F48" s="31">
        <v>7.0</v>
      </c>
      <c r="G48" s="27">
        <v>0.0</v>
      </c>
      <c r="H48" s="31">
        <v>6.0</v>
      </c>
      <c r="I48" s="31">
        <v>2.0</v>
      </c>
      <c r="J48" s="31">
        <v>6.0</v>
      </c>
      <c r="K48" s="32">
        <v>14.0</v>
      </c>
      <c r="L48" s="31">
        <v>2.0</v>
      </c>
      <c r="M48" s="27">
        <f t="shared" ref="M48:N48" si="45">C48+K48</f>
        <v>232</v>
      </c>
      <c r="N48" s="28">
        <f t="shared" si="45"/>
        <v>12</v>
      </c>
      <c r="O48" s="33" t="s">
        <v>37</v>
      </c>
      <c r="P48" s="33" t="s">
        <v>37</v>
      </c>
      <c r="Q48" s="31">
        <f>if(G48=13,1,0)+VLOOKUP(B48,'120923'!B:Q,16,false)</f>
        <v>2</v>
      </c>
      <c r="R48" s="31"/>
      <c r="S48" s="31">
        <f>if(G48=9,1,0)+VLOOKUP(B48,'120923'!B:S,18,false)</f>
        <v>8</v>
      </c>
    </row>
    <row r="49">
      <c r="A49" s="25">
        <f t="shared" si="3"/>
        <v>45</v>
      </c>
      <c r="B49" s="26" t="s">
        <v>90</v>
      </c>
      <c r="C49" s="27">
        <v>217.0</v>
      </c>
      <c r="D49" s="28">
        <v>13.0</v>
      </c>
      <c r="E49" s="30">
        <v>1.0</v>
      </c>
      <c r="F49" s="31">
        <v>7.0</v>
      </c>
      <c r="G49" s="27">
        <v>0.0</v>
      </c>
      <c r="H49" s="31">
        <v>2.0</v>
      </c>
      <c r="I49" s="31">
        <v>2.0</v>
      </c>
      <c r="J49" s="31">
        <v>4.0</v>
      </c>
      <c r="K49" s="32">
        <v>8.0</v>
      </c>
      <c r="L49" s="31">
        <v>0.0</v>
      </c>
      <c r="M49" s="27">
        <f t="shared" ref="M49:N49" si="46">C49+K49</f>
        <v>225</v>
      </c>
      <c r="N49" s="28">
        <f t="shared" si="46"/>
        <v>13</v>
      </c>
      <c r="O49" s="33" t="s">
        <v>37</v>
      </c>
      <c r="P49" s="33" t="s">
        <v>37</v>
      </c>
      <c r="Q49" s="31">
        <f>if(G49=13,1,0)+VLOOKUP(B49,'120923'!B:Q,16,false)</f>
        <v>0</v>
      </c>
      <c r="R49" s="31"/>
      <c r="S49" s="31">
        <f>if(G49=9,1,0)+VLOOKUP(B49,'120923'!B:S,18,false)</f>
        <v>10</v>
      </c>
    </row>
    <row r="50">
      <c r="A50" s="25">
        <f t="shared" si="3"/>
        <v>46</v>
      </c>
      <c r="B50" s="26" t="s">
        <v>91</v>
      </c>
      <c r="C50" s="27">
        <v>213.0</v>
      </c>
      <c r="D50" s="28">
        <v>5.0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222</v>
      </c>
      <c r="N50" s="28">
        <f t="shared" si="47"/>
        <v>5</v>
      </c>
      <c r="O50" s="33" t="s">
        <v>37</v>
      </c>
      <c r="P50" s="33"/>
      <c r="Q50" s="31">
        <f>if(G50=13,1,0)+VLOOKUP(B50,'120923'!B:Q,16,false)</f>
        <v>1</v>
      </c>
      <c r="R50" s="31"/>
      <c r="S50" s="31">
        <f>if(G50=9,1,0)+VLOOKUP(B50,'120923'!B:S,18,false)</f>
        <v>18</v>
      </c>
    </row>
    <row r="51">
      <c r="A51" s="25">
        <f t="shared" si="3"/>
        <v>47</v>
      </c>
      <c r="B51" s="36" t="s">
        <v>92</v>
      </c>
      <c r="C51" s="27">
        <v>213.0</v>
      </c>
      <c r="D51" s="28">
        <v>5.0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222</v>
      </c>
      <c r="N51" s="28">
        <f t="shared" si="48"/>
        <v>5</v>
      </c>
      <c r="O51" s="33" t="s">
        <v>37</v>
      </c>
      <c r="P51" s="33"/>
      <c r="Q51" s="31">
        <f>if(G51=13,1,0)+VLOOKUP(B51,'120923'!B:Q,16,false)</f>
        <v>0</v>
      </c>
      <c r="R51" s="31"/>
      <c r="S51" s="31">
        <f>if(G51=9,1,0)+VLOOKUP(B51,'120923'!B:S,18,false)</f>
        <v>20</v>
      </c>
    </row>
    <row r="52">
      <c r="A52" s="25">
        <f t="shared" si="3"/>
        <v>48</v>
      </c>
      <c r="B52" s="36" t="s">
        <v>93</v>
      </c>
      <c r="C52" s="27">
        <v>212.0</v>
      </c>
      <c r="D52" s="28">
        <v>5.0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221</v>
      </c>
      <c r="N52" s="28">
        <f t="shared" si="49"/>
        <v>5</v>
      </c>
      <c r="O52" s="33" t="s">
        <v>37</v>
      </c>
      <c r="P52" s="33"/>
      <c r="Q52" s="31">
        <f>if(G52=13,1,0)+VLOOKUP(B52,'120923'!B:Q,16,false)</f>
        <v>0</v>
      </c>
      <c r="R52" s="31"/>
      <c r="S52" s="31">
        <f>if(G52=9,1,0)+VLOOKUP(B52,'120923'!B:S,18,false)</f>
        <v>21</v>
      </c>
    </row>
    <row r="53">
      <c r="A53" s="25">
        <f t="shared" si="3"/>
        <v>49</v>
      </c>
      <c r="B53" s="36" t="s">
        <v>94</v>
      </c>
      <c r="C53" s="27">
        <v>210.0</v>
      </c>
      <c r="D53" s="28">
        <v>4.0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219</v>
      </c>
      <c r="N53" s="28">
        <f t="shared" si="50"/>
        <v>4</v>
      </c>
      <c r="O53" s="33" t="s">
        <v>37</v>
      </c>
      <c r="P53" s="33"/>
      <c r="Q53" s="31">
        <f>if(G53=13,1,0)+VLOOKUP(B53,'120923'!B:Q,16,false)</f>
        <v>0</v>
      </c>
      <c r="R53" s="31"/>
      <c r="S53" s="31">
        <f>if(G53=9,1,0)+VLOOKUP(B53,'120923'!B:S,18,false)</f>
        <v>18</v>
      </c>
    </row>
    <row r="54">
      <c r="A54" s="25">
        <f t="shared" si="3"/>
        <v>50</v>
      </c>
      <c r="B54" s="26" t="s">
        <v>95</v>
      </c>
      <c r="C54" s="27">
        <v>208.0</v>
      </c>
      <c r="D54" s="28">
        <v>6.0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217</v>
      </c>
      <c r="N54" s="28">
        <f t="shared" si="51"/>
        <v>6</v>
      </c>
      <c r="O54" s="33" t="s">
        <v>37</v>
      </c>
      <c r="P54" s="33" t="s">
        <v>37</v>
      </c>
      <c r="Q54" s="31">
        <f>if(G54=13,1,0)+VLOOKUP(B54,'120923'!B:Q,16,false)</f>
        <v>0</v>
      </c>
      <c r="R54" s="31"/>
      <c r="S54" s="31">
        <f>if(G54=9,1,0)+VLOOKUP(B54,'120923'!B:S,18,false)</f>
        <v>17</v>
      </c>
    </row>
    <row r="55">
      <c r="A55" s="25">
        <f t="shared" si="3"/>
        <v>51</v>
      </c>
      <c r="B55" s="36" t="s">
        <v>96</v>
      </c>
      <c r="C55" s="27">
        <v>207.0</v>
      </c>
      <c r="D55" s="28">
        <v>14.0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216</v>
      </c>
      <c r="N55" s="28">
        <f t="shared" si="52"/>
        <v>14</v>
      </c>
      <c r="O55" s="33" t="s">
        <v>37</v>
      </c>
      <c r="P55" s="33"/>
      <c r="Q55" s="31">
        <f>if(G55=13,1,0)+VLOOKUP(B55,'120923'!B:Q,16,false)</f>
        <v>0</v>
      </c>
      <c r="R55" s="31"/>
      <c r="S55" s="31">
        <f>if(G55=9,1,0)+VLOOKUP(B55,'120923'!B:S,18,false)</f>
        <v>9</v>
      </c>
    </row>
    <row r="56">
      <c r="A56" s="25">
        <f t="shared" si="3"/>
        <v>52</v>
      </c>
      <c r="B56" s="36" t="s">
        <v>97</v>
      </c>
      <c r="C56" s="27">
        <v>207.0</v>
      </c>
      <c r="D56" s="28">
        <v>7.0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216</v>
      </c>
      <c r="N56" s="28">
        <f t="shared" si="53"/>
        <v>7</v>
      </c>
      <c r="O56" s="33" t="s">
        <v>37</v>
      </c>
      <c r="P56" s="33"/>
      <c r="Q56" s="31">
        <f>if(G56=13,1,0)+VLOOKUP(B56,'120923'!B:Q,16,false)</f>
        <v>0</v>
      </c>
      <c r="R56" s="31"/>
      <c r="S56" s="31">
        <f>if(G56=9,1,0)+VLOOKUP(B56,'120923'!B:S,18,false)</f>
        <v>17</v>
      </c>
    </row>
    <row r="57">
      <c r="A57" s="25">
        <f t="shared" si="3"/>
        <v>53</v>
      </c>
      <c r="B57" s="36" t="s">
        <v>98</v>
      </c>
      <c r="C57" s="27">
        <v>207.0</v>
      </c>
      <c r="D57" s="28">
        <v>3.0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216</v>
      </c>
      <c r="N57" s="28">
        <f t="shared" si="54"/>
        <v>3</v>
      </c>
      <c r="O57" s="33" t="s">
        <v>37</v>
      </c>
      <c r="P57" s="33"/>
      <c r="Q57" s="31">
        <f>if(G57=13,1,0)+VLOOKUP(B57,'120923'!B:Q,16,false)</f>
        <v>0</v>
      </c>
      <c r="R57" s="31"/>
      <c r="S57" s="31">
        <f>if(G57=9,1,0)+VLOOKUP(B57,'120923'!B:S,18,false)</f>
        <v>18</v>
      </c>
    </row>
    <row r="58">
      <c r="A58" s="25">
        <f t="shared" si="3"/>
        <v>54</v>
      </c>
      <c r="B58" s="36" t="s">
        <v>99</v>
      </c>
      <c r="C58" s="27">
        <v>207.0</v>
      </c>
      <c r="D58" s="28">
        <v>3.0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216</v>
      </c>
      <c r="N58" s="28">
        <f t="shared" si="55"/>
        <v>3</v>
      </c>
      <c r="O58" s="33" t="s">
        <v>37</v>
      </c>
      <c r="P58" s="33"/>
      <c r="Q58" s="31">
        <f>if(G58=13,1,0)+VLOOKUP(B58,'120923'!B:Q,16,false)</f>
        <v>0</v>
      </c>
      <c r="R58" s="31"/>
      <c r="S58" s="31">
        <f>if(G58=9,1,0)+VLOOKUP(B58,'120923'!B:S,18,false)</f>
        <v>19</v>
      </c>
    </row>
    <row r="59">
      <c r="A59" s="25">
        <f t="shared" si="3"/>
        <v>55</v>
      </c>
      <c r="B59" s="26" t="s">
        <v>100</v>
      </c>
      <c r="C59" s="27">
        <v>205.0</v>
      </c>
      <c r="D59" s="28">
        <v>4.0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214</v>
      </c>
      <c r="N59" s="28">
        <f t="shared" si="56"/>
        <v>4</v>
      </c>
      <c r="O59" s="33" t="s">
        <v>37</v>
      </c>
      <c r="P59" s="33"/>
      <c r="Q59" s="31">
        <f>if(G59=13,1,0)+VLOOKUP(B59,'120923'!B:Q,16,false)</f>
        <v>0</v>
      </c>
      <c r="R59" s="31"/>
      <c r="S59" s="31">
        <f>if(G59=9,1,0)+VLOOKUP(B59,'120923'!B:S,18,false)</f>
        <v>20</v>
      </c>
    </row>
    <row r="60">
      <c r="A60" s="25">
        <f t="shared" si="3"/>
        <v>56</v>
      </c>
      <c r="B60" s="38" t="s">
        <v>101</v>
      </c>
      <c r="C60" s="27">
        <v>202.0</v>
      </c>
      <c r="D60" s="28">
        <v>2.0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211</v>
      </c>
      <c r="N60" s="28">
        <f t="shared" si="57"/>
        <v>2</v>
      </c>
      <c r="O60" s="33" t="s">
        <v>37</v>
      </c>
      <c r="P60" s="33" t="s">
        <v>37</v>
      </c>
      <c r="Q60" s="31">
        <f>if(G60=13,1,0)+VLOOKUP(B60,'120923'!B:Q,16,false)</f>
        <v>0</v>
      </c>
      <c r="R60" s="31"/>
      <c r="S60" s="31">
        <f>if(G60=9,1,0)+VLOOKUP(B60,'120923'!B:S,18,false)</f>
        <v>22</v>
      </c>
    </row>
    <row r="61">
      <c r="A61" s="25">
        <f t="shared" si="3"/>
        <v>57</v>
      </c>
      <c r="B61" s="38" t="s">
        <v>102</v>
      </c>
      <c r="C61" s="27">
        <v>202.0</v>
      </c>
      <c r="D61" s="28">
        <v>2.0</v>
      </c>
      <c r="E61" s="30">
        <v>3.0</v>
      </c>
      <c r="F61" s="31"/>
      <c r="G61" s="27">
        <v>9.0</v>
      </c>
      <c r="H61" s="31"/>
      <c r="I61" s="31"/>
      <c r="J61" s="31"/>
      <c r="K61" s="32">
        <v>9.0</v>
      </c>
      <c r="L61" s="31"/>
      <c r="M61" s="27">
        <f t="shared" ref="M61:N61" si="58">C61+K61</f>
        <v>211</v>
      </c>
      <c r="N61" s="28">
        <f t="shared" si="58"/>
        <v>2</v>
      </c>
      <c r="O61" s="33" t="s">
        <v>37</v>
      </c>
      <c r="P61" s="33"/>
      <c r="Q61" s="31">
        <f>if(G61=13,1,0)+VLOOKUP(B61,'120923'!B:Q,16,false)</f>
        <v>0</v>
      </c>
      <c r="R61" s="31"/>
      <c r="S61" s="31">
        <f>if(G61=9,1,0)+VLOOKUP(B61,'120923'!B:S,18,false)</f>
        <v>22</v>
      </c>
    </row>
    <row r="62">
      <c r="A62" s="25">
        <f t="shared" si="3"/>
        <v>58</v>
      </c>
      <c r="B62" s="26" t="s">
        <v>103</v>
      </c>
      <c r="C62" s="27">
        <v>198.0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207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if(G62=13,1,0)+VLOOKUP(B62,'120923'!B:Q,16,false)</f>
        <v>0</v>
      </c>
      <c r="R62" s="31"/>
      <c r="S62" s="31">
        <f>if(G62=9,1,0)+VLOOKUP(B62,'120923'!B:S,18,false)</f>
        <v>23</v>
      </c>
    </row>
    <row r="63">
      <c r="A63" s="25">
        <f t="shared" si="3"/>
        <v>59</v>
      </c>
      <c r="B63" s="36" t="s">
        <v>104</v>
      </c>
      <c r="C63" s="27">
        <v>198.0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207</v>
      </c>
      <c r="N63" s="28">
        <f t="shared" si="60"/>
        <v>0</v>
      </c>
      <c r="O63" s="33" t="s">
        <v>37</v>
      </c>
      <c r="P63" s="33"/>
      <c r="Q63" s="31">
        <f>if(G63=13,1,0)+VLOOKUP(B63,'120923'!B:Q,16,false)</f>
        <v>0</v>
      </c>
      <c r="R63" s="31"/>
      <c r="S63" s="31">
        <f>if(G63=9,1,0)+VLOOKUP(B63,'120923'!B:S,18,false)</f>
        <v>23</v>
      </c>
    </row>
    <row r="64">
      <c r="A64" s="25">
        <f t="shared" si="3"/>
        <v>60</v>
      </c>
      <c r="B64" s="26" t="s">
        <v>105</v>
      </c>
      <c r="C64" s="27">
        <v>198.0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207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if(G64=13,1,0)+VLOOKUP(B64,'120923'!B:Q,16,false)</f>
        <v>0</v>
      </c>
      <c r="R64" s="31"/>
      <c r="S64" s="31">
        <f>if(G64=9,1,0)+VLOOKUP(B64,'120923'!B:S,18,false)</f>
        <v>23</v>
      </c>
    </row>
    <row r="65">
      <c r="A65" s="25">
        <f t="shared" si="3"/>
        <v>61</v>
      </c>
      <c r="B65" s="26" t="s">
        <v>106</v>
      </c>
      <c r="C65" s="27">
        <v>198.0</v>
      </c>
      <c r="D65" s="28">
        <v>0.0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207</v>
      </c>
      <c r="N65" s="28">
        <f t="shared" si="62"/>
        <v>0</v>
      </c>
      <c r="O65" s="33" t="s">
        <v>37</v>
      </c>
      <c r="P65" s="37"/>
      <c r="Q65" s="31">
        <f>if(G65=13,1,0)+VLOOKUP(B65,'120923'!B:Q,16,false)</f>
        <v>0</v>
      </c>
      <c r="R65" s="31"/>
      <c r="S65" s="31">
        <f>if(G65=9,1,0)+VLOOKUP(B65,'120923'!B:S,18,false)</f>
        <v>23</v>
      </c>
      <c r="U65" s="34" t="s">
        <v>84</v>
      </c>
    </row>
    <row r="66">
      <c r="A66" s="25">
        <f t="shared" si="3"/>
        <v>62</v>
      </c>
      <c r="B66" s="36" t="s">
        <v>107</v>
      </c>
      <c r="C66" s="27">
        <v>196.0</v>
      </c>
      <c r="D66" s="28">
        <v>2.0</v>
      </c>
      <c r="E66" s="30">
        <v>3.0</v>
      </c>
      <c r="F66" s="31"/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205</v>
      </c>
      <c r="N66" s="28">
        <f t="shared" si="63"/>
        <v>2</v>
      </c>
      <c r="O66" s="33" t="s">
        <v>37</v>
      </c>
      <c r="P66" s="33"/>
      <c r="Q66" s="31">
        <f>if(G66=13,1,0)+VLOOKUP(B66,'120923'!B:Q,16,false)</f>
        <v>0</v>
      </c>
      <c r="R66" s="31"/>
      <c r="S66" s="31">
        <f>if(G66=9,1,0)+VLOOKUP(B66,'120923'!B:S,18,false)</f>
        <v>21</v>
      </c>
    </row>
    <row r="67">
      <c r="A67" s="25">
        <f t="shared" si="3"/>
        <v>63</v>
      </c>
      <c r="B67" s="36" t="s">
        <v>108</v>
      </c>
      <c r="C67" s="27">
        <v>195.0</v>
      </c>
      <c r="D67" s="28">
        <v>5.0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204</v>
      </c>
      <c r="N67" s="28">
        <f t="shared" si="64"/>
        <v>5</v>
      </c>
      <c r="O67" s="33" t="s">
        <v>37</v>
      </c>
      <c r="P67" s="33"/>
      <c r="Q67" s="31">
        <f>if(G67=13,1,0)+VLOOKUP(B67,'120923'!B:Q,16,false)</f>
        <v>0</v>
      </c>
      <c r="R67" s="31"/>
      <c r="S67" s="31">
        <f>if(G67=9,1,0)+VLOOKUP(B67,'120923'!B:S,18,false)</f>
        <v>18</v>
      </c>
    </row>
    <row r="68">
      <c r="A68" s="25">
        <f t="shared" si="3"/>
        <v>64</v>
      </c>
      <c r="B68" s="36" t="s">
        <v>109</v>
      </c>
      <c r="C68" s="27">
        <v>192.0</v>
      </c>
      <c r="D68" s="28">
        <v>1.0</v>
      </c>
      <c r="E68" s="30">
        <v>1.0</v>
      </c>
      <c r="F68" s="31">
        <v>7.0</v>
      </c>
      <c r="G68" s="27">
        <v>0.0</v>
      </c>
      <c r="H68" s="31">
        <v>2.0</v>
      </c>
      <c r="I68" s="31">
        <v>6.0</v>
      </c>
      <c r="J68" s="31">
        <v>6.0</v>
      </c>
      <c r="K68" s="32">
        <v>14.0</v>
      </c>
      <c r="L68" s="31">
        <v>2.0</v>
      </c>
      <c r="M68" s="27">
        <f t="shared" ref="M68:N68" si="65">C68+K68</f>
        <v>206</v>
      </c>
      <c r="N68" s="28">
        <f t="shared" si="65"/>
        <v>3</v>
      </c>
      <c r="O68" s="33" t="s">
        <v>37</v>
      </c>
      <c r="P68" s="33" t="s">
        <v>37</v>
      </c>
      <c r="Q68" s="31">
        <f>if(G68=13,1,0)+VLOOKUP(B68,'120923'!B:Q,16,false)</f>
        <v>0</v>
      </c>
      <c r="R68" s="31"/>
      <c r="S68" s="31">
        <f>if(G68=9,1,0)+VLOOKUP(B68,'120923'!B:S,18,false)</f>
        <v>11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38</v>
      </c>
    </row>
    <row r="71">
      <c r="A71" s="1"/>
      <c r="C71" s="1"/>
      <c r="D71" s="1"/>
      <c r="E71" s="1"/>
      <c r="O71" s="34" t="s">
        <v>111</v>
      </c>
      <c r="P71" s="40">
        <f>P72-P70</f>
        <v>26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desc"",0)"),"Adrian Tay")</f>
        <v>Adrian Tay</v>
      </c>
      <c r="C77" s="46">
        <f>IFERROR(__xludf.DUMMYFUNCTION("""COMPUTED_VALUE"""),20.0)</f>
        <v>20</v>
      </c>
      <c r="D77" s="46">
        <f>IFERROR(__xludf.DUMMYFUNCTION("""COMPUTED_VALUE"""),2.0)</f>
        <v>2</v>
      </c>
      <c r="E77" s="1"/>
      <c r="K77" s="42"/>
      <c r="L77" s="43"/>
    </row>
    <row r="78">
      <c r="A78" s="1"/>
      <c r="B78" s="36" t="str">
        <f>IFERROR(__xludf.DUMMYFUNCTION("""COMPUTED_VALUE"""),"Erik Hoeckmann")</f>
        <v>Erik Hoeckmann</v>
      </c>
      <c r="C78" s="46">
        <f>IFERROR(__xludf.DUMMYFUNCTION("""COMPUTED_VALUE"""),19.0)</f>
        <v>19</v>
      </c>
      <c r="D78" s="46">
        <f>IFERROR(__xludf.DUMMYFUNCTION("""COMPUTED_VALUE"""),3.0)</f>
        <v>3</v>
      </c>
      <c r="E78" s="1"/>
      <c r="L78" s="47"/>
    </row>
    <row r="79">
      <c r="A79" s="1"/>
      <c r="B79" s="36" t="str">
        <f>IFERROR(__xludf.DUMMYFUNCTION("""COMPUTED_VALUE"""),"Peter Cheng")</f>
        <v>Peter Cheng</v>
      </c>
      <c r="C79" s="46">
        <f>IFERROR(__xludf.DUMMYFUNCTION("""COMPUTED_VALUE"""),19.0)</f>
        <v>19</v>
      </c>
      <c r="D79" s="46">
        <f>IFERROR(__xludf.DUMMYFUNCTION("""COMPUTED_VALUE"""),2.0)</f>
        <v>2</v>
      </c>
      <c r="E79" s="1"/>
    </row>
    <row r="80">
      <c r="A80" s="1"/>
      <c r="B80" s="36" t="str">
        <f>IFERROR(__xludf.DUMMYFUNCTION("""COMPUTED_VALUE"""),"Robert Chang")</f>
        <v>Robert Chang</v>
      </c>
      <c r="C80" s="46">
        <f>IFERROR(__xludf.DUMMYFUNCTION("""COMPUTED_VALUE"""),19.0)</f>
        <v>19</v>
      </c>
      <c r="D80" s="46">
        <f>IFERROR(__xludf.DUMMYFUNCTION("""COMPUTED_VALUE"""),2.0)</f>
        <v>2</v>
      </c>
      <c r="E80" s="1"/>
    </row>
    <row r="81">
      <c r="A81" s="1"/>
      <c r="B81" s="36" t="str">
        <f>IFERROR(__xludf.DUMMYFUNCTION("""COMPUTED_VALUE"""),"Joe Luzzi")</f>
        <v>Joe Luzzi</v>
      </c>
      <c r="C81" s="46">
        <f>IFERROR(__xludf.DUMMYFUNCTION("""COMPUTED_VALUE"""),19.0)</f>
        <v>19</v>
      </c>
      <c r="D81" s="46">
        <f>IFERROR(__xludf.DUMMYFUNCTION("""COMPUTED_VALUE"""),2.0)</f>
        <v>2</v>
      </c>
      <c r="E81" s="1"/>
      <c r="K81" s="34"/>
    </row>
    <row r="82">
      <c r="A82" s="1"/>
      <c r="B82" s="36" t="str">
        <f>IFERROR(__xludf.DUMMYFUNCTION("""COMPUTED_VALUE"""),"Alejandro Mejia")</f>
        <v>Alejandro Mejia</v>
      </c>
      <c r="C82" s="46">
        <f>IFERROR(__xludf.DUMMYFUNCTION("""COMPUTED_VALUE"""),18.0)</f>
        <v>18</v>
      </c>
      <c r="D82" s="46">
        <f>IFERROR(__xludf.DUMMYFUNCTION("""COMPUTED_VALUE"""),3.0)</f>
        <v>3</v>
      </c>
      <c r="E82" s="1"/>
      <c r="K82" s="34"/>
    </row>
    <row r="83">
      <c r="A83" s="1"/>
      <c r="B83" s="36" t="str">
        <f>IFERROR(__xludf.DUMMYFUNCTION("""COMPUTED_VALUE"""),"Susanta Mishra")</f>
        <v>Susanta Mishra</v>
      </c>
      <c r="C83" s="46">
        <f>IFERROR(__xludf.DUMMYFUNCTION("""COMPUTED_VALUE"""),18.0)</f>
        <v>18</v>
      </c>
      <c r="D83" s="46">
        <f>IFERROR(__xludf.DUMMYFUNCTION("""COMPUTED_VALUE"""),3.0)</f>
        <v>3</v>
      </c>
      <c r="E83" s="1"/>
      <c r="K83" s="34"/>
    </row>
    <row r="84">
      <c r="A84" s="1"/>
      <c r="B84" s="36" t="str">
        <f>IFERROR(__xludf.DUMMYFUNCTION("""COMPUTED_VALUE"""),"David Shin")</f>
        <v>David Shin</v>
      </c>
      <c r="C84" s="46">
        <f>IFERROR(__xludf.DUMMYFUNCTION("""COMPUTED_VALUE"""),18.0)</f>
        <v>18</v>
      </c>
      <c r="D84" s="46">
        <f>IFERROR(__xludf.DUMMYFUNCTION("""COMPUTED_VALUE"""),2.0)</f>
        <v>2</v>
      </c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IFERROR(__xludf.DUMMYFUNCTION("""COMPUTED_VALUE"""),302.0)</f>
        <v>302</v>
      </c>
      <c r="D90" s="50">
        <f>IFERROR(__xludf.DUMMYFUNCTION("""COMPUTED_VALUE"""),32.0)</f>
        <v>32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IFERROR(__xludf.DUMMYFUNCTION("""COMPUTED_VALUE"""),7.0)</f>
        <v>7</v>
      </c>
      <c r="I90" s="51">
        <f>IFERROR(__xludf.DUMMYFUNCTION("""COMPUTED_VALUE"""),7.0)</f>
        <v>7</v>
      </c>
      <c r="J90" s="51">
        <f>IFERROR(__xludf.DUMMYFUNCTION("""COMPUTED_VALUE"""),5.0)</f>
        <v>5</v>
      </c>
      <c r="K90" s="51">
        <f>IFERROR(__xludf.DUMMYFUNCTION("""COMPUTED_VALUE"""),19.0)</f>
        <v>19</v>
      </c>
      <c r="L90" s="51">
        <f>IFERROR(__xludf.DUMMYFUNCTION("""COMPUTED_VALUE"""),2.0)</f>
        <v>2</v>
      </c>
      <c r="M90" s="51">
        <f>IFERROR(__xludf.DUMMYFUNCTION("""COMPUTED_VALUE"""),321.0)</f>
        <v>321</v>
      </c>
      <c r="N90" s="52">
        <f>IFERROR(__xludf.DUMMYFUNCTION("""COMPUTED_VALUE"""),34.0)</f>
        <v>34</v>
      </c>
    </row>
    <row r="91">
      <c r="A91" s="1"/>
      <c r="B91" s="48" t="str">
        <f>IFERROR(__xludf.DUMMYFUNCTION("""COMPUTED_VALUE"""),"Adrian Tay")</f>
        <v>Adrian Tay</v>
      </c>
      <c r="C91" s="49">
        <f>IFERROR(__xludf.DUMMYFUNCTION("""COMPUTED_VALUE"""),295.0)</f>
        <v>295</v>
      </c>
      <c r="D91" s="50">
        <f>IFERROR(__xludf.DUMMYFUNCTION("""COMPUTED_VALUE"""),29.0)</f>
        <v>29</v>
      </c>
      <c r="E91" s="49">
        <f>IFERROR(__xludf.DUMMYFUNCTION("""COMPUTED_VALUE"""),1.0)</f>
        <v>1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IFERROR(__xludf.DUMMYFUNCTION("""COMPUTED_VALUE"""),7.0)</f>
        <v>7</v>
      </c>
      <c r="I91" s="51">
        <f>IFERROR(__xludf.DUMMYFUNCTION("""COMPUTED_VALUE"""),6.0)</f>
        <v>6</v>
      </c>
      <c r="J91" s="51">
        <f>IFERROR(__xludf.DUMMYFUNCTION("""COMPUTED_VALUE"""),7.0)</f>
        <v>7</v>
      </c>
      <c r="K91" s="51">
        <f>IFERROR(__xludf.DUMMYFUNCTION("""COMPUTED_VALUE"""),20.0)</f>
        <v>20</v>
      </c>
      <c r="L91" s="51">
        <f>IFERROR(__xludf.DUMMYFUNCTION("""COMPUTED_VALUE"""),2.0)</f>
        <v>2</v>
      </c>
      <c r="M91" s="51">
        <f>IFERROR(__xludf.DUMMYFUNCTION("""COMPUTED_VALUE"""),315.0)</f>
        <v>315</v>
      </c>
      <c r="N91" s="52">
        <f>IFERROR(__xludf.DUMMYFUNCTION("""COMPUTED_VALUE"""),31.0)</f>
        <v>31</v>
      </c>
    </row>
    <row r="92">
      <c r="A92" s="1"/>
      <c r="B92" s="48" t="str">
        <f>IFERROR(__xludf.DUMMYFUNCTION("""COMPUTED_VALUE"""),"Robert Chang")</f>
        <v>Robert Chang</v>
      </c>
      <c r="C92" s="49">
        <f>IFERROR(__xludf.DUMMYFUNCTION("""COMPUTED_VALUE"""),288.0)</f>
        <v>288</v>
      </c>
      <c r="D92" s="50">
        <f>IFERROR(__xludf.DUMMYFUNCTION("""COMPUTED_VALUE"""),27.0)</f>
        <v>27</v>
      </c>
      <c r="E92" s="49">
        <f>IFERROR(__xludf.DUMMYFUNCTION("""COMPUTED_VALUE"""),2.0)</f>
        <v>2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IFERROR(__xludf.DUMMYFUNCTION("""COMPUTED_VALUE"""),5.0)</f>
        <v>5</v>
      </c>
      <c r="I92" s="51">
        <f>IFERROR(__xludf.DUMMYFUNCTION("""COMPUTED_VALUE"""),7.0)</f>
        <v>7</v>
      </c>
      <c r="J92" s="51">
        <f>IFERROR(__xludf.DUMMYFUNCTION("""COMPUTED_VALUE"""),7.0)</f>
        <v>7</v>
      </c>
      <c r="K92" s="51">
        <f>IFERROR(__xludf.DUMMYFUNCTION("""COMPUTED_VALUE"""),19.0)</f>
        <v>19</v>
      </c>
      <c r="L92" s="51">
        <f>IFERROR(__xludf.DUMMYFUNCTION("""COMPUTED_VALUE"""),2.0)</f>
        <v>2</v>
      </c>
      <c r="M92" s="51">
        <f>IFERROR(__xludf.DUMMYFUNCTION("""COMPUTED_VALUE"""),307.0)</f>
        <v>307</v>
      </c>
      <c r="N92" s="52">
        <f>IFERROR(__xludf.DUMMYFUNCTION("""COMPUTED_VALUE"""),29.0)</f>
        <v>29</v>
      </c>
    </row>
    <row r="93">
      <c r="A93" s="1"/>
      <c r="B93" s="48" t="str">
        <f>IFERROR(__xludf.DUMMYFUNCTION("""COMPUTED_VALUE"""),"Pulkit Mathur")</f>
        <v>Pulkit Mathur</v>
      </c>
      <c r="C93" s="49">
        <f>IFERROR(__xludf.DUMMYFUNCTION("""COMPUTED_VALUE"""),283.0)</f>
        <v>283</v>
      </c>
      <c r="D93" s="50">
        <f>IFERROR(__xludf.DUMMYFUNCTION("""COMPUTED_VALUE"""),25.0)</f>
        <v>25</v>
      </c>
      <c r="E93" s="49">
        <f>IFERROR(__xludf.DUMMYFUNCTION("""COMPUTED_VALUE"""),2.0)</f>
        <v>2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IFERROR(__xludf.DUMMYFUNCTION("""COMPUTED_VALUE"""),5.0)</f>
        <v>5</v>
      </c>
      <c r="I93" s="51">
        <f>IFERROR(__xludf.DUMMYFUNCTION("""COMPUTED_VALUE"""),6.0)</f>
        <v>6</v>
      </c>
      <c r="J93" s="51">
        <f>IFERROR(__xludf.DUMMYFUNCTION("""COMPUTED_VALUE"""),5.0)</f>
        <v>5</v>
      </c>
      <c r="K93" s="51">
        <f>IFERROR(__xludf.DUMMYFUNCTION("""COMPUTED_VALUE"""),16.0)</f>
        <v>16</v>
      </c>
      <c r="L93" s="51">
        <f>IFERROR(__xludf.DUMMYFUNCTION("""COMPUTED_VALUE"""),0.0)</f>
        <v>0</v>
      </c>
      <c r="M93" s="51">
        <f>IFERROR(__xludf.DUMMYFUNCTION("""COMPUTED_VALUE"""),299.0)</f>
        <v>299</v>
      </c>
      <c r="N93" s="52">
        <f>IFERROR(__xludf.DUMMYFUNCTION("""COMPUTED_VALUE"""),25.0)</f>
        <v>25</v>
      </c>
    </row>
    <row r="94">
      <c r="A94" s="1"/>
      <c r="B94" s="53" t="str">
        <f>IFERROR(__xludf.DUMMYFUNCTION("""COMPUTED_VALUE"""),"Lam Bui")</f>
        <v>Lam Bui</v>
      </c>
      <c r="C94" s="54">
        <f>IFERROR(__xludf.DUMMYFUNCTION("""COMPUTED_VALUE"""),282.0)</f>
        <v>282</v>
      </c>
      <c r="D94" s="55">
        <f>IFERROR(__xludf.DUMMYFUNCTION("""COMPUTED_VALUE"""),25.0)</f>
        <v>25</v>
      </c>
      <c r="E94" s="54">
        <f>IFERROR(__xludf.DUMMYFUNCTION("""COMPUTED_VALUE"""),2.0)</f>
        <v>2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IFERROR(__xludf.DUMMYFUNCTION("""COMPUTED_VALUE"""),3.0)</f>
        <v>3</v>
      </c>
      <c r="J94" s="56">
        <f>IFERROR(__xludf.DUMMYFUNCTION("""COMPUTED_VALUE"""),2.0)</f>
        <v>2</v>
      </c>
      <c r="K94" s="56">
        <f>IFERROR(__xludf.DUMMYFUNCTION("""COMPUTED_VALUE"""),11.0)</f>
        <v>11</v>
      </c>
      <c r="L94" s="56">
        <f>IFERROR(__xludf.DUMMYFUNCTION("""COMPUTED_VALUE"""),1.0)</f>
        <v>1</v>
      </c>
      <c r="M94" s="56">
        <f>IFERROR(__xludf.DUMMYFUNCTION("""COMPUTED_VALUE"""),293.0)</f>
        <v>293</v>
      </c>
      <c r="N94" s="57">
        <f>IFERROR(__xludf.DUMMYFUNCTION("""COMPUTED_VALUE"""),26.0)</f>
        <v>26</v>
      </c>
    </row>
    <row r="95">
      <c r="A95" s="1"/>
      <c r="B95" s="53" t="str">
        <f>IFERROR(__xludf.DUMMYFUNCTION("""COMPUTED_VALUE"""),"Matthew Huang")</f>
        <v>Matthew Huang</v>
      </c>
      <c r="C95" s="54">
        <f>IFERROR(__xludf.DUMMYFUNCTION("""COMPUTED_VALUE"""),282.0)</f>
        <v>282</v>
      </c>
      <c r="D95" s="55">
        <f>IFERROR(__xludf.DUMMYFUNCTION("""COMPUTED_VALUE"""),24.0)</f>
        <v>24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IFERROR(__xludf.DUMMYFUNCTION("""COMPUTED_VALUE"""),4.0)</f>
        <v>4</v>
      </c>
      <c r="I95" s="56">
        <f>IFERROR(__xludf.DUMMYFUNCTION("""COMPUTED_VALUE"""),3.0)</f>
        <v>3</v>
      </c>
      <c r="J95" s="56">
        <f>IFERROR(__xludf.DUMMYFUNCTION("""COMPUTED_VALUE"""),6.0)</f>
        <v>6</v>
      </c>
      <c r="K95" s="56">
        <f>IFERROR(__xludf.DUMMYFUNCTION("""COMPUTED_VALUE"""),13.0)</f>
        <v>13</v>
      </c>
      <c r="L95" s="56">
        <f>IFERROR(__xludf.DUMMYFUNCTION("""COMPUTED_VALUE"""),1.0)</f>
        <v>1</v>
      </c>
      <c r="M95" s="56">
        <f>IFERROR(__xludf.DUMMYFUNCTION("""COMPUTED_VALUE"""),295.0)</f>
        <v>295</v>
      </c>
      <c r="N95" s="57">
        <f>IFERROR(__xludf.DUMMYFUNCTION("""COMPUTED_VALUE"""),25.0)</f>
        <v>25</v>
      </c>
    </row>
    <row r="96">
      <c r="A96" s="1"/>
      <c r="B96" s="53" t="str">
        <f>IFERROR(__xludf.DUMMYFUNCTION("""COMPUTED_VALUE"""),"Pavan Akkimsetty")</f>
        <v>Pavan Akkimsetty</v>
      </c>
      <c r="C96" s="54">
        <f>IFERROR(__xludf.DUMMYFUNCTION("""COMPUTED_VALUE"""),279.0)</f>
        <v>279</v>
      </c>
      <c r="D96" s="55">
        <f>IFERROR(__xludf.DUMMYFUNCTION("""COMPUTED_VALUE"""),25.0)</f>
        <v>25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IFERROR(__xludf.DUMMYFUNCTION("""COMPUTED_VALUE"""),4.0)</f>
        <v>4</v>
      </c>
      <c r="I96" s="56">
        <f>IFERROR(__xludf.DUMMYFUNCTION("""COMPUTED_VALUE"""),6.0)</f>
        <v>6</v>
      </c>
      <c r="J96" s="56">
        <f>IFERROR(__xludf.DUMMYFUNCTION("""COMPUTED_VALUE"""),2.0)</f>
        <v>2</v>
      </c>
      <c r="K96" s="56">
        <f>IFERROR(__xludf.DUMMYFUNCTION("""COMPUTED_VALUE"""),12.0)</f>
        <v>12</v>
      </c>
      <c r="L96" s="56">
        <f>IFERROR(__xludf.DUMMYFUNCTION("""COMPUTED_VALUE"""),1.0)</f>
        <v>1</v>
      </c>
      <c r="M96" s="56">
        <f>IFERROR(__xludf.DUMMYFUNCTION("""COMPUTED_VALUE"""),291.0)</f>
        <v>291</v>
      </c>
      <c r="N96" s="57">
        <f>IFERROR(__xludf.DUMMYFUNCTION("""COMPUTED_VALUE"""),26.0)</f>
        <v>26</v>
      </c>
    </row>
    <row r="97">
      <c r="A97" s="1"/>
      <c r="B97" s="53" t="str">
        <f>IFERROR(__xludf.DUMMYFUNCTION("""COMPUTED_VALUE"""),"Alejandro Mejia")</f>
        <v>Alejandro Mejia</v>
      </c>
      <c r="C97" s="54">
        <f>IFERROR(__xludf.DUMMYFUNCTION("""COMPUTED_VALUE"""),279.0)</f>
        <v>279</v>
      </c>
      <c r="D97" s="55">
        <f>IFERROR(__xludf.DUMMYFUNCTION("""COMPUTED_VALUE"""),23.0)</f>
        <v>23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IFERROR(__xludf.DUMMYFUNCTION("""COMPUTED_VALUE"""),6.0)</f>
        <v>6</v>
      </c>
      <c r="I97" s="56">
        <f>IFERROR(__xludf.DUMMYFUNCTION("""COMPUTED_VALUE"""),6.0)</f>
        <v>6</v>
      </c>
      <c r="J97" s="56">
        <f>IFERROR(__xludf.DUMMYFUNCTION("""COMPUTED_VALUE"""),6.0)</f>
        <v>6</v>
      </c>
      <c r="K97" s="56">
        <f>IFERROR(__xludf.DUMMYFUNCTION("""COMPUTED_VALUE"""),18.0)</f>
        <v>18</v>
      </c>
      <c r="L97" s="56">
        <f>IFERROR(__xludf.DUMMYFUNCTION("""COMPUTED_VALUE"""),3.0)</f>
        <v>3</v>
      </c>
      <c r="M97" s="56">
        <f>IFERROR(__xludf.DUMMYFUNCTION("""COMPUTED_VALUE"""),297.0)</f>
        <v>297</v>
      </c>
      <c r="N97" s="57">
        <f>IFERROR(__xludf.DUMMYFUNCTION("""COMPUTED_VALUE"""),26.0)</f>
        <v>26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IFERROR(__xludf.DUMMYFUNCTION("""COMPUTED_VALUE"""),271.0)</f>
        <v>271</v>
      </c>
      <c r="D98" s="50">
        <f>IFERROR(__xludf.DUMMYFUNCTION("""COMPUTED_VALUE"""),20.0)</f>
        <v>20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IFERROR(__xludf.DUMMYFUNCTION("""COMPUTED_VALUE"""),6.0)</f>
        <v>6</v>
      </c>
      <c r="I98" s="51">
        <f>IFERROR(__xludf.DUMMYFUNCTION("""COMPUTED_VALUE"""),7.0)</f>
        <v>7</v>
      </c>
      <c r="J98" s="51">
        <f>IFERROR(__xludf.DUMMYFUNCTION("""COMPUTED_VALUE"""),6.0)</f>
        <v>6</v>
      </c>
      <c r="K98" s="51">
        <f>IFERROR(__xludf.DUMMYFUNCTION("""COMPUTED_VALUE"""),19.0)</f>
        <v>19</v>
      </c>
      <c r="L98" s="51">
        <f>IFERROR(__xludf.DUMMYFUNCTION("""COMPUTED_VALUE"""),3.0)</f>
        <v>3</v>
      </c>
      <c r="M98" s="51">
        <f>IFERROR(__xludf.DUMMYFUNCTION("""COMPUTED_VALUE"""),290.0)</f>
        <v>290</v>
      </c>
      <c r="N98" s="52">
        <f>IFERROR(__xludf.DUMMYFUNCTION("""COMPUTED_VALUE"""),23.0)</f>
        <v>23</v>
      </c>
    </row>
    <row r="99">
      <c r="A99" s="1"/>
      <c r="B99" s="48" t="str">
        <f>IFERROR(__xludf.DUMMYFUNCTION("""COMPUTED_VALUE"""),"Peter Homsey")</f>
        <v>Peter Homsey</v>
      </c>
      <c r="C99" s="49">
        <f>IFERROR(__xludf.DUMMYFUNCTION("""COMPUTED_VALUE"""),269.0)</f>
        <v>269</v>
      </c>
      <c r="D99" s="50">
        <f>IFERROR(__xludf.DUMMYFUNCTION("""COMPUTED_VALUE"""),23.0)</f>
        <v>23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IFERROR(__xludf.DUMMYFUNCTION("""COMPUTED_VALUE"""),6.0)</f>
        <v>6</v>
      </c>
      <c r="I99" s="51">
        <f>IFERROR(__xludf.DUMMYFUNCTION("""COMPUTED_VALUE"""),6.0)</f>
        <v>6</v>
      </c>
      <c r="J99" s="51">
        <f>IFERROR(__xludf.DUMMYFUNCTION("""COMPUTED_VALUE"""),2.0)</f>
        <v>2</v>
      </c>
      <c r="K99" s="51">
        <f>IFERROR(__xludf.DUMMYFUNCTION("""COMPUTED_VALUE"""),14.0)</f>
        <v>14</v>
      </c>
      <c r="L99" s="51">
        <f>IFERROR(__xludf.DUMMYFUNCTION("""COMPUTED_VALUE"""),1.0)</f>
        <v>1</v>
      </c>
      <c r="M99" s="51">
        <f>IFERROR(__xludf.DUMMYFUNCTION("""COMPUTED_VALUE"""),283.0)</f>
        <v>283</v>
      </c>
      <c r="N99" s="52">
        <f>IFERROR(__xludf.DUMMYFUNCTION("""COMPUTED_VALUE"""),24.0)</f>
        <v>24</v>
      </c>
    </row>
    <row r="100">
      <c r="A100" s="1"/>
      <c r="B100" s="48" t="str">
        <f>IFERROR(__xludf.DUMMYFUNCTION("""COMPUTED_VALUE"""),"Oscar Bonilla")</f>
        <v>Oscar Bonilla</v>
      </c>
      <c r="C100" s="49">
        <f>IFERROR(__xludf.DUMMYFUNCTION("""COMPUTED_VALUE"""),268.0)</f>
        <v>268</v>
      </c>
      <c r="D100" s="50">
        <f>IFERROR(__xludf.DUMMYFUNCTION("""COMPUTED_VALUE"""),22.0)</f>
        <v>22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IFERROR(__xludf.DUMMYFUNCTION("""COMPUTED_VALUE"""),3.0)</f>
        <v>3</v>
      </c>
      <c r="I100" s="51">
        <f>IFERROR(__xludf.DUMMYFUNCTION("""COMPUTED_VALUE"""),6.0)</f>
        <v>6</v>
      </c>
      <c r="J100" s="51">
        <f>IFERROR(__xludf.DUMMYFUNCTION("""COMPUTED_VALUE"""),6.0)</f>
        <v>6</v>
      </c>
      <c r="K100" s="51">
        <f>IFERROR(__xludf.DUMMYFUNCTION("""COMPUTED_VALUE"""),15.0)</f>
        <v>15</v>
      </c>
      <c r="L100" s="51">
        <f>IFERROR(__xludf.DUMMYFUNCTION("""COMPUTED_VALUE"""),1.0)</f>
        <v>1</v>
      </c>
      <c r="M100" s="51">
        <f>IFERROR(__xludf.DUMMYFUNCTION("""COMPUTED_VALUE"""),283.0)</f>
        <v>283</v>
      </c>
      <c r="N100" s="52">
        <f>IFERROR(__xludf.DUMMYFUNCTION("""COMPUTED_VALUE"""),23.0)</f>
        <v>23</v>
      </c>
    </row>
    <row r="101">
      <c r="A101" s="1"/>
      <c r="B101" s="48" t="str">
        <f>IFERROR(__xludf.DUMMYFUNCTION("""COMPUTED_VALUE"""),"Ted Shen")</f>
        <v>Ted Shen</v>
      </c>
      <c r="C101" s="49">
        <f>IFERROR(__xludf.DUMMYFUNCTION("""COMPUTED_VALUE"""),267.0)</f>
        <v>267</v>
      </c>
      <c r="D101" s="50">
        <f>IFERROR(__xludf.DUMMYFUNCTION("""COMPUTED_VALUE"""),23.0)</f>
        <v>23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IFERROR(__xludf.DUMMYFUNCTION("""COMPUTED_VALUE"""),3.0)</f>
        <v>3</v>
      </c>
      <c r="I101" s="51">
        <f>IFERROR(__xludf.DUMMYFUNCTION("""COMPUTED_VALUE"""),7.0)</f>
        <v>7</v>
      </c>
      <c r="J101" s="51">
        <f>IFERROR(__xludf.DUMMYFUNCTION("""COMPUTED_VALUE"""),2.0)</f>
        <v>2</v>
      </c>
      <c r="K101" s="51">
        <f>IFERROR(__xludf.DUMMYFUNCTION("""COMPUTED_VALUE"""),12.0)</f>
        <v>12</v>
      </c>
      <c r="L101" s="51">
        <f>IFERROR(__xludf.DUMMYFUNCTION("""COMPUTED_VALUE"""),1.0)</f>
        <v>1</v>
      </c>
      <c r="M101" s="51">
        <f>IFERROR(__xludf.DUMMYFUNCTION("""COMPUTED_VALUE"""),279.0)</f>
        <v>279</v>
      </c>
      <c r="N101" s="52">
        <f>IFERROR(__xludf.DUMMYFUNCTION("""COMPUTED_VALUE"""),24.0)</f>
        <v>24</v>
      </c>
    </row>
    <row r="102">
      <c r="A102" s="1"/>
      <c r="B102" s="53" t="str">
        <f>IFERROR(__xludf.DUMMYFUNCTION("""COMPUTED_VALUE"""),"Chinna Ponnaganti")</f>
        <v>Chinna Ponnaganti</v>
      </c>
      <c r="C102" s="54">
        <f>IFERROR(__xludf.DUMMYFUNCTION("""COMPUTED_VALUE"""),266.0)</f>
        <v>266</v>
      </c>
      <c r="D102" s="55">
        <f>IFERROR(__xludf.DUMMYFUNCTION("""COMPUTED_VALUE"""),24.0)</f>
        <v>24</v>
      </c>
      <c r="E102" s="54">
        <f>IFERROR(__xludf.DUMMYFUNCTION("""COMPUTED_VALUE"""),1.0)</f>
        <v>1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IFERROR(__xludf.DUMMYFUNCTION("""COMPUTED_VALUE"""),7.0)</f>
        <v>7</v>
      </c>
      <c r="I102" s="56">
        <f>IFERROR(__xludf.DUMMYFUNCTION("""COMPUTED_VALUE"""),2.0)</f>
        <v>2</v>
      </c>
      <c r="J102" s="56">
        <f>IFERROR(__xludf.DUMMYFUNCTION("""COMPUTED_VALUE"""),7.0)</f>
        <v>7</v>
      </c>
      <c r="K102" s="56">
        <f>IFERROR(__xludf.DUMMYFUNCTION("""COMPUTED_VALUE"""),16.0)</f>
        <v>16</v>
      </c>
      <c r="L102" s="56">
        <f>IFERROR(__xludf.DUMMYFUNCTION("""COMPUTED_VALUE"""),2.0)</f>
        <v>2</v>
      </c>
      <c r="M102" s="56">
        <f>IFERROR(__xludf.DUMMYFUNCTION("""COMPUTED_VALUE"""),282.0)</f>
        <v>282</v>
      </c>
      <c r="N102" s="57">
        <f>IFERROR(__xludf.DUMMYFUNCTION("""COMPUTED_VALUE"""),26.0)</f>
        <v>26</v>
      </c>
    </row>
    <row r="103">
      <c r="A103" s="1"/>
      <c r="B103" s="53" t="str">
        <f>IFERROR(__xludf.DUMMYFUNCTION("""COMPUTED_VALUE"""),"Joe Luzzi")</f>
        <v>Joe Luzzi</v>
      </c>
      <c r="C103" s="54">
        <f>IFERROR(__xludf.DUMMYFUNCTION("""COMPUTED_VALUE"""),263.0)</f>
        <v>263</v>
      </c>
      <c r="D103" s="55">
        <f>IFERROR(__xludf.DUMMYFUNCTION("""COMPUTED_VALUE"""),24.0)</f>
        <v>24</v>
      </c>
      <c r="E103" s="54">
        <f>IFERROR(__xludf.DUMMYFUNCTION("""COMPUTED_VALUE"""),2.0)</f>
        <v>2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IFERROR(__xludf.DUMMYFUNCTION("""COMPUTED_VALUE"""),7.0)</f>
        <v>7</v>
      </c>
      <c r="I103" s="56">
        <f>IFERROR(__xludf.DUMMYFUNCTION("""COMPUTED_VALUE"""),6.0)</f>
        <v>6</v>
      </c>
      <c r="J103" s="56">
        <f>IFERROR(__xludf.DUMMYFUNCTION("""COMPUTED_VALUE"""),6.0)</f>
        <v>6</v>
      </c>
      <c r="K103" s="56">
        <f>IFERROR(__xludf.DUMMYFUNCTION("""COMPUTED_VALUE"""),19.0)</f>
        <v>19</v>
      </c>
      <c r="L103" s="56">
        <f>IFERROR(__xludf.DUMMYFUNCTION("""COMPUTED_VALUE"""),2.0)</f>
        <v>2</v>
      </c>
      <c r="M103" s="56">
        <f>IFERROR(__xludf.DUMMYFUNCTION("""COMPUTED_VALUE"""),282.0)</f>
        <v>282</v>
      </c>
      <c r="N103" s="57">
        <f>IFERROR(__xludf.DUMMYFUNCTION("""COMPUTED_VALUE"""),26.0)</f>
        <v>26</v>
      </c>
    </row>
    <row r="104">
      <c r="A104" s="1"/>
      <c r="B104" s="53" t="str">
        <f>IFERROR(__xludf.DUMMYFUNCTION("""COMPUTED_VALUE"""),"Tony Wong")</f>
        <v>Tony Wong</v>
      </c>
      <c r="C104" s="54">
        <f>IFERROR(__xludf.DUMMYFUNCTION("""COMPUTED_VALUE"""),263.0)</f>
        <v>263</v>
      </c>
      <c r="D104" s="55">
        <f>IFERROR(__xludf.DUMMYFUNCTION("""COMPUTED_VALUE"""),18.0)</f>
        <v>18</v>
      </c>
      <c r="E104" s="54">
        <f>IFERROR(__xludf.DUMMYFUNCTION("""COMPUTED_VALUE"""),2.0)</f>
        <v>2</v>
      </c>
      <c r="F104" s="56">
        <f>IFERROR(__xludf.DUMMYFUNCTION("""COMPUTED_VALUE"""),4.0)</f>
        <v>4</v>
      </c>
      <c r="G104" s="56">
        <f>IFERROR(__xludf.DUMMYFUNCTION("""COMPUTED_VALUE"""),0.0)</f>
        <v>0</v>
      </c>
      <c r="H104" s="56">
        <f>IFERROR(__xludf.DUMMYFUNCTION("""COMPUTED_VALUE"""),5.0)</f>
        <v>5</v>
      </c>
      <c r="I104" s="56">
        <f>IFERROR(__xludf.DUMMYFUNCTION("""COMPUTED_VALUE"""),2.0)</f>
        <v>2</v>
      </c>
      <c r="J104" s="56">
        <f>IFERROR(__xludf.DUMMYFUNCTION("""COMPUTED_VALUE"""),6.0)</f>
        <v>6</v>
      </c>
      <c r="K104" s="56">
        <f>IFERROR(__xludf.DUMMYFUNCTION("""COMPUTED_VALUE"""),13.0)</f>
        <v>13</v>
      </c>
      <c r="L104" s="56">
        <f>IFERROR(__xludf.DUMMYFUNCTION("""COMPUTED_VALUE"""),0.0)</f>
        <v>0</v>
      </c>
      <c r="M104" s="56">
        <f>IFERROR(__xludf.DUMMYFUNCTION("""COMPUTED_VALUE"""),276.0)</f>
        <v>276</v>
      </c>
      <c r="N104" s="57">
        <f>IFERROR(__xludf.DUMMYFUNCTION("""COMPUTED_VALUE"""),18.0)</f>
        <v>18</v>
      </c>
    </row>
    <row r="105">
      <c r="A105" s="1"/>
      <c r="B105" s="53" t="str">
        <f>IFERROR(__xludf.DUMMYFUNCTION("""COMPUTED_VALUE"""),"David Shin")</f>
        <v>David Shin</v>
      </c>
      <c r="C105" s="54">
        <f>IFERROR(__xludf.DUMMYFUNCTION("""COMPUTED_VALUE"""),262.0)</f>
        <v>262</v>
      </c>
      <c r="D105" s="55">
        <f>IFERROR(__xludf.DUMMYFUNCTION("""COMPUTED_VALUE"""),20.0)</f>
        <v>20</v>
      </c>
      <c r="E105" s="54">
        <f>IFERROR(__xludf.DUMMYFUNCTION("""COMPUTED_VALUE"""),1.0)</f>
        <v>1</v>
      </c>
      <c r="F105" s="56">
        <f>IFERROR(__xludf.DUMMYFUNCTION("""COMPUTED_VALUE"""),4.0)</f>
        <v>4</v>
      </c>
      <c r="G105" s="56">
        <f>IFERROR(__xludf.DUMMYFUNCTION("""COMPUTED_VALUE"""),0.0)</f>
        <v>0</v>
      </c>
      <c r="H105" s="56">
        <f>IFERROR(__xludf.DUMMYFUNCTION("""COMPUTED_VALUE"""),5.0)</f>
        <v>5</v>
      </c>
      <c r="I105" s="56">
        <f>IFERROR(__xludf.DUMMYFUNCTION("""COMPUTED_VALUE"""),6.0)</f>
        <v>6</v>
      </c>
      <c r="J105" s="56">
        <f>IFERROR(__xludf.DUMMYFUNCTION("""COMPUTED_VALUE"""),7.0)</f>
        <v>7</v>
      </c>
      <c r="K105" s="56">
        <f>IFERROR(__xludf.DUMMYFUNCTION("""COMPUTED_VALUE"""),18.0)</f>
        <v>18</v>
      </c>
      <c r="L105" s="56">
        <f>IFERROR(__xludf.DUMMYFUNCTION("""COMPUTED_VALUE"""),2.0)</f>
        <v>2</v>
      </c>
      <c r="M105" s="56">
        <f>IFERROR(__xludf.DUMMYFUNCTION("""COMPUTED_VALUE"""),280.0)</f>
        <v>280</v>
      </c>
      <c r="N105" s="57">
        <f>IFERROR(__xludf.DUMMYFUNCTION("""COMPUTED_VALUE"""),22.0)</f>
        <v>22</v>
      </c>
    </row>
    <row r="106">
      <c r="A106" s="1"/>
      <c r="B106" s="48" t="str">
        <f>IFERROR(__xludf.DUMMYFUNCTION("""COMPUTED_VALUE"""),"Trinath Goteti")</f>
        <v>Trinath Goteti</v>
      </c>
      <c r="C106" s="49">
        <f>IFERROR(__xludf.DUMMYFUNCTION("""COMPUTED_VALUE"""),255.0)</f>
        <v>255</v>
      </c>
      <c r="D106" s="50">
        <f>IFERROR(__xludf.DUMMYFUNCTION("""COMPUTED_VALUE"""),16.0)</f>
        <v>16</v>
      </c>
      <c r="E106" s="49">
        <f>IFERROR(__xludf.DUMMYFUNCTION("""COMPUTED_VALUE"""),2.0)</f>
        <v>2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IFERROR(__xludf.DUMMYFUNCTION("""COMPUTED_VALUE"""),4.0)</f>
        <v>4</v>
      </c>
      <c r="J106" s="51">
        <f>IFERROR(__xludf.DUMMYFUNCTION("""COMPUTED_VALUE"""),6.0)</f>
        <v>6</v>
      </c>
      <c r="K106" s="51">
        <f>IFERROR(__xludf.DUMMYFUNCTION("""COMPUTED_VALUE"""),16.0)</f>
        <v>16</v>
      </c>
      <c r="L106" s="51">
        <f>IFERROR(__xludf.DUMMYFUNCTION("""COMPUTED_VALUE"""),2.0)</f>
        <v>2</v>
      </c>
      <c r="M106" s="51">
        <f>IFERROR(__xludf.DUMMYFUNCTION("""COMPUTED_VALUE"""),271.0)</f>
        <v>271</v>
      </c>
      <c r="N106" s="52">
        <f>IFERROR(__xludf.DUMMYFUNCTION("""COMPUTED_VALUE"""),18.0)</f>
        <v>18</v>
      </c>
    </row>
    <row r="107">
      <c r="A107" s="1"/>
      <c r="B107" s="48" t="str">
        <f>IFERROR(__xludf.DUMMYFUNCTION("""COMPUTED_VALUE"""),"Sai Dilip Ponnaganti")</f>
        <v>Sai Dilip Ponnaganti</v>
      </c>
      <c r="C107" s="49">
        <f>IFERROR(__xludf.DUMMYFUNCTION("""COMPUTED_VALUE"""),255.0)</f>
        <v>255</v>
      </c>
      <c r="D107" s="50">
        <f>IFERROR(__xludf.DUMMYFUNCTION("""COMPUTED_VALUE"""),15.0)</f>
        <v>15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IFERROR(__xludf.DUMMYFUNCTION("""COMPUTED_VALUE"""),2.0)</f>
        <v>2</v>
      </c>
      <c r="I107" s="51">
        <f>IFERROR(__xludf.DUMMYFUNCTION("""COMPUTED_VALUE"""),6.0)</f>
        <v>6</v>
      </c>
      <c r="J107" s="51">
        <f>IFERROR(__xludf.DUMMYFUNCTION("""COMPUTED_VALUE"""),6.0)</f>
        <v>6</v>
      </c>
      <c r="K107" s="51">
        <f>IFERROR(__xludf.DUMMYFUNCTION("""COMPUTED_VALUE"""),14.0)</f>
        <v>14</v>
      </c>
      <c r="L107" s="51">
        <f>IFERROR(__xludf.DUMMYFUNCTION("""COMPUTED_VALUE"""),2.0)</f>
        <v>2</v>
      </c>
      <c r="M107" s="51">
        <f>IFERROR(__xludf.DUMMYFUNCTION("""COMPUTED_VALUE"""),269.0)</f>
        <v>269</v>
      </c>
      <c r="N107" s="52">
        <f>IFERROR(__xludf.DUMMYFUNCTION("""COMPUTED_VALUE"""),17.0)</f>
        <v>17</v>
      </c>
    </row>
    <row r="108">
      <c r="A108" s="1"/>
      <c r="B108" s="48" t="str">
        <f>IFERROR(__xludf.DUMMYFUNCTION("""COMPUTED_VALUE"""),"Sean Chang")</f>
        <v>Sean Chang</v>
      </c>
      <c r="C108" s="49">
        <f>IFERROR(__xludf.DUMMYFUNCTION("""COMPUTED_VALUE"""),255.0)</f>
        <v>255</v>
      </c>
      <c r="D108" s="50">
        <f>IFERROR(__xludf.DUMMYFUNCTION("""COMPUTED_VALUE"""),15.0)</f>
        <v>15</v>
      </c>
      <c r="E108" s="49">
        <f>IFERROR(__xludf.DUMMYFUNCTION("""COMPUTED_VALUE"""),1.0)</f>
        <v>1</v>
      </c>
      <c r="F108" s="51">
        <f>IFERROR(__xludf.DUMMYFUNCTION("""COMPUTED_VALUE"""),5.0)</f>
        <v>5</v>
      </c>
      <c r="G108" s="51">
        <f>IFERROR(__xludf.DUMMYFUNCTION("""COMPUTED_VALUE"""),0.0)</f>
        <v>0</v>
      </c>
      <c r="H108" s="51">
        <f>IFERROR(__xludf.DUMMYFUNCTION("""COMPUTED_VALUE"""),6.0)</f>
        <v>6</v>
      </c>
      <c r="I108" s="51">
        <f>IFERROR(__xludf.DUMMYFUNCTION("""COMPUTED_VALUE"""),6.0)</f>
        <v>6</v>
      </c>
      <c r="J108" s="51">
        <f>IFERROR(__xludf.DUMMYFUNCTION("""COMPUTED_VALUE"""),0.0)</f>
        <v>0</v>
      </c>
      <c r="K108" s="51">
        <f>IFERROR(__xludf.DUMMYFUNCTION("""COMPUTED_VALUE"""),12.0)</f>
        <v>12</v>
      </c>
      <c r="L108" s="51">
        <f>IFERROR(__xludf.DUMMYFUNCTION("""COMPUTED_VALUE"""),2.0)</f>
        <v>2</v>
      </c>
      <c r="M108" s="51">
        <f>IFERROR(__xludf.DUMMYFUNCTION("""COMPUTED_VALUE"""),267.0)</f>
        <v>267</v>
      </c>
      <c r="N108" s="52">
        <f>IFERROR(__xludf.DUMMYFUNCTION("""COMPUTED_VALUE"""),17.0)</f>
        <v>17</v>
      </c>
    </row>
    <row r="109">
      <c r="A109" s="1"/>
      <c r="B109" s="48" t="str">
        <f>IFERROR(__xludf.DUMMYFUNCTION("""COMPUTED_VALUE"""),"Naveen Raj")</f>
        <v>Naveen Raj</v>
      </c>
      <c r="C109" s="49">
        <f>IFERROR(__xludf.DUMMYFUNCTION("""COMPUTED_VALUE"""),238.0)</f>
        <v>238</v>
      </c>
      <c r="D109" s="50">
        <f>IFERROR(__xludf.DUMMYFUNCTION("""COMPUTED_VALUE"""),15.0)</f>
        <v>15</v>
      </c>
      <c r="E109" s="49">
        <f>IFERROR(__xludf.DUMMYFUNCTION("""COMPUTED_VALUE"""),1.0)</f>
        <v>1</v>
      </c>
      <c r="F109" s="51">
        <f>IFERROR(__xludf.DUMMYFUNCTION("""COMPUTED_VALUE"""),5.0)</f>
        <v>5</v>
      </c>
      <c r="G109" s="51">
        <f>IFERROR(__xludf.DUMMYFUNCTION("""COMPUTED_VALUE"""),0.0)</f>
        <v>0</v>
      </c>
      <c r="H109" s="51">
        <f>IFERROR(__xludf.DUMMYFUNCTION("""COMPUTED_VALUE"""),2.0)</f>
        <v>2</v>
      </c>
      <c r="I109" s="51">
        <f>IFERROR(__xludf.DUMMYFUNCTION("""COMPUTED_VALUE"""),4.0)</f>
        <v>4</v>
      </c>
      <c r="J109" s="51">
        <f>IFERROR(__xludf.DUMMYFUNCTION("""COMPUTED_VALUE"""),0.0)</f>
        <v>0</v>
      </c>
      <c r="K109" s="51">
        <f>IFERROR(__xludf.DUMMYFUNCTION("""COMPUTED_VALUE"""),6.0)</f>
        <v>6</v>
      </c>
      <c r="L109" s="51">
        <f>IFERROR(__xludf.DUMMYFUNCTION("""COMPUTED_VALUE"""),0.0)</f>
        <v>0</v>
      </c>
      <c r="M109" s="51">
        <f>IFERROR(__xludf.DUMMYFUNCTION("""COMPUTED_VALUE"""),244.0)</f>
        <v>244</v>
      </c>
      <c r="N109" s="52">
        <f>IFERROR(__xludf.DUMMYFUNCTION("""COMPUTED_VALUE"""),15.0)</f>
        <v>15</v>
      </c>
    </row>
    <row r="110">
      <c r="A110" s="1"/>
      <c r="B110" s="53" t="str">
        <f>IFERROR(__xludf.DUMMYFUNCTION("""COMPUTED_VALUE"""),"Susanta Mishra")</f>
        <v>Susanta Mishra</v>
      </c>
      <c r="C110" s="54">
        <f>IFERROR(__xludf.DUMMYFUNCTION("""COMPUTED_VALUE"""),238.0)</f>
        <v>238</v>
      </c>
      <c r="D110" s="55">
        <f>IFERROR(__xludf.DUMMYFUNCTION("""COMPUTED_VALUE"""),13.0)</f>
        <v>13</v>
      </c>
      <c r="E110" s="54">
        <f>IFERROR(__xludf.DUMMYFUNCTION("""COMPUTED_VALUE"""),1.0)</f>
        <v>1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IFERROR(__xludf.DUMMYFUNCTION("""COMPUTED_VALUE"""),6.0)</f>
        <v>6</v>
      </c>
      <c r="I110" s="56">
        <f>IFERROR(__xludf.DUMMYFUNCTION("""COMPUTED_VALUE"""),6.0)</f>
        <v>6</v>
      </c>
      <c r="J110" s="56">
        <f>IFERROR(__xludf.DUMMYFUNCTION("""COMPUTED_VALUE"""),6.0)</f>
        <v>6</v>
      </c>
      <c r="K110" s="56">
        <f>IFERROR(__xludf.DUMMYFUNCTION("""COMPUTED_VALUE"""),18.0)</f>
        <v>18</v>
      </c>
      <c r="L110" s="56">
        <f>IFERROR(__xludf.DUMMYFUNCTION("""COMPUTED_VALUE"""),3.0)</f>
        <v>3</v>
      </c>
      <c r="M110" s="56">
        <f>IFERROR(__xludf.DUMMYFUNCTION("""COMPUTED_VALUE"""),256.0)</f>
        <v>256</v>
      </c>
      <c r="N110" s="57">
        <f>IFERROR(__xludf.DUMMYFUNCTION("""COMPUTED_VALUE"""),16.0)</f>
        <v>16</v>
      </c>
    </row>
    <row r="111">
      <c r="A111" s="1"/>
      <c r="B111" s="53" t="str">
        <f>IFERROR(__xludf.DUMMYFUNCTION("""COMPUTED_VALUE"""),"Suleman Alidina")</f>
        <v>Suleman Alidina</v>
      </c>
      <c r="C111" s="54">
        <f>IFERROR(__xludf.DUMMYFUNCTION("""COMPUTED_VALUE"""),231.0)</f>
        <v>231</v>
      </c>
      <c r="D111" s="55">
        <f>IFERROR(__xludf.DUMMYFUNCTION("""COMPUTED_VALUE"""),12.0)</f>
        <v>12</v>
      </c>
      <c r="E111" s="54">
        <f>IFERROR(__xludf.DUMMYFUNCTION("""COMPUTED_VALUE"""),1.0)</f>
        <v>1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IFERROR(__xludf.DUMMYFUNCTION("""COMPUTED_VALUE"""),3.0)</f>
        <v>3</v>
      </c>
      <c r="I111" s="56">
        <f>IFERROR(__xludf.DUMMYFUNCTION("""COMPUTED_VALUE"""),3.0)</f>
        <v>3</v>
      </c>
      <c r="J111" s="56">
        <f>IFERROR(__xludf.DUMMYFUNCTION("""COMPUTED_VALUE"""),6.0)</f>
        <v>6</v>
      </c>
      <c r="K111" s="56">
        <f>IFERROR(__xludf.DUMMYFUNCTION("""COMPUTED_VALUE"""),12.0)</f>
        <v>12</v>
      </c>
      <c r="L111" s="56">
        <f>IFERROR(__xludf.DUMMYFUNCTION("""COMPUTED_VALUE"""),1.0)</f>
        <v>1</v>
      </c>
      <c r="M111" s="56">
        <f>IFERROR(__xludf.DUMMYFUNCTION("""COMPUTED_VALUE"""),243.0)</f>
        <v>243</v>
      </c>
      <c r="N111" s="57">
        <f>IFERROR(__xludf.DUMMYFUNCTION("""COMPUTED_VALUE"""),13.0)</f>
        <v>13</v>
      </c>
    </row>
    <row r="112">
      <c r="A112" s="1"/>
      <c r="B112" s="53" t="str">
        <f>IFERROR(__xludf.DUMMYFUNCTION("""COMPUTED_VALUE"""),"Sandy Weyant")</f>
        <v>Sandy Weyant</v>
      </c>
      <c r="C112" s="54">
        <f>IFERROR(__xludf.DUMMYFUNCTION("""COMPUTED_VALUE"""),227.0)</f>
        <v>227</v>
      </c>
      <c r="D112" s="55">
        <f>IFERROR(__xludf.DUMMYFUNCTION("""COMPUTED_VALUE"""),13.0)</f>
        <v>13</v>
      </c>
      <c r="E112" s="54">
        <f>IFERROR(__xludf.DUMMYFUNCTION("""COMPUTED_VALUE"""),1.0)</f>
        <v>1</v>
      </c>
      <c r="F112" s="56">
        <f>IFERROR(__xludf.DUMMYFUNCTION("""COMPUTED_VALUE"""),6.0)</f>
        <v>6</v>
      </c>
      <c r="G112" s="56">
        <f>IFERROR(__xludf.DUMMYFUNCTION("""COMPUTED_VALUE"""),0.0)</f>
        <v>0</v>
      </c>
      <c r="H112" s="56">
        <f>IFERROR(__xludf.DUMMYFUNCTION("""COMPUTED_VALUE"""),6.0)</f>
        <v>6</v>
      </c>
      <c r="I112" s="56">
        <f>IFERROR(__xludf.DUMMYFUNCTION("""COMPUTED_VALUE"""),3.0)</f>
        <v>3</v>
      </c>
      <c r="J112" s="56">
        <f>IFERROR(__xludf.DUMMYFUNCTION("""COMPUTED_VALUE"""),2.0)</f>
        <v>2</v>
      </c>
      <c r="K112" s="56">
        <f>IFERROR(__xludf.DUMMYFUNCTION("""COMPUTED_VALUE"""),11.0)</f>
        <v>11</v>
      </c>
      <c r="L112" s="56">
        <f>IFERROR(__xludf.DUMMYFUNCTION("""COMPUTED_VALUE"""),1.0)</f>
        <v>1</v>
      </c>
      <c r="M112" s="56">
        <f>IFERROR(__xludf.DUMMYFUNCTION("""COMPUTED_VALUE"""),238.0)</f>
        <v>238</v>
      </c>
      <c r="N112" s="57">
        <f>IFERROR(__xludf.DUMMYFUNCTION("""COMPUTED_VALUE"""),14.0)</f>
        <v>14</v>
      </c>
    </row>
    <row r="113">
      <c r="A113" s="1"/>
      <c r="B113" s="53" t="str">
        <f>IFERROR(__xludf.DUMMYFUNCTION("""COMPUTED_VALUE"""),"Elayaraja Thangaraj ")</f>
        <v>Elayaraja Thangaraj </v>
      </c>
      <c r="C113" s="54">
        <f>IFERROR(__xludf.DUMMYFUNCTION("""COMPUTED_VALUE"""),223.0)</f>
        <v>223</v>
      </c>
      <c r="D113" s="55">
        <f>IFERROR(__xludf.DUMMYFUNCTION("""COMPUTED_VALUE"""),18.0)</f>
        <v>18</v>
      </c>
      <c r="E113" s="54">
        <f>IFERROR(__xludf.DUMMYFUNCTION("""COMPUTED_VALUE"""),1.0)</f>
        <v>1</v>
      </c>
      <c r="F113" s="56">
        <f>IFERROR(__xludf.DUMMYFUNCTION("""COMPUTED_VALUE"""),6.0)</f>
        <v>6</v>
      </c>
      <c r="G113" s="56">
        <f>IFERROR(__xludf.DUMMYFUNCTION("""COMPUTED_VALUE"""),0.0)</f>
        <v>0</v>
      </c>
      <c r="H113" s="56">
        <f>IFERROR(__xludf.DUMMYFUNCTION("""COMPUTED_VALUE"""),3.0)</f>
        <v>3</v>
      </c>
      <c r="I113" s="56">
        <f>IFERROR(__xludf.DUMMYFUNCTION("""COMPUTED_VALUE"""),6.0)</f>
        <v>6</v>
      </c>
      <c r="J113" s="56">
        <f>IFERROR(__xludf.DUMMYFUNCTION("""COMPUTED_VALUE"""),2.0)</f>
        <v>2</v>
      </c>
      <c r="K113" s="56">
        <f>IFERROR(__xludf.DUMMYFUNCTION("""COMPUTED_VALUE"""),11.0)</f>
        <v>11</v>
      </c>
      <c r="L113" s="56">
        <f>IFERROR(__xludf.DUMMYFUNCTION("""COMPUTED_VALUE"""),1.0)</f>
        <v>1</v>
      </c>
      <c r="M113" s="56">
        <f>IFERROR(__xludf.DUMMYFUNCTION("""COMPUTED_VALUE"""),234.0)</f>
        <v>234</v>
      </c>
      <c r="N113" s="57">
        <f>IFERROR(__xludf.DUMMYFUNCTION("""COMPUTED_VALUE"""),19.0)</f>
        <v>19</v>
      </c>
    </row>
    <row r="114">
      <c r="A114" s="1"/>
      <c r="B114" s="48" t="str">
        <f>IFERROR(__xludf.DUMMYFUNCTION("""COMPUTED_VALUE"""),"Vamsi Lolla ")</f>
        <v>Vamsi Lolla </v>
      </c>
      <c r="C114" s="49">
        <f>IFERROR(__xludf.DUMMYFUNCTION("""COMPUTED_VALUE"""),219.0)</f>
        <v>219</v>
      </c>
      <c r="D114" s="50">
        <f>IFERROR(__xludf.DUMMYFUNCTION("""COMPUTED_VALUE"""),10.0)</f>
        <v>10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IFERROR(__xludf.DUMMYFUNCTION("""COMPUTED_VALUE"""),6.0)</f>
        <v>6</v>
      </c>
      <c r="I114" s="51">
        <f>IFERROR(__xludf.DUMMYFUNCTION("""COMPUTED_VALUE"""),6.0)</f>
        <v>6</v>
      </c>
      <c r="J114" s="51">
        <f>IFERROR(__xludf.DUMMYFUNCTION("""COMPUTED_VALUE"""),4.0)</f>
        <v>4</v>
      </c>
      <c r="K114" s="51">
        <f>IFERROR(__xludf.DUMMYFUNCTION("""COMPUTED_VALUE"""),16.0)</f>
        <v>16</v>
      </c>
      <c r="L114" s="51">
        <f>IFERROR(__xludf.DUMMYFUNCTION("""COMPUTED_VALUE"""),2.0)</f>
        <v>2</v>
      </c>
      <c r="M114" s="51">
        <f>IFERROR(__xludf.DUMMYFUNCTION("""COMPUTED_VALUE"""),235.0)</f>
        <v>235</v>
      </c>
      <c r="N114" s="52">
        <f>IFERROR(__xludf.DUMMYFUNCTION("""COMPUTED_VALUE"""),12.0)</f>
        <v>12</v>
      </c>
    </row>
    <row r="115">
      <c r="A115" s="1"/>
      <c r="B115" s="48" t="str">
        <f>IFERROR(__xludf.DUMMYFUNCTION("""COMPUTED_VALUE"""),"Nohely Mejia")</f>
        <v>Nohely Mejia</v>
      </c>
      <c r="C115" s="49">
        <f>IFERROR(__xludf.DUMMYFUNCTION("""COMPUTED_VALUE"""),218.0)</f>
        <v>218</v>
      </c>
      <c r="D115" s="50">
        <f>IFERROR(__xludf.DUMMYFUNCTION("""COMPUTED_VALUE"""),10.0)</f>
        <v>10</v>
      </c>
      <c r="E115" s="49">
        <f>IFERROR(__xludf.DUMMYFUNCTION("""COMPUTED_VALUE"""),2.0)</f>
        <v>2</v>
      </c>
      <c r="F115" s="51">
        <f>IFERROR(__xludf.DUMMYFUNCTION("""COMPUTED_VALUE"""),7.0)</f>
        <v>7</v>
      </c>
      <c r="G115" s="51">
        <f>IFERROR(__xludf.DUMMYFUNCTION("""COMPUTED_VALUE"""),0.0)</f>
        <v>0</v>
      </c>
      <c r="H115" s="51">
        <f>IFERROR(__xludf.DUMMYFUNCTION("""COMPUTED_VALUE"""),6.0)</f>
        <v>6</v>
      </c>
      <c r="I115" s="51">
        <f>IFERROR(__xludf.DUMMYFUNCTION("""COMPUTED_VALUE"""),2.0)</f>
        <v>2</v>
      </c>
      <c r="J115" s="51">
        <f>IFERROR(__xludf.DUMMYFUNCTION("""COMPUTED_VALUE"""),6.0)</f>
        <v>6</v>
      </c>
      <c r="K115" s="51">
        <f>IFERROR(__xludf.DUMMYFUNCTION("""COMPUTED_VALUE"""),14.0)</f>
        <v>14</v>
      </c>
      <c r="L115" s="51">
        <f>IFERROR(__xludf.DUMMYFUNCTION("""COMPUTED_VALUE"""),2.0)</f>
        <v>2</v>
      </c>
      <c r="M115" s="51">
        <f>IFERROR(__xludf.DUMMYFUNCTION("""COMPUTED_VALUE"""),232.0)</f>
        <v>232</v>
      </c>
      <c r="N115" s="52">
        <f>IFERROR(__xludf.DUMMYFUNCTION("""COMPUTED_VALUE"""),12.0)</f>
        <v>12</v>
      </c>
    </row>
    <row r="116">
      <c r="A116" s="1"/>
      <c r="B116" s="48" t="str">
        <f>IFERROR(__xludf.DUMMYFUNCTION("""COMPUTED_VALUE"""),"Jimmy Awolesi")</f>
        <v>Jimmy Awolesi</v>
      </c>
      <c r="C116" s="49">
        <f>IFERROR(__xludf.DUMMYFUNCTION("""COMPUTED_VALUE"""),217.0)</f>
        <v>217</v>
      </c>
      <c r="D116" s="50">
        <f>IFERROR(__xludf.DUMMYFUNCTION("""COMPUTED_VALUE"""),13.0)</f>
        <v>13</v>
      </c>
      <c r="E116" s="49">
        <f>IFERROR(__xludf.DUMMYFUNCTION("""COMPUTED_VALUE"""),1.0)</f>
        <v>1</v>
      </c>
      <c r="F116" s="51">
        <f>IFERROR(__xludf.DUMMYFUNCTION("""COMPUTED_VALUE"""),7.0)</f>
        <v>7</v>
      </c>
      <c r="G116" s="51">
        <f>IFERROR(__xludf.DUMMYFUNCTION("""COMPUTED_VALUE"""),0.0)</f>
        <v>0</v>
      </c>
      <c r="H116" s="51">
        <f>IFERROR(__xludf.DUMMYFUNCTION("""COMPUTED_VALUE"""),2.0)</f>
        <v>2</v>
      </c>
      <c r="I116" s="51">
        <f>IFERROR(__xludf.DUMMYFUNCTION("""COMPUTED_VALUE"""),2.0)</f>
        <v>2</v>
      </c>
      <c r="J116" s="51">
        <f>IFERROR(__xludf.DUMMYFUNCTION("""COMPUTED_VALUE"""),4.0)</f>
        <v>4</v>
      </c>
      <c r="K116" s="51">
        <f>IFERROR(__xludf.DUMMYFUNCTION("""COMPUTED_VALUE"""),8.0)</f>
        <v>8</v>
      </c>
      <c r="L116" s="51">
        <f>IFERROR(__xludf.DUMMYFUNCTION("""COMPUTED_VALUE"""),0.0)</f>
        <v>0</v>
      </c>
      <c r="M116" s="51">
        <f>IFERROR(__xludf.DUMMYFUNCTION("""COMPUTED_VALUE"""),225.0)</f>
        <v>225</v>
      </c>
      <c r="N116" s="52">
        <f>IFERROR(__xludf.DUMMYFUNCTION("""COMPUTED_VALUE"""),13.0)</f>
        <v>13</v>
      </c>
    </row>
    <row r="117">
      <c r="A117" s="1"/>
      <c r="B117" s="48" t="str">
        <f>IFERROR(__xludf.DUMMYFUNCTION("""COMPUTED_VALUE"""),"Joyce Zhu")</f>
        <v>Joyce Zhu</v>
      </c>
      <c r="C117" s="49">
        <f>IFERROR(__xludf.DUMMYFUNCTION("""COMPUTED_VALUE"""),192.0)</f>
        <v>192</v>
      </c>
      <c r="D117" s="50">
        <f>IFERROR(__xludf.DUMMYFUNCTION("""COMPUTED_VALUE"""),1.0)</f>
        <v>1</v>
      </c>
      <c r="E117" s="49">
        <f>IFERROR(__xludf.DUMMYFUNCTION("""COMPUTED_VALUE"""),1.0)</f>
        <v>1</v>
      </c>
      <c r="F117" s="51">
        <f>IFERROR(__xludf.DUMMYFUNCTION("""COMPUTED_VALUE"""),7.0)</f>
        <v>7</v>
      </c>
      <c r="G117" s="51">
        <f>IFERROR(__xludf.DUMMYFUNCTION("""COMPUTED_VALUE"""),0.0)</f>
        <v>0</v>
      </c>
      <c r="H117" s="51">
        <f>IFERROR(__xludf.DUMMYFUNCTION("""COMPUTED_VALUE"""),2.0)</f>
        <v>2</v>
      </c>
      <c r="I117" s="51">
        <f>IFERROR(__xludf.DUMMYFUNCTION("""COMPUTED_VALUE"""),6.0)</f>
        <v>6</v>
      </c>
      <c r="J117" s="51">
        <f>IFERROR(__xludf.DUMMYFUNCTION("""COMPUTED_VALUE"""),6.0)</f>
        <v>6</v>
      </c>
      <c r="K117" s="51">
        <f>IFERROR(__xludf.DUMMYFUNCTION("""COMPUTED_VALUE"""),14.0)</f>
        <v>14</v>
      </c>
      <c r="L117" s="51">
        <f>IFERROR(__xludf.DUMMYFUNCTION("""COMPUTED_VALUE"""),2.0)</f>
        <v>2</v>
      </c>
      <c r="M117" s="51">
        <f>IFERROR(__xludf.DUMMYFUNCTION("""COMPUTED_VALUE"""),206.0)</f>
        <v>206</v>
      </c>
      <c r="N117" s="52">
        <f>IFERROR(__xludf.DUMMYFUNCTION("""COMPUTED_VALUE"""),3.0)</f>
        <v>3</v>
      </c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0"")"),"Lloyd Sagar")</f>
        <v>Lloyd Sagar</v>
      </c>
      <c r="C134" s="49">
        <f>IFERROR(__xludf.DUMMYFUNCTION("""COMPUTED_VALUE"""),271.0)</f>
        <v>271</v>
      </c>
      <c r="D134" s="50">
        <f>IFERROR(__xludf.DUMMYFUNCTION("""COMPUTED_VALUE"""),19.0)</f>
        <v>19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IFERROR(__xludf.DUMMYFUNCTION("""COMPUTED_VALUE"""),280.0)</f>
        <v>280</v>
      </c>
      <c r="N134" s="52">
        <f>IFERROR(__xludf.DUMMYFUNCTION("""COMPUTED_VALUE"""),19.0)</f>
        <v>19</v>
      </c>
    </row>
    <row r="135">
      <c r="A135" s="1"/>
      <c r="B135" s="48" t="str">
        <f>IFERROR(__xludf.DUMMYFUNCTION("""COMPUTED_VALUE"""),"Jonathan Phan")</f>
        <v>Jonathan Phan</v>
      </c>
      <c r="C135" s="49">
        <f>IFERROR(__xludf.DUMMYFUNCTION("""COMPUTED_VALUE"""),269.0)</f>
        <v>269</v>
      </c>
      <c r="D135" s="50">
        <f>IFERROR(__xludf.DUMMYFUNCTION("""COMPUTED_VALUE"""),20.0)</f>
        <v>20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IFERROR(__xludf.DUMMYFUNCTION("""COMPUTED_VALUE"""),278.0)</f>
        <v>278</v>
      </c>
      <c r="N135" s="52">
        <f>IFERROR(__xludf.DUMMYFUNCTION("""COMPUTED_VALUE"""),20.0)</f>
        <v>20</v>
      </c>
    </row>
    <row r="136">
      <c r="A136" s="1"/>
      <c r="B136" s="48" t="str">
        <f>IFERROR(__xludf.DUMMYFUNCTION("""COMPUTED_VALUE"""),"Kingsley Kuo")</f>
        <v>Kingsley Kuo</v>
      </c>
      <c r="C136" s="49">
        <f>IFERROR(__xludf.DUMMYFUNCTION("""COMPUTED_VALUE"""),262.0)</f>
        <v>262</v>
      </c>
      <c r="D136" s="50">
        <f>IFERROR(__xludf.DUMMYFUNCTION("""COMPUTED_VALUE"""),18.0)</f>
        <v>18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IFERROR(__xludf.DUMMYFUNCTION("""COMPUTED_VALUE"""),271.0)</f>
        <v>271</v>
      </c>
      <c r="N136" s="52">
        <f>IFERROR(__xludf.DUMMYFUNCTION("""COMPUTED_VALUE"""),18.0)</f>
        <v>18</v>
      </c>
    </row>
    <row r="137">
      <c r="A137" s="1"/>
      <c r="B137" s="48" t="str">
        <f>IFERROR(__xludf.DUMMYFUNCTION("""COMPUTED_VALUE"""),"Anish Kumar")</f>
        <v>Anish Kumar</v>
      </c>
      <c r="C137" s="49">
        <f>IFERROR(__xludf.DUMMYFUNCTION("""COMPUTED_VALUE"""),254.0)</f>
        <v>254</v>
      </c>
      <c r="D137" s="50">
        <f>IFERROR(__xludf.DUMMYFUNCTION("""COMPUTED_VALUE"""),17.0)</f>
        <v>17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IFERROR(__xludf.DUMMYFUNCTION("""COMPUTED_VALUE"""),263.0)</f>
        <v>263</v>
      </c>
      <c r="N137" s="52">
        <f>IFERROR(__xludf.DUMMYFUNCTION("""COMPUTED_VALUE"""),17.0)</f>
        <v>17</v>
      </c>
    </row>
    <row r="138">
      <c r="A138" s="1"/>
      <c r="B138" s="48" t="str">
        <f>IFERROR(__xludf.DUMMYFUNCTION("""COMPUTED_VALUE"""),"Tom Le")</f>
        <v>Tom Le</v>
      </c>
      <c r="C138" s="49">
        <f>IFERROR(__xludf.DUMMYFUNCTION("""COMPUTED_VALUE"""),254.0)</f>
        <v>254</v>
      </c>
      <c r="D138" s="50">
        <f>IFERROR(__xludf.DUMMYFUNCTION("""COMPUTED_VALUE"""),15.0)</f>
        <v>15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IFERROR(__xludf.DUMMYFUNCTION("""COMPUTED_VALUE"""),263.0)</f>
        <v>263</v>
      </c>
      <c r="N138" s="52">
        <f>IFERROR(__xludf.DUMMYFUNCTION("""COMPUTED_VALUE"""),15.0)</f>
        <v>15</v>
      </c>
    </row>
    <row r="139">
      <c r="A139" s="1"/>
      <c r="B139" s="48" t="str">
        <f>IFERROR(__xludf.DUMMYFUNCTION("""COMPUTED_VALUE"""),"Christopher Li")</f>
        <v>Christopher Li</v>
      </c>
      <c r="C139" s="49">
        <f>IFERROR(__xludf.DUMMYFUNCTION("""COMPUTED_VALUE"""),251.0)</f>
        <v>251</v>
      </c>
      <c r="D139" s="50">
        <f>IFERROR(__xludf.DUMMYFUNCTION("""COMPUTED_VALUE"""),16.0)</f>
        <v>16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IFERROR(__xludf.DUMMYFUNCTION("""COMPUTED_VALUE"""),260.0)</f>
        <v>260</v>
      </c>
      <c r="N139" s="52">
        <f>IFERROR(__xludf.DUMMYFUNCTION("""COMPUTED_VALUE"""),16.0)</f>
        <v>16</v>
      </c>
    </row>
    <row r="140">
      <c r="A140" s="1"/>
      <c r="B140" s="48" t="str">
        <f>IFERROR(__xludf.DUMMYFUNCTION("""COMPUTED_VALUE"""),"Rajasekar Ramasamy")</f>
        <v>Rajasekar Ramasamy</v>
      </c>
      <c r="C140" s="49">
        <f>IFERROR(__xludf.DUMMYFUNCTION("""COMPUTED_VALUE"""),249.0)</f>
        <v>249</v>
      </c>
      <c r="D140" s="50">
        <f>IFERROR(__xludf.DUMMYFUNCTION("""COMPUTED_VALUE"""),21.0)</f>
        <v>21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IFERROR(__xludf.DUMMYFUNCTION("""COMPUTED_VALUE"""),258.0)</f>
        <v>258</v>
      </c>
      <c r="N140" s="52">
        <f>IFERROR(__xludf.DUMMYFUNCTION("""COMPUTED_VALUE"""),21.0)</f>
        <v>21</v>
      </c>
    </row>
    <row r="141">
      <c r="A141" s="1"/>
      <c r="B141" s="48" t="str">
        <f>IFERROR(__xludf.DUMMYFUNCTION("""COMPUTED_VALUE"""),"Eric Pan")</f>
        <v>Eric Pan</v>
      </c>
      <c r="C141" s="49">
        <f>IFERROR(__xludf.DUMMYFUNCTION("""COMPUTED_VALUE"""),242.0)</f>
        <v>242</v>
      </c>
      <c r="D141" s="50">
        <f>IFERROR(__xludf.DUMMYFUNCTION("""COMPUTED_VALUE"""),16.0)</f>
        <v>16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IFERROR(__xludf.DUMMYFUNCTION("""COMPUTED_VALUE"""),251.0)</f>
        <v>251</v>
      </c>
      <c r="N141" s="52">
        <f>IFERROR(__xludf.DUMMYFUNCTION("""COMPUTED_VALUE"""),16.0)</f>
        <v>16</v>
      </c>
    </row>
    <row r="142">
      <c r="A142" s="1"/>
      <c r="B142" s="48" t="str">
        <f>IFERROR(__xludf.DUMMYFUNCTION("""COMPUTED_VALUE"""),"Sanjaye Elayattu")</f>
        <v>Sanjaye Elayattu</v>
      </c>
      <c r="C142" s="49">
        <f>IFERROR(__xludf.DUMMYFUNCTION("""COMPUTED_VALUE"""),241.0)</f>
        <v>241</v>
      </c>
      <c r="D142" s="50">
        <f>IFERROR(__xludf.DUMMYFUNCTION("""COMPUTED_VALUE"""),11.0)</f>
        <v>11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IFERROR(__xludf.DUMMYFUNCTION("""COMPUTED_VALUE"""),250.0)</f>
        <v>250</v>
      </c>
      <c r="N142" s="52">
        <f>IFERROR(__xludf.DUMMYFUNCTION("""COMPUTED_VALUE"""),11.0)</f>
        <v>11</v>
      </c>
    </row>
    <row r="143">
      <c r="A143" s="1"/>
      <c r="B143" s="48" t="str">
        <f>IFERROR(__xludf.DUMMYFUNCTION("""COMPUTED_VALUE"""),"Rosie Bonilla")</f>
        <v>Rosie Bonilla</v>
      </c>
      <c r="C143" s="49">
        <f>IFERROR(__xludf.DUMMYFUNCTION("""COMPUTED_VALUE"""),237.0)</f>
        <v>237</v>
      </c>
      <c r="D143" s="50">
        <f>IFERROR(__xludf.DUMMYFUNCTION("""COMPUTED_VALUE"""),14.0)</f>
        <v>14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IFERROR(__xludf.DUMMYFUNCTION("""COMPUTED_VALUE"""),246.0)</f>
        <v>246</v>
      </c>
      <c r="N143" s="52">
        <f>IFERROR(__xludf.DUMMYFUNCTION("""COMPUTED_VALUE"""),14.0)</f>
        <v>14</v>
      </c>
    </row>
    <row r="144">
      <c r="A144" s="1"/>
      <c r="B144" s="48" t="str">
        <f>IFERROR(__xludf.DUMMYFUNCTION("""COMPUTED_VALUE"""),"Troy Wong")</f>
        <v>Troy Wong</v>
      </c>
      <c r="C144" s="49">
        <f>IFERROR(__xludf.DUMMYFUNCTION("""COMPUTED_VALUE"""),234.0)</f>
        <v>234</v>
      </c>
      <c r="D144" s="50">
        <f>IFERROR(__xludf.DUMMYFUNCTION("""COMPUTED_VALUE"""),10.0)</f>
        <v>10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IFERROR(__xludf.DUMMYFUNCTION("""COMPUTED_VALUE"""),243.0)</f>
        <v>243</v>
      </c>
      <c r="N144" s="52">
        <f>IFERROR(__xludf.DUMMYFUNCTION("""COMPUTED_VALUE"""),10.0)</f>
        <v>10</v>
      </c>
    </row>
    <row r="145">
      <c r="A145" s="1"/>
      <c r="B145" s="48" t="str">
        <f>IFERROR(__xludf.DUMMYFUNCTION("""COMPUTED_VALUE"""),"Manuel Rivera")</f>
        <v>Manuel Rivera</v>
      </c>
      <c r="C145" s="49">
        <f>IFERROR(__xludf.DUMMYFUNCTION("""COMPUTED_VALUE"""),233.0)</f>
        <v>233</v>
      </c>
      <c r="D145" s="50">
        <f>IFERROR(__xludf.DUMMYFUNCTION("""COMPUTED_VALUE"""),16.0)</f>
        <v>16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IFERROR(__xludf.DUMMYFUNCTION("""COMPUTED_VALUE"""),242.0)</f>
        <v>242</v>
      </c>
      <c r="N145" s="52">
        <f>IFERROR(__xludf.DUMMYFUNCTION("""COMPUTED_VALUE"""),16.0)</f>
        <v>16</v>
      </c>
    </row>
    <row r="146">
      <c r="A146" s="1"/>
      <c r="B146" s="48" t="str">
        <f>IFERROR(__xludf.DUMMYFUNCTION("""COMPUTED_VALUE"""),"Mauricio Palacios")</f>
        <v>Mauricio Palacios</v>
      </c>
      <c r="C146" s="49">
        <f>IFERROR(__xludf.DUMMYFUNCTION("""COMPUTED_VALUE"""),232.0)</f>
        <v>232</v>
      </c>
      <c r="D146" s="50">
        <f>IFERROR(__xludf.DUMMYFUNCTION("""COMPUTED_VALUE"""),22.0)</f>
        <v>22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IFERROR(__xludf.DUMMYFUNCTION("""COMPUTED_VALUE"""),241.0)</f>
        <v>241</v>
      </c>
      <c r="N146" s="52">
        <f>IFERROR(__xludf.DUMMYFUNCTION("""COMPUTED_VALUE"""),22.0)</f>
        <v>22</v>
      </c>
    </row>
    <row r="147">
      <c r="A147" s="1"/>
      <c r="B147" s="48" t="str">
        <f>IFERROR(__xludf.DUMMYFUNCTION("""COMPUTED_VALUE"""),"Derek Fu")</f>
        <v>Derek Fu</v>
      </c>
      <c r="C147" s="49">
        <f>IFERROR(__xludf.DUMMYFUNCTION("""COMPUTED_VALUE"""),231.0)</f>
        <v>231</v>
      </c>
      <c r="D147" s="50">
        <f>IFERROR(__xludf.DUMMYFUNCTION("""COMPUTED_VALUE"""),10.0)</f>
        <v>10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IFERROR(__xludf.DUMMYFUNCTION("""COMPUTED_VALUE"""),240.0)</f>
        <v>240</v>
      </c>
      <c r="N147" s="52">
        <f>IFERROR(__xludf.DUMMYFUNCTION("""COMPUTED_VALUE"""),10.0)</f>
        <v>10</v>
      </c>
    </row>
    <row r="148">
      <c r="A148" s="1"/>
      <c r="B148" s="48" t="str">
        <f>IFERROR(__xludf.DUMMYFUNCTION("""COMPUTED_VALUE"""),"Paul Sanchez")</f>
        <v>Paul Sanchez</v>
      </c>
      <c r="C148" s="49">
        <f>IFERROR(__xludf.DUMMYFUNCTION("""COMPUTED_VALUE"""),225.0)</f>
        <v>225</v>
      </c>
      <c r="D148" s="50">
        <f>IFERROR(__xludf.DUMMYFUNCTION("""COMPUTED_VALUE"""),9.0)</f>
        <v>9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IFERROR(__xludf.DUMMYFUNCTION("""COMPUTED_VALUE"""),234.0)</f>
        <v>234</v>
      </c>
      <c r="N148" s="52">
        <f>IFERROR(__xludf.DUMMYFUNCTION("""COMPUTED_VALUE"""),9.0)</f>
        <v>9</v>
      </c>
    </row>
    <row r="149">
      <c r="A149" s="1"/>
      <c r="B149" s="48" t="str">
        <f>IFERROR(__xludf.DUMMYFUNCTION("""COMPUTED_VALUE"""),"Vinot Kumar Nagappan")</f>
        <v>Vinot Kumar Nagappan</v>
      </c>
      <c r="C149" s="49">
        <f>IFERROR(__xludf.DUMMYFUNCTION("""COMPUTED_VALUE"""),222.0)</f>
        <v>222</v>
      </c>
      <c r="D149" s="50">
        <f>IFERROR(__xludf.DUMMYFUNCTION("""COMPUTED_VALUE"""),11.0)</f>
        <v>11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IFERROR(__xludf.DUMMYFUNCTION("""COMPUTED_VALUE"""),231.0)</f>
        <v>231</v>
      </c>
      <c r="N149" s="52">
        <f>IFERROR(__xludf.DUMMYFUNCTION("""COMPUTED_VALUE"""),11.0)</f>
        <v>11</v>
      </c>
    </row>
    <row r="150">
      <c r="A150" s="1"/>
      <c r="B150" s="48" t="str">
        <f>IFERROR(__xludf.DUMMYFUNCTION("""COMPUTED_VALUE"""),"James Cole III")</f>
        <v>James Cole III</v>
      </c>
      <c r="C150" s="49">
        <f>IFERROR(__xludf.DUMMYFUNCTION("""COMPUTED_VALUE"""),220.0)</f>
        <v>220</v>
      </c>
      <c r="D150" s="50">
        <f>IFERROR(__xludf.DUMMYFUNCTION("""COMPUTED_VALUE"""),8.0)</f>
        <v>8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IFERROR(__xludf.DUMMYFUNCTION("""COMPUTED_VALUE"""),229.0)</f>
        <v>229</v>
      </c>
      <c r="N150" s="52">
        <f>IFERROR(__xludf.DUMMYFUNCTION("""COMPUTED_VALUE"""),8.0)</f>
        <v>8</v>
      </c>
    </row>
    <row r="151">
      <c r="A151" s="1"/>
      <c r="B151" s="48" t="str">
        <f>IFERROR(__xludf.DUMMYFUNCTION("""COMPUTED_VALUE"""),"Balaji Alahari")</f>
        <v>Balaji Alahari</v>
      </c>
      <c r="C151" s="49">
        <f>IFERROR(__xludf.DUMMYFUNCTION("""COMPUTED_VALUE"""),213.0)</f>
        <v>213</v>
      </c>
      <c r="D151" s="50">
        <f>IFERROR(__xludf.DUMMYFUNCTION("""COMPUTED_VALUE"""),5.0)</f>
        <v>5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IFERROR(__xludf.DUMMYFUNCTION("""COMPUTED_VALUE"""),222.0)</f>
        <v>222</v>
      </c>
      <c r="N151" s="52">
        <f>IFERROR(__xludf.DUMMYFUNCTION("""COMPUTED_VALUE"""),5.0)</f>
        <v>5</v>
      </c>
    </row>
    <row r="152">
      <c r="A152" s="1"/>
      <c r="B152" s="48" t="str">
        <f>IFERROR(__xludf.DUMMYFUNCTION("""COMPUTED_VALUE"""),"Luis Hsu")</f>
        <v>Luis Hsu</v>
      </c>
      <c r="C152" s="49">
        <f>IFERROR(__xludf.DUMMYFUNCTION("""COMPUTED_VALUE"""),213.0)</f>
        <v>213</v>
      </c>
      <c r="D152" s="50">
        <f>IFERROR(__xludf.DUMMYFUNCTION("""COMPUTED_VALUE"""),5.0)</f>
        <v>5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IFERROR(__xludf.DUMMYFUNCTION("""COMPUTED_VALUE"""),222.0)</f>
        <v>222</v>
      </c>
      <c r="N152" s="52">
        <f>IFERROR(__xludf.DUMMYFUNCTION("""COMPUTED_VALUE"""),5.0)</f>
        <v>5</v>
      </c>
    </row>
    <row r="153">
      <c r="A153" s="1"/>
      <c r="B153" s="48" t="str">
        <f>IFERROR(__xludf.DUMMYFUNCTION("""COMPUTED_VALUE"""),"Pan Lee")</f>
        <v>Pan Lee</v>
      </c>
      <c r="C153" s="49">
        <f>IFERROR(__xludf.DUMMYFUNCTION("""COMPUTED_VALUE"""),212.0)</f>
        <v>212</v>
      </c>
      <c r="D153" s="50">
        <f>IFERROR(__xludf.DUMMYFUNCTION("""COMPUTED_VALUE"""),5.0)</f>
        <v>5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IFERROR(__xludf.DUMMYFUNCTION("""COMPUTED_VALUE"""),221.0)</f>
        <v>221</v>
      </c>
      <c r="N153" s="52">
        <f>IFERROR(__xludf.DUMMYFUNCTION("""COMPUTED_VALUE"""),5.0)</f>
        <v>5</v>
      </c>
    </row>
    <row r="154">
      <c r="A154" s="1"/>
      <c r="B154" s="48" t="str">
        <f>IFERROR(__xludf.DUMMYFUNCTION("""COMPUTED_VALUE"""),"Lauren Chang")</f>
        <v>Lauren Chang</v>
      </c>
      <c r="C154" s="49">
        <f>IFERROR(__xludf.DUMMYFUNCTION("""COMPUTED_VALUE"""),210.0)</f>
        <v>210</v>
      </c>
      <c r="D154" s="50">
        <f>IFERROR(__xludf.DUMMYFUNCTION("""COMPUTED_VALUE"""),4.0)</f>
        <v>4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IFERROR(__xludf.DUMMYFUNCTION("""COMPUTED_VALUE"""),219.0)</f>
        <v>219</v>
      </c>
      <c r="N154" s="52">
        <f>IFERROR(__xludf.DUMMYFUNCTION("""COMPUTED_VALUE"""),4.0)</f>
        <v>4</v>
      </c>
    </row>
    <row r="155">
      <c r="A155" s="1"/>
      <c r="B155" s="48" t="str">
        <f>IFERROR(__xludf.DUMMYFUNCTION("""COMPUTED_VALUE"""),"Santosh Sundaresan ")</f>
        <v>Santosh Sundaresan </v>
      </c>
      <c r="C155" s="49">
        <f>IFERROR(__xludf.DUMMYFUNCTION("""COMPUTED_VALUE"""),208.0)</f>
        <v>208</v>
      </c>
      <c r="D155" s="50">
        <f>IFERROR(__xludf.DUMMYFUNCTION("""COMPUTED_VALUE"""),6.0)</f>
        <v>6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IFERROR(__xludf.DUMMYFUNCTION("""COMPUTED_VALUE"""),217.0)</f>
        <v>217</v>
      </c>
      <c r="N155" s="52">
        <f>IFERROR(__xludf.DUMMYFUNCTION("""COMPUTED_VALUE"""),6.0)</f>
        <v>6</v>
      </c>
    </row>
    <row r="156">
      <c r="A156" s="1"/>
      <c r="B156" s="48" t="str">
        <f>IFERROR(__xludf.DUMMYFUNCTION("""COMPUTED_VALUE"""),"Kevin Wang")</f>
        <v>Kevin Wang</v>
      </c>
      <c r="C156" s="49">
        <f>IFERROR(__xludf.DUMMYFUNCTION("""COMPUTED_VALUE"""),207.0)</f>
        <v>207</v>
      </c>
      <c r="D156" s="50">
        <f>IFERROR(__xludf.DUMMYFUNCTION("""COMPUTED_VALUE"""),14.0)</f>
        <v>14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IFERROR(__xludf.DUMMYFUNCTION("""COMPUTED_VALUE"""),216.0)</f>
        <v>216</v>
      </c>
      <c r="N156" s="52">
        <f>IFERROR(__xludf.DUMMYFUNCTION("""COMPUTED_VALUE"""),14.0)</f>
        <v>14</v>
      </c>
    </row>
    <row r="157">
      <c r="A157" s="1"/>
      <c r="B157" s="48" t="str">
        <f>IFERROR(__xludf.DUMMYFUNCTION("""COMPUTED_VALUE"""),"Vilas Janardhanan")</f>
        <v>Vilas Janardhanan</v>
      </c>
      <c r="C157" s="49">
        <f>IFERROR(__xludf.DUMMYFUNCTION("""COMPUTED_VALUE"""),207.0)</f>
        <v>207</v>
      </c>
      <c r="D157" s="50">
        <f>IFERROR(__xludf.DUMMYFUNCTION("""COMPUTED_VALUE"""),7.0)</f>
        <v>7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IFERROR(__xludf.DUMMYFUNCTION("""COMPUTED_VALUE"""),216.0)</f>
        <v>216</v>
      </c>
      <c r="N157" s="52">
        <f>IFERROR(__xludf.DUMMYFUNCTION("""COMPUTED_VALUE"""),7.0)</f>
        <v>7</v>
      </c>
    </row>
    <row r="158">
      <c r="A158" s="1"/>
      <c r="B158" s="48" t="str">
        <f>IFERROR(__xludf.DUMMYFUNCTION("""COMPUTED_VALUE"""),"Piyorasa Li")</f>
        <v>Piyorasa Li</v>
      </c>
      <c r="C158" s="49">
        <f>IFERROR(__xludf.DUMMYFUNCTION("""COMPUTED_VALUE"""),207.0)</f>
        <v>207</v>
      </c>
      <c r="D158" s="50">
        <f>IFERROR(__xludf.DUMMYFUNCTION("""COMPUTED_VALUE"""),3.0)</f>
        <v>3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IFERROR(__xludf.DUMMYFUNCTION("""COMPUTED_VALUE"""),216.0)</f>
        <v>216</v>
      </c>
      <c r="N158" s="52">
        <f>IFERROR(__xludf.DUMMYFUNCTION("""COMPUTED_VALUE"""),3.0)</f>
        <v>3</v>
      </c>
    </row>
    <row r="159">
      <c r="A159" s="1"/>
      <c r="B159" s="48" t="str">
        <f>IFERROR(__xludf.DUMMYFUNCTION("""COMPUTED_VALUE"""),"Jason Kim ")</f>
        <v>Jason Kim </v>
      </c>
      <c r="C159" s="49">
        <f>IFERROR(__xludf.DUMMYFUNCTION("""COMPUTED_VALUE"""),207.0)</f>
        <v>207</v>
      </c>
      <c r="D159" s="50">
        <f>IFERROR(__xludf.DUMMYFUNCTION("""COMPUTED_VALUE"""),3.0)</f>
        <v>3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IFERROR(__xludf.DUMMYFUNCTION("""COMPUTED_VALUE"""),216.0)</f>
        <v>216</v>
      </c>
      <c r="N159" s="52">
        <f>IFERROR(__xludf.DUMMYFUNCTION("""COMPUTED_VALUE"""),3.0)</f>
        <v>3</v>
      </c>
    </row>
    <row r="160">
      <c r="A160" s="1"/>
      <c r="B160" s="48" t="str">
        <f>IFERROR(__xludf.DUMMYFUNCTION("""COMPUTED_VALUE"""),"Amit Patel")</f>
        <v>Amit Patel</v>
      </c>
      <c r="C160" s="49">
        <f>IFERROR(__xludf.DUMMYFUNCTION("""COMPUTED_VALUE"""),205.0)</f>
        <v>205</v>
      </c>
      <c r="D160" s="50">
        <f>IFERROR(__xludf.DUMMYFUNCTION("""COMPUTED_VALUE"""),4.0)</f>
        <v>4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IFERROR(__xludf.DUMMYFUNCTION("""COMPUTED_VALUE"""),214.0)</f>
        <v>214</v>
      </c>
      <c r="N160" s="52">
        <f>IFERROR(__xludf.DUMMYFUNCTION("""COMPUTED_VALUE"""),4.0)</f>
        <v>4</v>
      </c>
    </row>
    <row r="161">
      <c r="A161" s="1"/>
      <c r="B161" s="48" t="str">
        <f>IFERROR(__xludf.DUMMYFUNCTION("""COMPUTED_VALUE"""),"Coco Yan")</f>
        <v>Coco Yan</v>
      </c>
      <c r="C161" s="49">
        <f>IFERROR(__xludf.DUMMYFUNCTION("""COMPUTED_VALUE"""),202.0)</f>
        <v>202</v>
      </c>
      <c r="D161" s="50">
        <f>IFERROR(__xludf.DUMMYFUNCTION("""COMPUTED_VALUE"""),2.0)</f>
        <v>2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IFERROR(__xludf.DUMMYFUNCTION("""COMPUTED_VALUE"""),211.0)</f>
        <v>211</v>
      </c>
      <c r="N161" s="52">
        <f>IFERROR(__xludf.DUMMYFUNCTION("""COMPUTED_VALUE"""),2.0)</f>
        <v>2</v>
      </c>
    </row>
    <row r="162">
      <c r="A162" s="1"/>
      <c r="B162" s="48" t="str">
        <f>IFERROR(__xludf.DUMMYFUNCTION("""COMPUTED_VALUE"""),"Savay Lieu")</f>
        <v>Savay Lieu</v>
      </c>
      <c r="C162" s="49">
        <f>IFERROR(__xludf.DUMMYFUNCTION("""COMPUTED_VALUE"""),198.0)</f>
        <v>198</v>
      </c>
      <c r="D162" s="50">
        <f>IFERROR(__xludf.DUMMYFUNCTION("""COMPUTED_VALUE"""),0.0)</f>
        <v>0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IFERROR(__xludf.DUMMYFUNCTION("""COMPUTED_VALUE"""),207.0)</f>
        <v>207</v>
      </c>
      <c r="N162" s="52">
        <f>IFERROR(__xludf.DUMMYFUNCTION("""COMPUTED_VALUE"""),0.0)</f>
        <v>0</v>
      </c>
    </row>
    <row r="163">
      <c r="A163" s="1"/>
      <c r="B163" s="48" t="str">
        <f>IFERROR(__xludf.DUMMYFUNCTION("""COMPUTED_VALUE"""),"Mihir Anand")</f>
        <v>Mihir Anand</v>
      </c>
      <c r="C163" s="49">
        <f>IFERROR(__xludf.DUMMYFUNCTION("""COMPUTED_VALUE"""),198.0)</f>
        <v>198</v>
      </c>
      <c r="D163" s="50">
        <f>IFERROR(__xludf.DUMMYFUNCTION("""COMPUTED_VALUE"""),0.0)</f>
        <v>0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IFERROR(__xludf.DUMMYFUNCTION("""COMPUTED_VALUE"""),207.0)</f>
        <v>207</v>
      </c>
      <c r="N163" s="52">
        <f>IFERROR(__xludf.DUMMYFUNCTION("""COMPUTED_VALUE"""),0.0)</f>
        <v>0</v>
      </c>
    </row>
    <row r="164">
      <c r="A164" s="1"/>
      <c r="B164" s="48" t="str">
        <f>IFERROR(__xludf.DUMMYFUNCTION("""COMPUTED_VALUE"""),"Manish Anand")</f>
        <v>Manish Anand</v>
      </c>
      <c r="C164" s="49">
        <f>IFERROR(__xludf.DUMMYFUNCTION("""COMPUTED_VALUE"""),198.0)</f>
        <v>198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IFERROR(__xludf.DUMMYFUNCTION("""COMPUTED_VALUE"""),207.0)</f>
        <v>207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IFERROR(__xludf.DUMMYFUNCTION("""COMPUTED_VALUE"""),"Fendi Purwadi")</f>
        <v>Fendi Purwadi</v>
      </c>
      <c r="C165" s="49">
        <f>IFERROR(__xludf.DUMMYFUNCTION("""COMPUTED_VALUE"""),198.0)</f>
        <v>198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IFERROR(__xludf.DUMMYFUNCTION("""COMPUTED_VALUE"""),207.0)</f>
        <v>207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IFERROR(__xludf.DUMMYFUNCTION("""COMPUTED_VALUE"""),"Jose Ortiz")</f>
        <v>Jose Ortiz</v>
      </c>
      <c r="C166" s="49">
        <f>IFERROR(__xludf.DUMMYFUNCTION("""COMPUTED_VALUE"""),195.0)</f>
        <v>195</v>
      </c>
      <c r="D166" s="50">
        <f>IFERROR(__xludf.DUMMYFUNCTION("""COMPUTED_VALUE"""),5.0)</f>
        <v>5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IFERROR(__xludf.DUMMYFUNCTION("""COMPUTED_VALUE"""),204.0)</f>
        <v>204</v>
      </c>
      <c r="N166" s="52">
        <f>IFERROR(__xludf.DUMMYFUNCTION("""COMPUTED_VALUE"""),5.0)</f>
        <v>5</v>
      </c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45269.0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22.0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18" t="s">
        <v>23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291.0</v>
      </c>
      <c r="D5" s="28">
        <v>31.0</v>
      </c>
      <c r="E5" s="30">
        <v>1.0</v>
      </c>
      <c r="F5" s="31">
        <v>1.0</v>
      </c>
      <c r="G5" s="27">
        <v>0.0</v>
      </c>
      <c r="H5" s="31">
        <v>4.0</v>
      </c>
      <c r="I5" s="31">
        <v>6.0</v>
      </c>
      <c r="J5" s="31">
        <v>1.0</v>
      </c>
      <c r="K5" s="32">
        <v>11.0</v>
      </c>
      <c r="L5" s="31">
        <v>1.0</v>
      </c>
      <c r="M5" s="27">
        <f t="shared" ref="M5:N5" si="1">C5+K5</f>
        <v>302</v>
      </c>
      <c r="N5" s="28">
        <f t="shared" si="1"/>
        <v>32</v>
      </c>
      <c r="O5" s="33" t="s">
        <v>37</v>
      </c>
      <c r="P5" s="33"/>
      <c r="Q5" s="31">
        <f>if(G5=13,1,0)+VLOOKUP(B5,'120223'!B:Q,16,false)</f>
        <v>1</v>
      </c>
      <c r="R5" s="31"/>
      <c r="S5" s="31">
        <f>if(G5=9,1,0)+VLOOKUP(B5,'120223'!B:S,18,false)</f>
        <v>6</v>
      </c>
    </row>
    <row r="6">
      <c r="A6" s="25">
        <f t="shared" ref="A6:A68" si="3">A5+1</f>
        <v>2</v>
      </c>
      <c r="B6" s="26" t="s">
        <v>42</v>
      </c>
      <c r="C6" s="27">
        <v>277.0</v>
      </c>
      <c r="D6" s="28">
        <v>26.0</v>
      </c>
      <c r="E6" s="30">
        <v>2.0</v>
      </c>
      <c r="F6" s="31">
        <v>1.0</v>
      </c>
      <c r="G6" s="27">
        <v>0.0</v>
      </c>
      <c r="H6" s="31">
        <v>6.0</v>
      </c>
      <c r="I6" s="31">
        <v>6.0</v>
      </c>
      <c r="J6" s="31">
        <v>6.0</v>
      </c>
      <c r="K6" s="32">
        <v>18.0</v>
      </c>
      <c r="L6" s="31">
        <v>3.0</v>
      </c>
      <c r="M6" s="27">
        <f t="shared" ref="M6:N6" si="2">C6+K6</f>
        <v>295</v>
      </c>
      <c r="N6" s="28">
        <f t="shared" si="2"/>
        <v>29</v>
      </c>
      <c r="O6" s="33" t="s">
        <v>37</v>
      </c>
      <c r="P6" s="33"/>
      <c r="Q6" s="31">
        <f>if(G6=13,1,0)+VLOOKUP(B6,'120223'!B:Q,16,false)</f>
        <v>0</v>
      </c>
      <c r="R6" s="31"/>
      <c r="S6" s="31">
        <f>if(G6=9,1,0)+VLOOKUP(B6,'120223'!B:S,18,false)</f>
        <v>8</v>
      </c>
    </row>
    <row r="7">
      <c r="A7" s="25">
        <f t="shared" si="3"/>
        <v>3</v>
      </c>
      <c r="B7" s="26" t="s">
        <v>47</v>
      </c>
      <c r="C7" s="27">
        <v>276.0</v>
      </c>
      <c r="D7" s="28">
        <v>26.0</v>
      </c>
      <c r="E7" s="30">
        <v>2.0</v>
      </c>
      <c r="F7" s="31">
        <v>1.0</v>
      </c>
      <c r="G7" s="27">
        <v>0.0</v>
      </c>
      <c r="H7" s="31">
        <v>4.0</v>
      </c>
      <c r="I7" s="31">
        <v>2.0</v>
      </c>
      <c r="J7" s="31">
        <v>6.0</v>
      </c>
      <c r="K7" s="32">
        <v>12.0</v>
      </c>
      <c r="L7" s="31">
        <v>1.0</v>
      </c>
      <c r="M7" s="27">
        <f t="shared" ref="M7:N7" si="4">C7+K7</f>
        <v>288</v>
      </c>
      <c r="N7" s="28">
        <f t="shared" si="4"/>
        <v>27</v>
      </c>
      <c r="O7" s="33" t="s">
        <v>37</v>
      </c>
      <c r="P7" s="33" t="s">
        <v>37</v>
      </c>
      <c r="Q7" s="31">
        <f>if(G7=13,1,0)+VLOOKUP(B7,'120223'!B:Q,16,false)</f>
        <v>0</v>
      </c>
      <c r="R7" s="31"/>
      <c r="S7" s="31">
        <f>if(G7=9,1,0)+VLOOKUP(B7,'120223'!B:S,18,false)</f>
        <v>10</v>
      </c>
    </row>
    <row r="8">
      <c r="A8" s="25">
        <f t="shared" si="3"/>
        <v>4</v>
      </c>
      <c r="B8" s="26" t="s">
        <v>52</v>
      </c>
      <c r="C8" s="27">
        <v>270.0</v>
      </c>
      <c r="D8" s="28">
        <v>24.0</v>
      </c>
      <c r="E8" s="30">
        <v>1.0</v>
      </c>
      <c r="F8" s="31">
        <v>1.0</v>
      </c>
      <c r="G8" s="27">
        <v>0.0</v>
      </c>
      <c r="H8" s="31">
        <v>6.0</v>
      </c>
      <c r="I8" s="31">
        <v>2.0</v>
      </c>
      <c r="J8" s="31">
        <v>1.0</v>
      </c>
      <c r="K8" s="32">
        <v>9.0</v>
      </c>
      <c r="L8" s="31">
        <v>1.0</v>
      </c>
      <c r="M8" s="27">
        <f t="shared" ref="M8:N8" si="5">C8+K8</f>
        <v>279</v>
      </c>
      <c r="N8" s="28">
        <f t="shared" si="5"/>
        <v>25</v>
      </c>
      <c r="O8" s="33" t="s">
        <v>37</v>
      </c>
      <c r="P8" s="33"/>
      <c r="Q8" s="31">
        <f>if(G8=13,1,0)+VLOOKUP(B8,'120223'!B:Q,16,false)</f>
        <v>0</v>
      </c>
      <c r="R8" s="31"/>
      <c r="S8" s="31">
        <f>if(G8=9,1,0)+VLOOKUP(B8,'120223'!B:S,18,false)</f>
        <v>2</v>
      </c>
    </row>
    <row r="9">
      <c r="A9" s="25">
        <f t="shared" si="3"/>
        <v>5</v>
      </c>
      <c r="B9" s="26" t="s">
        <v>49</v>
      </c>
      <c r="C9" s="27">
        <v>270.0</v>
      </c>
      <c r="D9" s="28">
        <v>23.0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279</v>
      </c>
      <c r="N9" s="28">
        <f t="shared" si="6"/>
        <v>23</v>
      </c>
      <c r="O9" s="33" t="s">
        <v>37</v>
      </c>
      <c r="P9" s="33"/>
      <c r="Q9" s="31">
        <f>if(G9=13,1,0)+VLOOKUP(B9,'120223'!B:Q,16,false)</f>
        <v>1</v>
      </c>
      <c r="R9" s="31"/>
      <c r="S9" s="31">
        <f>if(G9=9,1,0)+VLOOKUP(B9,'120223'!B:S,18,false)</f>
        <v>4</v>
      </c>
    </row>
    <row r="10">
      <c r="A10" s="25">
        <f t="shared" si="3"/>
        <v>6</v>
      </c>
      <c r="B10" s="26" t="s">
        <v>50</v>
      </c>
      <c r="C10" s="27">
        <v>269.0</v>
      </c>
      <c r="D10" s="28">
        <v>22.0</v>
      </c>
      <c r="E10" s="30">
        <v>2.0</v>
      </c>
      <c r="F10" s="31">
        <v>2.0</v>
      </c>
      <c r="G10" s="27">
        <v>0.0</v>
      </c>
      <c r="H10" s="31">
        <v>6.0</v>
      </c>
      <c r="I10" s="31">
        <v>7.0</v>
      </c>
      <c r="J10" s="31">
        <v>0.0</v>
      </c>
      <c r="K10" s="32">
        <v>13.0</v>
      </c>
      <c r="L10" s="31">
        <v>2.0</v>
      </c>
      <c r="M10" s="27">
        <f t="shared" ref="M10:N10" si="7">C10+K10</f>
        <v>282</v>
      </c>
      <c r="N10" s="28">
        <f t="shared" si="7"/>
        <v>24</v>
      </c>
      <c r="O10" s="33" t="s">
        <v>37</v>
      </c>
      <c r="P10" s="33" t="s">
        <v>37</v>
      </c>
      <c r="Q10" s="31">
        <f>if(G10=13,1,0)+VLOOKUP(B10,'120223'!B:Q,16,false)</f>
        <v>0</v>
      </c>
      <c r="R10" s="31"/>
      <c r="S10" s="31">
        <f>if(G10=9,1,0)+VLOOKUP(B10,'120223'!B:S,18,false)</f>
        <v>10</v>
      </c>
    </row>
    <row r="11">
      <c r="A11" s="25">
        <f t="shared" si="3"/>
        <v>7</v>
      </c>
      <c r="B11" s="26" t="s">
        <v>48</v>
      </c>
      <c r="C11" s="27">
        <v>266.0</v>
      </c>
      <c r="D11" s="28">
        <v>23.0</v>
      </c>
      <c r="E11" s="30">
        <v>2.0</v>
      </c>
      <c r="F11" s="31">
        <v>2.0</v>
      </c>
      <c r="G11" s="27">
        <v>0.0</v>
      </c>
      <c r="H11" s="31">
        <v>4.0</v>
      </c>
      <c r="I11" s="31">
        <v>7.0</v>
      </c>
      <c r="J11" s="31">
        <v>6.0</v>
      </c>
      <c r="K11" s="32">
        <v>17.0</v>
      </c>
      <c r="L11" s="31">
        <v>2.0</v>
      </c>
      <c r="M11" s="27">
        <f t="shared" ref="M11:N11" si="8">C11+K11</f>
        <v>283</v>
      </c>
      <c r="N11" s="28">
        <f t="shared" si="8"/>
        <v>25</v>
      </c>
      <c r="O11" s="33" t="s">
        <v>37</v>
      </c>
      <c r="P11" s="33" t="s">
        <v>37</v>
      </c>
      <c r="Q11" s="31">
        <f>if(G11=13,1,0)+VLOOKUP(B11,'120223'!B:Q,16,false)</f>
        <v>0</v>
      </c>
      <c r="R11" s="31"/>
      <c r="S11" s="31">
        <f>if(G11=9,1,0)+VLOOKUP(B11,'120223'!B:S,18,false)</f>
        <v>8</v>
      </c>
    </row>
    <row r="12">
      <c r="A12" s="25">
        <f t="shared" si="3"/>
        <v>8</v>
      </c>
      <c r="B12" s="26" t="s">
        <v>51</v>
      </c>
      <c r="C12" s="27">
        <v>265.0</v>
      </c>
      <c r="D12" s="28">
        <v>23.0</v>
      </c>
      <c r="E12" s="30">
        <v>2.0</v>
      </c>
      <c r="F12" s="31">
        <v>2.0</v>
      </c>
      <c r="G12" s="27">
        <v>0.0</v>
      </c>
      <c r="H12" s="31">
        <v>6.0</v>
      </c>
      <c r="I12" s="31">
        <v>5.0</v>
      </c>
      <c r="J12" s="31">
        <v>6.0</v>
      </c>
      <c r="K12" s="32">
        <v>17.0</v>
      </c>
      <c r="L12" s="31">
        <v>2.0</v>
      </c>
      <c r="M12" s="27">
        <f t="shared" ref="M12:N12" si="9">C12+K12</f>
        <v>282</v>
      </c>
      <c r="N12" s="28">
        <f t="shared" si="9"/>
        <v>25</v>
      </c>
      <c r="O12" s="33" t="s">
        <v>37</v>
      </c>
      <c r="P12" s="33"/>
      <c r="Q12" s="31">
        <f>if(G12=13,1,0)+VLOOKUP(B12,'120223'!B:Q,16,false)</f>
        <v>1</v>
      </c>
      <c r="R12" s="31"/>
      <c r="S12" s="31">
        <f>if(G12=9,1,0)+VLOOKUP(B12,'120223'!B:S,18,false)</f>
        <v>9</v>
      </c>
    </row>
    <row r="13">
      <c r="A13" s="25">
        <f t="shared" si="3"/>
        <v>9</v>
      </c>
      <c r="B13" s="26" t="s">
        <v>54</v>
      </c>
      <c r="C13" s="27">
        <v>260.0</v>
      </c>
      <c r="D13" s="28">
        <v>23.0</v>
      </c>
      <c r="E13" s="30">
        <v>3.0</v>
      </c>
      <c r="F13" s="31">
        <v>0.0</v>
      </c>
      <c r="G13" s="27">
        <v>9.0</v>
      </c>
      <c r="H13" s="31">
        <v>0.0</v>
      </c>
      <c r="I13" s="31">
        <v>0.0</v>
      </c>
      <c r="J13" s="31">
        <v>0.0</v>
      </c>
      <c r="K13" s="32">
        <v>9.0</v>
      </c>
      <c r="L13" s="31">
        <v>0.0</v>
      </c>
      <c r="M13" s="27">
        <f t="shared" ref="M13:N13" si="10">C13+K13</f>
        <v>269</v>
      </c>
      <c r="N13" s="28">
        <f t="shared" si="10"/>
        <v>23</v>
      </c>
      <c r="O13" s="33" t="s">
        <v>37</v>
      </c>
      <c r="P13" s="33"/>
      <c r="Q13" s="31">
        <f>if(G13=13,1,0)+VLOOKUP(B13,'120223'!B:Q,16,false)</f>
        <v>0</v>
      </c>
      <c r="R13" s="31"/>
      <c r="S13" s="31">
        <f>if(G13=9,1,0)+VLOOKUP(B13,'120223'!B:S,18,false)</f>
        <v>8</v>
      </c>
    </row>
    <row r="14">
      <c r="A14" s="25">
        <f t="shared" si="3"/>
        <v>10</v>
      </c>
      <c r="B14" s="26" t="s">
        <v>61</v>
      </c>
      <c r="C14" s="27">
        <v>260.0</v>
      </c>
      <c r="D14" s="28">
        <v>20.0</v>
      </c>
      <c r="E14" s="30">
        <v>1.0</v>
      </c>
      <c r="F14" s="31">
        <v>2.0</v>
      </c>
      <c r="G14" s="27">
        <v>0.0</v>
      </c>
      <c r="H14" s="31">
        <v>4.0</v>
      </c>
      <c r="I14" s="31">
        <v>5.0</v>
      </c>
      <c r="J14" s="31">
        <v>0.0</v>
      </c>
      <c r="K14" s="32">
        <v>9.0</v>
      </c>
      <c r="L14" s="31">
        <v>0.0</v>
      </c>
      <c r="M14" s="27">
        <f t="shared" ref="M14:N14" si="11">C14+K14</f>
        <v>269</v>
      </c>
      <c r="N14" s="28">
        <f t="shared" si="11"/>
        <v>20</v>
      </c>
      <c r="O14" s="33" t="s">
        <v>37</v>
      </c>
      <c r="P14" s="33"/>
      <c r="Q14" s="31">
        <f>if(G14=13,1,0)+VLOOKUP(B14,'120223'!B:Q,16,false)</f>
        <v>0</v>
      </c>
      <c r="R14" s="31"/>
      <c r="S14" s="31">
        <f>if(G14=9,1,0)+VLOOKUP(B14,'120223'!B:S,18,false)</f>
        <v>5</v>
      </c>
    </row>
    <row r="15">
      <c r="A15" s="25">
        <f t="shared" si="3"/>
        <v>11</v>
      </c>
      <c r="B15" s="26" t="s">
        <v>55</v>
      </c>
      <c r="C15" s="27">
        <v>259.0</v>
      </c>
      <c r="D15" s="28">
        <v>22.0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268</v>
      </c>
      <c r="N15" s="28">
        <f t="shared" si="12"/>
        <v>22</v>
      </c>
      <c r="O15" s="33" t="s">
        <v>37</v>
      </c>
      <c r="P15" s="33"/>
      <c r="Q15" s="31">
        <f>if(G15=13,1,0)+VLOOKUP(B15,'120223'!B:Q,16,false)</f>
        <v>0</v>
      </c>
      <c r="R15" s="31"/>
      <c r="S15" s="31">
        <f>if(G15=9,1,0)+VLOOKUP(B15,'120223'!B:S,18,false)</f>
        <v>10</v>
      </c>
    </row>
    <row r="16">
      <c r="A16" s="25">
        <f t="shared" si="3"/>
        <v>12</v>
      </c>
      <c r="B16" s="26" t="s">
        <v>53</v>
      </c>
      <c r="C16" s="27">
        <v>259.0</v>
      </c>
      <c r="D16" s="28">
        <v>20.0</v>
      </c>
      <c r="E16" s="30">
        <v>1.0</v>
      </c>
      <c r="F16" s="31">
        <v>3.0</v>
      </c>
      <c r="G16" s="27">
        <v>0.0</v>
      </c>
      <c r="H16" s="31">
        <v>3.0</v>
      </c>
      <c r="I16" s="31">
        <v>3.0</v>
      </c>
      <c r="J16" s="31">
        <v>6.0</v>
      </c>
      <c r="K16" s="32">
        <v>12.0</v>
      </c>
      <c r="L16" s="31">
        <v>0.0</v>
      </c>
      <c r="M16" s="27">
        <f t="shared" ref="M16:N16" si="13">C16+K16</f>
        <v>271</v>
      </c>
      <c r="N16" s="28">
        <f t="shared" si="13"/>
        <v>20</v>
      </c>
      <c r="O16" s="33" t="s">
        <v>37</v>
      </c>
      <c r="P16" s="33"/>
      <c r="Q16" s="31">
        <f>if(G16=13,1,0)+VLOOKUP(B16,'120223'!B:Q,16,false)</f>
        <v>0</v>
      </c>
      <c r="R16" s="31"/>
      <c r="S16" s="31">
        <f>if(G16=9,1,0)+VLOOKUP(B16,'120223'!B:S,18,false)</f>
        <v>6</v>
      </c>
    </row>
    <row r="17">
      <c r="A17" s="25">
        <f t="shared" si="3"/>
        <v>13</v>
      </c>
      <c r="B17" s="36" t="s">
        <v>62</v>
      </c>
      <c r="C17" s="27">
        <v>254.0</v>
      </c>
      <c r="D17" s="28">
        <v>18.0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263</v>
      </c>
      <c r="N17" s="28">
        <f t="shared" si="14"/>
        <v>18</v>
      </c>
      <c r="O17" s="33" t="s">
        <v>37</v>
      </c>
      <c r="P17" s="33"/>
      <c r="Q17" s="31">
        <f>if(G17=13,1,0)+VLOOKUP(B17,'120223'!B:Q,16,false)</f>
        <v>0</v>
      </c>
      <c r="R17" s="31"/>
      <c r="S17" s="31">
        <f>if(G17=9,1,0)+VLOOKUP(B17,'120223'!B:S,18,false)</f>
        <v>6</v>
      </c>
    </row>
    <row r="18">
      <c r="A18" s="25">
        <f t="shared" si="3"/>
        <v>14</v>
      </c>
      <c r="B18" s="36" t="s">
        <v>59</v>
      </c>
      <c r="C18" s="27">
        <v>253.0</v>
      </c>
      <c r="D18" s="28">
        <v>17.0</v>
      </c>
      <c r="E18" s="30">
        <v>1.0</v>
      </c>
      <c r="F18" s="31">
        <v>3.0</v>
      </c>
      <c r="G18" s="27">
        <v>0.0</v>
      </c>
      <c r="H18" s="31">
        <v>6.0</v>
      </c>
      <c r="I18" s="31">
        <v>6.0</v>
      </c>
      <c r="J18" s="31">
        <v>6.0</v>
      </c>
      <c r="K18" s="32">
        <v>18.0</v>
      </c>
      <c r="L18" s="31">
        <v>2.0</v>
      </c>
      <c r="M18" s="27">
        <f t="shared" ref="M18:N18" si="15">C18+K18</f>
        <v>271</v>
      </c>
      <c r="N18" s="28">
        <f t="shared" si="15"/>
        <v>19</v>
      </c>
      <c r="O18" s="33" t="s">
        <v>37</v>
      </c>
      <c r="P18" s="33"/>
      <c r="Q18" s="31">
        <f>if(G18=13,1,0)+VLOOKUP(B18,'120223'!B:Q,16,false)</f>
        <v>0</v>
      </c>
      <c r="R18" s="31"/>
      <c r="S18" s="31">
        <f>if(G18=9,1,0)+VLOOKUP(B18,'120223'!B:S,18,false)</f>
        <v>5</v>
      </c>
    </row>
    <row r="19">
      <c r="A19" s="25">
        <f t="shared" si="3"/>
        <v>15</v>
      </c>
      <c r="B19" s="26" t="s">
        <v>60</v>
      </c>
      <c r="C19" s="27">
        <v>251.0</v>
      </c>
      <c r="D19" s="28">
        <v>21.0</v>
      </c>
      <c r="E19" s="30">
        <v>1.0</v>
      </c>
      <c r="F19" s="31">
        <v>3.0</v>
      </c>
      <c r="G19" s="27">
        <v>0.0</v>
      </c>
      <c r="H19" s="31">
        <v>6.0</v>
      </c>
      <c r="I19" s="31">
        <v>3.0</v>
      </c>
      <c r="J19" s="31">
        <v>7.0</v>
      </c>
      <c r="K19" s="32">
        <v>16.0</v>
      </c>
      <c r="L19" s="31">
        <v>2.0</v>
      </c>
      <c r="M19" s="27">
        <f t="shared" ref="M19:N19" si="16">C19+K19</f>
        <v>267</v>
      </c>
      <c r="N19" s="28">
        <f t="shared" si="16"/>
        <v>23</v>
      </c>
      <c r="O19" s="33" t="s">
        <v>37</v>
      </c>
      <c r="P19" s="33"/>
      <c r="Q19" s="31">
        <f>if(G19=13,1,0)+VLOOKUP(B19,'120223'!B:Q,16,false)</f>
        <v>0</v>
      </c>
      <c r="R19" s="31"/>
      <c r="S19" s="31">
        <f>if(G19=9,1,0)+VLOOKUP(B19,'120223'!B:S,18,false)</f>
        <v>8</v>
      </c>
    </row>
    <row r="20">
      <c r="A20" s="25">
        <f t="shared" si="3"/>
        <v>16</v>
      </c>
      <c r="B20" s="36" t="s">
        <v>56</v>
      </c>
      <c r="C20" s="27">
        <v>250.0</v>
      </c>
      <c r="D20" s="28">
        <v>22.0</v>
      </c>
      <c r="E20" s="30">
        <v>1.0</v>
      </c>
      <c r="F20" s="31">
        <v>3.0</v>
      </c>
      <c r="G20" s="27">
        <v>0.0</v>
      </c>
      <c r="H20" s="31">
        <v>3.0</v>
      </c>
      <c r="I20" s="31">
        <v>6.0</v>
      </c>
      <c r="J20" s="31">
        <v>7.0</v>
      </c>
      <c r="K20" s="32">
        <v>16.0</v>
      </c>
      <c r="L20" s="31">
        <v>2.0</v>
      </c>
      <c r="M20" s="27">
        <f t="shared" ref="M20:N20" si="17">C20+K20</f>
        <v>266</v>
      </c>
      <c r="N20" s="28">
        <f t="shared" si="17"/>
        <v>24</v>
      </c>
      <c r="O20" s="33" t="s">
        <v>37</v>
      </c>
      <c r="P20" s="33" t="s">
        <v>37</v>
      </c>
      <c r="Q20" s="31">
        <f>if(G20=13,1,0)+VLOOKUP(B20,'120223'!B:Q,16,false)</f>
        <v>1</v>
      </c>
      <c r="R20" s="31"/>
      <c r="S20" s="31">
        <f>if(G20=9,1,0)+VLOOKUP(B20,'120223'!B:S,18,false)</f>
        <v>5</v>
      </c>
    </row>
    <row r="21">
      <c r="A21" s="25">
        <f t="shared" si="3"/>
        <v>17</v>
      </c>
      <c r="B21" s="26" t="s">
        <v>57</v>
      </c>
      <c r="C21" s="27">
        <v>249.0</v>
      </c>
      <c r="D21" s="28">
        <v>22.0</v>
      </c>
      <c r="E21" s="30">
        <v>2.0</v>
      </c>
      <c r="F21" s="31">
        <v>4.0</v>
      </c>
      <c r="G21" s="27">
        <v>0.0</v>
      </c>
      <c r="H21" s="31">
        <v>6.0</v>
      </c>
      <c r="I21" s="31">
        <v>2.0</v>
      </c>
      <c r="J21" s="31">
        <v>6.0</v>
      </c>
      <c r="K21" s="32">
        <v>14.0</v>
      </c>
      <c r="L21" s="31">
        <v>2.0</v>
      </c>
      <c r="M21" s="27">
        <f t="shared" ref="M21:N21" si="18">C21+K21</f>
        <v>263</v>
      </c>
      <c r="N21" s="28">
        <f t="shared" si="18"/>
        <v>24</v>
      </c>
      <c r="O21" s="33" t="s">
        <v>37</v>
      </c>
      <c r="P21" s="33"/>
      <c r="Q21" s="31">
        <f>if(G21=13,1,0)+VLOOKUP(B21,'120223'!B:Q,16,false)</f>
        <v>0</v>
      </c>
      <c r="R21" s="31"/>
      <c r="S21" s="31">
        <f>if(G21=9,1,0)+VLOOKUP(B21,'120223'!B:S,18,false)</f>
        <v>6</v>
      </c>
    </row>
    <row r="22">
      <c r="A22" s="25">
        <f t="shared" si="3"/>
        <v>18</v>
      </c>
      <c r="B22" s="26" t="s">
        <v>58</v>
      </c>
      <c r="C22" s="27">
        <v>249.0</v>
      </c>
      <c r="D22" s="28">
        <v>18.0</v>
      </c>
      <c r="E22" s="30">
        <v>1.0</v>
      </c>
      <c r="F22" s="31">
        <v>4.0</v>
      </c>
      <c r="G22" s="27">
        <v>0.0</v>
      </c>
      <c r="H22" s="31">
        <v>1.0</v>
      </c>
      <c r="I22" s="31">
        <v>6.0</v>
      </c>
      <c r="J22" s="31">
        <v>6.0</v>
      </c>
      <c r="K22" s="32">
        <v>13.0</v>
      </c>
      <c r="L22" s="31">
        <v>2.0</v>
      </c>
      <c r="M22" s="27">
        <f t="shared" ref="M22:N22" si="19">C22+K22</f>
        <v>262</v>
      </c>
      <c r="N22" s="28">
        <f t="shared" si="19"/>
        <v>20</v>
      </c>
      <c r="O22" s="33" t="s">
        <v>37</v>
      </c>
      <c r="P22" s="33"/>
      <c r="Q22" s="31">
        <f>if(G22=13,1,0)+VLOOKUP(B22,'120223'!B:Q,16,false)</f>
        <v>0</v>
      </c>
      <c r="R22" s="31"/>
      <c r="S22" s="31">
        <f>if(G22=9,1,0)+VLOOKUP(B22,'120223'!B:S,18,false)</f>
        <v>7</v>
      </c>
    </row>
    <row r="23">
      <c r="A23" s="25">
        <f t="shared" si="3"/>
        <v>19</v>
      </c>
      <c r="B23" s="36" t="s">
        <v>63</v>
      </c>
      <c r="C23" s="27">
        <v>248.0</v>
      </c>
      <c r="D23" s="28">
        <v>16.0</v>
      </c>
      <c r="E23" s="30">
        <v>1.0</v>
      </c>
      <c r="F23" s="31">
        <v>4.0</v>
      </c>
      <c r="G23" s="27">
        <v>0.0</v>
      </c>
      <c r="H23" s="31">
        <v>6.0</v>
      </c>
      <c r="I23" s="31">
        <v>6.0</v>
      </c>
      <c r="J23" s="31">
        <v>2.0</v>
      </c>
      <c r="K23" s="32">
        <v>14.0</v>
      </c>
      <c r="L23" s="31">
        <v>2.0</v>
      </c>
      <c r="M23" s="27">
        <f t="shared" ref="M23:N23" si="20">C23+K23</f>
        <v>262</v>
      </c>
      <c r="N23" s="28">
        <f t="shared" si="20"/>
        <v>18</v>
      </c>
      <c r="O23" s="33" t="s">
        <v>37</v>
      </c>
      <c r="P23" s="33"/>
      <c r="Q23" s="31">
        <f>if(G23=13,1,0)+VLOOKUP(B23,'120223'!B:Q,16,false)</f>
        <v>0</v>
      </c>
      <c r="R23" s="31"/>
      <c r="S23" s="31">
        <f>if(G23=9,1,0)+VLOOKUP(B23,'120223'!B:S,18,false)</f>
        <v>13</v>
      </c>
    </row>
    <row r="24">
      <c r="A24" s="25">
        <f t="shared" si="3"/>
        <v>20</v>
      </c>
      <c r="B24" s="26" t="s">
        <v>64</v>
      </c>
      <c r="C24" s="27">
        <v>246.0</v>
      </c>
      <c r="D24" s="28">
        <v>16.0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255</v>
      </c>
      <c r="N24" s="28">
        <f t="shared" si="21"/>
        <v>16</v>
      </c>
      <c r="O24" s="33" t="s">
        <v>37</v>
      </c>
      <c r="P24" s="33"/>
      <c r="Q24" s="31">
        <f>if(G24=13,1,0)+VLOOKUP(B24,'120223'!B:Q,16,false)</f>
        <v>0</v>
      </c>
      <c r="R24" s="31"/>
      <c r="S24" s="31">
        <f>if(G24=9,1,0)+VLOOKUP(B24,'120223'!B:S,18,false)</f>
        <v>14</v>
      </c>
    </row>
    <row r="25">
      <c r="A25" s="25">
        <f t="shared" si="3"/>
        <v>21</v>
      </c>
      <c r="B25" s="26" t="s">
        <v>65</v>
      </c>
      <c r="C25" s="27">
        <v>246.0</v>
      </c>
      <c r="D25" s="28">
        <v>15.0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255</v>
      </c>
      <c r="N25" s="28">
        <f t="shared" si="22"/>
        <v>15</v>
      </c>
      <c r="O25" s="33" t="s">
        <v>37</v>
      </c>
      <c r="P25" s="33" t="s">
        <v>37</v>
      </c>
      <c r="Q25" s="31">
        <f>if(G25=13,1,0)+VLOOKUP(B25,'120223'!B:Q,16,false)</f>
        <v>0</v>
      </c>
      <c r="R25" s="31"/>
      <c r="S25" s="31">
        <f>if(G25=9,1,0)+VLOOKUP(B25,'120223'!B:S,18,false)</f>
        <v>13</v>
      </c>
    </row>
    <row r="26">
      <c r="A26" s="25">
        <f t="shared" si="3"/>
        <v>22</v>
      </c>
      <c r="B26" s="36" t="s">
        <v>67</v>
      </c>
      <c r="C26" s="27">
        <v>245.0</v>
      </c>
      <c r="D26" s="28">
        <v>17.0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254</v>
      </c>
      <c r="N26" s="28">
        <f t="shared" si="23"/>
        <v>17</v>
      </c>
      <c r="O26" s="33" t="s">
        <v>37</v>
      </c>
      <c r="P26" s="33"/>
      <c r="Q26" s="31">
        <f>if(G26=13,1,0)+VLOOKUP(B26,'120223'!B:Q,16,false)</f>
        <v>0</v>
      </c>
      <c r="R26" s="31"/>
      <c r="S26" s="31">
        <f>if(G26=9,1,0)+VLOOKUP(B26,'120223'!B:S,18,false)</f>
        <v>12</v>
      </c>
    </row>
    <row r="27">
      <c r="A27" s="25">
        <f t="shared" si="3"/>
        <v>23</v>
      </c>
      <c r="B27" s="26" t="s">
        <v>70</v>
      </c>
      <c r="C27" s="27">
        <v>244.0</v>
      </c>
      <c r="D27" s="28">
        <v>21.0</v>
      </c>
      <c r="E27" s="30">
        <v>1.0</v>
      </c>
      <c r="F27" s="31">
        <v>4.0</v>
      </c>
      <c r="G27" s="27">
        <v>0.0</v>
      </c>
      <c r="H27" s="31">
        <v>1.0</v>
      </c>
      <c r="I27" s="31">
        <v>2.0</v>
      </c>
      <c r="J27" s="31">
        <v>2.0</v>
      </c>
      <c r="K27" s="32">
        <v>5.0</v>
      </c>
      <c r="L27" s="31">
        <v>0.0</v>
      </c>
      <c r="M27" s="27">
        <f t="shared" ref="M27:N27" si="24">C27+K27</f>
        <v>249</v>
      </c>
      <c r="N27" s="28">
        <f t="shared" si="24"/>
        <v>21</v>
      </c>
      <c r="O27" s="33" t="s">
        <v>37</v>
      </c>
      <c r="P27" s="33"/>
      <c r="Q27" s="31">
        <f>if(G27=13,1,0)+VLOOKUP(B27,'120223'!B:Q,16,false)</f>
        <v>0</v>
      </c>
      <c r="R27" s="31"/>
      <c r="S27" s="31">
        <f>if(G27=9,1,0)+VLOOKUP(B27,'120223'!B:S,18,false)</f>
        <v>7</v>
      </c>
      <c r="V27" s="30">
        <f>if(isna(VLOOKUP(B28,Checkin!A:B,2,false)),0,VLOOKUP(B28,Checkin!A:B,2,false))</f>
        <v>0</v>
      </c>
    </row>
    <row r="28">
      <c r="A28" s="25">
        <f t="shared" si="3"/>
        <v>24</v>
      </c>
      <c r="B28" s="26" t="s">
        <v>66</v>
      </c>
      <c r="C28" s="27">
        <v>244.0</v>
      </c>
      <c r="D28" s="28">
        <v>15.0</v>
      </c>
      <c r="E28" s="30">
        <v>1.0</v>
      </c>
      <c r="F28" s="31">
        <v>5.0</v>
      </c>
      <c r="G28" s="27">
        <v>0.0</v>
      </c>
      <c r="H28" s="31">
        <v>4.0</v>
      </c>
      <c r="I28" s="31">
        <v>4.0</v>
      </c>
      <c r="J28" s="31">
        <v>3.0</v>
      </c>
      <c r="K28" s="32">
        <v>11.0</v>
      </c>
      <c r="L28" s="31">
        <v>0.0</v>
      </c>
      <c r="M28" s="27">
        <f t="shared" ref="M28:N28" si="25">C28+K28</f>
        <v>255</v>
      </c>
      <c r="N28" s="28">
        <f t="shared" si="25"/>
        <v>15</v>
      </c>
      <c r="O28" s="33" t="s">
        <v>37</v>
      </c>
      <c r="P28" s="33"/>
      <c r="Q28" s="31">
        <f>if(G28=13,1,0)+VLOOKUP(B28,'120223'!B:Q,16,false)</f>
        <v>2</v>
      </c>
      <c r="R28" s="31"/>
      <c r="S28" s="31">
        <f>if(G28=9,1,0)+VLOOKUP(B28,'120223'!B:S,18,false)</f>
        <v>8</v>
      </c>
    </row>
    <row r="29">
      <c r="A29" s="25">
        <f t="shared" si="3"/>
        <v>25</v>
      </c>
      <c r="B29" s="26" t="s">
        <v>72</v>
      </c>
      <c r="C29" s="27">
        <v>242.0</v>
      </c>
      <c r="D29" s="28">
        <v>16.0</v>
      </c>
      <c r="E29" s="30">
        <v>3.0</v>
      </c>
      <c r="F29" s="31">
        <v>0.0</v>
      </c>
      <c r="G29" s="27">
        <v>0.0</v>
      </c>
      <c r="H29" s="31">
        <v>0.0</v>
      </c>
      <c r="I29" s="31">
        <v>0.0</v>
      </c>
      <c r="J29" s="31">
        <v>0.0</v>
      </c>
      <c r="K29" s="32">
        <v>0.0</v>
      </c>
      <c r="L29" s="31">
        <v>0.0</v>
      </c>
      <c r="M29" s="27">
        <f t="shared" ref="M29:N29" si="26">C29+K29</f>
        <v>242</v>
      </c>
      <c r="N29" s="28">
        <f t="shared" si="26"/>
        <v>16</v>
      </c>
      <c r="O29" s="33" t="s">
        <v>37</v>
      </c>
      <c r="P29" s="33"/>
      <c r="Q29" s="31">
        <f>if(G29=13,1,0)+VLOOKUP(B29,'120223'!B:Q,16,false)</f>
        <v>1</v>
      </c>
      <c r="R29" s="31"/>
      <c r="S29" s="31">
        <f>if(G29=9,1,0)+VLOOKUP(B29,'120223'!B:S,18,false)</f>
        <v>13</v>
      </c>
    </row>
    <row r="30">
      <c r="A30" s="25">
        <f t="shared" si="3"/>
        <v>26</v>
      </c>
      <c r="B30" s="26" t="s">
        <v>68</v>
      </c>
      <c r="C30" s="27">
        <v>239.0</v>
      </c>
      <c r="D30" s="28">
        <v>13.0</v>
      </c>
      <c r="E30" s="30">
        <v>1.0</v>
      </c>
      <c r="F30" s="31">
        <v>5.0</v>
      </c>
      <c r="G30" s="27">
        <v>0.0</v>
      </c>
      <c r="H30" s="31">
        <v>6.0</v>
      </c>
      <c r="I30" s="31">
        <v>6.0</v>
      </c>
      <c r="J30" s="31">
        <v>3.0</v>
      </c>
      <c r="K30" s="32">
        <v>15.0</v>
      </c>
      <c r="L30" s="31">
        <v>2.0</v>
      </c>
      <c r="M30" s="27">
        <f t="shared" ref="M30:N30" si="27">C30+K30</f>
        <v>254</v>
      </c>
      <c r="N30" s="28">
        <f t="shared" si="27"/>
        <v>15</v>
      </c>
      <c r="O30" s="33" t="s">
        <v>37</v>
      </c>
      <c r="P30" s="33"/>
      <c r="Q30" s="31">
        <f>if(G30=13,1,0)+VLOOKUP(B30,'120223'!B:Q,16,false)</f>
        <v>1</v>
      </c>
      <c r="R30" s="31"/>
      <c r="S30" s="31">
        <f>if(G30=9,1,0)+VLOOKUP(B30,'120223'!B:S,18,false)</f>
        <v>14</v>
      </c>
    </row>
    <row r="31">
      <c r="A31" s="25">
        <f t="shared" si="3"/>
        <v>27</v>
      </c>
      <c r="B31" s="36" t="s">
        <v>69</v>
      </c>
      <c r="C31" s="27">
        <v>235.0</v>
      </c>
      <c r="D31" s="28">
        <v>14.0</v>
      </c>
      <c r="E31" s="30">
        <v>1.0</v>
      </c>
      <c r="F31" s="31">
        <v>5.0</v>
      </c>
      <c r="G31" s="27">
        <v>0.0</v>
      </c>
      <c r="H31" s="31">
        <v>4.0</v>
      </c>
      <c r="I31" s="31">
        <v>6.0</v>
      </c>
      <c r="J31" s="31">
        <v>6.0</v>
      </c>
      <c r="K31" s="32">
        <v>16.0</v>
      </c>
      <c r="L31" s="31">
        <v>2.0</v>
      </c>
      <c r="M31" s="27">
        <f t="shared" ref="M31:N31" si="28">C31+K31</f>
        <v>251</v>
      </c>
      <c r="N31" s="28">
        <f t="shared" si="28"/>
        <v>16</v>
      </c>
      <c r="O31" s="33" t="s">
        <v>37</v>
      </c>
      <c r="P31" s="33" t="s">
        <v>37</v>
      </c>
      <c r="Q31" s="31">
        <f>if(G31=13,1,0)+VLOOKUP(B31,'120223'!B:Q,16,false)</f>
        <v>0</v>
      </c>
      <c r="R31" s="31"/>
      <c r="S31" s="31">
        <f>if(G31=9,1,0)+VLOOKUP(B31,'120223'!B:S,18,false)</f>
        <v>16</v>
      </c>
    </row>
    <row r="32">
      <c r="A32" s="25">
        <f t="shared" si="3"/>
        <v>28</v>
      </c>
      <c r="B32" s="26" t="s">
        <v>73</v>
      </c>
      <c r="C32" s="27">
        <v>232.0</v>
      </c>
      <c r="D32" s="28">
        <v>11.0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241</v>
      </c>
      <c r="N32" s="28">
        <f t="shared" si="29"/>
        <v>11</v>
      </c>
      <c r="O32" s="33" t="s">
        <v>37</v>
      </c>
      <c r="P32" s="33" t="s">
        <v>37</v>
      </c>
      <c r="Q32" s="31">
        <f>if(G32=13,1,0)+VLOOKUP(B32,'120223'!B:Q,16,false)</f>
        <v>0</v>
      </c>
      <c r="R32" s="31"/>
      <c r="S32" s="31">
        <f>if(G32=9,1,0)+VLOOKUP(B32,'120223'!B:S,18,false)</f>
        <v>15</v>
      </c>
    </row>
    <row r="33">
      <c r="A33" s="25">
        <f t="shared" si="3"/>
        <v>29</v>
      </c>
      <c r="B33" s="26" t="s">
        <v>75</v>
      </c>
      <c r="C33" s="27">
        <v>229.0</v>
      </c>
      <c r="D33" s="28">
        <v>15.0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238</v>
      </c>
      <c r="N33" s="28">
        <f t="shared" si="30"/>
        <v>15</v>
      </c>
      <c r="O33" s="33" t="s">
        <v>37</v>
      </c>
      <c r="P33" s="33"/>
      <c r="Q33" s="31">
        <f>if(G33=13,1,0)+VLOOKUP(B33,'120223'!B:Q,16,false)</f>
        <v>0</v>
      </c>
      <c r="R33" s="31"/>
      <c r="S33" s="31">
        <f>if(G33=9,1,0)+VLOOKUP(B33,'120223'!B:S,18,false)</f>
        <v>7</v>
      </c>
    </row>
    <row r="34">
      <c r="A34" s="25">
        <f t="shared" si="3"/>
        <v>30</v>
      </c>
      <c r="B34" s="26" t="s">
        <v>74</v>
      </c>
      <c r="C34" s="27">
        <v>228.0</v>
      </c>
      <c r="D34" s="28">
        <v>14.0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237</v>
      </c>
      <c r="N34" s="28">
        <f t="shared" si="31"/>
        <v>14</v>
      </c>
      <c r="O34" s="33" t="s">
        <v>37</v>
      </c>
      <c r="P34" s="33"/>
      <c r="Q34" s="31">
        <f>if(G34=13,1,0)+VLOOKUP(B34,'120223'!B:Q,16,false)</f>
        <v>0</v>
      </c>
      <c r="R34" s="31"/>
      <c r="S34" s="31">
        <f>if(G34=9,1,0)+VLOOKUP(B34,'120223'!B:S,18,false)</f>
        <v>8</v>
      </c>
    </row>
    <row r="35">
      <c r="A35" s="25">
        <f t="shared" si="3"/>
        <v>31</v>
      </c>
      <c r="B35" s="36" t="s">
        <v>77</v>
      </c>
      <c r="C35" s="27">
        <v>225.0</v>
      </c>
      <c r="D35" s="28">
        <v>10.0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234</v>
      </c>
      <c r="N35" s="28">
        <f t="shared" si="32"/>
        <v>10</v>
      </c>
      <c r="O35" s="33" t="s">
        <v>37</v>
      </c>
      <c r="P35" s="33"/>
      <c r="Q35" s="31">
        <f>if(G35=13,1,0)+VLOOKUP(B35,'120223'!B:Q,16,false)</f>
        <v>0</v>
      </c>
      <c r="R35" s="31"/>
      <c r="S35" s="31">
        <f>if(G35=9,1,0)+VLOOKUP(B35,'120223'!B:S,18,false)</f>
        <v>17</v>
      </c>
    </row>
    <row r="36">
      <c r="A36" s="25">
        <f t="shared" si="3"/>
        <v>32</v>
      </c>
      <c r="B36" s="26" t="s">
        <v>78</v>
      </c>
      <c r="C36" s="27">
        <v>224.0</v>
      </c>
      <c r="D36" s="28">
        <v>16.0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233</v>
      </c>
      <c r="N36" s="28">
        <f t="shared" si="33"/>
        <v>16</v>
      </c>
      <c r="O36" s="33" t="s">
        <v>37</v>
      </c>
      <c r="P36" s="33"/>
      <c r="Q36" s="31">
        <f>if(G36=13,1,0)+VLOOKUP(B36,'120223'!B:Q,16,false)</f>
        <v>0</v>
      </c>
      <c r="R36" s="31"/>
      <c r="S36" s="31">
        <f>if(G36=9,1,0)+VLOOKUP(B36,'120223'!B:S,18,false)</f>
        <v>9</v>
      </c>
    </row>
    <row r="37">
      <c r="A37" s="25">
        <f t="shared" si="3"/>
        <v>33</v>
      </c>
      <c r="B37" s="26" t="s">
        <v>71</v>
      </c>
      <c r="C37" s="27">
        <v>222.0</v>
      </c>
      <c r="D37" s="28">
        <v>11.0</v>
      </c>
      <c r="E37" s="30">
        <v>1.0</v>
      </c>
      <c r="F37" s="31">
        <v>5.0</v>
      </c>
      <c r="G37" s="27">
        <v>0.0</v>
      </c>
      <c r="H37" s="31">
        <v>6.0</v>
      </c>
      <c r="I37" s="31">
        <v>4.0</v>
      </c>
      <c r="J37" s="31">
        <v>6.0</v>
      </c>
      <c r="K37" s="32">
        <v>16.0</v>
      </c>
      <c r="L37" s="31">
        <v>2.0</v>
      </c>
      <c r="M37" s="27">
        <f t="shared" ref="M37:N37" si="34">C37+K37</f>
        <v>238</v>
      </c>
      <c r="N37" s="28">
        <f t="shared" si="34"/>
        <v>13</v>
      </c>
      <c r="O37" s="33" t="s">
        <v>37</v>
      </c>
      <c r="P37" s="33"/>
      <c r="Q37" s="31">
        <f>if(G37=13,1,0)+VLOOKUP(B37,'120223'!B:Q,16,false)</f>
        <v>1</v>
      </c>
      <c r="R37" s="31"/>
      <c r="S37" s="31">
        <f>if(G37=9,1,0)+VLOOKUP(B37,'120223'!B:S,18,false)</f>
        <v>15</v>
      </c>
    </row>
    <row r="38">
      <c r="A38" s="25">
        <f t="shared" si="3"/>
        <v>34</v>
      </c>
      <c r="B38" s="26" t="s">
        <v>80</v>
      </c>
      <c r="C38" s="27">
        <v>222.0</v>
      </c>
      <c r="D38" s="28">
        <v>10.0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231</v>
      </c>
      <c r="N38" s="28">
        <f t="shared" si="35"/>
        <v>10</v>
      </c>
      <c r="O38" s="33" t="s">
        <v>37</v>
      </c>
      <c r="P38" s="33"/>
      <c r="Q38" s="31">
        <f>if(G38=13,1,0)+VLOOKUP(B38,'120223'!B:Q,16,false)</f>
        <v>0</v>
      </c>
      <c r="R38" s="31"/>
      <c r="S38" s="31">
        <f>if(G38=9,1,0)+VLOOKUP(B38,'120223'!B:S,18,false)</f>
        <v>18</v>
      </c>
    </row>
    <row r="39">
      <c r="A39" s="25">
        <f t="shared" si="3"/>
        <v>35</v>
      </c>
      <c r="B39" s="26" t="s">
        <v>79</v>
      </c>
      <c r="C39" s="27">
        <v>219.0</v>
      </c>
      <c r="D39" s="28">
        <v>21.0</v>
      </c>
      <c r="E39" s="30">
        <v>2.0</v>
      </c>
      <c r="F39" s="31">
        <v>6.0</v>
      </c>
      <c r="G39" s="27">
        <v>0.0</v>
      </c>
      <c r="H39" s="31">
        <v>4.0</v>
      </c>
      <c r="I39" s="31">
        <v>7.0</v>
      </c>
      <c r="J39" s="31">
        <v>2.0</v>
      </c>
      <c r="K39" s="32">
        <v>13.0</v>
      </c>
      <c r="L39" s="31">
        <v>1.0</v>
      </c>
      <c r="M39" s="27">
        <f t="shared" ref="M39:N39" si="36">C39+K39</f>
        <v>232</v>
      </c>
      <c r="N39" s="28">
        <f t="shared" si="36"/>
        <v>22</v>
      </c>
      <c r="O39" s="33" t="s">
        <v>37</v>
      </c>
      <c r="P39" s="33"/>
      <c r="Q39" s="31">
        <f>if(G39=13,1,0)+VLOOKUP(B39,'120223'!B:Q,16,false)</f>
        <v>0</v>
      </c>
      <c r="R39" s="31"/>
      <c r="S39" s="31">
        <f>if(G39=9,1,0)+VLOOKUP(B39,'120223'!B:S,18,false)</f>
        <v>3</v>
      </c>
    </row>
    <row r="40">
      <c r="A40" s="25">
        <f t="shared" si="3"/>
        <v>36</v>
      </c>
      <c r="B40" s="36" t="s">
        <v>81</v>
      </c>
      <c r="C40" s="27">
        <v>218.0</v>
      </c>
      <c r="D40" s="28">
        <v>13.0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227</v>
      </c>
      <c r="N40" s="28">
        <f t="shared" si="37"/>
        <v>13</v>
      </c>
      <c r="O40" s="33" t="s">
        <v>37</v>
      </c>
      <c r="P40" s="33"/>
      <c r="Q40" s="31">
        <f>if(G40=13,1,0)+VLOOKUP(B40,'120223'!B:Q,16,false)</f>
        <v>0</v>
      </c>
      <c r="R40" s="31"/>
      <c r="S40" s="31">
        <f>if(G40=9,1,0)+VLOOKUP(B40,'120223'!B:S,18,false)</f>
        <v>7</v>
      </c>
    </row>
    <row r="41">
      <c r="A41" s="25">
        <f t="shared" si="3"/>
        <v>37</v>
      </c>
      <c r="B41" s="36" t="s">
        <v>83</v>
      </c>
      <c r="C41" s="27">
        <v>216.0</v>
      </c>
      <c r="D41" s="28">
        <v>9.0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225</v>
      </c>
      <c r="N41" s="28">
        <f t="shared" si="38"/>
        <v>9</v>
      </c>
      <c r="O41" s="33" t="s">
        <v>37</v>
      </c>
      <c r="P41" s="33"/>
      <c r="Q41" s="31">
        <f>if(G41=13,1,0)+VLOOKUP(B41,'120223'!B:Q,16,false)</f>
        <v>0</v>
      </c>
      <c r="R41" s="31"/>
      <c r="S41" s="31">
        <f>if(G41=9,1,0)+VLOOKUP(B41,'120223'!B:S,18,false)</f>
        <v>14</v>
      </c>
    </row>
    <row r="42">
      <c r="A42" s="25">
        <f t="shared" si="3"/>
        <v>38</v>
      </c>
      <c r="B42" s="36" t="s">
        <v>76</v>
      </c>
      <c r="C42" s="27">
        <v>212.0</v>
      </c>
      <c r="D42" s="28">
        <v>9.0</v>
      </c>
      <c r="E42" s="30">
        <v>1.0</v>
      </c>
      <c r="F42" s="31">
        <v>6.0</v>
      </c>
      <c r="G42" s="27">
        <v>0.0</v>
      </c>
      <c r="H42" s="31">
        <v>6.0</v>
      </c>
      <c r="I42" s="31">
        <v>7.0</v>
      </c>
      <c r="J42" s="31">
        <v>6.0</v>
      </c>
      <c r="K42" s="32">
        <v>19.0</v>
      </c>
      <c r="L42" s="31">
        <v>3.0</v>
      </c>
      <c r="M42" s="27">
        <f t="shared" ref="M42:N42" si="39">C42+K42</f>
        <v>231</v>
      </c>
      <c r="N42" s="28">
        <f t="shared" si="39"/>
        <v>12</v>
      </c>
      <c r="O42" s="33" t="s">
        <v>37</v>
      </c>
      <c r="P42" s="33"/>
      <c r="Q42" s="31">
        <f>if(G42=13,1,0)+VLOOKUP(B42,'120223'!B:Q,16,false)</f>
        <v>0</v>
      </c>
      <c r="R42" s="31"/>
      <c r="S42" s="31">
        <f>if(G42=9,1,0)+VLOOKUP(B42,'120223'!B:S,18,false)</f>
        <v>17</v>
      </c>
    </row>
    <row r="43">
      <c r="A43" s="25">
        <f t="shared" si="3"/>
        <v>39</v>
      </c>
      <c r="B43" s="36" t="s">
        <v>88</v>
      </c>
      <c r="C43" s="27">
        <v>211.0</v>
      </c>
      <c r="D43" s="28">
        <v>8.0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220</v>
      </c>
      <c r="N43" s="28">
        <f t="shared" si="40"/>
        <v>8</v>
      </c>
      <c r="O43" s="33" t="s">
        <v>37</v>
      </c>
      <c r="P43" s="33"/>
      <c r="Q43" s="31">
        <f>if(G43=13,1,0)+VLOOKUP(B43,'120223'!B:Q,16,false)</f>
        <v>0</v>
      </c>
      <c r="R43" s="31"/>
      <c r="S43" s="31">
        <f>if(G43=9,1,0)+VLOOKUP(B43,'120223'!B:S,18,false)</f>
        <v>16</v>
      </c>
    </row>
    <row r="44">
      <c r="A44" s="25">
        <f t="shared" si="3"/>
        <v>40</v>
      </c>
      <c r="B44" s="26" t="s">
        <v>87</v>
      </c>
      <c r="C44" s="27">
        <v>210.0</v>
      </c>
      <c r="D44" s="28">
        <v>10.0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219</v>
      </c>
      <c r="N44" s="28">
        <f t="shared" si="41"/>
        <v>10</v>
      </c>
      <c r="O44" s="33" t="s">
        <v>37</v>
      </c>
      <c r="P44" s="33"/>
      <c r="Q44" s="31">
        <f>if(G44=13,1,0)+VLOOKUP(B44,'120223'!B:Q,16,false)</f>
        <v>1</v>
      </c>
      <c r="R44" s="31"/>
      <c r="S44" s="31">
        <f>if(G44=9,1,0)+VLOOKUP(B44,'120223'!B:S,18,false)</f>
        <v>11</v>
      </c>
    </row>
    <row r="45">
      <c r="A45" s="25">
        <f t="shared" si="3"/>
        <v>41</v>
      </c>
      <c r="B45" s="36" t="s">
        <v>82</v>
      </c>
      <c r="C45" s="27">
        <v>210.0</v>
      </c>
      <c r="D45" s="28">
        <v>8.0</v>
      </c>
      <c r="E45" s="30">
        <v>1.0</v>
      </c>
      <c r="F45" s="31">
        <v>6.0</v>
      </c>
      <c r="G45" s="27">
        <v>0.0</v>
      </c>
      <c r="H45" s="31">
        <v>4.0</v>
      </c>
      <c r="I45" s="31">
        <v>6.0</v>
      </c>
      <c r="J45" s="31">
        <v>6.0</v>
      </c>
      <c r="K45" s="32">
        <v>16.0</v>
      </c>
      <c r="L45" s="31">
        <v>1.0</v>
      </c>
      <c r="M45" s="27">
        <f t="shared" ref="M45:N45" si="42">C45+K45</f>
        <v>226</v>
      </c>
      <c r="N45" s="28">
        <f t="shared" si="42"/>
        <v>9</v>
      </c>
      <c r="O45" s="33" t="s">
        <v>37</v>
      </c>
      <c r="P45" s="33"/>
      <c r="Q45" s="31">
        <f>if(G45=13,1,0)+VLOOKUP(B45,'120223'!B:Q,16,false)</f>
        <v>0</v>
      </c>
      <c r="R45" s="31"/>
      <c r="S45" s="31">
        <f>if(G45=9,1,0)+VLOOKUP(B45,'120223'!B:S,18,false)</f>
        <v>18</v>
      </c>
    </row>
    <row r="46">
      <c r="A46" s="25">
        <f t="shared" si="3"/>
        <v>42</v>
      </c>
      <c r="B46" s="26" t="s">
        <v>89</v>
      </c>
      <c r="C46" s="27">
        <v>209.0</v>
      </c>
      <c r="D46" s="28">
        <v>10.0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218</v>
      </c>
      <c r="N46" s="28">
        <f t="shared" si="43"/>
        <v>10</v>
      </c>
      <c r="O46" s="33" t="s">
        <v>37</v>
      </c>
      <c r="P46" s="33"/>
      <c r="Q46" s="31">
        <f>if(G46=13,1,0)+VLOOKUP(B46,'120223'!B:Q,16,false)</f>
        <v>2</v>
      </c>
      <c r="R46" s="31"/>
      <c r="S46" s="31">
        <f>if(G46=9,1,0)+VLOOKUP(B46,'120223'!B:S,18,false)</f>
        <v>8</v>
      </c>
    </row>
    <row r="47">
      <c r="A47" s="25">
        <f t="shared" si="3"/>
        <v>43</v>
      </c>
      <c r="B47" s="26" t="s">
        <v>86</v>
      </c>
      <c r="C47" s="27">
        <v>208.0</v>
      </c>
      <c r="D47" s="28">
        <v>10.0</v>
      </c>
      <c r="E47" s="30">
        <v>1.0</v>
      </c>
      <c r="F47" s="31">
        <v>6.0</v>
      </c>
      <c r="G47" s="27">
        <v>0.0</v>
      </c>
      <c r="H47" s="31">
        <v>6.0</v>
      </c>
      <c r="I47" s="31">
        <v>6.0</v>
      </c>
      <c r="J47" s="31">
        <v>2.0</v>
      </c>
      <c r="K47" s="32">
        <v>14.0</v>
      </c>
      <c r="L47" s="31">
        <v>1.0</v>
      </c>
      <c r="M47" s="27">
        <f t="shared" ref="M47:N47" si="44">C47+K47</f>
        <v>222</v>
      </c>
      <c r="N47" s="28">
        <f t="shared" si="44"/>
        <v>11</v>
      </c>
      <c r="O47" s="33" t="s">
        <v>37</v>
      </c>
      <c r="P47" s="33"/>
      <c r="Q47" s="31">
        <f>if(G47=13,1,0)+VLOOKUP(B47,'120223'!B:Q,16,false)</f>
        <v>0</v>
      </c>
      <c r="R47" s="31"/>
      <c r="S47" s="31">
        <f>if(G47=9,1,0)+VLOOKUP(B47,'120223'!B:S,18,false)</f>
        <v>12</v>
      </c>
    </row>
    <row r="48">
      <c r="A48" s="25">
        <f t="shared" si="3"/>
        <v>44</v>
      </c>
      <c r="B48" s="26" t="s">
        <v>90</v>
      </c>
      <c r="C48" s="27">
        <v>205.0</v>
      </c>
      <c r="D48" s="28">
        <v>12.0</v>
      </c>
      <c r="E48" s="30">
        <v>1.0</v>
      </c>
      <c r="F48" s="31">
        <v>7.0</v>
      </c>
      <c r="G48" s="27">
        <v>0.0</v>
      </c>
      <c r="H48" s="31">
        <v>4.0</v>
      </c>
      <c r="I48" s="31">
        <v>7.0</v>
      </c>
      <c r="J48" s="31">
        <v>1.0</v>
      </c>
      <c r="K48" s="32">
        <v>12.0</v>
      </c>
      <c r="L48" s="31">
        <v>1.0</v>
      </c>
      <c r="M48" s="27">
        <f t="shared" ref="M48:N48" si="45">C48+K48</f>
        <v>217</v>
      </c>
      <c r="N48" s="28">
        <f t="shared" si="45"/>
        <v>13</v>
      </c>
      <c r="O48" s="33" t="s">
        <v>37</v>
      </c>
      <c r="P48" s="33"/>
      <c r="Q48" s="31">
        <f>if(G48=13,1,0)+VLOOKUP(B48,'120223'!B:Q,16,false)</f>
        <v>0</v>
      </c>
      <c r="R48" s="31"/>
      <c r="S48" s="31">
        <f>if(G48=9,1,0)+VLOOKUP(B48,'120223'!B:S,18,false)</f>
        <v>10</v>
      </c>
    </row>
    <row r="49">
      <c r="A49" s="25">
        <f t="shared" si="3"/>
        <v>45</v>
      </c>
      <c r="B49" s="36" t="s">
        <v>85</v>
      </c>
      <c r="C49" s="27">
        <v>204.0</v>
      </c>
      <c r="D49" s="28">
        <v>15.0</v>
      </c>
      <c r="E49" s="30">
        <v>1.0</v>
      </c>
      <c r="F49" s="31">
        <v>7.0</v>
      </c>
      <c r="G49" s="27">
        <v>0.0</v>
      </c>
      <c r="H49" s="31">
        <v>6.0</v>
      </c>
      <c r="I49" s="31">
        <v>7.0</v>
      </c>
      <c r="J49" s="31">
        <v>6.0</v>
      </c>
      <c r="K49" s="32">
        <v>19.0</v>
      </c>
      <c r="L49" s="31">
        <v>3.0</v>
      </c>
      <c r="M49" s="27">
        <f t="shared" ref="M49:N49" si="46">C49+K49</f>
        <v>223</v>
      </c>
      <c r="N49" s="28">
        <f t="shared" si="46"/>
        <v>18</v>
      </c>
      <c r="O49" s="33" t="s">
        <v>37</v>
      </c>
      <c r="P49" s="33"/>
      <c r="Q49" s="31">
        <f>if(G49=13,1,0)+VLOOKUP(B49,'120223'!B:Q,16,false)</f>
        <v>0</v>
      </c>
      <c r="R49" s="31"/>
      <c r="S49" s="31">
        <f>if(G49=9,1,0)+VLOOKUP(B49,'120223'!B:S,18,false)</f>
        <v>9</v>
      </c>
    </row>
    <row r="50">
      <c r="A50" s="25">
        <f t="shared" si="3"/>
        <v>46</v>
      </c>
      <c r="B50" s="26" t="s">
        <v>91</v>
      </c>
      <c r="C50" s="27">
        <v>204.0</v>
      </c>
      <c r="D50" s="28">
        <v>5.0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213</v>
      </c>
      <c r="N50" s="28">
        <f t="shared" si="47"/>
        <v>5</v>
      </c>
      <c r="O50" s="33" t="s">
        <v>37</v>
      </c>
      <c r="P50" s="33"/>
      <c r="Q50" s="31">
        <f>if(G50=13,1,0)+VLOOKUP(B50,'120223'!B:Q,16,false)</f>
        <v>1</v>
      </c>
      <c r="R50" s="31"/>
      <c r="S50" s="31">
        <f>if(G50=9,1,0)+VLOOKUP(B50,'120223'!B:S,18,false)</f>
        <v>17</v>
      </c>
    </row>
    <row r="51">
      <c r="A51" s="25">
        <f t="shared" si="3"/>
        <v>47</v>
      </c>
      <c r="B51" s="36" t="s">
        <v>92</v>
      </c>
      <c r="C51" s="27">
        <v>204.0</v>
      </c>
      <c r="D51" s="28">
        <v>5.0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213</v>
      </c>
      <c r="N51" s="28">
        <f t="shared" si="48"/>
        <v>5</v>
      </c>
      <c r="O51" s="33" t="s">
        <v>37</v>
      </c>
      <c r="P51" s="33"/>
      <c r="Q51" s="31">
        <f>if(G51=13,1,0)+VLOOKUP(B51,'120223'!B:Q,16,false)</f>
        <v>0</v>
      </c>
      <c r="R51" s="31"/>
      <c r="S51" s="31">
        <f>if(G51=9,1,0)+VLOOKUP(B51,'120223'!B:S,18,false)</f>
        <v>19</v>
      </c>
    </row>
    <row r="52">
      <c r="A52" s="25">
        <f t="shared" si="3"/>
        <v>48</v>
      </c>
      <c r="B52" s="36" t="s">
        <v>93</v>
      </c>
      <c r="C52" s="27">
        <v>203.0</v>
      </c>
      <c r="D52" s="28">
        <v>5.0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212</v>
      </c>
      <c r="N52" s="28">
        <f t="shared" si="49"/>
        <v>5</v>
      </c>
      <c r="O52" s="33" t="s">
        <v>37</v>
      </c>
      <c r="P52" s="33"/>
      <c r="Q52" s="31">
        <f>if(G52=13,1,0)+VLOOKUP(B52,'120223'!B:Q,16,false)</f>
        <v>0</v>
      </c>
      <c r="R52" s="31"/>
      <c r="S52" s="31">
        <f>if(G52=9,1,0)+VLOOKUP(B52,'120223'!B:S,18,false)</f>
        <v>20</v>
      </c>
    </row>
    <row r="53">
      <c r="A53" s="25">
        <f t="shared" si="3"/>
        <v>49</v>
      </c>
      <c r="B53" s="36" t="s">
        <v>94</v>
      </c>
      <c r="C53" s="27">
        <v>201.0</v>
      </c>
      <c r="D53" s="28">
        <v>4.0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210</v>
      </c>
      <c r="N53" s="28">
        <f t="shared" si="50"/>
        <v>4</v>
      </c>
      <c r="O53" s="33" t="s">
        <v>37</v>
      </c>
      <c r="P53" s="33"/>
      <c r="Q53" s="31">
        <f>if(G53=13,1,0)+VLOOKUP(B53,'120223'!B:Q,16,false)</f>
        <v>0</v>
      </c>
      <c r="R53" s="31"/>
      <c r="S53" s="31">
        <f>if(G53=9,1,0)+VLOOKUP(B53,'120223'!B:S,18,false)</f>
        <v>17</v>
      </c>
    </row>
    <row r="54">
      <c r="A54" s="25">
        <f t="shared" si="3"/>
        <v>50</v>
      </c>
      <c r="B54" s="26" t="s">
        <v>95</v>
      </c>
      <c r="C54" s="27">
        <v>199.0</v>
      </c>
      <c r="D54" s="28">
        <v>6.0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208</v>
      </c>
      <c r="N54" s="28">
        <f t="shared" si="51"/>
        <v>6</v>
      </c>
      <c r="O54" s="33" t="s">
        <v>37</v>
      </c>
      <c r="P54" s="33" t="s">
        <v>37</v>
      </c>
      <c r="Q54" s="31">
        <f>if(G54=13,1,0)+VLOOKUP(B54,'120223'!B:Q,16,false)</f>
        <v>0</v>
      </c>
      <c r="R54" s="31"/>
      <c r="S54" s="31">
        <f>if(G54=9,1,0)+VLOOKUP(B54,'120223'!B:S,18,false)</f>
        <v>16</v>
      </c>
    </row>
    <row r="55">
      <c r="A55" s="25">
        <f t="shared" si="3"/>
        <v>51</v>
      </c>
      <c r="B55" s="36" t="s">
        <v>97</v>
      </c>
      <c r="C55" s="27">
        <v>198.0</v>
      </c>
      <c r="D55" s="28">
        <v>7.0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207</v>
      </c>
      <c r="N55" s="28">
        <f t="shared" si="52"/>
        <v>7</v>
      </c>
      <c r="O55" s="33" t="s">
        <v>37</v>
      </c>
      <c r="P55" s="33"/>
      <c r="Q55" s="31">
        <f>if(G55=13,1,0)+VLOOKUP(B55,'120223'!B:Q,16,false)</f>
        <v>0</v>
      </c>
      <c r="R55" s="31"/>
      <c r="S55" s="31">
        <f>if(G55=9,1,0)+VLOOKUP(B55,'120223'!B:S,18,false)</f>
        <v>16</v>
      </c>
    </row>
    <row r="56">
      <c r="A56" s="25">
        <f t="shared" si="3"/>
        <v>52</v>
      </c>
      <c r="B56" s="36" t="s">
        <v>98</v>
      </c>
      <c r="C56" s="27">
        <v>198.0</v>
      </c>
      <c r="D56" s="28">
        <v>3.0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207</v>
      </c>
      <c r="N56" s="28">
        <f t="shared" si="53"/>
        <v>3</v>
      </c>
      <c r="O56" s="33" t="s">
        <v>37</v>
      </c>
      <c r="P56" s="33"/>
      <c r="Q56" s="31">
        <f>if(G56=13,1,0)+VLOOKUP(B56,'120223'!B:Q,16,false)</f>
        <v>0</v>
      </c>
      <c r="R56" s="31"/>
      <c r="S56" s="31">
        <f>if(G56=9,1,0)+VLOOKUP(B56,'120223'!B:S,18,false)</f>
        <v>17</v>
      </c>
    </row>
    <row r="57">
      <c r="A57" s="25">
        <f t="shared" si="3"/>
        <v>53</v>
      </c>
      <c r="B57" s="36" t="s">
        <v>99</v>
      </c>
      <c r="C57" s="27">
        <v>198.0</v>
      </c>
      <c r="D57" s="28">
        <v>3.0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207</v>
      </c>
      <c r="N57" s="28">
        <f t="shared" si="54"/>
        <v>3</v>
      </c>
      <c r="O57" s="33" t="s">
        <v>37</v>
      </c>
      <c r="P57" s="33"/>
      <c r="Q57" s="31">
        <f>if(G57=13,1,0)+VLOOKUP(B57,'120223'!B:Q,16,false)</f>
        <v>0</v>
      </c>
      <c r="R57" s="31"/>
      <c r="S57" s="31">
        <f>if(G57=9,1,0)+VLOOKUP(B57,'120223'!B:S,18,false)</f>
        <v>18</v>
      </c>
    </row>
    <row r="58">
      <c r="A58" s="25">
        <f t="shared" si="3"/>
        <v>54</v>
      </c>
      <c r="B58" s="36" t="s">
        <v>101</v>
      </c>
      <c r="C58" s="27">
        <v>193.0</v>
      </c>
      <c r="D58" s="28">
        <v>2.0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202</v>
      </c>
      <c r="N58" s="28">
        <f t="shared" si="55"/>
        <v>2</v>
      </c>
      <c r="O58" s="33" t="s">
        <v>37</v>
      </c>
      <c r="P58" s="33"/>
      <c r="Q58" s="31">
        <f>if(G58=13,1,0)+VLOOKUP(B58,'120223'!B:Q,16,false)</f>
        <v>0</v>
      </c>
      <c r="R58" s="31"/>
      <c r="S58" s="31">
        <f>if(G58=9,1,0)+VLOOKUP(B58,'120223'!B:S,18,false)</f>
        <v>21</v>
      </c>
    </row>
    <row r="59">
      <c r="A59" s="25">
        <f t="shared" si="3"/>
        <v>55</v>
      </c>
      <c r="B59" s="36" t="s">
        <v>102</v>
      </c>
      <c r="C59" s="27">
        <v>193.0</v>
      </c>
      <c r="D59" s="28">
        <v>2.0</v>
      </c>
      <c r="E59" s="30">
        <v>3.0</v>
      </c>
      <c r="F59" s="31"/>
      <c r="G59" s="27">
        <v>9.0</v>
      </c>
      <c r="H59" s="31"/>
      <c r="I59" s="31"/>
      <c r="J59" s="31"/>
      <c r="K59" s="32">
        <v>9.0</v>
      </c>
      <c r="L59" s="31"/>
      <c r="M59" s="27">
        <f t="shared" ref="M59:N59" si="56">C59+K59</f>
        <v>202</v>
      </c>
      <c r="N59" s="28">
        <f t="shared" si="56"/>
        <v>2</v>
      </c>
      <c r="O59" s="33" t="s">
        <v>37</v>
      </c>
      <c r="P59" s="33"/>
      <c r="Q59" s="31">
        <f>if(G59=13,1,0)+VLOOKUP(B59,'120223'!B:Q,16,false)</f>
        <v>0</v>
      </c>
      <c r="R59" s="31"/>
      <c r="S59" s="31">
        <f>if(G59=9,1,0)+VLOOKUP(B59,'120223'!B:S,18,false)</f>
        <v>21</v>
      </c>
    </row>
    <row r="60">
      <c r="A60" s="25">
        <f t="shared" si="3"/>
        <v>56</v>
      </c>
      <c r="B60" s="44" t="s">
        <v>100</v>
      </c>
      <c r="C60" s="27">
        <v>192.0</v>
      </c>
      <c r="D60" s="28">
        <v>3.0</v>
      </c>
      <c r="E60" s="30">
        <v>1.0</v>
      </c>
      <c r="F60" s="31">
        <v>7.0</v>
      </c>
      <c r="G60" s="27">
        <v>0.0</v>
      </c>
      <c r="H60" s="31">
        <v>6.0</v>
      </c>
      <c r="I60" s="31">
        <v>6.0</v>
      </c>
      <c r="J60" s="31">
        <v>1.0</v>
      </c>
      <c r="K60" s="32">
        <v>13.0</v>
      </c>
      <c r="L60" s="31">
        <v>1.0</v>
      </c>
      <c r="M60" s="27">
        <f t="shared" ref="M60:N60" si="57">C60+K60</f>
        <v>205</v>
      </c>
      <c r="N60" s="28">
        <f t="shared" si="57"/>
        <v>4</v>
      </c>
      <c r="O60" s="33" t="s">
        <v>37</v>
      </c>
      <c r="P60" s="33"/>
      <c r="Q60" s="31">
        <f>if(G60=13,1,0)+VLOOKUP(B60,'120223'!B:Q,16,false)</f>
        <v>0</v>
      </c>
      <c r="R60" s="31"/>
      <c r="S60" s="31">
        <f>if(G60=9,1,0)+VLOOKUP(B60,'120223'!B:S,18,false)</f>
        <v>19</v>
      </c>
    </row>
    <row r="61">
      <c r="A61" s="25">
        <f t="shared" si="3"/>
        <v>57</v>
      </c>
      <c r="B61" s="38" t="s">
        <v>96</v>
      </c>
      <c r="C61" s="27">
        <v>191.0</v>
      </c>
      <c r="D61" s="28">
        <v>13.0</v>
      </c>
      <c r="E61" s="30">
        <v>1.0</v>
      </c>
      <c r="F61" s="31">
        <v>7.0</v>
      </c>
      <c r="G61" s="27">
        <v>0.0</v>
      </c>
      <c r="H61" s="31">
        <v>4.0</v>
      </c>
      <c r="I61" s="31">
        <v>6.0</v>
      </c>
      <c r="J61" s="31">
        <v>6.0</v>
      </c>
      <c r="K61" s="32">
        <v>16.0</v>
      </c>
      <c r="L61" s="31">
        <v>1.0</v>
      </c>
      <c r="M61" s="27">
        <f t="shared" ref="M61:N61" si="58">C61+K61</f>
        <v>207</v>
      </c>
      <c r="N61" s="28">
        <f t="shared" si="58"/>
        <v>14</v>
      </c>
      <c r="O61" s="33" t="s">
        <v>37</v>
      </c>
      <c r="P61" s="33"/>
      <c r="Q61" s="31">
        <f>if(G61=13,1,0)+VLOOKUP(B61,'120223'!B:Q,16,false)</f>
        <v>0</v>
      </c>
      <c r="R61" s="31"/>
      <c r="S61" s="31">
        <f>if(G61=9,1,0)+VLOOKUP(B61,'120223'!B:S,18,false)</f>
        <v>8</v>
      </c>
    </row>
    <row r="62">
      <c r="A62" s="25">
        <f t="shared" si="3"/>
        <v>58</v>
      </c>
      <c r="B62" s="26" t="s">
        <v>103</v>
      </c>
      <c r="C62" s="27">
        <v>189.0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198</v>
      </c>
      <c r="N62" s="28">
        <f t="shared" si="59"/>
        <v>0</v>
      </c>
      <c r="O62" s="33" t="s">
        <v>37</v>
      </c>
      <c r="P62" s="33"/>
      <c r="Q62" s="31">
        <f>if(G62=13,1,0)+VLOOKUP(B62,'120223'!B:Q,16,false)</f>
        <v>0</v>
      </c>
      <c r="R62" s="31"/>
      <c r="S62" s="31">
        <f>if(G62=9,1,0)+VLOOKUP(B62,'120223'!B:S,18,false)</f>
        <v>22</v>
      </c>
    </row>
    <row r="63">
      <c r="A63" s="25">
        <f t="shared" si="3"/>
        <v>59</v>
      </c>
      <c r="B63" s="36" t="s">
        <v>104</v>
      </c>
      <c r="C63" s="27">
        <v>189.0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198</v>
      </c>
      <c r="N63" s="28">
        <f t="shared" si="60"/>
        <v>0</v>
      </c>
      <c r="O63" s="33" t="s">
        <v>37</v>
      </c>
      <c r="P63" s="33"/>
      <c r="Q63" s="31">
        <f>if(G63=13,1,0)+VLOOKUP(B63,'120223'!B:Q,16,false)</f>
        <v>0</v>
      </c>
      <c r="R63" s="31"/>
      <c r="S63" s="31">
        <f>if(G63=9,1,0)+VLOOKUP(B63,'120223'!B:S,18,false)</f>
        <v>22</v>
      </c>
    </row>
    <row r="64">
      <c r="A64" s="25">
        <f t="shared" si="3"/>
        <v>60</v>
      </c>
      <c r="B64" s="26" t="s">
        <v>105</v>
      </c>
      <c r="C64" s="27">
        <v>189.0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198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if(G64=13,1,0)+VLOOKUP(B64,'120223'!B:Q,16,false)</f>
        <v>0</v>
      </c>
      <c r="R64" s="31"/>
      <c r="S64" s="31">
        <f>if(G64=9,1,0)+VLOOKUP(B64,'120223'!B:S,18,false)</f>
        <v>22</v>
      </c>
    </row>
    <row r="65">
      <c r="A65" s="25">
        <f t="shared" si="3"/>
        <v>61</v>
      </c>
      <c r="B65" s="26" t="s">
        <v>106</v>
      </c>
      <c r="C65" s="27">
        <v>189.0</v>
      </c>
      <c r="D65" s="28">
        <v>0.0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198</v>
      </c>
      <c r="N65" s="28">
        <f t="shared" si="62"/>
        <v>0</v>
      </c>
      <c r="O65" s="33" t="s">
        <v>37</v>
      </c>
      <c r="P65" s="33"/>
      <c r="Q65" s="31">
        <f>if(G65=13,1,0)+VLOOKUP(B65,'120223'!B:Q,16,false)</f>
        <v>0</v>
      </c>
      <c r="R65" s="31"/>
      <c r="S65" s="31">
        <f>if(G65=9,1,0)+VLOOKUP(B65,'120223'!B:S,18,false)</f>
        <v>22</v>
      </c>
    </row>
    <row r="66">
      <c r="A66" s="25">
        <f t="shared" si="3"/>
        <v>62</v>
      </c>
      <c r="B66" s="36" t="s">
        <v>107</v>
      </c>
      <c r="C66" s="27">
        <v>187.0</v>
      </c>
      <c r="D66" s="28">
        <v>2.0</v>
      </c>
      <c r="E66" s="30">
        <v>3.0</v>
      </c>
      <c r="F66" s="31"/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196</v>
      </c>
      <c r="N66" s="28">
        <f t="shared" si="63"/>
        <v>2</v>
      </c>
      <c r="O66" s="33" t="s">
        <v>37</v>
      </c>
      <c r="P66" s="33"/>
      <c r="Q66" s="31">
        <f>if(G66=13,1,0)+VLOOKUP(B66,'120223'!B:Q,16,false)</f>
        <v>0</v>
      </c>
      <c r="R66" s="31"/>
      <c r="S66" s="31">
        <f>if(G66=9,1,0)+VLOOKUP(B66,'120223'!B:S,18,false)</f>
        <v>20</v>
      </c>
    </row>
    <row r="67">
      <c r="A67" s="25">
        <f t="shared" si="3"/>
        <v>63</v>
      </c>
      <c r="B67" s="36" t="s">
        <v>108</v>
      </c>
      <c r="C67" s="27">
        <v>186.0</v>
      </c>
      <c r="D67" s="28">
        <v>5.0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195</v>
      </c>
      <c r="N67" s="28">
        <f t="shared" si="64"/>
        <v>5</v>
      </c>
      <c r="O67" s="33" t="s">
        <v>37</v>
      </c>
      <c r="P67" s="33"/>
      <c r="Q67" s="31">
        <f>if(G67=13,1,0)+VLOOKUP(B67,'120223'!B:Q,16,false)</f>
        <v>0</v>
      </c>
      <c r="R67" s="31"/>
      <c r="S67" s="31">
        <f>if(G67=9,1,0)+VLOOKUP(B67,'120223'!B:S,18,false)</f>
        <v>17</v>
      </c>
    </row>
    <row r="68">
      <c r="A68" s="25">
        <f t="shared" si="3"/>
        <v>64</v>
      </c>
      <c r="B68" s="36" t="s">
        <v>109</v>
      </c>
      <c r="C68" s="27">
        <v>183.0</v>
      </c>
      <c r="D68" s="28">
        <v>1.0</v>
      </c>
      <c r="E68" s="30">
        <v>3.0</v>
      </c>
      <c r="F68" s="31">
        <v>0.0</v>
      </c>
      <c r="G68" s="27">
        <v>9.0</v>
      </c>
      <c r="H68" s="31">
        <v>0.0</v>
      </c>
      <c r="I68" s="31">
        <v>0.0</v>
      </c>
      <c r="J68" s="31">
        <v>0.0</v>
      </c>
      <c r="K68" s="32">
        <v>9.0</v>
      </c>
      <c r="L68" s="31">
        <v>0.0</v>
      </c>
      <c r="M68" s="27">
        <f t="shared" ref="M68:N68" si="65">C68+K68</f>
        <v>192</v>
      </c>
      <c r="N68" s="28">
        <f t="shared" si="65"/>
        <v>1</v>
      </c>
      <c r="O68" s="33" t="s">
        <v>37</v>
      </c>
      <c r="P68" s="33" t="s">
        <v>37</v>
      </c>
      <c r="Q68" s="31">
        <f>if(G68=13,1,0)+VLOOKUP(B68,'120223'!B:Q,16,false)</f>
        <v>0</v>
      </c>
      <c r="R68" s="31"/>
      <c r="S68" s="31">
        <f>if(G68=9,1,0)+VLOOKUP(B68,'120223'!B:S,18,false)</f>
        <v>11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10</v>
      </c>
    </row>
    <row r="71">
      <c r="A71" s="1"/>
      <c r="C71" s="1"/>
      <c r="D71" s="1"/>
      <c r="E71" s="1"/>
      <c r="O71" s="34" t="s">
        <v>111</v>
      </c>
      <c r="P71" s="40">
        <f>P72-P70</f>
        <v>54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desc"",0)"),"Suleman Alidina")</f>
        <v>Suleman Alidina</v>
      </c>
      <c r="C77" s="46">
        <f>IFERROR(__xludf.DUMMYFUNCTION("""COMPUTED_VALUE"""),19.0)</f>
        <v>19</v>
      </c>
      <c r="D77" s="46">
        <f>IFERROR(__xludf.DUMMYFUNCTION("""COMPUTED_VALUE"""),3.0)</f>
        <v>3</v>
      </c>
      <c r="E77" s="1"/>
      <c r="K77" s="42"/>
      <c r="L77" s="43"/>
    </row>
    <row r="78">
      <c r="A78" s="1"/>
      <c r="B78" s="36" t="str">
        <f>IFERROR(__xludf.DUMMYFUNCTION("""COMPUTED_VALUE"""),"Elayaraja Thangaraj ")</f>
        <v>Elayaraja Thangaraj </v>
      </c>
      <c r="C78" s="46">
        <f>IFERROR(__xludf.DUMMYFUNCTION("""COMPUTED_VALUE"""),19.0)</f>
        <v>19</v>
      </c>
      <c r="D78" s="46">
        <f>IFERROR(__xludf.DUMMYFUNCTION("""COMPUTED_VALUE"""),3.0)</f>
        <v>3</v>
      </c>
      <c r="E78" s="1"/>
      <c r="L78" s="47"/>
    </row>
    <row r="79">
      <c r="A79" s="1"/>
      <c r="B79" s="36" t="str">
        <f>IFERROR(__xludf.DUMMYFUNCTION("""COMPUTED_VALUE"""),"Adrian Tay")</f>
        <v>Adrian Tay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</row>
    <row r="80">
      <c r="A80" s="1"/>
      <c r="B80" s="36" t="str">
        <f>IFERROR(__xludf.DUMMYFUNCTION("""COMPUTED_VALUE"""),"Lloyd Sagar")</f>
        <v>Lloyd Sagar</v>
      </c>
      <c r="C80" s="46">
        <f>IFERROR(__xludf.DUMMYFUNCTION("""COMPUTED_VALUE"""),18.0)</f>
        <v>18</v>
      </c>
      <c r="D80" s="46">
        <f>IFERROR(__xludf.DUMMYFUNCTION("""COMPUTED_VALUE"""),2.0)</f>
        <v>2</v>
      </c>
      <c r="E80" s="1"/>
    </row>
    <row r="81">
      <c r="A81" s="1"/>
      <c r="B81" s="36"/>
      <c r="C81" s="46"/>
      <c r="D81" s="46"/>
      <c r="E81" s="1"/>
      <c r="K81" s="34"/>
    </row>
    <row r="82">
      <c r="A82" s="1"/>
      <c r="B82" s="36"/>
      <c r="C82" s="46"/>
      <c r="D82" s="46"/>
      <c r="E82" s="1"/>
      <c r="K82" s="34"/>
    </row>
    <row r="83">
      <c r="A83" s="1"/>
      <c r="B83" s="36"/>
      <c r="C83" s="46"/>
      <c r="D83" s="46"/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IFERROR(__xludf.DUMMYFUNCTION("""COMPUTED_VALUE"""),291.0)</f>
        <v>291</v>
      </c>
      <c r="D90" s="50">
        <f>IFERROR(__xludf.DUMMYFUNCTION("""COMPUTED_VALUE"""),31.0)</f>
        <v>31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IFERROR(__xludf.DUMMYFUNCTION("""COMPUTED_VALUE"""),4.0)</f>
        <v>4</v>
      </c>
      <c r="I90" s="51">
        <f>IFERROR(__xludf.DUMMYFUNCTION("""COMPUTED_VALUE"""),6.0)</f>
        <v>6</v>
      </c>
      <c r="J90" s="51">
        <f>IFERROR(__xludf.DUMMYFUNCTION("""COMPUTED_VALUE"""),1.0)</f>
        <v>1</v>
      </c>
      <c r="K90" s="51">
        <f>IFERROR(__xludf.DUMMYFUNCTION("""COMPUTED_VALUE"""),11.0)</f>
        <v>11</v>
      </c>
      <c r="L90" s="51">
        <f>IFERROR(__xludf.DUMMYFUNCTION("""COMPUTED_VALUE"""),1.0)</f>
        <v>1</v>
      </c>
      <c r="M90" s="51">
        <f>IFERROR(__xludf.DUMMYFUNCTION("""COMPUTED_VALUE"""),302.0)</f>
        <v>302</v>
      </c>
      <c r="N90" s="52">
        <f>IFERROR(__xludf.DUMMYFUNCTION("""COMPUTED_VALUE"""),32.0)</f>
        <v>32</v>
      </c>
    </row>
    <row r="91">
      <c r="A91" s="1"/>
      <c r="B91" s="48" t="str">
        <f>IFERROR(__xludf.DUMMYFUNCTION("""COMPUTED_VALUE"""),"Adrian Tay")</f>
        <v>Adrian Tay</v>
      </c>
      <c r="C91" s="49">
        <f>IFERROR(__xludf.DUMMYFUNCTION("""COMPUTED_VALUE"""),277.0)</f>
        <v>277</v>
      </c>
      <c r="D91" s="50">
        <f>IFERROR(__xludf.DUMMYFUNCTION("""COMPUTED_VALUE"""),26.0)</f>
        <v>26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IFERROR(__xludf.DUMMYFUNCTION("""COMPUTED_VALUE"""),6.0)</f>
        <v>6</v>
      </c>
      <c r="I91" s="51">
        <f>IFERROR(__xludf.DUMMYFUNCTION("""COMPUTED_VALUE"""),6.0)</f>
        <v>6</v>
      </c>
      <c r="J91" s="51">
        <f>IFERROR(__xludf.DUMMYFUNCTION("""COMPUTED_VALUE"""),6.0)</f>
        <v>6</v>
      </c>
      <c r="K91" s="51">
        <f>IFERROR(__xludf.DUMMYFUNCTION("""COMPUTED_VALUE"""),18.0)</f>
        <v>18</v>
      </c>
      <c r="L91" s="51">
        <f>IFERROR(__xludf.DUMMYFUNCTION("""COMPUTED_VALUE"""),3.0)</f>
        <v>3</v>
      </c>
      <c r="M91" s="51">
        <f>IFERROR(__xludf.DUMMYFUNCTION("""COMPUTED_VALUE"""),295.0)</f>
        <v>295</v>
      </c>
      <c r="N91" s="52">
        <f>IFERROR(__xludf.DUMMYFUNCTION("""COMPUTED_VALUE"""),29.0)</f>
        <v>29</v>
      </c>
    </row>
    <row r="92">
      <c r="A92" s="1"/>
      <c r="B92" s="48" t="str">
        <f>IFERROR(__xludf.DUMMYFUNCTION("""COMPUTED_VALUE"""),"Robert Chang")</f>
        <v>Robert Chang</v>
      </c>
      <c r="C92" s="49">
        <f>IFERROR(__xludf.DUMMYFUNCTION("""COMPUTED_VALUE"""),276.0)</f>
        <v>276</v>
      </c>
      <c r="D92" s="50">
        <f>IFERROR(__xludf.DUMMYFUNCTION("""COMPUTED_VALUE"""),26.0)</f>
        <v>26</v>
      </c>
      <c r="E92" s="49">
        <f>IFERROR(__xludf.DUMMYFUNCTION("""COMPUTED_VALUE"""),2.0)</f>
        <v>2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IFERROR(__xludf.DUMMYFUNCTION("""COMPUTED_VALUE"""),4.0)</f>
        <v>4</v>
      </c>
      <c r="I92" s="51">
        <f>IFERROR(__xludf.DUMMYFUNCTION("""COMPUTED_VALUE"""),2.0)</f>
        <v>2</v>
      </c>
      <c r="J92" s="51">
        <f>IFERROR(__xludf.DUMMYFUNCTION("""COMPUTED_VALUE"""),6.0)</f>
        <v>6</v>
      </c>
      <c r="K92" s="51">
        <f>IFERROR(__xludf.DUMMYFUNCTION("""COMPUTED_VALUE"""),12.0)</f>
        <v>12</v>
      </c>
      <c r="L92" s="51">
        <f>IFERROR(__xludf.DUMMYFUNCTION("""COMPUTED_VALUE"""),1.0)</f>
        <v>1</v>
      </c>
      <c r="M92" s="51">
        <f>IFERROR(__xludf.DUMMYFUNCTION("""COMPUTED_VALUE"""),288.0)</f>
        <v>288</v>
      </c>
      <c r="N92" s="52">
        <f>IFERROR(__xludf.DUMMYFUNCTION("""COMPUTED_VALUE"""),27.0)</f>
        <v>27</v>
      </c>
    </row>
    <row r="93">
      <c r="A93" s="1"/>
      <c r="B93" s="48" t="str">
        <f>IFERROR(__xludf.DUMMYFUNCTION("""COMPUTED_VALUE"""),"Pavan Akkimsetty")</f>
        <v>Pavan Akkimsetty</v>
      </c>
      <c r="C93" s="49">
        <f>IFERROR(__xludf.DUMMYFUNCTION("""COMPUTED_VALUE"""),270.0)</f>
        <v>270</v>
      </c>
      <c r="D93" s="50">
        <f>IFERROR(__xludf.DUMMYFUNCTION("""COMPUTED_VALUE"""),24.0)</f>
        <v>24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IFERROR(__xludf.DUMMYFUNCTION("""COMPUTED_VALUE"""),6.0)</f>
        <v>6</v>
      </c>
      <c r="I93" s="51">
        <f>IFERROR(__xludf.DUMMYFUNCTION("""COMPUTED_VALUE"""),2.0)</f>
        <v>2</v>
      </c>
      <c r="J93" s="51">
        <f>IFERROR(__xludf.DUMMYFUNCTION("""COMPUTED_VALUE"""),1.0)</f>
        <v>1</v>
      </c>
      <c r="K93" s="51">
        <f>IFERROR(__xludf.DUMMYFUNCTION("""COMPUTED_VALUE"""),9.0)</f>
        <v>9</v>
      </c>
      <c r="L93" s="51">
        <f>IFERROR(__xludf.DUMMYFUNCTION("""COMPUTED_VALUE"""),1.0)</f>
        <v>1</v>
      </c>
      <c r="M93" s="51">
        <f>IFERROR(__xludf.DUMMYFUNCTION("""COMPUTED_VALUE"""),279.0)</f>
        <v>279</v>
      </c>
      <c r="N93" s="52">
        <f>IFERROR(__xludf.DUMMYFUNCTION("""COMPUTED_VALUE"""),25.0)</f>
        <v>25</v>
      </c>
    </row>
    <row r="94">
      <c r="A94" s="1"/>
      <c r="B94" s="53" t="str">
        <f>IFERROR(__xludf.DUMMYFUNCTION("""COMPUTED_VALUE"""),"Matthew Huang")</f>
        <v>Matthew Huang</v>
      </c>
      <c r="C94" s="54">
        <f>IFERROR(__xludf.DUMMYFUNCTION("""COMPUTED_VALUE"""),269.0)</f>
        <v>269</v>
      </c>
      <c r="D94" s="55">
        <f>IFERROR(__xludf.DUMMYFUNCTION("""COMPUTED_VALUE"""),22.0)</f>
        <v>22</v>
      </c>
      <c r="E94" s="54">
        <f>IFERROR(__xludf.DUMMYFUNCTION("""COMPUTED_VALUE"""),2.0)</f>
        <v>2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IFERROR(__xludf.DUMMYFUNCTION("""COMPUTED_VALUE"""),7.0)</f>
        <v>7</v>
      </c>
      <c r="J94" s="56">
        <f>IFERROR(__xludf.DUMMYFUNCTION("""COMPUTED_VALUE"""),0.0)</f>
        <v>0</v>
      </c>
      <c r="K94" s="56">
        <f>IFERROR(__xludf.DUMMYFUNCTION("""COMPUTED_VALUE"""),13.0)</f>
        <v>13</v>
      </c>
      <c r="L94" s="56">
        <f>IFERROR(__xludf.DUMMYFUNCTION("""COMPUTED_VALUE"""),2.0)</f>
        <v>2</v>
      </c>
      <c r="M94" s="56">
        <f>IFERROR(__xludf.DUMMYFUNCTION("""COMPUTED_VALUE"""),282.0)</f>
        <v>282</v>
      </c>
      <c r="N94" s="57">
        <f>IFERROR(__xludf.DUMMYFUNCTION("""COMPUTED_VALUE"""),24.0)</f>
        <v>24</v>
      </c>
    </row>
    <row r="95">
      <c r="A95" s="1"/>
      <c r="B95" s="53" t="str">
        <f>IFERROR(__xludf.DUMMYFUNCTION("""COMPUTED_VALUE"""),"Pulkit Mathur")</f>
        <v>Pulkit Mathur</v>
      </c>
      <c r="C95" s="54">
        <f>IFERROR(__xludf.DUMMYFUNCTION("""COMPUTED_VALUE"""),266.0)</f>
        <v>266</v>
      </c>
      <c r="D95" s="55">
        <f>IFERROR(__xludf.DUMMYFUNCTION("""COMPUTED_VALUE"""),23.0)</f>
        <v>23</v>
      </c>
      <c r="E95" s="54">
        <f>IFERROR(__xludf.DUMMYFUNCTION("""COMPUTED_VALUE"""),2.0)</f>
        <v>2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IFERROR(__xludf.DUMMYFUNCTION("""COMPUTED_VALUE"""),4.0)</f>
        <v>4</v>
      </c>
      <c r="I95" s="56">
        <f>IFERROR(__xludf.DUMMYFUNCTION("""COMPUTED_VALUE"""),7.0)</f>
        <v>7</v>
      </c>
      <c r="J95" s="56">
        <f>IFERROR(__xludf.DUMMYFUNCTION("""COMPUTED_VALUE"""),6.0)</f>
        <v>6</v>
      </c>
      <c r="K95" s="56">
        <f>IFERROR(__xludf.DUMMYFUNCTION("""COMPUTED_VALUE"""),17.0)</f>
        <v>17</v>
      </c>
      <c r="L95" s="56">
        <f>IFERROR(__xludf.DUMMYFUNCTION("""COMPUTED_VALUE"""),2.0)</f>
        <v>2</v>
      </c>
      <c r="M95" s="56">
        <f>IFERROR(__xludf.DUMMYFUNCTION("""COMPUTED_VALUE"""),283.0)</f>
        <v>283</v>
      </c>
      <c r="N95" s="57">
        <f>IFERROR(__xludf.DUMMYFUNCTION("""COMPUTED_VALUE"""),25.0)</f>
        <v>25</v>
      </c>
    </row>
    <row r="96">
      <c r="A96" s="1"/>
      <c r="B96" s="53" t="str">
        <f>IFERROR(__xludf.DUMMYFUNCTION("""COMPUTED_VALUE"""),"Lam Bui")</f>
        <v>Lam Bui</v>
      </c>
      <c r="C96" s="54">
        <f>IFERROR(__xludf.DUMMYFUNCTION("""COMPUTED_VALUE"""),265.0)</f>
        <v>265</v>
      </c>
      <c r="D96" s="55">
        <f>IFERROR(__xludf.DUMMYFUNCTION("""COMPUTED_VALUE"""),23.0)</f>
        <v>23</v>
      </c>
      <c r="E96" s="54">
        <f>IFERROR(__xludf.DUMMYFUNCTION("""COMPUTED_VALUE"""),2.0)</f>
        <v>2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IFERROR(__xludf.DUMMYFUNCTION("""COMPUTED_VALUE"""),6.0)</f>
        <v>6</v>
      </c>
      <c r="I96" s="56">
        <f>IFERROR(__xludf.DUMMYFUNCTION("""COMPUTED_VALUE"""),5.0)</f>
        <v>5</v>
      </c>
      <c r="J96" s="56">
        <f>IFERROR(__xludf.DUMMYFUNCTION("""COMPUTED_VALUE"""),6.0)</f>
        <v>6</v>
      </c>
      <c r="K96" s="56">
        <f>IFERROR(__xludf.DUMMYFUNCTION("""COMPUTED_VALUE"""),17.0)</f>
        <v>17</v>
      </c>
      <c r="L96" s="56">
        <f>IFERROR(__xludf.DUMMYFUNCTION("""COMPUTED_VALUE"""),2.0)</f>
        <v>2</v>
      </c>
      <c r="M96" s="56">
        <f>IFERROR(__xludf.DUMMYFUNCTION("""COMPUTED_VALUE"""),282.0)</f>
        <v>282</v>
      </c>
      <c r="N96" s="57">
        <f>IFERROR(__xludf.DUMMYFUNCTION("""COMPUTED_VALUE"""),25.0)</f>
        <v>25</v>
      </c>
    </row>
    <row r="97">
      <c r="A97" s="1"/>
      <c r="B97" s="53" t="str">
        <f>IFERROR(__xludf.DUMMYFUNCTION("""COMPUTED_VALUE"""),"Jonathan Phan")</f>
        <v>Jonathan Phan</v>
      </c>
      <c r="C97" s="54">
        <f>IFERROR(__xludf.DUMMYFUNCTION("""COMPUTED_VALUE"""),260.0)</f>
        <v>260</v>
      </c>
      <c r="D97" s="55">
        <f>IFERROR(__xludf.DUMMYFUNCTION("""COMPUTED_VALUE"""),20.0)</f>
        <v>20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IFERROR(__xludf.DUMMYFUNCTION("""COMPUTED_VALUE"""),4.0)</f>
        <v>4</v>
      </c>
      <c r="I97" s="56">
        <f>IFERROR(__xludf.DUMMYFUNCTION("""COMPUTED_VALUE"""),5.0)</f>
        <v>5</v>
      </c>
      <c r="J97" s="56">
        <f>IFERROR(__xludf.DUMMYFUNCTION("""COMPUTED_VALUE"""),0.0)</f>
        <v>0</v>
      </c>
      <c r="K97" s="56">
        <f>IFERROR(__xludf.DUMMYFUNCTION("""COMPUTED_VALUE"""),9.0)</f>
        <v>9</v>
      </c>
      <c r="L97" s="56">
        <f>IFERROR(__xludf.DUMMYFUNCTION("""COMPUTED_VALUE"""),0.0)</f>
        <v>0</v>
      </c>
      <c r="M97" s="56">
        <f>IFERROR(__xludf.DUMMYFUNCTION("""COMPUTED_VALUE"""),269.0)</f>
        <v>269</v>
      </c>
      <c r="N97" s="57">
        <f>IFERROR(__xludf.DUMMYFUNCTION("""COMPUTED_VALUE"""),20.0)</f>
        <v>20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IFERROR(__xludf.DUMMYFUNCTION("""COMPUTED_VALUE"""),259.0)</f>
        <v>259</v>
      </c>
      <c r="D98" s="50">
        <f>IFERROR(__xludf.DUMMYFUNCTION("""COMPUTED_VALUE"""),20.0)</f>
        <v>20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IFERROR(__xludf.DUMMYFUNCTION("""COMPUTED_VALUE"""),3.0)</f>
        <v>3</v>
      </c>
      <c r="I98" s="51">
        <f>IFERROR(__xludf.DUMMYFUNCTION("""COMPUTED_VALUE"""),3.0)</f>
        <v>3</v>
      </c>
      <c r="J98" s="51">
        <f>IFERROR(__xludf.DUMMYFUNCTION("""COMPUTED_VALUE"""),6.0)</f>
        <v>6</v>
      </c>
      <c r="K98" s="51">
        <f>IFERROR(__xludf.DUMMYFUNCTION("""COMPUTED_VALUE"""),12.0)</f>
        <v>12</v>
      </c>
      <c r="L98" s="51">
        <f>IFERROR(__xludf.DUMMYFUNCTION("""COMPUTED_VALUE"""),0.0)</f>
        <v>0</v>
      </c>
      <c r="M98" s="51">
        <f>IFERROR(__xludf.DUMMYFUNCTION("""COMPUTED_VALUE"""),271.0)</f>
        <v>271</v>
      </c>
      <c r="N98" s="52">
        <f>IFERROR(__xludf.DUMMYFUNCTION("""COMPUTED_VALUE"""),20.0)</f>
        <v>20</v>
      </c>
    </row>
    <row r="99">
      <c r="A99" s="1"/>
      <c r="B99" s="48" t="str">
        <f>IFERROR(__xludf.DUMMYFUNCTION("""COMPUTED_VALUE"""),"Lloyd Sagar")</f>
        <v>Lloyd Sagar</v>
      </c>
      <c r="C99" s="49">
        <f>IFERROR(__xludf.DUMMYFUNCTION("""COMPUTED_VALUE"""),253.0)</f>
        <v>253</v>
      </c>
      <c r="D99" s="50">
        <f>IFERROR(__xludf.DUMMYFUNCTION("""COMPUTED_VALUE"""),17.0)</f>
        <v>17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IFERROR(__xludf.DUMMYFUNCTION("""COMPUTED_VALUE"""),6.0)</f>
        <v>6</v>
      </c>
      <c r="I99" s="51">
        <f>IFERROR(__xludf.DUMMYFUNCTION("""COMPUTED_VALUE"""),6.0)</f>
        <v>6</v>
      </c>
      <c r="J99" s="51">
        <f>IFERROR(__xludf.DUMMYFUNCTION("""COMPUTED_VALUE"""),6.0)</f>
        <v>6</v>
      </c>
      <c r="K99" s="51">
        <f>IFERROR(__xludf.DUMMYFUNCTION("""COMPUTED_VALUE"""),18.0)</f>
        <v>18</v>
      </c>
      <c r="L99" s="51">
        <f>IFERROR(__xludf.DUMMYFUNCTION("""COMPUTED_VALUE"""),2.0)</f>
        <v>2</v>
      </c>
      <c r="M99" s="51">
        <f>IFERROR(__xludf.DUMMYFUNCTION("""COMPUTED_VALUE"""),271.0)</f>
        <v>271</v>
      </c>
      <c r="N99" s="52">
        <f>IFERROR(__xludf.DUMMYFUNCTION("""COMPUTED_VALUE"""),19.0)</f>
        <v>19</v>
      </c>
    </row>
    <row r="100">
      <c r="A100" s="1"/>
      <c r="B100" s="48" t="str">
        <f>IFERROR(__xludf.DUMMYFUNCTION("""COMPUTED_VALUE"""),"Ted Shen")</f>
        <v>Ted Shen</v>
      </c>
      <c r="C100" s="49">
        <f>IFERROR(__xludf.DUMMYFUNCTION("""COMPUTED_VALUE"""),251.0)</f>
        <v>251</v>
      </c>
      <c r="D100" s="50">
        <f>IFERROR(__xludf.DUMMYFUNCTION("""COMPUTED_VALUE"""),21.0)</f>
        <v>21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IFERROR(__xludf.DUMMYFUNCTION("""COMPUTED_VALUE"""),6.0)</f>
        <v>6</v>
      </c>
      <c r="I100" s="51">
        <f>IFERROR(__xludf.DUMMYFUNCTION("""COMPUTED_VALUE"""),3.0)</f>
        <v>3</v>
      </c>
      <c r="J100" s="51">
        <f>IFERROR(__xludf.DUMMYFUNCTION("""COMPUTED_VALUE"""),7.0)</f>
        <v>7</v>
      </c>
      <c r="K100" s="51">
        <f>IFERROR(__xludf.DUMMYFUNCTION("""COMPUTED_VALUE"""),16.0)</f>
        <v>16</v>
      </c>
      <c r="L100" s="51">
        <f>IFERROR(__xludf.DUMMYFUNCTION("""COMPUTED_VALUE"""),2.0)</f>
        <v>2</v>
      </c>
      <c r="M100" s="51">
        <f>IFERROR(__xludf.DUMMYFUNCTION("""COMPUTED_VALUE"""),267.0)</f>
        <v>267</v>
      </c>
      <c r="N100" s="52">
        <f>IFERROR(__xludf.DUMMYFUNCTION("""COMPUTED_VALUE"""),23.0)</f>
        <v>23</v>
      </c>
    </row>
    <row r="101">
      <c r="A101" s="1"/>
      <c r="B101" s="48" t="str">
        <f>IFERROR(__xludf.DUMMYFUNCTION("""COMPUTED_VALUE"""),"Chinna Ponnaganti")</f>
        <v>Chinna Ponnaganti</v>
      </c>
      <c r="C101" s="49">
        <f>IFERROR(__xludf.DUMMYFUNCTION("""COMPUTED_VALUE"""),250.0)</f>
        <v>250</v>
      </c>
      <c r="D101" s="50">
        <f>IFERROR(__xludf.DUMMYFUNCTION("""COMPUTED_VALUE"""),22.0)</f>
        <v>22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IFERROR(__xludf.DUMMYFUNCTION("""COMPUTED_VALUE"""),3.0)</f>
        <v>3</v>
      </c>
      <c r="I101" s="51">
        <f>IFERROR(__xludf.DUMMYFUNCTION("""COMPUTED_VALUE"""),6.0)</f>
        <v>6</v>
      </c>
      <c r="J101" s="51">
        <f>IFERROR(__xludf.DUMMYFUNCTION("""COMPUTED_VALUE"""),7.0)</f>
        <v>7</v>
      </c>
      <c r="K101" s="51">
        <f>IFERROR(__xludf.DUMMYFUNCTION("""COMPUTED_VALUE"""),16.0)</f>
        <v>16</v>
      </c>
      <c r="L101" s="51">
        <f>IFERROR(__xludf.DUMMYFUNCTION("""COMPUTED_VALUE"""),2.0)</f>
        <v>2</v>
      </c>
      <c r="M101" s="51">
        <f>IFERROR(__xludf.DUMMYFUNCTION("""COMPUTED_VALUE"""),266.0)</f>
        <v>266</v>
      </c>
      <c r="N101" s="52">
        <f>IFERROR(__xludf.DUMMYFUNCTION("""COMPUTED_VALUE"""),24.0)</f>
        <v>24</v>
      </c>
    </row>
    <row r="102">
      <c r="A102" s="1"/>
      <c r="B102" s="53" t="str">
        <f>IFERROR(__xludf.DUMMYFUNCTION("""COMPUTED_VALUE"""),"Joe Luzzi")</f>
        <v>Joe Luzzi</v>
      </c>
      <c r="C102" s="54">
        <f>IFERROR(__xludf.DUMMYFUNCTION("""COMPUTED_VALUE"""),249.0)</f>
        <v>249</v>
      </c>
      <c r="D102" s="55">
        <f>IFERROR(__xludf.DUMMYFUNCTION("""COMPUTED_VALUE"""),22.0)</f>
        <v>22</v>
      </c>
      <c r="E102" s="54">
        <f>IFERROR(__xludf.DUMMYFUNCTION("""COMPUTED_VALUE"""),2.0)</f>
        <v>2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IFERROR(__xludf.DUMMYFUNCTION("""COMPUTED_VALUE"""),6.0)</f>
        <v>6</v>
      </c>
      <c r="I102" s="56">
        <f>IFERROR(__xludf.DUMMYFUNCTION("""COMPUTED_VALUE"""),2.0)</f>
        <v>2</v>
      </c>
      <c r="J102" s="56">
        <f>IFERROR(__xludf.DUMMYFUNCTION("""COMPUTED_VALUE"""),6.0)</f>
        <v>6</v>
      </c>
      <c r="K102" s="56">
        <f>IFERROR(__xludf.DUMMYFUNCTION("""COMPUTED_VALUE"""),14.0)</f>
        <v>14</v>
      </c>
      <c r="L102" s="56">
        <f>IFERROR(__xludf.DUMMYFUNCTION("""COMPUTED_VALUE"""),2.0)</f>
        <v>2</v>
      </c>
      <c r="M102" s="56">
        <f>IFERROR(__xludf.DUMMYFUNCTION("""COMPUTED_VALUE"""),263.0)</f>
        <v>263</v>
      </c>
      <c r="N102" s="57">
        <f>IFERROR(__xludf.DUMMYFUNCTION("""COMPUTED_VALUE"""),24.0)</f>
        <v>24</v>
      </c>
    </row>
    <row r="103">
      <c r="A103" s="1"/>
      <c r="B103" s="53" t="str">
        <f>IFERROR(__xludf.DUMMYFUNCTION("""COMPUTED_VALUE"""),"David Shin")</f>
        <v>David Shin</v>
      </c>
      <c r="C103" s="54">
        <f>IFERROR(__xludf.DUMMYFUNCTION("""COMPUTED_VALUE"""),249.0)</f>
        <v>249</v>
      </c>
      <c r="D103" s="55">
        <f>IFERROR(__xludf.DUMMYFUNCTION("""COMPUTED_VALUE"""),18.0)</f>
        <v>18</v>
      </c>
      <c r="E103" s="54">
        <f>IFERROR(__xludf.DUMMYFUNCTION("""COMPUTED_VALUE"""),1.0)</f>
        <v>1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IFERROR(__xludf.DUMMYFUNCTION("""COMPUTED_VALUE"""),1.0)</f>
        <v>1</v>
      </c>
      <c r="I103" s="56">
        <f>IFERROR(__xludf.DUMMYFUNCTION("""COMPUTED_VALUE"""),6.0)</f>
        <v>6</v>
      </c>
      <c r="J103" s="56">
        <f>IFERROR(__xludf.DUMMYFUNCTION("""COMPUTED_VALUE"""),6.0)</f>
        <v>6</v>
      </c>
      <c r="K103" s="56">
        <f>IFERROR(__xludf.DUMMYFUNCTION("""COMPUTED_VALUE"""),13.0)</f>
        <v>13</v>
      </c>
      <c r="L103" s="56">
        <f>IFERROR(__xludf.DUMMYFUNCTION("""COMPUTED_VALUE"""),2.0)</f>
        <v>2</v>
      </c>
      <c r="M103" s="56">
        <f>IFERROR(__xludf.DUMMYFUNCTION("""COMPUTED_VALUE"""),262.0)</f>
        <v>262</v>
      </c>
      <c r="N103" s="57">
        <f>IFERROR(__xludf.DUMMYFUNCTION("""COMPUTED_VALUE"""),20.0)</f>
        <v>20</v>
      </c>
    </row>
    <row r="104">
      <c r="A104" s="1"/>
      <c r="B104" s="53" t="str">
        <f>IFERROR(__xludf.DUMMYFUNCTION("""COMPUTED_VALUE"""),"Kingsley Kuo")</f>
        <v>Kingsley Kuo</v>
      </c>
      <c r="C104" s="54">
        <f>IFERROR(__xludf.DUMMYFUNCTION("""COMPUTED_VALUE"""),248.0)</f>
        <v>248</v>
      </c>
      <c r="D104" s="55">
        <f>IFERROR(__xludf.DUMMYFUNCTION("""COMPUTED_VALUE"""),16.0)</f>
        <v>16</v>
      </c>
      <c r="E104" s="54">
        <f>IFERROR(__xludf.DUMMYFUNCTION("""COMPUTED_VALUE"""),1.0)</f>
        <v>1</v>
      </c>
      <c r="F104" s="56">
        <f>IFERROR(__xludf.DUMMYFUNCTION("""COMPUTED_VALUE"""),4.0)</f>
        <v>4</v>
      </c>
      <c r="G104" s="56">
        <f>IFERROR(__xludf.DUMMYFUNCTION("""COMPUTED_VALUE"""),0.0)</f>
        <v>0</v>
      </c>
      <c r="H104" s="56">
        <f>IFERROR(__xludf.DUMMYFUNCTION("""COMPUTED_VALUE"""),6.0)</f>
        <v>6</v>
      </c>
      <c r="I104" s="56">
        <f>IFERROR(__xludf.DUMMYFUNCTION("""COMPUTED_VALUE"""),6.0)</f>
        <v>6</v>
      </c>
      <c r="J104" s="56">
        <f>IFERROR(__xludf.DUMMYFUNCTION("""COMPUTED_VALUE"""),2.0)</f>
        <v>2</v>
      </c>
      <c r="K104" s="56">
        <f>IFERROR(__xludf.DUMMYFUNCTION("""COMPUTED_VALUE"""),14.0)</f>
        <v>14</v>
      </c>
      <c r="L104" s="56">
        <f>IFERROR(__xludf.DUMMYFUNCTION("""COMPUTED_VALUE"""),2.0)</f>
        <v>2</v>
      </c>
      <c r="M104" s="56">
        <f>IFERROR(__xludf.DUMMYFUNCTION("""COMPUTED_VALUE"""),262.0)</f>
        <v>262</v>
      </c>
      <c r="N104" s="57">
        <f>IFERROR(__xludf.DUMMYFUNCTION("""COMPUTED_VALUE"""),18.0)</f>
        <v>18</v>
      </c>
    </row>
    <row r="105">
      <c r="A105" s="1"/>
      <c r="B105" s="53" t="str">
        <f>IFERROR(__xludf.DUMMYFUNCTION("""COMPUTED_VALUE"""),"Rajasekar Ramasamy")</f>
        <v>Rajasekar Ramasamy</v>
      </c>
      <c r="C105" s="54">
        <f>IFERROR(__xludf.DUMMYFUNCTION("""COMPUTED_VALUE"""),244.0)</f>
        <v>244</v>
      </c>
      <c r="D105" s="55">
        <f>IFERROR(__xludf.DUMMYFUNCTION("""COMPUTED_VALUE"""),21.0)</f>
        <v>21</v>
      </c>
      <c r="E105" s="54">
        <f>IFERROR(__xludf.DUMMYFUNCTION("""COMPUTED_VALUE"""),1.0)</f>
        <v>1</v>
      </c>
      <c r="F105" s="56">
        <f>IFERROR(__xludf.DUMMYFUNCTION("""COMPUTED_VALUE"""),4.0)</f>
        <v>4</v>
      </c>
      <c r="G105" s="56">
        <f>IFERROR(__xludf.DUMMYFUNCTION("""COMPUTED_VALUE"""),0.0)</f>
        <v>0</v>
      </c>
      <c r="H105" s="56">
        <f>IFERROR(__xludf.DUMMYFUNCTION("""COMPUTED_VALUE"""),1.0)</f>
        <v>1</v>
      </c>
      <c r="I105" s="56">
        <f>IFERROR(__xludf.DUMMYFUNCTION("""COMPUTED_VALUE"""),2.0)</f>
        <v>2</v>
      </c>
      <c r="J105" s="56">
        <f>IFERROR(__xludf.DUMMYFUNCTION("""COMPUTED_VALUE"""),2.0)</f>
        <v>2</v>
      </c>
      <c r="K105" s="56">
        <f>IFERROR(__xludf.DUMMYFUNCTION("""COMPUTED_VALUE"""),5.0)</f>
        <v>5</v>
      </c>
      <c r="L105" s="56">
        <f>IFERROR(__xludf.DUMMYFUNCTION("""COMPUTED_VALUE"""),0.0)</f>
        <v>0</v>
      </c>
      <c r="M105" s="56">
        <f>IFERROR(__xludf.DUMMYFUNCTION("""COMPUTED_VALUE"""),249.0)</f>
        <v>249</v>
      </c>
      <c r="N105" s="57">
        <f>IFERROR(__xludf.DUMMYFUNCTION("""COMPUTED_VALUE"""),21.0)</f>
        <v>21</v>
      </c>
    </row>
    <row r="106">
      <c r="A106" s="1"/>
      <c r="B106" s="48" t="str">
        <f>IFERROR(__xludf.DUMMYFUNCTION("""COMPUTED_VALUE"""),"Sean Chang")</f>
        <v>Sean Chang</v>
      </c>
      <c r="C106" s="49">
        <f>IFERROR(__xludf.DUMMYFUNCTION("""COMPUTED_VALUE"""),244.0)</f>
        <v>244</v>
      </c>
      <c r="D106" s="50">
        <f>IFERROR(__xludf.DUMMYFUNCTION("""COMPUTED_VALUE"""),15.0)</f>
        <v>15</v>
      </c>
      <c r="E106" s="49">
        <f>IFERROR(__xludf.DUMMYFUNCTION("""COMPUTED_VALUE"""),1.0)</f>
        <v>1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IFERROR(__xludf.DUMMYFUNCTION("""COMPUTED_VALUE"""),4.0)</f>
        <v>4</v>
      </c>
      <c r="I106" s="51">
        <f>IFERROR(__xludf.DUMMYFUNCTION("""COMPUTED_VALUE"""),4.0)</f>
        <v>4</v>
      </c>
      <c r="J106" s="51">
        <f>IFERROR(__xludf.DUMMYFUNCTION("""COMPUTED_VALUE"""),3.0)</f>
        <v>3</v>
      </c>
      <c r="K106" s="51">
        <f>IFERROR(__xludf.DUMMYFUNCTION("""COMPUTED_VALUE"""),11.0)</f>
        <v>11</v>
      </c>
      <c r="L106" s="51">
        <f>IFERROR(__xludf.DUMMYFUNCTION("""COMPUTED_VALUE"""),0.0)</f>
        <v>0</v>
      </c>
      <c r="M106" s="51">
        <f>IFERROR(__xludf.DUMMYFUNCTION("""COMPUTED_VALUE"""),255.0)</f>
        <v>255</v>
      </c>
      <c r="N106" s="52">
        <f>IFERROR(__xludf.DUMMYFUNCTION("""COMPUTED_VALUE"""),15.0)</f>
        <v>15</v>
      </c>
    </row>
    <row r="107">
      <c r="A107" s="1"/>
      <c r="B107" s="48" t="str">
        <f>IFERROR(__xludf.DUMMYFUNCTION("""COMPUTED_VALUE"""),"Tom Le")</f>
        <v>Tom Le</v>
      </c>
      <c r="C107" s="49">
        <f>IFERROR(__xludf.DUMMYFUNCTION("""COMPUTED_VALUE"""),239.0)</f>
        <v>239</v>
      </c>
      <c r="D107" s="50">
        <f>IFERROR(__xludf.DUMMYFUNCTION("""COMPUTED_VALUE"""),13.0)</f>
        <v>13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IFERROR(__xludf.DUMMYFUNCTION("""COMPUTED_VALUE"""),6.0)</f>
        <v>6</v>
      </c>
      <c r="I107" s="51">
        <f>IFERROR(__xludf.DUMMYFUNCTION("""COMPUTED_VALUE"""),6.0)</f>
        <v>6</v>
      </c>
      <c r="J107" s="51">
        <f>IFERROR(__xludf.DUMMYFUNCTION("""COMPUTED_VALUE"""),3.0)</f>
        <v>3</v>
      </c>
      <c r="K107" s="51">
        <f>IFERROR(__xludf.DUMMYFUNCTION("""COMPUTED_VALUE"""),15.0)</f>
        <v>15</v>
      </c>
      <c r="L107" s="51">
        <f>IFERROR(__xludf.DUMMYFUNCTION("""COMPUTED_VALUE"""),2.0)</f>
        <v>2</v>
      </c>
      <c r="M107" s="51">
        <f>IFERROR(__xludf.DUMMYFUNCTION("""COMPUTED_VALUE"""),254.0)</f>
        <v>254</v>
      </c>
      <c r="N107" s="52">
        <f>IFERROR(__xludf.DUMMYFUNCTION("""COMPUTED_VALUE"""),15.0)</f>
        <v>15</v>
      </c>
    </row>
    <row r="108">
      <c r="A108" s="1"/>
      <c r="B108" s="48" t="str">
        <f>IFERROR(__xludf.DUMMYFUNCTION("""COMPUTED_VALUE"""),"Christopher Li")</f>
        <v>Christopher Li</v>
      </c>
      <c r="C108" s="49">
        <f>IFERROR(__xludf.DUMMYFUNCTION("""COMPUTED_VALUE"""),235.0)</f>
        <v>235</v>
      </c>
      <c r="D108" s="50">
        <f>IFERROR(__xludf.DUMMYFUNCTION("""COMPUTED_VALUE"""),14.0)</f>
        <v>14</v>
      </c>
      <c r="E108" s="49">
        <f>IFERROR(__xludf.DUMMYFUNCTION("""COMPUTED_VALUE"""),1.0)</f>
        <v>1</v>
      </c>
      <c r="F108" s="51">
        <f>IFERROR(__xludf.DUMMYFUNCTION("""COMPUTED_VALUE"""),5.0)</f>
        <v>5</v>
      </c>
      <c r="G108" s="51">
        <f>IFERROR(__xludf.DUMMYFUNCTION("""COMPUTED_VALUE"""),0.0)</f>
        <v>0</v>
      </c>
      <c r="H108" s="51">
        <f>IFERROR(__xludf.DUMMYFUNCTION("""COMPUTED_VALUE"""),4.0)</f>
        <v>4</v>
      </c>
      <c r="I108" s="51">
        <f>IFERROR(__xludf.DUMMYFUNCTION("""COMPUTED_VALUE"""),6.0)</f>
        <v>6</v>
      </c>
      <c r="J108" s="51">
        <f>IFERROR(__xludf.DUMMYFUNCTION("""COMPUTED_VALUE"""),6.0)</f>
        <v>6</v>
      </c>
      <c r="K108" s="51">
        <f>IFERROR(__xludf.DUMMYFUNCTION("""COMPUTED_VALUE"""),16.0)</f>
        <v>16</v>
      </c>
      <c r="L108" s="51">
        <f>IFERROR(__xludf.DUMMYFUNCTION("""COMPUTED_VALUE"""),2.0)</f>
        <v>2</v>
      </c>
      <c r="M108" s="51">
        <f>IFERROR(__xludf.DUMMYFUNCTION("""COMPUTED_VALUE"""),251.0)</f>
        <v>251</v>
      </c>
      <c r="N108" s="52">
        <f>IFERROR(__xludf.DUMMYFUNCTION("""COMPUTED_VALUE"""),16.0)</f>
        <v>16</v>
      </c>
    </row>
    <row r="109">
      <c r="A109" s="1"/>
      <c r="B109" s="48" t="str">
        <f>IFERROR(__xludf.DUMMYFUNCTION("""COMPUTED_VALUE"""),"Susanta Mishra")</f>
        <v>Susanta Mishra</v>
      </c>
      <c r="C109" s="49">
        <f>IFERROR(__xludf.DUMMYFUNCTION("""COMPUTED_VALUE"""),222.0)</f>
        <v>222</v>
      </c>
      <c r="D109" s="50">
        <f>IFERROR(__xludf.DUMMYFUNCTION("""COMPUTED_VALUE"""),11.0)</f>
        <v>11</v>
      </c>
      <c r="E109" s="49">
        <f>IFERROR(__xludf.DUMMYFUNCTION("""COMPUTED_VALUE"""),1.0)</f>
        <v>1</v>
      </c>
      <c r="F109" s="51">
        <f>IFERROR(__xludf.DUMMYFUNCTION("""COMPUTED_VALUE"""),5.0)</f>
        <v>5</v>
      </c>
      <c r="G109" s="51">
        <f>IFERROR(__xludf.DUMMYFUNCTION("""COMPUTED_VALUE"""),0.0)</f>
        <v>0</v>
      </c>
      <c r="H109" s="51">
        <f>IFERROR(__xludf.DUMMYFUNCTION("""COMPUTED_VALUE"""),6.0)</f>
        <v>6</v>
      </c>
      <c r="I109" s="51">
        <f>IFERROR(__xludf.DUMMYFUNCTION("""COMPUTED_VALUE"""),4.0)</f>
        <v>4</v>
      </c>
      <c r="J109" s="51">
        <f>IFERROR(__xludf.DUMMYFUNCTION("""COMPUTED_VALUE"""),6.0)</f>
        <v>6</v>
      </c>
      <c r="K109" s="51">
        <f>IFERROR(__xludf.DUMMYFUNCTION("""COMPUTED_VALUE"""),16.0)</f>
        <v>16</v>
      </c>
      <c r="L109" s="51">
        <f>IFERROR(__xludf.DUMMYFUNCTION("""COMPUTED_VALUE"""),2.0)</f>
        <v>2</v>
      </c>
      <c r="M109" s="51">
        <f>IFERROR(__xludf.DUMMYFUNCTION("""COMPUTED_VALUE"""),238.0)</f>
        <v>238</v>
      </c>
      <c r="N109" s="52">
        <f>IFERROR(__xludf.DUMMYFUNCTION("""COMPUTED_VALUE"""),13.0)</f>
        <v>13</v>
      </c>
    </row>
    <row r="110">
      <c r="A110" s="1"/>
      <c r="B110" s="53" t="str">
        <f>IFERROR(__xludf.DUMMYFUNCTION("""COMPUTED_VALUE"""),"Mauricio Palacios")</f>
        <v>Mauricio Palacios</v>
      </c>
      <c r="C110" s="54">
        <f>IFERROR(__xludf.DUMMYFUNCTION("""COMPUTED_VALUE"""),219.0)</f>
        <v>219</v>
      </c>
      <c r="D110" s="55">
        <f>IFERROR(__xludf.DUMMYFUNCTION("""COMPUTED_VALUE"""),21.0)</f>
        <v>21</v>
      </c>
      <c r="E110" s="54">
        <f>IFERROR(__xludf.DUMMYFUNCTION("""COMPUTED_VALUE"""),2.0)</f>
        <v>2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IFERROR(__xludf.DUMMYFUNCTION("""COMPUTED_VALUE"""),4.0)</f>
        <v>4</v>
      </c>
      <c r="I110" s="56">
        <f>IFERROR(__xludf.DUMMYFUNCTION("""COMPUTED_VALUE"""),7.0)</f>
        <v>7</v>
      </c>
      <c r="J110" s="56">
        <f>IFERROR(__xludf.DUMMYFUNCTION("""COMPUTED_VALUE"""),2.0)</f>
        <v>2</v>
      </c>
      <c r="K110" s="56">
        <f>IFERROR(__xludf.DUMMYFUNCTION("""COMPUTED_VALUE"""),13.0)</f>
        <v>13</v>
      </c>
      <c r="L110" s="56">
        <f>IFERROR(__xludf.DUMMYFUNCTION("""COMPUTED_VALUE"""),1.0)</f>
        <v>1</v>
      </c>
      <c r="M110" s="56">
        <f>IFERROR(__xludf.DUMMYFUNCTION("""COMPUTED_VALUE"""),232.0)</f>
        <v>232</v>
      </c>
      <c r="N110" s="57">
        <f>IFERROR(__xludf.DUMMYFUNCTION("""COMPUTED_VALUE"""),22.0)</f>
        <v>22</v>
      </c>
    </row>
    <row r="111">
      <c r="A111" s="1"/>
      <c r="B111" s="53" t="str">
        <f>IFERROR(__xludf.DUMMYFUNCTION("""COMPUTED_VALUE"""),"Suleman Alidina")</f>
        <v>Suleman Alidina</v>
      </c>
      <c r="C111" s="54">
        <f>IFERROR(__xludf.DUMMYFUNCTION("""COMPUTED_VALUE"""),212.0)</f>
        <v>212</v>
      </c>
      <c r="D111" s="55">
        <f>IFERROR(__xludf.DUMMYFUNCTION("""COMPUTED_VALUE"""),9.0)</f>
        <v>9</v>
      </c>
      <c r="E111" s="54">
        <f>IFERROR(__xludf.DUMMYFUNCTION("""COMPUTED_VALUE"""),1.0)</f>
        <v>1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IFERROR(__xludf.DUMMYFUNCTION("""COMPUTED_VALUE"""),6.0)</f>
        <v>6</v>
      </c>
      <c r="I111" s="56">
        <f>IFERROR(__xludf.DUMMYFUNCTION("""COMPUTED_VALUE"""),7.0)</f>
        <v>7</v>
      </c>
      <c r="J111" s="56">
        <f>IFERROR(__xludf.DUMMYFUNCTION("""COMPUTED_VALUE"""),6.0)</f>
        <v>6</v>
      </c>
      <c r="K111" s="56">
        <f>IFERROR(__xludf.DUMMYFUNCTION("""COMPUTED_VALUE"""),19.0)</f>
        <v>19</v>
      </c>
      <c r="L111" s="56">
        <f>IFERROR(__xludf.DUMMYFUNCTION("""COMPUTED_VALUE"""),3.0)</f>
        <v>3</v>
      </c>
      <c r="M111" s="56">
        <f>IFERROR(__xludf.DUMMYFUNCTION("""COMPUTED_VALUE"""),231.0)</f>
        <v>231</v>
      </c>
      <c r="N111" s="57">
        <f>IFERROR(__xludf.DUMMYFUNCTION("""COMPUTED_VALUE"""),12.0)</f>
        <v>12</v>
      </c>
    </row>
    <row r="112">
      <c r="A112" s="1"/>
      <c r="B112" s="53" t="str">
        <f>IFERROR(__xludf.DUMMYFUNCTION("""COMPUTED_VALUE"""),"Andrew Chin")</f>
        <v>Andrew Chin</v>
      </c>
      <c r="C112" s="54">
        <f>IFERROR(__xludf.DUMMYFUNCTION("""COMPUTED_VALUE"""),210.0)</f>
        <v>210</v>
      </c>
      <c r="D112" s="55">
        <f>IFERROR(__xludf.DUMMYFUNCTION("""COMPUTED_VALUE"""),8.0)</f>
        <v>8</v>
      </c>
      <c r="E112" s="54">
        <f>IFERROR(__xludf.DUMMYFUNCTION("""COMPUTED_VALUE"""),1.0)</f>
        <v>1</v>
      </c>
      <c r="F112" s="56">
        <f>IFERROR(__xludf.DUMMYFUNCTION("""COMPUTED_VALUE"""),6.0)</f>
        <v>6</v>
      </c>
      <c r="G112" s="56">
        <f>IFERROR(__xludf.DUMMYFUNCTION("""COMPUTED_VALUE"""),0.0)</f>
        <v>0</v>
      </c>
      <c r="H112" s="56">
        <f>IFERROR(__xludf.DUMMYFUNCTION("""COMPUTED_VALUE"""),4.0)</f>
        <v>4</v>
      </c>
      <c r="I112" s="56">
        <f>IFERROR(__xludf.DUMMYFUNCTION("""COMPUTED_VALUE"""),6.0)</f>
        <v>6</v>
      </c>
      <c r="J112" s="56">
        <f>IFERROR(__xludf.DUMMYFUNCTION("""COMPUTED_VALUE"""),6.0)</f>
        <v>6</v>
      </c>
      <c r="K112" s="56">
        <f>IFERROR(__xludf.DUMMYFUNCTION("""COMPUTED_VALUE"""),16.0)</f>
        <v>16</v>
      </c>
      <c r="L112" s="56">
        <f>IFERROR(__xludf.DUMMYFUNCTION("""COMPUTED_VALUE"""),1.0)</f>
        <v>1</v>
      </c>
      <c r="M112" s="56">
        <f>IFERROR(__xludf.DUMMYFUNCTION("""COMPUTED_VALUE"""),226.0)</f>
        <v>226</v>
      </c>
      <c r="N112" s="57">
        <f>IFERROR(__xludf.DUMMYFUNCTION("""COMPUTED_VALUE"""),9.0)</f>
        <v>9</v>
      </c>
    </row>
    <row r="113">
      <c r="A113" s="1"/>
      <c r="B113" s="53" t="str">
        <f>IFERROR(__xludf.DUMMYFUNCTION("""COMPUTED_VALUE"""),"Vinot Kumar Nagappan")</f>
        <v>Vinot Kumar Nagappan</v>
      </c>
      <c r="C113" s="54">
        <f>IFERROR(__xludf.DUMMYFUNCTION("""COMPUTED_VALUE"""),208.0)</f>
        <v>208</v>
      </c>
      <c r="D113" s="55">
        <f>IFERROR(__xludf.DUMMYFUNCTION("""COMPUTED_VALUE"""),10.0)</f>
        <v>10</v>
      </c>
      <c r="E113" s="54">
        <f>IFERROR(__xludf.DUMMYFUNCTION("""COMPUTED_VALUE"""),1.0)</f>
        <v>1</v>
      </c>
      <c r="F113" s="56">
        <f>IFERROR(__xludf.DUMMYFUNCTION("""COMPUTED_VALUE"""),6.0)</f>
        <v>6</v>
      </c>
      <c r="G113" s="56">
        <f>IFERROR(__xludf.DUMMYFUNCTION("""COMPUTED_VALUE"""),0.0)</f>
        <v>0</v>
      </c>
      <c r="H113" s="56">
        <f>IFERROR(__xludf.DUMMYFUNCTION("""COMPUTED_VALUE"""),6.0)</f>
        <v>6</v>
      </c>
      <c r="I113" s="56">
        <f>IFERROR(__xludf.DUMMYFUNCTION("""COMPUTED_VALUE"""),6.0)</f>
        <v>6</v>
      </c>
      <c r="J113" s="56">
        <f>IFERROR(__xludf.DUMMYFUNCTION("""COMPUTED_VALUE"""),2.0)</f>
        <v>2</v>
      </c>
      <c r="K113" s="56">
        <f>IFERROR(__xludf.DUMMYFUNCTION("""COMPUTED_VALUE"""),14.0)</f>
        <v>14</v>
      </c>
      <c r="L113" s="56">
        <f>IFERROR(__xludf.DUMMYFUNCTION("""COMPUTED_VALUE"""),1.0)</f>
        <v>1</v>
      </c>
      <c r="M113" s="56">
        <f>IFERROR(__xludf.DUMMYFUNCTION("""COMPUTED_VALUE"""),222.0)</f>
        <v>222</v>
      </c>
      <c r="N113" s="57">
        <f>IFERROR(__xludf.DUMMYFUNCTION("""COMPUTED_VALUE"""),11.0)</f>
        <v>11</v>
      </c>
    </row>
    <row r="114">
      <c r="A114" s="1"/>
      <c r="B114" s="48" t="str">
        <f>IFERROR(__xludf.DUMMYFUNCTION("""COMPUTED_VALUE"""),"Jimmy Awolesi")</f>
        <v>Jimmy Awolesi</v>
      </c>
      <c r="C114" s="49">
        <f>IFERROR(__xludf.DUMMYFUNCTION("""COMPUTED_VALUE"""),205.0)</f>
        <v>205</v>
      </c>
      <c r="D114" s="50">
        <f>IFERROR(__xludf.DUMMYFUNCTION("""COMPUTED_VALUE"""),12.0)</f>
        <v>12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IFERROR(__xludf.DUMMYFUNCTION("""COMPUTED_VALUE"""),4.0)</f>
        <v>4</v>
      </c>
      <c r="I114" s="51">
        <f>IFERROR(__xludf.DUMMYFUNCTION("""COMPUTED_VALUE"""),7.0)</f>
        <v>7</v>
      </c>
      <c r="J114" s="51">
        <f>IFERROR(__xludf.DUMMYFUNCTION("""COMPUTED_VALUE"""),1.0)</f>
        <v>1</v>
      </c>
      <c r="K114" s="51">
        <f>IFERROR(__xludf.DUMMYFUNCTION("""COMPUTED_VALUE"""),12.0)</f>
        <v>12</v>
      </c>
      <c r="L114" s="51">
        <f>IFERROR(__xludf.DUMMYFUNCTION("""COMPUTED_VALUE"""),1.0)</f>
        <v>1</v>
      </c>
      <c r="M114" s="51">
        <f>IFERROR(__xludf.DUMMYFUNCTION("""COMPUTED_VALUE"""),217.0)</f>
        <v>217</v>
      </c>
      <c r="N114" s="52">
        <f>IFERROR(__xludf.DUMMYFUNCTION("""COMPUTED_VALUE"""),13.0)</f>
        <v>13</v>
      </c>
    </row>
    <row r="115">
      <c r="A115" s="1"/>
      <c r="B115" s="48" t="str">
        <f>IFERROR(__xludf.DUMMYFUNCTION("""COMPUTED_VALUE"""),"Elayaraja Thangaraj ")</f>
        <v>Elayaraja Thangaraj </v>
      </c>
      <c r="C115" s="49">
        <f>IFERROR(__xludf.DUMMYFUNCTION("""COMPUTED_VALUE"""),204.0)</f>
        <v>204</v>
      </c>
      <c r="D115" s="50">
        <f>IFERROR(__xludf.DUMMYFUNCTION("""COMPUTED_VALUE"""),15.0)</f>
        <v>15</v>
      </c>
      <c r="E115" s="49">
        <f>IFERROR(__xludf.DUMMYFUNCTION("""COMPUTED_VALUE"""),1.0)</f>
        <v>1</v>
      </c>
      <c r="F115" s="51">
        <f>IFERROR(__xludf.DUMMYFUNCTION("""COMPUTED_VALUE"""),7.0)</f>
        <v>7</v>
      </c>
      <c r="G115" s="51">
        <f>IFERROR(__xludf.DUMMYFUNCTION("""COMPUTED_VALUE"""),0.0)</f>
        <v>0</v>
      </c>
      <c r="H115" s="51">
        <f>IFERROR(__xludf.DUMMYFUNCTION("""COMPUTED_VALUE"""),6.0)</f>
        <v>6</v>
      </c>
      <c r="I115" s="51">
        <f>IFERROR(__xludf.DUMMYFUNCTION("""COMPUTED_VALUE"""),7.0)</f>
        <v>7</v>
      </c>
      <c r="J115" s="51">
        <f>IFERROR(__xludf.DUMMYFUNCTION("""COMPUTED_VALUE"""),6.0)</f>
        <v>6</v>
      </c>
      <c r="K115" s="51">
        <f>IFERROR(__xludf.DUMMYFUNCTION("""COMPUTED_VALUE"""),19.0)</f>
        <v>19</v>
      </c>
      <c r="L115" s="51">
        <f>IFERROR(__xludf.DUMMYFUNCTION("""COMPUTED_VALUE"""),3.0)</f>
        <v>3</v>
      </c>
      <c r="M115" s="51">
        <f>IFERROR(__xludf.DUMMYFUNCTION("""COMPUTED_VALUE"""),223.0)</f>
        <v>223</v>
      </c>
      <c r="N115" s="52">
        <f>IFERROR(__xludf.DUMMYFUNCTION("""COMPUTED_VALUE"""),18.0)</f>
        <v>18</v>
      </c>
    </row>
    <row r="116">
      <c r="A116" s="1"/>
      <c r="B116" s="48" t="str">
        <f>IFERROR(__xludf.DUMMYFUNCTION("""COMPUTED_VALUE"""),"Amit Patel")</f>
        <v>Amit Patel</v>
      </c>
      <c r="C116" s="49">
        <f>IFERROR(__xludf.DUMMYFUNCTION("""COMPUTED_VALUE"""),192.0)</f>
        <v>192</v>
      </c>
      <c r="D116" s="50">
        <f>IFERROR(__xludf.DUMMYFUNCTION("""COMPUTED_VALUE"""),3.0)</f>
        <v>3</v>
      </c>
      <c r="E116" s="49">
        <f>IFERROR(__xludf.DUMMYFUNCTION("""COMPUTED_VALUE"""),1.0)</f>
        <v>1</v>
      </c>
      <c r="F116" s="51">
        <f>IFERROR(__xludf.DUMMYFUNCTION("""COMPUTED_VALUE"""),7.0)</f>
        <v>7</v>
      </c>
      <c r="G116" s="51">
        <f>IFERROR(__xludf.DUMMYFUNCTION("""COMPUTED_VALUE"""),0.0)</f>
        <v>0</v>
      </c>
      <c r="H116" s="51">
        <f>IFERROR(__xludf.DUMMYFUNCTION("""COMPUTED_VALUE"""),6.0)</f>
        <v>6</v>
      </c>
      <c r="I116" s="51">
        <f>IFERROR(__xludf.DUMMYFUNCTION("""COMPUTED_VALUE"""),6.0)</f>
        <v>6</v>
      </c>
      <c r="J116" s="51">
        <f>IFERROR(__xludf.DUMMYFUNCTION("""COMPUTED_VALUE"""),1.0)</f>
        <v>1</v>
      </c>
      <c r="K116" s="51">
        <f>IFERROR(__xludf.DUMMYFUNCTION("""COMPUTED_VALUE"""),13.0)</f>
        <v>13</v>
      </c>
      <c r="L116" s="51">
        <f>IFERROR(__xludf.DUMMYFUNCTION("""COMPUTED_VALUE"""),1.0)</f>
        <v>1</v>
      </c>
      <c r="M116" s="51">
        <f>IFERROR(__xludf.DUMMYFUNCTION("""COMPUTED_VALUE"""),205.0)</f>
        <v>205</v>
      </c>
      <c r="N116" s="52">
        <f>IFERROR(__xludf.DUMMYFUNCTION("""COMPUTED_VALUE"""),4.0)</f>
        <v>4</v>
      </c>
    </row>
    <row r="117">
      <c r="A117" s="1"/>
      <c r="B117" s="48" t="str">
        <f>IFERROR(__xludf.DUMMYFUNCTION("""COMPUTED_VALUE"""),"Kevin Wang")</f>
        <v>Kevin Wang</v>
      </c>
      <c r="C117" s="49">
        <f>IFERROR(__xludf.DUMMYFUNCTION("""COMPUTED_VALUE"""),191.0)</f>
        <v>191</v>
      </c>
      <c r="D117" s="50">
        <f>IFERROR(__xludf.DUMMYFUNCTION("""COMPUTED_VALUE"""),13.0)</f>
        <v>13</v>
      </c>
      <c r="E117" s="49">
        <f>IFERROR(__xludf.DUMMYFUNCTION("""COMPUTED_VALUE"""),1.0)</f>
        <v>1</v>
      </c>
      <c r="F117" s="51">
        <f>IFERROR(__xludf.DUMMYFUNCTION("""COMPUTED_VALUE"""),7.0)</f>
        <v>7</v>
      </c>
      <c r="G117" s="51">
        <f>IFERROR(__xludf.DUMMYFUNCTION("""COMPUTED_VALUE"""),0.0)</f>
        <v>0</v>
      </c>
      <c r="H117" s="51">
        <f>IFERROR(__xludf.DUMMYFUNCTION("""COMPUTED_VALUE"""),4.0)</f>
        <v>4</v>
      </c>
      <c r="I117" s="51">
        <f>IFERROR(__xludf.DUMMYFUNCTION("""COMPUTED_VALUE"""),6.0)</f>
        <v>6</v>
      </c>
      <c r="J117" s="51">
        <f>IFERROR(__xludf.DUMMYFUNCTION("""COMPUTED_VALUE"""),6.0)</f>
        <v>6</v>
      </c>
      <c r="K117" s="51">
        <f>IFERROR(__xludf.DUMMYFUNCTION("""COMPUTED_VALUE"""),16.0)</f>
        <v>16</v>
      </c>
      <c r="L117" s="51">
        <f>IFERROR(__xludf.DUMMYFUNCTION("""COMPUTED_VALUE"""),1.0)</f>
        <v>1</v>
      </c>
      <c r="M117" s="51">
        <f>IFERROR(__xludf.DUMMYFUNCTION("""COMPUTED_VALUE"""),207.0)</f>
        <v>207</v>
      </c>
      <c r="N117" s="52">
        <f>IFERROR(__xludf.DUMMYFUNCTION("""COMPUTED_VALUE"""),14.0)</f>
        <v>14</v>
      </c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0"")"),"Alejandro Mejia")</f>
        <v>Alejandro Mejia</v>
      </c>
      <c r="C134" s="49">
        <f>IFERROR(__xludf.DUMMYFUNCTION("""COMPUTED_VALUE"""),270.0)</f>
        <v>270</v>
      </c>
      <c r="D134" s="50">
        <f>IFERROR(__xludf.DUMMYFUNCTION("""COMPUTED_VALUE"""),23.0)</f>
        <v>23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IFERROR(__xludf.DUMMYFUNCTION("""COMPUTED_VALUE"""),279.0)</f>
        <v>279</v>
      </c>
      <c r="N134" s="52">
        <f>IFERROR(__xludf.DUMMYFUNCTION("""COMPUTED_VALUE"""),23.0)</f>
        <v>23</v>
      </c>
    </row>
    <row r="135">
      <c r="A135" s="1"/>
      <c r="B135" s="48" t="str">
        <f>IFERROR(__xludf.DUMMYFUNCTION("""COMPUTED_VALUE"""),"Peter Homsey")</f>
        <v>Peter Homsey</v>
      </c>
      <c r="C135" s="49">
        <f>IFERROR(__xludf.DUMMYFUNCTION("""COMPUTED_VALUE"""),260.0)</f>
        <v>260</v>
      </c>
      <c r="D135" s="50">
        <f>IFERROR(__xludf.DUMMYFUNCTION("""COMPUTED_VALUE"""),23.0)</f>
        <v>23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IFERROR(__xludf.DUMMYFUNCTION("""COMPUTED_VALUE"""),269.0)</f>
        <v>269</v>
      </c>
      <c r="N135" s="52">
        <f>IFERROR(__xludf.DUMMYFUNCTION("""COMPUTED_VALUE"""),23.0)</f>
        <v>23</v>
      </c>
    </row>
    <row r="136">
      <c r="A136" s="1"/>
      <c r="B136" s="48" t="str">
        <f>IFERROR(__xludf.DUMMYFUNCTION("""COMPUTED_VALUE"""),"Oscar Bonilla")</f>
        <v>Oscar Bonilla</v>
      </c>
      <c r="C136" s="49">
        <f>IFERROR(__xludf.DUMMYFUNCTION("""COMPUTED_VALUE"""),259.0)</f>
        <v>259</v>
      </c>
      <c r="D136" s="50">
        <f>IFERROR(__xludf.DUMMYFUNCTION("""COMPUTED_VALUE"""),22.0)</f>
        <v>22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IFERROR(__xludf.DUMMYFUNCTION("""COMPUTED_VALUE"""),268.0)</f>
        <v>268</v>
      </c>
      <c r="N136" s="52">
        <f>IFERROR(__xludf.DUMMYFUNCTION("""COMPUTED_VALUE"""),22.0)</f>
        <v>22</v>
      </c>
    </row>
    <row r="137">
      <c r="A137" s="1"/>
      <c r="B137" s="48" t="str">
        <f>IFERROR(__xludf.DUMMYFUNCTION("""COMPUTED_VALUE"""),"Tony Wong")</f>
        <v>Tony Wong</v>
      </c>
      <c r="C137" s="49">
        <f>IFERROR(__xludf.DUMMYFUNCTION("""COMPUTED_VALUE"""),254.0)</f>
        <v>254</v>
      </c>
      <c r="D137" s="50">
        <f>IFERROR(__xludf.DUMMYFUNCTION("""COMPUTED_VALUE"""),18.0)</f>
        <v>18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IFERROR(__xludf.DUMMYFUNCTION("""COMPUTED_VALUE"""),263.0)</f>
        <v>263</v>
      </c>
      <c r="N137" s="52">
        <f>IFERROR(__xludf.DUMMYFUNCTION("""COMPUTED_VALUE"""),18.0)</f>
        <v>18</v>
      </c>
    </row>
    <row r="138">
      <c r="A138" s="1"/>
      <c r="B138" s="48" t="str">
        <f>IFERROR(__xludf.DUMMYFUNCTION("""COMPUTED_VALUE"""),"Trinath Goteti")</f>
        <v>Trinath Goteti</v>
      </c>
      <c r="C138" s="49">
        <f>IFERROR(__xludf.DUMMYFUNCTION("""COMPUTED_VALUE"""),246.0)</f>
        <v>246</v>
      </c>
      <c r="D138" s="50">
        <f>IFERROR(__xludf.DUMMYFUNCTION("""COMPUTED_VALUE"""),16.0)</f>
        <v>16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IFERROR(__xludf.DUMMYFUNCTION("""COMPUTED_VALUE"""),255.0)</f>
        <v>255</v>
      </c>
      <c r="N138" s="52">
        <f>IFERROR(__xludf.DUMMYFUNCTION("""COMPUTED_VALUE"""),16.0)</f>
        <v>16</v>
      </c>
    </row>
    <row r="139">
      <c r="A139" s="1"/>
      <c r="B139" s="48" t="str">
        <f>IFERROR(__xludf.DUMMYFUNCTION("""COMPUTED_VALUE"""),"Sai Dilip Ponnaganti")</f>
        <v>Sai Dilip Ponnaganti</v>
      </c>
      <c r="C139" s="49">
        <f>IFERROR(__xludf.DUMMYFUNCTION("""COMPUTED_VALUE"""),246.0)</f>
        <v>246</v>
      </c>
      <c r="D139" s="50">
        <f>IFERROR(__xludf.DUMMYFUNCTION("""COMPUTED_VALUE"""),15.0)</f>
        <v>15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IFERROR(__xludf.DUMMYFUNCTION("""COMPUTED_VALUE"""),255.0)</f>
        <v>255</v>
      </c>
      <c r="N139" s="52">
        <f>IFERROR(__xludf.DUMMYFUNCTION("""COMPUTED_VALUE"""),15.0)</f>
        <v>15</v>
      </c>
    </row>
    <row r="140">
      <c r="A140" s="1"/>
      <c r="B140" s="48" t="str">
        <f>IFERROR(__xludf.DUMMYFUNCTION("""COMPUTED_VALUE"""),"Anish Kumar")</f>
        <v>Anish Kumar</v>
      </c>
      <c r="C140" s="49">
        <f>IFERROR(__xludf.DUMMYFUNCTION("""COMPUTED_VALUE"""),245.0)</f>
        <v>245</v>
      </c>
      <c r="D140" s="50">
        <f>IFERROR(__xludf.DUMMYFUNCTION("""COMPUTED_VALUE"""),17.0)</f>
        <v>17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IFERROR(__xludf.DUMMYFUNCTION("""COMPUTED_VALUE"""),254.0)</f>
        <v>254</v>
      </c>
      <c r="N140" s="52">
        <f>IFERROR(__xludf.DUMMYFUNCTION("""COMPUTED_VALUE"""),17.0)</f>
        <v>17</v>
      </c>
    </row>
    <row r="141">
      <c r="A141" s="1"/>
      <c r="B141" s="48" t="str">
        <f>IFERROR(__xludf.DUMMYFUNCTION("""COMPUTED_VALUE"""),"Eric Pan")</f>
        <v>Eric Pan</v>
      </c>
      <c r="C141" s="49">
        <f>IFERROR(__xludf.DUMMYFUNCTION("""COMPUTED_VALUE"""),242.0)</f>
        <v>242</v>
      </c>
      <c r="D141" s="50">
        <f>IFERROR(__xludf.DUMMYFUNCTION("""COMPUTED_VALUE"""),16.0)</f>
        <v>16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IFERROR(__xludf.DUMMYFUNCTION("""COMPUTED_VALUE"""),0.0)</f>
        <v>0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IFERROR(__xludf.DUMMYFUNCTION("""COMPUTED_VALUE"""),0.0)</f>
        <v>0</v>
      </c>
      <c r="L141" s="51">
        <f>IFERROR(__xludf.DUMMYFUNCTION("""COMPUTED_VALUE"""),0.0)</f>
        <v>0</v>
      </c>
      <c r="M141" s="51">
        <f>IFERROR(__xludf.DUMMYFUNCTION("""COMPUTED_VALUE"""),242.0)</f>
        <v>242</v>
      </c>
      <c r="N141" s="52">
        <f>IFERROR(__xludf.DUMMYFUNCTION("""COMPUTED_VALUE"""),16.0)</f>
        <v>16</v>
      </c>
    </row>
    <row r="142">
      <c r="A142" s="1"/>
      <c r="B142" s="48" t="str">
        <f>IFERROR(__xludf.DUMMYFUNCTION("""COMPUTED_VALUE"""),"Sanjaye Elayattu")</f>
        <v>Sanjaye Elayattu</v>
      </c>
      <c r="C142" s="49">
        <f>IFERROR(__xludf.DUMMYFUNCTION("""COMPUTED_VALUE"""),232.0)</f>
        <v>232</v>
      </c>
      <c r="D142" s="50">
        <f>IFERROR(__xludf.DUMMYFUNCTION("""COMPUTED_VALUE"""),11.0)</f>
        <v>11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IFERROR(__xludf.DUMMYFUNCTION("""COMPUTED_VALUE"""),241.0)</f>
        <v>241</v>
      </c>
      <c r="N142" s="52">
        <f>IFERROR(__xludf.DUMMYFUNCTION("""COMPUTED_VALUE"""),11.0)</f>
        <v>11</v>
      </c>
    </row>
    <row r="143">
      <c r="A143" s="1"/>
      <c r="B143" s="48" t="str">
        <f>IFERROR(__xludf.DUMMYFUNCTION("""COMPUTED_VALUE"""),"Naveen Raj")</f>
        <v>Naveen Raj</v>
      </c>
      <c r="C143" s="49">
        <f>IFERROR(__xludf.DUMMYFUNCTION("""COMPUTED_VALUE"""),229.0)</f>
        <v>229</v>
      </c>
      <c r="D143" s="50">
        <f>IFERROR(__xludf.DUMMYFUNCTION("""COMPUTED_VALUE"""),15.0)</f>
        <v>15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IFERROR(__xludf.DUMMYFUNCTION("""COMPUTED_VALUE"""),238.0)</f>
        <v>238</v>
      </c>
      <c r="N143" s="52">
        <f>IFERROR(__xludf.DUMMYFUNCTION("""COMPUTED_VALUE"""),15.0)</f>
        <v>15</v>
      </c>
    </row>
    <row r="144">
      <c r="A144" s="1"/>
      <c r="B144" s="48" t="str">
        <f>IFERROR(__xludf.DUMMYFUNCTION("""COMPUTED_VALUE"""),"Rosie Bonilla")</f>
        <v>Rosie Bonilla</v>
      </c>
      <c r="C144" s="49">
        <f>IFERROR(__xludf.DUMMYFUNCTION("""COMPUTED_VALUE"""),228.0)</f>
        <v>228</v>
      </c>
      <c r="D144" s="50">
        <f>IFERROR(__xludf.DUMMYFUNCTION("""COMPUTED_VALUE"""),14.0)</f>
        <v>14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IFERROR(__xludf.DUMMYFUNCTION("""COMPUTED_VALUE"""),237.0)</f>
        <v>237</v>
      </c>
      <c r="N144" s="52">
        <f>IFERROR(__xludf.DUMMYFUNCTION("""COMPUTED_VALUE"""),14.0)</f>
        <v>14</v>
      </c>
    </row>
    <row r="145">
      <c r="A145" s="1"/>
      <c r="B145" s="48" t="str">
        <f>IFERROR(__xludf.DUMMYFUNCTION("""COMPUTED_VALUE"""),"Troy Wong")</f>
        <v>Troy Wong</v>
      </c>
      <c r="C145" s="49">
        <f>IFERROR(__xludf.DUMMYFUNCTION("""COMPUTED_VALUE"""),225.0)</f>
        <v>225</v>
      </c>
      <c r="D145" s="50">
        <f>IFERROR(__xludf.DUMMYFUNCTION("""COMPUTED_VALUE"""),10.0)</f>
        <v>10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IFERROR(__xludf.DUMMYFUNCTION("""COMPUTED_VALUE"""),234.0)</f>
        <v>234</v>
      </c>
      <c r="N145" s="52">
        <f>IFERROR(__xludf.DUMMYFUNCTION("""COMPUTED_VALUE"""),10.0)</f>
        <v>10</v>
      </c>
    </row>
    <row r="146">
      <c r="A146" s="1"/>
      <c r="B146" s="48" t="str">
        <f>IFERROR(__xludf.DUMMYFUNCTION("""COMPUTED_VALUE"""),"Manuel Rivera")</f>
        <v>Manuel Rivera</v>
      </c>
      <c r="C146" s="49">
        <f>IFERROR(__xludf.DUMMYFUNCTION("""COMPUTED_VALUE"""),224.0)</f>
        <v>224</v>
      </c>
      <c r="D146" s="50">
        <f>IFERROR(__xludf.DUMMYFUNCTION("""COMPUTED_VALUE"""),16.0)</f>
        <v>16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IFERROR(__xludf.DUMMYFUNCTION("""COMPUTED_VALUE"""),233.0)</f>
        <v>233</v>
      </c>
      <c r="N146" s="52">
        <f>IFERROR(__xludf.DUMMYFUNCTION("""COMPUTED_VALUE"""),16.0)</f>
        <v>16</v>
      </c>
    </row>
    <row r="147">
      <c r="A147" s="1"/>
      <c r="B147" s="48" t="str">
        <f>IFERROR(__xludf.DUMMYFUNCTION("""COMPUTED_VALUE"""),"Derek Fu")</f>
        <v>Derek Fu</v>
      </c>
      <c r="C147" s="49">
        <f>IFERROR(__xludf.DUMMYFUNCTION("""COMPUTED_VALUE"""),222.0)</f>
        <v>222</v>
      </c>
      <c r="D147" s="50">
        <f>IFERROR(__xludf.DUMMYFUNCTION("""COMPUTED_VALUE"""),10.0)</f>
        <v>10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IFERROR(__xludf.DUMMYFUNCTION("""COMPUTED_VALUE"""),231.0)</f>
        <v>231</v>
      </c>
      <c r="N147" s="52">
        <f>IFERROR(__xludf.DUMMYFUNCTION("""COMPUTED_VALUE"""),10.0)</f>
        <v>10</v>
      </c>
    </row>
    <row r="148">
      <c r="A148" s="1"/>
      <c r="B148" s="48" t="str">
        <f>IFERROR(__xludf.DUMMYFUNCTION("""COMPUTED_VALUE"""),"Sandy Weyant")</f>
        <v>Sandy Weyant</v>
      </c>
      <c r="C148" s="49">
        <f>IFERROR(__xludf.DUMMYFUNCTION("""COMPUTED_VALUE"""),218.0)</f>
        <v>218</v>
      </c>
      <c r="D148" s="50">
        <f>IFERROR(__xludf.DUMMYFUNCTION("""COMPUTED_VALUE"""),13.0)</f>
        <v>13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IFERROR(__xludf.DUMMYFUNCTION("""COMPUTED_VALUE"""),227.0)</f>
        <v>227</v>
      </c>
      <c r="N148" s="52">
        <f>IFERROR(__xludf.DUMMYFUNCTION("""COMPUTED_VALUE"""),13.0)</f>
        <v>13</v>
      </c>
    </row>
    <row r="149">
      <c r="A149" s="1"/>
      <c r="B149" s="48" t="str">
        <f>IFERROR(__xludf.DUMMYFUNCTION("""COMPUTED_VALUE"""),"Paul Sanchez")</f>
        <v>Paul Sanchez</v>
      </c>
      <c r="C149" s="49">
        <f>IFERROR(__xludf.DUMMYFUNCTION("""COMPUTED_VALUE"""),216.0)</f>
        <v>216</v>
      </c>
      <c r="D149" s="50">
        <f>IFERROR(__xludf.DUMMYFUNCTION("""COMPUTED_VALUE"""),9.0)</f>
        <v>9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IFERROR(__xludf.DUMMYFUNCTION("""COMPUTED_VALUE"""),225.0)</f>
        <v>225</v>
      </c>
      <c r="N149" s="52">
        <f>IFERROR(__xludf.DUMMYFUNCTION("""COMPUTED_VALUE"""),9.0)</f>
        <v>9</v>
      </c>
    </row>
    <row r="150">
      <c r="A150" s="1"/>
      <c r="B150" s="48" t="str">
        <f>IFERROR(__xludf.DUMMYFUNCTION("""COMPUTED_VALUE"""),"James Cole III")</f>
        <v>James Cole III</v>
      </c>
      <c r="C150" s="49">
        <f>IFERROR(__xludf.DUMMYFUNCTION("""COMPUTED_VALUE"""),211.0)</f>
        <v>211</v>
      </c>
      <c r="D150" s="50">
        <f>IFERROR(__xludf.DUMMYFUNCTION("""COMPUTED_VALUE"""),8.0)</f>
        <v>8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IFERROR(__xludf.DUMMYFUNCTION("""COMPUTED_VALUE"""),220.0)</f>
        <v>220</v>
      </c>
      <c r="N150" s="52">
        <f>IFERROR(__xludf.DUMMYFUNCTION("""COMPUTED_VALUE"""),8.0)</f>
        <v>8</v>
      </c>
    </row>
    <row r="151">
      <c r="A151" s="1"/>
      <c r="B151" s="48" t="str">
        <f>IFERROR(__xludf.DUMMYFUNCTION("""COMPUTED_VALUE"""),"Vamsi Lolla ")</f>
        <v>Vamsi Lolla </v>
      </c>
      <c r="C151" s="49">
        <f>IFERROR(__xludf.DUMMYFUNCTION("""COMPUTED_VALUE"""),210.0)</f>
        <v>210</v>
      </c>
      <c r="D151" s="50">
        <f>IFERROR(__xludf.DUMMYFUNCTION("""COMPUTED_VALUE"""),10.0)</f>
        <v>10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IFERROR(__xludf.DUMMYFUNCTION("""COMPUTED_VALUE"""),219.0)</f>
        <v>219</v>
      </c>
      <c r="N151" s="52">
        <f>IFERROR(__xludf.DUMMYFUNCTION("""COMPUTED_VALUE"""),10.0)</f>
        <v>10</v>
      </c>
    </row>
    <row r="152">
      <c r="A152" s="1"/>
      <c r="B152" s="48" t="str">
        <f>IFERROR(__xludf.DUMMYFUNCTION("""COMPUTED_VALUE"""),"Nohely Mejia")</f>
        <v>Nohely Mejia</v>
      </c>
      <c r="C152" s="49">
        <f>IFERROR(__xludf.DUMMYFUNCTION("""COMPUTED_VALUE"""),209.0)</f>
        <v>209</v>
      </c>
      <c r="D152" s="50">
        <f>IFERROR(__xludf.DUMMYFUNCTION("""COMPUTED_VALUE"""),10.0)</f>
        <v>10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IFERROR(__xludf.DUMMYFUNCTION("""COMPUTED_VALUE"""),218.0)</f>
        <v>218</v>
      </c>
      <c r="N152" s="52">
        <f>IFERROR(__xludf.DUMMYFUNCTION("""COMPUTED_VALUE"""),10.0)</f>
        <v>10</v>
      </c>
    </row>
    <row r="153">
      <c r="A153" s="1"/>
      <c r="B153" s="48" t="str">
        <f>IFERROR(__xludf.DUMMYFUNCTION("""COMPUTED_VALUE"""),"Balaji Alahari")</f>
        <v>Balaji Alahari</v>
      </c>
      <c r="C153" s="49">
        <f>IFERROR(__xludf.DUMMYFUNCTION("""COMPUTED_VALUE"""),204.0)</f>
        <v>204</v>
      </c>
      <c r="D153" s="50">
        <f>IFERROR(__xludf.DUMMYFUNCTION("""COMPUTED_VALUE"""),5.0)</f>
        <v>5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IFERROR(__xludf.DUMMYFUNCTION("""COMPUTED_VALUE"""),213.0)</f>
        <v>213</v>
      </c>
      <c r="N153" s="52">
        <f>IFERROR(__xludf.DUMMYFUNCTION("""COMPUTED_VALUE"""),5.0)</f>
        <v>5</v>
      </c>
    </row>
    <row r="154">
      <c r="A154" s="1"/>
      <c r="B154" s="48" t="str">
        <f>IFERROR(__xludf.DUMMYFUNCTION("""COMPUTED_VALUE"""),"Luis Hsu")</f>
        <v>Luis Hsu</v>
      </c>
      <c r="C154" s="49">
        <f>IFERROR(__xludf.DUMMYFUNCTION("""COMPUTED_VALUE"""),204.0)</f>
        <v>204</v>
      </c>
      <c r="D154" s="50">
        <f>IFERROR(__xludf.DUMMYFUNCTION("""COMPUTED_VALUE"""),5.0)</f>
        <v>5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IFERROR(__xludf.DUMMYFUNCTION("""COMPUTED_VALUE"""),213.0)</f>
        <v>213</v>
      </c>
      <c r="N154" s="52">
        <f>IFERROR(__xludf.DUMMYFUNCTION("""COMPUTED_VALUE"""),5.0)</f>
        <v>5</v>
      </c>
    </row>
    <row r="155">
      <c r="A155" s="1"/>
      <c r="B155" s="48" t="str">
        <f>IFERROR(__xludf.DUMMYFUNCTION("""COMPUTED_VALUE"""),"Pan Lee")</f>
        <v>Pan Lee</v>
      </c>
      <c r="C155" s="49">
        <f>IFERROR(__xludf.DUMMYFUNCTION("""COMPUTED_VALUE"""),203.0)</f>
        <v>203</v>
      </c>
      <c r="D155" s="50">
        <f>IFERROR(__xludf.DUMMYFUNCTION("""COMPUTED_VALUE"""),5.0)</f>
        <v>5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IFERROR(__xludf.DUMMYFUNCTION("""COMPUTED_VALUE"""),212.0)</f>
        <v>212</v>
      </c>
      <c r="N155" s="52">
        <f>IFERROR(__xludf.DUMMYFUNCTION("""COMPUTED_VALUE"""),5.0)</f>
        <v>5</v>
      </c>
    </row>
    <row r="156">
      <c r="A156" s="1"/>
      <c r="B156" s="48" t="str">
        <f>IFERROR(__xludf.DUMMYFUNCTION("""COMPUTED_VALUE"""),"Lauren Chang")</f>
        <v>Lauren Chang</v>
      </c>
      <c r="C156" s="49">
        <f>IFERROR(__xludf.DUMMYFUNCTION("""COMPUTED_VALUE"""),201.0)</f>
        <v>201</v>
      </c>
      <c r="D156" s="50">
        <f>IFERROR(__xludf.DUMMYFUNCTION("""COMPUTED_VALUE"""),4.0)</f>
        <v>4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IFERROR(__xludf.DUMMYFUNCTION("""COMPUTED_VALUE"""),210.0)</f>
        <v>210</v>
      </c>
      <c r="N156" s="52">
        <f>IFERROR(__xludf.DUMMYFUNCTION("""COMPUTED_VALUE"""),4.0)</f>
        <v>4</v>
      </c>
    </row>
    <row r="157">
      <c r="A157" s="1"/>
      <c r="B157" s="48" t="str">
        <f>IFERROR(__xludf.DUMMYFUNCTION("""COMPUTED_VALUE"""),"Santosh Sundaresan ")</f>
        <v>Santosh Sundaresan </v>
      </c>
      <c r="C157" s="49">
        <f>IFERROR(__xludf.DUMMYFUNCTION("""COMPUTED_VALUE"""),199.0)</f>
        <v>199</v>
      </c>
      <c r="D157" s="50">
        <f>IFERROR(__xludf.DUMMYFUNCTION("""COMPUTED_VALUE"""),6.0)</f>
        <v>6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IFERROR(__xludf.DUMMYFUNCTION("""COMPUTED_VALUE"""),208.0)</f>
        <v>208</v>
      </c>
      <c r="N157" s="52">
        <f>IFERROR(__xludf.DUMMYFUNCTION("""COMPUTED_VALUE"""),6.0)</f>
        <v>6</v>
      </c>
    </row>
    <row r="158">
      <c r="A158" s="1"/>
      <c r="B158" s="48" t="str">
        <f>IFERROR(__xludf.DUMMYFUNCTION("""COMPUTED_VALUE"""),"Vilas Janardhanan")</f>
        <v>Vilas Janardhanan</v>
      </c>
      <c r="C158" s="49">
        <f>IFERROR(__xludf.DUMMYFUNCTION("""COMPUTED_VALUE"""),198.0)</f>
        <v>198</v>
      </c>
      <c r="D158" s="50">
        <f>IFERROR(__xludf.DUMMYFUNCTION("""COMPUTED_VALUE"""),7.0)</f>
        <v>7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IFERROR(__xludf.DUMMYFUNCTION("""COMPUTED_VALUE"""),207.0)</f>
        <v>207</v>
      </c>
      <c r="N158" s="52">
        <f>IFERROR(__xludf.DUMMYFUNCTION("""COMPUTED_VALUE"""),7.0)</f>
        <v>7</v>
      </c>
    </row>
    <row r="159">
      <c r="A159" s="1"/>
      <c r="B159" s="48" t="str">
        <f>IFERROR(__xludf.DUMMYFUNCTION("""COMPUTED_VALUE"""),"Piyorasa Li")</f>
        <v>Piyorasa Li</v>
      </c>
      <c r="C159" s="49">
        <f>IFERROR(__xludf.DUMMYFUNCTION("""COMPUTED_VALUE"""),198.0)</f>
        <v>198</v>
      </c>
      <c r="D159" s="50">
        <f>IFERROR(__xludf.DUMMYFUNCTION("""COMPUTED_VALUE"""),3.0)</f>
        <v>3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IFERROR(__xludf.DUMMYFUNCTION("""COMPUTED_VALUE"""),207.0)</f>
        <v>207</v>
      </c>
      <c r="N159" s="52">
        <f>IFERROR(__xludf.DUMMYFUNCTION("""COMPUTED_VALUE"""),3.0)</f>
        <v>3</v>
      </c>
    </row>
    <row r="160">
      <c r="A160" s="1"/>
      <c r="B160" s="48" t="str">
        <f>IFERROR(__xludf.DUMMYFUNCTION("""COMPUTED_VALUE"""),"Jason Kim ")</f>
        <v>Jason Kim </v>
      </c>
      <c r="C160" s="49">
        <f>IFERROR(__xludf.DUMMYFUNCTION("""COMPUTED_VALUE"""),198.0)</f>
        <v>198</v>
      </c>
      <c r="D160" s="50">
        <f>IFERROR(__xludf.DUMMYFUNCTION("""COMPUTED_VALUE"""),3.0)</f>
        <v>3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IFERROR(__xludf.DUMMYFUNCTION("""COMPUTED_VALUE"""),207.0)</f>
        <v>207</v>
      </c>
      <c r="N160" s="52">
        <f>IFERROR(__xludf.DUMMYFUNCTION("""COMPUTED_VALUE"""),3.0)</f>
        <v>3</v>
      </c>
    </row>
    <row r="161">
      <c r="A161" s="1"/>
      <c r="B161" s="48" t="str">
        <f>IFERROR(__xludf.DUMMYFUNCTION("""COMPUTED_VALUE"""),"Coco Yan")</f>
        <v>Coco Yan</v>
      </c>
      <c r="C161" s="49">
        <f>IFERROR(__xludf.DUMMYFUNCTION("""COMPUTED_VALUE"""),193.0)</f>
        <v>193</v>
      </c>
      <c r="D161" s="50">
        <f>IFERROR(__xludf.DUMMYFUNCTION("""COMPUTED_VALUE"""),2.0)</f>
        <v>2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IFERROR(__xludf.DUMMYFUNCTION("""COMPUTED_VALUE"""),202.0)</f>
        <v>202</v>
      </c>
      <c r="N161" s="52">
        <f>IFERROR(__xludf.DUMMYFUNCTION("""COMPUTED_VALUE"""),2.0)</f>
        <v>2</v>
      </c>
    </row>
    <row r="162">
      <c r="A162" s="1"/>
      <c r="B162" s="48" t="str">
        <f>IFERROR(__xludf.DUMMYFUNCTION("""COMPUTED_VALUE"""),"Savay Lieu")</f>
        <v>Savay Lieu</v>
      </c>
      <c r="C162" s="49">
        <f>IFERROR(__xludf.DUMMYFUNCTION("""COMPUTED_VALUE"""),189.0)</f>
        <v>189</v>
      </c>
      <c r="D162" s="50">
        <f>IFERROR(__xludf.DUMMYFUNCTION("""COMPUTED_VALUE"""),0.0)</f>
        <v>0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IFERROR(__xludf.DUMMYFUNCTION("""COMPUTED_VALUE"""),198.0)</f>
        <v>198</v>
      </c>
      <c r="N162" s="52">
        <f>IFERROR(__xludf.DUMMYFUNCTION("""COMPUTED_VALUE"""),0.0)</f>
        <v>0</v>
      </c>
    </row>
    <row r="163">
      <c r="A163" s="1"/>
      <c r="B163" s="48" t="str">
        <f>IFERROR(__xludf.DUMMYFUNCTION("""COMPUTED_VALUE"""),"Mihir Anand")</f>
        <v>Mihir Anand</v>
      </c>
      <c r="C163" s="49">
        <f>IFERROR(__xludf.DUMMYFUNCTION("""COMPUTED_VALUE"""),189.0)</f>
        <v>189</v>
      </c>
      <c r="D163" s="50">
        <f>IFERROR(__xludf.DUMMYFUNCTION("""COMPUTED_VALUE"""),0.0)</f>
        <v>0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IFERROR(__xludf.DUMMYFUNCTION("""COMPUTED_VALUE"""),198.0)</f>
        <v>198</v>
      </c>
      <c r="N163" s="52">
        <f>IFERROR(__xludf.DUMMYFUNCTION("""COMPUTED_VALUE"""),0.0)</f>
        <v>0</v>
      </c>
    </row>
    <row r="164">
      <c r="A164" s="1"/>
      <c r="B164" s="48" t="str">
        <f>IFERROR(__xludf.DUMMYFUNCTION("""COMPUTED_VALUE"""),"Manish Anand")</f>
        <v>Manish Anand</v>
      </c>
      <c r="C164" s="49">
        <f>IFERROR(__xludf.DUMMYFUNCTION("""COMPUTED_VALUE"""),189.0)</f>
        <v>189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IFERROR(__xludf.DUMMYFUNCTION("""COMPUTED_VALUE"""),198.0)</f>
        <v>198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IFERROR(__xludf.DUMMYFUNCTION("""COMPUTED_VALUE"""),"Fendi Purwadi")</f>
        <v>Fendi Purwadi</v>
      </c>
      <c r="C165" s="49">
        <f>IFERROR(__xludf.DUMMYFUNCTION("""COMPUTED_VALUE"""),189.0)</f>
        <v>189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IFERROR(__xludf.DUMMYFUNCTION("""COMPUTED_VALUE"""),198.0)</f>
        <v>198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IFERROR(__xludf.DUMMYFUNCTION("""COMPUTED_VALUE"""),"Jose Ortiz")</f>
        <v>Jose Ortiz</v>
      </c>
      <c r="C166" s="49">
        <f>IFERROR(__xludf.DUMMYFUNCTION("""COMPUTED_VALUE"""),186.0)</f>
        <v>186</v>
      </c>
      <c r="D166" s="50">
        <f>IFERROR(__xludf.DUMMYFUNCTION("""COMPUTED_VALUE"""),5.0)</f>
        <v>5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IFERROR(__xludf.DUMMYFUNCTION("""COMPUTED_VALUE"""),195.0)</f>
        <v>195</v>
      </c>
      <c r="N166" s="52">
        <f>IFERROR(__xludf.DUMMYFUNCTION("""COMPUTED_VALUE"""),5.0)</f>
        <v>5</v>
      </c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45262.0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21.0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275.0</v>
      </c>
      <c r="D5" s="28">
        <v>29.0</v>
      </c>
      <c r="E5" s="30">
        <v>1.0</v>
      </c>
      <c r="F5" s="31">
        <v>1.0</v>
      </c>
      <c r="G5" s="27">
        <v>0.0</v>
      </c>
      <c r="H5" s="31">
        <v>7.0</v>
      </c>
      <c r="I5" s="31">
        <v>6.0</v>
      </c>
      <c r="J5" s="31">
        <v>3.0</v>
      </c>
      <c r="K5" s="32">
        <v>16.0</v>
      </c>
      <c r="L5" s="31">
        <v>2.0</v>
      </c>
      <c r="M5" s="27">
        <f t="shared" ref="M5:N5" si="1">C5+K5</f>
        <v>291</v>
      </c>
      <c r="N5" s="28">
        <f t="shared" si="1"/>
        <v>31</v>
      </c>
      <c r="O5" s="33" t="s">
        <v>37</v>
      </c>
      <c r="P5" s="33" t="s">
        <v>37</v>
      </c>
      <c r="Q5" s="31">
        <f>if(G5=13,1,0)+VLOOKUP(B5,'112523'!B:Q,16,false)</f>
        <v>1</v>
      </c>
      <c r="R5" s="31"/>
      <c r="S5" s="31">
        <f>if(G5=9,1,0)+VLOOKUP(B5,'112523'!B:S,18,false)</f>
        <v>6</v>
      </c>
    </row>
    <row r="6">
      <c r="A6" s="25">
        <f t="shared" ref="A6:A68" si="3">A5+1</f>
        <v>2</v>
      </c>
      <c r="B6" s="26" t="s">
        <v>42</v>
      </c>
      <c r="C6" s="27">
        <v>268.0</v>
      </c>
      <c r="D6" s="28">
        <v>26.0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277</v>
      </c>
      <c r="N6" s="28">
        <f t="shared" si="2"/>
        <v>26</v>
      </c>
      <c r="O6" s="33" t="s">
        <v>37</v>
      </c>
      <c r="P6" s="33" t="s">
        <v>37</v>
      </c>
      <c r="Q6" s="31">
        <f>if(G6=13,1,0)+VLOOKUP(B6,'112523'!B:Q,16,false)</f>
        <v>0</v>
      </c>
      <c r="R6" s="31"/>
      <c r="S6" s="31">
        <f>if(G6=9,1,0)+VLOOKUP(B6,'112523'!B:S,18,false)</f>
        <v>8</v>
      </c>
    </row>
    <row r="7">
      <c r="A7" s="25">
        <f t="shared" si="3"/>
        <v>3</v>
      </c>
      <c r="B7" s="26" t="s">
        <v>47</v>
      </c>
      <c r="C7" s="27">
        <v>258.0</v>
      </c>
      <c r="D7" s="28">
        <v>24.0</v>
      </c>
      <c r="E7" s="30">
        <v>2.0</v>
      </c>
      <c r="F7" s="31">
        <v>1.0</v>
      </c>
      <c r="G7" s="27">
        <v>0.0</v>
      </c>
      <c r="H7" s="31">
        <v>6.0</v>
      </c>
      <c r="I7" s="31">
        <v>6.0</v>
      </c>
      <c r="J7" s="31">
        <v>6.0</v>
      </c>
      <c r="K7" s="32">
        <v>18.0</v>
      </c>
      <c r="L7" s="31">
        <v>2.0</v>
      </c>
      <c r="M7" s="27">
        <f t="shared" ref="M7:N7" si="4">C7+K7</f>
        <v>276</v>
      </c>
      <c r="N7" s="28">
        <f t="shared" si="4"/>
        <v>26</v>
      </c>
      <c r="O7" s="33" t="s">
        <v>37</v>
      </c>
      <c r="P7" s="33" t="s">
        <v>37</v>
      </c>
      <c r="Q7" s="31">
        <f>if(G7=13,1,0)+VLOOKUP(B7,'112523'!B:Q,16,false)</f>
        <v>0</v>
      </c>
      <c r="R7" s="31"/>
      <c r="S7" s="31">
        <f>if(G7=9,1,0)+VLOOKUP(B7,'112523'!B:S,18,false)</f>
        <v>10</v>
      </c>
    </row>
    <row r="8">
      <c r="A8" s="25">
        <f t="shared" si="3"/>
        <v>4</v>
      </c>
      <c r="B8" s="26" t="s">
        <v>48</v>
      </c>
      <c r="C8" s="27">
        <v>256.0</v>
      </c>
      <c r="D8" s="28">
        <v>23.0</v>
      </c>
      <c r="E8" s="30">
        <v>2.0</v>
      </c>
      <c r="F8" s="31">
        <v>1.0</v>
      </c>
      <c r="G8" s="27">
        <v>0.0</v>
      </c>
      <c r="H8" s="31">
        <v>6.0</v>
      </c>
      <c r="I8" s="31">
        <v>1.0</v>
      </c>
      <c r="J8" s="31">
        <v>3.0</v>
      </c>
      <c r="K8" s="32">
        <v>10.0</v>
      </c>
      <c r="L8" s="31">
        <v>0.0</v>
      </c>
      <c r="M8" s="27">
        <f t="shared" ref="M8:N8" si="5">C8+K8</f>
        <v>266</v>
      </c>
      <c r="N8" s="28">
        <f t="shared" si="5"/>
        <v>23</v>
      </c>
      <c r="O8" s="33" t="s">
        <v>37</v>
      </c>
      <c r="P8" s="33" t="s">
        <v>37</v>
      </c>
      <c r="Q8" s="31">
        <f>if(G8=13,1,0)+VLOOKUP(B8,'112523'!B:Q,16,false)</f>
        <v>0</v>
      </c>
      <c r="R8" s="31"/>
      <c r="S8" s="31">
        <f>if(G8=9,1,0)+VLOOKUP(B8,'112523'!B:S,18,false)</f>
        <v>8</v>
      </c>
    </row>
    <row r="9">
      <c r="A9" s="25">
        <f t="shared" si="3"/>
        <v>5</v>
      </c>
      <c r="B9" s="26" t="s">
        <v>51</v>
      </c>
      <c r="C9" s="27">
        <v>256.0</v>
      </c>
      <c r="D9" s="28">
        <v>23.0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265</v>
      </c>
      <c r="N9" s="28">
        <f t="shared" si="6"/>
        <v>23</v>
      </c>
      <c r="O9" s="33" t="s">
        <v>37</v>
      </c>
      <c r="P9" s="33" t="s">
        <v>37</v>
      </c>
      <c r="Q9" s="31">
        <f>if(G9=13,1,0)+VLOOKUP(B9,'112523'!B:Q,16,false)</f>
        <v>1</v>
      </c>
      <c r="R9" s="31"/>
      <c r="S9" s="31">
        <f>if(G9=9,1,0)+VLOOKUP(B9,'112523'!B:S,18,false)</f>
        <v>9</v>
      </c>
    </row>
    <row r="10">
      <c r="A10" s="25">
        <f t="shared" si="3"/>
        <v>6</v>
      </c>
      <c r="B10" s="26" t="s">
        <v>49</v>
      </c>
      <c r="C10" s="27">
        <v>256.0</v>
      </c>
      <c r="D10" s="28">
        <v>21.0</v>
      </c>
      <c r="E10" s="30">
        <v>1.0</v>
      </c>
      <c r="F10" s="31">
        <v>1.0</v>
      </c>
      <c r="G10" s="27">
        <v>0.0</v>
      </c>
      <c r="H10" s="31">
        <v>7.0</v>
      </c>
      <c r="I10" s="31">
        <v>1.0</v>
      </c>
      <c r="J10" s="31">
        <v>6.0</v>
      </c>
      <c r="K10" s="32">
        <v>14.0</v>
      </c>
      <c r="L10" s="31">
        <v>2.0</v>
      </c>
      <c r="M10" s="27">
        <f t="shared" ref="M10:N10" si="7">C10+K10</f>
        <v>270</v>
      </c>
      <c r="N10" s="28">
        <f t="shared" si="7"/>
        <v>23</v>
      </c>
      <c r="O10" s="33" t="s">
        <v>37</v>
      </c>
      <c r="P10" s="33" t="s">
        <v>37</v>
      </c>
      <c r="Q10" s="31">
        <f>if(G10=13,1,0)+VLOOKUP(B10,'112523'!B:Q,16,false)</f>
        <v>1</v>
      </c>
      <c r="R10" s="31"/>
      <c r="S10" s="31">
        <f>if(G10=9,1,0)+VLOOKUP(B10,'112523'!B:S,18,false)</f>
        <v>3</v>
      </c>
    </row>
    <row r="11">
      <c r="A11" s="25">
        <f t="shared" si="3"/>
        <v>7</v>
      </c>
      <c r="B11" s="26" t="s">
        <v>52</v>
      </c>
      <c r="C11" s="27">
        <v>255.0</v>
      </c>
      <c r="D11" s="28">
        <v>23.0</v>
      </c>
      <c r="E11" s="30">
        <v>1.0</v>
      </c>
      <c r="F11" s="31">
        <v>2.0</v>
      </c>
      <c r="G11" s="27">
        <v>0.0</v>
      </c>
      <c r="H11" s="31">
        <v>6.0</v>
      </c>
      <c r="I11" s="31">
        <v>3.0</v>
      </c>
      <c r="J11" s="31">
        <v>6.0</v>
      </c>
      <c r="K11" s="32">
        <v>15.0</v>
      </c>
      <c r="L11" s="31">
        <v>1.0</v>
      </c>
      <c r="M11" s="27">
        <f t="shared" ref="M11:N11" si="8">C11+K11</f>
        <v>270</v>
      </c>
      <c r="N11" s="28">
        <f t="shared" si="8"/>
        <v>24</v>
      </c>
      <c r="O11" s="33" t="s">
        <v>37</v>
      </c>
      <c r="P11" s="33" t="s">
        <v>37</v>
      </c>
      <c r="Q11" s="31">
        <f>if(G11=13,1,0)+VLOOKUP(B11,'112523'!B:Q,16,false)</f>
        <v>0</v>
      </c>
      <c r="R11" s="31"/>
      <c r="S11" s="31">
        <f>if(G11=9,1,0)+VLOOKUP(B11,'112523'!B:S,18,false)</f>
        <v>2</v>
      </c>
    </row>
    <row r="12">
      <c r="A12" s="25">
        <f t="shared" si="3"/>
        <v>8</v>
      </c>
      <c r="B12" s="26" t="s">
        <v>54</v>
      </c>
      <c r="C12" s="27">
        <v>251.0</v>
      </c>
      <c r="D12" s="28">
        <v>23.0</v>
      </c>
      <c r="E12" s="30">
        <v>3.0</v>
      </c>
      <c r="F12" s="31">
        <v>0.0</v>
      </c>
      <c r="G12" s="27">
        <v>9.0</v>
      </c>
      <c r="H12" s="31">
        <v>0.0</v>
      </c>
      <c r="I12" s="31">
        <v>0.0</v>
      </c>
      <c r="J12" s="31">
        <v>0.0</v>
      </c>
      <c r="K12" s="32">
        <v>9.0</v>
      </c>
      <c r="L12" s="31">
        <v>0.0</v>
      </c>
      <c r="M12" s="27">
        <f t="shared" ref="M12:N12" si="9">C12+K12</f>
        <v>260</v>
      </c>
      <c r="N12" s="28">
        <f t="shared" si="9"/>
        <v>23</v>
      </c>
      <c r="O12" s="33" t="s">
        <v>37</v>
      </c>
      <c r="P12" s="33" t="s">
        <v>37</v>
      </c>
      <c r="Q12" s="31">
        <f>if(G12=13,1,0)+VLOOKUP(B12,'112523'!B:Q,16,false)</f>
        <v>0</v>
      </c>
      <c r="R12" s="31"/>
      <c r="S12" s="31">
        <f>if(G12=9,1,0)+VLOOKUP(B12,'112523'!B:S,18,false)</f>
        <v>7</v>
      </c>
    </row>
    <row r="13">
      <c r="A13" s="25">
        <f t="shared" si="3"/>
        <v>9</v>
      </c>
      <c r="B13" s="26" t="s">
        <v>50</v>
      </c>
      <c r="C13" s="27">
        <v>250.0</v>
      </c>
      <c r="D13" s="28">
        <v>19.0</v>
      </c>
      <c r="E13" s="30">
        <v>1.0</v>
      </c>
      <c r="F13" s="31">
        <v>2.0</v>
      </c>
      <c r="G13" s="27">
        <v>0.0</v>
      </c>
      <c r="H13" s="31">
        <v>7.0</v>
      </c>
      <c r="I13" s="31">
        <v>6.0</v>
      </c>
      <c r="J13" s="31">
        <v>6.0</v>
      </c>
      <c r="K13" s="32">
        <v>19.0</v>
      </c>
      <c r="L13" s="31">
        <v>3.0</v>
      </c>
      <c r="M13" s="27">
        <f t="shared" ref="M13:N13" si="10">C13+K13</f>
        <v>269</v>
      </c>
      <c r="N13" s="28">
        <f t="shared" si="10"/>
        <v>22</v>
      </c>
      <c r="O13" s="33" t="s">
        <v>37</v>
      </c>
      <c r="P13" s="33" t="s">
        <v>37</v>
      </c>
      <c r="Q13" s="31">
        <f>if(G13=13,1,0)+VLOOKUP(B13,'112523'!B:Q,16,false)</f>
        <v>0</v>
      </c>
      <c r="R13" s="31"/>
      <c r="S13" s="31">
        <f>if(G13=9,1,0)+VLOOKUP(B13,'112523'!B:S,18,false)</f>
        <v>10</v>
      </c>
    </row>
    <row r="14">
      <c r="A14" s="25">
        <f t="shared" si="3"/>
        <v>10</v>
      </c>
      <c r="B14" s="26" t="s">
        <v>55</v>
      </c>
      <c r="C14" s="27">
        <v>245.0</v>
      </c>
      <c r="D14" s="28">
        <v>21.0</v>
      </c>
      <c r="E14" s="30">
        <v>1.0</v>
      </c>
      <c r="F14" s="31">
        <v>2.0</v>
      </c>
      <c r="G14" s="27">
        <v>0.0</v>
      </c>
      <c r="H14" s="31">
        <v>7.0</v>
      </c>
      <c r="I14" s="31">
        <v>3.0</v>
      </c>
      <c r="J14" s="31">
        <v>4.0</v>
      </c>
      <c r="K14" s="32">
        <v>14.0</v>
      </c>
      <c r="L14" s="31">
        <v>1.0</v>
      </c>
      <c r="M14" s="27">
        <f t="shared" ref="M14:N14" si="11">C14+K14</f>
        <v>259</v>
      </c>
      <c r="N14" s="28">
        <f t="shared" si="11"/>
        <v>22</v>
      </c>
      <c r="O14" s="33" t="s">
        <v>37</v>
      </c>
      <c r="P14" s="33" t="s">
        <v>37</v>
      </c>
      <c r="Q14" s="31">
        <f>if(G14=13,1,0)+VLOOKUP(B14,'112523'!B:Q,16,false)</f>
        <v>0</v>
      </c>
      <c r="R14" s="31"/>
      <c r="S14" s="31">
        <f>if(G14=9,1,0)+VLOOKUP(B14,'112523'!B:S,18,false)</f>
        <v>9</v>
      </c>
    </row>
    <row r="15">
      <c r="A15" s="25">
        <f t="shared" si="3"/>
        <v>11</v>
      </c>
      <c r="B15" s="26" t="s">
        <v>61</v>
      </c>
      <c r="C15" s="27">
        <v>244.0</v>
      </c>
      <c r="D15" s="28">
        <v>19.0</v>
      </c>
      <c r="E15" s="30">
        <v>1.0</v>
      </c>
      <c r="F15" s="31">
        <v>2.0</v>
      </c>
      <c r="G15" s="27">
        <v>0.0</v>
      </c>
      <c r="H15" s="31">
        <v>6.0</v>
      </c>
      <c r="I15" s="31">
        <v>6.0</v>
      </c>
      <c r="J15" s="31">
        <v>4.0</v>
      </c>
      <c r="K15" s="32">
        <v>16.0</v>
      </c>
      <c r="L15" s="31">
        <v>1.0</v>
      </c>
      <c r="M15" s="27">
        <f t="shared" ref="M15:N15" si="12">C15+K15</f>
        <v>260</v>
      </c>
      <c r="N15" s="28">
        <f t="shared" si="12"/>
        <v>20</v>
      </c>
      <c r="O15" s="33" t="s">
        <v>37</v>
      </c>
      <c r="P15" s="33" t="s">
        <v>37</v>
      </c>
      <c r="Q15" s="31">
        <f>if(G15=13,1,0)+VLOOKUP(B15,'112523'!B:Q,16,false)</f>
        <v>0</v>
      </c>
      <c r="R15" s="31"/>
      <c r="S15" s="31">
        <f>if(G15=9,1,0)+VLOOKUP(B15,'112523'!B:S,18,false)</f>
        <v>5</v>
      </c>
    </row>
    <row r="16">
      <c r="A16" s="25">
        <f t="shared" si="3"/>
        <v>12</v>
      </c>
      <c r="B16" s="26" t="s">
        <v>53</v>
      </c>
      <c r="C16" s="27">
        <v>244.0</v>
      </c>
      <c r="D16" s="28">
        <v>18.0</v>
      </c>
      <c r="E16" s="30">
        <v>1.0</v>
      </c>
      <c r="F16" s="31">
        <v>3.0</v>
      </c>
      <c r="G16" s="27">
        <v>0.0</v>
      </c>
      <c r="H16" s="31">
        <v>7.0</v>
      </c>
      <c r="I16" s="31">
        <v>6.0</v>
      </c>
      <c r="J16" s="31">
        <v>2.0</v>
      </c>
      <c r="K16" s="32">
        <v>15.0</v>
      </c>
      <c r="L16" s="31">
        <v>2.0</v>
      </c>
      <c r="M16" s="27">
        <f t="shared" ref="M16:N16" si="13">C16+K16</f>
        <v>259</v>
      </c>
      <c r="N16" s="28">
        <f t="shared" si="13"/>
        <v>20</v>
      </c>
      <c r="O16" s="33" t="s">
        <v>37</v>
      </c>
      <c r="P16" s="33" t="s">
        <v>37</v>
      </c>
      <c r="Q16" s="31">
        <f>if(G16=13,1,0)+VLOOKUP(B16,'112523'!B:Q,16,false)</f>
        <v>0</v>
      </c>
      <c r="R16" s="31"/>
      <c r="S16" s="31">
        <f>if(G16=9,1,0)+VLOOKUP(B16,'112523'!B:S,18,false)</f>
        <v>6</v>
      </c>
    </row>
    <row r="17">
      <c r="A17" s="25">
        <f t="shared" si="3"/>
        <v>13</v>
      </c>
      <c r="B17" s="36" t="s">
        <v>59</v>
      </c>
      <c r="C17" s="27">
        <v>244.0</v>
      </c>
      <c r="D17" s="28">
        <v>17.0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253</v>
      </c>
      <c r="N17" s="28">
        <f t="shared" si="14"/>
        <v>17</v>
      </c>
      <c r="O17" s="33" t="s">
        <v>37</v>
      </c>
      <c r="P17" s="33" t="s">
        <v>37</v>
      </c>
      <c r="Q17" s="31">
        <f>if(G17=13,1,0)+VLOOKUP(B17,'112523'!B:Q,16,false)</f>
        <v>0</v>
      </c>
      <c r="R17" s="31"/>
      <c r="S17" s="31">
        <f>if(G17=9,1,0)+VLOOKUP(B17,'112523'!B:S,18,false)</f>
        <v>5</v>
      </c>
    </row>
    <row r="18">
      <c r="A18" s="25">
        <f t="shared" si="3"/>
        <v>14</v>
      </c>
      <c r="B18" s="26" t="s">
        <v>60</v>
      </c>
      <c r="C18" s="27">
        <v>242.0</v>
      </c>
      <c r="D18" s="28">
        <v>21.0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251</v>
      </c>
      <c r="N18" s="28">
        <f t="shared" si="15"/>
        <v>21</v>
      </c>
      <c r="O18" s="33" t="s">
        <v>37</v>
      </c>
      <c r="P18" s="33" t="s">
        <v>37</v>
      </c>
      <c r="Q18" s="31">
        <f>if(G18=13,1,0)+VLOOKUP(B18,'112523'!B:Q,16,false)</f>
        <v>0</v>
      </c>
      <c r="R18" s="31"/>
      <c r="S18" s="31">
        <f>if(G18=9,1,0)+VLOOKUP(B18,'112523'!B:S,18,false)</f>
        <v>8</v>
      </c>
    </row>
    <row r="19">
      <c r="A19" s="25">
        <f t="shared" si="3"/>
        <v>15</v>
      </c>
      <c r="B19" s="36" t="s">
        <v>56</v>
      </c>
      <c r="C19" s="27">
        <v>241.0</v>
      </c>
      <c r="D19" s="28">
        <v>22.0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250</v>
      </c>
      <c r="N19" s="28">
        <f t="shared" si="16"/>
        <v>22</v>
      </c>
      <c r="O19" s="33" t="s">
        <v>37</v>
      </c>
      <c r="P19" s="33" t="s">
        <v>37</v>
      </c>
      <c r="Q19" s="31">
        <f>if(G19=13,1,0)+VLOOKUP(B19,'112523'!B:Q,16,false)</f>
        <v>1</v>
      </c>
      <c r="R19" s="31"/>
      <c r="S19" s="31">
        <f>if(G19=9,1,0)+VLOOKUP(B19,'112523'!B:S,18,false)</f>
        <v>5</v>
      </c>
    </row>
    <row r="20">
      <c r="A20" s="25">
        <f t="shared" si="3"/>
        <v>16</v>
      </c>
      <c r="B20" s="26" t="s">
        <v>58</v>
      </c>
      <c r="C20" s="27">
        <v>241.0</v>
      </c>
      <c r="D20" s="28">
        <v>18.0</v>
      </c>
      <c r="E20" s="30">
        <v>1.0</v>
      </c>
      <c r="F20" s="31">
        <v>3.0</v>
      </c>
      <c r="G20" s="27">
        <v>0.0</v>
      </c>
      <c r="H20" s="31">
        <v>5.0</v>
      </c>
      <c r="I20" s="31">
        <v>1.0</v>
      </c>
      <c r="J20" s="31">
        <v>2.0</v>
      </c>
      <c r="K20" s="32">
        <v>8.0</v>
      </c>
      <c r="L20" s="31">
        <v>0.0</v>
      </c>
      <c r="M20" s="27">
        <f t="shared" ref="M20:N20" si="17">C20+K20</f>
        <v>249</v>
      </c>
      <c r="N20" s="28">
        <f t="shared" si="17"/>
        <v>18</v>
      </c>
      <c r="O20" s="33" t="s">
        <v>37</v>
      </c>
      <c r="P20" s="33" t="s">
        <v>37</v>
      </c>
      <c r="Q20" s="31">
        <f>if(G20=13,1,0)+VLOOKUP(B20,'112523'!B:Q,16,false)</f>
        <v>0</v>
      </c>
      <c r="R20" s="31"/>
      <c r="S20" s="31">
        <f>if(G20=9,1,0)+VLOOKUP(B20,'112523'!B:S,18,false)</f>
        <v>7</v>
      </c>
    </row>
    <row r="21">
      <c r="A21" s="25">
        <f t="shared" si="3"/>
        <v>17</v>
      </c>
      <c r="B21" s="36" t="s">
        <v>62</v>
      </c>
      <c r="C21" s="27">
        <v>237.0</v>
      </c>
      <c r="D21" s="28">
        <v>16.0</v>
      </c>
      <c r="E21" s="30">
        <v>1.0</v>
      </c>
      <c r="F21" s="31">
        <v>3.0</v>
      </c>
      <c r="G21" s="27">
        <v>0.0</v>
      </c>
      <c r="H21" s="31">
        <v>5.0</v>
      </c>
      <c r="I21" s="31">
        <v>6.0</v>
      </c>
      <c r="J21" s="31">
        <v>6.0</v>
      </c>
      <c r="K21" s="32">
        <v>17.0</v>
      </c>
      <c r="L21" s="31">
        <v>2.0</v>
      </c>
      <c r="M21" s="27">
        <f t="shared" ref="M21:N21" si="18">C21+K21</f>
        <v>254</v>
      </c>
      <c r="N21" s="28">
        <f t="shared" si="18"/>
        <v>18</v>
      </c>
      <c r="O21" s="33" t="s">
        <v>37</v>
      </c>
      <c r="P21" s="33" t="s">
        <v>37</v>
      </c>
      <c r="Q21" s="31">
        <f>if(G21=13,1,0)+VLOOKUP(B21,'112523'!B:Q,16,false)</f>
        <v>0</v>
      </c>
      <c r="R21" s="31"/>
      <c r="S21" s="31">
        <f>if(G21=9,1,0)+VLOOKUP(B21,'112523'!B:S,18,false)</f>
        <v>5</v>
      </c>
    </row>
    <row r="22">
      <c r="A22" s="25">
        <f t="shared" si="3"/>
        <v>18</v>
      </c>
      <c r="B22" s="26" t="s">
        <v>64</v>
      </c>
      <c r="C22" s="27">
        <v>237.0</v>
      </c>
      <c r="D22" s="28">
        <v>16.0</v>
      </c>
      <c r="E22" s="30">
        <v>3.0</v>
      </c>
      <c r="F22" s="31">
        <v>0.0</v>
      </c>
      <c r="G22" s="27">
        <v>9.0</v>
      </c>
      <c r="H22" s="31">
        <v>0.0</v>
      </c>
      <c r="I22" s="31">
        <v>0.0</v>
      </c>
      <c r="J22" s="31">
        <v>0.0</v>
      </c>
      <c r="K22" s="32">
        <v>9.0</v>
      </c>
      <c r="L22" s="31">
        <v>0.0</v>
      </c>
      <c r="M22" s="27">
        <f t="shared" ref="M22:N22" si="19">C22+K22</f>
        <v>246</v>
      </c>
      <c r="N22" s="28">
        <f t="shared" si="19"/>
        <v>16</v>
      </c>
      <c r="O22" s="33" t="s">
        <v>37</v>
      </c>
      <c r="P22" s="33" t="s">
        <v>37</v>
      </c>
      <c r="Q22" s="31">
        <f>if(G22=13,1,0)+VLOOKUP(B22,'112523'!B:Q,16,false)</f>
        <v>0</v>
      </c>
      <c r="R22" s="31"/>
      <c r="S22" s="31">
        <f>if(G22=9,1,0)+VLOOKUP(B22,'112523'!B:S,18,false)</f>
        <v>13</v>
      </c>
    </row>
    <row r="23">
      <c r="A23" s="25">
        <f t="shared" si="3"/>
        <v>19</v>
      </c>
      <c r="B23" s="26" t="s">
        <v>65</v>
      </c>
      <c r="C23" s="27">
        <v>237.0</v>
      </c>
      <c r="D23" s="28">
        <v>15.0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246</v>
      </c>
      <c r="N23" s="28">
        <f t="shared" si="20"/>
        <v>15</v>
      </c>
      <c r="O23" s="33" t="s">
        <v>37</v>
      </c>
      <c r="P23" s="33" t="s">
        <v>37</v>
      </c>
      <c r="Q23" s="31">
        <f>if(G23=13,1,0)+VLOOKUP(B23,'112523'!B:Q,16,false)</f>
        <v>0</v>
      </c>
      <c r="R23" s="31"/>
      <c r="S23" s="31">
        <f>if(G23=9,1,0)+VLOOKUP(B23,'112523'!B:S,18,false)</f>
        <v>12</v>
      </c>
    </row>
    <row r="24">
      <c r="A24" s="25">
        <f t="shared" si="3"/>
        <v>20</v>
      </c>
      <c r="B24" s="36" t="s">
        <v>67</v>
      </c>
      <c r="C24" s="27">
        <v>236.0</v>
      </c>
      <c r="D24" s="28">
        <v>17.0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245</v>
      </c>
      <c r="N24" s="28">
        <f t="shared" si="21"/>
        <v>17</v>
      </c>
      <c r="O24" s="33" t="s">
        <v>37</v>
      </c>
      <c r="P24" s="33" t="s">
        <v>37</v>
      </c>
      <c r="Q24" s="31">
        <f>if(G24=13,1,0)+VLOOKUP(B24,'112523'!B:Q,16,false)</f>
        <v>0</v>
      </c>
      <c r="R24" s="31"/>
      <c r="S24" s="31">
        <f>if(G24=9,1,0)+VLOOKUP(B24,'112523'!B:S,18,false)</f>
        <v>11</v>
      </c>
    </row>
    <row r="25">
      <c r="A25" s="25">
        <f t="shared" si="3"/>
        <v>21</v>
      </c>
      <c r="B25" s="26" t="s">
        <v>57</v>
      </c>
      <c r="C25" s="27">
        <v>235.0</v>
      </c>
      <c r="D25" s="28">
        <v>20.0</v>
      </c>
      <c r="E25" s="30">
        <v>1.0</v>
      </c>
      <c r="F25" s="31">
        <v>3.0</v>
      </c>
      <c r="G25" s="27">
        <v>0.0</v>
      </c>
      <c r="H25" s="31">
        <v>7.0</v>
      </c>
      <c r="I25" s="31">
        <v>1.0</v>
      </c>
      <c r="J25" s="31">
        <v>6.0</v>
      </c>
      <c r="K25" s="32">
        <v>14.0</v>
      </c>
      <c r="L25" s="31">
        <v>2.0</v>
      </c>
      <c r="M25" s="27">
        <f t="shared" ref="M25:N25" si="22">C25+K25</f>
        <v>249</v>
      </c>
      <c r="N25" s="28">
        <f t="shared" si="22"/>
        <v>22</v>
      </c>
      <c r="O25" s="33" t="s">
        <v>37</v>
      </c>
      <c r="P25" s="33" t="s">
        <v>37</v>
      </c>
      <c r="Q25" s="31">
        <f>if(G25=13,1,0)+VLOOKUP(B25,'112523'!B:Q,16,false)</f>
        <v>0</v>
      </c>
      <c r="R25" s="31"/>
      <c r="S25" s="31">
        <f>if(G25=9,1,0)+VLOOKUP(B25,'112523'!B:S,18,false)</f>
        <v>6</v>
      </c>
    </row>
    <row r="26">
      <c r="A26" s="25">
        <f t="shared" si="3"/>
        <v>22</v>
      </c>
      <c r="B26" s="26" t="s">
        <v>66</v>
      </c>
      <c r="C26" s="27">
        <v>235.0</v>
      </c>
      <c r="D26" s="28">
        <v>15.0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244</v>
      </c>
      <c r="N26" s="28">
        <f t="shared" si="23"/>
        <v>15</v>
      </c>
      <c r="O26" s="33" t="s">
        <v>37</v>
      </c>
      <c r="P26" s="33" t="s">
        <v>37</v>
      </c>
      <c r="Q26" s="31">
        <f>if(G26=13,1,0)+VLOOKUP(B26,'112523'!B:Q,16,false)</f>
        <v>2</v>
      </c>
      <c r="R26" s="31"/>
      <c r="S26" s="31">
        <f>if(G26=9,1,0)+VLOOKUP(B26,'112523'!B:S,18,false)</f>
        <v>8</v>
      </c>
    </row>
    <row r="27">
      <c r="A27" s="25">
        <f t="shared" si="3"/>
        <v>23</v>
      </c>
      <c r="B27" s="26" t="s">
        <v>70</v>
      </c>
      <c r="C27" s="27">
        <v>233.0</v>
      </c>
      <c r="D27" s="28">
        <v>20.0</v>
      </c>
      <c r="E27" s="30">
        <v>1.0</v>
      </c>
      <c r="F27" s="31">
        <v>5.0</v>
      </c>
      <c r="G27" s="27">
        <v>0.0</v>
      </c>
      <c r="H27" s="31">
        <v>4.0</v>
      </c>
      <c r="I27" s="31">
        <v>7.0</v>
      </c>
      <c r="J27" s="31">
        <v>0.0</v>
      </c>
      <c r="K27" s="32">
        <v>11.0</v>
      </c>
      <c r="L27" s="31">
        <v>1.0</v>
      </c>
      <c r="M27" s="27">
        <f t="shared" ref="M27:N27" si="24">C27+K27</f>
        <v>244</v>
      </c>
      <c r="N27" s="28">
        <f t="shared" si="24"/>
        <v>21</v>
      </c>
      <c r="O27" s="33" t="s">
        <v>37</v>
      </c>
      <c r="P27" s="33" t="s">
        <v>37</v>
      </c>
      <c r="Q27" s="31">
        <f>if(G27=13,1,0)+VLOOKUP(B27,'112523'!B:Q,16,false)</f>
        <v>0</v>
      </c>
      <c r="R27" s="31"/>
      <c r="S27" s="31">
        <f>if(G27=9,1,0)+VLOOKUP(B27,'112523'!B:S,18,false)</f>
        <v>7</v>
      </c>
      <c r="V27" s="30">
        <f>if(isna(VLOOKUP(B28,Checkin!A:B,2,false)),0,VLOOKUP(B28,Checkin!A:B,2,false))</f>
        <v>0</v>
      </c>
    </row>
    <row r="28">
      <c r="A28" s="25">
        <f t="shared" si="3"/>
        <v>24</v>
      </c>
      <c r="B28" s="26" t="s">
        <v>72</v>
      </c>
      <c r="C28" s="27">
        <v>233.0</v>
      </c>
      <c r="D28" s="28">
        <v>16.0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242</v>
      </c>
      <c r="N28" s="28">
        <f t="shared" si="25"/>
        <v>16</v>
      </c>
      <c r="O28" s="33" t="s">
        <v>37</v>
      </c>
      <c r="P28" s="33" t="s">
        <v>37</v>
      </c>
      <c r="Q28" s="31">
        <f>if(G28=13,1,0)+VLOOKUP(B28,'112523'!B:Q,16,false)</f>
        <v>1</v>
      </c>
      <c r="R28" s="31"/>
      <c r="S28" s="31">
        <f>if(G28=9,1,0)+VLOOKUP(B28,'112523'!B:S,18,false)</f>
        <v>13</v>
      </c>
    </row>
    <row r="29">
      <c r="A29" s="25">
        <f t="shared" si="3"/>
        <v>25</v>
      </c>
      <c r="B29" s="36" t="s">
        <v>63</v>
      </c>
      <c r="C29" s="27">
        <v>232.0</v>
      </c>
      <c r="D29" s="28">
        <v>15.0</v>
      </c>
      <c r="E29" s="30">
        <v>1.0</v>
      </c>
      <c r="F29" s="31">
        <v>5.0</v>
      </c>
      <c r="G29" s="27">
        <v>0.0</v>
      </c>
      <c r="H29" s="31">
        <v>4.0</v>
      </c>
      <c r="I29" s="31">
        <v>6.0</v>
      </c>
      <c r="J29" s="31">
        <v>6.0</v>
      </c>
      <c r="K29" s="32">
        <v>16.0</v>
      </c>
      <c r="L29" s="31">
        <v>1.0</v>
      </c>
      <c r="M29" s="27">
        <f t="shared" ref="M29:N29" si="26">C29+K29</f>
        <v>248</v>
      </c>
      <c r="N29" s="28">
        <f t="shared" si="26"/>
        <v>16</v>
      </c>
      <c r="O29" s="33" t="s">
        <v>37</v>
      </c>
      <c r="P29" s="33" t="s">
        <v>37</v>
      </c>
      <c r="Q29" s="31">
        <f>if(G29=13,1,0)+VLOOKUP(B29,'112523'!B:Q,16,false)</f>
        <v>0</v>
      </c>
      <c r="R29" s="31"/>
      <c r="S29" s="31">
        <f>if(G29=9,1,0)+VLOOKUP(B29,'112523'!B:S,18,false)</f>
        <v>13</v>
      </c>
    </row>
    <row r="30">
      <c r="A30" s="25">
        <f t="shared" si="3"/>
        <v>26</v>
      </c>
      <c r="B30" s="26" t="s">
        <v>68</v>
      </c>
      <c r="C30" s="27">
        <v>230.0</v>
      </c>
      <c r="D30" s="28">
        <v>13.0</v>
      </c>
      <c r="E30" s="30">
        <v>3.0</v>
      </c>
      <c r="F30" s="31">
        <v>0.0</v>
      </c>
      <c r="G30" s="27">
        <v>9.0</v>
      </c>
      <c r="H30" s="31">
        <v>0.0</v>
      </c>
      <c r="I30" s="31">
        <v>0.0</v>
      </c>
      <c r="J30" s="31">
        <v>0.0</v>
      </c>
      <c r="K30" s="32">
        <v>9.0</v>
      </c>
      <c r="L30" s="31">
        <v>0.0</v>
      </c>
      <c r="M30" s="27">
        <f t="shared" ref="M30:N30" si="27">C30+K30</f>
        <v>239</v>
      </c>
      <c r="N30" s="28">
        <f t="shared" si="27"/>
        <v>13</v>
      </c>
      <c r="O30" s="33" t="s">
        <v>37</v>
      </c>
      <c r="P30" s="33" t="s">
        <v>37</v>
      </c>
      <c r="Q30" s="31">
        <f>if(G30=13,1,0)+VLOOKUP(B30,'112523'!B:Q,16,false)</f>
        <v>1</v>
      </c>
      <c r="R30" s="31"/>
      <c r="S30" s="31">
        <f>if(G30=9,1,0)+VLOOKUP(B30,'112523'!B:S,18,false)</f>
        <v>14</v>
      </c>
    </row>
    <row r="31">
      <c r="A31" s="25">
        <f t="shared" si="3"/>
        <v>27</v>
      </c>
      <c r="B31" s="26" t="s">
        <v>74</v>
      </c>
      <c r="C31" s="27">
        <v>219.0</v>
      </c>
      <c r="D31" s="28">
        <v>14.0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228</v>
      </c>
      <c r="N31" s="28">
        <f t="shared" si="28"/>
        <v>14</v>
      </c>
      <c r="O31" s="33" t="s">
        <v>37</v>
      </c>
      <c r="P31" s="33" t="s">
        <v>37</v>
      </c>
      <c r="Q31" s="31">
        <f>if(G31=13,1,0)+VLOOKUP(B31,'112523'!B:Q,16,false)</f>
        <v>0</v>
      </c>
      <c r="R31" s="31"/>
      <c r="S31" s="31">
        <f>if(G31=9,1,0)+VLOOKUP(B31,'112523'!B:S,18,false)</f>
        <v>7</v>
      </c>
    </row>
    <row r="32">
      <c r="A32" s="25">
        <f t="shared" si="3"/>
        <v>28</v>
      </c>
      <c r="B32" s="26" t="s">
        <v>75</v>
      </c>
      <c r="C32" s="27">
        <v>217.0</v>
      </c>
      <c r="D32" s="28">
        <v>14.0</v>
      </c>
      <c r="E32" s="30">
        <v>2.0</v>
      </c>
      <c r="F32" s="31">
        <v>5.0</v>
      </c>
      <c r="G32" s="27">
        <v>0.0</v>
      </c>
      <c r="H32" s="31">
        <v>6.0</v>
      </c>
      <c r="I32" s="31">
        <v>6.0</v>
      </c>
      <c r="J32" s="31">
        <v>0.0</v>
      </c>
      <c r="K32" s="32">
        <v>12.0</v>
      </c>
      <c r="L32" s="31">
        <v>1.0</v>
      </c>
      <c r="M32" s="27">
        <f t="shared" ref="M32:N32" si="29">C32+K32</f>
        <v>229</v>
      </c>
      <c r="N32" s="28">
        <f t="shared" si="29"/>
        <v>15</v>
      </c>
      <c r="O32" s="33" t="s">
        <v>37</v>
      </c>
      <c r="P32" s="33" t="s">
        <v>37</v>
      </c>
      <c r="Q32" s="31">
        <f>if(G32=13,1,0)+VLOOKUP(B32,'112523'!B:Q,16,false)</f>
        <v>0</v>
      </c>
      <c r="R32" s="31"/>
      <c r="S32" s="31">
        <f>if(G32=9,1,0)+VLOOKUP(B32,'112523'!B:S,18,false)</f>
        <v>6</v>
      </c>
    </row>
    <row r="33">
      <c r="A33" s="25">
        <f t="shared" si="3"/>
        <v>29</v>
      </c>
      <c r="B33" s="36" t="s">
        <v>69</v>
      </c>
      <c r="C33" s="27">
        <v>216.0</v>
      </c>
      <c r="D33" s="28">
        <v>11.0</v>
      </c>
      <c r="E33" s="30">
        <v>1.0</v>
      </c>
      <c r="F33" s="31">
        <v>5.0</v>
      </c>
      <c r="G33" s="27">
        <v>0.0</v>
      </c>
      <c r="H33" s="31">
        <v>6.0</v>
      </c>
      <c r="I33" s="31">
        <v>7.0</v>
      </c>
      <c r="J33" s="31">
        <v>6.0</v>
      </c>
      <c r="K33" s="32">
        <v>19.0</v>
      </c>
      <c r="L33" s="31">
        <v>3.0</v>
      </c>
      <c r="M33" s="27">
        <f t="shared" ref="M33:N33" si="30">C33+K33</f>
        <v>235</v>
      </c>
      <c r="N33" s="28">
        <f t="shared" si="30"/>
        <v>14</v>
      </c>
      <c r="O33" s="33" t="s">
        <v>37</v>
      </c>
      <c r="P33" s="33" t="s">
        <v>37</v>
      </c>
      <c r="Q33" s="31">
        <f>if(G33=13,1,0)+VLOOKUP(B33,'112523'!B:Q,16,false)</f>
        <v>0</v>
      </c>
      <c r="R33" s="31"/>
      <c r="S33" s="31">
        <f>if(G33=9,1,0)+VLOOKUP(B33,'112523'!B:S,18,false)</f>
        <v>16</v>
      </c>
    </row>
    <row r="34">
      <c r="A34" s="25">
        <f t="shared" si="3"/>
        <v>30</v>
      </c>
      <c r="B34" s="36" t="s">
        <v>77</v>
      </c>
      <c r="C34" s="27">
        <v>216.0</v>
      </c>
      <c r="D34" s="28">
        <v>10.0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225</v>
      </c>
      <c r="N34" s="28">
        <f t="shared" si="31"/>
        <v>10</v>
      </c>
      <c r="O34" s="33" t="s">
        <v>37</v>
      </c>
      <c r="P34" s="33" t="s">
        <v>37</v>
      </c>
      <c r="Q34" s="31">
        <f>if(G34=13,1,0)+VLOOKUP(B34,'112523'!B:Q,16,false)</f>
        <v>0</v>
      </c>
      <c r="R34" s="31"/>
      <c r="S34" s="31">
        <f>if(G34=9,1,0)+VLOOKUP(B34,'112523'!B:S,18,false)</f>
        <v>16</v>
      </c>
    </row>
    <row r="35">
      <c r="A35" s="25">
        <f t="shared" si="3"/>
        <v>31</v>
      </c>
      <c r="B35" s="26" t="s">
        <v>78</v>
      </c>
      <c r="C35" s="27">
        <v>215.0</v>
      </c>
      <c r="D35" s="28">
        <v>16.0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224</v>
      </c>
      <c r="N35" s="28">
        <f t="shared" si="32"/>
        <v>16</v>
      </c>
      <c r="O35" s="33" t="s">
        <v>37</v>
      </c>
      <c r="P35" s="33" t="s">
        <v>37</v>
      </c>
      <c r="Q35" s="31">
        <f>if(G35=13,1,0)+VLOOKUP(B35,'112523'!B:Q,16,false)</f>
        <v>0</v>
      </c>
      <c r="R35" s="31"/>
      <c r="S35" s="31">
        <f>if(G35=9,1,0)+VLOOKUP(B35,'112523'!B:S,18,false)</f>
        <v>8</v>
      </c>
    </row>
    <row r="36">
      <c r="A36" s="25">
        <f t="shared" si="3"/>
        <v>32</v>
      </c>
      <c r="B36" s="26" t="s">
        <v>73</v>
      </c>
      <c r="C36" s="27">
        <v>214.0</v>
      </c>
      <c r="D36" s="28">
        <v>8.0</v>
      </c>
      <c r="E36" s="30">
        <v>1.0</v>
      </c>
      <c r="F36" s="31">
        <v>6.0</v>
      </c>
      <c r="G36" s="27">
        <v>0.0</v>
      </c>
      <c r="H36" s="31">
        <v>6.0</v>
      </c>
      <c r="I36" s="31">
        <v>6.0</v>
      </c>
      <c r="J36" s="31">
        <v>6.0</v>
      </c>
      <c r="K36" s="32">
        <v>18.0</v>
      </c>
      <c r="L36" s="31">
        <v>3.0</v>
      </c>
      <c r="M36" s="27">
        <f t="shared" ref="M36:N36" si="33">C36+K36</f>
        <v>232</v>
      </c>
      <c r="N36" s="28">
        <f t="shared" si="33"/>
        <v>11</v>
      </c>
      <c r="O36" s="33" t="s">
        <v>37</v>
      </c>
      <c r="P36" s="33" t="s">
        <v>37</v>
      </c>
      <c r="Q36" s="31">
        <f>if(G36=13,1,0)+VLOOKUP(B36,'112523'!B:Q,16,false)</f>
        <v>0</v>
      </c>
      <c r="R36" s="31"/>
      <c r="S36" s="31">
        <f>if(G36=9,1,0)+VLOOKUP(B36,'112523'!B:S,18,false)</f>
        <v>14</v>
      </c>
    </row>
    <row r="37">
      <c r="A37" s="25">
        <f t="shared" si="3"/>
        <v>33</v>
      </c>
      <c r="B37" s="26" t="s">
        <v>71</v>
      </c>
      <c r="C37" s="27">
        <v>213.0</v>
      </c>
      <c r="D37" s="28">
        <v>11.0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222</v>
      </c>
      <c r="N37" s="28">
        <f t="shared" si="34"/>
        <v>11</v>
      </c>
      <c r="O37" s="33" t="s">
        <v>37</v>
      </c>
      <c r="P37" s="33" t="s">
        <v>37</v>
      </c>
      <c r="Q37" s="31">
        <f>if(G37=13,1,0)+VLOOKUP(B37,'112523'!B:Q,16,false)</f>
        <v>1</v>
      </c>
      <c r="R37" s="31"/>
      <c r="S37" s="31">
        <f>if(G37=9,1,0)+VLOOKUP(B37,'112523'!B:S,18,false)</f>
        <v>15</v>
      </c>
    </row>
    <row r="38">
      <c r="A38" s="25">
        <f t="shared" si="3"/>
        <v>34</v>
      </c>
      <c r="B38" s="26" t="s">
        <v>80</v>
      </c>
      <c r="C38" s="27">
        <v>213.0</v>
      </c>
      <c r="D38" s="28">
        <v>10.0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222</v>
      </c>
      <c r="N38" s="28">
        <f t="shared" si="35"/>
        <v>10</v>
      </c>
      <c r="O38" s="33" t="s">
        <v>37</v>
      </c>
      <c r="P38" s="33" t="s">
        <v>37</v>
      </c>
      <c r="Q38" s="31">
        <f>if(G38=13,1,0)+VLOOKUP(B38,'112523'!B:Q,16,false)</f>
        <v>0</v>
      </c>
      <c r="R38" s="31"/>
      <c r="S38" s="31">
        <f>if(G38=9,1,0)+VLOOKUP(B38,'112523'!B:S,18,false)</f>
        <v>17</v>
      </c>
    </row>
    <row r="39">
      <c r="A39" s="25">
        <f t="shared" si="3"/>
        <v>35</v>
      </c>
      <c r="B39" s="26" t="s">
        <v>79</v>
      </c>
      <c r="C39" s="27">
        <v>212.0</v>
      </c>
      <c r="D39" s="28">
        <v>20.0</v>
      </c>
      <c r="E39" s="30">
        <v>2.0</v>
      </c>
      <c r="F39" s="31">
        <v>6.0</v>
      </c>
      <c r="G39" s="27">
        <v>0.0</v>
      </c>
      <c r="H39" s="31">
        <v>0.0</v>
      </c>
      <c r="I39" s="31">
        <v>6.0</v>
      </c>
      <c r="J39" s="31">
        <v>1.0</v>
      </c>
      <c r="K39" s="32">
        <v>7.0</v>
      </c>
      <c r="L39" s="31">
        <v>1.0</v>
      </c>
      <c r="M39" s="27">
        <f t="shared" ref="M39:N39" si="36">C39+K39</f>
        <v>219</v>
      </c>
      <c r="N39" s="28">
        <f t="shared" si="36"/>
        <v>21</v>
      </c>
      <c r="O39" s="33" t="s">
        <v>37</v>
      </c>
      <c r="P39" s="33" t="s">
        <v>37</v>
      </c>
      <c r="Q39" s="31">
        <f>if(G39=13,1,0)+VLOOKUP(B39,'112523'!B:Q,16,false)</f>
        <v>0</v>
      </c>
      <c r="R39" s="31"/>
      <c r="S39" s="31">
        <f>if(G39=9,1,0)+VLOOKUP(B39,'112523'!B:S,18,false)</f>
        <v>3</v>
      </c>
    </row>
    <row r="40">
      <c r="A40" s="25">
        <f t="shared" si="3"/>
        <v>36</v>
      </c>
      <c r="B40" s="36" t="s">
        <v>81</v>
      </c>
      <c r="C40" s="27">
        <v>210.0</v>
      </c>
      <c r="D40" s="28">
        <v>12.0</v>
      </c>
      <c r="E40" s="30">
        <v>1.0</v>
      </c>
      <c r="F40" s="31">
        <v>6.0</v>
      </c>
      <c r="G40" s="27">
        <v>0.0</v>
      </c>
      <c r="H40" s="31">
        <v>6.0</v>
      </c>
      <c r="I40" s="31">
        <v>1.0</v>
      </c>
      <c r="J40" s="31">
        <v>1.0</v>
      </c>
      <c r="K40" s="32">
        <v>8.0</v>
      </c>
      <c r="L40" s="31">
        <v>1.0</v>
      </c>
      <c r="M40" s="27">
        <f t="shared" ref="M40:N40" si="37">C40+K40</f>
        <v>218</v>
      </c>
      <c r="N40" s="28">
        <f t="shared" si="37"/>
        <v>13</v>
      </c>
      <c r="O40" s="33" t="s">
        <v>37</v>
      </c>
      <c r="P40" s="33" t="s">
        <v>37</v>
      </c>
      <c r="Q40" s="31">
        <f>if(G40=13,1,0)+VLOOKUP(B40,'112523'!B:Q,16,false)</f>
        <v>0</v>
      </c>
      <c r="R40" s="31"/>
      <c r="S40" s="31">
        <f>if(G40=9,1,0)+VLOOKUP(B40,'112523'!B:S,18,false)</f>
        <v>6</v>
      </c>
    </row>
    <row r="41">
      <c r="A41" s="25">
        <f t="shared" si="3"/>
        <v>37</v>
      </c>
      <c r="B41" s="36" t="s">
        <v>83</v>
      </c>
      <c r="C41" s="27">
        <v>207.0</v>
      </c>
      <c r="D41" s="28">
        <v>9.0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216</v>
      </c>
      <c r="N41" s="28">
        <f t="shared" si="38"/>
        <v>9</v>
      </c>
      <c r="O41" s="33" t="s">
        <v>37</v>
      </c>
      <c r="P41" s="33" t="s">
        <v>37</v>
      </c>
      <c r="Q41" s="31">
        <f>if(G41=13,1,0)+VLOOKUP(B41,'112523'!B:Q,16,false)</f>
        <v>0</v>
      </c>
      <c r="R41" s="31"/>
      <c r="S41" s="31">
        <f>if(G41=9,1,0)+VLOOKUP(B41,'112523'!B:S,18,false)</f>
        <v>13</v>
      </c>
    </row>
    <row r="42">
      <c r="A42" s="25">
        <f t="shared" si="3"/>
        <v>38</v>
      </c>
      <c r="B42" s="26" t="s">
        <v>89</v>
      </c>
      <c r="C42" s="27">
        <v>202.0</v>
      </c>
      <c r="D42" s="28">
        <v>9.0</v>
      </c>
      <c r="E42" s="30">
        <v>1.0</v>
      </c>
      <c r="F42" s="31">
        <v>6.0</v>
      </c>
      <c r="G42" s="27">
        <v>0.0</v>
      </c>
      <c r="H42" s="31">
        <v>0.0</v>
      </c>
      <c r="I42" s="31">
        <v>1.0</v>
      </c>
      <c r="J42" s="31">
        <v>6.0</v>
      </c>
      <c r="K42" s="32">
        <v>7.0</v>
      </c>
      <c r="L42" s="31">
        <v>1.0</v>
      </c>
      <c r="M42" s="27">
        <f t="shared" ref="M42:N42" si="39">C42+K42</f>
        <v>209</v>
      </c>
      <c r="N42" s="28">
        <f t="shared" si="39"/>
        <v>10</v>
      </c>
      <c r="O42" s="33" t="s">
        <v>37</v>
      </c>
      <c r="P42" s="33" t="s">
        <v>37</v>
      </c>
      <c r="Q42" s="31">
        <f>if(G42=13,1,0)+VLOOKUP(B42,'112523'!B:Q,16,false)</f>
        <v>2</v>
      </c>
      <c r="R42" s="31"/>
      <c r="S42" s="31">
        <f>if(G42=9,1,0)+VLOOKUP(B42,'112523'!B:S,18,false)</f>
        <v>7</v>
      </c>
    </row>
    <row r="43">
      <c r="A43" s="25">
        <f t="shared" si="3"/>
        <v>39</v>
      </c>
      <c r="B43" s="36" t="s">
        <v>88</v>
      </c>
      <c r="C43" s="27">
        <v>202.0</v>
      </c>
      <c r="D43" s="28">
        <v>8.0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211</v>
      </c>
      <c r="N43" s="28">
        <f t="shared" si="40"/>
        <v>8</v>
      </c>
      <c r="O43" s="33" t="s">
        <v>37</v>
      </c>
      <c r="P43" s="33" t="s">
        <v>37</v>
      </c>
      <c r="Q43" s="31">
        <f>if(G43=13,1,0)+VLOOKUP(B43,'112523'!B:Q,16,false)</f>
        <v>0</v>
      </c>
      <c r="R43" s="31"/>
      <c r="S43" s="31">
        <f>if(G43=9,1,0)+VLOOKUP(B43,'112523'!B:S,18,false)</f>
        <v>15</v>
      </c>
    </row>
    <row r="44">
      <c r="A44" s="25">
        <f t="shared" si="3"/>
        <v>40</v>
      </c>
      <c r="B44" s="26" t="s">
        <v>87</v>
      </c>
      <c r="C44" s="27">
        <v>201.0</v>
      </c>
      <c r="D44" s="28">
        <v>10.0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210</v>
      </c>
      <c r="N44" s="28">
        <f t="shared" si="41"/>
        <v>10</v>
      </c>
      <c r="O44" s="33" t="s">
        <v>37</v>
      </c>
      <c r="P44" s="33" t="s">
        <v>37</v>
      </c>
      <c r="Q44" s="31">
        <f>if(G44=13,1,0)+VLOOKUP(B44,'112523'!B:Q,16,false)</f>
        <v>1</v>
      </c>
      <c r="R44" s="31"/>
      <c r="S44" s="31">
        <f>if(G44=9,1,0)+VLOOKUP(B44,'112523'!B:S,18,false)</f>
        <v>10</v>
      </c>
    </row>
    <row r="45">
      <c r="A45" s="25">
        <f t="shared" si="3"/>
        <v>41</v>
      </c>
      <c r="B45" s="36" t="s">
        <v>82</v>
      </c>
      <c r="C45" s="27">
        <v>201.0</v>
      </c>
      <c r="D45" s="28">
        <v>8.0</v>
      </c>
      <c r="E45" s="30">
        <v>3.0</v>
      </c>
      <c r="F45" s="31"/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210</v>
      </c>
      <c r="N45" s="28">
        <f t="shared" si="42"/>
        <v>8</v>
      </c>
      <c r="O45" s="33" t="s">
        <v>37</v>
      </c>
      <c r="P45" s="33" t="s">
        <v>37</v>
      </c>
      <c r="Q45" s="31">
        <f>if(G45=13,1,0)+VLOOKUP(B45,'112523'!B:Q,16,false)</f>
        <v>0</v>
      </c>
      <c r="R45" s="31"/>
      <c r="S45" s="31">
        <f>if(G45=9,1,0)+VLOOKUP(B45,'112523'!B:S,18,false)</f>
        <v>18</v>
      </c>
    </row>
    <row r="46">
      <c r="A46" s="25">
        <f t="shared" si="3"/>
        <v>42</v>
      </c>
      <c r="B46" s="26" t="s">
        <v>90</v>
      </c>
      <c r="C46" s="27">
        <v>199.0</v>
      </c>
      <c r="D46" s="28">
        <v>12.0</v>
      </c>
      <c r="E46" s="30">
        <v>2.0</v>
      </c>
      <c r="F46" s="31">
        <v>7.0</v>
      </c>
      <c r="G46" s="27">
        <v>0.0</v>
      </c>
      <c r="H46" s="31">
        <v>3.0</v>
      </c>
      <c r="I46" s="31">
        <v>0.0</v>
      </c>
      <c r="J46" s="31">
        <v>3.0</v>
      </c>
      <c r="K46" s="32">
        <v>6.0</v>
      </c>
      <c r="L46" s="31">
        <v>0.0</v>
      </c>
      <c r="M46" s="27">
        <f t="shared" ref="M46:N46" si="43">C46+K46</f>
        <v>205</v>
      </c>
      <c r="N46" s="28">
        <f t="shared" si="43"/>
        <v>12</v>
      </c>
      <c r="O46" s="33" t="s">
        <v>37</v>
      </c>
      <c r="P46" s="33" t="s">
        <v>37</v>
      </c>
      <c r="Q46" s="31">
        <f>if(G46=13,1,0)+VLOOKUP(B46,'112523'!B:Q,16,false)</f>
        <v>0</v>
      </c>
      <c r="R46" s="31"/>
      <c r="S46" s="31">
        <f>if(G46=9,1,0)+VLOOKUP(B46,'112523'!B:S,18,false)</f>
        <v>10</v>
      </c>
    </row>
    <row r="47">
      <c r="A47" s="25">
        <f t="shared" si="3"/>
        <v>43</v>
      </c>
      <c r="B47" s="26" t="s">
        <v>86</v>
      </c>
      <c r="C47" s="27">
        <v>199.0</v>
      </c>
      <c r="D47" s="28">
        <v>10.0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208</v>
      </c>
      <c r="N47" s="28">
        <f t="shared" si="44"/>
        <v>10</v>
      </c>
      <c r="O47" s="33" t="s">
        <v>37</v>
      </c>
      <c r="P47" s="33" t="s">
        <v>37</v>
      </c>
      <c r="Q47" s="31">
        <f>if(G47=13,1,0)+VLOOKUP(B47,'112523'!B:Q,16,false)</f>
        <v>0</v>
      </c>
      <c r="R47" s="31"/>
      <c r="S47" s="31">
        <f>if(G47=9,1,0)+VLOOKUP(B47,'112523'!B:S,18,false)</f>
        <v>12</v>
      </c>
    </row>
    <row r="48">
      <c r="A48" s="25">
        <f t="shared" si="3"/>
        <v>44</v>
      </c>
      <c r="B48" s="36" t="s">
        <v>76</v>
      </c>
      <c r="C48" s="27">
        <v>197.0</v>
      </c>
      <c r="D48" s="28">
        <v>7.0</v>
      </c>
      <c r="E48" s="30">
        <v>1.0</v>
      </c>
      <c r="F48" s="31"/>
      <c r="G48" s="27">
        <v>0.0</v>
      </c>
      <c r="H48" s="31">
        <v>3.0</v>
      </c>
      <c r="I48" s="31">
        <v>6.0</v>
      </c>
      <c r="J48" s="31">
        <v>6.0</v>
      </c>
      <c r="K48" s="32">
        <v>15.0</v>
      </c>
      <c r="L48" s="31">
        <v>2.0</v>
      </c>
      <c r="M48" s="27">
        <f t="shared" ref="M48:N48" si="45">C48+K48</f>
        <v>212</v>
      </c>
      <c r="N48" s="28">
        <f t="shared" si="45"/>
        <v>9</v>
      </c>
      <c r="O48" s="33" t="s">
        <v>37</v>
      </c>
      <c r="P48" s="33" t="s">
        <v>37</v>
      </c>
      <c r="Q48" s="31">
        <f>if(G48=13,1,0)+VLOOKUP(B48,'112523'!B:Q,16,false)</f>
        <v>0</v>
      </c>
      <c r="R48" s="31"/>
      <c r="S48" s="31">
        <f>if(G48=9,1,0)+VLOOKUP(B48,'112523'!B:S,18,false)</f>
        <v>17</v>
      </c>
    </row>
    <row r="49">
      <c r="A49" s="25">
        <f t="shared" si="3"/>
        <v>45</v>
      </c>
      <c r="B49" s="26" t="s">
        <v>91</v>
      </c>
      <c r="C49" s="27">
        <v>195.0</v>
      </c>
      <c r="D49" s="28">
        <v>5.0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204</v>
      </c>
      <c r="N49" s="28">
        <f t="shared" si="46"/>
        <v>5</v>
      </c>
      <c r="O49" s="33" t="s">
        <v>37</v>
      </c>
      <c r="P49" s="33" t="s">
        <v>37</v>
      </c>
      <c r="Q49" s="31">
        <f>if(G49=13,1,0)+VLOOKUP(B49,'112523'!B:Q,16,false)</f>
        <v>1</v>
      </c>
      <c r="R49" s="31"/>
      <c r="S49" s="31">
        <f>if(G49=9,1,0)+VLOOKUP(B49,'112523'!B:S,18,false)</f>
        <v>16</v>
      </c>
    </row>
    <row r="50">
      <c r="A50" s="25">
        <f t="shared" si="3"/>
        <v>46</v>
      </c>
      <c r="B50" s="36" t="s">
        <v>93</v>
      </c>
      <c r="C50" s="27">
        <v>194.0</v>
      </c>
      <c r="D50" s="28">
        <v>5.0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203</v>
      </c>
      <c r="N50" s="28">
        <f t="shared" si="47"/>
        <v>5</v>
      </c>
      <c r="O50" s="33" t="s">
        <v>37</v>
      </c>
      <c r="P50" s="33" t="s">
        <v>37</v>
      </c>
      <c r="Q50" s="31">
        <f>if(G50=13,1,0)+VLOOKUP(B50,'112523'!B:Q,16,false)</f>
        <v>0</v>
      </c>
      <c r="R50" s="31"/>
      <c r="S50" s="31">
        <f>if(G50=9,1,0)+VLOOKUP(B50,'112523'!B:S,18,false)</f>
        <v>19</v>
      </c>
    </row>
    <row r="51">
      <c r="A51" s="25">
        <f t="shared" si="3"/>
        <v>47</v>
      </c>
      <c r="B51" s="36" t="s">
        <v>85</v>
      </c>
      <c r="C51" s="27">
        <v>192.0</v>
      </c>
      <c r="D51" s="28">
        <v>13.0</v>
      </c>
      <c r="E51" s="30">
        <v>1.0</v>
      </c>
      <c r="F51" s="31">
        <v>7.0</v>
      </c>
      <c r="G51" s="27">
        <v>0.0</v>
      </c>
      <c r="H51" s="31">
        <v>6.0</v>
      </c>
      <c r="I51" s="31">
        <v>0.0</v>
      </c>
      <c r="J51" s="31">
        <v>6.0</v>
      </c>
      <c r="K51" s="32">
        <v>12.0</v>
      </c>
      <c r="L51" s="31">
        <v>2.0</v>
      </c>
      <c r="M51" s="27">
        <f t="shared" ref="M51:N51" si="48">C51+K51</f>
        <v>204</v>
      </c>
      <c r="N51" s="28">
        <f t="shared" si="48"/>
        <v>15</v>
      </c>
      <c r="O51" s="33" t="s">
        <v>37</v>
      </c>
      <c r="P51" s="33" t="s">
        <v>37</v>
      </c>
      <c r="Q51" s="31">
        <f>if(G51=13,1,0)+VLOOKUP(B51,'112523'!B:Q,16,false)</f>
        <v>0</v>
      </c>
      <c r="R51" s="31"/>
      <c r="S51" s="31">
        <f>if(G51=9,1,0)+VLOOKUP(B51,'112523'!B:S,18,false)</f>
        <v>9</v>
      </c>
    </row>
    <row r="52">
      <c r="A52" s="25">
        <f t="shared" si="3"/>
        <v>48</v>
      </c>
      <c r="B52" s="36" t="s">
        <v>94</v>
      </c>
      <c r="C52" s="27">
        <v>192.0</v>
      </c>
      <c r="D52" s="28">
        <v>4.0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201</v>
      </c>
      <c r="N52" s="28">
        <f t="shared" si="49"/>
        <v>4</v>
      </c>
      <c r="O52" s="33" t="s">
        <v>37</v>
      </c>
      <c r="P52" s="33" t="s">
        <v>37</v>
      </c>
      <c r="Q52" s="31">
        <f>if(G52=13,1,0)+VLOOKUP(B52,'112523'!B:Q,16,false)</f>
        <v>0</v>
      </c>
      <c r="R52" s="31"/>
      <c r="S52" s="31">
        <f>if(G52=9,1,0)+VLOOKUP(B52,'112523'!B:S,18,false)</f>
        <v>16</v>
      </c>
    </row>
    <row r="53">
      <c r="A53" s="25">
        <f t="shared" si="3"/>
        <v>49</v>
      </c>
      <c r="B53" s="26" t="s">
        <v>95</v>
      </c>
      <c r="C53" s="27">
        <v>190.0</v>
      </c>
      <c r="D53" s="28">
        <v>6.0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199</v>
      </c>
      <c r="N53" s="28">
        <f t="shared" si="50"/>
        <v>6</v>
      </c>
      <c r="O53" s="33" t="s">
        <v>37</v>
      </c>
      <c r="P53" s="33" t="s">
        <v>37</v>
      </c>
      <c r="Q53" s="31">
        <f>if(G53=13,1,0)+VLOOKUP(B53,'112523'!B:Q,16,false)</f>
        <v>0</v>
      </c>
      <c r="R53" s="31"/>
      <c r="S53" s="31">
        <f>if(G53=9,1,0)+VLOOKUP(B53,'112523'!B:S,18,false)</f>
        <v>15</v>
      </c>
    </row>
    <row r="54">
      <c r="A54" s="25">
        <f t="shared" si="3"/>
        <v>50</v>
      </c>
      <c r="B54" s="36" t="s">
        <v>97</v>
      </c>
      <c r="C54" s="27">
        <v>189.0</v>
      </c>
      <c r="D54" s="28">
        <v>7.0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198</v>
      </c>
      <c r="N54" s="28">
        <f t="shared" si="51"/>
        <v>7</v>
      </c>
      <c r="O54" s="33" t="s">
        <v>37</v>
      </c>
      <c r="P54" s="33" t="s">
        <v>37</v>
      </c>
      <c r="Q54" s="31">
        <f>if(G54=13,1,0)+VLOOKUP(B54,'112523'!B:Q,16,false)</f>
        <v>0</v>
      </c>
      <c r="R54" s="31"/>
      <c r="S54" s="31">
        <f>if(G54=9,1,0)+VLOOKUP(B54,'112523'!B:S,18,false)</f>
        <v>15</v>
      </c>
    </row>
    <row r="55">
      <c r="A55" s="25">
        <f t="shared" si="3"/>
        <v>51</v>
      </c>
      <c r="B55" s="36" t="s">
        <v>98</v>
      </c>
      <c r="C55" s="27">
        <v>189.0</v>
      </c>
      <c r="D55" s="28">
        <v>3.0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198</v>
      </c>
      <c r="N55" s="28">
        <f t="shared" si="52"/>
        <v>3</v>
      </c>
      <c r="O55" s="33" t="s">
        <v>37</v>
      </c>
      <c r="P55" s="33" t="s">
        <v>37</v>
      </c>
      <c r="Q55" s="31">
        <f>if(G55=13,1,0)+VLOOKUP(B55,'112523'!B:Q,16,false)</f>
        <v>0</v>
      </c>
      <c r="R55" s="31"/>
      <c r="S55" s="31">
        <f>if(G55=9,1,0)+VLOOKUP(B55,'112523'!B:S,18,false)</f>
        <v>16</v>
      </c>
    </row>
    <row r="56">
      <c r="A56" s="25">
        <f t="shared" si="3"/>
        <v>52</v>
      </c>
      <c r="B56" s="36" t="s">
        <v>99</v>
      </c>
      <c r="C56" s="27">
        <v>189.0</v>
      </c>
      <c r="D56" s="28">
        <v>3.0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198</v>
      </c>
      <c r="N56" s="28">
        <f t="shared" si="53"/>
        <v>3</v>
      </c>
      <c r="O56" s="33" t="s">
        <v>37</v>
      </c>
      <c r="P56" s="33" t="s">
        <v>37</v>
      </c>
      <c r="Q56" s="31">
        <f>if(G56=13,1,0)+VLOOKUP(B56,'112523'!B:Q,16,false)</f>
        <v>0</v>
      </c>
      <c r="R56" s="31"/>
      <c r="S56" s="31">
        <f>if(G56=9,1,0)+VLOOKUP(B56,'112523'!B:S,18,false)</f>
        <v>17</v>
      </c>
    </row>
    <row r="57">
      <c r="A57" s="25">
        <f t="shared" si="3"/>
        <v>53</v>
      </c>
      <c r="B57" s="36" t="s">
        <v>92</v>
      </c>
      <c r="C57" s="27">
        <v>189.0</v>
      </c>
      <c r="D57" s="28">
        <v>3.0</v>
      </c>
      <c r="E57" s="30">
        <v>1.0</v>
      </c>
      <c r="F57" s="31">
        <v>7.0</v>
      </c>
      <c r="G57" s="27">
        <v>0.0</v>
      </c>
      <c r="H57" s="31">
        <v>6.0</v>
      </c>
      <c r="I57" s="31">
        <v>6.0</v>
      </c>
      <c r="J57" s="31">
        <v>3.0</v>
      </c>
      <c r="K57" s="32">
        <v>15.0</v>
      </c>
      <c r="L57" s="31">
        <v>2.0</v>
      </c>
      <c r="M57" s="27">
        <f t="shared" ref="M57:N57" si="54">C57+K57</f>
        <v>204</v>
      </c>
      <c r="N57" s="28">
        <f t="shared" si="54"/>
        <v>5</v>
      </c>
      <c r="O57" s="33" t="s">
        <v>37</v>
      </c>
      <c r="P57" s="33" t="s">
        <v>37</v>
      </c>
      <c r="Q57" s="31">
        <f>if(G57=13,1,0)+VLOOKUP(B57,'112523'!B:Q,16,false)</f>
        <v>0</v>
      </c>
      <c r="R57" s="31"/>
      <c r="S57" s="31">
        <f>if(G57=9,1,0)+VLOOKUP(B57,'112523'!B:S,18,false)</f>
        <v>18</v>
      </c>
    </row>
    <row r="58">
      <c r="A58" s="25">
        <f t="shared" si="3"/>
        <v>54</v>
      </c>
      <c r="B58" s="36" t="s">
        <v>101</v>
      </c>
      <c r="C58" s="27">
        <v>184.0</v>
      </c>
      <c r="D58" s="28">
        <v>2.0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193</v>
      </c>
      <c r="N58" s="28">
        <f t="shared" si="55"/>
        <v>2</v>
      </c>
      <c r="O58" s="33" t="s">
        <v>37</v>
      </c>
      <c r="P58" s="33" t="s">
        <v>37</v>
      </c>
      <c r="Q58" s="31">
        <f>if(G58=13,1,0)+VLOOKUP(B58,'112523'!B:Q,16,false)</f>
        <v>0</v>
      </c>
      <c r="R58" s="31"/>
      <c r="S58" s="31">
        <f>if(G58=9,1,0)+VLOOKUP(B58,'112523'!B:S,18,false)</f>
        <v>20</v>
      </c>
    </row>
    <row r="59">
      <c r="A59" s="25">
        <f t="shared" si="3"/>
        <v>55</v>
      </c>
      <c r="B59" s="36" t="s">
        <v>102</v>
      </c>
      <c r="C59" s="27">
        <v>184.0</v>
      </c>
      <c r="D59" s="28">
        <v>2.0</v>
      </c>
      <c r="E59" s="30">
        <v>3.0</v>
      </c>
      <c r="F59" s="31"/>
      <c r="G59" s="27">
        <v>9.0</v>
      </c>
      <c r="H59" s="31"/>
      <c r="I59" s="31"/>
      <c r="J59" s="31"/>
      <c r="K59" s="32">
        <v>9.0</v>
      </c>
      <c r="L59" s="31"/>
      <c r="M59" s="27">
        <f t="shared" ref="M59:N59" si="56">C59+K59</f>
        <v>193</v>
      </c>
      <c r="N59" s="28">
        <f t="shared" si="56"/>
        <v>2</v>
      </c>
      <c r="O59" s="33" t="s">
        <v>37</v>
      </c>
      <c r="P59" s="33" t="s">
        <v>37</v>
      </c>
      <c r="Q59" s="31">
        <f>if(G59=13,1,0)+VLOOKUP(B59,'112523'!B:Q,16,false)</f>
        <v>0</v>
      </c>
      <c r="R59" s="31"/>
      <c r="S59" s="31">
        <f>if(G59=9,1,0)+VLOOKUP(B59,'112523'!B:S,18,false)</f>
        <v>20</v>
      </c>
    </row>
    <row r="60">
      <c r="A60" s="25">
        <f t="shared" si="3"/>
        <v>56</v>
      </c>
      <c r="B60" s="44" t="s">
        <v>100</v>
      </c>
      <c r="C60" s="27">
        <v>183.0</v>
      </c>
      <c r="D60" s="28">
        <v>3.0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192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if(G60=13,1,0)+VLOOKUP(B60,'112523'!B:Q,16,false)</f>
        <v>0</v>
      </c>
      <c r="R60" s="31"/>
      <c r="S60" s="31">
        <f>if(G60=9,1,0)+VLOOKUP(B60,'112523'!B:S,18,false)</f>
        <v>19</v>
      </c>
    </row>
    <row r="61">
      <c r="A61" s="25">
        <f t="shared" si="3"/>
        <v>57</v>
      </c>
      <c r="B61" s="38" t="s">
        <v>96</v>
      </c>
      <c r="C61" s="27">
        <v>182.0</v>
      </c>
      <c r="D61" s="28">
        <v>13.0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191</v>
      </c>
      <c r="N61" s="28">
        <f t="shared" si="58"/>
        <v>13</v>
      </c>
      <c r="O61" s="33" t="s">
        <v>37</v>
      </c>
      <c r="P61" s="33" t="s">
        <v>37</v>
      </c>
      <c r="Q61" s="31">
        <f>if(G61=13,1,0)+VLOOKUP(B61,'112523'!B:Q,16,false)</f>
        <v>0</v>
      </c>
      <c r="R61" s="31"/>
      <c r="S61" s="31">
        <f>if(G61=9,1,0)+VLOOKUP(B61,'112523'!B:S,18,false)</f>
        <v>8</v>
      </c>
    </row>
    <row r="62">
      <c r="A62" s="25">
        <f t="shared" si="3"/>
        <v>58</v>
      </c>
      <c r="B62" s="26" t="s">
        <v>103</v>
      </c>
      <c r="C62" s="27">
        <v>180.0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189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if(G62=13,1,0)+VLOOKUP(B62,'112523'!B:Q,16,false)</f>
        <v>0</v>
      </c>
      <c r="R62" s="31"/>
      <c r="S62" s="31">
        <f>if(G62=9,1,0)+VLOOKUP(B62,'112523'!B:S,18,false)</f>
        <v>21</v>
      </c>
    </row>
    <row r="63">
      <c r="A63" s="25">
        <f t="shared" si="3"/>
        <v>59</v>
      </c>
      <c r="B63" s="36" t="s">
        <v>104</v>
      </c>
      <c r="C63" s="27">
        <v>180.0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189</v>
      </c>
      <c r="N63" s="28">
        <f t="shared" si="60"/>
        <v>0</v>
      </c>
      <c r="O63" s="33" t="s">
        <v>37</v>
      </c>
      <c r="P63" s="33" t="s">
        <v>37</v>
      </c>
      <c r="Q63" s="31">
        <f>if(G63=13,1,0)+VLOOKUP(B63,'112523'!B:Q,16,false)</f>
        <v>0</v>
      </c>
      <c r="R63" s="31"/>
      <c r="S63" s="31">
        <f>if(G63=9,1,0)+VLOOKUP(B63,'112523'!B:S,18,false)</f>
        <v>21</v>
      </c>
    </row>
    <row r="64">
      <c r="A64" s="25">
        <f t="shared" si="3"/>
        <v>60</v>
      </c>
      <c r="B64" s="26" t="s">
        <v>105</v>
      </c>
      <c r="C64" s="27">
        <v>180.0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189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if(G64=13,1,0)+VLOOKUP(B64,'112523'!B:Q,16,false)</f>
        <v>0</v>
      </c>
      <c r="R64" s="31"/>
      <c r="S64" s="31">
        <f>if(G64=9,1,0)+VLOOKUP(B64,'112523'!B:S,18,false)</f>
        <v>21</v>
      </c>
    </row>
    <row r="65">
      <c r="A65" s="25">
        <f t="shared" si="3"/>
        <v>61</v>
      </c>
      <c r="B65" s="26" t="s">
        <v>106</v>
      </c>
      <c r="C65" s="27">
        <v>180.0</v>
      </c>
      <c r="D65" s="28">
        <v>0.0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189</v>
      </c>
      <c r="N65" s="28">
        <f t="shared" si="62"/>
        <v>0</v>
      </c>
      <c r="O65" s="33" t="s">
        <v>37</v>
      </c>
      <c r="P65" s="33" t="s">
        <v>37</v>
      </c>
      <c r="Q65" s="31">
        <f>if(G65=13,1,0)+VLOOKUP(B65,'112523'!B:Q,16,false)</f>
        <v>0</v>
      </c>
      <c r="R65" s="31"/>
      <c r="S65" s="31">
        <f>if(G65=9,1,0)+VLOOKUP(B65,'112523'!B:S,18,false)</f>
        <v>21</v>
      </c>
    </row>
    <row r="66">
      <c r="A66" s="25">
        <f t="shared" si="3"/>
        <v>62</v>
      </c>
      <c r="B66" s="36" t="s">
        <v>107</v>
      </c>
      <c r="C66" s="27">
        <v>178.0</v>
      </c>
      <c r="D66" s="28">
        <v>2.0</v>
      </c>
      <c r="E66" s="30">
        <v>3.0</v>
      </c>
      <c r="F66" s="31"/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187</v>
      </c>
      <c r="N66" s="28">
        <f t="shared" si="63"/>
        <v>2</v>
      </c>
      <c r="O66" s="33" t="s">
        <v>37</v>
      </c>
      <c r="P66" s="33" t="s">
        <v>37</v>
      </c>
      <c r="Q66" s="31">
        <f>if(G66=13,1,0)+VLOOKUP(B66,'112523'!B:Q,16,false)</f>
        <v>0</v>
      </c>
      <c r="R66" s="31"/>
      <c r="S66" s="31">
        <f>if(G66=9,1,0)+VLOOKUP(B66,'112523'!B:S,18,false)</f>
        <v>19</v>
      </c>
    </row>
    <row r="67">
      <c r="A67" s="25">
        <f t="shared" si="3"/>
        <v>63</v>
      </c>
      <c r="B67" s="36" t="s">
        <v>108</v>
      </c>
      <c r="C67" s="27">
        <v>177.0</v>
      </c>
      <c r="D67" s="28">
        <v>5.0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186</v>
      </c>
      <c r="N67" s="28">
        <f t="shared" si="64"/>
        <v>5</v>
      </c>
      <c r="O67" s="33" t="s">
        <v>37</v>
      </c>
      <c r="P67" s="33" t="s">
        <v>37</v>
      </c>
      <c r="Q67" s="31">
        <f>if(G67=13,1,0)+VLOOKUP(B67,'112523'!B:Q,16,false)</f>
        <v>0</v>
      </c>
      <c r="R67" s="31"/>
      <c r="S67" s="31">
        <f>if(G67=9,1,0)+VLOOKUP(B67,'112523'!B:S,18,false)</f>
        <v>16</v>
      </c>
    </row>
    <row r="68">
      <c r="A68" s="25">
        <f t="shared" si="3"/>
        <v>64</v>
      </c>
      <c r="B68" s="36" t="s">
        <v>109</v>
      </c>
      <c r="C68" s="27">
        <v>174.0</v>
      </c>
      <c r="D68" s="28">
        <v>1.0</v>
      </c>
      <c r="E68" s="30">
        <v>3.0</v>
      </c>
      <c r="F68" s="31">
        <v>0.0</v>
      </c>
      <c r="G68" s="27">
        <v>9.0</v>
      </c>
      <c r="H68" s="31">
        <v>0.0</v>
      </c>
      <c r="I68" s="31">
        <v>0.0</v>
      </c>
      <c r="J68" s="31">
        <v>0.0</v>
      </c>
      <c r="K68" s="32">
        <v>9.0</v>
      </c>
      <c r="L68" s="31">
        <v>0.0</v>
      </c>
      <c r="M68" s="27">
        <f t="shared" ref="M68:N68" si="65">C68+K68</f>
        <v>183</v>
      </c>
      <c r="N68" s="28">
        <f t="shared" si="65"/>
        <v>1</v>
      </c>
      <c r="O68" s="33" t="s">
        <v>37</v>
      </c>
      <c r="P68" s="33" t="s">
        <v>37</v>
      </c>
      <c r="Q68" s="31"/>
      <c r="R68" s="31"/>
      <c r="S68" s="31">
        <f>if(G68=9,1,0)+VLOOKUP(B68,'112523'!B:S,18,false)</f>
        <v>10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64</v>
      </c>
    </row>
    <row r="71">
      <c r="A71" s="1"/>
      <c r="C71" s="1"/>
      <c r="D71" s="1"/>
      <c r="E71" s="1"/>
      <c r="O71" s="34" t="s">
        <v>111</v>
      </c>
      <c r="P71" s="40">
        <f>P72-P70</f>
        <v>0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desc"",0)"),"Matthew Huang")</f>
        <v>Matthew Huang</v>
      </c>
      <c r="C77" s="46">
        <f>IFERROR(__xludf.DUMMYFUNCTION("""COMPUTED_VALUE"""),19.0)</f>
        <v>19</v>
      </c>
      <c r="D77" s="46">
        <f>IFERROR(__xludf.DUMMYFUNCTION("""COMPUTED_VALUE"""),3.0)</f>
        <v>3</v>
      </c>
      <c r="E77" s="1"/>
      <c r="K77" s="42"/>
      <c r="L77" s="43"/>
    </row>
    <row r="78">
      <c r="A78" s="1"/>
      <c r="B78" s="36" t="str">
        <f>IFERROR(__xludf.DUMMYFUNCTION("""COMPUTED_VALUE"""),"Christopher Li")</f>
        <v>Christopher Li</v>
      </c>
      <c r="C78" s="46">
        <f>IFERROR(__xludf.DUMMYFUNCTION("""COMPUTED_VALUE"""),19.0)</f>
        <v>19</v>
      </c>
      <c r="D78" s="46">
        <f>IFERROR(__xludf.DUMMYFUNCTION("""COMPUTED_VALUE"""),3.0)</f>
        <v>3</v>
      </c>
      <c r="E78" s="1"/>
      <c r="L78" s="47"/>
    </row>
    <row r="79">
      <c r="A79" s="1"/>
      <c r="B79" s="36" t="str">
        <f>IFERROR(__xludf.DUMMYFUNCTION("""COMPUTED_VALUE"""),"Sanjaye Elayattu")</f>
        <v>Sanjaye Elayattu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</row>
    <row r="80">
      <c r="A80" s="1"/>
      <c r="B80" s="36" t="str">
        <f>IFERROR(__xludf.DUMMYFUNCTION("""COMPUTED_VALUE"""),"Robert Chang")</f>
        <v>Robert Chang</v>
      </c>
      <c r="C80" s="46">
        <f>IFERROR(__xludf.DUMMYFUNCTION("""COMPUTED_VALUE"""),18.0)</f>
        <v>18</v>
      </c>
      <c r="D80" s="46">
        <f>IFERROR(__xludf.DUMMYFUNCTION("""COMPUTED_VALUE"""),2.0)</f>
        <v>2</v>
      </c>
      <c r="E80" s="1"/>
    </row>
    <row r="81">
      <c r="A81" s="1"/>
      <c r="B81" s="36"/>
      <c r="C81" s="46"/>
      <c r="D81" s="46"/>
      <c r="E81" s="1"/>
      <c r="K81" s="34"/>
    </row>
    <row r="82">
      <c r="A82" s="1"/>
      <c r="B82" s="36"/>
      <c r="C82" s="46"/>
      <c r="D82" s="46"/>
      <c r="E82" s="1"/>
      <c r="K82" s="34"/>
    </row>
    <row r="83">
      <c r="A83" s="1"/>
      <c r="B83" s="36"/>
      <c r="C83" s="46"/>
      <c r="D83" s="46"/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IFERROR(__xludf.DUMMYFUNCTION("""COMPUTED_VALUE"""),275.0)</f>
        <v>275</v>
      </c>
      <c r="D90" s="50">
        <f>IFERROR(__xludf.DUMMYFUNCTION("""COMPUTED_VALUE"""),29.0)</f>
        <v>29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IFERROR(__xludf.DUMMYFUNCTION("""COMPUTED_VALUE"""),7.0)</f>
        <v>7</v>
      </c>
      <c r="I90" s="51">
        <f>IFERROR(__xludf.DUMMYFUNCTION("""COMPUTED_VALUE"""),6.0)</f>
        <v>6</v>
      </c>
      <c r="J90" s="51">
        <f>IFERROR(__xludf.DUMMYFUNCTION("""COMPUTED_VALUE"""),3.0)</f>
        <v>3</v>
      </c>
      <c r="K90" s="51">
        <f>IFERROR(__xludf.DUMMYFUNCTION("""COMPUTED_VALUE"""),16.0)</f>
        <v>16</v>
      </c>
      <c r="L90" s="51">
        <f>IFERROR(__xludf.DUMMYFUNCTION("""COMPUTED_VALUE"""),2.0)</f>
        <v>2</v>
      </c>
      <c r="M90" s="51">
        <f>IFERROR(__xludf.DUMMYFUNCTION("""COMPUTED_VALUE"""),291.0)</f>
        <v>291</v>
      </c>
      <c r="N90" s="52">
        <f>IFERROR(__xludf.DUMMYFUNCTION("""COMPUTED_VALUE"""),31.0)</f>
        <v>31</v>
      </c>
    </row>
    <row r="91">
      <c r="A91" s="1"/>
      <c r="B91" s="48" t="str">
        <f>IFERROR(__xludf.DUMMYFUNCTION("""COMPUTED_VALUE"""),"Robert Chang")</f>
        <v>Robert Chang</v>
      </c>
      <c r="C91" s="49">
        <f>IFERROR(__xludf.DUMMYFUNCTION("""COMPUTED_VALUE"""),258.0)</f>
        <v>258</v>
      </c>
      <c r="D91" s="50">
        <f>IFERROR(__xludf.DUMMYFUNCTION("""COMPUTED_VALUE"""),24.0)</f>
        <v>24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IFERROR(__xludf.DUMMYFUNCTION("""COMPUTED_VALUE"""),6.0)</f>
        <v>6</v>
      </c>
      <c r="I91" s="51">
        <f>IFERROR(__xludf.DUMMYFUNCTION("""COMPUTED_VALUE"""),6.0)</f>
        <v>6</v>
      </c>
      <c r="J91" s="51">
        <f>IFERROR(__xludf.DUMMYFUNCTION("""COMPUTED_VALUE"""),6.0)</f>
        <v>6</v>
      </c>
      <c r="K91" s="51">
        <f>IFERROR(__xludf.DUMMYFUNCTION("""COMPUTED_VALUE"""),18.0)</f>
        <v>18</v>
      </c>
      <c r="L91" s="51">
        <f>IFERROR(__xludf.DUMMYFUNCTION("""COMPUTED_VALUE"""),2.0)</f>
        <v>2</v>
      </c>
      <c r="M91" s="51">
        <f>IFERROR(__xludf.DUMMYFUNCTION("""COMPUTED_VALUE"""),276.0)</f>
        <v>276</v>
      </c>
      <c r="N91" s="52">
        <f>IFERROR(__xludf.DUMMYFUNCTION("""COMPUTED_VALUE"""),26.0)</f>
        <v>26</v>
      </c>
    </row>
    <row r="92">
      <c r="A92" s="1"/>
      <c r="B92" s="48" t="str">
        <f>IFERROR(__xludf.DUMMYFUNCTION("""COMPUTED_VALUE"""),"Pulkit Mathur")</f>
        <v>Pulkit Mathur</v>
      </c>
      <c r="C92" s="49">
        <f>IFERROR(__xludf.DUMMYFUNCTION("""COMPUTED_VALUE"""),256.0)</f>
        <v>256</v>
      </c>
      <c r="D92" s="50">
        <f>IFERROR(__xludf.DUMMYFUNCTION("""COMPUTED_VALUE"""),23.0)</f>
        <v>23</v>
      </c>
      <c r="E92" s="49">
        <f>IFERROR(__xludf.DUMMYFUNCTION("""COMPUTED_VALUE"""),2.0)</f>
        <v>2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IFERROR(__xludf.DUMMYFUNCTION("""COMPUTED_VALUE"""),6.0)</f>
        <v>6</v>
      </c>
      <c r="I92" s="51">
        <f>IFERROR(__xludf.DUMMYFUNCTION("""COMPUTED_VALUE"""),1.0)</f>
        <v>1</v>
      </c>
      <c r="J92" s="51">
        <f>IFERROR(__xludf.DUMMYFUNCTION("""COMPUTED_VALUE"""),3.0)</f>
        <v>3</v>
      </c>
      <c r="K92" s="51">
        <f>IFERROR(__xludf.DUMMYFUNCTION("""COMPUTED_VALUE"""),10.0)</f>
        <v>10</v>
      </c>
      <c r="L92" s="51">
        <f>IFERROR(__xludf.DUMMYFUNCTION("""COMPUTED_VALUE"""),0.0)</f>
        <v>0</v>
      </c>
      <c r="M92" s="51">
        <f>IFERROR(__xludf.DUMMYFUNCTION("""COMPUTED_VALUE"""),266.0)</f>
        <v>266</v>
      </c>
      <c r="N92" s="52">
        <f>IFERROR(__xludf.DUMMYFUNCTION("""COMPUTED_VALUE"""),23.0)</f>
        <v>23</v>
      </c>
    </row>
    <row r="93">
      <c r="A93" s="1"/>
      <c r="B93" s="48" t="str">
        <f>IFERROR(__xludf.DUMMYFUNCTION("""COMPUTED_VALUE"""),"Alejandro Mejia")</f>
        <v>Alejandro Mejia</v>
      </c>
      <c r="C93" s="49">
        <f>IFERROR(__xludf.DUMMYFUNCTION("""COMPUTED_VALUE"""),256.0)</f>
        <v>256</v>
      </c>
      <c r="D93" s="50">
        <f>IFERROR(__xludf.DUMMYFUNCTION("""COMPUTED_VALUE"""),21.0)</f>
        <v>21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IFERROR(__xludf.DUMMYFUNCTION("""COMPUTED_VALUE"""),7.0)</f>
        <v>7</v>
      </c>
      <c r="I93" s="51">
        <f>IFERROR(__xludf.DUMMYFUNCTION("""COMPUTED_VALUE"""),1.0)</f>
        <v>1</v>
      </c>
      <c r="J93" s="51">
        <f>IFERROR(__xludf.DUMMYFUNCTION("""COMPUTED_VALUE"""),6.0)</f>
        <v>6</v>
      </c>
      <c r="K93" s="51">
        <f>IFERROR(__xludf.DUMMYFUNCTION("""COMPUTED_VALUE"""),14.0)</f>
        <v>14</v>
      </c>
      <c r="L93" s="51">
        <f>IFERROR(__xludf.DUMMYFUNCTION("""COMPUTED_VALUE"""),2.0)</f>
        <v>2</v>
      </c>
      <c r="M93" s="51">
        <f>IFERROR(__xludf.DUMMYFUNCTION("""COMPUTED_VALUE"""),270.0)</f>
        <v>270</v>
      </c>
      <c r="N93" s="52">
        <f>IFERROR(__xludf.DUMMYFUNCTION("""COMPUTED_VALUE"""),23.0)</f>
        <v>23</v>
      </c>
    </row>
    <row r="94">
      <c r="A94" s="1"/>
      <c r="B94" s="53" t="str">
        <f>IFERROR(__xludf.DUMMYFUNCTION("""COMPUTED_VALUE"""),"Pavan Akkimsetty")</f>
        <v>Pavan Akkimsetty</v>
      </c>
      <c r="C94" s="54">
        <f>IFERROR(__xludf.DUMMYFUNCTION("""COMPUTED_VALUE"""),255.0)</f>
        <v>255</v>
      </c>
      <c r="D94" s="55">
        <f>IFERROR(__xludf.DUMMYFUNCTION("""COMPUTED_VALUE"""),23.0)</f>
        <v>23</v>
      </c>
      <c r="E94" s="54">
        <f>IFERROR(__xludf.DUMMYFUNCTION("""COMPUTED_VALUE"""),1.0)</f>
        <v>1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IFERROR(__xludf.DUMMYFUNCTION("""COMPUTED_VALUE"""),3.0)</f>
        <v>3</v>
      </c>
      <c r="J94" s="56">
        <f>IFERROR(__xludf.DUMMYFUNCTION("""COMPUTED_VALUE"""),6.0)</f>
        <v>6</v>
      </c>
      <c r="K94" s="56">
        <f>IFERROR(__xludf.DUMMYFUNCTION("""COMPUTED_VALUE"""),15.0)</f>
        <v>15</v>
      </c>
      <c r="L94" s="56">
        <f>IFERROR(__xludf.DUMMYFUNCTION("""COMPUTED_VALUE"""),1.0)</f>
        <v>1</v>
      </c>
      <c r="M94" s="56">
        <f>IFERROR(__xludf.DUMMYFUNCTION("""COMPUTED_VALUE"""),270.0)</f>
        <v>270</v>
      </c>
      <c r="N94" s="57">
        <f>IFERROR(__xludf.DUMMYFUNCTION("""COMPUTED_VALUE"""),24.0)</f>
        <v>24</v>
      </c>
    </row>
    <row r="95">
      <c r="A95" s="1"/>
      <c r="B95" s="53" t="str">
        <f>IFERROR(__xludf.DUMMYFUNCTION("""COMPUTED_VALUE"""),"Matthew Huang")</f>
        <v>Matthew Huang</v>
      </c>
      <c r="C95" s="54">
        <f>IFERROR(__xludf.DUMMYFUNCTION("""COMPUTED_VALUE"""),250.0)</f>
        <v>250</v>
      </c>
      <c r="D95" s="55">
        <f>IFERROR(__xludf.DUMMYFUNCTION("""COMPUTED_VALUE"""),19.0)</f>
        <v>19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IFERROR(__xludf.DUMMYFUNCTION("""COMPUTED_VALUE"""),7.0)</f>
        <v>7</v>
      </c>
      <c r="I95" s="56">
        <f>IFERROR(__xludf.DUMMYFUNCTION("""COMPUTED_VALUE"""),6.0)</f>
        <v>6</v>
      </c>
      <c r="J95" s="56">
        <f>IFERROR(__xludf.DUMMYFUNCTION("""COMPUTED_VALUE"""),6.0)</f>
        <v>6</v>
      </c>
      <c r="K95" s="56">
        <f>IFERROR(__xludf.DUMMYFUNCTION("""COMPUTED_VALUE"""),19.0)</f>
        <v>19</v>
      </c>
      <c r="L95" s="56">
        <f>IFERROR(__xludf.DUMMYFUNCTION("""COMPUTED_VALUE"""),3.0)</f>
        <v>3</v>
      </c>
      <c r="M95" s="56">
        <f>IFERROR(__xludf.DUMMYFUNCTION("""COMPUTED_VALUE"""),269.0)</f>
        <v>269</v>
      </c>
      <c r="N95" s="57">
        <f>IFERROR(__xludf.DUMMYFUNCTION("""COMPUTED_VALUE"""),22.0)</f>
        <v>22</v>
      </c>
    </row>
    <row r="96">
      <c r="A96" s="1"/>
      <c r="B96" s="53" t="str">
        <f>IFERROR(__xludf.DUMMYFUNCTION("""COMPUTED_VALUE"""),"Oscar Bonilla")</f>
        <v>Oscar Bonilla</v>
      </c>
      <c r="C96" s="54">
        <f>IFERROR(__xludf.DUMMYFUNCTION("""COMPUTED_VALUE"""),245.0)</f>
        <v>245</v>
      </c>
      <c r="D96" s="55">
        <f>IFERROR(__xludf.DUMMYFUNCTION("""COMPUTED_VALUE"""),21.0)</f>
        <v>21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IFERROR(__xludf.DUMMYFUNCTION("""COMPUTED_VALUE"""),7.0)</f>
        <v>7</v>
      </c>
      <c r="I96" s="56">
        <f>IFERROR(__xludf.DUMMYFUNCTION("""COMPUTED_VALUE"""),3.0)</f>
        <v>3</v>
      </c>
      <c r="J96" s="56">
        <f>IFERROR(__xludf.DUMMYFUNCTION("""COMPUTED_VALUE"""),4.0)</f>
        <v>4</v>
      </c>
      <c r="K96" s="56">
        <f>IFERROR(__xludf.DUMMYFUNCTION("""COMPUTED_VALUE"""),14.0)</f>
        <v>14</v>
      </c>
      <c r="L96" s="56">
        <f>IFERROR(__xludf.DUMMYFUNCTION("""COMPUTED_VALUE"""),1.0)</f>
        <v>1</v>
      </c>
      <c r="M96" s="56">
        <f>IFERROR(__xludf.DUMMYFUNCTION("""COMPUTED_VALUE"""),259.0)</f>
        <v>259</v>
      </c>
      <c r="N96" s="57">
        <f>IFERROR(__xludf.DUMMYFUNCTION("""COMPUTED_VALUE"""),22.0)</f>
        <v>22</v>
      </c>
    </row>
    <row r="97">
      <c r="A97" s="1"/>
      <c r="B97" s="53" t="str">
        <f>IFERROR(__xludf.DUMMYFUNCTION("""COMPUTED_VALUE"""),"Jonathan Phan")</f>
        <v>Jonathan Phan</v>
      </c>
      <c r="C97" s="54">
        <f>IFERROR(__xludf.DUMMYFUNCTION("""COMPUTED_VALUE"""),244.0)</f>
        <v>244</v>
      </c>
      <c r="D97" s="55">
        <f>IFERROR(__xludf.DUMMYFUNCTION("""COMPUTED_VALUE"""),19.0)</f>
        <v>19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IFERROR(__xludf.DUMMYFUNCTION("""COMPUTED_VALUE"""),6.0)</f>
        <v>6</v>
      </c>
      <c r="I97" s="56">
        <f>IFERROR(__xludf.DUMMYFUNCTION("""COMPUTED_VALUE"""),6.0)</f>
        <v>6</v>
      </c>
      <c r="J97" s="56">
        <f>IFERROR(__xludf.DUMMYFUNCTION("""COMPUTED_VALUE"""),4.0)</f>
        <v>4</v>
      </c>
      <c r="K97" s="56">
        <f>IFERROR(__xludf.DUMMYFUNCTION("""COMPUTED_VALUE"""),16.0)</f>
        <v>16</v>
      </c>
      <c r="L97" s="56">
        <f>IFERROR(__xludf.DUMMYFUNCTION("""COMPUTED_VALUE"""),1.0)</f>
        <v>1</v>
      </c>
      <c r="M97" s="56">
        <f>IFERROR(__xludf.DUMMYFUNCTION("""COMPUTED_VALUE"""),260.0)</f>
        <v>260</v>
      </c>
      <c r="N97" s="57">
        <f>IFERROR(__xludf.DUMMYFUNCTION("""COMPUTED_VALUE"""),20.0)</f>
        <v>20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IFERROR(__xludf.DUMMYFUNCTION("""COMPUTED_VALUE"""),244.0)</f>
        <v>244</v>
      </c>
      <c r="D98" s="50">
        <f>IFERROR(__xludf.DUMMYFUNCTION("""COMPUTED_VALUE"""),18.0)</f>
        <v>18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IFERROR(__xludf.DUMMYFUNCTION("""COMPUTED_VALUE"""),7.0)</f>
        <v>7</v>
      </c>
      <c r="I98" s="51">
        <f>IFERROR(__xludf.DUMMYFUNCTION("""COMPUTED_VALUE"""),6.0)</f>
        <v>6</v>
      </c>
      <c r="J98" s="51">
        <f>IFERROR(__xludf.DUMMYFUNCTION("""COMPUTED_VALUE"""),2.0)</f>
        <v>2</v>
      </c>
      <c r="K98" s="51">
        <f>IFERROR(__xludf.DUMMYFUNCTION("""COMPUTED_VALUE"""),15.0)</f>
        <v>15</v>
      </c>
      <c r="L98" s="51">
        <f>IFERROR(__xludf.DUMMYFUNCTION("""COMPUTED_VALUE"""),2.0)</f>
        <v>2</v>
      </c>
      <c r="M98" s="51">
        <f>IFERROR(__xludf.DUMMYFUNCTION("""COMPUTED_VALUE"""),259.0)</f>
        <v>259</v>
      </c>
      <c r="N98" s="52">
        <f>IFERROR(__xludf.DUMMYFUNCTION("""COMPUTED_VALUE"""),20.0)</f>
        <v>20</v>
      </c>
    </row>
    <row r="99">
      <c r="A99" s="1"/>
      <c r="B99" s="48" t="str">
        <f>IFERROR(__xludf.DUMMYFUNCTION("""COMPUTED_VALUE"""),"David Shin")</f>
        <v>David Shin</v>
      </c>
      <c r="C99" s="49">
        <f>IFERROR(__xludf.DUMMYFUNCTION("""COMPUTED_VALUE"""),241.0)</f>
        <v>241</v>
      </c>
      <c r="D99" s="50">
        <f>IFERROR(__xludf.DUMMYFUNCTION("""COMPUTED_VALUE"""),18.0)</f>
        <v>18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IFERROR(__xludf.DUMMYFUNCTION("""COMPUTED_VALUE"""),5.0)</f>
        <v>5</v>
      </c>
      <c r="I99" s="51">
        <f>IFERROR(__xludf.DUMMYFUNCTION("""COMPUTED_VALUE"""),1.0)</f>
        <v>1</v>
      </c>
      <c r="J99" s="51">
        <f>IFERROR(__xludf.DUMMYFUNCTION("""COMPUTED_VALUE"""),2.0)</f>
        <v>2</v>
      </c>
      <c r="K99" s="51">
        <f>IFERROR(__xludf.DUMMYFUNCTION("""COMPUTED_VALUE"""),8.0)</f>
        <v>8</v>
      </c>
      <c r="L99" s="51">
        <f>IFERROR(__xludf.DUMMYFUNCTION("""COMPUTED_VALUE"""),0.0)</f>
        <v>0</v>
      </c>
      <c r="M99" s="51">
        <f>IFERROR(__xludf.DUMMYFUNCTION("""COMPUTED_VALUE"""),249.0)</f>
        <v>249</v>
      </c>
      <c r="N99" s="52">
        <f>IFERROR(__xludf.DUMMYFUNCTION("""COMPUTED_VALUE"""),18.0)</f>
        <v>18</v>
      </c>
    </row>
    <row r="100">
      <c r="A100" s="1"/>
      <c r="B100" s="48" t="str">
        <f>IFERROR(__xludf.DUMMYFUNCTION("""COMPUTED_VALUE"""),"Tony Wong")</f>
        <v>Tony Wong</v>
      </c>
      <c r="C100" s="49">
        <f>IFERROR(__xludf.DUMMYFUNCTION("""COMPUTED_VALUE"""),237.0)</f>
        <v>237</v>
      </c>
      <c r="D100" s="50">
        <f>IFERROR(__xludf.DUMMYFUNCTION("""COMPUTED_VALUE"""),16.0)</f>
        <v>16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IFERROR(__xludf.DUMMYFUNCTION("""COMPUTED_VALUE"""),5.0)</f>
        <v>5</v>
      </c>
      <c r="I100" s="51">
        <f>IFERROR(__xludf.DUMMYFUNCTION("""COMPUTED_VALUE"""),6.0)</f>
        <v>6</v>
      </c>
      <c r="J100" s="51">
        <f>IFERROR(__xludf.DUMMYFUNCTION("""COMPUTED_VALUE"""),6.0)</f>
        <v>6</v>
      </c>
      <c r="K100" s="51">
        <f>IFERROR(__xludf.DUMMYFUNCTION("""COMPUTED_VALUE"""),17.0)</f>
        <v>17</v>
      </c>
      <c r="L100" s="51">
        <f>IFERROR(__xludf.DUMMYFUNCTION("""COMPUTED_VALUE"""),2.0)</f>
        <v>2</v>
      </c>
      <c r="M100" s="51">
        <f>IFERROR(__xludf.DUMMYFUNCTION("""COMPUTED_VALUE"""),254.0)</f>
        <v>254</v>
      </c>
      <c r="N100" s="52">
        <f>IFERROR(__xludf.DUMMYFUNCTION("""COMPUTED_VALUE"""),18.0)</f>
        <v>18</v>
      </c>
    </row>
    <row r="101">
      <c r="A101" s="1"/>
      <c r="B101" s="48" t="str">
        <f>IFERROR(__xludf.DUMMYFUNCTION("""COMPUTED_VALUE"""),"Joe Luzzi")</f>
        <v>Joe Luzzi</v>
      </c>
      <c r="C101" s="49">
        <f>IFERROR(__xludf.DUMMYFUNCTION("""COMPUTED_VALUE"""),235.0)</f>
        <v>235</v>
      </c>
      <c r="D101" s="50">
        <f>IFERROR(__xludf.DUMMYFUNCTION("""COMPUTED_VALUE"""),20.0)</f>
        <v>20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IFERROR(__xludf.DUMMYFUNCTION("""COMPUTED_VALUE"""),7.0)</f>
        <v>7</v>
      </c>
      <c r="I101" s="51">
        <f>IFERROR(__xludf.DUMMYFUNCTION("""COMPUTED_VALUE"""),1.0)</f>
        <v>1</v>
      </c>
      <c r="J101" s="51">
        <f>IFERROR(__xludf.DUMMYFUNCTION("""COMPUTED_VALUE"""),6.0)</f>
        <v>6</v>
      </c>
      <c r="K101" s="51">
        <f>IFERROR(__xludf.DUMMYFUNCTION("""COMPUTED_VALUE"""),14.0)</f>
        <v>14</v>
      </c>
      <c r="L101" s="51">
        <f>IFERROR(__xludf.DUMMYFUNCTION("""COMPUTED_VALUE"""),2.0)</f>
        <v>2</v>
      </c>
      <c r="M101" s="51">
        <f>IFERROR(__xludf.DUMMYFUNCTION("""COMPUTED_VALUE"""),249.0)</f>
        <v>249</v>
      </c>
      <c r="N101" s="52">
        <f>IFERROR(__xludf.DUMMYFUNCTION("""COMPUTED_VALUE"""),22.0)</f>
        <v>22</v>
      </c>
    </row>
    <row r="102">
      <c r="A102" s="1"/>
      <c r="B102" s="53" t="str">
        <f>IFERROR(__xludf.DUMMYFUNCTION("""COMPUTED_VALUE"""),"Rajasekar Ramasamy")</f>
        <v>Rajasekar Ramasamy</v>
      </c>
      <c r="C102" s="54">
        <f>IFERROR(__xludf.DUMMYFUNCTION("""COMPUTED_VALUE"""),233.0)</f>
        <v>233</v>
      </c>
      <c r="D102" s="55">
        <f>IFERROR(__xludf.DUMMYFUNCTION("""COMPUTED_VALUE"""),20.0)</f>
        <v>20</v>
      </c>
      <c r="E102" s="54">
        <f>IFERROR(__xludf.DUMMYFUNCTION("""COMPUTED_VALUE"""),1.0)</f>
        <v>1</v>
      </c>
      <c r="F102" s="56">
        <f>IFERROR(__xludf.DUMMYFUNCTION("""COMPUTED_VALUE"""),5.0)</f>
        <v>5</v>
      </c>
      <c r="G102" s="56">
        <f>IFERROR(__xludf.DUMMYFUNCTION("""COMPUTED_VALUE"""),0.0)</f>
        <v>0</v>
      </c>
      <c r="H102" s="56">
        <f>IFERROR(__xludf.DUMMYFUNCTION("""COMPUTED_VALUE"""),4.0)</f>
        <v>4</v>
      </c>
      <c r="I102" s="56">
        <f>IFERROR(__xludf.DUMMYFUNCTION("""COMPUTED_VALUE"""),7.0)</f>
        <v>7</v>
      </c>
      <c r="J102" s="56">
        <f>IFERROR(__xludf.DUMMYFUNCTION("""COMPUTED_VALUE"""),0.0)</f>
        <v>0</v>
      </c>
      <c r="K102" s="56">
        <f>IFERROR(__xludf.DUMMYFUNCTION("""COMPUTED_VALUE"""),11.0)</f>
        <v>11</v>
      </c>
      <c r="L102" s="56">
        <f>IFERROR(__xludf.DUMMYFUNCTION("""COMPUTED_VALUE"""),1.0)</f>
        <v>1</v>
      </c>
      <c r="M102" s="56">
        <f>IFERROR(__xludf.DUMMYFUNCTION("""COMPUTED_VALUE"""),244.0)</f>
        <v>244</v>
      </c>
      <c r="N102" s="57">
        <f>IFERROR(__xludf.DUMMYFUNCTION("""COMPUTED_VALUE"""),21.0)</f>
        <v>21</v>
      </c>
    </row>
    <row r="103">
      <c r="A103" s="1"/>
      <c r="B103" s="53" t="str">
        <f>IFERROR(__xludf.DUMMYFUNCTION("""COMPUTED_VALUE"""),"Kingsley Kuo")</f>
        <v>Kingsley Kuo</v>
      </c>
      <c r="C103" s="54">
        <f>IFERROR(__xludf.DUMMYFUNCTION("""COMPUTED_VALUE"""),232.0)</f>
        <v>232</v>
      </c>
      <c r="D103" s="55">
        <f>IFERROR(__xludf.DUMMYFUNCTION("""COMPUTED_VALUE"""),15.0)</f>
        <v>15</v>
      </c>
      <c r="E103" s="54">
        <f>IFERROR(__xludf.DUMMYFUNCTION("""COMPUTED_VALUE"""),1.0)</f>
        <v>1</v>
      </c>
      <c r="F103" s="56">
        <f>IFERROR(__xludf.DUMMYFUNCTION("""COMPUTED_VALUE"""),5.0)</f>
        <v>5</v>
      </c>
      <c r="G103" s="56">
        <f>IFERROR(__xludf.DUMMYFUNCTION("""COMPUTED_VALUE"""),0.0)</f>
        <v>0</v>
      </c>
      <c r="H103" s="56">
        <f>IFERROR(__xludf.DUMMYFUNCTION("""COMPUTED_VALUE"""),4.0)</f>
        <v>4</v>
      </c>
      <c r="I103" s="56">
        <f>IFERROR(__xludf.DUMMYFUNCTION("""COMPUTED_VALUE"""),6.0)</f>
        <v>6</v>
      </c>
      <c r="J103" s="56">
        <f>IFERROR(__xludf.DUMMYFUNCTION("""COMPUTED_VALUE"""),6.0)</f>
        <v>6</v>
      </c>
      <c r="K103" s="56">
        <f>IFERROR(__xludf.DUMMYFUNCTION("""COMPUTED_VALUE"""),16.0)</f>
        <v>16</v>
      </c>
      <c r="L103" s="56">
        <f>IFERROR(__xludf.DUMMYFUNCTION("""COMPUTED_VALUE"""),1.0)</f>
        <v>1</v>
      </c>
      <c r="M103" s="56">
        <f>IFERROR(__xludf.DUMMYFUNCTION("""COMPUTED_VALUE"""),248.0)</f>
        <v>248</v>
      </c>
      <c r="N103" s="57">
        <f>IFERROR(__xludf.DUMMYFUNCTION("""COMPUTED_VALUE"""),16.0)</f>
        <v>16</v>
      </c>
    </row>
    <row r="104">
      <c r="A104" s="1"/>
      <c r="B104" s="53" t="str">
        <f>IFERROR(__xludf.DUMMYFUNCTION("""COMPUTED_VALUE"""),"Naveen Raj")</f>
        <v>Naveen Raj</v>
      </c>
      <c r="C104" s="54">
        <f>IFERROR(__xludf.DUMMYFUNCTION("""COMPUTED_VALUE"""),217.0)</f>
        <v>217</v>
      </c>
      <c r="D104" s="55">
        <f>IFERROR(__xludf.DUMMYFUNCTION("""COMPUTED_VALUE"""),14.0)</f>
        <v>14</v>
      </c>
      <c r="E104" s="54">
        <f>IFERROR(__xludf.DUMMYFUNCTION("""COMPUTED_VALUE"""),2.0)</f>
        <v>2</v>
      </c>
      <c r="F104" s="56">
        <f>IFERROR(__xludf.DUMMYFUNCTION("""COMPUTED_VALUE"""),5.0)</f>
        <v>5</v>
      </c>
      <c r="G104" s="56">
        <f>IFERROR(__xludf.DUMMYFUNCTION("""COMPUTED_VALUE"""),0.0)</f>
        <v>0</v>
      </c>
      <c r="H104" s="56">
        <f>IFERROR(__xludf.DUMMYFUNCTION("""COMPUTED_VALUE"""),6.0)</f>
        <v>6</v>
      </c>
      <c r="I104" s="56">
        <f>IFERROR(__xludf.DUMMYFUNCTION("""COMPUTED_VALUE"""),6.0)</f>
        <v>6</v>
      </c>
      <c r="J104" s="56">
        <f>IFERROR(__xludf.DUMMYFUNCTION("""COMPUTED_VALUE"""),0.0)</f>
        <v>0</v>
      </c>
      <c r="K104" s="56">
        <f>IFERROR(__xludf.DUMMYFUNCTION("""COMPUTED_VALUE"""),12.0)</f>
        <v>12</v>
      </c>
      <c r="L104" s="56">
        <f>IFERROR(__xludf.DUMMYFUNCTION("""COMPUTED_VALUE"""),1.0)</f>
        <v>1</v>
      </c>
      <c r="M104" s="56">
        <f>IFERROR(__xludf.DUMMYFUNCTION("""COMPUTED_VALUE"""),229.0)</f>
        <v>229</v>
      </c>
      <c r="N104" s="57">
        <f>IFERROR(__xludf.DUMMYFUNCTION("""COMPUTED_VALUE"""),15.0)</f>
        <v>15</v>
      </c>
    </row>
    <row r="105">
      <c r="A105" s="1"/>
      <c r="B105" s="53" t="str">
        <f>IFERROR(__xludf.DUMMYFUNCTION("""COMPUTED_VALUE"""),"Christopher Li")</f>
        <v>Christopher Li</v>
      </c>
      <c r="C105" s="54">
        <f>IFERROR(__xludf.DUMMYFUNCTION("""COMPUTED_VALUE"""),216.0)</f>
        <v>216</v>
      </c>
      <c r="D105" s="55">
        <f>IFERROR(__xludf.DUMMYFUNCTION("""COMPUTED_VALUE"""),11.0)</f>
        <v>11</v>
      </c>
      <c r="E105" s="54">
        <f>IFERROR(__xludf.DUMMYFUNCTION("""COMPUTED_VALUE"""),1.0)</f>
        <v>1</v>
      </c>
      <c r="F105" s="56">
        <f>IFERROR(__xludf.DUMMYFUNCTION("""COMPUTED_VALUE"""),5.0)</f>
        <v>5</v>
      </c>
      <c r="G105" s="56">
        <f>IFERROR(__xludf.DUMMYFUNCTION("""COMPUTED_VALUE"""),0.0)</f>
        <v>0</v>
      </c>
      <c r="H105" s="56">
        <f>IFERROR(__xludf.DUMMYFUNCTION("""COMPUTED_VALUE"""),6.0)</f>
        <v>6</v>
      </c>
      <c r="I105" s="56">
        <f>IFERROR(__xludf.DUMMYFUNCTION("""COMPUTED_VALUE"""),7.0)</f>
        <v>7</v>
      </c>
      <c r="J105" s="56">
        <f>IFERROR(__xludf.DUMMYFUNCTION("""COMPUTED_VALUE"""),6.0)</f>
        <v>6</v>
      </c>
      <c r="K105" s="56">
        <f>IFERROR(__xludf.DUMMYFUNCTION("""COMPUTED_VALUE"""),19.0)</f>
        <v>19</v>
      </c>
      <c r="L105" s="56">
        <f>IFERROR(__xludf.DUMMYFUNCTION("""COMPUTED_VALUE"""),3.0)</f>
        <v>3</v>
      </c>
      <c r="M105" s="56">
        <f>IFERROR(__xludf.DUMMYFUNCTION("""COMPUTED_VALUE"""),235.0)</f>
        <v>235</v>
      </c>
      <c r="N105" s="57">
        <f>IFERROR(__xludf.DUMMYFUNCTION("""COMPUTED_VALUE"""),14.0)</f>
        <v>14</v>
      </c>
    </row>
    <row r="106">
      <c r="A106" s="1"/>
      <c r="B106" s="48" t="str">
        <f>IFERROR(__xludf.DUMMYFUNCTION("""COMPUTED_VALUE"""),"Sanjaye Elayattu")</f>
        <v>Sanjaye Elayattu</v>
      </c>
      <c r="C106" s="49">
        <f>IFERROR(__xludf.DUMMYFUNCTION("""COMPUTED_VALUE"""),214.0)</f>
        <v>214</v>
      </c>
      <c r="D106" s="50">
        <f>IFERROR(__xludf.DUMMYFUNCTION("""COMPUTED_VALUE"""),8.0)</f>
        <v>8</v>
      </c>
      <c r="E106" s="49">
        <f>IFERROR(__xludf.DUMMYFUNCTION("""COMPUTED_VALUE"""),1.0)</f>
        <v>1</v>
      </c>
      <c r="F106" s="51">
        <f>IFERROR(__xludf.DUMMYFUNCTION("""COMPUTED_VALUE"""),6.0)</f>
        <v>6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IFERROR(__xludf.DUMMYFUNCTION("""COMPUTED_VALUE"""),6.0)</f>
        <v>6</v>
      </c>
      <c r="J106" s="51">
        <f>IFERROR(__xludf.DUMMYFUNCTION("""COMPUTED_VALUE"""),6.0)</f>
        <v>6</v>
      </c>
      <c r="K106" s="51">
        <f>IFERROR(__xludf.DUMMYFUNCTION("""COMPUTED_VALUE"""),18.0)</f>
        <v>18</v>
      </c>
      <c r="L106" s="51">
        <f>IFERROR(__xludf.DUMMYFUNCTION("""COMPUTED_VALUE"""),3.0)</f>
        <v>3</v>
      </c>
      <c r="M106" s="51">
        <f>IFERROR(__xludf.DUMMYFUNCTION("""COMPUTED_VALUE"""),232.0)</f>
        <v>232</v>
      </c>
      <c r="N106" s="52">
        <f>IFERROR(__xludf.DUMMYFUNCTION("""COMPUTED_VALUE"""),11.0)</f>
        <v>11</v>
      </c>
    </row>
    <row r="107">
      <c r="A107" s="1"/>
      <c r="B107" s="48" t="str">
        <f>IFERROR(__xludf.DUMMYFUNCTION("""COMPUTED_VALUE"""),"Mauricio Palacios")</f>
        <v>Mauricio Palacios</v>
      </c>
      <c r="C107" s="49">
        <f>IFERROR(__xludf.DUMMYFUNCTION("""COMPUTED_VALUE"""),212.0)</f>
        <v>212</v>
      </c>
      <c r="D107" s="50">
        <f>IFERROR(__xludf.DUMMYFUNCTION("""COMPUTED_VALUE"""),20.0)</f>
        <v>20</v>
      </c>
      <c r="E107" s="49">
        <f>IFERROR(__xludf.DUMMYFUNCTION("""COMPUTED_VALUE"""),2.0)</f>
        <v>2</v>
      </c>
      <c r="F107" s="51">
        <f>IFERROR(__xludf.DUMMYFUNCTION("""COMPUTED_VALUE"""),6.0)</f>
        <v>6</v>
      </c>
      <c r="G107" s="51">
        <f>IFERROR(__xludf.DUMMYFUNCTION("""COMPUTED_VALUE"""),0.0)</f>
        <v>0</v>
      </c>
      <c r="H107" s="51">
        <f>IFERROR(__xludf.DUMMYFUNCTION("""COMPUTED_VALUE"""),0.0)</f>
        <v>0</v>
      </c>
      <c r="I107" s="51">
        <f>IFERROR(__xludf.DUMMYFUNCTION("""COMPUTED_VALUE"""),6.0)</f>
        <v>6</v>
      </c>
      <c r="J107" s="51">
        <f>IFERROR(__xludf.DUMMYFUNCTION("""COMPUTED_VALUE"""),1.0)</f>
        <v>1</v>
      </c>
      <c r="K107" s="51">
        <f>IFERROR(__xludf.DUMMYFUNCTION("""COMPUTED_VALUE"""),7.0)</f>
        <v>7</v>
      </c>
      <c r="L107" s="51">
        <f>IFERROR(__xludf.DUMMYFUNCTION("""COMPUTED_VALUE"""),1.0)</f>
        <v>1</v>
      </c>
      <c r="M107" s="51">
        <f>IFERROR(__xludf.DUMMYFUNCTION("""COMPUTED_VALUE"""),219.0)</f>
        <v>219</v>
      </c>
      <c r="N107" s="52">
        <f>IFERROR(__xludf.DUMMYFUNCTION("""COMPUTED_VALUE"""),21.0)</f>
        <v>21</v>
      </c>
    </row>
    <row r="108">
      <c r="A108" s="1"/>
      <c r="B108" s="48" t="str">
        <f>IFERROR(__xludf.DUMMYFUNCTION("""COMPUTED_VALUE"""),"Sandy Weyant")</f>
        <v>Sandy Weyant</v>
      </c>
      <c r="C108" s="49">
        <f>IFERROR(__xludf.DUMMYFUNCTION("""COMPUTED_VALUE"""),210.0)</f>
        <v>210</v>
      </c>
      <c r="D108" s="50">
        <f>IFERROR(__xludf.DUMMYFUNCTION("""COMPUTED_VALUE"""),12.0)</f>
        <v>12</v>
      </c>
      <c r="E108" s="49">
        <f>IFERROR(__xludf.DUMMYFUNCTION("""COMPUTED_VALUE"""),1.0)</f>
        <v>1</v>
      </c>
      <c r="F108" s="51">
        <f>IFERROR(__xludf.DUMMYFUNCTION("""COMPUTED_VALUE"""),6.0)</f>
        <v>6</v>
      </c>
      <c r="G108" s="51">
        <f>IFERROR(__xludf.DUMMYFUNCTION("""COMPUTED_VALUE"""),0.0)</f>
        <v>0</v>
      </c>
      <c r="H108" s="51">
        <f>IFERROR(__xludf.DUMMYFUNCTION("""COMPUTED_VALUE"""),6.0)</f>
        <v>6</v>
      </c>
      <c r="I108" s="51">
        <f>IFERROR(__xludf.DUMMYFUNCTION("""COMPUTED_VALUE"""),1.0)</f>
        <v>1</v>
      </c>
      <c r="J108" s="51">
        <f>IFERROR(__xludf.DUMMYFUNCTION("""COMPUTED_VALUE"""),1.0)</f>
        <v>1</v>
      </c>
      <c r="K108" s="51">
        <f>IFERROR(__xludf.DUMMYFUNCTION("""COMPUTED_VALUE"""),8.0)</f>
        <v>8</v>
      </c>
      <c r="L108" s="51">
        <f>IFERROR(__xludf.DUMMYFUNCTION("""COMPUTED_VALUE"""),1.0)</f>
        <v>1</v>
      </c>
      <c r="M108" s="51">
        <f>IFERROR(__xludf.DUMMYFUNCTION("""COMPUTED_VALUE"""),218.0)</f>
        <v>218</v>
      </c>
      <c r="N108" s="52">
        <f>IFERROR(__xludf.DUMMYFUNCTION("""COMPUTED_VALUE"""),13.0)</f>
        <v>13</v>
      </c>
    </row>
    <row r="109">
      <c r="A109" s="1"/>
      <c r="B109" s="48" t="str">
        <f>IFERROR(__xludf.DUMMYFUNCTION("""COMPUTED_VALUE"""),"Nohely Mejia")</f>
        <v>Nohely Mejia</v>
      </c>
      <c r="C109" s="49">
        <f>IFERROR(__xludf.DUMMYFUNCTION("""COMPUTED_VALUE"""),202.0)</f>
        <v>202</v>
      </c>
      <c r="D109" s="50">
        <f>IFERROR(__xludf.DUMMYFUNCTION("""COMPUTED_VALUE"""),9.0)</f>
        <v>9</v>
      </c>
      <c r="E109" s="49">
        <f>IFERROR(__xludf.DUMMYFUNCTION("""COMPUTED_VALUE"""),1.0)</f>
        <v>1</v>
      </c>
      <c r="F109" s="51">
        <f>IFERROR(__xludf.DUMMYFUNCTION("""COMPUTED_VALUE"""),6.0)</f>
        <v>6</v>
      </c>
      <c r="G109" s="51">
        <f>IFERROR(__xludf.DUMMYFUNCTION("""COMPUTED_VALUE"""),0.0)</f>
        <v>0</v>
      </c>
      <c r="H109" s="51">
        <f>IFERROR(__xludf.DUMMYFUNCTION("""COMPUTED_VALUE"""),0.0)</f>
        <v>0</v>
      </c>
      <c r="I109" s="51">
        <f>IFERROR(__xludf.DUMMYFUNCTION("""COMPUTED_VALUE"""),1.0)</f>
        <v>1</v>
      </c>
      <c r="J109" s="51">
        <f>IFERROR(__xludf.DUMMYFUNCTION("""COMPUTED_VALUE"""),6.0)</f>
        <v>6</v>
      </c>
      <c r="K109" s="51">
        <f>IFERROR(__xludf.DUMMYFUNCTION("""COMPUTED_VALUE"""),7.0)</f>
        <v>7</v>
      </c>
      <c r="L109" s="51">
        <f>IFERROR(__xludf.DUMMYFUNCTION("""COMPUTED_VALUE"""),1.0)</f>
        <v>1</v>
      </c>
      <c r="M109" s="51">
        <f>IFERROR(__xludf.DUMMYFUNCTION("""COMPUTED_VALUE"""),209.0)</f>
        <v>209</v>
      </c>
      <c r="N109" s="52">
        <f>IFERROR(__xludf.DUMMYFUNCTION("""COMPUTED_VALUE"""),10.0)</f>
        <v>10</v>
      </c>
    </row>
    <row r="110">
      <c r="A110" s="1"/>
      <c r="B110" s="53" t="str">
        <f>IFERROR(__xludf.DUMMYFUNCTION("""COMPUTED_VALUE"""),"Jimmy Awolesi")</f>
        <v>Jimmy Awolesi</v>
      </c>
      <c r="C110" s="54">
        <f>IFERROR(__xludf.DUMMYFUNCTION("""COMPUTED_VALUE"""),199.0)</f>
        <v>199</v>
      </c>
      <c r="D110" s="55">
        <f>IFERROR(__xludf.DUMMYFUNCTION("""COMPUTED_VALUE"""),12.0)</f>
        <v>12</v>
      </c>
      <c r="E110" s="54">
        <f>IFERROR(__xludf.DUMMYFUNCTION("""COMPUTED_VALUE"""),2.0)</f>
        <v>2</v>
      </c>
      <c r="F110" s="56">
        <f>IFERROR(__xludf.DUMMYFUNCTION("""COMPUTED_VALUE"""),7.0)</f>
        <v>7</v>
      </c>
      <c r="G110" s="56">
        <f>IFERROR(__xludf.DUMMYFUNCTION("""COMPUTED_VALUE"""),0.0)</f>
        <v>0</v>
      </c>
      <c r="H110" s="56">
        <f>IFERROR(__xludf.DUMMYFUNCTION("""COMPUTED_VALUE"""),3.0)</f>
        <v>3</v>
      </c>
      <c r="I110" s="56">
        <f>IFERROR(__xludf.DUMMYFUNCTION("""COMPUTED_VALUE"""),0.0)</f>
        <v>0</v>
      </c>
      <c r="J110" s="56">
        <f>IFERROR(__xludf.DUMMYFUNCTION("""COMPUTED_VALUE"""),3.0)</f>
        <v>3</v>
      </c>
      <c r="K110" s="56">
        <f>IFERROR(__xludf.DUMMYFUNCTION("""COMPUTED_VALUE"""),6.0)</f>
        <v>6</v>
      </c>
      <c r="L110" s="56">
        <f>IFERROR(__xludf.DUMMYFUNCTION("""COMPUTED_VALUE"""),0.0)</f>
        <v>0</v>
      </c>
      <c r="M110" s="56">
        <f>IFERROR(__xludf.DUMMYFUNCTION("""COMPUTED_VALUE"""),205.0)</f>
        <v>205</v>
      </c>
      <c r="N110" s="57">
        <f>IFERROR(__xludf.DUMMYFUNCTION("""COMPUTED_VALUE"""),12.0)</f>
        <v>12</v>
      </c>
    </row>
    <row r="111">
      <c r="A111" s="1"/>
      <c r="B111" s="53" t="str">
        <f>IFERROR(__xludf.DUMMYFUNCTION("""COMPUTED_VALUE"""),"Elayaraja Thangaraj ")</f>
        <v>Elayaraja Thangaraj </v>
      </c>
      <c r="C111" s="54">
        <f>IFERROR(__xludf.DUMMYFUNCTION("""COMPUTED_VALUE"""),192.0)</f>
        <v>192</v>
      </c>
      <c r="D111" s="55">
        <f>IFERROR(__xludf.DUMMYFUNCTION("""COMPUTED_VALUE"""),13.0)</f>
        <v>13</v>
      </c>
      <c r="E111" s="54">
        <f>IFERROR(__xludf.DUMMYFUNCTION("""COMPUTED_VALUE"""),1.0)</f>
        <v>1</v>
      </c>
      <c r="F111" s="56">
        <f>IFERROR(__xludf.DUMMYFUNCTION("""COMPUTED_VALUE"""),7.0)</f>
        <v>7</v>
      </c>
      <c r="G111" s="56">
        <f>IFERROR(__xludf.DUMMYFUNCTION("""COMPUTED_VALUE"""),0.0)</f>
        <v>0</v>
      </c>
      <c r="H111" s="56">
        <f>IFERROR(__xludf.DUMMYFUNCTION("""COMPUTED_VALUE"""),6.0)</f>
        <v>6</v>
      </c>
      <c r="I111" s="56">
        <f>IFERROR(__xludf.DUMMYFUNCTION("""COMPUTED_VALUE"""),0.0)</f>
        <v>0</v>
      </c>
      <c r="J111" s="56">
        <f>IFERROR(__xludf.DUMMYFUNCTION("""COMPUTED_VALUE"""),6.0)</f>
        <v>6</v>
      </c>
      <c r="K111" s="56">
        <f>IFERROR(__xludf.DUMMYFUNCTION("""COMPUTED_VALUE"""),12.0)</f>
        <v>12</v>
      </c>
      <c r="L111" s="56">
        <f>IFERROR(__xludf.DUMMYFUNCTION("""COMPUTED_VALUE"""),2.0)</f>
        <v>2</v>
      </c>
      <c r="M111" s="56">
        <f>IFERROR(__xludf.DUMMYFUNCTION("""COMPUTED_VALUE"""),204.0)</f>
        <v>204</v>
      </c>
      <c r="N111" s="57">
        <f>IFERROR(__xludf.DUMMYFUNCTION("""COMPUTED_VALUE"""),15.0)</f>
        <v>15</v>
      </c>
    </row>
    <row r="112">
      <c r="A112" s="1"/>
      <c r="B112" s="53" t="str">
        <f>IFERROR(__xludf.DUMMYFUNCTION("""COMPUTED_VALUE"""),"Luis Hsu")</f>
        <v>Luis Hsu</v>
      </c>
      <c r="C112" s="54">
        <f>IFERROR(__xludf.DUMMYFUNCTION("""COMPUTED_VALUE"""),189.0)</f>
        <v>189</v>
      </c>
      <c r="D112" s="55">
        <f>IFERROR(__xludf.DUMMYFUNCTION("""COMPUTED_VALUE"""),3.0)</f>
        <v>3</v>
      </c>
      <c r="E112" s="54">
        <f>IFERROR(__xludf.DUMMYFUNCTION("""COMPUTED_VALUE"""),1.0)</f>
        <v>1</v>
      </c>
      <c r="F112" s="56">
        <f>IFERROR(__xludf.DUMMYFUNCTION("""COMPUTED_VALUE"""),7.0)</f>
        <v>7</v>
      </c>
      <c r="G112" s="56">
        <f>IFERROR(__xludf.DUMMYFUNCTION("""COMPUTED_VALUE"""),0.0)</f>
        <v>0</v>
      </c>
      <c r="H112" s="56">
        <f>IFERROR(__xludf.DUMMYFUNCTION("""COMPUTED_VALUE"""),6.0)</f>
        <v>6</v>
      </c>
      <c r="I112" s="56">
        <f>IFERROR(__xludf.DUMMYFUNCTION("""COMPUTED_VALUE"""),6.0)</f>
        <v>6</v>
      </c>
      <c r="J112" s="56">
        <f>IFERROR(__xludf.DUMMYFUNCTION("""COMPUTED_VALUE"""),3.0)</f>
        <v>3</v>
      </c>
      <c r="K112" s="56">
        <f>IFERROR(__xludf.DUMMYFUNCTION("""COMPUTED_VALUE"""),15.0)</f>
        <v>15</v>
      </c>
      <c r="L112" s="56">
        <f>IFERROR(__xludf.DUMMYFUNCTION("""COMPUTED_VALUE"""),2.0)</f>
        <v>2</v>
      </c>
      <c r="M112" s="56">
        <f>IFERROR(__xludf.DUMMYFUNCTION("""COMPUTED_VALUE"""),204.0)</f>
        <v>204</v>
      </c>
      <c r="N112" s="57">
        <f>IFERROR(__xludf.DUMMYFUNCTION("""COMPUTED_VALUE"""),5.0)</f>
        <v>5</v>
      </c>
    </row>
    <row r="113">
      <c r="A113" s="1"/>
      <c r="B113" s="53"/>
      <c r="C113" s="59"/>
      <c r="D113" s="59"/>
      <c r="E113" s="59"/>
      <c r="F113" s="53"/>
      <c r="G113" s="53"/>
      <c r="H113" s="53"/>
      <c r="I113" s="53"/>
      <c r="J113" s="53"/>
      <c r="K113" s="53"/>
      <c r="L113" s="53"/>
      <c r="M113" s="53"/>
      <c r="N113" s="53"/>
    </row>
    <row r="114">
      <c r="A114" s="1"/>
      <c r="B114" s="48"/>
      <c r="C114" s="60"/>
      <c r="D114" s="60"/>
      <c r="E114" s="60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1"/>
      <c r="B115" s="48"/>
      <c r="C115" s="60"/>
      <c r="D115" s="60"/>
      <c r="E115" s="60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1"/>
      <c r="B116" s="48"/>
      <c r="C116" s="60"/>
      <c r="D116" s="60"/>
      <c r="E116" s="60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1"/>
      <c r="B117" s="48"/>
      <c r="C117" s="60"/>
      <c r="D117" s="60"/>
      <c r="E117" s="60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0"")"),"Adrian Tay")</f>
        <v>Adrian Tay</v>
      </c>
      <c r="C134" s="49">
        <f>IFERROR(__xludf.DUMMYFUNCTION("""COMPUTED_VALUE"""),268.0)</f>
        <v>268</v>
      </c>
      <c r="D134" s="50">
        <f>IFERROR(__xludf.DUMMYFUNCTION("""COMPUTED_VALUE"""),26.0)</f>
        <v>26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IFERROR(__xludf.DUMMYFUNCTION("""COMPUTED_VALUE"""),277.0)</f>
        <v>277</v>
      </c>
      <c r="N134" s="52">
        <f>IFERROR(__xludf.DUMMYFUNCTION("""COMPUTED_VALUE"""),26.0)</f>
        <v>26</v>
      </c>
    </row>
    <row r="135">
      <c r="A135" s="1"/>
      <c r="B135" s="48" t="str">
        <f>IFERROR(__xludf.DUMMYFUNCTION("""COMPUTED_VALUE"""),"Lam Bui")</f>
        <v>Lam Bui</v>
      </c>
      <c r="C135" s="49">
        <f>IFERROR(__xludf.DUMMYFUNCTION("""COMPUTED_VALUE"""),256.0)</f>
        <v>256</v>
      </c>
      <c r="D135" s="50">
        <f>IFERROR(__xludf.DUMMYFUNCTION("""COMPUTED_VALUE"""),23.0)</f>
        <v>23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IFERROR(__xludf.DUMMYFUNCTION("""COMPUTED_VALUE"""),265.0)</f>
        <v>265</v>
      </c>
      <c r="N135" s="52">
        <f>IFERROR(__xludf.DUMMYFUNCTION("""COMPUTED_VALUE"""),23.0)</f>
        <v>23</v>
      </c>
    </row>
    <row r="136">
      <c r="A136" s="1"/>
      <c r="B136" s="48" t="str">
        <f>IFERROR(__xludf.DUMMYFUNCTION("""COMPUTED_VALUE"""),"Peter Homsey")</f>
        <v>Peter Homsey</v>
      </c>
      <c r="C136" s="49">
        <f>IFERROR(__xludf.DUMMYFUNCTION("""COMPUTED_VALUE"""),251.0)</f>
        <v>251</v>
      </c>
      <c r="D136" s="50">
        <f>IFERROR(__xludf.DUMMYFUNCTION("""COMPUTED_VALUE"""),23.0)</f>
        <v>23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IFERROR(__xludf.DUMMYFUNCTION("""COMPUTED_VALUE"""),260.0)</f>
        <v>260</v>
      </c>
      <c r="N136" s="52">
        <f>IFERROR(__xludf.DUMMYFUNCTION("""COMPUTED_VALUE"""),23.0)</f>
        <v>23</v>
      </c>
    </row>
    <row r="137">
      <c r="A137" s="1"/>
      <c r="B137" s="48" t="str">
        <f>IFERROR(__xludf.DUMMYFUNCTION("""COMPUTED_VALUE"""),"Lloyd Sagar")</f>
        <v>Lloyd Sagar</v>
      </c>
      <c r="C137" s="49">
        <f>IFERROR(__xludf.DUMMYFUNCTION("""COMPUTED_VALUE"""),244.0)</f>
        <v>244</v>
      </c>
      <c r="D137" s="50">
        <f>IFERROR(__xludf.DUMMYFUNCTION("""COMPUTED_VALUE"""),17.0)</f>
        <v>17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IFERROR(__xludf.DUMMYFUNCTION("""COMPUTED_VALUE"""),253.0)</f>
        <v>253</v>
      </c>
      <c r="N137" s="52">
        <f>IFERROR(__xludf.DUMMYFUNCTION("""COMPUTED_VALUE"""),17.0)</f>
        <v>17</v>
      </c>
    </row>
    <row r="138">
      <c r="A138" s="1"/>
      <c r="B138" s="48" t="str">
        <f>IFERROR(__xludf.DUMMYFUNCTION("""COMPUTED_VALUE"""),"Ted Shen")</f>
        <v>Ted Shen</v>
      </c>
      <c r="C138" s="49">
        <f>IFERROR(__xludf.DUMMYFUNCTION("""COMPUTED_VALUE"""),242.0)</f>
        <v>242</v>
      </c>
      <c r="D138" s="50">
        <f>IFERROR(__xludf.DUMMYFUNCTION("""COMPUTED_VALUE"""),21.0)</f>
        <v>21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IFERROR(__xludf.DUMMYFUNCTION("""COMPUTED_VALUE"""),251.0)</f>
        <v>251</v>
      </c>
      <c r="N138" s="52">
        <f>IFERROR(__xludf.DUMMYFUNCTION("""COMPUTED_VALUE"""),21.0)</f>
        <v>21</v>
      </c>
    </row>
    <row r="139">
      <c r="A139" s="1"/>
      <c r="B139" s="48" t="str">
        <f>IFERROR(__xludf.DUMMYFUNCTION("""COMPUTED_VALUE"""),"Chinna Ponnaganti")</f>
        <v>Chinna Ponnaganti</v>
      </c>
      <c r="C139" s="49">
        <f>IFERROR(__xludf.DUMMYFUNCTION("""COMPUTED_VALUE"""),241.0)</f>
        <v>241</v>
      </c>
      <c r="D139" s="50">
        <f>IFERROR(__xludf.DUMMYFUNCTION("""COMPUTED_VALUE"""),22.0)</f>
        <v>22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IFERROR(__xludf.DUMMYFUNCTION("""COMPUTED_VALUE"""),250.0)</f>
        <v>250</v>
      </c>
      <c r="N139" s="52">
        <f>IFERROR(__xludf.DUMMYFUNCTION("""COMPUTED_VALUE"""),22.0)</f>
        <v>22</v>
      </c>
    </row>
    <row r="140">
      <c r="A140" s="1"/>
      <c r="B140" s="48" t="str">
        <f>IFERROR(__xludf.DUMMYFUNCTION("""COMPUTED_VALUE"""),"Trinath Goteti")</f>
        <v>Trinath Goteti</v>
      </c>
      <c r="C140" s="49">
        <f>IFERROR(__xludf.DUMMYFUNCTION("""COMPUTED_VALUE"""),237.0)</f>
        <v>237</v>
      </c>
      <c r="D140" s="50">
        <f>IFERROR(__xludf.DUMMYFUNCTION("""COMPUTED_VALUE"""),16.0)</f>
        <v>16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IFERROR(__xludf.DUMMYFUNCTION("""COMPUTED_VALUE"""),246.0)</f>
        <v>246</v>
      </c>
      <c r="N140" s="52">
        <f>IFERROR(__xludf.DUMMYFUNCTION("""COMPUTED_VALUE"""),16.0)</f>
        <v>16</v>
      </c>
    </row>
    <row r="141">
      <c r="A141" s="1"/>
      <c r="B141" s="48" t="str">
        <f>IFERROR(__xludf.DUMMYFUNCTION("""COMPUTED_VALUE"""),"Sai Dilip Ponnaganti")</f>
        <v>Sai Dilip Ponnaganti</v>
      </c>
      <c r="C141" s="49">
        <f>IFERROR(__xludf.DUMMYFUNCTION("""COMPUTED_VALUE"""),237.0)</f>
        <v>237</v>
      </c>
      <c r="D141" s="50">
        <f>IFERROR(__xludf.DUMMYFUNCTION("""COMPUTED_VALUE"""),15.0)</f>
        <v>15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IFERROR(__xludf.DUMMYFUNCTION("""COMPUTED_VALUE"""),246.0)</f>
        <v>246</v>
      </c>
      <c r="N141" s="52">
        <f>IFERROR(__xludf.DUMMYFUNCTION("""COMPUTED_VALUE"""),15.0)</f>
        <v>15</v>
      </c>
    </row>
    <row r="142">
      <c r="A142" s="1"/>
      <c r="B142" s="48" t="str">
        <f>IFERROR(__xludf.DUMMYFUNCTION("""COMPUTED_VALUE"""),"Anish Kumar")</f>
        <v>Anish Kumar</v>
      </c>
      <c r="C142" s="49">
        <f>IFERROR(__xludf.DUMMYFUNCTION("""COMPUTED_VALUE"""),236.0)</f>
        <v>236</v>
      </c>
      <c r="D142" s="50">
        <f>IFERROR(__xludf.DUMMYFUNCTION("""COMPUTED_VALUE"""),17.0)</f>
        <v>17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IFERROR(__xludf.DUMMYFUNCTION("""COMPUTED_VALUE"""),245.0)</f>
        <v>245</v>
      </c>
      <c r="N142" s="52">
        <f>IFERROR(__xludf.DUMMYFUNCTION("""COMPUTED_VALUE"""),17.0)</f>
        <v>17</v>
      </c>
    </row>
    <row r="143">
      <c r="A143" s="1"/>
      <c r="B143" s="48" t="str">
        <f>IFERROR(__xludf.DUMMYFUNCTION("""COMPUTED_VALUE"""),"Sean Chang")</f>
        <v>Sean Chang</v>
      </c>
      <c r="C143" s="49">
        <f>IFERROR(__xludf.DUMMYFUNCTION("""COMPUTED_VALUE"""),235.0)</f>
        <v>235</v>
      </c>
      <c r="D143" s="50">
        <f>IFERROR(__xludf.DUMMYFUNCTION("""COMPUTED_VALUE"""),15.0)</f>
        <v>15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IFERROR(__xludf.DUMMYFUNCTION("""COMPUTED_VALUE"""),244.0)</f>
        <v>244</v>
      </c>
      <c r="N143" s="52">
        <f>IFERROR(__xludf.DUMMYFUNCTION("""COMPUTED_VALUE"""),15.0)</f>
        <v>15</v>
      </c>
    </row>
    <row r="144">
      <c r="A144" s="1"/>
      <c r="B144" s="48" t="str">
        <f>IFERROR(__xludf.DUMMYFUNCTION("""COMPUTED_VALUE"""),"Eric Pan")</f>
        <v>Eric Pan</v>
      </c>
      <c r="C144" s="49">
        <f>IFERROR(__xludf.DUMMYFUNCTION("""COMPUTED_VALUE"""),233.0)</f>
        <v>233</v>
      </c>
      <c r="D144" s="50">
        <f>IFERROR(__xludf.DUMMYFUNCTION("""COMPUTED_VALUE"""),16.0)</f>
        <v>16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IFERROR(__xludf.DUMMYFUNCTION("""COMPUTED_VALUE"""),242.0)</f>
        <v>242</v>
      </c>
      <c r="N144" s="52">
        <f>IFERROR(__xludf.DUMMYFUNCTION("""COMPUTED_VALUE"""),16.0)</f>
        <v>16</v>
      </c>
    </row>
    <row r="145">
      <c r="A145" s="1"/>
      <c r="B145" s="48" t="str">
        <f>IFERROR(__xludf.DUMMYFUNCTION("""COMPUTED_VALUE"""),"Tom Le")</f>
        <v>Tom Le</v>
      </c>
      <c r="C145" s="49">
        <f>IFERROR(__xludf.DUMMYFUNCTION("""COMPUTED_VALUE"""),230.0)</f>
        <v>230</v>
      </c>
      <c r="D145" s="50">
        <f>IFERROR(__xludf.DUMMYFUNCTION("""COMPUTED_VALUE"""),13.0)</f>
        <v>13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IFERROR(__xludf.DUMMYFUNCTION("""COMPUTED_VALUE"""),239.0)</f>
        <v>239</v>
      </c>
      <c r="N145" s="52">
        <f>IFERROR(__xludf.DUMMYFUNCTION("""COMPUTED_VALUE"""),13.0)</f>
        <v>13</v>
      </c>
    </row>
    <row r="146">
      <c r="A146" s="1"/>
      <c r="B146" s="48" t="str">
        <f>IFERROR(__xludf.DUMMYFUNCTION("""COMPUTED_VALUE"""),"Rosie Bonilla")</f>
        <v>Rosie Bonilla</v>
      </c>
      <c r="C146" s="49">
        <f>IFERROR(__xludf.DUMMYFUNCTION("""COMPUTED_VALUE"""),219.0)</f>
        <v>219</v>
      </c>
      <c r="D146" s="50">
        <f>IFERROR(__xludf.DUMMYFUNCTION("""COMPUTED_VALUE"""),14.0)</f>
        <v>14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IFERROR(__xludf.DUMMYFUNCTION("""COMPUTED_VALUE"""),228.0)</f>
        <v>228</v>
      </c>
      <c r="N146" s="52">
        <f>IFERROR(__xludf.DUMMYFUNCTION("""COMPUTED_VALUE"""),14.0)</f>
        <v>14</v>
      </c>
    </row>
    <row r="147">
      <c r="A147" s="1"/>
      <c r="B147" s="48" t="str">
        <f>IFERROR(__xludf.DUMMYFUNCTION("""COMPUTED_VALUE"""),"Troy Wong")</f>
        <v>Troy Wong</v>
      </c>
      <c r="C147" s="49">
        <f>IFERROR(__xludf.DUMMYFUNCTION("""COMPUTED_VALUE"""),216.0)</f>
        <v>216</v>
      </c>
      <c r="D147" s="50">
        <f>IFERROR(__xludf.DUMMYFUNCTION("""COMPUTED_VALUE"""),10.0)</f>
        <v>10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IFERROR(__xludf.DUMMYFUNCTION("""COMPUTED_VALUE"""),225.0)</f>
        <v>225</v>
      </c>
      <c r="N147" s="52">
        <f>IFERROR(__xludf.DUMMYFUNCTION("""COMPUTED_VALUE"""),10.0)</f>
        <v>10</v>
      </c>
    </row>
    <row r="148">
      <c r="A148" s="1"/>
      <c r="B148" s="48" t="str">
        <f>IFERROR(__xludf.DUMMYFUNCTION("""COMPUTED_VALUE"""),"Manuel Rivera")</f>
        <v>Manuel Rivera</v>
      </c>
      <c r="C148" s="49">
        <f>IFERROR(__xludf.DUMMYFUNCTION("""COMPUTED_VALUE"""),215.0)</f>
        <v>215</v>
      </c>
      <c r="D148" s="50">
        <f>IFERROR(__xludf.DUMMYFUNCTION("""COMPUTED_VALUE"""),16.0)</f>
        <v>16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IFERROR(__xludf.DUMMYFUNCTION("""COMPUTED_VALUE"""),224.0)</f>
        <v>224</v>
      </c>
      <c r="N148" s="52">
        <f>IFERROR(__xludf.DUMMYFUNCTION("""COMPUTED_VALUE"""),16.0)</f>
        <v>16</v>
      </c>
    </row>
    <row r="149">
      <c r="A149" s="1"/>
      <c r="B149" s="48" t="str">
        <f>IFERROR(__xludf.DUMMYFUNCTION("""COMPUTED_VALUE"""),"Susanta Mishra")</f>
        <v>Susanta Mishra</v>
      </c>
      <c r="C149" s="49">
        <f>IFERROR(__xludf.DUMMYFUNCTION("""COMPUTED_VALUE"""),213.0)</f>
        <v>213</v>
      </c>
      <c r="D149" s="50">
        <f>IFERROR(__xludf.DUMMYFUNCTION("""COMPUTED_VALUE"""),11.0)</f>
        <v>11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IFERROR(__xludf.DUMMYFUNCTION("""COMPUTED_VALUE"""),222.0)</f>
        <v>222</v>
      </c>
      <c r="N149" s="52">
        <f>IFERROR(__xludf.DUMMYFUNCTION("""COMPUTED_VALUE"""),11.0)</f>
        <v>11</v>
      </c>
    </row>
    <row r="150">
      <c r="A150" s="1"/>
      <c r="B150" s="48" t="str">
        <f>IFERROR(__xludf.DUMMYFUNCTION("""COMPUTED_VALUE"""),"Derek Fu")</f>
        <v>Derek Fu</v>
      </c>
      <c r="C150" s="49">
        <f>IFERROR(__xludf.DUMMYFUNCTION("""COMPUTED_VALUE"""),213.0)</f>
        <v>213</v>
      </c>
      <c r="D150" s="50">
        <f>IFERROR(__xludf.DUMMYFUNCTION("""COMPUTED_VALUE"""),10.0)</f>
        <v>10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IFERROR(__xludf.DUMMYFUNCTION("""COMPUTED_VALUE"""),222.0)</f>
        <v>222</v>
      </c>
      <c r="N150" s="52">
        <f>IFERROR(__xludf.DUMMYFUNCTION("""COMPUTED_VALUE"""),10.0)</f>
        <v>10</v>
      </c>
    </row>
    <row r="151">
      <c r="A151" s="1"/>
      <c r="B151" s="48" t="str">
        <f>IFERROR(__xludf.DUMMYFUNCTION("""COMPUTED_VALUE"""),"Paul Sanchez")</f>
        <v>Paul Sanchez</v>
      </c>
      <c r="C151" s="49">
        <f>IFERROR(__xludf.DUMMYFUNCTION("""COMPUTED_VALUE"""),207.0)</f>
        <v>207</v>
      </c>
      <c r="D151" s="50">
        <f>IFERROR(__xludf.DUMMYFUNCTION("""COMPUTED_VALUE"""),9.0)</f>
        <v>9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IFERROR(__xludf.DUMMYFUNCTION("""COMPUTED_VALUE"""),216.0)</f>
        <v>216</v>
      </c>
      <c r="N151" s="52">
        <f>IFERROR(__xludf.DUMMYFUNCTION("""COMPUTED_VALUE"""),9.0)</f>
        <v>9</v>
      </c>
    </row>
    <row r="152">
      <c r="A152" s="1"/>
      <c r="B152" s="48" t="str">
        <f>IFERROR(__xludf.DUMMYFUNCTION("""COMPUTED_VALUE"""),"James Cole III")</f>
        <v>James Cole III</v>
      </c>
      <c r="C152" s="49">
        <f>IFERROR(__xludf.DUMMYFUNCTION("""COMPUTED_VALUE"""),202.0)</f>
        <v>202</v>
      </c>
      <c r="D152" s="50">
        <f>IFERROR(__xludf.DUMMYFUNCTION("""COMPUTED_VALUE"""),8.0)</f>
        <v>8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IFERROR(__xludf.DUMMYFUNCTION("""COMPUTED_VALUE"""),211.0)</f>
        <v>211</v>
      </c>
      <c r="N152" s="52">
        <f>IFERROR(__xludf.DUMMYFUNCTION("""COMPUTED_VALUE"""),8.0)</f>
        <v>8</v>
      </c>
    </row>
    <row r="153">
      <c r="A153" s="1"/>
      <c r="B153" s="48" t="str">
        <f>IFERROR(__xludf.DUMMYFUNCTION("""COMPUTED_VALUE"""),"Vamsi Lolla ")</f>
        <v>Vamsi Lolla </v>
      </c>
      <c r="C153" s="49">
        <f>IFERROR(__xludf.DUMMYFUNCTION("""COMPUTED_VALUE"""),201.0)</f>
        <v>201</v>
      </c>
      <c r="D153" s="50">
        <f>IFERROR(__xludf.DUMMYFUNCTION("""COMPUTED_VALUE"""),10.0)</f>
        <v>10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IFERROR(__xludf.DUMMYFUNCTION("""COMPUTED_VALUE"""),210.0)</f>
        <v>210</v>
      </c>
      <c r="N153" s="52">
        <f>IFERROR(__xludf.DUMMYFUNCTION("""COMPUTED_VALUE"""),10.0)</f>
        <v>10</v>
      </c>
    </row>
    <row r="154">
      <c r="A154" s="1"/>
      <c r="B154" s="48" t="str">
        <f>IFERROR(__xludf.DUMMYFUNCTION("""COMPUTED_VALUE"""),"Vinot Kumar Nagappan")</f>
        <v>Vinot Kumar Nagappan</v>
      </c>
      <c r="C154" s="49">
        <f>IFERROR(__xludf.DUMMYFUNCTION("""COMPUTED_VALUE"""),199.0)</f>
        <v>199</v>
      </c>
      <c r="D154" s="50">
        <f>IFERROR(__xludf.DUMMYFUNCTION("""COMPUTED_VALUE"""),10.0)</f>
        <v>10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IFERROR(__xludf.DUMMYFUNCTION("""COMPUTED_VALUE"""),208.0)</f>
        <v>208</v>
      </c>
      <c r="N154" s="52">
        <f>IFERROR(__xludf.DUMMYFUNCTION("""COMPUTED_VALUE"""),10.0)</f>
        <v>10</v>
      </c>
    </row>
    <row r="155">
      <c r="A155" s="1"/>
      <c r="B155" s="48" t="str">
        <f>IFERROR(__xludf.DUMMYFUNCTION("""COMPUTED_VALUE"""),"Balaji Alahari")</f>
        <v>Balaji Alahari</v>
      </c>
      <c r="C155" s="49">
        <f>IFERROR(__xludf.DUMMYFUNCTION("""COMPUTED_VALUE"""),195.0)</f>
        <v>195</v>
      </c>
      <c r="D155" s="50">
        <f>IFERROR(__xludf.DUMMYFUNCTION("""COMPUTED_VALUE"""),5.0)</f>
        <v>5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IFERROR(__xludf.DUMMYFUNCTION("""COMPUTED_VALUE"""),204.0)</f>
        <v>204</v>
      </c>
      <c r="N155" s="52">
        <f>IFERROR(__xludf.DUMMYFUNCTION("""COMPUTED_VALUE"""),5.0)</f>
        <v>5</v>
      </c>
    </row>
    <row r="156">
      <c r="A156" s="1"/>
      <c r="B156" s="48" t="str">
        <f>IFERROR(__xludf.DUMMYFUNCTION("""COMPUTED_VALUE"""),"Pan Lee")</f>
        <v>Pan Lee</v>
      </c>
      <c r="C156" s="49">
        <f>IFERROR(__xludf.DUMMYFUNCTION("""COMPUTED_VALUE"""),194.0)</f>
        <v>194</v>
      </c>
      <c r="D156" s="50">
        <f>IFERROR(__xludf.DUMMYFUNCTION("""COMPUTED_VALUE"""),5.0)</f>
        <v>5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IFERROR(__xludf.DUMMYFUNCTION("""COMPUTED_VALUE"""),203.0)</f>
        <v>203</v>
      </c>
      <c r="N156" s="52">
        <f>IFERROR(__xludf.DUMMYFUNCTION("""COMPUTED_VALUE"""),5.0)</f>
        <v>5</v>
      </c>
    </row>
    <row r="157">
      <c r="A157" s="1"/>
      <c r="B157" s="48" t="str">
        <f>IFERROR(__xludf.DUMMYFUNCTION("""COMPUTED_VALUE"""),"Lauren Chang")</f>
        <v>Lauren Chang</v>
      </c>
      <c r="C157" s="49">
        <f>IFERROR(__xludf.DUMMYFUNCTION("""COMPUTED_VALUE"""),192.0)</f>
        <v>192</v>
      </c>
      <c r="D157" s="50">
        <f>IFERROR(__xludf.DUMMYFUNCTION("""COMPUTED_VALUE"""),4.0)</f>
        <v>4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IFERROR(__xludf.DUMMYFUNCTION("""COMPUTED_VALUE"""),201.0)</f>
        <v>201</v>
      </c>
      <c r="N157" s="52">
        <f>IFERROR(__xludf.DUMMYFUNCTION("""COMPUTED_VALUE"""),4.0)</f>
        <v>4</v>
      </c>
    </row>
    <row r="158">
      <c r="A158" s="1"/>
      <c r="B158" s="48" t="str">
        <f>IFERROR(__xludf.DUMMYFUNCTION("""COMPUTED_VALUE"""),"Santosh Sundaresan ")</f>
        <v>Santosh Sundaresan </v>
      </c>
      <c r="C158" s="49">
        <f>IFERROR(__xludf.DUMMYFUNCTION("""COMPUTED_VALUE"""),190.0)</f>
        <v>190</v>
      </c>
      <c r="D158" s="50">
        <f>IFERROR(__xludf.DUMMYFUNCTION("""COMPUTED_VALUE"""),6.0)</f>
        <v>6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IFERROR(__xludf.DUMMYFUNCTION("""COMPUTED_VALUE"""),199.0)</f>
        <v>199</v>
      </c>
      <c r="N158" s="52">
        <f>IFERROR(__xludf.DUMMYFUNCTION("""COMPUTED_VALUE"""),6.0)</f>
        <v>6</v>
      </c>
    </row>
    <row r="159">
      <c r="A159" s="1"/>
      <c r="B159" s="48" t="str">
        <f>IFERROR(__xludf.DUMMYFUNCTION("""COMPUTED_VALUE"""),"Vilas Janardhanan")</f>
        <v>Vilas Janardhanan</v>
      </c>
      <c r="C159" s="49">
        <f>IFERROR(__xludf.DUMMYFUNCTION("""COMPUTED_VALUE"""),189.0)</f>
        <v>189</v>
      </c>
      <c r="D159" s="50">
        <f>IFERROR(__xludf.DUMMYFUNCTION("""COMPUTED_VALUE"""),7.0)</f>
        <v>7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IFERROR(__xludf.DUMMYFUNCTION("""COMPUTED_VALUE"""),198.0)</f>
        <v>198</v>
      </c>
      <c r="N159" s="52">
        <f>IFERROR(__xludf.DUMMYFUNCTION("""COMPUTED_VALUE"""),7.0)</f>
        <v>7</v>
      </c>
    </row>
    <row r="160">
      <c r="A160" s="1"/>
      <c r="B160" s="48" t="str">
        <f>IFERROR(__xludf.DUMMYFUNCTION("""COMPUTED_VALUE"""),"Piyorasa Li")</f>
        <v>Piyorasa Li</v>
      </c>
      <c r="C160" s="49">
        <f>IFERROR(__xludf.DUMMYFUNCTION("""COMPUTED_VALUE"""),189.0)</f>
        <v>189</v>
      </c>
      <c r="D160" s="50">
        <f>IFERROR(__xludf.DUMMYFUNCTION("""COMPUTED_VALUE"""),3.0)</f>
        <v>3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IFERROR(__xludf.DUMMYFUNCTION("""COMPUTED_VALUE"""),198.0)</f>
        <v>198</v>
      </c>
      <c r="N160" s="52">
        <f>IFERROR(__xludf.DUMMYFUNCTION("""COMPUTED_VALUE"""),3.0)</f>
        <v>3</v>
      </c>
    </row>
    <row r="161">
      <c r="A161" s="1"/>
      <c r="B161" s="48" t="str">
        <f>IFERROR(__xludf.DUMMYFUNCTION("""COMPUTED_VALUE"""),"Jason Kim ")</f>
        <v>Jason Kim </v>
      </c>
      <c r="C161" s="49">
        <f>IFERROR(__xludf.DUMMYFUNCTION("""COMPUTED_VALUE"""),189.0)</f>
        <v>189</v>
      </c>
      <c r="D161" s="50">
        <f>IFERROR(__xludf.DUMMYFUNCTION("""COMPUTED_VALUE"""),3.0)</f>
        <v>3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IFERROR(__xludf.DUMMYFUNCTION("""COMPUTED_VALUE"""),198.0)</f>
        <v>198</v>
      </c>
      <c r="N161" s="52">
        <f>IFERROR(__xludf.DUMMYFUNCTION("""COMPUTED_VALUE"""),3.0)</f>
        <v>3</v>
      </c>
    </row>
    <row r="162">
      <c r="A162" s="1"/>
      <c r="B162" s="48" t="str">
        <f>IFERROR(__xludf.DUMMYFUNCTION("""COMPUTED_VALUE"""),"Coco Yan")</f>
        <v>Coco Yan</v>
      </c>
      <c r="C162" s="49">
        <f>IFERROR(__xludf.DUMMYFUNCTION("""COMPUTED_VALUE"""),184.0)</f>
        <v>184</v>
      </c>
      <c r="D162" s="50">
        <f>IFERROR(__xludf.DUMMYFUNCTION("""COMPUTED_VALUE"""),2.0)</f>
        <v>2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IFERROR(__xludf.DUMMYFUNCTION("""COMPUTED_VALUE"""),193.0)</f>
        <v>193</v>
      </c>
      <c r="N162" s="52">
        <f>IFERROR(__xludf.DUMMYFUNCTION("""COMPUTED_VALUE"""),2.0)</f>
        <v>2</v>
      </c>
    </row>
    <row r="163">
      <c r="A163" s="1"/>
      <c r="B163" s="48" t="str">
        <f>IFERROR(__xludf.DUMMYFUNCTION("""COMPUTED_VALUE"""),"Amit Patel")</f>
        <v>Amit Patel</v>
      </c>
      <c r="C163" s="49">
        <f>IFERROR(__xludf.DUMMYFUNCTION("""COMPUTED_VALUE"""),183.0)</f>
        <v>183</v>
      </c>
      <c r="D163" s="50">
        <f>IFERROR(__xludf.DUMMYFUNCTION("""COMPUTED_VALUE"""),3.0)</f>
        <v>3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IFERROR(__xludf.DUMMYFUNCTION("""COMPUTED_VALUE"""),192.0)</f>
        <v>192</v>
      </c>
      <c r="N163" s="52">
        <f>IFERROR(__xludf.DUMMYFUNCTION("""COMPUTED_VALUE"""),3.0)</f>
        <v>3</v>
      </c>
    </row>
    <row r="164">
      <c r="A164" s="1"/>
      <c r="B164" s="48" t="str">
        <f>IFERROR(__xludf.DUMMYFUNCTION("""COMPUTED_VALUE"""),"Kevin Wang")</f>
        <v>Kevin Wang</v>
      </c>
      <c r="C164" s="49">
        <f>IFERROR(__xludf.DUMMYFUNCTION("""COMPUTED_VALUE"""),182.0)</f>
        <v>182</v>
      </c>
      <c r="D164" s="50">
        <f>IFERROR(__xludf.DUMMYFUNCTION("""COMPUTED_VALUE"""),13.0)</f>
        <v>13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IFERROR(__xludf.DUMMYFUNCTION("""COMPUTED_VALUE"""),191.0)</f>
        <v>191</v>
      </c>
      <c r="N164" s="52">
        <f>IFERROR(__xludf.DUMMYFUNCTION("""COMPUTED_VALUE"""),13.0)</f>
        <v>13</v>
      </c>
    </row>
    <row r="165">
      <c r="A165" s="1"/>
      <c r="B165" s="48" t="str">
        <f>IFERROR(__xludf.DUMMYFUNCTION("""COMPUTED_VALUE"""),"Savay Lieu")</f>
        <v>Savay Lieu</v>
      </c>
      <c r="C165" s="49">
        <f>IFERROR(__xludf.DUMMYFUNCTION("""COMPUTED_VALUE"""),180.0)</f>
        <v>180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IFERROR(__xludf.DUMMYFUNCTION("""COMPUTED_VALUE"""),189.0)</f>
        <v>189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IFERROR(__xludf.DUMMYFUNCTION("""COMPUTED_VALUE"""),"Mihir Anand")</f>
        <v>Mihir Anand</v>
      </c>
      <c r="C166" s="49">
        <f>IFERROR(__xludf.DUMMYFUNCTION("""COMPUTED_VALUE"""),180.0)</f>
        <v>180</v>
      </c>
      <c r="D166" s="50">
        <f>IFERROR(__xludf.DUMMYFUNCTION("""COMPUTED_VALUE"""),0.0)</f>
        <v>0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IFERROR(__xludf.DUMMYFUNCTION("""COMPUTED_VALUE"""),189.0)</f>
        <v>189</v>
      </c>
      <c r="N166" s="52">
        <f>IFERROR(__xludf.DUMMYFUNCTION("""COMPUTED_VALUE"""),0.0)</f>
        <v>0</v>
      </c>
    </row>
    <row r="167">
      <c r="A167" s="1"/>
      <c r="B167" s="48" t="str">
        <f>IFERROR(__xludf.DUMMYFUNCTION("""COMPUTED_VALUE"""),"Manish Anand")</f>
        <v>Manish Anand</v>
      </c>
      <c r="C167" s="49">
        <f>IFERROR(__xludf.DUMMYFUNCTION("""COMPUTED_VALUE"""),180.0)</f>
        <v>180</v>
      </c>
      <c r="D167" s="50">
        <f>IFERROR(__xludf.DUMMYFUNCTION("""COMPUTED_VALUE"""),0.0)</f>
        <v>0</v>
      </c>
      <c r="E167" s="49">
        <f>IFERROR(__xludf.DUMMYFUNCTION("""COMPUTED_VALUE"""),3.0)</f>
        <v>3</v>
      </c>
      <c r="F167" s="51">
        <f>IFERROR(__xludf.DUMMYFUNCTION("""COMPUTED_VALUE"""),0.0)</f>
        <v>0</v>
      </c>
      <c r="G167" s="51">
        <f>IFERROR(__xludf.DUMMYFUNCTION("""COMPUTED_VALUE"""),9.0)</f>
        <v>9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IFERROR(__xludf.DUMMYFUNCTION("""COMPUTED_VALUE"""),9.0)</f>
        <v>9</v>
      </c>
      <c r="L167" s="51">
        <f>IFERROR(__xludf.DUMMYFUNCTION("""COMPUTED_VALUE"""),0.0)</f>
        <v>0</v>
      </c>
      <c r="M167" s="51">
        <f>IFERROR(__xludf.DUMMYFUNCTION("""COMPUTED_VALUE"""),189.0)</f>
        <v>189</v>
      </c>
      <c r="N167" s="52">
        <f>IFERROR(__xludf.DUMMYFUNCTION("""COMPUTED_VALUE"""),0.0)</f>
        <v>0</v>
      </c>
    </row>
    <row r="168">
      <c r="A168" s="1"/>
      <c r="B168" s="48" t="str">
        <f>IFERROR(__xludf.DUMMYFUNCTION("""COMPUTED_VALUE"""),"Fendi Purwadi")</f>
        <v>Fendi Purwadi</v>
      </c>
      <c r="C168" s="49">
        <f>IFERROR(__xludf.DUMMYFUNCTION("""COMPUTED_VALUE"""),180.0)</f>
        <v>180</v>
      </c>
      <c r="D168" s="50">
        <f>IFERROR(__xludf.DUMMYFUNCTION("""COMPUTED_VALUE"""),0.0)</f>
        <v>0</v>
      </c>
      <c r="E168" s="49">
        <f>IFERROR(__xludf.DUMMYFUNCTION("""COMPUTED_VALUE"""),3.0)</f>
        <v>3</v>
      </c>
      <c r="F168" s="51">
        <f>IFERROR(__xludf.DUMMYFUNCTION("""COMPUTED_VALUE"""),0.0)</f>
        <v>0</v>
      </c>
      <c r="G168" s="51">
        <f>IFERROR(__xludf.DUMMYFUNCTION("""COMPUTED_VALUE"""),9.0)</f>
        <v>9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IFERROR(__xludf.DUMMYFUNCTION("""COMPUTED_VALUE"""),9.0)</f>
        <v>9</v>
      </c>
      <c r="L168" s="51">
        <f>IFERROR(__xludf.DUMMYFUNCTION("""COMPUTED_VALUE"""),0.0)</f>
        <v>0</v>
      </c>
      <c r="M168" s="51">
        <f>IFERROR(__xludf.DUMMYFUNCTION("""COMPUTED_VALUE"""),189.0)</f>
        <v>189</v>
      </c>
      <c r="N168" s="52">
        <f>IFERROR(__xludf.DUMMYFUNCTION("""COMPUTED_VALUE"""),0.0)</f>
        <v>0</v>
      </c>
    </row>
    <row r="169">
      <c r="A169" s="1"/>
      <c r="B169" s="48" t="str">
        <f>IFERROR(__xludf.DUMMYFUNCTION("""COMPUTED_VALUE"""),"Jose Ortiz")</f>
        <v>Jose Ortiz</v>
      </c>
      <c r="C169" s="49">
        <f>IFERROR(__xludf.DUMMYFUNCTION("""COMPUTED_VALUE"""),177.0)</f>
        <v>177</v>
      </c>
      <c r="D169" s="50">
        <f>IFERROR(__xludf.DUMMYFUNCTION("""COMPUTED_VALUE"""),5.0)</f>
        <v>5</v>
      </c>
      <c r="E169" s="49">
        <f>IFERROR(__xludf.DUMMYFUNCTION("""COMPUTED_VALUE"""),3.0)</f>
        <v>3</v>
      </c>
      <c r="F169" s="51">
        <f>IFERROR(__xludf.DUMMYFUNCTION("""COMPUTED_VALUE"""),0.0)</f>
        <v>0</v>
      </c>
      <c r="G169" s="51">
        <f>IFERROR(__xludf.DUMMYFUNCTION("""COMPUTED_VALUE"""),9.0)</f>
        <v>9</v>
      </c>
      <c r="H169" s="51">
        <f>IFERROR(__xludf.DUMMYFUNCTION("""COMPUTED_VALUE"""),0.0)</f>
        <v>0</v>
      </c>
      <c r="I169" s="51">
        <f>IFERROR(__xludf.DUMMYFUNCTION("""COMPUTED_VALUE"""),0.0)</f>
        <v>0</v>
      </c>
      <c r="J169" s="51">
        <f>IFERROR(__xludf.DUMMYFUNCTION("""COMPUTED_VALUE"""),0.0)</f>
        <v>0</v>
      </c>
      <c r="K169" s="51">
        <f>IFERROR(__xludf.DUMMYFUNCTION("""COMPUTED_VALUE"""),9.0)</f>
        <v>9</v>
      </c>
      <c r="L169" s="51">
        <f>IFERROR(__xludf.DUMMYFUNCTION("""COMPUTED_VALUE"""),0.0)</f>
        <v>0</v>
      </c>
      <c r="M169" s="51">
        <f>IFERROR(__xludf.DUMMYFUNCTION("""COMPUTED_VALUE"""),186.0)</f>
        <v>186</v>
      </c>
      <c r="N169" s="52">
        <f>IFERROR(__xludf.DUMMYFUNCTION("""COMPUTED_VALUE"""),5.0)</f>
        <v>5</v>
      </c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45255.0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20.0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257.0</v>
      </c>
      <c r="D5" s="28">
        <v>27.0</v>
      </c>
      <c r="E5" s="30">
        <v>1.0</v>
      </c>
      <c r="F5" s="31">
        <v>1.0</v>
      </c>
      <c r="G5" s="27">
        <v>0.0</v>
      </c>
      <c r="H5" s="31">
        <v>6.0</v>
      </c>
      <c r="I5" s="31">
        <v>6.0</v>
      </c>
      <c r="J5" s="31">
        <v>6.0</v>
      </c>
      <c r="K5" s="32">
        <v>18.0</v>
      </c>
      <c r="L5" s="31">
        <v>2.0</v>
      </c>
      <c r="M5" s="27">
        <f t="shared" ref="M5:N5" si="1">C5+K5</f>
        <v>275</v>
      </c>
      <c r="N5" s="28">
        <f t="shared" si="1"/>
        <v>29</v>
      </c>
      <c r="O5" s="33" t="s">
        <v>37</v>
      </c>
      <c r="P5" s="33" t="s">
        <v>37</v>
      </c>
      <c r="Q5" s="31">
        <f>if(G5=13,1,0)+VLOOKUP(B5,'111123'!B:Q,16,false)</f>
        <v>1</v>
      </c>
      <c r="R5" s="31"/>
      <c r="S5" s="31">
        <f>if(G5=9,1,0)+VLOOKUP(B5,'111123'!B:S,18,false)</f>
        <v>6</v>
      </c>
    </row>
    <row r="6">
      <c r="A6" s="25">
        <f t="shared" ref="A6:A68" si="3">A5+1</f>
        <v>2</v>
      </c>
      <c r="B6" s="26" t="s">
        <v>42</v>
      </c>
      <c r="C6" s="27">
        <v>251.0</v>
      </c>
      <c r="D6" s="28">
        <v>24.0</v>
      </c>
      <c r="E6" s="30">
        <v>1.0</v>
      </c>
      <c r="F6" s="31">
        <v>1.0</v>
      </c>
      <c r="G6" s="27">
        <v>0.0</v>
      </c>
      <c r="H6" s="31">
        <v>4.0</v>
      </c>
      <c r="I6" s="31">
        <v>6.0</v>
      </c>
      <c r="J6" s="31">
        <v>7.0</v>
      </c>
      <c r="K6" s="32">
        <v>17.0</v>
      </c>
      <c r="L6" s="31">
        <v>2.0</v>
      </c>
      <c r="M6" s="27">
        <f t="shared" ref="M6:N6" si="2">C6+K6</f>
        <v>268</v>
      </c>
      <c r="N6" s="28">
        <f t="shared" si="2"/>
        <v>26</v>
      </c>
      <c r="O6" s="33" t="s">
        <v>37</v>
      </c>
      <c r="P6" s="33" t="s">
        <v>37</v>
      </c>
      <c r="Q6" s="31">
        <f>if(G6=13,1,0)+VLOOKUP(B6,'111123'!B:Q,16,false)</f>
        <v>0</v>
      </c>
      <c r="R6" s="31"/>
      <c r="S6" s="31">
        <f>if(G6=9,1,0)+VLOOKUP(B6,'111123'!B:S,18,false)</f>
        <v>7</v>
      </c>
    </row>
    <row r="7">
      <c r="A7" s="25">
        <f t="shared" si="3"/>
        <v>3</v>
      </c>
      <c r="B7" s="26" t="s">
        <v>47</v>
      </c>
      <c r="C7" s="27">
        <v>249.0</v>
      </c>
      <c r="D7" s="28">
        <v>24.0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258</v>
      </c>
      <c r="N7" s="28">
        <f t="shared" si="4"/>
        <v>24</v>
      </c>
      <c r="O7" s="33" t="s">
        <v>37</v>
      </c>
      <c r="P7" s="33" t="s">
        <v>37</v>
      </c>
      <c r="Q7" s="31">
        <f>if(G7=13,1,0)+VLOOKUP(B7,'111123'!B:Q,16,false)</f>
        <v>0</v>
      </c>
      <c r="R7" s="31"/>
      <c r="S7" s="31">
        <f>if(G7=9,1,0)+VLOOKUP(B7,'111123'!B:S,18,false)</f>
        <v>10</v>
      </c>
    </row>
    <row r="8">
      <c r="A8" s="25">
        <f t="shared" si="3"/>
        <v>4</v>
      </c>
      <c r="B8" s="26" t="s">
        <v>48</v>
      </c>
      <c r="C8" s="27">
        <v>247.0</v>
      </c>
      <c r="D8" s="28">
        <v>23.0</v>
      </c>
      <c r="E8" s="30">
        <v>3.0</v>
      </c>
      <c r="F8" s="31">
        <v>0.0</v>
      </c>
      <c r="G8" s="27">
        <v>9.0</v>
      </c>
      <c r="H8" s="31">
        <v>0.0</v>
      </c>
      <c r="I8" s="31">
        <v>0.0</v>
      </c>
      <c r="J8" s="31">
        <v>0.0</v>
      </c>
      <c r="K8" s="32">
        <v>9.0</v>
      </c>
      <c r="L8" s="31">
        <v>0.0</v>
      </c>
      <c r="M8" s="27">
        <f t="shared" ref="M8:N8" si="5">C8+K8</f>
        <v>256</v>
      </c>
      <c r="N8" s="28">
        <f t="shared" si="5"/>
        <v>23</v>
      </c>
      <c r="O8" s="33" t="s">
        <v>37</v>
      </c>
      <c r="P8" s="33" t="s">
        <v>37</v>
      </c>
      <c r="Q8" s="31">
        <f>if(G8=13,1,0)+VLOOKUP(B8,'111123'!B:Q,16,false)</f>
        <v>0</v>
      </c>
      <c r="R8" s="31"/>
      <c r="S8" s="31">
        <f>if(G8=9,1,0)+VLOOKUP(B8,'111123'!B:S,18,false)</f>
        <v>8</v>
      </c>
    </row>
    <row r="9">
      <c r="A9" s="25">
        <f t="shared" si="3"/>
        <v>5</v>
      </c>
      <c r="B9" s="26" t="s">
        <v>49</v>
      </c>
      <c r="C9" s="27">
        <v>245.0</v>
      </c>
      <c r="D9" s="28">
        <v>21.0</v>
      </c>
      <c r="E9" s="30">
        <v>1.0</v>
      </c>
      <c r="F9" s="31">
        <v>1.0</v>
      </c>
      <c r="G9" s="27">
        <v>0.0</v>
      </c>
      <c r="H9" s="31">
        <v>4.0</v>
      </c>
      <c r="I9" s="31">
        <v>1.0</v>
      </c>
      <c r="J9" s="31">
        <v>6.0</v>
      </c>
      <c r="K9" s="32">
        <v>11.0</v>
      </c>
      <c r="L9" s="31">
        <v>0.0</v>
      </c>
      <c r="M9" s="27">
        <f t="shared" ref="M9:N9" si="6">C9+K9</f>
        <v>256</v>
      </c>
      <c r="N9" s="28">
        <f t="shared" si="6"/>
        <v>21</v>
      </c>
      <c r="O9" s="33" t="s">
        <v>37</v>
      </c>
      <c r="P9" s="33" t="s">
        <v>37</v>
      </c>
      <c r="Q9" s="31">
        <f>if(G9=13,1,0)+VLOOKUP(B9,'111123'!B:Q,16,false)</f>
        <v>1</v>
      </c>
      <c r="R9" s="31"/>
      <c r="S9" s="31">
        <f>if(G9=9,1,0)+VLOOKUP(B9,'111123'!B:S,18,false)</f>
        <v>3</v>
      </c>
    </row>
    <row r="10">
      <c r="A10" s="25">
        <f t="shared" si="3"/>
        <v>6</v>
      </c>
      <c r="B10" s="26" t="s">
        <v>51</v>
      </c>
      <c r="C10" s="27">
        <v>242.0</v>
      </c>
      <c r="D10" s="28">
        <v>21.0</v>
      </c>
      <c r="E10" s="30">
        <v>1.0</v>
      </c>
      <c r="F10" s="31">
        <v>1.0</v>
      </c>
      <c r="G10" s="27">
        <v>0.0</v>
      </c>
      <c r="H10" s="31">
        <v>6.0</v>
      </c>
      <c r="I10" s="31">
        <v>1.0</v>
      </c>
      <c r="J10" s="31">
        <v>7.0</v>
      </c>
      <c r="K10" s="32">
        <v>14.0</v>
      </c>
      <c r="L10" s="31">
        <v>2.0</v>
      </c>
      <c r="M10" s="27">
        <f t="shared" ref="M10:N10" si="7">C10+K10</f>
        <v>256</v>
      </c>
      <c r="N10" s="28">
        <f t="shared" si="7"/>
        <v>23</v>
      </c>
      <c r="O10" s="33" t="s">
        <v>37</v>
      </c>
      <c r="P10" s="33" t="s">
        <v>37</v>
      </c>
      <c r="Q10" s="31">
        <f>if(G10=13,1,0)+VLOOKUP(B10,'111123'!B:Q,16,false)</f>
        <v>1</v>
      </c>
      <c r="R10" s="31"/>
      <c r="S10" s="31">
        <f>if(G10=9,1,0)+VLOOKUP(B10,'111123'!B:S,18,false)</f>
        <v>8</v>
      </c>
    </row>
    <row r="11">
      <c r="A11" s="25">
        <f t="shared" si="3"/>
        <v>7</v>
      </c>
      <c r="B11" s="26" t="s">
        <v>52</v>
      </c>
      <c r="C11" s="27">
        <v>240.0</v>
      </c>
      <c r="D11" s="28">
        <v>21.0</v>
      </c>
      <c r="E11" s="30">
        <v>1.0</v>
      </c>
      <c r="F11" s="31">
        <v>2.0</v>
      </c>
      <c r="G11" s="27">
        <v>0.0</v>
      </c>
      <c r="H11" s="31">
        <v>6.0</v>
      </c>
      <c r="I11" s="31">
        <v>2.0</v>
      </c>
      <c r="J11" s="31">
        <v>7.0</v>
      </c>
      <c r="K11" s="32">
        <v>15.0</v>
      </c>
      <c r="L11" s="31">
        <v>2.0</v>
      </c>
      <c r="M11" s="27">
        <f t="shared" ref="M11:N11" si="8">C11+K11</f>
        <v>255</v>
      </c>
      <c r="N11" s="28">
        <f t="shared" si="8"/>
        <v>23</v>
      </c>
      <c r="O11" s="33" t="s">
        <v>37</v>
      </c>
      <c r="P11" s="33" t="s">
        <v>37</v>
      </c>
      <c r="Q11" s="31">
        <f>if(G11=13,1,0)+VLOOKUP(B11,'111123'!B:Q,16,false)</f>
        <v>0</v>
      </c>
      <c r="R11" s="31"/>
      <c r="S11" s="31">
        <f>if(G11=9,1,0)+VLOOKUP(B11,'111123'!B:S,18,false)</f>
        <v>2</v>
      </c>
    </row>
    <row r="12">
      <c r="A12" s="25">
        <f t="shared" si="3"/>
        <v>8</v>
      </c>
      <c r="B12" s="26" t="s">
        <v>54</v>
      </c>
      <c r="C12" s="27">
        <v>236.0</v>
      </c>
      <c r="D12" s="28">
        <v>21.0</v>
      </c>
      <c r="E12" s="30">
        <v>1.0</v>
      </c>
      <c r="F12" s="31">
        <v>2.0</v>
      </c>
      <c r="G12" s="27">
        <v>0.0</v>
      </c>
      <c r="H12" s="31">
        <v>2.0</v>
      </c>
      <c r="I12" s="31">
        <v>6.0</v>
      </c>
      <c r="J12" s="31">
        <v>7.0</v>
      </c>
      <c r="K12" s="32">
        <v>15.0</v>
      </c>
      <c r="L12" s="31">
        <v>2.0</v>
      </c>
      <c r="M12" s="27">
        <f t="shared" ref="M12:N12" si="9">C12+K12</f>
        <v>251</v>
      </c>
      <c r="N12" s="28">
        <f t="shared" si="9"/>
        <v>23</v>
      </c>
      <c r="O12" s="33" t="s">
        <v>37</v>
      </c>
      <c r="P12" s="33" t="s">
        <v>37</v>
      </c>
      <c r="Q12" s="31">
        <f>if(G12=13,1,0)+VLOOKUP(B12,'111123'!B:Q,16,false)</f>
        <v>0</v>
      </c>
      <c r="R12" s="31"/>
      <c r="S12" s="31">
        <f>if(G12=9,1,0)+VLOOKUP(B12,'111123'!B:S,18,false)</f>
        <v>6</v>
      </c>
    </row>
    <row r="13">
      <c r="A13" s="25">
        <f t="shared" si="3"/>
        <v>9</v>
      </c>
      <c r="B13" s="36" t="s">
        <v>59</v>
      </c>
      <c r="C13" s="27">
        <v>235.0</v>
      </c>
      <c r="D13" s="28">
        <v>17.0</v>
      </c>
      <c r="E13" s="30">
        <v>3.0</v>
      </c>
      <c r="F13" s="31">
        <v>0.0</v>
      </c>
      <c r="G13" s="27">
        <v>9.0</v>
      </c>
      <c r="H13" s="31">
        <v>0.0</v>
      </c>
      <c r="I13" s="31">
        <v>0.0</v>
      </c>
      <c r="J13" s="31">
        <v>0.0</v>
      </c>
      <c r="K13" s="32">
        <v>9.0</v>
      </c>
      <c r="L13" s="31">
        <v>0.0</v>
      </c>
      <c r="M13" s="27">
        <f t="shared" ref="M13:N13" si="10">C13+K13</f>
        <v>244</v>
      </c>
      <c r="N13" s="28">
        <f t="shared" si="10"/>
        <v>17</v>
      </c>
      <c r="O13" s="33" t="s">
        <v>37</v>
      </c>
      <c r="P13" s="33" t="s">
        <v>37</v>
      </c>
      <c r="Q13" s="31">
        <f>if(G13=13,1,0)+VLOOKUP(B13,'111123'!B:Q,16,false)</f>
        <v>0</v>
      </c>
      <c r="R13" s="31"/>
      <c r="S13" s="31">
        <f>if(G13=9,1,0)+VLOOKUP(B13,'111123'!B:S,18,false)</f>
        <v>4</v>
      </c>
    </row>
    <row r="14">
      <c r="A14" s="25">
        <f t="shared" si="3"/>
        <v>10</v>
      </c>
      <c r="B14" s="26" t="s">
        <v>50</v>
      </c>
      <c r="C14" s="27">
        <v>233.0</v>
      </c>
      <c r="D14" s="28">
        <v>17.0</v>
      </c>
      <c r="E14" s="30">
        <v>2.0</v>
      </c>
      <c r="F14" s="31">
        <v>2.0</v>
      </c>
      <c r="G14" s="27">
        <v>0.0</v>
      </c>
      <c r="H14" s="31">
        <v>6.0</v>
      </c>
      <c r="I14" s="31">
        <v>6.0</v>
      </c>
      <c r="J14" s="31">
        <v>5.0</v>
      </c>
      <c r="K14" s="32">
        <v>17.0</v>
      </c>
      <c r="L14" s="31">
        <v>2.0</v>
      </c>
      <c r="M14" s="27">
        <f t="shared" ref="M14:N14" si="11">C14+K14</f>
        <v>250</v>
      </c>
      <c r="N14" s="28">
        <f t="shared" si="11"/>
        <v>19</v>
      </c>
      <c r="O14" s="33" t="s">
        <v>37</v>
      </c>
      <c r="P14" s="33" t="s">
        <v>37</v>
      </c>
      <c r="Q14" s="31">
        <f>if(G14=13,1,0)+VLOOKUP(B14,'111123'!B:Q,16,false)</f>
        <v>0</v>
      </c>
      <c r="R14" s="31"/>
      <c r="S14" s="31">
        <f>if(G14=9,1,0)+VLOOKUP(B14,'111123'!B:S,18,false)</f>
        <v>10</v>
      </c>
    </row>
    <row r="15">
      <c r="A15" s="25">
        <f t="shared" si="3"/>
        <v>11</v>
      </c>
      <c r="B15" s="36" t="s">
        <v>56</v>
      </c>
      <c r="C15" s="27">
        <v>232.0</v>
      </c>
      <c r="D15" s="28">
        <v>22.0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241</v>
      </c>
      <c r="N15" s="28">
        <f t="shared" si="12"/>
        <v>22</v>
      </c>
      <c r="O15" s="33" t="s">
        <v>37</v>
      </c>
      <c r="P15" s="33" t="s">
        <v>37</v>
      </c>
      <c r="Q15" s="31">
        <f>if(G15=13,1,0)+VLOOKUP(B15,'111123'!B:Q,16,false)</f>
        <v>1</v>
      </c>
      <c r="R15" s="31"/>
      <c r="S15" s="31">
        <f>if(G15=9,1,0)+VLOOKUP(B15,'111123'!B:S,18,false)</f>
        <v>4</v>
      </c>
    </row>
    <row r="16">
      <c r="A16" s="25">
        <f t="shared" si="3"/>
        <v>12</v>
      </c>
      <c r="B16" s="26" t="s">
        <v>58</v>
      </c>
      <c r="C16" s="27">
        <v>232.0</v>
      </c>
      <c r="D16" s="28">
        <v>18.0</v>
      </c>
      <c r="E16" s="30">
        <v>1.0</v>
      </c>
      <c r="F16" s="31">
        <v>2.0</v>
      </c>
      <c r="G16" s="27">
        <v>0.0</v>
      </c>
      <c r="H16" s="31">
        <v>2.0</v>
      </c>
      <c r="I16" s="31">
        <v>2.0</v>
      </c>
      <c r="J16" s="31">
        <v>5.0</v>
      </c>
      <c r="K16" s="32">
        <v>9.0</v>
      </c>
      <c r="L16" s="31">
        <v>0.0</v>
      </c>
      <c r="M16" s="27">
        <f t="shared" ref="M16:N16" si="13">C16+K16</f>
        <v>241</v>
      </c>
      <c r="N16" s="28">
        <f t="shared" si="13"/>
        <v>18</v>
      </c>
      <c r="O16" s="33" t="s">
        <v>37</v>
      </c>
      <c r="P16" s="33" t="s">
        <v>37</v>
      </c>
      <c r="Q16" s="31">
        <f>if(G16=13,1,0)+VLOOKUP(B16,'111123'!B:Q,16,false)</f>
        <v>0</v>
      </c>
      <c r="R16" s="31"/>
      <c r="S16" s="31">
        <f>if(G16=9,1,0)+VLOOKUP(B16,'111123'!B:S,18,false)</f>
        <v>7</v>
      </c>
    </row>
    <row r="17">
      <c r="A17" s="25">
        <f t="shared" si="3"/>
        <v>13</v>
      </c>
      <c r="B17" s="26" t="s">
        <v>53</v>
      </c>
      <c r="C17" s="27">
        <v>231.0</v>
      </c>
      <c r="D17" s="28">
        <v>16.0</v>
      </c>
      <c r="E17" s="30">
        <v>1.0</v>
      </c>
      <c r="F17" s="31">
        <v>3.0</v>
      </c>
      <c r="G17" s="27">
        <v>0.0</v>
      </c>
      <c r="H17" s="31">
        <v>1.0</v>
      </c>
      <c r="I17" s="31">
        <v>6.0</v>
      </c>
      <c r="J17" s="31">
        <v>6.0</v>
      </c>
      <c r="K17" s="32">
        <v>13.0</v>
      </c>
      <c r="L17" s="31">
        <v>2.0</v>
      </c>
      <c r="M17" s="27">
        <f t="shared" ref="M17:N17" si="14">C17+K17</f>
        <v>244</v>
      </c>
      <c r="N17" s="28">
        <f t="shared" si="14"/>
        <v>18</v>
      </c>
      <c r="O17" s="33" t="s">
        <v>37</v>
      </c>
      <c r="P17" s="33" t="s">
        <v>37</v>
      </c>
      <c r="Q17" s="31">
        <f>if(G17=13,1,0)+VLOOKUP(B17,'111123'!B:Q,16,false)</f>
        <v>0</v>
      </c>
      <c r="R17" s="31"/>
      <c r="S17" s="31">
        <f>if(G17=9,1,0)+VLOOKUP(B17,'111123'!B:S,18,false)</f>
        <v>6</v>
      </c>
    </row>
    <row r="18">
      <c r="A18" s="25">
        <f t="shared" si="3"/>
        <v>14</v>
      </c>
      <c r="B18" s="26" t="s">
        <v>61</v>
      </c>
      <c r="C18" s="27">
        <v>230.0</v>
      </c>
      <c r="D18" s="28">
        <v>17.0</v>
      </c>
      <c r="E18" s="30">
        <v>1.0</v>
      </c>
      <c r="F18" s="31">
        <v>3.0</v>
      </c>
      <c r="G18" s="27">
        <v>0.0</v>
      </c>
      <c r="H18" s="31">
        <v>6.0</v>
      </c>
      <c r="I18" s="31">
        <v>2.0</v>
      </c>
      <c r="J18" s="31">
        <v>6.0</v>
      </c>
      <c r="K18" s="32">
        <v>14.0</v>
      </c>
      <c r="L18" s="31">
        <v>2.0</v>
      </c>
      <c r="M18" s="27">
        <f t="shared" ref="M18:N18" si="15">C18+K18</f>
        <v>244</v>
      </c>
      <c r="N18" s="28">
        <f t="shared" si="15"/>
        <v>19</v>
      </c>
      <c r="O18" s="33" t="s">
        <v>37</v>
      </c>
      <c r="P18" s="33" t="s">
        <v>37</v>
      </c>
      <c r="Q18" s="31">
        <f>if(G18=13,1,0)+VLOOKUP(B18,'111123'!B:Q,16,false)</f>
        <v>0</v>
      </c>
      <c r="R18" s="31"/>
      <c r="S18" s="31">
        <f>if(G18=9,1,0)+VLOOKUP(B18,'111123'!B:S,18,false)</f>
        <v>5</v>
      </c>
    </row>
    <row r="19">
      <c r="A19" s="25">
        <f t="shared" si="3"/>
        <v>15</v>
      </c>
      <c r="B19" s="36" t="s">
        <v>62</v>
      </c>
      <c r="C19" s="27">
        <v>230.0</v>
      </c>
      <c r="D19" s="28">
        <v>16.0</v>
      </c>
      <c r="E19" s="30">
        <v>1.0</v>
      </c>
      <c r="F19" s="31">
        <v>3.0</v>
      </c>
      <c r="G19" s="27">
        <v>0.0</v>
      </c>
      <c r="H19" s="31">
        <v>1.0</v>
      </c>
      <c r="I19" s="31">
        <v>2.0</v>
      </c>
      <c r="J19" s="31">
        <v>4.0</v>
      </c>
      <c r="K19" s="32">
        <v>7.0</v>
      </c>
      <c r="L19" s="31">
        <v>0.0</v>
      </c>
      <c r="M19" s="27">
        <f t="shared" ref="M19:N19" si="16">C19+K19</f>
        <v>237</v>
      </c>
      <c r="N19" s="28">
        <f t="shared" si="16"/>
        <v>16</v>
      </c>
      <c r="O19" s="33" t="s">
        <v>37</v>
      </c>
      <c r="P19" s="33" t="s">
        <v>37</v>
      </c>
      <c r="Q19" s="31">
        <f>if(G19=13,1,0)+VLOOKUP(B19,'111123'!B:Q,16,false)</f>
        <v>0</v>
      </c>
      <c r="R19" s="31"/>
      <c r="S19" s="31">
        <f>if(G19=9,1,0)+VLOOKUP(B19,'111123'!B:S,18,false)</f>
        <v>5</v>
      </c>
    </row>
    <row r="20">
      <c r="A20" s="25">
        <f t="shared" si="3"/>
        <v>16</v>
      </c>
      <c r="B20" s="26" t="s">
        <v>55</v>
      </c>
      <c r="C20" s="27">
        <v>229.0</v>
      </c>
      <c r="D20" s="28">
        <v>19.0</v>
      </c>
      <c r="E20" s="30">
        <v>1.0</v>
      </c>
      <c r="F20" s="31">
        <v>3.0</v>
      </c>
      <c r="G20" s="27">
        <v>0.0</v>
      </c>
      <c r="H20" s="31">
        <v>6.0</v>
      </c>
      <c r="I20" s="31">
        <v>6.0</v>
      </c>
      <c r="J20" s="31">
        <v>4.0</v>
      </c>
      <c r="K20" s="32">
        <v>16.0</v>
      </c>
      <c r="L20" s="31">
        <v>2.0</v>
      </c>
      <c r="M20" s="27">
        <f t="shared" ref="M20:N20" si="17">C20+K20</f>
        <v>245</v>
      </c>
      <c r="N20" s="28">
        <f t="shared" si="17"/>
        <v>21</v>
      </c>
      <c r="O20" s="33" t="s">
        <v>37</v>
      </c>
      <c r="P20" s="33" t="s">
        <v>37</v>
      </c>
      <c r="Q20" s="31">
        <f>if(G20=13,1,0)+VLOOKUP(B20,'111123'!B:Q,16,false)</f>
        <v>0</v>
      </c>
      <c r="R20" s="31"/>
      <c r="S20" s="31">
        <f>if(G20=9,1,0)+VLOOKUP(B20,'111123'!B:S,18,false)</f>
        <v>9</v>
      </c>
    </row>
    <row r="21">
      <c r="A21" s="25">
        <f t="shared" si="3"/>
        <v>17</v>
      </c>
      <c r="B21" s="26" t="s">
        <v>60</v>
      </c>
      <c r="C21" s="27">
        <v>229.0</v>
      </c>
      <c r="D21" s="28">
        <v>19.0</v>
      </c>
      <c r="E21" s="30">
        <v>1.0</v>
      </c>
      <c r="F21" s="31">
        <v>5.0</v>
      </c>
      <c r="G21" s="27">
        <v>0.0</v>
      </c>
      <c r="H21" s="31">
        <v>6.0</v>
      </c>
      <c r="I21" s="31">
        <v>1.0</v>
      </c>
      <c r="J21" s="31">
        <v>6.0</v>
      </c>
      <c r="K21" s="32">
        <v>13.0</v>
      </c>
      <c r="L21" s="31">
        <v>2.0</v>
      </c>
      <c r="M21" s="27">
        <f t="shared" ref="M21:N21" si="18">C21+K21</f>
        <v>242</v>
      </c>
      <c r="N21" s="28">
        <f t="shared" si="18"/>
        <v>21</v>
      </c>
      <c r="O21" s="33" t="s">
        <v>37</v>
      </c>
      <c r="P21" s="33" t="s">
        <v>37</v>
      </c>
      <c r="Q21" s="31">
        <f>if(G21=13,1,0)+VLOOKUP(B21,'111123'!B:Q,16,false)</f>
        <v>0</v>
      </c>
      <c r="R21" s="31"/>
      <c r="S21" s="31">
        <f>if(G21=9,1,0)+VLOOKUP(B21,'111123'!B:S,18,false)</f>
        <v>7</v>
      </c>
    </row>
    <row r="22">
      <c r="A22" s="25">
        <f t="shared" si="3"/>
        <v>18</v>
      </c>
      <c r="B22" s="26" t="s">
        <v>57</v>
      </c>
      <c r="C22" s="27">
        <v>228.0</v>
      </c>
      <c r="D22" s="28">
        <v>20.0</v>
      </c>
      <c r="E22" s="30">
        <v>1.0</v>
      </c>
      <c r="F22" s="31">
        <v>5.0</v>
      </c>
      <c r="G22" s="27">
        <v>0.0</v>
      </c>
      <c r="H22" s="31">
        <v>2.0</v>
      </c>
      <c r="I22" s="31">
        <v>1.0</v>
      </c>
      <c r="J22" s="31">
        <v>4.0</v>
      </c>
      <c r="K22" s="32">
        <v>7.0</v>
      </c>
      <c r="L22" s="31">
        <v>0.0</v>
      </c>
      <c r="M22" s="27">
        <f t="shared" ref="M22:N22" si="19">C22+K22</f>
        <v>235</v>
      </c>
      <c r="N22" s="28">
        <f t="shared" si="19"/>
        <v>20</v>
      </c>
      <c r="O22" s="33" t="s">
        <v>37</v>
      </c>
      <c r="P22" s="33" t="s">
        <v>37</v>
      </c>
      <c r="Q22" s="31">
        <f>if(G22=13,1,0)+VLOOKUP(B22,'111123'!B:Q,16,false)</f>
        <v>0</v>
      </c>
      <c r="R22" s="31"/>
      <c r="S22" s="31">
        <f>if(G22=9,1,0)+VLOOKUP(B22,'111123'!B:S,18,false)</f>
        <v>6</v>
      </c>
    </row>
    <row r="23">
      <c r="A23" s="25">
        <f t="shared" si="3"/>
        <v>19</v>
      </c>
      <c r="B23" s="26" t="s">
        <v>65</v>
      </c>
      <c r="C23" s="27">
        <v>228.0</v>
      </c>
      <c r="D23" s="28">
        <v>15.0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237</v>
      </c>
      <c r="N23" s="28">
        <f t="shared" si="20"/>
        <v>15</v>
      </c>
      <c r="O23" s="33" t="s">
        <v>37</v>
      </c>
      <c r="P23" s="33" t="s">
        <v>37</v>
      </c>
      <c r="Q23" s="31">
        <f>if(G23=13,1,0)+VLOOKUP(B23,'111123'!B:Q,16,false)</f>
        <v>0</v>
      </c>
      <c r="R23" s="31"/>
      <c r="S23" s="31">
        <f>if(G23=9,1,0)+VLOOKUP(B23,'111123'!B:S,18,false)</f>
        <v>11</v>
      </c>
    </row>
    <row r="24">
      <c r="A24" s="25">
        <f t="shared" si="3"/>
        <v>20</v>
      </c>
      <c r="B24" s="36" t="s">
        <v>67</v>
      </c>
      <c r="C24" s="27">
        <v>227.0</v>
      </c>
      <c r="D24" s="28">
        <v>17.0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236</v>
      </c>
      <c r="N24" s="28">
        <f t="shared" si="21"/>
        <v>17</v>
      </c>
      <c r="O24" s="33" t="s">
        <v>37</v>
      </c>
      <c r="P24" s="33" t="s">
        <v>37</v>
      </c>
      <c r="Q24" s="31">
        <f>if(G24=13,1,0)+VLOOKUP(B24,'111123'!B:Q,16,false)</f>
        <v>0</v>
      </c>
      <c r="R24" s="31"/>
      <c r="S24" s="31">
        <f>if(G24=9,1,0)+VLOOKUP(B24,'111123'!B:S,18,false)</f>
        <v>10</v>
      </c>
    </row>
    <row r="25">
      <c r="A25" s="25">
        <f t="shared" si="3"/>
        <v>21</v>
      </c>
      <c r="B25" s="26" t="s">
        <v>70</v>
      </c>
      <c r="C25" s="27">
        <v>224.0</v>
      </c>
      <c r="D25" s="28">
        <v>20.0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233</v>
      </c>
      <c r="N25" s="28">
        <f t="shared" si="22"/>
        <v>20</v>
      </c>
      <c r="O25" s="33" t="s">
        <v>37</v>
      </c>
      <c r="P25" s="33" t="s">
        <v>37</v>
      </c>
      <c r="Q25" s="31">
        <f>if(G25=13,1,0)+VLOOKUP(B25,'111123'!B:Q,16,false)</f>
        <v>0</v>
      </c>
      <c r="R25" s="31"/>
      <c r="S25" s="31">
        <f>if(G25=9,1,0)+VLOOKUP(B25,'111123'!B:S,18,false)</f>
        <v>7</v>
      </c>
    </row>
    <row r="26">
      <c r="A26" s="25">
        <f t="shared" si="3"/>
        <v>22</v>
      </c>
      <c r="B26" s="26" t="s">
        <v>72</v>
      </c>
      <c r="C26" s="27">
        <v>224.0</v>
      </c>
      <c r="D26" s="28">
        <v>16.0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233</v>
      </c>
      <c r="N26" s="28">
        <f t="shared" si="23"/>
        <v>16</v>
      </c>
      <c r="O26" s="33" t="s">
        <v>37</v>
      </c>
      <c r="P26" s="33" t="s">
        <v>37</v>
      </c>
      <c r="Q26" s="31">
        <f>if(G26=13,1,0)+VLOOKUP(B26,'111123'!B:Q,16,false)</f>
        <v>1</v>
      </c>
      <c r="R26" s="31"/>
      <c r="S26" s="31">
        <f>if(G26=9,1,0)+VLOOKUP(B26,'111123'!B:S,18,false)</f>
        <v>12</v>
      </c>
    </row>
    <row r="27">
      <c r="A27" s="25">
        <f t="shared" si="3"/>
        <v>23</v>
      </c>
      <c r="B27" s="26" t="s">
        <v>64</v>
      </c>
      <c r="C27" s="27">
        <v>223.0</v>
      </c>
      <c r="D27" s="28">
        <v>14.0</v>
      </c>
      <c r="E27" s="30">
        <v>2.0</v>
      </c>
      <c r="F27" s="31">
        <v>5.0</v>
      </c>
      <c r="G27" s="27">
        <v>0.0</v>
      </c>
      <c r="H27" s="31">
        <v>2.0</v>
      </c>
      <c r="I27" s="31">
        <v>6.0</v>
      </c>
      <c r="J27" s="31">
        <v>6.0</v>
      </c>
      <c r="K27" s="32">
        <v>14.0</v>
      </c>
      <c r="L27" s="31">
        <v>2.0</v>
      </c>
      <c r="M27" s="27">
        <f t="shared" ref="M27:N27" si="24">C27+K27</f>
        <v>237</v>
      </c>
      <c r="N27" s="28">
        <f t="shared" si="24"/>
        <v>16</v>
      </c>
      <c r="O27" s="33" t="s">
        <v>37</v>
      </c>
      <c r="P27" s="33" t="s">
        <v>37</v>
      </c>
      <c r="Q27" s="31">
        <f>if(G27=13,1,0)+VLOOKUP(B27,'111123'!B:Q,16,false)</f>
        <v>0</v>
      </c>
      <c r="R27" s="31"/>
      <c r="S27" s="31">
        <f>if(G27=9,1,0)+VLOOKUP(B27,'111123'!B:S,18,false)</f>
        <v>12</v>
      </c>
      <c r="V27" s="30">
        <f>if(isna(VLOOKUP(B28,Checkin!A:B,2,false)),0,VLOOKUP(B28,Checkin!A:B,2,false))</f>
        <v>0</v>
      </c>
    </row>
    <row r="28">
      <c r="A28" s="25">
        <f t="shared" si="3"/>
        <v>24</v>
      </c>
      <c r="B28" s="26" t="s">
        <v>66</v>
      </c>
      <c r="C28" s="27">
        <v>222.0</v>
      </c>
      <c r="D28" s="28">
        <v>15.0</v>
      </c>
      <c r="E28" s="30">
        <v>5.0</v>
      </c>
      <c r="F28" s="31">
        <v>0.0</v>
      </c>
      <c r="G28" s="27">
        <v>13.0</v>
      </c>
      <c r="H28" s="31">
        <v>0.0</v>
      </c>
      <c r="I28" s="31">
        <v>0.0</v>
      </c>
      <c r="J28" s="31">
        <v>0.0</v>
      </c>
      <c r="K28" s="32">
        <v>13.0</v>
      </c>
      <c r="L28" s="31">
        <v>0.0</v>
      </c>
      <c r="M28" s="27">
        <f t="shared" ref="M28:N28" si="25">C28+K28</f>
        <v>235</v>
      </c>
      <c r="N28" s="28">
        <f t="shared" si="25"/>
        <v>15</v>
      </c>
      <c r="O28" s="33" t="s">
        <v>37</v>
      </c>
      <c r="P28" s="33" t="s">
        <v>37</v>
      </c>
      <c r="Q28" s="31">
        <f>if(G28=13,1,0)+VLOOKUP(B28,'111123'!B:Q,16,false)</f>
        <v>2</v>
      </c>
      <c r="R28" s="31"/>
      <c r="S28" s="31">
        <f>if(G28=9,1,0)+VLOOKUP(B28,'111123'!B:S,18,false)</f>
        <v>7</v>
      </c>
    </row>
    <row r="29">
      <c r="A29" s="25">
        <f t="shared" si="3"/>
        <v>25</v>
      </c>
      <c r="B29" s="26" t="s">
        <v>68</v>
      </c>
      <c r="C29" s="27">
        <v>221.0</v>
      </c>
      <c r="D29" s="28">
        <v>13.0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230</v>
      </c>
      <c r="N29" s="28">
        <f t="shared" si="26"/>
        <v>13</v>
      </c>
      <c r="O29" s="33" t="s">
        <v>37</v>
      </c>
      <c r="P29" s="33" t="s">
        <v>37</v>
      </c>
      <c r="Q29" s="31">
        <f>if(G29=13,1,0)+VLOOKUP(B29,'111123'!B:Q,16,false)</f>
        <v>1</v>
      </c>
      <c r="R29" s="31"/>
      <c r="S29" s="31">
        <f>if(G29=9,1,0)+VLOOKUP(B29,'111123'!B:S,18,false)</f>
        <v>13</v>
      </c>
    </row>
    <row r="30">
      <c r="A30" s="25">
        <f t="shared" si="3"/>
        <v>26</v>
      </c>
      <c r="B30" s="36" t="s">
        <v>63</v>
      </c>
      <c r="C30" s="27">
        <v>216.0</v>
      </c>
      <c r="D30" s="28">
        <v>13.0</v>
      </c>
      <c r="E30" s="30">
        <v>1.0</v>
      </c>
      <c r="F30" s="31">
        <v>5.0</v>
      </c>
      <c r="G30" s="27">
        <v>0.0</v>
      </c>
      <c r="H30" s="31">
        <v>6.0</v>
      </c>
      <c r="I30" s="31">
        <v>6.0</v>
      </c>
      <c r="J30" s="31">
        <v>4.0</v>
      </c>
      <c r="K30" s="32">
        <v>16.0</v>
      </c>
      <c r="L30" s="31">
        <v>2.0</v>
      </c>
      <c r="M30" s="27">
        <f t="shared" ref="M30:N30" si="27">C30+K30</f>
        <v>232</v>
      </c>
      <c r="N30" s="28">
        <f t="shared" si="27"/>
        <v>15</v>
      </c>
      <c r="O30" s="33" t="s">
        <v>37</v>
      </c>
      <c r="P30" s="33" t="s">
        <v>37</v>
      </c>
      <c r="Q30" s="31">
        <f>if(G30=13,1,0)+VLOOKUP(B30,'111123'!B:Q,16,false)</f>
        <v>0</v>
      </c>
      <c r="R30" s="31"/>
      <c r="S30" s="31">
        <f>if(G30=9,1,0)+VLOOKUP(B30,'111123'!B:S,18,false)</f>
        <v>13</v>
      </c>
    </row>
    <row r="31">
      <c r="A31" s="25">
        <f t="shared" si="3"/>
        <v>27</v>
      </c>
      <c r="B31" s="26" t="s">
        <v>74</v>
      </c>
      <c r="C31" s="27">
        <v>210.0</v>
      </c>
      <c r="D31" s="28">
        <v>14.0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219</v>
      </c>
      <c r="N31" s="28">
        <f t="shared" si="28"/>
        <v>14</v>
      </c>
      <c r="O31" s="33" t="s">
        <v>37</v>
      </c>
      <c r="P31" s="33" t="s">
        <v>37</v>
      </c>
      <c r="Q31" s="31">
        <f>if(G31=13,1,0)+VLOOKUP(B31,'111123'!B:Q,16,false)</f>
        <v>0</v>
      </c>
      <c r="R31" s="31"/>
      <c r="S31" s="31">
        <f>if(G31=9,1,0)+VLOOKUP(B31,'111123'!B:S,18,false)</f>
        <v>6</v>
      </c>
    </row>
    <row r="32">
      <c r="A32" s="25">
        <f t="shared" si="3"/>
        <v>28</v>
      </c>
      <c r="B32" s="26" t="s">
        <v>75</v>
      </c>
      <c r="C32" s="27">
        <v>208.0</v>
      </c>
      <c r="D32" s="28">
        <v>14.0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217</v>
      </c>
      <c r="N32" s="28">
        <f t="shared" si="29"/>
        <v>14</v>
      </c>
      <c r="O32" s="33" t="s">
        <v>37</v>
      </c>
      <c r="P32" s="33" t="s">
        <v>37</v>
      </c>
      <c r="Q32" s="31">
        <f>if(G32=13,1,0)+VLOOKUP(B32,'111123'!B:Q,16,false)</f>
        <v>0</v>
      </c>
      <c r="R32" s="31"/>
      <c r="S32" s="31">
        <f>if(G32=9,1,0)+VLOOKUP(B32,'111123'!B:S,18,false)</f>
        <v>6</v>
      </c>
    </row>
    <row r="33">
      <c r="A33" s="25">
        <f t="shared" si="3"/>
        <v>29</v>
      </c>
      <c r="B33" s="36" t="s">
        <v>77</v>
      </c>
      <c r="C33" s="27">
        <v>207.0</v>
      </c>
      <c r="D33" s="28">
        <v>10.0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216</v>
      </c>
      <c r="N33" s="28">
        <f t="shared" si="30"/>
        <v>10</v>
      </c>
      <c r="O33" s="33" t="s">
        <v>37</v>
      </c>
      <c r="P33" s="33" t="s">
        <v>37</v>
      </c>
      <c r="Q33" s="31">
        <f>if(G33=13,1,0)+VLOOKUP(B33,'111123'!B:Q,16,false)</f>
        <v>0</v>
      </c>
      <c r="R33" s="31"/>
      <c r="S33" s="31">
        <f>if(G33=9,1,0)+VLOOKUP(B33,'111123'!B:S,18,false)</f>
        <v>15</v>
      </c>
    </row>
    <row r="34">
      <c r="A34" s="25">
        <f t="shared" si="3"/>
        <v>30</v>
      </c>
      <c r="B34" s="26" t="s">
        <v>78</v>
      </c>
      <c r="C34" s="27">
        <v>206.0</v>
      </c>
      <c r="D34" s="28">
        <v>16.0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215</v>
      </c>
      <c r="N34" s="28">
        <f t="shared" si="31"/>
        <v>16</v>
      </c>
      <c r="O34" s="33" t="s">
        <v>37</v>
      </c>
      <c r="P34" s="33" t="s">
        <v>37</v>
      </c>
      <c r="Q34" s="31">
        <f>if(G34=13,1,0)+VLOOKUP(B34,'111123'!B:Q,16,false)</f>
        <v>0</v>
      </c>
      <c r="R34" s="31"/>
      <c r="S34" s="31">
        <f>if(G34=9,1,0)+VLOOKUP(B34,'111123'!B:S,18,false)</f>
        <v>7</v>
      </c>
    </row>
    <row r="35">
      <c r="A35" s="25">
        <f t="shared" si="3"/>
        <v>31</v>
      </c>
      <c r="B35" s="26" t="s">
        <v>79</v>
      </c>
      <c r="C35" s="27">
        <v>205.0</v>
      </c>
      <c r="D35" s="28">
        <v>19.0</v>
      </c>
      <c r="E35" s="30">
        <v>2.0</v>
      </c>
      <c r="F35" s="31">
        <v>6.0</v>
      </c>
      <c r="G35" s="27">
        <v>0.0</v>
      </c>
      <c r="H35" s="31">
        <v>6.0</v>
      </c>
      <c r="I35" s="31">
        <v>1.0</v>
      </c>
      <c r="J35" s="31">
        <v>0.0</v>
      </c>
      <c r="K35" s="32">
        <v>7.0</v>
      </c>
      <c r="L35" s="31">
        <v>1.0</v>
      </c>
      <c r="M35" s="27">
        <f t="shared" ref="M35:N35" si="32">C35+K35</f>
        <v>212</v>
      </c>
      <c r="N35" s="28">
        <f t="shared" si="32"/>
        <v>20</v>
      </c>
      <c r="O35" s="33" t="s">
        <v>37</v>
      </c>
      <c r="P35" s="33" t="s">
        <v>37</v>
      </c>
      <c r="Q35" s="31">
        <f>if(G35=13,1,0)+VLOOKUP(B35,'111123'!B:Q,16,false)</f>
        <v>0</v>
      </c>
      <c r="R35" s="31"/>
      <c r="S35" s="31">
        <f>if(G35=9,1,0)+VLOOKUP(B35,'111123'!B:S,18,false)</f>
        <v>3</v>
      </c>
    </row>
    <row r="36">
      <c r="A36" s="25">
        <f t="shared" si="3"/>
        <v>32</v>
      </c>
      <c r="B36" s="26" t="s">
        <v>73</v>
      </c>
      <c r="C36" s="27">
        <v>205.0</v>
      </c>
      <c r="D36" s="28">
        <v>8.0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214</v>
      </c>
      <c r="N36" s="28">
        <f t="shared" si="33"/>
        <v>8</v>
      </c>
      <c r="O36" s="33" t="s">
        <v>37</v>
      </c>
      <c r="P36" s="33" t="s">
        <v>37</v>
      </c>
      <c r="Q36" s="31">
        <f>if(G36=13,1,0)+VLOOKUP(B36,'111123'!B:Q,16,false)</f>
        <v>0</v>
      </c>
      <c r="R36" s="31"/>
      <c r="S36" s="31">
        <f>if(G36=9,1,0)+VLOOKUP(B36,'111123'!B:S,18,false)</f>
        <v>14</v>
      </c>
    </row>
    <row r="37">
      <c r="A37" s="25">
        <f t="shared" si="3"/>
        <v>33</v>
      </c>
      <c r="B37" s="26" t="s">
        <v>71</v>
      </c>
      <c r="C37" s="27">
        <v>204.0</v>
      </c>
      <c r="D37" s="28">
        <v>11.0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213</v>
      </c>
      <c r="N37" s="28">
        <f t="shared" si="34"/>
        <v>11</v>
      </c>
      <c r="O37" s="33" t="s">
        <v>37</v>
      </c>
      <c r="P37" s="33" t="s">
        <v>37</v>
      </c>
      <c r="Q37" s="31">
        <f>if(G37=13,1,0)+VLOOKUP(B37,'111123'!B:Q,16,false)</f>
        <v>1</v>
      </c>
      <c r="R37" s="31"/>
      <c r="S37" s="31">
        <f>if(G37=9,1,0)+VLOOKUP(B37,'111123'!B:S,18,false)</f>
        <v>14</v>
      </c>
    </row>
    <row r="38">
      <c r="A38" s="25">
        <f t="shared" si="3"/>
        <v>34</v>
      </c>
      <c r="B38" s="26" t="s">
        <v>80</v>
      </c>
      <c r="C38" s="27">
        <v>204.0</v>
      </c>
      <c r="D38" s="28">
        <v>10.0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213</v>
      </c>
      <c r="N38" s="28">
        <f t="shared" si="35"/>
        <v>10</v>
      </c>
      <c r="O38" s="33" t="s">
        <v>37</v>
      </c>
      <c r="P38" s="33" t="s">
        <v>37</v>
      </c>
      <c r="Q38" s="31">
        <f>if(G38=13,1,0)+VLOOKUP(B38,'111123'!B:Q,16,false)</f>
        <v>0</v>
      </c>
      <c r="R38" s="31"/>
      <c r="S38" s="31">
        <f>if(G38=9,1,0)+VLOOKUP(B38,'111123'!B:S,18,false)</f>
        <v>16</v>
      </c>
    </row>
    <row r="39">
      <c r="A39" s="25">
        <f t="shared" si="3"/>
        <v>35</v>
      </c>
      <c r="B39" s="36" t="s">
        <v>81</v>
      </c>
      <c r="C39" s="27">
        <v>202.0</v>
      </c>
      <c r="D39" s="28">
        <v>11.0</v>
      </c>
      <c r="E39" s="30">
        <v>1.0</v>
      </c>
      <c r="F39" s="31">
        <v>6.0</v>
      </c>
      <c r="G39" s="27">
        <v>0.0</v>
      </c>
      <c r="H39" s="31">
        <v>1.0</v>
      </c>
      <c r="I39" s="31">
        <v>1.0</v>
      </c>
      <c r="J39" s="31">
        <v>6.0</v>
      </c>
      <c r="K39" s="32">
        <v>8.0</v>
      </c>
      <c r="L39" s="31">
        <v>1.0</v>
      </c>
      <c r="M39" s="27">
        <f t="shared" ref="M39:N39" si="36">C39+K39</f>
        <v>210</v>
      </c>
      <c r="N39" s="28">
        <f t="shared" si="36"/>
        <v>12</v>
      </c>
      <c r="O39" s="33" t="s">
        <v>37</v>
      </c>
      <c r="P39" s="33" t="s">
        <v>37</v>
      </c>
      <c r="Q39" s="31">
        <f>if(G39=13,1,0)+VLOOKUP(B39,'111123'!B:Q,16,false)</f>
        <v>0</v>
      </c>
      <c r="R39" s="31"/>
      <c r="S39" s="31">
        <f>if(G39=9,1,0)+VLOOKUP(B39,'111123'!B:S,18,false)</f>
        <v>6</v>
      </c>
    </row>
    <row r="40">
      <c r="A40" s="25">
        <f t="shared" si="3"/>
        <v>36</v>
      </c>
      <c r="B40" s="36" t="s">
        <v>83</v>
      </c>
      <c r="C40" s="27">
        <v>198.0</v>
      </c>
      <c r="D40" s="28">
        <v>9.0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207</v>
      </c>
      <c r="N40" s="28">
        <f t="shared" si="37"/>
        <v>9</v>
      </c>
      <c r="O40" s="33" t="s">
        <v>37</v>
      </c>
      <c r="P40" s="33" t="s">
        <v>37</v>
      </c>
      <c r="Q40" s="31">
        <f>if(G40=13,1,0)+VLOOKUP(B40,'111123'!B:Q,16,false)</f>
        <v>0</v>
      </c>
      <c r="R40" s="31"/>
      <c r="S40" s="31">
        <f>if(G40=9,1,0)+VLOOKUP(B40,'111123'!B:S,18,false)</f>
        <v>12</v>
      </c>
    </row>
    <row r="41">
      <c r="A41" s="25">
        <f t="shared" si="3"/>
        <v>37</v>
      </c>
      <c r="B41" s="36" t="s">
        <v>69</v>
      </c>
      <c r="C41" s="27">
        <v>198.0</v>
      </c>
      <c r="D41" s="28">
        <v>8.0</v>
      </c>
      <c r="E41" s="30">
        <v>1.0</v>
      </c>
      <c r="F41" s="31">
        <v>6.0</v>
      </c>
      <c r="G41" s="27">
        <v>0.0</v>
      </c>
      <c r="H41" s="31">
        <v>6.0</v>
      </c>
      <c r="I41" s="31">
        <v>6.0</v>
      </c>
      <c r="J41" s="31">
        <v>6.0</v>
      </c>
      <c r="K41" s="32">
        <v>18.0</v>
      </c>
      <c r="L41" s="31">
        <v>3.0</v>
      </c>
      <c r="M41" s="27">
        <f t="shared" ref="M41:N41" si="38">C41+K41</f>
        <v>216</v>
      </c>
      <c r="N41" s="28">
        <f t="shared" si="38"/>
        <v>11</v>
      </c>
      <c r="O41" s="33" t="s">
        <v>37</v>
      </c>
      <c r="P41" s="33" t="s">
        <v>37</v>
      </c>
      <c r="Q41" s="31">
        <f>if(G41=13,1,0)+VLOOKUP(B41,'111123'!B:Q,16,false)</f>
        <v>0</v>
      </c>
      <c r="R41" s="31"/>
      <c r="S41" s="31">
        <f>if(G41=9,1,0)+VLOOKUP(B41,'111123'!B:S,18,false)</f>
        <v>16</v>
      </c>
    </row>
    <row r="42">
      <c r="A42" s="25">
        <f t="shared" si="3"/>
        <v>38</v>
      </c>
      <c r="B42" s="26" t="s">
        <v>87</v>
      </c>
      <c r="C42" s="27">
        <v>194.0</v>
      </c>
      <c r="D42" s="28">
        <v>9.0</v>
      </c>
      <c r="E42" s="30">
        <v>1.0</v>
      </c>
      <c r="F42" s="31">
        <v>6.0</v>
      </c>
      <c r="G42" s="27">
        <v>0.0</v>
      </c>
      <c r="H42" s="31">
        <v>1.0</v>
      </c>
      <c r="I42" s="31">
        <v>6.0</v>
      </c>
      <c r="J42" s="31">
        <v>0.0</v>
      </c>
      <c r="K42" s="32">
        <v>7.0</v>
      </c>
      <c r="L42" s="31">
        <v>1.0</v>
      </c>
      <c r="M42" s="27">
        <f t="shared" ref="M42:N42" si="39">C42+K42</f>
        <v>201</v>
      </c>
      <c r="N42" s="28">
        <f t="shared" si="39"/>
        <v>10</v>
      </c>
      <c r="O42" s="33" t="s">
        <v>37</v>
      </c>
      <c r="P42" s="33" t="s">
        <v>37</v>
      </c>
      <c r="Q42" s="31">
        <f>if(G42=13,1,0)+VLOOKUP(B42,'111123'!B:Q,16,false)</f>
        <v>1</v>
      </c>
      <c r="R42" s="31"/>
      <c r="S42" s="31">
        <f>if(G42=9,1,0)+VLOOKUP(B42,'111123'!B:S,18,false)</f>
        <v>9</v>
      </c>
    </row>
    <row r="43">
      <c r="A43" s="25">
        <f t="shared" si="3"/>
        <v>39</v>
      </c>
      <c r="B43" s="26" t="s">
        <v>89</v>
      </c>
      <c r="C43" s="27">
        <v>193.0</v>
      </c>
      <c r="D43" s="28">
        <v>9.0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202</v>
      </c>
      <c r="N43" s="28">
        <f t="shared" si="40"/>
        <v>9</v>
      </c>
      <c r="O43" s="33" t="s">
        <v>37</v>
      </c>
      <c r="P43" s="33" t="s">
        <v>37</v>
      </c>
      <c r="Q43" s="31">
        <f>if(G43=13,1,0)+VLOOKUP(B43,'111123'!B:Q,16,false)</f>
        <v>2</v>
      </c>
      <c r="R43" s="31"/>
      <c r="S43" s="31">
        <f>if(G43=9,1,0)+VLOOKUP(B43,'111123'!B:S,18,false)</f>
        <v>7</v>
      </c>
    </row>
    <row r="44">
      <c r="A44" s="25">
        <f t="shared" si="3"/>
        <v>40</v>
      </c>
      <c r="B44" s="36" t="s">
        <v>88</v>
      </c>
      <c r="C44" s="27">
        <v>193.0</v>
      </c>
      <c r="D44" s="28">
        <v>8.0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202</v>
      </c>
      <c r="N44" s="28">
        <f t="shared" si="41"/>
        <v>8</v>
      </c>
      <c r="O44" s="33" t="s">
        <v>37</v>
      </c>
      <c r="P44" s="33" t="s">
        <v>37</v>
      </c>
      <c r="Q44" s="31">
        <f>if(G44=13,1,0)+VLOOKUP(B44,'111123'!B:Q,16,false)</f>
        <v>0</v>
      </c>
      <c r="R44" s="31"/>
      <c r="S44" s="31">
        <f>if(G44=9,1,0)+VLOOKUP(B44,'111123'!B:S,18,false)</f>
        <v>14</v>
      </c>
    </row>
    <row r="45">
      <c r="A45" s="25">
        <f t="shared" si="3"/>
        <v>41</v>
      </c>
      <c r="B45" s="36" t="s">
        <v>82</v>
      </c>
      <c r="C45" s="27">
        <v>192.0</v>
      </c>
      <c r="D45" s="28">
        <v>8.0</v>
      </c>
      <c r="E45" s="30">
        <v>3.0</v>
      </c>
      <c r="F45" s="31"/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201</v>
      </c>
      <c r="N45" s="28">
        <f t="shared" si="42"/>
        <v>8</v>
      </c>
      <c r="O45" s="33" t="s">
        <v>37</v>
      </c>
      <c r="P45" s="33" t="s">
        <v>37</v>
      </c>
      <c r="Q45" s="31">
        <f>if(G45=13,1,0)+VLOOKUP(B45,'111123'!B:Q,16,false)</f>
        <v>0</v>
      </c>
      <c r="R45" s="31"/>
      <c r="S45" s="31">
        <f>if(G45=9,1,0)+VLOOKUP(B45,'111123'!B:S,18,false)</f>
        <v>17</v>
      </c>
    </row>
    <row r="46">
      <c r="A46" s="25">
        <f t="shared" si="3"/>
        <v>42</v>
      </c>
      <c r="B46" s="26" t="s">
        <v>90</v>
      </c>
      <c r="C46" s="27">
        <v>190.0</v>
      </c>
      <c r="D46" s="28">
        <v>12.0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199</v>
      </c>
      <c r="N46" s="28">
        <f t="shared" si="43"/>
        <v>12</v>
      </c>
      <c r="O46" s="33" t="s">
        <v>37</v>
      </c>
      <c r="P46" s="33" t="s">
        <v>37</v>
      </c>
      <c r="Q46" s="31">
        <f>if(G46=13,1,0)+VLOOKUP(B46,'111123'!B:Q,16,false)</f>
        <v>0</v>
      </c>
      <c r="R46" s="31"/>
      <c r="S46" s="31">
        <f>if(G46=9,1,0)+VLOOKUP(B46,'111123'!B:S,18,false)</f>
        <v>10</v>
      </c>
    </row>
    <row r="47">
      <c r="A47" s="25">
        <f t="shared" si="3"/>
        <v>43</v>
      </c>
      <c r="B47" s="26" t="s">
        <v>86</v>
      </c>
      <c r="C47" s="27">
        <v>190.0</v>
      </c>
      <c r="D47" s="28">
        <v>10.0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199</v>
      </c>
      <c r="N47" s="28">
        <f t="shared" si="44"/>
        <v>10</v>
      </c>
      <c r="O47" s="33" t="s">
        <v>37</v>
      </c>
      <c r="P47" s="33" t="s">
        <v>37</v>
      </c>
      <c r="Q47" s="31">
        <f>if(G47=13,1,0)+VLOOKUP(B47,'111123'!B:Q,16,false)</f>
        <v>0</v>
      </c>
      <c r="R47" s="31"/>
      <c r="S47" s="31">
        <f>if(G47=9,1,0)+VLOOKUP(B47,'111123'!B:S,18,false)</f>
        <v>11</v>
      </c>
    </row>
    <row r="48">
      <c r="A48" s="25">
        <f t="shared" si="3"/>
        <v>44</v>
      </c>
      <c r="B48" s="36" t="s">
        <v>93</v>
      </c>
      <c r="C48" s="27">
        <v>185.0</v>
      </c>
      <c r="D48" s="28">
        <v>5.0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194</v>
      </c>
      <c r="N48" s="28">
        <f t="shared" si="45"/>
        <v>5</v>
      </c>
      <c r="O48" s="33" t="s">
        <v>37</v>
      </c>
      <c r="P48" s="33" t="s">
        <v>37</v>
      </c>
      <c r="Q48" s="31">
        <f>if(G48=13,1,0)+VLOOKUP(B48,'111123'!B:Q,16,false)</f>
        <v>0</v>
      </c>
      <c r="R48" s="31"/>
      <c r="S48" s="31">
        <f>if(G48=9,1,0)+VLOOKUP(B48,'111123'!B:S,18,false)</f>
        <v>18</v>
      </c>
    </row>
    <row r="49">
      <c r="A49" s="25">
        <f t="shared" si="3"/>
        <v>45</v>
      </c>
      <c r="B49" s="36" t="s">
        <v>85</v>
      </c>
      <c r="C49" s="27">
        <v>184.0</v>
      </c>
      <c r="D49" s="28">
        <v>12.0</v>
      </c>
      <c r="E49" s="30">
        <v>1.0</v>
      </c>
      <c r="F49" s="31">
        <v>7.0</v>
      </c>
      <c r="G49" s="27">
        <v>0.0</v>
      </c>
      <c r="H49" s="31">
        <v>7.0</v>
      </c>
      <c r="I49" s="31">
        <v>1.0</v>
      </c>
      <c r="J49" s="31">
        <v>0.0</v>
      </c>
      <c r="K49" s="32">
        <v>8.0</v>
      </c>
      <c r="L49" s="31">
        <v>1.0</v>
      </c>
      <c r="M49" s="27">
        <f t="shared" ref="M49:N49" si="46">C49+K49</f>
        <v>192</v>
      </c>
      <c r="N49" s="28">
        <f t="shared" si="46"/>
        <v>13</v>
      </c>
      <c r="O49" s="33" t="s">
        <v>37</v>
      </c>
      <c r="P49" s="33" t="s">
        <v>37</v>
      </c>
      <c r="Q49" s="31">
        <f>if(G49=13,1,0)+VLOOKUP(B49,'111123'!B:Q,16,false)</f>
        <v>0</v>
      </c>
      <c r="R49" s="31"/>
      <c r="S49" s="31">
        <f>if(G49=9,1,0)+VLOOKUP(B49,'111123'!B:S,18,false)</f>
        <v>9</v>
      </c>
    </row>
    <row r="50">
      <c r="A50" s="25">
        <f t="shared" si="3"/>
        <v>46</v>
      </c>
      <c r="B50" s="26" t="s">
        <v>91</v>
      </c>
      <c r="C50" s="27">
        <v>183.0</v>
      </c>
      <c r="D50" s="28">
        <v>4.0</v>
      </c>
      <c r="E50" s="30">
        <v>1.0</v>
      </c>
      <c r="F50" s="31">
        <v>7.0</v>
      </c>
      <c r="G50" s="27">
        <v>0.0</v>
      </c>
      <c r="H50" s="31">
        <v>5.0</v>
      </c>
      <c r="I50" s="31">
        <v>1.0</v>
      </c>
      <c r="J50" s="31">
        <v>6.0</v>
      </c>
      <c r="K50" s="32">
        <v>12.0</v>
      </c>
      <c r="L50" s="31">
        <v>1.0</v>
      </c>
      <c r="M50" s="27">
        <f t="shared" ref="M50:N50" si="47">C50+K50</f>
        <v>195</v>
      </c>
      <c r="N50" s="28">
        <f t="shared" si="47"/>
        <v>5</v>
      </c>
      <c r="O50" s="33" t="s">
        <v>37</v>
      </c>
      <c r="P50" s="33" t="s">
        <v>37</v>
      </c>
      <c r="Q50" s="31">
        <f>if(G50=13,1,0)+VLOOKUP(B50,'111123'!B:Q,16,false)</f>
        <v>1</v>
      </c>
      <c r="R50" s="31"/>
      <c r="S50" s="31">
        <f>if(G50=9,1,0)+VLOOKUP(B50,'111123'!B:S,18,false)</f>
        <v>15</v>
      </c>
    </row>
    <row r="51">
      <c r="A51" s="25">
        <f t="shared" si="3"/>
        <v>47</v>
      </c>
      <c r="B51" s="36" t="s">
        <v>94</v>
      </c>
      <c r="C51" s="27">
        <v>183.0</v>
      </c>
      <c r="D51" s="28">
        <v>4.0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192</v>
      </c>
      <c r="N51" s="28">
        <f t="shared" si="48"/>
        <v>4</v>
      </c>
      <c r="O51" s="33" t="s">
        <v>37</v>
      </c>
      <c r="P51" s="33" t="s">
        <v>37</v>
      </c>
      <c r="Q51" s="31">
        <f>if(G51=13,1,0)+VLOOKUP(B51,'111123'!B:Q,16,false)</f>
        <v>0</v>
      </c>
      <c r="R51" s="31"/>
      <c r="S51" s="31">
        <f>if(G51=9,1,0)+VLOOKUP(B51,'111123'!B:S,18,false)</f>
        <v>15</v>
      </c>
    </row>
    <row r="52">
      <c r="A52" s="25">
        <f t="shared" si="3"/>
        <v>48</v>
      </c>
      <c r="B52" s="26" t="s">
        <v>95</v>
      </c>
      <c r="C52" s="27">
        <v>181.0</v>
      </c>
      <c r="D52" s="28">
        <v>6.0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190</v>
      </c>
      <c r="N52" s="28">
        <f t="shared" si="49"/>
        <v>6</v>
      </c>
      <c r="O52" s="33" t="s">
        <v>37</v>
      </c>
      <c r="P52" s="33" t="s">
        <v>37</v>
      </c>
      <c r="Q52" s="31">
        <f>if(G52=13,1,0)+VLOOKUP(B52,'111123'!B:Q,16,false)</f>
        <v>0</v>
      </c>
      <c r="R52" s="31"/>
      <c r="S52" s="31">
        <f>if(G52=9,1,0)+VLOOKUP(B52,'111123'!B:S,18,false)</f>
        <v>14</v>
      </c>
    </row>
    <row r="53">
      <c r="A53" s="25">
        <f t="shared" si="3"/>
        <v>49</v>
      </c>
      <c r="B53" s="36" t="s">
        <v>97</v>
      </c>
      <c r="C53" s="27">
        <v>180.0</v>
      </c>
      <c r="D53" s="28">
        <v>7.0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189</v>
      </c>
      <c r="N53" s="28">
        <f t="shared" si="50"/>
        <v>7</v>
      </c>
      <c r="O53" s="33" t="s">
        <v>37</v>
      </c>
      <c r="P53" s="33" t="s">
        <v>37</v>
      </c>
      <c r="Q53" s="31">
        <f>if(G53=13,1,0)+VLOOKUP(B53,'111123'!B:Q,16,false)</f>
        <v>0</v>
      </c>
      <c r="R53" s="31"/>
      <c r="S53" s="31">
        <f>if(G53=9,1,0)+VLOOKUP(B53,'111123'!B:S,18,false)</f>
        <v>14</v>
      </c>
    </row>
    <row r="54">
      <c r="A54" s="25">
        <f t="shared" si="3"/>
        <v>50</v>
      </c>
      <c r="B54" s="36" t="s">
        <v>98</v>
      </c>
      <c r="C54" s="27">
        <v>180.0</v>
      </c>
      <c r="D54" s="28">
        <v>3.0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189</v>
      </c>
      <c r="N54" s="28">
        <f t="shared" si="51"/>
        <v>3</v>
      </c>
      <c r="O54" s="33" t="s">
        <v>37</v>
      </c>
      <c r="P54" s="33" t="s">
        <v>37</v>
      </c>
      <c r="Q54" s="31">
        <f>if(G54=13,1,0)+VLOOKUP(B54,'111123'!B:Q,16,false)</f>
        <v>0</v>
      </c>
      <c r="R54" s="31"/>
      <c r="S54" s="31">
        <f>if(G54=9,1,0)+VLOOKUP(B54,'111123'!B:S,18,false)</f>
        <v>15</v>
      </c>
    </row>
    <row r="55">
      <c r="A55" s="25">
        <f t="shared" si="3"/>
        <v>51</v>
      </c>
      <c r="B55" s="36" t="s">
        <v>99</v>
      </c>
      <c r="C55" s="27">
        <v>180.0</v>
      </c>
      <c r="D55" s="28">
        <v>3.0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189</v>
      </c>
      <c r="N55" s="28">
        <f t="shared" si="52"/>
        <v>3</v>
      </c>
      <c r="O55" s="33" t="s">
        <v>37</v>
      </c>
      <c r="P55" s="33" t="s">
        <v>37</v>
      </c>
      <c r="Q55" s="31">
        <f>if(G55=13,1,0)+VLOOKUP(B55,'111123'!B:Q,16,false)</f>
        <v>0</v>
      </c>
      <c r="R55" s="31"/>
      <c r="S55" s="31">
        <f>if(G55=9,1,0)+VLOOKUP(B55,'111123'!B:S,18,false)</f>
        <v>16</v>
      </c>
    </row>
    <row r="56">
      <c r="A56" s="25">
        <f t="shared" si="3"/>
        <v>52</v>
      </c>
      <c r="B56" s="36" t="s">
        <v>92</v>
      </c>
      <c r="C56" s="27">
        <v>180.0</v>
      </c>
      <c r="D56" s="28">
        <v>3.0</v>
      </c>
      <c r="E56" s="30">
        <v>3.0</v>
      </c>
      <c r="F56" s="31"/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189</v>
      </c>
      <c r="N56" s="28">
        <f t="shared" si="53"/>
        <v>3</v>
      </c>
      <c r="O56" s="33" t="s">
        <v>37</v>
      </c>
      <c r="P56" s="33" t="s">
        <v>37</v>
      </c>
      <c r="Q56" s="31">
        <f>if(G56=13,1,0)+VLOOKUP(B56,'111123'!B:Q,16,false)</f>
        <v>0</v>
      </c>
      <c r="R56" s="31"/>
      <c r="S56" s="31">
        <f>if(G56=9,1,0)+VLOOKUP(B56,'111123'!B:S,18,false)</f>
        <v>18</v>
      </c>
    </row>
    <row r="57">
      <c r="A57" s="25">
        <f t="shared" si="3"/>
        <v>53</v>
      </c>
      <c r="B57" s="36" t="s">
        <v>76</v>
      </c>
      <c r="C57" s="27">
        <v>178.0</v>
      </c>
      <c r="D57" s="28">
        <v>4.0</v>
      </c>
      <c r="E57" s="30">
        <v>2.0</v>
      </c>
      <c r="F57" s="31">
        <v>7.0</v>
      </c>
      <c r="G57" s="27">
        <v>0.0</v>
      </c>
      <c r="H57" s="31">
        <v>7.0</v>
      </c>
      <c r="I57" s="31">
        <v>6.0</v>
      </c>
      <c r="J57" s="31">
        <v>6.0</v>
      </c>
      <c r="K57" s="32">
        <v>19.0</v>
      </c>
      <c r="L57" s="31">
        <v>3.0</v>
      </c>
      <c r="M57" s="27">
        <f t="shared" ref="M57:N57" si="54">C57+K57</f>
        <v>197</v>
      </c>
      <c r="N57" s="28">
        <f t="shared" si="54"/>
        <v>7</v>
      </c>
      <c r="O57" s="33" t="s">
        <v>37</v>
      </c>
      <c r="P57" s="33" t="s">
        <v>37</v>
      </c>
      <c r="Q57" s="31">
        <f>if(G57=13,1,0)+VLOOKUP(B57,'111123'!B:Q,16,false)</f>
        <v>0</v>
      </c>
      <c r="R57" s="31"/>
      <c r="S57" s="31">
        <f>if(G57=9,1,0)+VLOOKUP(B57,'111123'!B:S,18,false)</f>
        <v>17</v>
      </c>
    </row>
    <row r="58">
      <c r="A58" s="25">
        <f t="shared" si="3"/>
        <v>54</v>
      </c>
      <c r="B58" s="36" t="s">
        <v>101</v>
      </c>
      <c r="C58" s="27">
        <v>175.0</v>
      </c>
      <c r="D58" s="28">
        <v>2.0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184</v>
      </c>
      <c r="N58" s="28">
        <f t="shared" si="55"/>
        <v>2</v>
      </c>
      <c r="O58" s="33" t="s">
        <v>37</v>
      </c>
      <c r="P58" s="33" t="s">
        <v>37</v>
      </c>
      <c r="Q58" s="31">
        <f>if(G58=13,1,0)+VLOOKUP(B58,'111123'!B:Q,16,false)</f>
        <v>0</v>
      </c>
      <c r="R58" s="31"/>
      <c r="S58" s="31">
        <f>if(G58=9,1,0)+VLOOKUP(B58,'111123'!B:S,18,false)</f>
        <v>19</v>
      </c>
    </row>
    <row r="59">
      <c r="A59" s="25">
        <f t="shared" si="3"/>
        <v>55</v>
      </c>
      <c r="B59" s="36" t="s">
        <v>102</v>
      </c>
      <c r="C59" s="27">
        <v>175.0</v>
      </c>
      <c r="D59" s="28">
        <v>2.0</v>
      </c>
      <c r="E59" s="30">
        <v>3.0</v>
      </c>
      <c r="F59" s="31"/>
      <c r="G59" s="27">
        <v>9.0</v>
      </c>
      <c r="H59" s="31"/>
      <c r="I59" s="31"/>
      <c r="J59" s="31"/>
      <c r="K59" s="32">
        <v>9.0</v>
      </c>
      <c r="L59" s="31"/>
      <c r="M59" s="27">
        <f t="shared" ref="M59:N59" si="56">C59+K59</f>
        <v>184</v>
      </c>
      <c r="N59" s="28">
        <f t="shared" si="56"/>
        <v>2</v>
      </c>
      <c r="O59" s="33" t="s">
        <v>37</v>
      </c>
      <c r="P59" s="33" t="s">
        <v>37</v>
      </c>
      <c r="Q59" s="31">
        <f>if(G59=13,1,0)+VLOOKUP(B59,'111123'!B:Q,16,false)</f>
        <v>0</v>
      </c>
      <c r="R59" s="31"/>
      <c r="S59" s="31">
        <f>if(G59=9,1,0)+VLOOKUP(B59,'111123'!B:S,18,false)</f>
        <v>19</v>
      </c>
    </row>
    <row r="60">
      <c r="A60" s="25">
        <f t="shared" si="3"/>
        <v>56</v>
      </c>
      <c r="B60" s="44" t="s">
        <v>100</v>
      </c>
      <c r="C60" s="27">
        <v>174.0</v>
      </c>
      <c r="D60" s="28">
        <v>3.0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183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if(G60=13,1,0)+VLOOKUP(B60,'111123'!B:Q,16,false)</f>
        <v>0</v>
      </c>
      <c r="R60" s="31"/>
      <c r="S60" s="31">
        <f>if(G60=9,1,0)+VLOOKUP(B60,'111123'!B:S,18,false)</f>
        <v>18</v>
      </c>
    </row>
    <row r="61">
      <c r="A61" s="25">
        <f t="shared" si="3"/>
        <v>57</v>
      </c>
      <c r="B61" s="38" t="s">
        <v>96</v>
      </c>
      <c r="C61" s="27">
        <v>171.0</v>
      </c>
      <c r="D61" s="28">
        <v>12.0</v>
      </c>
      <c r="E61" s="30">
        <v>1.0</v>
      </c>
      <c r="F61" s="31">
        <v>7.0</v>
      </c>
      <c r="G61" s="27">
        <v>0.0</v>
      </c>
      <c r="H61" s="31">
        <v>5.0</v>
      </c>
      <c r="I61" s="31">
        <v>6.0</v>
      </c>
      <c r="J61" s="31">
        <v>0.0</v>
      </c>
      <c r="K61" s="32">
        <v>11.0</v>
      </c>
      <c r="L61" s="31">
        <v>1.0</v>
      </c>
      <c r="M61" s="27">
        <f t="shared" ref="M61:N61" si="58">C61+K61</f>
        <v>182</v>
      </c>
      <c r="N61" s="28">
        <f t="shared" si="58"/>
        <v>13</v>
      </c>
      <c r="O61" s="33" t="s">
        <v>37</v>
      </c>
      <c r="P61" s="33" t="s">
        <v>37</v>
      </c>
      <c r="Q61" s="31">
        <f>if(G61=13,1,0)+VLOOKUP(B61,'111123'!B:Q,16,false)</f>
        <v>0</v>
      </c>
      <c r="R61" s="31"/>
      <c r="S61" s="31">
        <f>if(G61=9,1,0)+VLOOKUP(B61,'111123'!B:S,18,false)</f>
        <v>7</v>
      </c>
    </row>
    <row r="62">
      <c r="A62" s="25">
        <f t="shared" si="3"/>
        <v>58</v>
      </c>
      <c r="B62" s="26" t="s">
        <v>103</v>
      </c>
      <c r="C62" s="27">
        <v>171.0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180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if(G62=13,1,0)+VLOOKUP(B62,'111123'!B:Q,16,false)</f>
        <v>0</v>
      </c>
      <c r="R62" s="31"/>
      <c r="S62" s="31">
        <f>if(G62=9,1,0)+VLOOKUP(B62,'111123'!B:S,18,false)</f>
        <v>20</v>
      </c>
    </row>
    <row r="63">
      <c r="A63" s="25">
        <f t="shared" si="3"/>
        <v>59</v>
      </c>
      <c r="B63" s="36" t="s">
        <v>104</v>
      </c>
      <c r="C63" s="27">
        <v>171.0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180</v>
      </c>
      <c r="N63" s="28">
        <f t="shared" si="60"/>
        <v>0</v>
      </c>
      <c r="O63" s="33" t="s">
        <v>37</v>
      </c>
      <c r="P63" s="33" t="s">
        <v>37</v>
      </c>
      <c r="Q63" s="31">
        <f>if(G63=13,1,0)+VLOOKUP(B63,'111123'!B:Q,16,false)</f>
        <v>0</v>
      </c>
      <c r="R63" s="31"/>
      <c r="S63" s="31">
        <f>if(G63=9,1,0)+VLOOKUP(B63,'111123'!B:S,18,false)</f>
        <v>20</v>
      </c>
    </row>
    <row r="64">
      <c r="A64" s="25">
        <f t="shared" si="3"/>
        <v>60</v>
      </c>
      <c r="B64" s="26" t="s">
        <v>105</v>
      </c>
      <c r="C64" s="27">
        <v>171.0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180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if(G64=13,1,0)+VLOOKUP(B64,'111123'!B:Q,16,false)</f>
        <v>0</v>
      </c>
      <c r="R64" s="31"/>
      <c r="S64" s="31">
        <f>if(G64=9,1,0)+VLOOKUP(B64,'111123'!B:S,18,false)</f>
        <v>20</v>
      </c>
    </row>
    <row r="65">
      <c r="A65" s="25">
        <f t="shared" si="3"/>
        <v>61</v>
      </c>
      <c r="B65" s="26" t="s">
        <v>106</v>
      </c>
      <c r="C65" s="27">
        <v>171.0</v>
      </c>
      <c r="D65" s="28">
        <v>0.0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180</v>
      </c>
      <c r="N65" s="28">
        <f t="shared" si="62"/>
        <v>0</v>
      </c>
      <c r="O65" s="33" t="s">
        <v>37</v>
      </c>
      <c r="P65" s="33" t="s">
        <v>37</v>
      </c>
      <c r="Q65" s="31">
        <f>if(G65=13,1,0)+VLOOKUP(B65,'111123'!B:Q,16,false)</f>
        <v>0</v>
      </c>
      <c r="R65" s="31"/>
      <c r="S65" s="31">
        <f>if(G65=9,1,0)+VLOOKUP(B65,'111123'!B:S,18,false)</f>
        <v>20</v>
      </c>
    </row>
    <row r="66">
      <c r="A66" s="25">
        <f t="shared" si="3"/>
        <v>62</v>
      </c>
      <c r="B66" s="36" t="s">
        <v>107</v>
      </c>
      <c r="C66" s="27">
        <v>169.0</v>
      </c>
      <c r="D66" s="28">
        <v>2.0</v>
      </c>
      <c r="E66" s="30">
        <v>3.0</v>
      </c>
      <c r="F66" s="31"/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178</v>
      </c>
      <c r="N66" s="28">
        <f t="shared" si="63"/>
        <v>2</v>
      </c>
      <c r="O66" s="33" t="s">
        <v>37</v>
      </c>
      <c r="P66" s="33" t="s">
        <v>37</v>
      </c>
      <c r="Q66" s="31">
        <f>if(G66=13,1,0)+VLOOKUP(B66,'111123'!B:Q,16,false)</f>
        <v>0</v>
      </c>
      <c r="R66" s="31"/>
      <c r="S66" s="31">
        <f>if(G66=9,1,0)+VLOOKUP(B66,'111123'!B:S,18,false)</f>
        <v>18</v>
      </c>
    </row>
    <row r="67">
      <c r="A67" s="25">
        <f t="shared" si="3"/>
        <v>63</v>
      </c>
      <c r="B67" s="36" t="s">
        <v>108</v>
      </c>
      <c r="C67" s="27">
        <v>168.0</v>
      </c>
      <c r="D67" s="28">
        <v>5.0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177</v>
      </c>
      <c r="N67" s="28">
        <f t="shared" si="64"/>
        <v>5</v>
      </c>
      <c r="O67" s="33" t="s">
        <v>37</v>
      </c>
      <c r="P67" s="33" t="s">
        <v>37</v>
      </c>
      <c r="Q67" s="31">
        <f>if(G67=13,1,0)+VLOOKUP(B67,'111123'!B:Q,16,false)</f>
        <v>0</v>
      </c>
      <c r="R67" s="31"/>
      <c r="S67" s="31">
        <f>if(G67=9,1,0)+VLOOKUP(B67,'111123'!B:S,18,false)</f>
        <v>15</v>
      </c>
    </row>
    <row r="68">
      <c r="A68" s="25">
        <f t="shared" si="3"/>
        <v>64</v>
      </c>
      <c r="B68" s="36" t="s">
        <v>109</v>
      </c>
      <c r="C68" s="27">
        <v>165.0</v>
      </c>
      <c r="D68" s="28">
        <v>1.0</v>
      </c>
      <c r="E68" s="30">
        <v>3.0</v>
      </c>
      <c r="F68" s="31">
        <v>0.0</v>
      </c>
      <c r="G68" s="27">
        <v>9.0</v>
      </c>
      <c r="H68" s="31">
        <v>0.0</v>
      </c>
      <c r="I68" s="31">
        <v>0.0</v>
      </c>
      <c r="J68" s="31">
        <v>0.0</v>
      </c>
      <c r="K68" s="32">
        <v>9.0</v>
      </c>
      <c r="L68" s="31">
        <v>0.0</v>
      </c>
      <c r="M68" s="27">
        <f t="shared" ref="M68:N68" si="65">C68+K68</f>
        <v>174</v>
      </c>
      <c r="N68" s="28">
        <f t="shared" si="65"/>
        <v>1</v>
      </c>
      <c r="O68" s="33" t="s">
        <v>37</v>
      </c>
      <c r="P68" s="33" t="s">
        <v>37</v>
      </c>
      <c r="Q68" s="31">
        <f>if(G68=13,1,0)+VLOOKUP(B68,'111123'!B:Q,16,false)</f>
        <v>0</v>
      </c>
      <c r="R68" s="31"/>
      <c r="S68" s="31">
        <f>if(G68=9,1,0)+VLOOKUP(B68,'111123'!B:S,18,false)</f>
        <v>9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64</v>
      </c>
    </row>
    <row r="71">
      <c r="A71" s="1"/>
      <c r="C71" s="1"/>
      <c r="D71" s="1"/>
      <c r="E71" s="1"/>
      <c r="O71" s="34" t="s">
        <v>111</v>
      </c>
      <c r="P71" s="40">
        <f>P72-P70</f>
        <v>0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desc"",0)"),"Suleman Alidina")</f>
        <v>Suleman Alidina</v>
      </c>
      <c r="C77" s="46">
        <f>IFERROR(__xludf.DUMMYFUNCTION("""COMPUTED_VALUE"""),19.0)</f>
        <v>19</v>
      </c>
      <c r="D77" s="46">
        <f>IFERROR(__xludf.DUMMYFUNCTION("""COMPUTED_VALUE"""),3.0)</f>
        <v>3</v>
      </c>
      <c r="E77" s="1"/>
      <c r="K77" s="42"/>
      <c r="L77" s="43"/>
    </row>
    <row r="78">
      <c r="A78" s="1"/>
      <c r="B78" s="36" t="str">
        <f>IFERROR(__xludf.DUMMYFUNCTION("""COMPUTED_VALUE"""),"Christopher Li")</f>
        <v>Christopher Li</v>
      </c>
      <c r="C78" s="46">
        <f>IFERROR(__xludf.DUMMYFUNCTION("""COMPUTED_VALUE"""),18.0)</f>
        <v>18</v>
      </c>
      <c r="D78" s="46">
        <f>IFERROR(__xludf.DUMMYFUNCTION("""COMPUTED_VALUE"""),3.0)</f>
        <v>3</v>
      </c>
      <c r="E78" s="1"/>
      <c r="L78" s="47"/>
    </row>
    <row r="79">
      <c r="A79" s="1"/>
      <c r="B79" s="36" t="str">
        <f>IFERROR(__xludf.DUMMYFUNCTION("""COMPUTED_VALUE"""),"Peter Cheng")</f>
        <v>Peter Cheng</v>
      </c>
      <c r="C79" s="46">
        <f>IFERROR(__xludf.DUMMYFUNCTION("""COMPUTED_VALUE"""),18.0)</f>
        <v>18</v>
      </c>
      <c r="D79" s="46">
        <f>IFERROR(__xludf.DUMMYFUNCTION("""COMPUTED_VALUE"""),2.0)</f>
        <v>2</v>
      </c>
      <c r="E79" s="1"/>
    </row>
    <row r="80">
      <c r="A80" s="1"/>
      <c r="B80" s="36"/>
      <c r="C80" s="36"/>
      <c r="D80" s="36"/>
      <c r="E80" s="1"/>
    </row>
    <row r="81">
      <c r="A81" s="1"/>
      <c r="B81" s="36"/>
      <c r="C81" s="46"/>
      <c r="D81" s="46"/>
      <c r="E81" s="1"/>
      <c r="K81" s="34"/>
    </row>
    <row r="82">
      <c r="A82" s="1"/>
      <c r="B82" s="36"/>
      <c r="C82" s="46"/>
      <c r="D82" s="46"/>
      <c r="E82" s="1"/>
      <c r="K82" s="34"/>
    </row>
    <row r="83">
      <c r="A83" s="1"/>
      <c r="B83" s="36"/>
      <c r="C83" s="46"/>
      <c r="D83" s="46"/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IFERROR(__xludf.DUMMYFUNCTION("""COMPUTED_VALUE"""),257.0)</f>
        <v>257</v>
      </c>
      <c r="D90" s="50">
        <f>IFERROR(__xludf.DUMMYFUNCTION("""COMPUTED_VALUE"""),27.0)</f>
        <v>27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IFERROR(__xludf.DUMMYFUNCTION("""COMPUTED_VALUE"""),6.0)</f>
        <v>6</v>
      </c>
      <c r="I90" s="51">
        <f>IFERROR(__xludf.DUMMYFUNCTION("""COMPUTED_VALUE"""),6.0)</f>
        <v>6</v>
      </c>
      <c r="J90" s="51">
        <f>IFERROR(__xludf.DUMMYFUNCTION("""COMPUTED_VALUE"""),6.0)</f>
        <v>6</v>
      </c>
      <c r="K90" s="51">
        <f>IFERROR(__xludf.DUMMYFUNCTION("""COMPUTED_VALUE"""),18.0)</f>
        <v>18</v>
      </c>
      <c r="L90" s="51">
        <f>IFERROR(__xludf.DUMMYFUNCTION("""COMPUTED_VALUE"""),2.0)</f>
        <v>2</v>
      </c>
      <c r="M90" s="51">
        <f>IFERROR(__xludf.DUMMYFUNCTION("""COMPUTED_VALUE"""),275.0)</f>
        <v>275</v>
      </c>
      <c r="N90" s="52">
        <f>IFERROR(__xludf.DUMMYFUNCTION("""COMPUTED_VALUE"""),29.0)</f>
        <v>29</v>
      </c>
    </row>
    <row r="91">
      <c r="A91" s="1"/>
      <c r="B91" s="48" t="str">
        <f>IFERROR(__xludf.DUMMYFUNCTION("""COMPUTED_VALUE"""),"Adrian Tay")</f>
        <v>Adrian Tay</v>
      </c>
      <c r="C91" s="49">
        <f>IFERROR(__xludf.DUMMYFUNCTION("""COMPUTED_VALUE"""),251.0)</f>
        <v>251</v>
      </c>
      <c r="D91" s="50">
        <f>IFERROR(__xludf.DUMMYFUNCTION("""COMPUTED_VALUE"""),24.0)</f>
        <v>24</v>
      </c>
      <c r="E91" s="49">
        <f>IFERROR(__xludf.DUMMYFUNCTION("""COMPUTED_VALUE"""),1.0)</f>
        <v>1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IFERROR(__xludf.DUMMYFUNCTION("""COMPUTED_VALUE"""),4.0)</f>
        <v>4</v>
      </c>
      <c r="I91" s="51">
        <f>IFERROR(__xludf.DUMMYFUNCTION("""COMPUTED_VALUE"""),6.0)</f>
        <v>6</v>
      </c>
      <c r="J91" s="51">
        <f>IFERROR(__xludf.DUMMYFUNCTION("""COMPUTED_VALUE"""),7.0)</f>
        <v>7</v>
      </c>
      <c r="K91" s="51">
        <f>IFERROR(__xludf.DUMMYFUNCTION("""COMPUTED_VALUE"""),17.0)</f>
        <v>17</v>
      </c>
      <c r="L91" s="51">
        <f>IFERROR(__xludf.DUMMYFUNCTION("""COMPUTED_VALUE"""),2.0)</f>
        <v>2</v>
      </c>
      <c r="M91" s="51">
        <f>IFERROR(__xludf.DUMMYFUNCTION("""COMPUTED_VALUE"""),268.0)</f>
        <v>268</v>
      </c>
      <c r="N91" s="52">
        <f>IFERROR(__xludf.DUMMYFUNCTION("""COMPUTED_VALUE"""),26.0)</f>
        <v>26</v>
      </c>
    </row>
    <row r="92">
      <c r="A92" s="1"/>
      <c r="B92" s="48" t="str">
        <f>IFERROR(__xludf.DUMMYFUNCTION("""COMPUTED_VALUE"""),"Alejandro Mejia")</f>
        <v>Alejandro Mejia</v>
      </c>
      <c r="C92" s="49">
        <f>IFERROR(__xludf.DUMMYFUNCTION("""COMPUTED_VALUE"""),245.0)</f>
        <v>245</v>
      </c>
      <c r="D92" s="50">
        <f>IFERROR(__xludf.DUMMYFUNCTION("""COMPUTED_VALUE"""),21.0)</f>
        <v>21</v>
      </c>
      <c r="E92" s="49">
        <f>IFERROR(__xludf.DUMMYFUNCTION("""COMPUTED_VALUE"""),1.0)</f>
        <v>1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IFERROR(__xludf.DUMMYFUNCTION("""COMPUTED_VALUE"""),4.0)</f>
        <v>4</v>
      </c>
      <c r="I92" s="51">
        <f>IFERROR(__xludf.DUMMYFUNCTION("""COMPUTED_VALUE"""),1.0)</f>
        <v>1</v>
      </c>
      <c r="J92" s="51">
        <f>IFERROR(__xludf.DUMMYFUNCTION("""COMPUTED_VALUE"""),6.0)</f>
        <v>6</v>
      </c>
      <c r="K92" s="51">
        <f>IFERROR(__xludf.DUMMYFUNCTION("""COMPUTED_VALUE"""),11.0)</f>
        <v>11</v>
      </c>
      <c r="L92" s="51">
        <f>IFERROR(__xludf.DUMMYFUNCTION("""COMPUTED_VALUE"""),0.0)</f>
        <v>0</v>
      </c>
      <c r="M92" s="51">
        <f>IFERROR(__xludf.DUMMYFUNCTION("""COMPUTED_VALUE"""),256.0)</f>
        <v>256</v>
      </c>
      <c r="N92" s="52">
        <f>IFERROR(__xludf.DUMMYFUNCTION("""COMPUTED_VALUE"""),21.0)</f>
        <v>21</v>
      </c>
    </row>
    <row r="93">
      <c r="A93" s="1"/>
      <c r="B93" s="48" t="str">
        <f>IFERROR(__xludf.DUMMYFUNCTION("""COMPUTED_VALUE"""),"Lam Bui")</f>
        <v>Lam Bui</v>
      </c>
      <c r="C93" s="49">
        <f>IFERROR(__xludf.DUMMYFUNCTION("""COMPUTED_VALUE"""),242.0)</f>
        <v>242</v>
      </c>
      <c r="D93" s="50">
        <f>IFERROR(__xludf.DUMMYFUNCTION("""COMPUTED_VALUE"""),21.0)</f>
        <v>21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IFERROR(__xludf.DUMMYFUNCTION("""COMPUTED_VALUE"""),6.0)</f>
        <v>6</v>
      </c>
      <c r="I93" s="51">
        <f>IFERROR(__xludf.DUMMYFUNCTION("""COMPUTED_VALUE"""),1.0)</f>
        <v>1</v>
      </c>
      <c r="J93" s="51">
        <f>IFERROR(__xludf.DUMMYFUNCTION("""COMPUTED_VALUE"""),7.0)</f>
        <v>7</v>
      </c>
      <c r="K93" s="51">
        <f>IFERROR(__xludf.DUMMYFUNCTION("""COMPUTED_VALUE"""),14.0)</f>
        <v>14</v>
      </c>
      <c r="L93" s="51">
        <f>IFERROR(__xludf.DUMMYFUNCTION("""COMPUTED_VALUE"""),2.0)</f>
        <v>2</v>
      </c>
      <c r="M93" s="51">
        <f>IFERROR(__xludf.DUMMYFUNCTION("""COMPUTED_VALUE"""),256.0)</f>
        <v>256</v>
      </c>
      <c r="N93" s="52">
        <f>IFERROR(__xludf.DUMMYFUNCTION("""COMPUTED_VALUE"""),23.0)</f>
        <v>23</v>
      </c>
    </row>
    <row r="94">
      <c r="A94" s="1"/>
      <c r="B94" s="53" t="str">
        <f>IFERROR(__xludf.DUMMYFUNCTION("""COMPUTED_VALUE"""),"Pavan Akkimsetty")</f>
        <v>Pavan Akkimsetty</v>
      </c>
      <c r="C94" s="54">
        <f>IFERROR(__xludf.DUMMYFUNCTION("""COMPUTED_VALUE"""),240.0)</f>
        <v>240</v>
      </c>
      <c r="D94" s="55">
        <f>IFERROR(__xludf.DUMMYFUNCTION("""COMPUTED_VALUE"""),21.0)</f>
        <v>21</v>
      </c>
      <c r="E94" s="54">
        <f>IFERROR(__xludf.DUMMYFUNCTION("""COMPUTED_VALUE"""),1.0)</f>
        <v>1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IFERROR(__xludf.DUMMYFUNCTION("""COMPUTED_VALUE"""),2.0)</f>
        <v>2</v>
      </c>
      <c r="J94" s="56">
        <f>IFERROR(__xludf.DUMMYFUNCTION("""COMPUTED_VALUE"""),7.0)</f>
        <v>7</v>
      </c>
      <c r="K94" s="56">
        <f>IFERROR(__xludf.DUMMYFUNCTION("""COMPUTED_VALUE"""),15.0)</f>
        <v>15</v>
      </c>
      <c r="L94" s="56">
        <f>IFERROR(__xludf.DUMMYFUNCTION("""COMPUTED_VALUE"""),2.0)</f>
        <v>2</v>
      </c>
      <c r="M94" s="56">
        <f>IFERROR(__xludf.DUMMYFUNCTION("""COMPUTED_VALUE"""),255.0)</f>
        <v>255</v>
      </c>
      <c r="N94" s="57">
        <f>IFERROR(__xludf.DUMMYFUNCTION("""COMPUTED_VALUE"""),23.0)</f>
        <v>23</v>
      </c>
    </row>
    <row r="95">
      <c r="A95" s="1"/>
      <c r="B95" s="53" t="str">
        <f>IFERROR(__xludf.DUMMYFUNCTION("""COMPUTED_VALUE"""),"Peter Homsey")</f>
        <v>Peter Homsey</v>
      </c>
      <c r="C95" s="54">
        <f>IFERROR(__xludf.DUMMYFUNCTION("""COMPUTED_VALUE"""),236.0)</f>
        <v>236</v>
      </c>
      <c r="D95" s="55">
        <f>IFERROR(__xludf.DUMMYFUNCTION("""COMPUTED_VALUE"""),21.0)</f>
        <v>21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IFERROR(__xludf.DUMMYFUNCTION("""COMPUTED_VALUE"""),2.0)</f>
        <v>2</v>
      </c>
      <c r="I95" s="56">
        <f>IFERROR(__xludf.DUMMYFUNCTION("""COMPUTED_VALUE"""),6.0)</f>
        <v>6</v>
      </c>
      <c r="J95" s="56">
        <f>IFERROR(__xludf.DUMMYFUNCTION("""COMPUTED_VALUE"""),7.0)</f>
        <v>7</v>
      </c>
      <c r="K95" s="56">
        <f>IFERROR(__xludf.DUMMYFUNCTION("""COMPUTED_VALUE"""),15.0)</f>
        <v>15</v>
      </c>
      <c r="L95" s="56">
        <f>IFERROR(__xludf.DUMMYFUNCTION("""COMPUTED_VALUE"""),2.0)</f>
        <v>2</v>
      </c>
      <c r="M95" s="56">
        <f>IFERROR(__xludf.DUMMYFUNCTION("""COMPUTED_VALUE"""),251.0)</f>
        <v>251</v>
      </c>
      <c r="N95" s="57">
        <f>IFERROR(__xludf.DUMMYFUNCTION("""COMPUTED_VALUE"""),23.0)</f>
        <v>23</v>
      </c>
    </row>
    <row r="96">
      <c r="A96" s="1"/>
      <c r="B96" s="53" t="str">
        <f>IFERROR(__xludf.DUMMYFUNCTION("""COMPUTED_VALUE"""),"Matthew Huang")</f>
        <v>Matthew Huang</v>
      </c>
      <c r="C96" s="54">
        <f>IFERROR(__xludf.DUMMYFUNCTION("""COMPUTED_VALUE"""),233.0)</f>
        <v>233</v>
      </c>
      <c r="D96" s="55">
        <f>IFERROR(__xludf.DUMMYFUNCTION("""COMPUTED_VALUE"""),17.0)</f>
        <v>17</v>
      </c>
      <c r="E96" s="54">
        <f>IFERROR(__xludf.DUMMYFUNCTION("""COMPUTED_VALUE"""),2.0)</f>
        <v>2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IFERROR(__xludf.DUMMYFUNCTION("""COMPUTED_VALUE"""),6.0)</f>
        <v>6</v>
      </c>
      <c r="I96" s="56">
        <f>IFERROR(__xludf.DUMMYFUNCTION("""COMPUTED_VALUE"""),6.0)</f>
        <v>6</v>
      </c>
      <c r="J96" s="56">
        <f>IFERROR(__xludf.DUMMYFUNCTION("""COMPUTED_VALUE"""),5.0)</f>
        <v>5</v>
      </c>
      <c r="K96" s="56">
        <f>IFERROR(__xludf.DUMMYFUNCTION("""COMPUTED_VALUE"""),17.0)</f>
        <v>17</v>
      </c>
      <c r="L96" s="56">
        <f>IFERROR(__xludf.DUMMYFUNCTION("""COMPUTED_VALUE"""),2.0)</f>
        <v>2</v>
      </c>
      <c r="M96" s="56">
        <f>IFERROR(__xludf.DUMMYFUNCTION("""COMPUTED_VALUE"""),250.0)</f>
        <v>250</v>
      </c>
      <c r="N96" s="57">
        <f>IFERROR(__xludf.DUMMYFUNCTION("""COMPUTED_VALUE"""),19.0)</f>
        <v>19</v>
      </c>
    </row>
    <row r="97">
      <c r="A97" s="1"/>
      <c r="B97" s="53" t="str">
        <f>IFERROR(__xludf.DUMMYFUNCTION("""COMPUTED_VALUE"""),"David Shin")</f>
        <v>David Shin</v>
      </c>
      <c r="C97" s="54">
        <f>IFERROR(__xludf.DUMMYFUNCTION("""COMPUTED_VALUE"""),232.0)</f>
        <v>232</v>
      </c>
      <c r="D97" s="55">
        <f>IFERROR(__xludf.DUMMYFUNCTION("""COMPUTED_VALUE"""),18.0)</f>
        <v>18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IFERROR(__xludf.DUMMYFUNCTION("""COMPUTED_VALUE"""),2.0)</f>
        <v>2</v>
      </c>
      <c r="I97" s="56">
        <f>IFERROR(__xludf.DUMMYFUNCTION("""COMPUTED_VALUE"""),2.0)</f>
        <v>2</v>
      </c>
      <c r="J97" s="56">
        <f>IFERROR(__xludf.DUMMYFUNCTION("""COMPUTED_VALUE"""),5.0)</f>
        <v>5</v>
      </c>
      <c r="K97" s="56">
        <f>IFERROR(__xludf.DUMMYFUNCTION("""COMPUTED_VALUE"""),9.0)</f>
        <v>9</v>
      </c>
      <c r="L97" s="56">
        <f>IFERROR(__xludf.DUMMYFUNCTION("""COMPUTED_VALUE"""),0.0)</f>
        <v>0</v>
      </c>
      <c r="M97" s="56">
        <f>IFERROR(__xludf.DUMMYFUNCTION("""COMPUTED_VALUE"""),241.0)</f>
        <v>241</v>
      </c>
      <c r="N97" s="57">
        <f>IFERROR(__xludf.DUMMYFUNCTION("""COMPUTED_VALUE"""),18.0)</f>
        <v>18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IFERROR(__xludf.DUMMYFUNCTION("""COMPUTED_VALUE"""),231.0)</f>
        <v>231</v>
      </c>
      <c r="D98" s="50">
        <f>IFERROR(__xludf.DUMMYFUNCTION("""COMPUTED_VALUE"""),16.0)</f>
        <v>16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IFERROR(__xludf.DUMMYFUNCTION("""COMPUTED_VALUE"""),1.0)</f>
        <v>1</v>
      </c>
      <c r="I98" s="51">
        <f>IFERROR(__xludf.DUMMYFUNCTION("""COMPUTED_VALUE"""),6.0)</f>
        <v>6</v>
      </c>
      <c r="J98" s="51">
        <f>IFERROR(__xludf.DUMMYFUNCTION("""COMPUTED_VALUE"""),6.0)</f>
        <v>6</v>
      </c>
      <c r="K98" s="51">
        <f>IFERROR(__xludf.DUMMYFUNCTION("""COMPUTED_VALUE"""),13.0)</f>
        <v>13</v>
      </c>
      <c r="L98" s="51">
        <f>IFERROR(__xludf.DUMMYFUNCTION("""COMPUTED_VALUE"""),2.0)</f>
        <v>2</v>
      </c>
      <c r="M98" s="51">
        <f>IFERROR(__xludf.DUMMYFUNCTION("""COMPUTED_VALUE"""),244.0)</f>
        <v>244</v>
      </c>
      <c r="N98" s="52">
        <f>IFERROR(__xludf.DUMMYFUNCTION("""COMPUTED_VALUE"""),18.0)</f>
        <v>18</v>
      </c>
    </row>
    <row r="99">
      <c r="A99" s="1"/>
      <c r="B99" s="48" t="str">
        <f>IFERROR(__xludf.DUMMYFUNCTION("""COMPUTED_VALUE"""),"Jonathan Phan")</f>
        <v>Jonathan Phan</v>
      </c>
      <c r="C99" s="49">
        <f>IFERROR(__xludf.DUMMYFUNCTION("""COMPUTED_VALUE"""),230.0)</f>
        <v>230</v>
      </c>
      <c r="D99" s="50">
        <f>IFERROR(__xludf.DUMMYFUNCTION("""COMPUTED_VALUE"""),17.0)</f>
        <v>17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IFERROR(__xludf.DUMMYFUNCTION("""COMPUTED_VALUE"""),6.0)</f>
        <v>6</v>
      </c>
      <c r="I99" s="51">
        <f>IFERROR(__xludf.DUMMYFUNCTION("""COMPUTED_VALUE"""),2.0)</f>
        <v>2</v>
      </c>
      <c r="J99" s="51">
        <f>IFERROR(__xludf.DUMMYFUNCTION("""COMPUTED_VALUE"""),6.0)</f>
        <v>6</v>
      </c>
      <c r="K99" s="51">
        <f>IFERROR(__xludf.DUMMYFUNCTION("""COMPUTED_VALUE"""),14.0)</f>
        <v>14</v>
      </c>
      <c r="L99" s="51">
        <f>IFERROR(__xludf.DUMMYFUNCTION("""COMPUTED_VALUE"""),2.0)</f>
        <v>2</v>
      </c>
      <c r="M99" s="51">
        <f>IFERROR(__xludf.DUMMYFUNCTION("""COMPUTED_VALUE"""),244.0)</f>
        <v>244</v>
      </c>
      <c r="N99" s="52">
        <f>IFERROR(__xludf.DUMMYFUNCTION("""COMPUTED_VALUE"""),19.0)</f>
        <v>19</v>
      </c>
    </row>
    <row r="100">
      <c r="A100" s="1"/>
      <c r="B100" s="48" t="str">
        <f>IFERROR(__xludf.DUMMYFUNCTION("""COMPUTED_VALUE"""),"Tony Wong")</f>
        <v>Tony Wong</v>
      </c>
      <c r="C100" s="49">
        <f>IFERROR(__xludf.DUMMYFUNCTION("""COMPUTED_VALUE"""),230.0)</f>
        <v>230</v>
      </c>
      <c r="D100" s="50">
        <f>IFERROR(__xludf.DUMMYFUNCTION("""COMPUTED_VALUE"""),16.0)</f>
        <v>16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IFERROR(__xludf.DUMMYFUNCTION("""COMPUTED_VALUE"""),1.0)</f>
        <v>1</v>
      </c>
      <c r="I100" s="51">
        <f>IFERROR(__xludf.DUMMYFUNCTION("""COMPUTED_VALUE"""),2.0)</f>
        <v>2</v>
      </c>
      <c r="J100" s="51">
        <f>IFERROR(__xludf.DUMMYFUNCTION("""COMPUTED_VALUE"""),4.0)</f>
        <v>4</v>
      </c>
      <c r="K100" s="51">
        <f>IFERROR(__xludf.DUMMYFUNCTION("""COMPUTED_VALUE"""),7.0)</f>
        <v>7</v>
      </c>
      <c r="L100" s="51">
        <f>IFERROR(__xludf.DUMMYFUNCTION("""COMPUTED_VALUE"""),0.0)</f>
        <v>0</v>
      </c>
      <c r="M100" s="51">
        <f>IFERROR(__xludf.DUMMYFUNCTION("""COMPUTED_VALUE"""),237.0)</f>
        <v>237</v>
      </c>
      <c r="N100" s="52">
        <f>IFERROR(__xludf.DUMMYFUNCTION("""COMPUTED_VALUE"""),16.0)</f>
        <v>16</v>
      </c>
    </row>
    <row r="101">
      <c r="A101" s="1"/>
      <c r="B101" s="48" t="str">
        <f>IFERROR(__xludf.DUMMYFUNCTION("""COMPUTED_VALUE"""),"Oscar Bonilla")</f>
        <v>Oscar Bonilla</v>
      </c>
      <c r="C101" s="49">
        <f>IFERROR(__xludf.DUMMYFUNCTION("""COMPUTED_VALUE"""),229.0)</f>
        <v>229</v>
      </c>
      <c r="D101" s="50">
        <f>IFERROR(__xludf.DUMMYFUNCTION("""COMPUTED_VALUE"""),19.0)</f>
        <v>19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IFERROR(__xludf.DUMMYFUNCTION("""COMPUTED_VALUE"""),6.0)</f>
        <v>6</v>
      </c>
      <c r="I101" s="51">
        <f>IFERROR(__xludf.DUMMYFUNCTION("""COMPUTED_VALUE"""),6.0)</f>
        <v>6</v>
      </c>
      <c r="J101" s="51">
        <f>IFERROR(__xludf.DUMMYFUNCTION("""COMPUTED_VALUE"""),4.0)</f>
        <v>4</v>
      </c>
      <c r="K101" s="51">
        <f>IFERROR(__xludf.DUMMYFUNCTION("""COMPUTED_VALUE"""),16.0)</f>
        <v>16</v>
      </c>
      <c r="L101" s="51">
        <f>IFERROR(__xludf.DUMMYFUNCTION("""COMPUTED_VALUE"""),2.0)</f>
        <v>2</v>
      </c>
      <c r="M101" s="51">
        <f>IFERROR(__xludf.DUMMYFUNCTION("""COMPUTED_VALUE"""),245.0)</f>
        <v>245</v>
      </c>
      <c r="N101" s="52">
        <f>IFERROR(__xludf.DUMMYFUNCTION("""COMPUTED_VALUE"""),21.0)</f>
        <v>21</v>
      </c>
    </row>
    <row r="102">
      <c r="A102" s="1"/>
      <c r="B102" s="53" t="str">
        <f>IFERROR(__xludf.DUMMYFUNCTION("""COMPUTED_VALUE"""),"Ted Shen")</f>
        <v>Ted Shen</v>
      </c>
      <c r="C102" s="54">
        <f>IFERROR(__xludf.DUMMYFUNCTION("""COMPUTED_VALUE"""),229.0)</f>
        <v>229</v>
      </c>
      <c r="D102" s="55">
        <f>IFERROR(__xludf.DUMMYFUNCTION("""COMPUTED_VALUE"""),19.0)</f>
        <v>19</v>
      </c>
      <c r="E102" s="54">
        <f>IFERROR(__xludf.DUMMYFUNCTION("""COMPUTED_VALUE"""),1.0)</f>
        <v>1</v>
      </c>
      <c r="F102" s="56">
        <f>IFERROR(__xludf.DUMMYFUNCTION("""COMPUTED_VALUE"""),5.0)</f>
        <v>5</v>
      </c>
      <c r="G102" s="56">
        <f>IFERROR(__xludf.DUMMYFUNCTION("""COMPUTED_VALUE"""),0.0)</f>
        <v>0</v>
      </c>
      <c r="H102" s="56">
        <f>IFERROR(__xludf.DUMMYFUNCTION("""COMPUTED_VALUE"""),6.0)</f>
        <v>6</v>
      </c>
      <c r="I102" s="56">
        <f>IFERROR(__xludf.DUMMYFUNCTION("""COMPUTED_VALUE"""),1.0)</f>
        <v>1</v>
      </c>
      <c r="J102" s="56">
        <f>IFERROR(__xludf.DUMMYFUNCTION("""COMPUTED_VALUE"""),6.0)</f>
        <v>6</v>
      </c>
      <c r="K102" s="56">
        <f>IFERROR(__xludf.DUMMYFUNCTION("""COMPUTED_VALUE"""),13.0)</f>
        <v>13</v>
      </c>
      <c r="L102" s="56">
        <f>IFERROR(__xludf.DUMMYFUNCTION("""COMPUTED_VALUE"""),2.0)</f>
        <v>2</v>
      </c>
      <c r="M102" s="56">
        <f>IFERROR(__xludf.DUMMYFUNCTION("""COMPUTED_VALUE"""),242.0)</f>
        <v>242</v>
      </c>
      <c r="N102" s="57">
        <f>IFERROR(__xludf.DUMMYFUNCTION("""COMPUTED_VALUE"""),21.0)</f>
        <v>21</v>
      </c>
    </row>
    <row r="103">
      <c r="A103" s="1"/>
      <c r="B103" s="53" t="str">
        <f>IFERROR(__xludf.DUMMYFUNCTION("""COMPUTED_VALUE"""),"Joe Luzzi")</f>
        <v>Joe Luzzi</v>
      </c>
      <c r="C103" s="54">
        <f>IFERROR(__xludf.DUMMYFUNCTION("""COMPUTED_VALUE"""),228.0)</f>
        <v>228</v>
      </c>
      <c r="D103" s="55">
        <f>IFERROR(__xludf.DUMMYFUNCTION("""COMPUTED_VALUE"""),20.0)</f>
        <v>20</v>
      </c>
      <c r="E103" s="54">
        <f>IFERROR(__xludf.DUMMYFUNCTION("""COMPUTED_VALUE"""),1.0)</f>
        <v>1</v>
      </c>
      <c r="F103" s="56">
        <f>IFERROR(__xludf.DUMMYFUNCTION("""COMPUTED_VALUE"""),5.0)</f>
        <v>5</v>
      </c>
      <c r="G103" s="56">
        <f>IFERROR(__xludf.DUMMYFUNCTION("""COMPUTED_VALUE"""),0.0)</f>
        <v>0</v>
      </c>
      <c r="H103" s="56">
        <f>IFERROR(__xludf.DUMMYFUNCTION("""COMPUTED_VALUE"""),2.0)</f>
        <v>2</v>
      </c>
      <c r="I103" s="56">
        <f>IFERROR(__xludf.DUMMYFUNCTION("""COMPUTED_VALUE"""),1.0)</f>
        <v>1</v>
      </c>
      <c r="J103" s="56">
        <f>IFERROR(__xludf.DUMMYFUNCTION("""COMPUTED_VALUE"""),4.0)</f>
        <v>4</v>
      </c>
      <c r="K103" s="56">
        <f>IFERROR(__xludf.DUMMYFUNCTION("""COMPUTED_VALUE"""),7.0)</f>
        <v>7</v>
      </c>
      <c r="L103" s="56">
        <f>IFERROR(__xludf.DUMMYFUNCTION("""COMPUTED_VALUE"""),0.0)</f>
        <v>0</v>
      </c>
      <c r="M103" s="56">
        <f>IFERROR(__xludf.DUMMYFUNCTION("""COMPUTED_VALUE"""),235.0)</f>
        <v>235</v>
      </c>
      <c r="N103" s="57">
        <f>IFERROR(__xludf.DUMMYFUNCTION("""COMPUTED_VALUE"""),20.0)</f>
        <v>20</v>
      </c>
    </row>
    <row r="104">
      <c r="A104" s="1"/>
      <c r="B104" s="53" t="str">
        <f>IFERROR(__xludf.DUMMYFUNCTION("""COMPUTED_VALUE"""),"Trinath Goteti")</f>
        <v>Trinath Goteti</v>
      </c>
      <c r="C104" s="54">
        <f>IFERROR(__xludf.DUMMYFUNCTION("""COMPUTED_VALUE"""),223.0)</f>
        <v>223</v>
      </c>
      <c r="D104" s="55">
        <f>IFERROR(__xludf.DUMMYFUNCTION("""COMPUTED_VALUE"""),14.0)</f>
        <v>14</v>
      </c>
      <c r="E104" s="54">
        <f>IFERROR(__xludf.DUMMYFUNCTION("""COMPUTED_VALUE"""),2.0)</f>
        <v>2</v>
      </c>
      <c r="F104" s="56">
        <f>IFERROR(__xludf.DUMMYFUNCTION("""COMPUTED_VALUE"""),5.0)</f>
        <v>5</v>
      </c>
      <c r="G104" s="56">
        <f>IFERROR(__xludf.DUMMYFUNCTION("""COMPUTED_VALUE"""),0.0)</f>
        <v>0</v>
      </c>
      <c r="H104" s="56">
        <f>IFERROR(__xludf.DUMMYFUNCTION("""COMPUTED_VALUE"""),2.0)</f>
        <v>2</v>
      </c>
      <c r="I104" s="56">
        <f>IFERROR(__xludf.DUMMYFUNCTION("""COMPUTED_VALUE"""),6.0)</f>
        <v>6</v>
      </c>
      <c r="J104" s="56">
        <f>IFERROR(__xludf.DUMMYFUNCTION("""COMPUTED_VALUE"""),6.0)</f>
        <v>6</v>
      </c>
      <c r="K104" s="56">
        <f>IFERROR(__xludf.DUMMYFUNCTION("""COMPUTED_VALUE"""),14.0)</f>
        <v>14</v>
      </c>
      <c r="L104" s="56">
        <f>IFERROR(__xludf.DUMMYFUNCTION("""COMPUTED_VALUE"""),2.0)</f>
        <v>2</v>
      </c>
      <c r="M104" s="56">
        <f>IFERROR(__xludf.DUMMYFUNCTION("""COMPUTED_VALUE"""),237.0)</f>
        <v>237</v>
      </c>
      <c r="N104" s="57">
        <f>IFERROR(__xludf.DUMMYFUNCTION("""COMPUTED_VALUE"""),16.0)</f>
        <v>16</v>
      </c>
    </row>
    <row r="105">
      <c r="A105" s="1"/>
      <c r="B105" s="53" t="str">
        <f>IFERROR(__xludf.DUMMYFUNCTION("""COMPUTED_VALUE"""),"Kingsley Kuo")</f>
        <v>Kingsley Kuo</v>
      </c>
      <c r="C105" s="54">
        <f>IFERROR(__xludf.DUMMYFUNCTION("""COMPUTED_VALUE"""),216.0)</f>
        <v>216</v>
      </c>
      <c r="D105" s="55">
        <f>IFERROR(__xludf.DUMMYFUNCTION("""COMPUTED_VALUE"""),13.0)</f>
        <v>13</v>
      </c>
      <c r="E105" s="54">
        <f>IFERROR(__xludf.DUMMYFUNCTION("""COMPUTED_VALUE"""),1.0)</f>
        <v>1</v>
      </c>
      <c r="F105" s="56">
        <f>IFERROR(__xludf.DUMMYFUNCTION("""COMPUTED_VALUE"""),5.0)</f>
        <v>5</v>
      </c>
      <c r="G105" s="56">
        <f>IFERROR(__xludf.DUMMYFUNCTION("""COMPUTED_VALUE"""),0.0)</f>
        <v>0</v>
      </c>
      <c r="H105" s="56">
        <f>IFERROR(__xludf.DUMMYFUNCTION("""COMPUTED_VALUE"""),6.0)</f>
        <v>6</v>
      </c>
      <c r="I105" s="56">
        <f>IFERROR(__xludf.DUMMYFUNCTION("""COMPUTED_VALUE"""),6.0)</f>
        <v>6</v>
      </c>
      <c r="J105" s="56">
        <f>IFERROR(__xludf.DUMMYFUNCTION("""COMPUTED_VALUE"""),4.0)</f>
        <v>4</v>
      </c>
      <c r="K105" s="56">
        <f>IFERROR(__xludf.DUMMYFUNCTION("""COMPUTED_VALUE"""),16.0)</f>
        <v>16</v>
      </c>
      <c r="L105" s="56">
        <f>IFERROR(__xludf.DUMMYFUNCTION("""COMPUTED_VALUE"""),2.0)</f>
        <v>2</v>
      </c>
      <c r="M105" s="56">
        <f>IFERROR(__xludf.DUMMYFUNCTION("""COMPUTED_VALUE"""),232.0)</f>
        <v>232</v>
      </c>
      <c r="N105" s="57">
        <f>IFERROR(__xludf.DUMMYFUNCTION("""COMPUTED_VALUE"""),15.0)</f>
        <v>15</v>
      </c>
    </row>
    <row r="106">
      <c r="A106" s="1"/>
      <c r="B106" s="48" t="str">
        <f>IFERROR(__xludf.DUMMYFUNCTION("""COMPUTED_VALUE"""),"Mauricio Palacios")</f>
        <v>Mauricio Palacios</v>
      </c>
      <c r="C106" s="49">
        <f>IFERROR(__xludf.DUMMYFUNCTION("""COMPUTED_VALUE"""),205.0)</f>
        <v>205</v>
      </c>
      <c r="D106" s="50">
        <f>IFERROR(__xludf.DUMMYFUNCTION("""COMPUTED_VALUE"""),19.0)</f>
        <v>19</v>
      </c>
      <c r="E106" s="49">
        <f>IFERROR(__xludf.DUMMYFUNCTION("""COMPUTED_VALUE"""),2.0)</f>
        <v>2</v>
      </c>
      <c r="F106" s="51">
        <f>IFERROR(__xludf.DUMMYFUNCTION("""COMPUTED_VALUE"""),6.0)</f>
        <v>6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IFERROR(__xludf.DUMMYFUNCTION("""COMPUTED_VALUE"""),1.0)</f>
        <v>1</v>
      </c>
      <c r="J106" s="51">
        <f>IFERROR(__xludf.DUMMYFUNCTION("""COMPUTED_VALUE"""),0.0)</f>
        <v>0</v>
      </c>
      <c r="K106" s="51">
        <f>IFERROR(__xludf.DUMMYFUNCTION("""COMPUTED_VALUE"""),7.0)</f>
        <v>7</v>
      </c>
      <c r="L106" s="51">
        <f>IFERROR(__xludf.DUMMYFUNCTION("""COMPUTED_VALUE"""),1.0)</f>
        <v>1</v>
      </c>
      <c r="M106" s="51">
        <f>IFERROR(__xludf.DUMMYFUNCTION("""COMPUTED_VALUE"""),212.0)</f>
        <v>212</v>
      </c>
      <c r="N106" s="52">
        <f>IFERROR(__xludf.DUMMYFUNCTION("""COMPUTED_VALUE"""),20.0)</f>
        <v>20</v>
      </c>
    </row>
    <row r="107">
      <c r="A107" s="1"/>
      <c r="B107" s="48" t="str">
        <f>IFERROR(__xludf.DUMMYFUNCTION("""COMPUTED_VALUE"""),"Sandy Weyant")</f>
        <v>Sandy Weyant</v>
      </c>
      <c r="C107" s="49">
        <f>IFERROR(__xludf.DUMMYFUNCTION("""COMPUTED_VALUE"""),202.0)</f>
        <v>202</v>
      </c>
      <c r="D107" s="50">
        <f>IFERROR(__xludf.DUMMYFUNCTION("""COMPUTED_VALUE"""),11.0)</f>
        <v>11</v>
      </c>
      <c r="E107" s="49">
        <f>IFERROR(__xludf.DUMMYFUNCTION("""COMPUTED_VALUE"""),1.0)</f>
        <v>1</v>
      </c>
      <c r="F107" s="51">
        <f>IFERROR(__xludf.DUMMYFUNCTION("""COMPUTED_VALUE"""),6.0)</f>
        <v>6</v>
      </c>
      <c r="G107" s="51">
        <f>IFERROR(__xludf.DUMMYFUNCTION("""COMPUTED_VALUE"""),0.0)</f>
        <v>0</v>
      </c>
      <c r="H107" s="51">
        <f>IFERROR(__xludf.DUMMYFUNCTION("""COMPUTED_VALUE"""),1.0)</f>
        <v>1</v>
      </c>
      <c r="I107" s="51">
        <f>IFERROR(__xludf.DUMMYFUNCTION("""COMPUTED_VALUE"""),1.0)</f>
        <v>1</v>
      </c>
      <c r="J107" s="51">
        <f>IFERROR(__xludf.DUMMYFUNCTION("""COMPUTED_VALUE"""),6.0)</f>
        <v>6</v>
      </c>
      <c r="K107" s="51">
        <f>IFERROR(__xludf.DUMMYFUNCTION("""COMPUTED_VALUE"""),8.0)</f>
        <v>8</v>
      </c>
      <c r="L107" s="51">
        <f>IFERROR(__xludf.DUMMYFUNCTION("""COMPUTED_VALUE"""),1.0)</f>
        <v>1</v>
      </c>
      <c r="M107" s="51">
        <f>IFERROR(__xludf.DUMMYFUNCTION("""COMPUTED_VALUE"""),210.0)</f>
        <v>210</v>
      </c>
      <c r="N107" s="52">
        <f>IFERROR(__xludf.DUMMYFUNCTION("""COMPUTED_VALUE"""),12.0)</f>
        <v>12</v>
      </c>
    </row>
    <row r="108">
      <c r="A108" s="1"/>
      <c r="B108" s="48" t="str">
        <f>IFERROR(__xludf.DUMMYFUNCTION("""COMPUTED_VALUE"""),"Christopher Li")</f>
        <v>Christopher Li</v>
      </c>
      <c r="C108" s="49">
        <f>IFERROR(__xludf.DUMMYFUNCTION("""COMPUTED_VALUE"""),198.0)</f>
        <v>198</v>
      </c>
      <c r="D108" s="50">
        <f>IFERROR(__xludf.DUMMYFUNCTION("""COMPUTED_VALUE"""),8.0)</f>
        <v>8</v>
      </c>
      <c r="E108" s="49">
        <f>IFERROR(__xludf.DUMMYFUNCTION("""COMPUTED_VALUE"""),1.0)</f>
        <v>1</v>
      </c>
      <c r="F108" s="51">
        <f>IFERROR(__xludf.DUMMYFUNCTION("""COMPUTED_VALUE"""),6.0)</f>
        <v>6</v>
      </c>
      <c r="G108" s="51">
        <f>IFERROR(__xludf.DUMMYFUNCTION("""COMPUTED_VALUE"""),0.0)</f>
        <v>0</v>
      </c>
      <c r="H108" s="51">
        <f>IFERROR(__xludf.DUMMYFUNCTION("""COMPUTED_VALUE"""),6.0)</f>
        <v>6</v>
      </c>
      <c r="I108" s="51">
        <f>IFERROR(__xludf.DUMMYFUNCTION("""COMPUTED_VALUE"""),6.0)</f>
        <v>6</v>
      </c>
      <c r="J108" s="51">
        <f>IFERROR(__xludf.DUMMYFUNCTION("""COMPUTED_VALUE"""),6.0)</f>
        <v>6</v>
      </c>
      <c r="K108" s="51">
        <f>IFERROR(__xludf.DUMMYFUNCTION("""COMPUTED_VALUE"""),18.0)</f>
        <v>18</v>
      </c>
      <c r="L108" s="51">
        <f>IFERROR(__xludf.DUMMYFUNCTION("""COMPUTED_VALUE"""),3.0)</f>
        <v>3</v>
      </c>
      <c r="M108" s="51">
        <f>IFERROR(__xludf.DUMMYFUNCTION("""COMPUTED_VALUE"""),216.0)</f>
        <v>216</v>
      </c>
      <c r="N108" s="52">
        <f>IFERROR(__xludf.DUMMYFUNCTION("""COMPUTED_VALUE"""),11.0)</f>
        <v>11</v>
      </c>
    </row>
    <row r="109">
      <c r="A109" s="1"/>
      <c r="B109" s="48" t="str">
        <f>IFERROR(__xludf.DUMMYFUNCTION("""COMPUTED_VALUE"""),"Vamsi Lolla ")</f>
        <v>Vamsi Lolla </v>
      </c>
      <c r="C109" s="49">
        <f>IFERROR(__xludf.DUMMYFUNCTION("""COMPUTED_VALUE"""),194.0)</f>
        <v>194</v>
      </c>
      <c r="D109" s="50">
        <f>IFERROR(__xludf.DUMMYFUNCTION("""COMPUTED_VALUE"""),9.0)</f>
        <v>9</v>
      </c>
      <c r="E109" s="49">
        <f>IFERROR(__xludf.DUMMYFUNCTION("""COMPUTED_VALUE"""),1.0)</f>
        <v>1</v>
      </c>
      <c r="F109" s="51">
        <f>IFERROR(__xludf.DUMMYFUNCTION("""COMPUTED_VALUE"""),6.0)</f>
        <v>6</v>
      </c>
      <c r="G109" s="51">
        <f>IFERROR(__xludf.DUMMYFUNCTION("""COMPUTED_VALUE"""),0.0)</f>
        <v>0</v>
      </c>
      <c r="H109" s="51">
        <f>IFERROR(__xludf.DUMMYFUNCTION("""COMPUTED_VALUE"""),1.0)</f>
        <v>1</v>
      </c>
      <c r="I109" s="51">
        <f>IFERROR(__xludf.DUMMYFUNCTION("""COMPUTED_VALUE"""),6.0)</f>
        <v>6</v>
      </c>
      <c r="J109" s="51">
        <f>IFERROR(__xludf.DUMMYFUNCTION("""COMPUTED_VALUE"""),0.0)</f>
        <v>0</v>
      </c>
      <c r="K109" s="51">
        <f>IFERROR(__xludf.DUMMYFUNCTION("""COMPUTED_VALUE"""),7.0)</f>
        <v>7</v>
      </c>
      <c r="L109" s="51">
        <f>IFERROR(__xludf.DUMMYFUNCTION("""COMPUTED_VALUE"""),1.0)</f>
        <v>1</v>
      </c>
      <c r="M109" s="51">
        <f>IFERROR(__xludf.DUMMYFUNCTION("""COMPUTED_VALUE"""),201.0)</f>
        <v>201</v>
      </c>
      <c r="N109" s="52">
        <f>IFERROR(__xludf.DUMMYFUNCTION("""COMPUTED_VALUE"""),10.0)</f>
        <v>10</v>
      </c>
    </row>
    <row r="110">
      <c r="A110" s="1"/>
      <c r="B110" s="53" t="str">
        <f>IFERROR(__xludf.DUMMYFUNCTION("""COMPUTED_VALUE"""),"Elayaraja Thangaraj ")</f>
        <v>Elayaraja Thangaraj </v>
      </c>
      <c r="C110" s="54">
        <f>IFERROR(__xludf.DUMMYFUNCTION("""COMPUTED_VALUE"""),184.0)</f>
        <v>184</v>
      </c>
      <c r="D110" s="55">
        <f>IFERROR(__xludf.DUMMYFUNCTION("""COMPUTED_VALUE"""),12.0)</f>
        <v>12</v>
      </c>
      <c r="E110" s="54">
        <f>IFERROR(__xludf.DUMMYFUNCTION("""COMPUTED_VALUE"""),1.0)</f>
        <v>1</v>
      </c>
      <c r="F110" s="56">
        <f>IFERROR(__xludf.DUMMYFUNCTION("""COMPUTED_VALUE"""),7.0)</f>
        <v>7</v>
      </c>
      <c r="G110" s="56">
        <f>IFERROR(__xludf.DUMMYFUNCTION("""COMPUTED_VALUE"""),0.0)</f>
        <v>0</v>
      </c>
      <c r="H110" s="56">
        <f>IFERROR(__xludf.DUMMYFUNCTION("""COMPUTED_VALUE"""),7.0)</f>
        <v>7</v>
      </c>
      <c r="I110" s="56">
        <f>IFERROR(__xludf.DUMMYFUNCTION("""COMPUTED_VALUE"""),1.0)</f>
        <v>1</v>
      </c>
      <c r="J110" s="56">
        <f>IFERROR(__xludf.DUMMYFUNCTION("""COMPUTED_VALUE"""),0.0)</f>
        <v>0</v>
      </c>
      <c r="K110" s="56">
        <f>IFERROR(__xludf.DUMMYFUNCTION("""COMPUTED_VALUE"""),8.0)</f>
        <v>8</v>
      </c>
      <c r="L110" s="56">
        <f>IFERROR(__xludf.DUMMYFUNCTION("""COMPUTED_VALUE"""),1.0)</f>
        <v>1</v>
      </c>
      <c r="M110" s="56">
        <f>IFERROR(__xludf.DUMMYFUNCTION("""COMPUTED_VALUE"""),192.0)</f>
        <v>192</v>
      </c>
      <c r="N110" s="57">
        <f>IFERROR(__xludf.DUMMYFUNCTION("""COMPUTED_VALUE"""),13.0)</f>
        <v>13</v>
      </c>
    </row>
    <row r="111">
      <c r="A111" s="1"/>
      <c r="B111" s="53" t="str">
        <f>IFERROR(__xludf.DUMMYFUNCTION("""COMPUTED_VALUE"""),"Balaji Alahari")</f>
        <v>Balaji Alahari</v>
      </c>
      <c r="C111" s="54">
        <f>IFERROR(__xludf.DUMMYFUNCTION("""COMPUTED_VALUE"""),183.0)</f>
        <v>183</v>
      </c>
      <c r="D111" s="55">
        <f>IFERROR(__xludf.DUMMYFUNCTION("""COMPUTED_VALUE"""),4.0)</f>
        <v>4</v>
      </c>
      <c r="E111" s="54">
        <f>IFERROR(__xludf.DUMMYFUNCTION("""COMPUTED_VALUE"""),1.0)</f>
        <v>1</v>
      </c>
      <c r="F111" s="56">
        <f>IFERROR(__xludf.DUMMYFUNCTION("""COMPUTED_VALUE"""),7.0)</f>
        <v>7</v>
      </c>
      <c r="G111" s="56">
        <f>IFERROR(__xludf.DUMMYFUNCTION("""COMPUTED_VALUE"""),0.0)</f>
        <v>0</v>
      </c>
      <c r="H111" s="56">
        <f>IFERROR(__xludf.DUMMYFUNCTION("""COMPUTED_VALUE"""),5.0)</f>
        <v>5</v>
      </c>
      <c r="I111" s="56">
        <f>IFERROR(__xludf.DUMMYFUNCTION("""COMPUTED_VALUE"""),1.0)</f>
        <v>1</v>
      </c>
      <c r="J111" s="56">
        <f>IFERROR(__xludf.DUMMYFUNCTION("""COMPUTED_VALUE"""),6.0)</f>
        <v>6</v>
      </c>
      <c r="K111" s="56">
        <f>IFERROR(__xludf.DUMMYFUNCTION("""COMPUTED_VALUE"""),12.0)</f>
        <v>12</v>
      </c>
      <c r="L111" s="56">
        <f>IFERROR(__xludf.DUMMYFUNCTION("""COMPUTED_VALUE"""),1.0)</f>
        <v>1</v>
      </c>
      <c r="M111" s="56">
        <f>IFERROR(__xludf.DUMMYFUNCTION("""COMPUTED_VALUE"""),195.0)</f>
        <v>195</v>
      </c>
      <c r="N111" s="57">
        <f>IFERROR(__xludf.DUMMYFUNCTION("""COMPUTED_VALUE"""),5.0)</f>
        <v>5</v>
      </c>
    </row>
    <row r="112">
      <c r="A112" s="1"/>
      <c r="B112" s="53" t="str">
        <f>IFERROR(__xludf.DUMMYFUNCTION("""COMPUTED_VALUE"""),"Suleman Alidina")</f>
        <v>Suleman Alidina</v>
      </c>
      <c r="C112" s="54">
        <f>IFERROR(__xludf.DUMMYFUNCTION("""COMPUTED_VALUE"""),178.0)</f>
        <v>178</v>
      </c>
      <c r="D112" s="55">
        <f>IFERROR(__xludf.DUMMYFUNCTION("""COMPUTED_VALUE"""),4.0)</f>
        <v>4</v>
      </c>
      <c r="E112" s="54">
        <f>IFERROR(__xludf.DUMMYFUNCTION("""COMPUTED_VALUE"""),2.0)</f>
        <v>2</v>
      </c>
      <c r="F112" s="56">
        <f>IFERROR(__xludf.DUMMYFUNCTION("""COMPUTED_VALUE"""),7.0)</f>
        <v>7</v>
      </c>
      <c r="G112" s="56">
        <f>IFERROR(__xludf.DUMMYFUNCTION("""COMPUTED_VALUE"""),0.0)</f>
        <v>0</v>
      </c>
      <c r="H112" s="56">
        <f>IFERROR(__xludf.DUMMYFUNCTION("""COMPUTED_VALUE"""),7.0)</f>
        <v>7</v>
      </c>
      <c r="I112" s="56">
        <f>IFERROR(__xludf.DUMMYFUNCTION("""COMPUTED_VALUE"""),6.0)</f>
        <v>6</v>
      </c>
      <c r="J112" s="56">
        <f>IFERROR(__xludf.DUMMYFUNCTION("""COMPUTED_VALUE"""),6.0)</f>
        <v>6</v>
      </c>
      <c r="K112" s="56">
        <f>IFERROR(__xludf.DUMMYFUNCTION("""COMPUTED_VALUE"""),19.0)</f>
        <v>19</v>
      </c>
      <c r="L112" s="56">
        <f>IFERROR(__xludf.DUMMYFUNCTION("""COMPUTED_VALUE"""),3.0)</f>
        <v>3</v>
      </c>
      <c r="M112" s="56">
        <f>IFERROR(__xludf.DUMMYFUNCTION("""COMPUTED_VALUE"""),197.0)</f>
        <v>197</v>
      </c>
      <c r="N112" s="57">
        <f>IFERROR(__xludf.DUMMYFUNCTION("""COMPUTED_VALUE"""),7.0)</f>
        <v>7</v>
      </c>
    </row>
    <row r="113">
      <c r="A113" s="1"/>
      <c r="B113" s="53" t="str">
        <f>IFERROR(__xludf.DUMMYFUNCTION("""COMPUTED_VALUE"""),"Kevin Wang")</f>
        <v>Kevin Wang</v>
      </c>
      <c r="C113" s="54">
        <f>IFERROR(__xludf.DUMMYFUNCTION("""COMPUTED_VALUE"""),171.0)</f>
        <v>171</v>
      </c>
      <c r="D113" s="55">
        <f>IFERROR(__xludf.DUMMYFUNCTION("""COMPUTED_VALUE"""),12.0)</f>
        <v>12</v>
      </c>
      <c r="E113" s="54">
        <f>IFERROR(__xludf.DUMMYFUNCTION("""COMPUTED_VALUE"""),1.0)</f>
        <v>1</v>
      </c>
      <c r="F113" s="56">
        <f>IFERROR(__xludf.DUMMYFUNCTION("""COMPUTED_VALUE"""),7.0)</f>
        <v>7</v>
      </c>
      <c r="G113" s="56">
        <f>IFERROR(__xludf.DUMMYFUNCTION("""COMPUTED_VALUE"""),0.0)</f>
        <v>0</v>
      </c>
      <c r="H113" s="56">
        <f>IFERROR(__xludf.DUMMYFUNCTION("""COMPUTED_VALUE"""),5.0)</f>
        <v>5</v>
      </c>
      <c r="I113" s="56">
        <f>IFERROR(__xludf.DUMMYFUNCTION("""COMPUTED_VALUE"""),6.0)</f>
        <v>6</v>
      </c>
      <c r="J113" s="56">
        <f>IFERROR(__xludf.DUMMYFUNCTION("""COMPUTED_VALUE"""),0.0)</f>
        <v>0</v>
      </c>
      <c r="K113" s="56">
        <f>IFERROR(__xludf.DUMMYFUNCTION("""COMPUTED_VALUE"""),11.0)</f>
        <v>11</v>
      </c>
      <c r="L113" s="56">
        <f>IFERROR(__xludf.DUMMYFUNCTION("""COMPUTED_VALUE"""),1.0)</f>
        <v>1</v>
      </c>
      <c r="M113" s="56">
        <f>IFERROR(__xludf.DUMMYFUNCTION("""COMPUTED_VALUE"""),182.0)</f>
        <v>182</v>
      </c>
      <c r="N113" s="57">
        <f>IFERROR(__xludf.DUMMYFUNCTION("""COMPUTED_VALUE"""),13.0)</f>
        <v>13</v>
      </c>
    </row>
    <row r="114">
      <c r="A114" s="1"/>
      <c r="B114" s="48"/>
      <c r="C114" s="60"/>
      <c r="D114" s="60"/>
      <c r="E114" s="60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1"/>
      <c r="B115" s="48"/>
      <c r="C115" s="60"/>
      <c r="D115" s="60"/>
      <c r="E115" s="60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1"/>
      <c r="B116" s="48"/>
      <c r="C116" s="60"/>
      <c r="D116" s="60"/>
      <c r="E116" s="60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1"/>
      <c r="B117" s="48"/>
      <c r="C117" s="60"/>
      <c r="D117" s="60"/>
      <c r="E117" s="60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0"")"),"Robert Chang")</f>
        <v>Robert Chang</v>
      </c>
      <c r="C134" s="49">
        <f>IFERROR(__xludf.DUMMYFUNCTION("""COMPUTED_VALUE"""),249.0)</f>
        <v>249</v>
      </c>
      <c r="D134" s="50">
        <f>IFERROR(__xludf.DUMMYFUNCTION("""COMPUTED_VALUE"""),24.0)</f>
        <v>24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IFERROR(__xludf.DUMMYFUNCTION("""COMPUTED_VALUE"""),258.0)</f>
        <v>258</v>
      </c>
      <c r="N134" s="52">
        <f>IFERROR(__xludf.DUMMYFUNCTION("""COMPUTED_VALUE"""),24.0)</f>
        <v>24</v>
      </c>
    </row>
    <row r="135">
      <c r="A135" s="1"/>
      <c r="B135" s="48" t="str">
        <f>IFERROR(__xludf.DUMMYFUNCTION("""COMPUTED_VALUE"""),"Pulkit Mathur")</f>
        <v>Pulkit Mathur</v>
      </c>
      <c r="C135" s="49">
        <f>IFERROR(__xludf.DUMMYFUNCTION("""COMPUTED_VALUE"""),247.0)</f>
        <v>247</v>
      </c>
      <c r="D135" s="50">
        <f>IFERROR(__xludf.DUMMYFUNCTION("""COMPUTED_VALUE"""),23.0)</f>
        <v>23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IFERROR(__xludf.DUMMYFUNCTION("""COMPUTED_VALUE"""),256.0)</f>
        <v>256</v>
      </c>
      <c r="N135" s="52">
        <f>IFERROR(__xludf.DUMMYFUNCTION("""COMPUTED_VALUE"""),23.0)</f>
        <v>23</v>
      </c>
    </row>
    <row r="136">
      <c r="A136" s="1"/>
      <c r="B136" s="48" t="str">
        <f>IFERROR(__xludf.DUMMYFUNCTION("""COMPUTED_VALUE"""),"Lloyd Sagar")</f>
        <v>Lloyd Sagar</v>
      </c>
      <c r="C136" s="49">
        <f>IFERROR(__xludf.DUMMYFUNCTION("""COMPUTED_VALUE"""),235.0)</f>
        <v>235</v>
      </c>
      <c r="D136" s="50">
        <f>IFERROR(__xludf.DUMMYFUNCTION("""COMPUTED_VALUE"""),17.0)</f>
        <v>17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IFERROR(__xludf.DUMMYFUNCTION("""COMPUTED_VALUE"""),244.0)</f>
        <v>244</v>
      </c>
      <c r="N136" s="52">
        <f>IFERROR(__xludf.DUMMYFUNCTION("""COMPUTED_VALUE"""),17.0)</f>
        <v>17</v>
      </c>
    </row>
    <row r="137">
      <c r="A137" s="1"/>
      <c r="B137" s="48" t="str">
        <f>IFERROR(__xludf.DUMMYFUNCTION("""COMPUTED_VALUE"""),"Chinna Ponnaganti")</f>
        <v>Chinna Ponnaganti</v>
      </c>
      <c r="C137" s="49">
        <f>IFERROR(__xludf.DUMMYFUNCTION("""COMPUTED_VALUE"""),232.0)</f>
        <v>232</v>
      </c>
      <c r="D137" s="50">
        <f>IFERROR(__xludf.DUMMYFUNCTION("""COMPUTED_VALUE"""),22.0)</f>
        <v>22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IFERROR(__xludf.DUMMYFUNCTION("""COMPUTED_VALUE"""),241.0)</f>
        <v>241</v>
      </c>
      <c r="N137" s="52">
        <f>IFERROR(__xludf.DUMMYFUNCTION("""COMPUTED_VALUE"""),22.0)</f>
        <v>22</v>
      </c>
    </row>
    <row r="138">
      <c r="A138" s="1"/>
      <c r="B138" s="48" t="str">
        <f>IFERROR(__xludf.DUMMYFUNCTION("""COMPUTED_VALUE"""),"Sai Dilip Ponnaganti")</f>
        <v>Sai Dilip Ponnaganti</v>
      </c>
      <c r="C138" s="49">
        <f>IFERROR(__xludf.DUMMYFUNCTION("""COMPUTED_VALUE"""),228.0)</f>
        <v>228</v>
      </c>
      <c r="D138" s="50">
        <f>IFERROR(__xludf.DUMMYFUNCTION("""COMPUTED_VALUE"""),15.0)</f>
        <v>15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IFERROR(__xludf.DUMMYFUNCTION("""COMPUTED_VALUE"""),237.0)</f>
        <v>237</v>
      </c>
      <c r="N138" s="52">
        <f>IFERROR(__xludf.DUMMYFUNCTION("""COMPUTED_VALUE"""),15.0)</f>
        <v>15</v>
      </c>
    </row>
    <row r="139">
      <c r="A139" s="1"/>
      <c r="B139" s="48" t="str">
        <f>IFERROR(__xludf.DUMMYFUNCTION("""COMPUTED_VALUE"""),"Anish Kumar")</f>
        <v>Anish Kumar</v>
      </c>
      <c r="C139" s="49">
        <f>IFERROR(__xludf.DUMMYFUNCTION("""COMPUTED_VALUE"""),227.0)</f>
        <v>227</v>
      </c>
      <c r="D139" s="50">
        <f>IFERROR(__xludf.DUMMYFUNCTION("""COMPUTED_VALUE"""),17.0)</f>
        <v>17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IFERROR(__xludf.DUMMYFUNCTION("""COMPUTED_VALUE"""),236.0)</f>
        <v>236</v>
      </c>
      <c r="N139" s="52">
        <f>IFERROR(__xludf.DUMMYFUNCTION("""COMPUTED_VALUE"""),17.0)</f>
        <v>17</v>
      </c>
    </row>
    <row r="140">
      <c r="A140" s="1"/>
      <c r="B140" s="48" t="str">
        <f>IFERROR(__xludf.DUMMYFUNCTION("""COMPUTED_VALUE"""),"Rajasekar Ramasamy")</f>
        <v>Rajasekar Ramasamy</v>
      </c>
      <c r="C140" s="49">
        <f>IFERROR(__xludf.DUMMYFUNCTION("""COMPUTED_VALUE"""),224.0)</f>
        <v>224</v>
      </c>
      <c r="D140" s="50">
        <f>IFERROR(__xludf.DUMMYFUNCTION("""COMPUTED_VALUE"""),20.0)</f>
        <v>20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IFERROR(__xludf.DUMMYFUNCTION("""COMPUTED_VALUE"""),233.0)</f>
        <v>233</v>
      </c>
      <c r="N140" s="52">
        <f>IFERROR(__xludf.DUMMYFUNCTION("""COMPUTED_VALUE"""),20.0)</f>
        <v>20</v>
      </c>
    </row>
    <row r="141">
      <c r="A141" s="1"/>
      <c r="B141" s="48" t="str">
        <f>IFERROR(__xludf.DUMMYFUNCTION("""COMPUTED_VALUE"""),"Eric Pan")</f>
        <v>Eric Pan</v>
      </c>
      <c r="C141" s="49">
        <f>IFERROR(__xludf.DUMMYFUNCTION("""COMPUTED_VALUE"""),224.0)</f>
        <v>224</v>
      </c>
      <c r="D141" s="50">
        <f>IFERROR(__xludf.DUMMYFUNCTION("""COMPUTED_VALUE"""),16.0)</f>
        <v>16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IFERROR(__xludf.DUMMYFUNCTION("""COMPUTED_VALUE"""),233.0)</f>
        <v>233</v>
      </c>
      <c r="N141" s="52">
        <f>IFERROR(__xludf.DUMMYFUNCTION("""COMPUTED_VALUE"""),16.0)</f>
        <v>16</v>
      </c>
    </row>
    <row r="142">
      <c r="A142" s="1"/>
      <c r="B142" s="48" t="str">
        <f>IFERROR(__xludf.DUMMYFUNCTION("""COMPUTED_VALUE"""),"Sean Chang")</f>
        <v>Sean Chang</v>
      </c>
      <c r="C142" s="49">
        <f>IFERROR(__xludf.DUMMYFUNCTION("""COMPUTED_VALUE"""),222.0)</f>
        <v>222</v>
      </c>
      <c r="D142" s="50">
        <f>IFERROR(__xludf.DUMMYFUNCTION("""COMPUTED_VALUE"""),15.0)</f>
        <v>15</v>
      </c>
      <c r="E142" s="49">
        <f>IFERROR(__xludf.DUMMYFUNCTION("""COMPUTED_VALUE"""),5.0)</f>
        <v>5</v>
      </c>
      <c r="F142" s="51">
        <f>IFERROR(__xludf.DUMMYFUNCTION("""COMPUTED_VALUE"""),0.0)</f>
        <v>0</v>
      </c>
      <c r="G142" s="51">
        <f>IFERROR(__xludf.DUMMYFUNCTION("""COMPUTED_VALUE"""),13.0)</f>
        <v>13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IFERROR(__xludf.DUMMYFUNCTION("""COMPUTED_VALUE"""),13.0)</f>
        <v>13</v>
      </c>
      <c r="L142" s="51">
        <f>IFERROR(__xludf.DUMMYFUNCTION("""COMPUTED_VALUE"""),0.0)</f>
        <v>0</v>
      </c>
      <c r="M142" s="51">
        <f>IFERROR(__xludf.DUMMYFUNCTION("""COMPUTED_VALUE"""),235.0)</f>
        <v>235</v>
      </c>
      <c r="N142" s="52">
        <f>IFERROR(__xludf.DUMMYFUNCTION("""COMPUTED_VALUE"""),15.0)</f>
        <v>15</v>
      </c>
    </row>
    <row r="143">
      <c r="A143" s="1"/>
      <c r="B143" s="48" t="str">
        <f>IFERROR(__xludf.DUMMYFUNCTION("""COMPUTED_VALUE"""),"Tom Le")</f>
        <v>Tom Le</v>
      </c>
      <c r="C143" s="49">
        <f>IFERROR(__xludf.DUMMYFUNCTION("""COMPUTED_VALUE"""),221.0)</f>
        <v>221</v>
      </c>
      <c r="D143" s="50">
        <f>IFERROR(__xludf.DUMMYFUNCTION("""COMPUTED_VALUE"""),13.0)</f>
        <v>13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IFERROR(__xludf.DUMMYFUNCTION("""COMPUTED_VALUE"""),230.0)</f>
        <v>230</v>
      </c>
      <c r="N143" s="52">
        <f>IFERROR(__xludf.DUMMYFUNCTION("""COMPUTED_VALUE"""),13.0)</f>
        <v>13</v>
      </c>
    </row>
    <row r="144">
      <c r="A144" s="1"/>
      <c r="B144" s="48" t="str">
        <f>IFERROR(__xludf.DUMMYFUNCTION("""COMPUTED_VALUE"""),"Rosie Bonilla")</f>
        <v>Rosie Bonilla</v>
      </c>
      <c r="C144" s="49">
        <f>IFERROR(__xludf.DUMMYFUNCTION("""COMPUTED_VALUE"""),210.0)</f>
        <v>210</v>
      </c>
      <c r="D144" s="50">
        <f>IFERROR(__xludf.DUMMYFUNCTION("""COMPUTED_VALUE"""),14.0)</f>
        <v>14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IFERROR(__xludf.DUMMYFUNCTION("""COMPUTED_VALUE"""),219.0)</f>
        <v>219</v>
      </c>
      <c r="N144" s="52">
        <f>IFERROR(__xludf.DUMMYFUNCTION("""COMPUTED_VALUE"""),14.0)</f>
        <v>14</v>
      </c>
    </row>
    <row r="145">
      <c r="A145" s="1"/>
      <c r="B145" s="48" t="str">
        <f>IFERROR(__xludf.DUMMYFUNCTION("""COMPUTED_VALUE"""),"Naveen Raj")</f>
        <v>Naveen Raj</v>
      </c>
      <c r="C145" s="49">
        <f>IFERROR(__xludf.DUMMYFUNCTION("""COMPUTED_VALUE"""),208.0)</f>
        <v>208</v>
      </c>
      <c r="D145" s="50">
        <f>IFERROR(__xludf.DUMMYFUNCTION("""COMPUTED_VALUE"""),14.0)</f>
        <v>14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IFERROR(__xludf.DUMMYFUNCTION("""COMPUTED_VALUE"""),217.0)</f>
        <v>217</v>
      </c>
      <c r="N145" s="52">
        <f>IFERROR(__xludf.DUMMYFUNCTION("""COMPUTED_VALUE"""),14.0)</f>
        <v>14</v>
      </c>
    </row>
    <row r="146">
      <c r="A146" s="1"/>
      <c r="B146" s="48" t="str">
        <f>IFERROR(__xludf.DUMMYFUNCTION("""COMPUTED_VALUE"""),"Troy Wong")</f>
        <v>Troy Wong</v>
      </c>
      <c r="C146" s="49">
        <f>IFERROR(__xludf.DUMMYFUNCTION("""COMPUTED_VALUE"""),207.0)</f>
        <v>207</v>
      </c>
      <c r="D146" s="50">
        <f>IFERROR(__xludf.DUMMYFUNCTION("""COMPUTED_VALUE"""),10.0)</f>
        <v>10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IFERROR(__xludf.DUMMYFUNCTION("""COMPUTED_VALUE"""),216.0)</f>
        <v>216</v>
      </c>
      <c r="N146" s="52">
        <f>IFERROR(__xludf.DUMMYFUNCTION("""COMPUTED_VALUE"""),10.0)</f>
        <v>10</v>
      </c>
    </row>
    <row r="147">
      <c r="A147" s="1"/>
      <c r="B147" s="48" t="str">
        <f>IFERROR(__xludf.DUMMYFUNCTION("""COMPUTED_VALUE"""),"Manuel Rivera")</f>
        <v>Manuel Rivera</v>
      </c>
      <c r="C147" s="49">
        <f>IFERROR(__xludf.DUMMYFUNCTION("""COMPUTED_VALUE"""),206.0)</f>
        <v>206</v>
      </c>
      <c r="D147" s="50">
        <f>IFERROR(__xludf.DUMMYFUNCTION("""COMPUTED_VALUE"""),16.0)</f>
        <v>16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IFERROR(__xludf.DUMMYFUNCTION("""COMPUTED_VALUE"""),215.0)</f>
        <v>215</v>
      </c>
      <c r="N147" s="52">
        <f>IFERROR(__xludf.DUMMYFUNCTION("""COMPUTED_VALUE"""),16.0)</f>
        <v>16</v>
      </c>
    </row>
    <row r="148">
      <c r="A148" s="1"/>
      <c r="B148" s="48" t="str">
        <f>IFERROR(__xludf.DUMMYFUNCTION("""COMPUTED_VALUE"""),"Sanjaye Elayattu")</f>
        <v>Sanjaye Elayattu</v>
      </c>
      <c r="C148" s="49">
        <f>IFERROR(__xludf.DUMMYFUNCTION("""COMPUTED_VALUE"""),205.0)</f>
        <v>205</v>
      </c>
      <c r="D148" s="50">
        <f>IFERROR(__xludf.DUMMYFUNCTION("""COMPUTED_VALUE"""),8.0)</f>
        <v>8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IFERROR(__xludf.DUMMYFUNCTION("""COMPUTED_VALUE"""),214.0)</f>
        <v>214</v>
      </c>
      <c r="N148" s="52">
        <f>IFERROR(__xludf.DUMMYFUNCTION("""COMPUTED_VALUE"""),8.0)</f>
        <v>8</v>
      </c>
    </row>
    <row r="149">
      <c r="A149" s="1"/>
      <c r="B149" s="48" t="str">
        <f>IFERROR(__xludf.DUMMYFUNCTION("""COMPUTED_VALUE"""),"Susanta Mishra")</f>
        <v>Susanta Mishra</v>
      </c>
      <c r="C149" s="49">
        <f>IFERROR(__xludf.DUMMYFUNCTION("""COMPUTED_VALUE"""),204.0)</f>
        <v>204</v>
      </c>
      <c r="D149" s="50">
        <f>IFERROR(__xludf.DUMMYFUNCTION("""COMPUTED_VALUE"""),11.0)</f>
        <v>11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IFERROR(__xludf.DUMMYFUNCTION("""COMPUTED_VALUE"""),213.0)</f>
        <v>213</v>
      </c>
      <c r="N149" s="52">
        <f>IFERROR(__xludf.DUMMYFUNCTION("""COMPUTED_VALUE"""),11.0)</f>
        <v>11</v>
      </c>
    </row>
    <row r="150">
      <c r="A150" s="1"/>
      <c r="B150" s="48" t="str">
        <f>IFERROR(__xludf.DUMMYFUNCTION("""COMPUTED_VALUE"""),"Derek Fu")</f>
        <v>Derek Fu</v>
      </c>
      <c r="C150" s="49">
        <f>IFERROR(__xludf.DUMMYFUNCTION("""COMPUTED_VALUE"""),204.0)</f>
        <v>204</v>
      </c>
      <c r="D150" s="50">
        <f>IFERROR(__xludf.DUMMYFUNCTION("""COMPUTED_VALUE"""),10.0)</f>
        <v>10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IFERROR(__xludf.DUMMYFUNCTION("""COMPUTED_VALUE"""),213.0)</f>
        <v>213</v>
      </c>
      <c r="N150" s="52">
        <f>IFERROR(__xludf.DUMMYFUNCTION("""COMPUTED_VALUE"""),10.0)</f>
        <v>10</v>
      </c>
    </row>
    <row r="151">
      <c r="A151" s="1"/>
      <c r="B151" s="48" t="str">
        <f>IFERROR(__xludf.DUMMYFUNCTION("""COMPUTED_VALUE"""),"Paul Sanchez")</f>
        <v>Paul Sanchez</v>
      </c>
      <c r="C151" s="49">
        <f>IFERROR(__xludf.DUMMYFUNCTION("""COMPUTED_VALUE"""),198.0)</f>
        <v>198</v>
      </c>
      <c r="D151" s="50">
        <f>IFERROR(__xludf.DUMMYFUNCTION("""COMPUTED_VALUE"""),9.0)</f>
        <v>9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IFERROR(__xludf.DUMMYFUNCTION("""COMPUTED_VALUE"""),207.0)</f>
        <v>207</v>
      </c>
      <c r="N151" s="52">
        <f>IFERROR(__xludf.DUMMYFUNCTION("""COMPUTED_VALUE"""),9.0)</f>
        <v>9</v>
      </c>
    </row>
    <row r="152">
      <c r="A152" s="1"/>
      <c r="B152" s="48" t="str">
        <f>IFERROR(__xludf.DUMMYFUNCTION("""COMPUTED_VALUE"""),"Nohely Mejia")</f>
        <v>Nohely Mejia</v>
      </c>
      <c r="C152" s="49">
        <f>IFERROR(__xludf.DUMMYFUNCTION("""COMPUTED_VALUE"""),193.0)</f>
        <v>193</v>
      </c>
      <c r="D152" s="50">
        <f>IFERROR(__xludf.DUMMYFUNCTION("""COMPUTED_VALUE"""),9.0)</f>
        <v>9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IFERROR(__xludf.DUMMYFUNCTION("""COMPUTED_VALUE"""),202.0)</f>
        <v>202</v>
      </c>
      <c r="N152" s="52">
        <f>IFERROR(__xludf.DUMMYFUNCTION("""COMPUTED_VALUE"""),9.0)</f>
        <v>9</v>
      </c>
    </row>
    <row r="153">
      <c r="A153" s="1"/>
      <c r="B153" s="48" t="str">
        <f>IFERROR(__xludf.DUMMYFUNCTION("""COMPUTED_VALUE"""),"James Cole III")</f>
        <v>James Cole III</v>
      </c>
      <c r="C153" s="49">
        <f>IFERROR(__xludf.DUMMYFUNCTION("""COMPUTED_VALUE"""),193.0)</f>
        <v>193</v>
      </c>
      <c r="D153" s="50">
        <f>IFERROR(__xludf.DUMMYFUNCTION("""COMPUTED_VALUE"""),8.0)</f>
        <v>8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IFERROR(__xludf.DUMMYFUNCTION("""COMPUTED_VALUE"""),202.0)</f>
        <v>202</v>
      </c>
      <c r="N153" s="52">
        <f>IFERROR(__xludf.DUMMYFUNCTION("""COMPUTED_VALUE"""),8.0)</f>
        <v>8</v>
      </c>
    </row>
    <row r="154">
      <c r="A154" s="1"/>
      <c r="B154" s="48" t="str">
        <f>IFERROR(__xludf.DUMMYFUNCTION("""COMPUTED_VALUE"""),"Jimmy Awolesi")</f>
        <v>Jimmy Awolesi</v>
      </c>
      <c r="C154" s="49">
        <f>IFERROR(__xludf.DUMMYFUNCTION("""COMPUTED_VALUE"""),190.0)</f>
        <v>190</v>
      </c>
      <c r="D154" s="50">
        <f>IFERROR(__xludf.DUMMYFUNCTION("""COMPUTED_VALUE"""),12.0)</f>
        <v>12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IFERROR(__xludf.DUMMYFUNCTION("""COMPUTED_VALUE"""),199.0)</f>
        <v>199</v>
      </c>
      <c r="N154" s="52">
        <f>IFERROR(__xludf.DUMMYFUNCTION("""COMPUTED_VALUE"""),12.0)</f>
        <v>12</v>
      </c>
    </row>
    <row r="155">
      <c r="A155" s="1"/>
      <c r="B155" s="48" t="str">
        <f>IFERROR(__xludf.DUMMYFUNCTION("""COMPUTED_VALUE"""),"Vinot Kumar Nagappan")</f>
        <v>Vinot Kumar Nagappan</v>
      </c>
      <c r="C155" s="49">
        <f>IFERROR(__xludf.DUMMYFUNCTION("""COMPUTED_VALUE"""),190.0)</f>
        <v>190</v>
      </c>
      <c r="D155" s="50">
        <f>IFERROR(__xludf.DUMMYFUNCTION("""COMPUTED_VALUE"""),10.0)</f>
        <v>10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IFERROR(__xludf.DUMMYFUNCTION("""COMPUTED_VALUE"""),199.0)</f>
        <v>199</v>
      </c>
      <c r="N155" s="52">
        <f>IFERROR(__xludf.DUMMYFUNCTION("""COMPUTED_VALUE"""),10.0)</f>
        <v>10</v>
      </c>
    </row>
    <row r="156">
      <c r="A156" s="1"/>
      <c r="B156" s="48" t="str">
        <f>IFERROR(__xludf.DUMMYFUNCTION("""COMPUTED_VALUE"""),"Pan Lee")</f>
        <v>Pan Lee</v>
      </c>
      <c r="C156" s="49">
        <f>IFERROR(__xludf.DUMMYFUNCTION("""COMPUTED_VALUE"""),185.0)</f>
        <v>185</v>
      </c>
      <c r="D156" s="50">
        <f>IFERROR(__xludf.DUMMYFUNCTION("""COMPUTED_VALUE"""),5.0)</f>
        <v>5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IFERROR(__xludf.DUMMYFUNCTION("""COMPUTED_VALUE"""),194.0)</f>
        <v>194</v>
      </c>
      <c r="N156" s="52">
        <f>IFERROR(__xludf.DUMMYFUNCTION("""COMPUTED_VALUE"""),5.0)</f>
        <v>5</v>
      </c>
    </row>
    <row r="157">
      <c r="A157" s="1"/>
      <c r="B157" s="48" t="str">
        <f>IFERROR(__xludf.DUMMYFUNCTION("""COMPUTED_VALUE"""),"Lauren Chang")</f>
        <v>Lauren Chang</v>
      </c>
      <c r="C157" s="49">
        <f>IFERROR(__xludf.DUMMYFUNCTION("""COMPUTED_VALUE"""),183.0)</f>
        <v>183</v>
      </c>
      <c r="D157" s="50">
        <f>IFERROR(__xludf.DUMMYFUNCTION("""COMPUTED_VALUE"""),4.0)</f>
        <v>4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IFERROR(__xludf.DUMMYFUNCTION("""COMPUTED_VALUE"""),192.0)</f>
        <v>192</v>
      </c>
      <c r="N157" s="52">
        <f>IFERROR(__xludf.DUMMYFUNCTION("""COMPUTED_VALUE"""),4.0)</f>
        <v>4</v>
      </c>
    </row>
    <row r="158">
      <c r="A158" s="1"/>
      <c r="B158" s="48" t="str">
        <f>IFERROR(__xludf.DUMMYFUNCTION("""COMPUTED_VALUE"""),"Santosh Sundaresan ")</f>
        <v>Santosh Sundaresan </v>
      </c>
      <c r="C158" s="49">
        <f>IFERROR(__xludf.DUMMYFUNCTION("""COMPUTED_VALUE"""),181.0)</f>
        <v>181</v>
      </c>
      <c r="D158" s="50">
        <f>IFERROR(__xludf.DUMMYFUNCTION("""COMPUTED_VALUE"""),6.0)</f>
        <v>6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IFERROR(__xludf.DUMMYFUNCTION("""COMPUTED_VALUE"""),190.0)</f>
        <v>190</v>
      </c>
      <c r="N158" s="52">
        <f>IFERROR(__xludf.DUMMYFUNCTION("""COMPUTED_VALUE"""),6.0)</f>
        <v>6</v>
      </c>
    </row>
    <row r="159">
      <c r="A159" s="1"/>
      <c r="B159" s="48" t="str">
        <f>IFERROR(__xludf.DUMMYFUNCTION("""COMPUTED_VALUE"""),"Vilas Janardhanan")</f>
        <v>Vilas Janardhanan</v>
      </c>
      <c r="C159" s="49">
        <f>IFERROR(__xludf.DUMMYFUNCTION("""COMPUTED_VALUE"""),180.0)</f>
        <v>180</v>
      </c>
      <c r="D159" s="50">
        <f>IFERROR(__xludf.DUMMYFUNCTION("""COMPUTED_VALUE"""),7.0)</f>
        <v>7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IFERROR(__xludf.DUMMYFUNCTION("""COMPUTED_VALUE"""),189.0)</f>
        <v>189</v>
      </c>
      <c r="N159" s="52">
        <f>IFERROR(__xludf.DUMMYFUNCTION("""COMPUTED_VALUE"""),7.0)</f>
        <v>7</v>
      </c>
    </row>
    <row r="160">
      <c r="A160" s="1"/>
      <c r="B160" s="48" t="str">
        <f>IFERROR(__xludf.DUMMYFUNCTION("""COMPUTED_VALUE"""),"Piyorasa Li")</f>
        <v>Piyorasa Li</v>
      </c>
      <c r="C160" s="49">
        <f>IFERROR(__xludf.DUMMYFUNCTION("""COMPUTED_VALUE"""),180.0)</f>
        <v>180</v>
      </c>
      <c r="D160" s="50">
        <f>IFERROR(__xludf.DUMMYFUNCTION("""COMPUTED_VALUE"""),3.0)</f>
        <v>3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IFERROR(__xludf.DUMMYFUNCTION("""COMPUTED_VALUE"""),189.0)</f>
        <v>189</v>
      </c>
      <c r="N160" s="52">
        <f>IFERROR(__xludf.DUMMYFUNCTION("""COMPUTED_VALUE"""),3.0)</f>
        <v>3</v>
      </c>
    </row>
    <row r="161">
      <c r="A161" s="1"/>
      <c r="B161" s="48" t="str">
        <f>IFERROR(__xludf.DUMMYFUNCTION("""COMPUTED_VALUE"""),"Jason Kim ")</f>
        <v>Jason Kim </v>
      </c>
      <c r="C161" s="49">
        <f>IFERROR(__xludf.DUMMYFUNCTION("""COMPUTED_VALUE"""),180.0)</f>
        <v>180</v>
      </c>
      <c r="D161" s="50">
        <f>IFERROR(__xludf.DUMMYFUNCTION("""COMPUTED_VALUE"""),3.0)</f>
        <v>3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IFERROR(__xludf.DUMMYFUNCTION("""COMPUTED_VALUE"""),189.0)</f>
        <v>189</v>
      </c>
      <c r="N161" s="52">
        <f>IFERROR(__xludf.DUMMYFUNCTION("""COMPUTED_VALUE"""),3.0)</f>
        <v>3</v>
      </c>
    </row>
    <row r="162">
      <c r="A162" s="1"/>
      <c r="B162" s="48" t="str">
        <f>IFERROR(__xludf.DUMMYFUNCTION("""COMPUTED_VALUE"""),"Coco Yan")</f>
        <v>Coco Yan</v>
      </c>
      <c r="C162" s="49">
        <f>IFERROR(__xludf.DUMMYFUNCTION("""COMPUTED_VALUE"""),175.0)</f>
        <v>175</v>
      </c>
      <c r="D162" s="50">
        <f>IFERROR(__xludf.DUMMYFUNCTION("""COMPUTED_VALUE"""),2.0)</f>
        <v>2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IFERROR(__xludf.DUMMYFUNCTION("""COMPUTED_VALUE"""),184.0)</f>
        <v>184</v>
      </c>
      <c r="N162" s="52">
        <f>IFERROR(__xludf.DUMMYFUNCTION("""COMPUTED_VALUE"""),2.0)</f>
        <v>2</v>
      </c>
    </row>
    <row r="163">
      <c r="A163" s="1"/>
      <c r="B163" s="48" t="str">
        <f>IFERROR(__xludf.DUMMYFUNCTION("""COMPUTED_VALUE"""),"Amit Patel")</f>
        <v>Amit Patel</v>
      </c>
      <c r="C163" s="49">
        <f>IFERROR(__xludf.DUMMYFUNCTION("""COMPUTED_VALUE"""),174.0)</f>
        <v>174</v>
      </c>
      <c r="D163" s="50">
        <f>IFERROR(__xludf.DUMMYFUNCTION("""COMPUTED_VALUE"""),3.0)</f>
        <v>3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IFERROR(__xludf.DUMMYFUNCTION("""COMPUTED_VALUE"""),183.0)</f>
        <v>183</v>
      </c>
      <c r="N163" s="52">
        <f>IFERROR(__xludf.DUMMYFUNCTION("""COMPUTED_VALUE"""),3.0)</f>
        <v>3</v>
      </c>
    </row>
    <row r="164">
      <c r="A164" s="1"/>
      <c r="B164" s="48" t="str">
        <f>IFERROR(__xludf.DUMMYFUNCTION("""COMPUTED_VALUE"""),"Savay Lieu")</f>
        <v>Savay Lieu</v>
      </c>
      <c r="C164" s="49">
        <f>IFERROR(__xludf.DUMMYFUNCTION("""COMPUTED_VALUE"""),171.0)</f>
        <v>171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IFERROR(__xludf.DUMMYFUNCTION("""COMPUTED_VALUE"""),180.0)</f>
        <v>180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IFERROR(__xludf.DUMMYFUNCTION("""COMPUTED_VALUE"""),"Mihir Anand")</f>
        <v>Mihir Anand</v>
      </c>
      <c r="C165" s="49">
        <f>IFERROR(__xludf.DUMMYFUNCTION("""COMPUTED_VALUE"""),171.0)</f>
        <v>171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IFERROR(__xludf.DUMMYFUNCTION("""COMPUTED_VALUE"""),180.0)</f>
        <v>180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IFERROR(__xludf.DUMMYFUNCTION("""COMPUTED_VALUE"""),"Manish Anand")</f>
        <v>Manish Anand</v>
      </c>
      <c r="C166" s="49">
        <f>IFERROR(__xludf.DUMMYFUNCTION("""COMPUTED_VALUE"""),171.0)</f>
        <v>171</v>
      </c>
      <c r="D166" s="50">
        <f>IFERROR(__xludf.DUMMYFUNCTION("""COMPUTED_VALUE"""),0.0)</f>
        <v>0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IFERROR(__xludf.DUMMYFUNCTION("""COMPUTED_VALUE"""),180.0)</f>
        <v>180</v>
      </c>
      <c r="N166" s="52">
        <f>IFERROR(__xludf.DUMMYFUNCTION("""COMPUTED_VALUE"""),0.0)</f>
        <v>0</v>
      </c>
    </row>
    <row r="167">
      <c r="A167" s="1"/>
      <c r="B167" s="48" t="str">
        <f>IFERROR(__xludf.DUMMYFUNCTION("""COMPUTED_VALUE"""),"Fendi Purwadi")</f>
        <v>Fendi Purwadi</v>
      </c>
      <c r="C167" s="49">
        <f>IFERROR(__xludf.DUMMYFUNCTION("""COMPUTED_VALUE"""),171.0)</f>
        <v>171</v>
      </c>
      <c r="D167" s="50">
        <f>IFERROR(__xludf.DUMMYFUNCTION("""COMPUTED_VALUE"""),0.0)</f>
        <v>0</v>
      </c>
      <c r="E167" s="49">
        <f>IFERROR(__xludf.DUMMYFUNCTION("""COMPUTED_VALUE"""),3.0)</f>
        <v>3</v>
      </c>
      <c r="F167" s="51">
        <f>IFERROR(__xludf.DUMMYFUNCTION("""COMPUTED_VALUE"""),0.0)</f>
        <v>0</v>
      </c>
      <c r="G167" s="51">
        <f>IFERROR(__xludf.DUMMYFUNCTION("""COMPUTED_VALUE"""),9.0)</f>
        <v>9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IFERROR(__xludf.DUMMYFUNCTION("""COMPUTED_VALUE"""),9.0)</f>
        <v>9</v>
      </c>
      <c r="L167" s="51">
        <f>IFERROR(__xludf.DUMMYFUNCTION("""COMPUTED_VALUE"""),0.0)</f>
        <v>0</v>
      </c>
      <c r="M167" s="51">
        <f>IFERROR(__xludf.DUMMYFUNCTION("""COMPUTED_VALUE"""),180.0)</f>
        <v>180</v>
      </c>
      <c r="N167" s="52">
        <f>IFERROR(__xludf.DUMMYFUNCTION("""COMPUTED_VALUE"""),0.0)</f>
        <v>0</v>
      </c>
    </row>
    <row r="168">
      <c r="A168" s="1"/>
      <c r="B168" s="48" t="str">
        <f>IFERROR(__xludf.DUMMYFUNCTION("""COMPUTED_VALUE"""),"Jose Ortiz")</f>
        <v>Jose Ortiz</v>
      </c>
      <c r="C168" s="49">
        <f>IFERROR(__xludf.DUMMYFUNCTION("""COMPUTED_VALUE"""),168.0)</f>
        <v>168</v>
      </c>
      <c r="D168" s="50">
        <f>IFERROR(__xludf.DUMMYFUNCTION("""COMPUTED_VALUE"""),5.0)</f>
        <v>5</v>
      </c>
      <c r="E168" s="49">
        <f>IFERROR(__xludf.DUMMYFUNCTION("""COMPUTED_VALUE"""),3.0)</f>
        <v>3</v>
      </c>
      <c r="F168" s="51">
        <f>IFERROR(__xludf.DUMMYFUNCTION("""COMPUTED_VALUE"""),0.0)</f>
        <v>0</v>
      </c>
      <c r="G168" s="51">
        <f>IFERROR(__xludf.DUMMYFUNCTION("""COMPUTED_VALUE"""),9.0)</f>
        <v>9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IFERROR(__xludf.DUMMYFUNCTION("""COMPUTED_VALUE"""),9.0)</f>
        <v>9</v>
      </c>
      <c r="L168" s="51">
        <f>IFERROR(__xludf.DUMMYFUNCTION("""COMPUTED_VALUE"""),0.0)</f>
        <v>0</v>
      </c>
      <c r="M168" s="51">
        <f>IFERROR(__xludf.DUMMYFUNCTION("""COMPUTED_VALUE"""),177.0)</f>
        <v>177</v>
      </c>
      <c r="N168" s="52">
        <f>IFERROR(__xludf.DUMMYFUNCTION("""COMPUTED_VALUE"""),5.0)</f>
        <v>5</v>
      </c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45241.0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19.0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246.0</v>
      </c>
      <c r="D5" s="28">
        <v>26.0</v>
      </c>
      <c r="E5" s="30">
        <v>1.0</v>
      </c>
      <c r="F5" s="31">
        <v>1.0</v>
      </c>
      <c r="G5" s="27">
        <v>0.0</v>
      </c>
      <c r="H5" s="31">
        <v>6.0</v>
      </c>
      <c r="I5" s="31">
        <v>1.0</v>
      </c>
      <c r="J5" s="31">
        <v>4.0</v>
      </c>
      <c r="K5" s="32">
        <v>11.0</v>
      </c>
      <c r="L5" s="31">
        <v>1.0</v>
      </c>
      <c r="M5" s="27">
        <f t="shared" ref="M5:N5" si="1">C5+K5</f>
        <v>257</v>
      </c>
      <c r="N5" s="28">
        <f t="shared" si="1"/>
        <v>27</v>
      </c>
      <c r="O5" s="33" t="s">
        <v>37</v>
      </c>
      <c r="P5" s="33" t="s">
        <v>37</v>
      </c>
      <c r="Q5" s="31">
        <f>if(G5=13,1,0)+VLOOKUP(B5,'110423'!B:Q,16,false)</f>
        <v>1</v>
      </c>
      <c r="R5" s="31"/>
      <c r="S5" s="31">
        <f>if(G5=9,1,0)+VLOOKUP(B5,'110423'!B:S,18,false)</f>
        <v>6</v>
      </c>
    </row>
    <row r="6">
      <c r="A6" s="25">
        <f t="shared" ref="A6:A68" si="3">A5+1</f>
        <v>2</v>
      </c>
      <c r="B6" s="26" t="s">
        <v>42</v>
      </c>
      <c r="C6" s="27">
        <v>241.0</v>
      </c>
      <c r="D6" s="28">
        <v>23.0</v>
      </c>
      <c r="E6" s="30">
        <v>2.0</v>
      </c>
      <c r="F6" s="31">
        <v>1.0</v>
      </c>
      <c r="G6" s="27">
        <v>0.0</v>
      </c>
      <c r="H6" s="31">
        <v>0.0</v>
      </c>
      <c r="I6" s="31">
        <v>6.0</v>
      </c>
      <c r="J6" s="31">
        <v>4.0</v>
      </c>
      <c r="K6" s="32">
        <v>10.0</v>
      </c>
      <c r="L6" s="31">
        <v>1.0</v>
      </c>
      <c r="M6" s="27">
        <f t="shared" ref="M6:N6" si="2">C6+K6</f>
        <v>251</v>
      </c>
      <c r="N6" s="28">
        <f t="shared" si="2"/>
        <v>24</v>
      </c>
      <c r="O6" s="33" t="s">
        <v>37</v>
      </c>
      <c r="P6" s="33" t="s">
        <v>37</v>
      </c>
      <c r="Q6" s="31">
        <f>if(G6=13,1,0)+VLOOKUP(B6,'110423'!B:Q,16,false)</f>
        <v>0</v>
      </c>
      <c r="R6" s="31"/>
      <c r="S6" s="31">
        <f>if(G6=9,1,0)+VLOOKUP(B6,'110423'!B:S,18,false)</f>
        <v>7</v>
      </c>
    </row>
    <row r="7">
      <c r="A7" s="25">
        <f t="shared" si="3"/>
        <v>3</v>
      </c>
      <c r="B7" s="26" t="s">
        <v>49</v>
      </c>
      <c r="C7" s="27">
        <v>236.0</v>
      </c>
      <c r="D7" s="28">
        <v>21.0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245</v>
      </c>
      <c r="N7" s="28">
        <f t="shared" si="4"/>
        <v>21</v>
      </c>
      <c r="O7" s="33" t="s">
        <v>37</v>
      </c>
      <c r="P7" s="33" t="s">
        <v>37</v>
      </c>
      <c r="Q7" s="31">
        <f>if(G7=13,1,0)+VLOOKUP(B7,'110423'!B:Q,16,false)</f>
        <v>1</v>
      </c>
      <c r="R7" s="31"/>
      <c r="S7" s="31">
        <f>if(G7=9,1,0)+VLOOKUP(B7,'110423'!B:S,18,false)</f>
        <v>3</v>
      </c>
    </row>
    <row r="8">
      <c r="A8" s="25">
        <f t="shared" si="3"/>
        <v>4</v>
      </c>
      <c r="B8" s="26" t="s">
        <v>51</v>
      </c>
      <c r="C8" s="27">
        <v>233.0</v>
      </c>
      <c r="D8" s="28">
        <v>21.0</v>
      </c>
      <c r="E8" s="30">
        <v>3.0</v>
      </c>
      <c r="F8" s="31">
        <v>0.0</v>
      </c>
      <c r="G8" s="27">
        <v>9.0</v>
      </c>
      <c r="H8" s="31">
        <v>0.0</v>
      </c>
      <c r="I8" s="31">
        <v>0.0</v>
      </c>
      <c r="J8" s="31">
        <v>0.0</v>
      </c>
      <c r="K8" s="32">
        <v>9.0</v>
      </c>
      <c r="L8" s="31">
        <v>0.0</v>
      </c>
      <c r="M8" s="27">
        <f t="shared" ref="M8:N8" si="5">C8+K8</f>
        <v>242</v>
      </c>
      <c r="N8" s="28">
        <f t="shared" si="5"/>
        <v>21</v>
      </c>
      <c r="O8" s="33" t="s">
        <v>37</v>
      </c>
      <c r="P8" s="33" t="s">
        <v>37</v>
      </c>
      <c r="Q8" s="31">
        <f>if(G8=13,1,0)+VLOOKUP(B8,'110423'!B:Q,16,false)</f>
        <v>1</v>
      </c>
      <c r="R8" s="31"/>
      <c r="S8" s="31">
        <f>if(G8=9,1,0)+VLOOKUP(B8,'110423'!B:S,18,false)</f>
        <v>8</v>
      </c>
    </row>
    <row r="9">
      <c r="A9" s="25">
        <f t="shared" si="3"/>
        <v>5</v>
      </c>
      <c r="B9" s="26" t="s">
        <v>47</v>
      </c>
      <c r="C9" s="27">
        <v>231.0</v>
      </c>
      <c r="D9" s="28">
        <v>21.0</v>
      </c>
      <c r="E9" s="30">
        <v>2.0</v>
      </c>
      <c r="F9" s="31">
        <v>1.0</v>
      </c>
      <c r="G9" s="27">
        <v>0.0</v>
      </c>
      <c r="H9" s="31">
        <v>6.0</v>
      </c>
      <c r="I9" s="31">
        <v>6.0</v>
      </c>
      <c r="J9" s="31">
        <v>6.0</v>
      </c>
      <c r="K9" s="32">
        <v>18.0</v>
      </c>
      <c r="L9" s="31">
        <v>3.0</v>
      </c>
      <c r="M9" s="27">
        <f t="shared" ref="M9:N9" si="6">C9+K9</f>
        <v>249</v>
      </c>
      <c r="N9" s="28">
        <f t="shared" si="6"/>
        <v>24</v>
      </c>
      <c r="O9" s="33" t="s">
        <v>37</v>
      </c>
      <c r="P9" s="33" t="s">
        <v>37</v>
      </c>
      <c r="Q9" s="31">
        <f>if(G9=13,1,0)+VLOOKUP(B9,'110423'!B:Q,16,false)</f>
        <v>0</v>
      </c>
      <c r="R9" s="31"/>
      <c r="S9" s="31">
        <f>if(G9=9,1,0)+VLOOKUP(B9,'110423'!B:S,18,false)</f>
        <v>9</v>
      </c>
    </row>
    <row r="10">
      <c r="A10" s="25">
        <f t="shared" si="3"/>
        <v>6</v>
      </c>
      <c r="B10" s="26" t="s">
        <v>54</v>
      </c>
      <c r="C10" s="27">
        <v>229.0</v>
      </c>
      <c r="D10" s="28">
        <v>20.0</v>
      </c>
      <c r="E10" s="30">
        <v>1.0</v>
      </c>
      <c r="F10" s="31">
        <v>1.0</v>
      </c>
      <c r="G10" s="27">
        <v>0.0</v>
      </c>
      <c r="H10" s="31">
        <v>0.0</v>
      </c>
      <c r="I10" s="31">
        <v>1.0</v>
      </c>
      <c r="J10" s="31">
        <v>6.0</v>
      </c>
      <c r="K10" s="32">
        <v>7.0</v>
      </c>
      <c r="L10" s="31">
        <v>1.0</v>
      </c>
      <c r="M10" s="27">
        <f t="shared" ref="M10:N10" si="7">C10+K10</f>
        <v>236</v>
      </c>
      <c r="N10" s="28">
        <f t="shared" si="7"/>
        <v>21</v>
      </c>
      <c r="O10" s="33" t="s">
        <v>37</v>
      </c>
      <c r="P10" s="33" t="s">
        <v>37</v>
      </c>
      <c r="Q10" s="31">
        <f>if(G10=13,1,0)+VLOOKUP(B10,'110423'!B:Q,16,false)</f>
        <v>0</v>
      </c>
      <c r="R10" s="31"/>
      <c r="S10" s="31">
        <f>if(G10=9,1,0)+VLOOKUP(B10,'110423'!B:S,18,false)</f>
        <v>6</v>
      </c>
    </row>
    <row r="11">
      <c r="A11" s="25">
        <f t="shared" si="3"/>
        <v>7</v>
      </c>
      <c r="B11" s="26" t="s">
        <v>48</v>
      </c>
      <c r="C11" s="27">
        <v>227.0</v>
      </c>
      <c r="D11" s="28">
        <v>20.0</v>
      </c>
      <c r="E11" s="30">
        <v>2.0</v>
      </c>
      <c r="F11" s="31">
        <v>2.0</v>
      </c>
      <c r="G11" s="27">
        <v>0.0</v>
      </c>
      <c r="H11" s="31">
        <v>7.0</v>
      </c>
      <c r="I11" s="31">
        <v>6.0</v>
      </c>
      <c r="J11" s="31">
        <v>7.0</v>
      </c>
      <c r="K11" s="32">
        <v>20.0</v>
      </c>
      <c r="L11" s="31">
        <v>3.0</v>
      </c>
      <c r="M11" s="27">
        <f t="shared" ref="M11:N11" si="8">C11+K11</f>
        <v>247</v>
      </c>
      <c r="N11" s="28">
        <f t="shared" si="8"/>
        <v>23</v>
      </c>
      <c r="O11" s="33" t="s">
        <v>37</v>
      </c>
      <c r="P11" s="33" t="s">
        <v>37</v>
      </c>
      <c r="Q11" s="31">
        <f>if(G11=13,1,0)+VLOOKUP(B11,'110423'!B:Q,16,false)</f>
        <v>0</v>
      </c>
      <c r="R11" s="31"/>
      <c r="S11" s="31">
        <f>if(G11=9,1,0)+VLOOKUP(B11,'110423'!B:S,18,false)</f>
        <v>7</v>
      </c>
    </row>
    <row r="12">
      <c r="A12" s="25">
        <f t="shared" si="3"/>
        <v>8</v>
      </c>
      <c r="B12" s="26" t="s">
        <v>52</v>
      </c>
      <c r="C12" s="27">
        <v>224.0</v>
      </c>
      <c r="D12" s="28">
        <v>20.0</v>
      </c>
      <c r="E12" s="30">
        <v>1.0</v>
      </c>
      <c r="F12" s="31">
        <v>2.0</v>
      </c>
      <c r="G12" s="27">
        <v>0.0</v>
      </c>
      <c r="H12" s="31">
        <v>5.0</v>
      </c>
      <c r="I12" s="31">
        <v>6.0</v>
      </c>
      <c r="J12" s="31">
        <v>5.0</v>
      </c>
      <c r="K12" s="32">
        <v>16.0</v>
      </c>
      <c r="L12" s="31">
        <v>1.0</v>
      </c>
      <c r="M12" s="27">
        <f t="shared" ref="M12:N12" si="9">C12+K12</f>
        <v>240</v>
      </c>
      <c r="N12" s="28">
        <f t="shared" si="9"/>
        <v>21</v>
      </c>
      <c r="O12" s="33" t="s">
        <v>37</v>
      </c>
      <c r="P12" s="33" t="s">
        <v>37</v>
      </c>
      <c r="Q12" s="31">
        <f>if(G12=13,1,0)+VLOOKUP(B12,'110423'!B:Q,16,false)</f>
        <v>0</v>
      </c>
      <c r="R12" s="31"/>
      <c r="S12" s="31">
        <f>if(G12=9,1,0)+VLOOKUP(B12,'110423'!B:S,18,false)</f>
        <v>2</v>
      </c>
    </row>
    <row r="13">
      <c r="A13" s="25">
        <f t="shared" si="3"/>
        <v>9</v>
      </c>
      <c r="B13" s="26" t="s">
        <v>50</v>
      </c>
      <c r="C13" s="27">
        <v>224.0</v>
      </c>
      <c r="D13" s="28">
        <v>17.0</v>
      </c>
      <c r="E13" s="30">
        <v>3.0</v>
      </c>
      <c r="F13" s="31">
        <v>0.0</v>
      </c>
      <c r="G13" s="27">
        <v>9.0</v>
      </c>
      <c r="H13" s="31">
        <v>0.0</v>
      </c>
      <c r="I13" s="31">
        <v>0.0</v>
      </c>
      <c r="J13" s="31">
        <v>0.0</v>
      </c>
      <c r="K13" s="32">
        <v>9.0</v>
      </c>
      <c r="L13" s="31">
        <v>0.0</v>
      </c>
      <c r="M13" s="27">
        <f t="shared" ref="M13:N13" si="10">C13+K13</f>
        <v>233</v>
      </c>
      <c r="N13" s="28">
        <f t="shared" si="10"/>
        <v>17</v>
      </c>
      <c r="O13" s="33" t="s">
        <v>37</v>
      </c>
      <c r="P13" s="33" t="s">
        <v>37</v>
      </c>
      <c r="Q13" s="31">
        <f>if(G13=13,1,0)+VLOOKUP(B13,'110423'!B:Q,16,false)</f>
        <v>0</v>
      </c>
      <c r="R13" s="31"/>
      <c r="S13" s="31">
        <f>if(G13=9,1,0)+VLOOKUP(B13,'110423'!B:S,18,false)</f>
        <v>10</v>
      </c>
    </row>
    <row r="14">
      <c r="A14" s="25">
        <f t="shared" si="3"/>
        <v>10</v>
      </c>
      <c r="B14" s="36" t="s">
        <v>59</v>
      </c>
      <c r="C14" s="27">
        <v>220.0</v>
      </c>
      <c r="D14" s="28">
        <v>16.0</v>
      </c>
      <c r="E14" s="30">
        <v>1.0</v>
      </c>
      <c r="F14" s="31">
        <v>2.0</v>
      </c>
      <c r="G14" s="27">
        <v>0.0</v>
      </c>
      <c r="H14" s="31">
        <v>5.0</v>
      </c>
      <c r="I14" s="31">
        <v>3.0</v>
      </c>
      <c r="J14" s="31">
        <v>7.0</v>
      </c>
      <c r="K14" s="32">
        <v>15.0</v>
      </c>
      <c r="L14" s="31">
        <v>1.0</v>
      </c>
      <c r="M14" s="27">
        <f t="shared" ref="M14:N14" si="11">C14+K14</f>
        <v>235</v>
      </c>
      <c r="N14" s="28">
        <f t="shared" si="11"/>
        <v>17</v>
      </c>
      <c r="O14" s="33" t="s">
        <v>37</v>
      </c>
      <c r="P14" s="33" t="s">
        <v>37</v>
      </c>
      <c r="Q14" s="31">
        <f>if(G14=13,1,0)+VLOOKUP(B14,'110423'!B:Q,16,false)</f>
        <v>0</v>
      </c>
      <c r="R14" s="31"/>
      <c r="S14" s="31">
        <f>if(G14=9,1,0)+VLOOKUP(B14,'110423'!B:S,18,false)</f>
        <v>3</v>
      </c>
    </row>
    <row r="15">
      <c r="A15" s="25">
        <f t="shared" si="3"/>
        <v>11</v>
      </c>
      <c r="B15" s="26" t="s">
        <v>57</v>
      </c>
      <c r="C15" s="27">
        <v>219.0</v>
      </c>
      <c r="D15" s="28">
        <v>20.0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228</v>
      </c>
      <c r="N15" s="28">
        <f t="shared" si="12"/>
        <v>20</v>
      </c>
      <c r="O15" s="33" t="s">
        <v>37</v>
      </c>
      <c r="P15" s="33" t="s">
        <v>37</v>
      </c>
      <c r="Q15" s="31">
        <f>if(G15=13,1,0)+VLOOKUP(B15,'110423'!B:Q,16,false)</f>
        <v>0</v>
      </c>
      <c r="R15" s="31"/>
      <c r="S15" s="31">
        <f>if(G15=9,1,0)+VLOOKUP(B15,'110423'!B:S,18,false)</f>
        <v>6</v>
      </c>
    </row>
    <row r="16">
      <c r="A16" s="25">
        <f t="shared" si="3"/>
        <v>12</v>
      </c>
      <c r="B16" s="36" t="s">
        <v>67</v>
      </c>
      <c r="C16" s="27">
        <v>218.0</v>
      </c>
      <c r="D16" s="28">
        <v>17.0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227</v>
      </c>
      <c r="N16" s="28">
        <f t="shared" si="13"/>
        <v>17</v>
      </c>
      <c r="O16" s="33" t="s">
        <v>37</v>
      </c>
      <c r="P16" s="33" t="s">
        <v>37</v>
      </c>
      <c r="Q16" s="31">
        <f>if(G16=13,1,0)+VLOOKUP(B16,'110423'!B:Q,16,false)</f>
        <v>0</v>
      </c>
      <c r="R16" s="31"/>
      <c r="S16" s="31">
        <f>if(G16=9,1,0)+VLOOKUP(B16,'110423'!B:S,18,false)</f>
        <v>9</v>
      </c>
    </row>
    <row r="17">
      <c r="A17" s="25">
        <f t="shared" si="3"/>
        <v>13</v>
      </c>
      <c r="B17" s="36" t="s">
        <v>56</v>
      </c>
      <c r="C17" s="27">
        <v>217.0</v>
      </c>
      <c r="D17" s="28">
        <v>21.0</v>
      </c>
      <c r="E17" s="30">
        <v>1.0</v>
      </c>
      <c r="F17" s="31">
        <v>2.0</v>
      </c>
      <c r="G17" s="27">
        <v>0.0</v>
      </c>
      <c r="H17" s="31">
        <v>7.0</v>
      </c>
      <c r="I17" s="31">
        <v>3.0</v>
      </c>
      <c r="J17" s="31">
        <v>5.0</v>
      </c>
      <c r="K17" s="32">
        <v>15.0</v>
      </c>
      <c r="L17" s="31">
        <v>1.0</v>
      </c>
      <c r="M17" s="27">
        <f t="shared" ref="M17:N17" si="14">C17+K17</f>
        <v>232</v>
      </c>
      <c r="N17" s="28">
        <f t="shared" si="14"/>
        <v>22</v>
      </c>
      <c r="O17" s="33" t="s">
        <v>37</v>
      </c>
      <c r="P17" s="33" t="s">
        <v>37</v>
      </c>
      <c r="Q17" s="31">
        <f>if(G17=13,1,0)+VLOOKUP(B17,'110423'!B:Q,16,false)</f>
        <v>1</v>
      </c>
      <c r="R17" s="31"/>
      <c r="S17" s="31">
        <f>if(G17=9,1,0)+VLOOKUP(B17,'110423'!B:S,18,false)</f>
        <v>3</v>
      </c>
    </row>
    <row r="18">
      <c r="A18" s="25">
        <f t="shared" si="3"/>
        <v>14</v>
      </c>
      <c r="B18" s="26" t="s">
        <v>53</v>
      </c>
      <c r="C18" s="27">
        <v>216.0</v>
      </c>
      <c r="D18" s="28">
        <v>14.0</v>
      </c>
      <c r="E18" s="30">
        <v>1.0</v>
      </c>
      <c r="F18" s="31">
        <v>3.0</v>
      </c>
      <c r="G18" s="27">
        <v>0.0</v>
      </c>
      <c r="H18" s="31">
        <v>6.0</v>
      </c>
      <c r="I18" s="31">
        <v>6.0</v>
      </c>
      <c r="J18" s="31">
        <v>3.0</v>
      </c>
      <c r="K18" s="32">
        <v>15.0</v>
      </c>
      <c r="L18" s="31">
        <v>2.0</v>
      </c>
      <c r="M18" s="27">
        <f t="shared" ref="M18:N18" si="15">C18+K18</f>
        <v>231</v>
      </c>
      <c r="N18" s="28">
        <f t="shared" si="15"/>
        <v>16</v>
      </c>
      <c r="O18" s="33" t="s">
        <v>37</v>
      </c>
      <c r="P18" s="33" t="s">
        <v>37</v>
      </c>
      <c r="Q18" s="31">
        <f>if(G18=13,1,0)+VLOOKUP(B18,'110423'!B:Q,16,false)</f>
        <v>0</v>
      </c>
      <c r="R18" s="31"/>
      <c r="S18" s="31">
        <f>if(G18=9,1,0)+VLOOKUP(B18,'110423'!B:S,18,false)</f>
        <v>6</v>
      </c>
    </row>
    <row r="19">
      <c r="A19" s="25">
        <f t="shared" si="3"/>
        <v>15</v>
      </c>
      <c r="B19" s="26" t="s">
        <v>72</v>
      </c>
      <c r="C19" s="27">
        <v>215.0</v>
      </c>
      <c r="D19" s="28">
        <v>16.0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224</v>
      </c>
      <c r="N19" s="28">
        <f t="shared" si="16"/>
        <v>16</v>
      </c>
      <c r="O19" s="33" t="s">
        <v>37</v>
      </c>
      <c r="P19" s="33" t="s">
        <v>37</v>
      </c>
      <c r="Q19" s="31">
        <f>if(G19=13,1,0)+VLOOKUP(B19,'110423'!B:Q,16,false)</f>
        <v>1</v>
      </c>
      <c r="R19" s="31"/>
      <c r="S19" s="31">
        <f>if(G19=9,1,0)+VLOOKUP(B19,'110423'!B:S,18,false)</f>
        <v>11</v>
      </c>
    </row>
    <row r="20">
      <c r="A20" s="25">
        <f t="shared" si="3"/>
        <v>16</v>
      </c>
      <c r="B20" s="26" t="s">
        <v>70</v>
      </c>
      <c r="C20" s="27">
        <v>213.0</v>
      </c>
      <c r="D20" s="28">
        <v>20.0</v>
      </c>
      <c r="E20" s="30">
        <v>1.0</v>
      </c>
      <c r="F20" s="31">
        <v>3.0</v>
      </c>
      <c r="G20" s="27">
        <v>0.0</v>
      </c>
      <c r="H20" s="31">
        <v>4.0</v>
      </c>
      <c r="I20" s="31">
        <v>4.0</v>
      </c>
      <c r="J20" s="31">
        <v>3.0</v>
      </c>
      <c r="K20" s="32">
        <v>11.0</v>
      </c>
      <c r="L20" s="31">
        <v>0.0</v>
      </c>
      <c r="M20" s="27">
        <f t="shared" ref="M20:N20" si="17">C20+K20</f>
        <v>224</v>
      </c>
      <c r="N20" s="28">
        <f t="shared" si="17"/>
        <v>20</v>
      </c>
      <c r="O20" s="33" t="s">
        <v>37</v>
      </c>
      <c r="P20" s="33" t="s">
        <v>37</v>
      </c>
      <c r="Q20" s="31">
        <f>if(G20=13,1,0)+VLOOKUP(B20,'110423'!B:Q,16,false)</f>
        <v>0</v>
      </c>
      <c r="R20" s="31"/>
      <c r="S20" s="31">
        <f>if(G20=9,1,0)+VLOOKUP(B20,'110423'!B:S,18,false)</f>
        <v>6</v>
      </c>
    </row>
    <row r="21">
      <c r="A21" s="25">
        <f t="shared" si="3"/>
        <v>17</v>
      </c>
      <c r="B21" s="26" t="s">
        <v>55</v>
      </c>
      <c r="C21" s="27">
        <v>213.0</v>
      </c>
      <c r="D21" s="28">
        <v>17.0</v>
      </c>
      <c r="E21" s="30">
        <v>1.0</v>
      </c>
      <c r="F21" s="31">
        <v>3.0</v>
      </c>
      <c r="G21" s="27">
        <v>0.0</v>
      </c>
      <c r="H21" s="31">
        <v>6.0</v>
      </c>
      <c r="I21" s="31">
        <v>4.0</v>
      </c>
      <c r="J21" s="31">
        <v>6.0</v>
      </c>
      <c r="K21" s="32">
        <v>16.0</v>
      </c>
      <c r="L21" s="31">
        <v>2.0</v>
      </c>
      <c r="M21" s="27">
        <f t="shared" ref="M21:N21" si="18">C21+K21</f>
        <v>229</v>
      </c>
      <c r="N21" s="28">
        <f t="shared" si="18"/>
        <v>19</v>
      </c>
      <c r="O21" s="33" t="s">
        <v>37</v>
      </c>
      <c r="P21" s="33" t="s">
        <v>37</v>
      </c>
      <c r="Q21" s="31">
        <f>if(G21=13,1,0)+VLOOKUP(B21,'110423'!B:Q,16,false)</f>
        <v>0</v>
      </c>
      <c r="R21" s="31"/>
      <c r="S21" s="31">
        <f>if(G21=9,1,0)+VLOOKUP(B21,'110423'!B:S,18,false)</f>
        <v>9</v>
      </c>
    </row>
    <row r="22">
      <c r="A22" s="25">
        <f t="shared" si="3"/>
        <v>18</v>
      </c>
      <c r="B22" s="26" t="s">
        <v>60</v>
      </c>
      <c r="C22" s="27">
        <v>213.0</v>
      </c>
      <c r="D22" s="28">
        <v>17.0</v>
      </c>
      <c r="E22" s="30">
        <v>1.0</v>
      </c>
      <c r="F22" s="31">
        <v>3.0</v>
      </c>
      <c r="G22" s="27">
        <v>0.0</v>
      </c>
      <c r="H22" s="31">
        <v>4.0</v>
      </c>
      <c r="I22" s="31">
        <v>6.0</v>
      </c>
      <c r="J22" s="31">
        <v>6.0</v>
      </c>
      <c r="K22" s="32">
        <v>16.0</v>
      </c>
      <c r="L22" s="31">
        <v>2.0</v>
      </c>
      <c r="M22" s="27">
        <f t="shared" ref="M22:N22" si="19">C22+K22</f>
        <v>229</v>
      </c>
      <c r="N22" s="28">
        <f t="shared" si="19"/>
        <v>19</v>
      </c>
      <c r="O22" s="33" t="s">
        <v>37</v>
      </c>
      <c r="P22" s="33" t="s">
        <v>37</v>
      </c>
      <c r="Q22" s="31">
        <f>if(G22=13,1,0)+VLOOKUP(B22,'110423'!B:Q,16,false)</f>
        <v>0</v>
      </c>
      <c r="R22" s="31"/>
      <c r="S22" s="31">
        <f>if(G22=9,1,0)+VLOOKUP(B22,'110423'!B:S,18,false)</f>
        <v>7</v>
      </c>
    </row>
    <row r="23">
      <c r="A23" s="25">
        <f t="shared" si="3"/>
        <v>19</v>
      </c>
      <c r="B23" s="26" t="s">
        <v>66</v>
      </c>
      <c r="C23" s="27">
        <v>213.0</v>
      </c>
      <c r="D23" s="28">
        <v>15.0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222</v>
      </c>
      <c r="N23" s="28">
        <f t="shared" si="20"/>
        <v>15</v>
      </c>
      <c r="O23" s="33" t="s">
        <v>37</v>
      </c>
      <c r="P23" s="33" t="s">
        <v>37</v>
      </c>
      <c r="Q23" s="31">
        <f>if(G23=13,1,0)+VLOOKUP(B23,'110423'!B:Q,16,false)</f>
        <v>1</v>
      </c>
      <c r="R23" s="31"/>
      <c r="S23" s="31">
        <f>if(G23=9,1,0)+VLOOKUP(B23,'110423'!B:S,18,false)</f>
        <v>7</v>
      </c>
    </row>
    <row r="24">
      <c r="A24" s="25">
        <f t="shared" si="3"/>
        <v>20</v>
      </c>
      <c r="B24" s="26" t="s">
        <v>61</v>
      </c>
      <c r="C24" s="27">
        <v>212.0</v>
      </c>
      <c r="D24" s="28">
        <v>17.0</v>
      </c>
      <c r="E24" s="30">
        <v>1.0</v>
      </c>
      <c r="F24" s="31">
        <v>4.0</v>
      </c>
      <c r="G24" s="27">
        <v>0.0</v>
      </c>
      <c r="H24" s="31">
        <v>6.0</v>
      </c>
      <c r="I24" s="31">
        <v>6.0</v>
      </c>
      <c r="J24" s="31">
        <v>6.0</v>
      </c>
      <c r="K24" s="32">
        <v>18.0</v>
      </c>
      <c r="L24" s="31">
        <v>0.0</v>
      </c>
      <c r="M24" s="27">
        <f t="shared" ref="M24:N24" si="21">C24+K24</f>
        <v>230</v>
      </c>
      <c r="N24" s="28">
        <f t="shared" si="21"/>
        <v>17</v>
      </c>
      <c r="O24" s="33" t="s">
        <v>37</v>
      </c>
      <c r="P24" s="33" t="s">
        <v>37</v>
      </c>
      <c r="Q24" s="31">
        <f>if(G24=13,1,0)+VLOOKUP(B24,'110423'!B:Q,16,false)</f>
        <v>0</v>
      </c>
      <c r="R24" s="31"/>
      <c r="S24" s="31">
        <f>if(G24=9,1,0)+VLOOKUP(B24,'110423'!B:S,18,false)</f>
        <v>5</v>
      </c>
    </row>
    <row r="25">
      <c r="A25" s="25">
        <f t="shared" si="3"/>
        <v>21</v>
      </c>
      <c r="B25" s="26" t="s">
        <v>58</v>
      </c>
      <c r="C25" s="27">
        <v>212.0</v>
      </c>
      <c r="D25" s="28">
        <v>16.0</v>
      </c>
      <c r="E25" s="30">
        <v>1.0</v>
      </c>
      <c r="F25" s="31">
        <v>4.0</v>
      </c>
      <c r="G25" s="27">
        <v>0.0</v>
      </c>
      <c r="H25" s="31">
        <v>7.0</v>
      </c>
      <c r="I25" s="31">
        <v>6.0</v>
      </c>
      <c r="J25" s="31">
        <v>7.0</v>
      </c>
      <c r="K25" s="32">
        <v>20.0</v>
      </c>
      <c r="L25" s="31">
        <v>2.0</v>
      </c>
      <c r="M25" s="27">
        <f t="shared" ref="M25:N25" si="22">C25+K25</f>
        <v>232</v>
      </c>
      <c r="N25" s="28">
        <f t="shared" si="22"/>
        <v>18</v>
      </c>
      <c r="O25" s="33" t="s">
        <v>37</v>
      </c>
      <c r="P25" s="33" t="s">
        <v>37</v>
      </c>
      <c r="Q25" s="31">
        <f>if(G25=13,1,0)+VLOOKUP(B25,'110423'!B:Q,16,false)</f>
        <v>0</v>
      </c>
      <c r="R25" s="31"/>
      <c r="S25" s="31">
        <f>if(G25=9,1,0)+VLOOKUP(B25,'110423'!B:S,18,false)</f>
        <v>7</v>
      </c>
    </row>
    <row r="26">
      <c r="A26" s="25">
        <f t="shared" si="3"/>
        <v>22</v>
      </c>
      <c r="B26" s="26" t="s">
        <v>68</v>
      </c>
      <c r="C26" s="27">
        <v>212.0</v>
      </c>
      <c r="D26" s="28">
        <v>13.0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221</v>
      </c>
      <c r="N26" s="28">
        <f t="shared" si="23"/>
        <v>13</v>
      </c>
      <c r="O26" s="33" t="s">
        <v>37</v>
      </c>
      <c r="P26" s="33" t="s">
        <v>37</v>
      </c>
      <c r="Q26" s="31">
        <f>if(G26=13,1,0)+VLOOKUP(B26,'110423'!B:Q,16,false)</f>
        <v>1</v>
      </c>
      <c r="R26" s="31"/>
      <c r="S26" s="31">
        <f>if(G26=9,1,0)+VLOOKUP(B26,'110423'!B:S,18,false)</f>
        <v>12</v>
      </c>
    </row>
    <row r="27">
      <c r="A27" s="25">
        <f t="shared" si="3"/>
        <v>23</v>
      </c>
      <c r="B27" s="36" t="s">
        <v>62</v>
      </c>
      <c r="C27" s="27">
        <v>210.0</v>
      </c>
      <c r="D27" s="28">
        <v>14.0</v>
      </c>
      <c r="E27" s="30">
        <v>1.0</v>
      </c>
      <c r="F27" s="31">
        <v>4.0</v>
      </c>
      <c r="G27" s="27">
        <v>0.0</v>
      </c>
      <c r="H27" s="31">
        <v>6.0</v>
      </c>
      <c r="I27" s="31">
        <v>7.0</v>
      </c>
      <c r="J27" s="31">
        <v>7.0</v>
      </c>
      <c r="K27" s="32">
        <v>20.0</v>
      </c>
      <c r="L27" s="31">
        <v>2.0</v>
      </c>
      <c r="M27" s="27">
        <f t="shared" ref="M27:N27" si="24">C27+K27</f>
        <v>230</v>
      </c>
      <c r="N27" s="28">
        <f t="shared" si="24"/>
        <v>16</v>
      </c>
      <c r="O27" s="33" t="s">
        <v>37</v>
      </c>
      <c r="P27" s="33" t="s">
        <v>37</v>
      </c>
      <c r="Q27" s="31">
        <f>if(G27=13,1,0)+VLOOKUP(B27,'110423'!B:Q,16,false)</f>
        <v>0</v>
      </c>
      <c r="R27" s="31"/>
      <c r="S27" s="31">
        <f>if(G27=9,1,0)+VLOOKUP(B27,'110423'!B:S,18,false)</f>
        <v>5</v>
      </c>
    </row>
    <row r="28">
      <c r="A28" s="25">
        <f t="shared" si="3"/>
        <v>24</v>
      </c>
      <c r="B28" s="26" t="s">
        <v>65</v>
      </c>
      <c r="C28" s="27">
        <v>208.0</v>
      </c>
      <c r="D28" s="28">
        <v>13.0</v>
      </c>
      <c r="E28" s="30">
        <v>2.0</v>
      </c>
      <c r="F28" s="31">
        <v>4.0</v>
      </c>
      <c r="G28" s="27">
        <v>0.0</v>
      </c>
      <c r="H28" s="31">
        <v>7.0</v>
      </c>
      <c r="I28" s="31">
        <v>7.0</v>
      </c>
      <c r="J28" s="31">
        <v>6.0</v>
      </c>
      <c r="K28" s="32">
        <v>20.0</v>
      </c>
      <c r="L28" s="31">
        <v>2.0</v>
      </c>
      <c r="M28" s="27">
        <f t="shared" ref="M28:N28" si="25">C28+K28</f>
        <v>228</v>
      </c>
      <c r="N28" s="28">
        <f t="shared" si="25"/>
        <v>15</v>
      </c>
      <c r="O28" s="33" t="s">
        <v>37</v>
      </c>
      <c r="P28" s="33" t="s">
        <v>37</v>
      </c>
      <c r="Q28" s="31">
        <f>if(G28=13,1,0)+VLOOKUP(B28,'110423'!B:Q,16,false)</f>
        <v>0</v>
      </c>
      <c r="R28" s="31"/>
      <c r="S28" s="31">
        <f>if(G28=9,1,0)+VLOOKUP(B28,'110423'!B:S,18,false)</f>
        <v>10</v>
      </c>
    </row>
    <row r="29">
      <c r="A29" s="25">
        <f t="shared" si="3"/>
        <v>25</v>
      </c>
      <c r="B29" s="26" t="s">
        <v>64</v>
      </c>
      <c r="C29" s="27">
        <v>207.0</v>
      </c>
      <c r="D29" s="28">
        <v>12.0</v>
      </c>
      <c r="E29" s="30">
        <v>2.0</v>
      </c>
      <c r="F29" s="31">
        <v>5.0</v>
      </c>
      <c r="G29" s="27">
        <v>0.0</v>
      </c>
      <c r="H29" s="31">
        <v>6.0</v>
      </c>
      <c r="I29" s="31">
        <v>7.0</v>
      </c>
      <c r="J29" s="31">
        <v>3.0</v>
      </c>
      <c r="K29" s="32">
        <v>16.0</v>
      </c>
      <c r="L29" s="31">
        <v>2.0</v>
      </c>
      <c r="M29" s="27">
        <f t="shared" ref="M29:N29" si="26">C29+K29</f>
        <v>223</v>
      </c>
      <c r="N29" s="28">
        <f t="shared" si="26"/>
        <v>14</v>
      </c>
      <c r="O29" s="33" t="s">
        <v>37</v>
      </c>
      <c r="P29" s="33" t="s">
        <v>37</v>
      </c>
      <c r="Q29" s="31">
        <f>if(G29=13,1,0)+VLOOKUP(B29,'110423'!B:Q,16,false)</f>
        <v>0</v>
      </c>
      <c r="R29" s="31"/>
      <c r="S29" s="31">
        <f>if(G29=9,1,0)+VLOOKUP(B29,'110423'!B:S,18,false)</f>
        <v>12</v>
      </c>
    </row>
    <row r="30">
      <c r="A30" s="25">
        <f t="shared" si="3"/>
        <v>26</v>
      </c>
      <c r="B30" s="26" t="s">
        <v>74</v>
      </c>
      <c r="C30" s="27">
        <v>202.0</v>
      </c>
      <c r="D30" s="28">
        <v>14.0</v>
      </c>
      <c r="E30" s="30">
        <v>1.0</v>
      </c>
      <c r="F30" s="31">
        <v>5.0</v>
      </c>
      <c r="G30" s="27">
        <v>0.0</v>
      </c>
      <c r="H30" s="31">
        <v>0.0</v>
      </c>
      <c r="I30" s="31">
        <v>5.0</v>
      </c>
      <c r="J30" s="31">
        <v>3.0</v>
      </c>
      <c r="K30" s="32">
        <v>8.0</v>
      </c>
      <c r="L30" s="31">
        <v>0.0</v>
      </c>
      <c r="M30" s="27">
        <f t="shared" ref="M30:N30" si="27">C30+K30</f>
        <v>210</v>
      </c>
      <c r="N30" s="28">
        <f t="shared" si="27"/>
        <v>14</v>
      </c>
      <c r="O30" s="33" t="s">
        <v>37</v>
      </c>
      <c r="P30" s="33" t="s">
        <v>37</v>
      </c>
      <c r="Q30" s="31">
        <f>if(G30=13,1,0)+VLOOKUP(B30,'110423'!B:Q,16,false)</f>
        <v>0</v>
      </c>
      <c r="R30" s="31"/>
      <c r="S30" s="31">
        <f>if(G30=9,1,0)+VLOOKUP(B30,'110423'!B:S,18,false)</f>
        <v>5</v>
      </c>
    </row>
    <row r="31">
      <c r="A31" s="25">
        <f t="shared" si="3"/>
        <v>27</v>
      </c>
      <c r="B31" s="36" t="s">
        <v>63</v>
      </c>
      <c r="C31" s="27">
        <v>199.0</v>
      </c>
      <c r="D31" s="28">
        <v>11.0</v>
      </c>
      <c r="E31" s="30">
        <v>1.0</v>
      </c>
      <c r="F31" s="31">
        <v>5.0</v>
      </c>
      <c r="G31" s="27">
        <v>0.0</v>
      </c>
      <c r="H31" s="31">
        <v>6.0</v>
      </c>
      <c r="I31" s="31">
        <v>5.0</v>
      </c>
      <c r="J31" s="31">
        <v>6.0</v>
      </c>
      <c r="K31" s="32">
        <v>17.0</v>
      </c>
      <c r="L31" s="31">
        <v>2.0</v>
      </c>
      <c r="M31" s="27">
        <f t="shared" ref="M31:N31" si="28">C31+K31</f>
        <v>216</v>
      </c>
      <c r="N31" s="28">
        <f t="shared" si="28"/>
        <v>13</v>
      </c>
      <c r="O31" s="33" t="s">
        <v>37</v>
      </c>
      <c r="P31" s="33" t="s">
        <v>37</v>
      </c>
      <c r="Q31" s="31">
        <f>if(G31=13,1,0)+VLOOKUP(B31,'110423'!B:Q,16,false)</f>
        <v>0</v>
      </c>
      <c r="R31" s="31"/>
      <c r="S31" s="31">
        <f>if(G31=9,1,0)+VLOOKUP(B31,'110423'!B:S,18,false)</f>
        <v>13</v>
      </c>
    </row>
    <row r="32">
      <c r="A32" s="25">
        <f t="shared" si="3"/>
        <v>28</v>
      </c>
      <c r="B32" s="36" t="s">
        <v>77</v>
      </c>
      <c r="C32" s="27">
        <v>198.0</v>
      </c>
      <c r="D32" s="28">
        <v>10.0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207</v>
      </c>
      <c r="N32" s="28">
        <f t="shared" si="29"/>
        <v>10</v>
      </c>
      <c r="O32" s="33" t="s">
        <v>37</v>
      </c>
      <c r="P32" s="33" t="s">
        <v>37</v>
      </c>
      <c r="Q32" s="31">
        <f>if(G32=13,1,0)+VLOOKUP(B32,'110423'!B:Q,16,false)</f>
        <v>0</v>
      </c>
      <c r="R32" s="31"/>
      <c r="S32" s="31">
        <f>if(G32=9,1,0)+VLOOKUP(B32,'110423'!B:S,18,false)</f>
        <v>14</v>
      </c>
    </row>
    <row r="33">
      <c r="A33" s="25">
        <f t="shared" si="3"/>
        <v>29</v>
      </c>
      <c r="B33" s="26" t="s">
        <v>79</v>
      </c>
      <c r="C33" s="27">
        <v>196.0</v>
      </c>
      <c r="D33" s="28">
        <v>19.0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205</v>
      </c>
      <c r="N33" s="28">
        <f t="shared" si="30"/>
        <v>19</v>
      </c>
      <c r="O33" s="33" t="s">
        <v>37</v>
      </c>
      <c r="P33" s="33" t="s">
        <v>37</v>
      </c>
      <c r="Q33" s="31">
        <f>if(G33=13,1,0)+VLOOKUP(B33,'110423'!B:Q,16,false)</f>
        <v>0</v>
      </c>
      <c r="R33" s="31"/>
      <c r="S33" s="31">
        <f>if(G33=9,1,0)+VLOOKUP(B33,'110423'!B:S,18,false)</f>
        <v>3</v>
      </c>
    </row>
    <row r="34">
      <c r="A34" s="25">
        <f t="shared" si="3"/>
        <v>30</v>
      </c>
      <c r="B34" s="26" t="s">
        <v>73</v>
      </c>
      <c r="C34" s="27">
        <v>196.0</v>
      </c>
      <c r="D34" s="28">
        <v>8.0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205</v>
      </c>
      <c r="N34" s="28">
        <f t="shared" si="31"/>
        <v>8</v>
      </c>
      <c r="O34" s="33" t="s">
        <v>37</v>
      </c>
      <c r="P34" s="33" t="s">
        <v>37</v>
      </c>
      <c r="Q34" s="31">
        <f>if(G34=13,1,0)+VLOOKUP(B34,'110423'!B:Q,16,false)</f>
        <v>0</v>
      </c>
      <c r="R34" s="31"/>
      <c r="S34" s="31">
        <f>if(G34=9,1,0)+VLOOKUP(B34,'110423'!B:S,18,false)</f>
        <v>13</v>
      </c>
    </row>
    <row r="35">
      <c r="A35" s="25">
        <f t="shared" si="3"/>
        <v>31</v>
      </c>
      <c r="B35" s="26" t="s">
        <v>75</v>
      </c>
      <c r="C35" s="27">
        <v>195.0</v>
      </c>
      <c r="D35" s="28">
        <v>12.0</v>
      </c>
      <c r="E35" s="30">
        <v>2.0</v>
      </c>
      <c r="F35" s="31">
        <v>5.0</v>
      </c>
      <c r="G35" s="27">
        <v>0.0</v>
      </c>
      <c r="H35" s="31">
        <v>0.0</v>
      </c>
      <c r="I35" s="31">
        <v>7.0</v>
      </c>
      <c r="J35" s="31">
        <v>6.0</v>
      </c>
      <c r="K35" s="32">
        <v>13.0</v>
      </c>
      <c r="L35" s="31">
        <v>2.0</v>
      </c>
      <c r="M35" s="27">
        <f t="shared" ref="M35:N35" si="32">C35+K35</f>
        <v>208</v>
      </c>
      <c r="N35" s="28">
        <f t="shared" si="32"/>
        <v>14</v>
      </c>
      <c r="O35" s="33" t="s">
        <v>37</v>
      </c>
      <c r="P35" s="33" t="s">
        <v>37</v>
      </c>
      <c r="Q35" s="31">
        <f>if(G35=13,1,0)+VLOOKUP(B35,'110423'!B:Q,16,false)</f>
        <v>0</v>
      </c>
      <c r="R35" s="31"/>
      <c r="S35" s="31">
        <f>if(G35=9,1,0)+VLOOKUP(B35,'110423'!B:S,18,false)</f>
        <v>5</v>
      </c>
    </row>
    <row r="36">
      <c r="A36" s="25">
        <f t="shared" si="3"/>
        <v>32</v>
      </c>
      <c r="B36" s="26" t="s">
        <v>71</v>
      </c>
      <c r="C36" s="27">
        <v>195.0</v>
      </c>
      <c r="D36" s="28">
        <v>11.0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204</v>
      </c>
      <c r="N36" s="28">
        <f t="shared" si="33"/>
        <v>11</v>
      </c>
      <c r="O36" s="33" t="s">
        <v>37</v>
      </c>
      <c r="P36" s="33" t="s">
        <v>37</v>
      </c>
      <c r="Q36" s="31">
        <f>if(G36=13,1,0)+VLOOKUP(B36,'110423'!B:Q,16,false)</f>
        <v>1</v>
      </c>
      <c r="R36" s="31"/>
      <c r="S36" s="31">
        <f>if(G36=9,1,0)+VLOOKUP(B36,'110423'!B:S,18,false)</f>
        <v>13</v>
      </c>
    </row>
    <row r="37">
      <c r="A37" s="25">
        <f t="shared" si="3"/>
        <v>33</v>
      </c>
      <c r="B37" s="26" t="s">
        <v>80</v>
      </c>
      <c r="C37" s="27">
        <v>195.0</v>
      </c>
      <c r="D37" s="28">
        <v>10.0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204</v>
      </c>
      <c r="N37" s="28">
        <f t="shared" si="34"/>
        <v>10</v>
      </c>
      <c r="O37" s="33" t="s">
        <v>37</v>
      </c>
      <c r="P37" s="33" t="s">
        <v>37</v>
      </c>
      <c r="Q37" s="31">
        <f>if(G37=13,1,0)+VLOOKUP(B37,'110423'!B:Q,16,false)</f>
        <v>0</v>
      </c>
      <c r="R37" s="31"/>
      <c r="S37" s="31">
        <f>if(G37=9,1,0)+VLOOKUP(B37,'110423'!B:S,18,false)</f>
        <v>15</v>
      </c>
    </row>
    <row r="38">
      <c r="A38" s="25">
        <f t="shared" si="3"/>
        <v>34</v>
      </c>
      <c r="B38" s="26" t="s">
        <v>78</v>
      </c>
      <c r="C38" s="27">
        <v>194.0</v>
      </c>
      <c r="D38" s="28">
        <v>15.0</v>
      </c>
      <c r="E38" s="30">
        <v>2.0</v>
      </c>
      <c r="F38" s="31">
        <v>6.0</v>
      </c>
      <c r="G38" s="27">
        <v>0.0</v>
      </c>
      <c r="H38" s="31">
        <v>3.0</v>
      </c>
      <c r="I38" s="31">
        <v>6.0</v>
      </c>
      <c r="J38" s="31">
        <v>3.0</v>
      </c>
      <c r="K38" s="32">
        <v>12.0</v>
      </c>
      <c r="L38" s="31">
        <v>1.0</v>
      </c>
      <c r="M38" s="27">
        <f t="shared" ref="M38:N38" si="35">C38+K38</f>
        <v>206</v>
      </c>
      <c r="N38" s="28">
        <f t="shared" si="35"/>
        <v>16</v>
      </c>
      <c r="O38" s="33" t="s">
        <v>37</v>
      </c>
      <c r="P38" s="33" t="s">
        <v>37</v>
      </c>
      <c r="Q38" s="31">
        <f>if(G38=13,1,0)+VLOOKUP(B38,'110423'!B:Q,16,false)</f>
        <v>0</v>
      </c>
      <c r="R38" s="31"/>
      <c r="S38" s="31">
        <f>if(G38=9,1,0)+VLOOKUP(B38,'110423'!B:S,18,false)</f>
        <v>6</v>
      </c>
    </row>
    <row r="39">
      <c r="A39" s="25">
        <f t="shared" si="3"/>
        <v>35</v>
      </c>
      <c r="B39" s="36" t="s">
        <v>81</v>
      </c>
      <c r="C39" s="27">
        <v>193.0</v>
      </c>
      <c r="D39" s="28">
        <v>11.0</v>
      </c>
      <c r="E39" s="30">
        <v>3.0</v>
      </c>
      <c r="F39" s="31">
        <v>0.0</v>
      </c>
      <c r="G39" s="27">
        <v>9.0</v>
      </c>
      <c r="H39" s="31">
        <v>0.0</v>
      </c>
      <c r="I39" s="31">
        <v>0.0</v>
      </c>
      <c r="J39" s="31">
        <v>0.0</v>
      </c>
      <c r="K39" s="32">
        <v>9.0</v>
      </c>
      <c r="L39" s="31">
        <v>0.0</v>
      </c>
      <c r="M39" s="27">
        <f t="shared" ref="M39:N39" si="36">C39+K39</f>
        <v>202</v>
      </c>
      <c r="N39" s="28">
        <f t="shared" si="36"/>
        <v>11</v>
      </c>
      <c r="O39" s="33" t="s">
        <v>37</v>
      </c>
      <c r="P39" s="33" t="s">
        <v>37</v>
      </c>
      <c r="Q39" s="31">
        <f>if(G39=13,1,0)+VLOOKUP(B39,'110423'!B:Q,16,false)</f>
        <v>0</v>
      </c>
      <c r="R39" s="31"/>
      <c r="S39" s="31">
        <f>if(G39=9,1,0)+VLOOKUP(B39,'110423'!B:S,18,false)</f>
        <v>6</v>
      </c>
    </row>
    <row r="40">
      <c r="A40" s="25">
        <f t="shared" si="3"/>
        <v>36</v>
      </c>
      <c r="B40" s="36" t="s">
        <v>83</v>
      </c>
      <c r="C40" s="27">
        <v>189.0</v>
      </c>
      <c r="D40" s="28">
        <v>9.0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198</v>
      </c>
      <c r="N40" s="28">
        <f t="shared" si="37"/>
        <v>9</v>
      </c>
      <c r="O40" s="33" t="s">
        <v>37</v>
      </c>
      <c r="P40" s="33" t="s">
        <v>37</v>
      </c>
      <c r="Q40" s="31">
        <f>if(G40=13,1,0)+VLOOKUP(B40,'110423'!B:Q,16,false)</f>
        <v>0</v>
      </c>
      <c r="R40" s="31"/>
      <c r="S40" s="31">
        <f>if(G40=9,1,0)+VLOOKUP(B40,'110423'!B:S,18,false)</f>
        <v>11</v>
      </c>
    </row>
    <row r="41">
      <c r="A41" s="25">
        <f t="shared" si="3"/>
        <v>37</v>
      </c>
      <c r="B41" s="36" t="s">
        <v>69</v>
      </c>
      <c r="C41" s="27">
        <v>189.0</v>
      </c>
      <c r="D41" s="28">
        <v>8.0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198</v>
      </c>
      <c r="N41" s="28">
        <f t="shared" si="38"/>
        <v>8</v>
      </c>
      <c r="O41" s="33" t="s">
        <v>37</v>
      </c>
      <c r="P41" s="33" t="s">
        <v>37</v>
      </c>
      <c r="Q41" s="31">
        <f>if(G41=13,1,0)+VLOOKUP(B41,'110423'!B:Q,16,false)</f>
        <v>0</v>
      </c>
      <c r="R41" s="31"/>
      <c r="S41" s="31">
        <f>if(G41=9,1,0)+VLOOKUP(B41,'110423'!B:S,18,false)</f>
        <v>16</v>
      </c>
    </row>
    <row r="42">
      <c r="A42" s="25">
        <f t="shared" si="3"/>
        <v>38</v>
      </c>
      <c r="B42" s="26" t="s">
        <v>89</v>
      </c>
      <c r="C42" s="27">
        <v>184.0</v>
      </c>
      <c r="D42" s="28">
        <v>9.0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193</v>
      </c>
      <c r="N42" s="28">
        <f t="shared" si="39"/>
        <v>9</v>
      </c>
      <c r="O42" s="33" t="s">
        <v>37</v>
      </c>
      <c r="P42" s="33" t="s">
        <v>37</v>
      </c>
      <c r="Q42" s="31">
        <f>if(G42=13,1,0)+VLOOKUP(B42,'110423'!B:Q,16,false)</f>
        <v>2</v>
      </c>
      <c r="R42" s="31"/>
      <c r="S42" s="31">
        <f>if(G42=9,1,0)+VLOOKUP(B42,'110423'!B:S,18,false)</f>
        <v>6</v>
      </c>
    </row>
    <row r="43">
      <c r="A43" s="25">
        <f t="shared" si="3"/>
        <v>39</v>
      </c>
      <c r="B43" s="36" t="s">
        <v>88</v>
      </c>
      <c r="C43" s="27">
        <v>184.0</v>
      </c>
      <c r="D43" s="28">
        <v>8.0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193</v>
      </c>
      <c r="N43" s="28">
        <f t="shared" si="40"/>
        <v>8</v>
      </c>
      <c r="O43" s="33" t="s">
        <v>37</v>
      </c>
      <c r="P43" s="33" t="s">
        <v>37</v>
      </c>
      <c r="Q43" s="31">
        <f>if(G43=13,1,0)+VLOOKUP(B43,'110423'!B:Q,16,false)</f>
        <v>0</v>
      </c>
      <c r="R43" s="31"/>
      <c r="S43" s="31">
        <f>if(G43=9,1,0)+VLOOKUP(B43,'110423'!B:S,18,false)</f>
        <v>13</v>
      </c>
    </row>
    <row r="44">
      <c r="A44" s="25">
        <f t="shared" si="3"/>
        <v>40</v>
      </c>
      <c r="B44" s="26" t="s">
        <v>87</v>
      </c>
      <c r="C44" s="27">
        <v>182.0</v>
      </c>
      <c r="D44" s="28">
        <v>8.0</v>
      </c>
      <c r="E44" s="30">
        <v>1.0</v>
      </c>
      <c r="F44" s="31">
        <v>6.0</v>
      </c>
      <c r="G44" s="27">
        <v>0.0</v>
      </c>
      <c r="H44" s="31">
        <v>6.0</v>
      </c>
      <c r="I44" s="31">
        <v>3.0</v>
      </c>
      <c r="J44" s="31">
        <v>3.0</v>
      </c>
      <c r="K44" s="32">
        <v>12.0</v>
      </c>
      <c r="L44" s="31">
        <v>1.0</v>
      </c>
      <c r="M44" s="27">
        <f t="shared" ref="M44:N44" si="41">C44+K44</f>
        <v>194</v>
      </c>
      <c r="N44" s="28">
        <f t="shared" si="41"/>
        <v>9</v>
      </c>
      <c r="O44" s="33" t="s">
        <v>37</v>
      </c>
      <c r="P44" s="33" t="s">
        <v>37</v>
      </c>
      <c r="Q44" s="31">
        <f>if(G44=13,1,0)+VLOOKUP(B44,'110423'!B:Q,16,false)</f>
        <v>1</v>
      </c>
      <c r="R44" s="31"/>
      <c r="S44" s="31">
        <f>if(G44=9,1,0)+VLOOKUP(B44,'110423'!B:S,18,false)</f>
        <v>9</v>
      </c>
    </row>
    <row r="45">
      <c r="A45" s="25">
        <f t="shared" si="3"/>
        <v>41</v>
      </c>
      <c r="B45" s="26" t="s">
        <v>90</v>
      </c>
      <c r="C45" s="27">
        <v>181.0</v>
      </c>
      <c r="D45" s="28">
        <v>12.0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190</v>
      </c>
      <c r="N45" s="28">
        <f t="shared" si="42"/>
        <v>12</v>
      </c>
      <c r="O45" s="33" t="s">
        <v>37</v>
      </c>
      <c r="P45" s="33" t="s">
        <v>37</v>
      </c>
      <c r="Q45" s="31">
        <f>if(G45=13,1,0)+VLOOKUP(B45,'110423'!B:Q,16,false)</f>
        <v>0</v>
      </c>
      <c r="R45" s="31"/>
      <c r="S45" s="31">
        <f>if(G45=9,1,0)+VLOOKUP(B45,'110423'!B:S,18,false)</f>
        <v>9</v>
      </c>
    </row>
    <row r="46">
      <c r="A46" s="25">
        <f t="shared" si="3"/>
        <v>42</v>
      </c>
      <c r="B46" s="26" t="s">
        <v>86</v>
      </c>
      <c r="C46" s="27">
        <v>181.0</v>
      </c>
      <c r="D46" s="28">
        <v>10.0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190</v>
      </c>
      <c r="N46" s="28">
        <f t="shared" si="43"/>
        <v>10</v>
      </c>
      <c r="O46" s="33" t="s">
        <v>37</v>
      </c>
      <c r="P46" s="33" t="s">
        <v>37</v>
      </c>
      <c r="Q46" s="31">
        <f>if(G46=13,1,0)+VLOOKUP(B46,'110423'!B:Q,16,false)</f>
        <v>0</v>
      </c>
      <c r="R46" s="31"/>
      <c r="S46" s="31">
        <f>if(G46=9,1,0)+VLOOKUP(B46,'110423'!B:S,18,false)</f>
        <v>10</v>
      </c>
    </row>
    <row r="47">
      <c r="A47" s="25">
        <f t="shared" si="3"/>
        <v>43</v>
      </c>
      <c r="B47" s="36" t="s">
        <v>93</v>
      </c>
      <c r="C47" s="27">
        <v>176.0</v>
      </c>
      <c r="D47" s="28">
        <v>5.0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185</v>
      </c>
      <c r="N47" s="28">
        <f t="shared" si="44"/>
        <v>5</v>
      </c>
      <c r="O47" s="33" t="s">
        <v>37</v>
      </c>
      <c r="P47" s="33" t="s">
        <v>37</v>
      </c>
      <c r="Q47" s="31">
        <f>if(G47=13,1,0)+VLOOKUP(B47,'110423'!B:Q,16,false)</f>
        <v>0</v>
      </c>
      <c r="R47" s="31"/>
      <c r="S47" s="31">
        <f>if(G47=9,1,0)+VLOOKUP(B47,'110423'!B:S,18,false)</f>
        <v>17</v>
      </c>
    </row>
    <row r="48">
      <c r="A48" s="25">
        <f t="shared" si="3"/>
        <v>44</v>
      </c>
      <c r="B48" s="36" t="s">
        <v>85</v>
      </c>
      <c r="C48" s="27">
        <v>175.0</v>
      </c>
      <c r="D48" s="28">
        <v>12.0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184</v>
      </c>
      <c r="N48" s="28">
        <f t="shared" si="45"/>
        <v>12</v>
      </c>
      <c r="O48" s="33" t="s">
        <v>37</v>
      </c>
      <c r="P48" s="33" t="s">
        <v>37</v>
      </c>
      <c r="Q48" s="31">
        <f>if(G48=13,1,0)+VLOOKUP(B48,'110423'!B:Q,16,false)</f>
        <v>0</v>
      </c>
      <c r="R48" s="31"/>
      <c r="S48" s="31">
        <f>if(G48=9,1,0)+VLOOKUP(B48,'110423'!B:S,18,false)</f>
        <v>9</v>
      </c>
    </row>
    <row r="49">
      <c r="A49" s="25">
        <f t="shared" si="3"/>
        <v>45</v>
      </c>
      <c r="B49" s="36" t="s">
        <v>82</v>
      </c>
      <c r="C49" s="27">
        <v>174.0</v>
      </c>
      <c r="D49" s="28">
        <v>5.0</v>
      </c>
      <c r="E49" s="30">
        <v>1.0</v>
      </c>
      <c r="F49" s="31"/>
      <c r="G49" s="27">
        <v>0.0</v>
      </c>
      <c r="H49" s="31">
        <v>6.0</v>
      </c>
      <c r="I49" s="31">
        <v>6.0</v>
      </c>
      <c r="J49" s="31">
        <v>6.0</v>
      </c>
      <c r="K49" s="32">
        <v>18.0</v>
      </c>
      <c r="L49" s="31">
        <v>3.0</v>
      </c>
      <c r="M49" s="27">
        <f t="shared" ref="M49:N49" si="46">C49+K49</f>
        <v>192</v>
      </c>
      <c r="N49" s="28">
        <f t="shared" si="46"/>
        <v>8</v>
      </c>
      <c r="O49" s="33" t="s">
        <v>37</v>
      </c>
      <c r="P49" s="33" t="s">
        <v>37</v>
      </c>
      <c r="Q49" s="31">
        <f>if(G49=13,1,0)+VLOOKUP(B49,'110423'!B:Q,16,false)</f>
        <v>0</v>
      </c>
      <c r="R49" s="31"/>
      <c r="S49" s="31">
        <f>if(G49=9,1,0)+VLOOKUP(B49,'110423'!B:S,18,false)</f>
        <v>16</v>
      </c>
    </row>
    <row r="50">
      <c r="A50" s="25">
        <f t="shared" si="3"/>
        <v>46</v>
      </c>
      <c r="B50" s="26" t="s">
        <v>91</v>
      </c>
      <c r="C50" s="27">
        <v>174.0</v>
      </c>
      <c r="D50" s="28">
        <v>4.0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183</v>
      </c>
      <c r="N50" s="28">
        <f t="shared" si="47"/>
        <v>4</v>
      </c>
      <c r="O50" s="33" t="s">
        <v>37</v>
      </c>
      <c r="P50" s="33" t="s">
        <v>37</v>
      </c>
      <c r="Q50" s="31">
        <f>if(G50=13,1,0)+VLOOKUP(B50,'110423'!B:Q,16,false)</f>
        <v>1</v>
      </c>
      <c r="R50" s="31"/>
      <c r="S50" s="31">
        <f>if(G50=9,1,0)+VLOOKUP(B50,'110423'!B:S,18,false)</f>
        <v>15</v>
      </c>
    </row>
    <row r="51">
      <c r="A51" s="25">
        <f t="shared" si="3"/>
        <v>47</v>
      </c>
      <c r="B51" s="36" t="s">
        <v>94</v>
      </c>
      <c r="C51" s="27">
        <v>174.0</v>
      </c>
      <c r="D51" s="28">
        <v>4.0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183</v>
      </c>
      <c r="N51" s="28">
        <f t="shared" si="48"/>
        <v>4</v>
      </c>
      <c r="O51" s="33" t="s">
        <v>37</v>
      </c>
      <c r="P51" s="33" t="s">
        <v>37</v>
      </c>
      <c r="Q51" s="31">
        <f>if(G51=13,1,0)+VLOOKUP(B51,'110423'!B:Q,16,false)</f>
        <v>0</v>
      </c>
      <c r="R51" s="31"/>
      <c r="S51" s="31">
        <f>if(G51=9,1,0)+VLOOKUP(B51,'110423'!B:S,18,false)</f>
        <v>14</v>
      </c>
    </row>
    <row r="52">
      <c r="A52" s="25">
        <f t="shared" si="3"/>
        <v>48</v>
      </c>
      <c r="B52" s="36" t="s">
        <v>97</v>
      </c>
      <c r="C52" s="27">
        <v>171.0</v>
      </c>
      <c r="D52" s="28">
        <v>7.0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180</v>
      </c>
      <c r="N52" s="28">
        <f t="shared" si="49"/>
        <v>7</v>
      </c>
      <c r="O52" s="33" t="s">
        <v>37</v>
      </c>
      <c r="P52" s="33" t="s">
        <v>37</v>
      </c>
      <c r="Q52" s="31">
        <f>if(G52=13,1,0)+VLOOKUP(B52,'110423'!B:Q,16,false)</f>
        <v>0</v>
      </c>
      <c r="R52" s="31"/>
      <c r="S52" s="31">
        <f>if(G52=9,1,0)+VLOOKUP(B52,'110423'!B:S,18,false)</f>
        <v>13</v>
      </c>
    </row>
    <row r="53">
      <c r="A53" s="25">
        <f t="shared" si="3"/>
        <v>49</v>
      </c>
      <c r="B53" s="36" t="s">
        <v>98</v>
      </c>
      <c r="C53" s="27">
        <v>171.0</v>
      </c>
      <c r="D53" s="28">
        <v>3.0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180</v>
      </c>
      <c r="N53" s="28">
        <f t="shared" si="50"/>
        <v>3</v>
      </c>
      <c r="O53" s="33" t="s">
        <v>37</v>
      </c>
      <c r="P53" s="33" t="s">
        <v>37</v>
      </c>
      <c r="Q53" s="31">
        <f>if(G53=13,1,0)+VLOOKUP(B53,'110423'!B:Q,16,false)</f>
        <v>0</v>
      </c>
      <c r="R53" s="31"/>
      <c r="S53" s="31">
        <f>if(G53=9,1,0)+VLOOKUP(B53,'110423'!B:S,18,false)</f>
        <v>14</v>
      </c>
    </row>
    <row r="54">
      <c r="A54" s="25">
        <f t="shared" si="3"/>
        <v>50</v>
      </c>
      <c r="B54" s="36" t="s">
        <v>99</v>
      </c>
      <c r="C54" s="27">
        <v>171.0</v>
      </c>
      <c r="D54" s="28">
        <v>3.0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180</v>
      </c>
      <c r="N54" s="28">
        <f t="shared" si="51"/>
        <v>3</v>
      </c>
      <c r="O54" s="33" t="s">
        <v>37</v>
      </c>
      <c r="P54" s="33" t="s">
        <v>37</v>
      </c>
      <c r="Q54" s="31">
        <f>if(G54=13,1,0)+VLOOKUP(B54,'110423'!B:Q,16,false)</f>
        <v>0</v>
      </c>
      <c r="R54" s="31"/>
      <c r="S54" s="31">
        <f>if(G54=9,1,0)+VLOOKUP(B54,'110423'!B:S,18,false)</f>
        <v>15</v>
      </c>
    </row>
    <row r="55">
      <c r="A55" s="25">
        <f t="shared" si="3"/>
        <v>51</v>
      </c>
      <c r="B55" s="26" t="s">
        <v>95</v>
      </c>
      <c r="C55" s="27">
        <v>169.0</v>
      </c>
      <c r="D55" s="28">
        <v>5.0</v>
      </c>
      <c r="E55" s="30">
        <v>2.0</v>
      </c>
      <c r="F55" s="31">
        <v>6.0</v>
      </c>
      <c r="G55" s="27">
        <v>0.0</v>
      </c>
      <c r="H55" s="31">
        <v>3.0</v>
      </c>
      <c r="I55" s="31">
        <v>3.0</v>
      </c>
      <c r="J55" s="31">
        <v>6.0</v>
      </c>
      <c r="K55" s="32">
        <v>12.0</v>
      </c>
      <c r="L55" s="31">
        <v>1.0</v>
      </c>
      <c r="M55" s="27">
        <f t="shared" ref="M55:N55" si="52">C55+K55</f>
        <v>181</v>
      </c>
      <c r="N55" s="28">
        <f t="shared" si="52"/>
        <v>6</v>
      </c>
      <c r="O55" s="33" t="s">
        <v>37</v>
      </c>
      <c r="P55" s="33" t="s">
        <v>37</v>
      </c>
      <c r="Q55" s="31">
        <f>if(G55=13,1,0)+VLOOKUP(B55,'110423'!B:Q,16,false)</f>
        <v>0</v>
      </c>
      <c r="R55" s="31"/>
      <c r="S55" s="31">
        <f>if(G55=9,1,0)+VLOOKUP(B55,'110423'!B:S,18,false)</f>
        <v>13</v>
      </c>
    </row>
    <row r="56">
      <c r="A56" s="25">
        <f t="shared" si="3"/>
        <v>52</v>
      </c>
      <c r="B56" s="36" t="s">
        <v>76</v>
      </c>
      <c r="C56" s="27">
        <v>169.0</v>
      </c>
      <c r="D56" s="28">
        <v>4.0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178</v>
      </c>
      <c r="N56" s="28">
        <f t="shared" si="53"/>
        <v>4</v>
      </c>
      <c r="O56" s="33" t="s">
        <v>37</v>
      </c>
      <c r="P56" s="33" t="s">
        <v>37</v>
      </c>
      <c r="Q56" s="31">
        <f>if(G56=13,1,0)+VLOOKUP(B56,'110423'!B:Q,16,false)</f>
        <v>0</v>
      </c>
      <c r="R56" s="31"/>
      <c r="S56" s="31">
        <f>if(G56=9,1,0)+VLOOKUP(B56,'110423'!B:S,18,false)</f>
        <v>17</v>
      </c>
    </row>
    <row r="57">
      <c r="A57" s="25">
        <f t="shared" si="3"/>
        <v>53</v>
      </c>
      <c r="B57" s="36" t="s">
        <v>101</v>
      </c>
      <c r="C57" s="27">
        <v>166.0</v>
      </c>
      <c r="D57" s="28">
        <v>2.0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175</v>
      </c>
      <c r="N57" s="28">
        <f t="shared" si="54"/>
        <v>2</v>
      </c>
      <c r="O57" s="33" t="s">
        <v>37</v>
      </c>
      <c r="P57" s="33" t="s">
        <v>37</v>
      </c>
      <c r="Q57" s="31">
        <f>if(G57=13,1,0)+VLOOKUP(B57,'110423'!B:Q,16,false)</f>
        <v>0</v>
      </c>
      <c r="R57" s="31"/>
      <c r="S57" s="31">
        <f>if(G57=9,1,0)+VLOOKUP(B57,'110423'!B:S,18,false)</f>
        <v>18</v>
      </c>
    </row>
    <row r="58">
      <c r="A58" s="25">
        <f t="shared" si="3"/>
        <v>54</v>
      </c>
      <c r="B58" s="26" t="s">
        <v>100</v>
      </c>
      <c r="C58" s="27">
        <v>165.0</v>
      </c>
      <c r="D58" s="28">
        <v>3.0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174</v>
      </c>
      <c r="N58" s="28">
        <f t="shared" si="55"/>
        <v>3</v>
      </c>
      <c r="O58" s="33" t="s">
        <v>37</v>
      </c>
      <c r="P58" s="33" t="s">
        <v>37</v>
      </c>
      <c r="Q58" s="31">
        <f>if(G58=13,1,0)+VLOOKUP(B58,'110423'!B:Q,16,false)</f>
        <v>0</v>
      </c>
      <c r="R58" s="31"/>
      <c r="S58" s="31">
        <f>if(G58=9,1,0)+VLOOKUP(B58,'110423'!B:S,18,false)</f>
        <v>17</v>
      </c>
    </row>
    <row r="59">
      <c r="A59" s="25">
        <f t="shared" si="3"/>
        <v>55</v>
      </c>
      <c r="B59" s="26" t="s">
        <v>103</v>
      </c>
      <c r="C59" s="27">
        <v>162.0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171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if(G59=13,1,0)+VLOOKUP(B59,'110423'!B:Q,16,false)</f>
        <v>0</v>
      </c>
      <c r="R59" s="31"/>
      <c r="S59" s="31">
        <f>if(G59=9,1,0)+VLOOKUP(B59,'110423'!B:S,18,false)</f>
        <v>19</v>
      </c>
    </row>
    <row r="60">
      <c r="A60" s="25">
        <f t="shared" si="3"/>
        <v>56</v>
      </c>
      <c r="B60" s="38" t="s">
        <v>92</v>
      </c>
      <c r="C60" s="27">
        <v>162.0</v>
      </c>
      <c r="D60" s="28">
        <v>0.0</v>
      </c>
      <c r="E60" s="30">
        <v>1.0</v>
      </c>
      <c r="F60" s="31"/>
      <c r="G60" s="27">
        <v>0.0</v>
      </c>
      <c r="H60" s="31">
        <v>6.0</v>
      </c>
      <c r="I60" s="31">
        <v>6.0</v>
      </c>
      <c r="J60" s="31">
        <v>6.0</v>
      </c>
      <c r="K60" s="32">
        <v>18.0</v>
      </c>
      <c r="L60" s="31">
        <v>3.0</v>
      </c>
      <c r="M60" s="27">
        <f t="shared" ref="M60:N60" si="57">C60+K60</f>
        <v>180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if(G60=13,1,0)+VLOOKUP(B60,'110423'!B:Q,16,false)</f>
        <v>0</v>
      </c>
      <c r="R60" s="31"/>
      <c r="S60" s="31">
        <f>if(G60=9,1,0)+VLOOKUP(B60,'110423'!B:S,18,false)</f>
        <v>17</v>
      </c>
    </row>
    <row r="61">
      <c r="A61" s="25">
        <f t="shared" si="3"/>
        <v>57</v>
      </c>
      <c r="B61" s="38" t="s">
        <v>104</v>
      </c>
      <c r="C61" s="27">
        <v>162.0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171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if(G61=13,1,0)+VLOOKUP(B61,'110423'!B:Q,16,false)</f>
        <v>0</v>
      </c>
      <c r="R61" s="31"/>
      <c r="S61" s="31">
        <f>if(G61=9,1,0)+VLOOKUP(B61,'110423'!B:S,18,false)</f>
        <v>19</v>
      </c>
    </row>
    <row r="62">
      <c r="A62" s="25">
        <f t="shared" si="3"/>
        <v>58</v>
      </c>
      <c r="B62" s="26" t="s">
        <v>105</v>
      </c>
      <c r="C62" s="27">
        <v>162.0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171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if(G62=13,1,0)+VLOOKUP(B62,'110423'!B:Q,16,false)</f>
        <v>0</v>
      </c>
      <c r="R62" s="31"/>
      <c r="S62" s="31">
        <f>if(G62=9,1,0)+VLOOKUP(B62,'110423'!B:S,18,false)</f>
        <v>19</v>
      </c>
    </row>
    <row r="63">
      <c r="A63" s="25">
        <f t="shared" si="3"/>
        <v>59</v>
      </c>
      <c r="B63" s="26" t="s">
        <v>106</v>
      </c>
      <c r="C63" s="27">
        <v>162.0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171</v>
      </c>
      <c r="N63" s="28">
        <f t="shared" si="60"/>
        <v>0</v>
      </c>
      <c r="O63" s="33" t="s">
        <v>37</v>
      </c>
      <c r="P63" s="33" t="s">
        <v>37</v>
      </c>
      <c r="Q63" s="31">
        <f>if(G63=13,1,0)+VLOOKUP(B63,'110423'!B:Q,16,false)</f>
        <v>0</v>
      </c>
      <c r="R63" s="31"/>
      <c r="S63" s="31">
        <f>if(G63=9,1,0)+VLOOKUP(B63,'110423'!B:S,18,false)</f>
        <v>19</v>
      </c>
    </row>
    <row r="64">
      <c r="A64" s="25">
        <f t="shared" si="3"/>
        <v>60</v>
      </c>
      <c r="B64" s="36" t="s">
        <v>96</v>
      </c>
      <c r="C64" s="27">
        <v>161.0</v>
      </c>
      <c r="D64" s="28">
        <v>11.0</v>
      </c>
      <c r="E64" s="30">
        <v>1.0</v>
      </c>
      <c r="F64" s="31">
        <v>7.0</v>
      </c>
      <c r="G64" s="27">
        <v>0.0</v>
      </c>
      <c r="H64" s="31">
        <v>6.0</v>
      </c>
      <c r="I64" s="31">
        <v>2.0</v>
      </c>
      <c r="J64" s="31">
        <v>2.0</v>
      </c>
      <c r="K64" s="32">
        <v>10.0</v>
      </c>
      <c r="L64" s="31">
        <v>1.0</v>
      </c>
      <c r="M64" s="27">
        <f t="shared" ref="M64:N64" si="61">C64+K64</f>
        <v>171</v>
      </c>
      <c r="N64" s="28">
        <f t="shared" si="61"/>
        <v>12</v>
      </c>
      <c r="O64" s="33" t="s">
        <v>37</v>
      </c>
      <c r="P64" s="33" t="s">
        <v>37</v>
      </c>
      <c r="Q64" s="31">
        <f>if(G64=13,1,0)+VLOOKUP(B64,'110423'!B:Q,16,false)</f>
        <v>0</v>
      </c>
      <c r="R64" s="31"/>
      <c r="S64" s="31">
        <f>if(G64=9,1,0)+VLOOKUP(B64,'110423'!B:S,18,false)</f>
        <v>7</v>
      </c>
    </row>
    <row r="65">
      <c r="A65" s="25">
        <f t="shared" si="3"/>
        <v>61</v>
      </c>
      <c r="B65" s="36" t="s">
        <v>107</v>
      </c>
      <c r="C65" s="27">
        <v>160.0</v>
      </c>
      <c r="D65" s="28">
        <v>1.0</v>
      </c>
      <c r="E65" s="30">
        <v>1.0</v>
      </c>
      <c r="F65" s="31"/>
      <c r="G65" s="27">
        <v>0.0</v>
      </c>
      <c r="H65" s="31">
        <v>1.0</v>
      </c>
      <c r="I65" s="31">
        <v>2.0</v>
      </c>
      <c r="J65" s="31">
        <v>6.0</v>
      </c>
      <c r="K65" s="32">
        <v>9.0</v>
      </c>
      <c r="L65" s="31">
        <v>1.0</v>
      </c>
      <c r="M65" s="27">
        <f t="shared" ref="M65:N65" si="62">C65+K65</f>
        <v>169</v>
      </c>
      <c r="N65" s="28">
        <f t="shared" si="62"/>
        <v>2</v>
      </c>
      <c r="O65" s="33" t="s">
        <v>37</v>
      </c>
      <c r="P65" s="33" t="s">
        <v>37</v>
      </c>
      <c r="Q65" s="31">
        <f>if(G65=13,1,0)+VLOOKUP(B65,'110423'!B:Q,16,false)</f>
        <v>0</v>
      </c>
      <c r="R65" s="31"/>
      <c r="S65" s="31">
        <f>if(G65=9,1,0)+VLOOKUP(B65,'110423'!B:S,18,false)</f>
        <v>17</v>
      </c>
    </row>
    <row r="66">
      <c r="A66" s="25">
        <f t="shared" si="3"/>
        <v>62</v>
      </c>
      <c r="B66" s="36" t="s">
        <v>108</v>
      </c>
      <c r="C66" s="27">
        <v>159.0</v>
      </c>
      <c r="D66" s="28">
        <v>5.0</v>
      </c>
      <c r="E66" s="30">
        <v>3.0</v>
      </c>
      <c r="F66" s="31">
        <v>0.0</v>
      </c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168</v>
      </c>
      <c r="N66" s="28">
        <f t="shared" si="63"/>
        <v>5</v>
      </c>
      <c r="O66" s="33" t="s">
        <v>37</v>
      </c>
      <c r="P66" s="33" t="s">
        <v>37</v>
      </c>
      <c r="Q66" s="31">
        <f>if(G66=13,1,0)+VLOOKUP(B66,'110423'!B:Q,16,false)</f>
        <v>0</v>
      </c>
      <c r="R66" s="31"/>
      <c r="S66" s="31">
        <f>if(G66=9,1,0)+VLOOKUP(B66,'110423'!B:S,18,false)</f>
        <v>14</v>
      </c>
    </row>
    <row r="67">
      <c r="A67" s="25">
        <f t="shared" si="3"/>
        <v>63</v>
      </c>
      <c r="B67" s="36" t="s">
        <v>102</v>
      </c>
      <c r="C67" s="27">
        <v>166.0</v>
      </c>
      <c r="D67" s="28">
        <v>2.0</v>
      </c>
      <c r="E67" s="30">
        <v>3.0</v>
      </c>
      <c r="F67" s="31"/>
      <c r="G67" s="27">
        <v>9.0</v>
      </c>
      <c r="H67" s="31"/>
      <c r="I67" s="31"/>
      <c r="J67" s="31"/>
      <c r="K67" s="32">
        <v>9.0</v>
      </c>
      <c r="L67" s="31"/>
      <c r="M67" s="27">
        <f t="shared" ref="M67:N67" si="64">C67+K67</f>
        <v>175</v>
      </c>
      <c r="N67" s="28">
        <f t="shared" si="64"/>
        <v>2</v>
      </c>
      <c r="O67" s="33" t="s">
        <v>37</v>
      </c>
      <c r="P67" s="33" t="s">
        <v>37</v>
      </c>
      <c r="Q67" s="31">
        <f>if(G67=13,1,0)+VLOOKUP(B67,'110423'!B:Q,16,false)</f>
        <v>0</v>
      </c>
      <c r="R67" s="31"/>
      <c r="S67" s="31">
        <f>if(G67=9,1,0)+VLOOKUP(B67,'110423'!B:S,18,false)</f>
        <v>18</v>
      </c>
    </row>
    <row r="68">
      <c r="A68" s="25">
        <f t="shared" si="3"/>
        <v>64</v>
      </c>
      <c r="B68" s="36" t="s">
        <v>109</v>
      </c>
      <c r="C68" s="27">
        <v>156.0</v>
      </c>
      <c r="D68" s="28">
        <v>1.0</v>
      </c>
      <c r="E68" s="30">
        <v>1.0</v>
      </c>
      <c r="F68" s="31">
        <v>7.0</v>
      </c>
      <c r="G68" s="27">
        <v>0.0</v>
      </c>
      <c r="H68" s="31">
        <v>1.0</v>
      </c>
      <c r="I68" s="31">
        <v>6.0</v>
      </c>
      <c r="J68" s="31">
        <v>2.0</v>
      </c>
      <c r="K68" s="32">
        <v>9.0</v>
      </c>
      <c r="L68" s="31">
        <v>0.0</v>
      </c>
      <c r="M68" s="27">
        <f t="shared" ref="M68:N68" si="65">C68+K68</f>
        <v>165</v>
      </c>
      <c r="N68" s="28">
        <f t="shared" si="65"/>
        <v>1</v>
      </c>
      <c r="O68" s="33" t="s">
        <v>37</v>
      </c>
      <c r="P68" s="33" t="s">
        <v>37</v>
      </c>
      <c r="Q68" s="31">
        <f>if(G68=13,1,0)+VLOOKUP(B68,'110423'!B:Q,16,false)</f>
        <v>0</v>
      </c>
      <c r="R68" s="31"/>
      <c r="S68" s="31">
        <f>if(G68=9,1,0)+VLOOKUP(B68,'110423'!B:S,18,false)</f>
        <v>8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64</v>
      </c>
    </row>
    <row r="71">
      <c r="A71" s="1"/>
      <c r="C71" s="1"/>
      <c r="D71" s="1"/>
      <c r="E71" s="1"/>
      <c r="O71" s="34" t="s">
        <v>111</v>
      </c>
      <c r="P71" s="40">
        <f>P72-P70</f>
        <v>0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desc"",0)"),"Pulkit Mathur")</f>
        <v>Pulkit Mathur</v>
      </c>
      <c r="C77" s="46">
        <f>IFERROR(__xludf.DUMMYFUNCTION("""COMPUTED_VALUE"""),20.0)</f>
        <v>20</v>
      </c>
      <c r="D77" s="46">
        <f>IFERROR(__xludf.DUMMYFUNCTION("""COMPUTED_VALUE"""),3.0)</f>
        <v>3</v>
      </c>
      <c r="E77" s="1"/>
      <c r="K77" s="42"/>
      <c r="L77" s="43"/>
    </row>
    <row r="78">
      <c r="A78" s="1"/>
      <c r="B78" s="36" t="str">
        <f>IFERROR(__xludf.DUMMYFUNCTION("""COMPUTED_VALUE"""),"David Shin")</f>
        <v>David Shin</v>
      </c>
      <c r="C78" s="46">
        <f>IFERROR(__xludf.DUMMYFUNCTION("""COMPUTED_VALUE"""),20.0)</f>
        <v>20</v>
      </c>
      <c r="D78" s="46">
        <f>IFERROR(__xludf.DUMMYFUNCTION("""COMPUTED_VALUE"""),2.0)</f>
        <v>2</v>
      </c>
      <c r="E78" s="1"/>
      <c r="L78" s="47"/>
    </row>
    <row r="79">
      <c r="A79" s="1"/>
      <c r="B79" s="36" t="str">
        <f>IFERROR(__xludf.DUMMYFUNCTION("""COMPUTED_VALUE"""),"Tony Wong")</f>
        <v>Tony Wong</v>
      </c>
      <c r="C79" s="46">
        <f>IFERROR(__xludf.DUMMYFUNCTION("""COMPUTED_VALUE"""),20.0)</f>
        <v>20</v>
      </c>
      <c r="D79" s="46">
        <f>IFERROR(__xludf.DUMMYFUNCTION("""COMPUTED_VALUE"""),2.0)</f>
        <v>2</v>
      </c>
      <c r="E79" s="1"/>
    </row>
    <row r="80">
      <c r="A80" s="1"/>
      <c r="B80" s="36" t="str">
        <f>IFERROR(__xludf.DUMMYFUNCTION("""COMPUTED_VALUE"""),"Sai Dilip Ponnaganti")</f>
        <v>Sai Dilip Ponnaganti</v>
      </c>
      <c r="C80" s="46">
        <f>IFERROR(__xludf.DUMMYFUNCTION("""COMPUTED_VALUE"""),20.0)</f>
        <v>20</v>
      </c>
      <c r="D80" s="46">
        <f>IFERROR(__xludf.DUMMYFUNCTION("""COMPUTED_VALUE"""),2.0)</f>
        <v>2</v>
      </c>
      <c r="E80" s="1"/>
    </row>
    <row r="81">
      <c r="A81" s="1"/>
      <c r="B81" s="36" t="str">
        <f>IFERROR(__xludf.DUMMYFUNCTION("""COMPUTED_VALUE"""),"Robert Chang")</f>
        <v>Robert Chang</v>
      </c>
      <c r="C81" s="46">
        <f>IFERROR(__xludf.DUMMYFUNCTION("""COMPUTED_VALUE"""),18.0)</f>
        <v>18</v>
      </c>
      <c r="D81" s="46">
        <f>IFERROR(__xludf.DUMMYFUNCTION("""COMPUTED_VALUE"""),3.0)</f>
        <v>3</v>
      </c>
      <c r="E81" s="1"/>
      <c r="K81" s="34"/>
    </row>
    <row r="82">
      <c r="A82" s="1"/>
      <c r="B82" s="36" t="str">
        <f>IFERROR(__xludf.DUMMYFUNCTION("""COMPUTED_VALUE"""),"Andrew Chin")</f>
        <v>Andrew Chin</v>
      </c>
      <c r="C82" s="46">
        <f>IFERROR(__xludf.DUMMYFUNCTION("""COMPUTED_VALUE"""),18.0)</f>
        <v>18</v>
      </c>
      <c r="D82" s="46">
        <f>IFERROR(__xludf.DUMMYFUNCTION("""COMPUTED_VALUE"""),3.0)</f>
        <v>3</v>
      </c>
      <c r="E82" s="1"/>
      <c r="K82" s="34"/>
    </row>
    <row r="83">
      <c r="A83" s="1"/>
      <c r="B83" s="36" t="str">
        <f>IFERROR(__xludf.DUMMYFUNCTION("""COMPUTED_VALUE"""),"Luis Hsu")</f>
        <v>Luis Hsu</v>
      </c>
      <c r="C83" s="46">
        <f>IFERROR(__xludf.DUMMYFUNCTION("""COMPUTED_VALUE"""),18.0)</f>
        <v>18</v>
      </c>
      <c r="D83" s="46">
        <f>IFERROR(__xludf.DUMMYFUNCTION("""COMPUTED_VALUE"""),3.0)</f>
        <v>3</v>
      </c>
      <c r="E83" s="1"/>
      <c r="K83" s="34"/>
    </row>
    <row r="84">
      <c r="A84" s="1"/>
      <c r="B84" s="36" t="str">
        <f>IFERROR(__xludf.DUMMYFUNCTION("""COMPUTED_VALUE"""),"Jonathan Phan")</f>
        <v>Jonathan Phan</v>
      </c>
      <c r="C84" s="46">
        <f>IFERROR(__xludf.DUMMYFUNCTION("""COMPUTED_VALUE"""),18.0)</f>
        <v>18</v>
      </c>
      <c r="D84" s="46">
        <f>IFERROR(__xludf.DUMMYFUNCTION("""COMPUTED_VALUE"""),0.0)</f>
        <v>0</v>
      </c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IFERROR(__xludf.DUMMYFUNCTION("""COMPUTED_VALUE"""),246.0)</f>
        <v>246</v>
      </c>
      <c r="D90" s="50">
        <f>IFERROR(__xludf.DUMMYFUNCTION("""COMPUTED_VALUE"""),26.0)</f>
        <v>26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IFERROR(__xludf.DUMMYFUNCTION("""COMPUTED_VALUE"""),6.0)</f>
        <v>6</v>
      </c>
      <c r="I90" s="51">
        <f>IFERROR(__xludf.DUMMYFUNCTION("""COMPUTED_VALUE"""),1.0)</f>
        <v>1</v>
      </c>
      <c r="J90" s="51">
        <f>IFERROR(__xludf.DUMMYFUNCTION("""COMPUTED_VALUE"""),4.0)</f>
        <v>4</v>
      </c>
      <c r="K90" s="51">
        <f>IFERROR(__xludf.DUMMYFUNCTION("""COMPUTED_VALUE"""),11.0)</f>
        <v>11</v>
      </c>
      <c r="L90" s="51">
        <f>IFERROR(__xludf.DUMMYFUNCTION("""COMPUTED_VALUE"""),1.0)</f>
        <v>1</v>
      </c>
      <c r="M90" s="51">
        <f>IFERROR(__xludf.DUMMYFUNCTION("""COMPUTED_VALUE"""),257.0)</f>
        <v>257</v>
      </c>
      <c r="N90" s="52">
        <f>IFERROR(__xludf.DUMMYFUNCTION("""COMPUTED_VALUE"""),27.0)</f>
        <v>27</v>
      </c>
    </row>
    <row r="91">
      <c r="A91" s="1"/>
      <c r="B91" s="48" t="str">
        <f>IFERROR(__xludf.DUMMYFUNCTION("""COMPUTED_VALUE"""),"Adrian Tay")</f>
        <v>Adrian Tay</v>
      </c>
      <c r="C91" s="49">
        <f>IFERROR(__xludf.DUMMYFUNCTION("""COMPUTED_VALUE"""),241.0)</f>
        <v>241</v>
      </c>
      <c r="D91" s="50">
        <f>IFERROR(__xludf.DUMMYFUNCTION("""COMPUTED_VALUE"""),23.0)</f>
        <v>23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IFERROR(__xludf.DUMMYFUNCTION("""COMPUTED_VALUE"""),0.0)</f>
        <v>0</v>
      </c>
      <c r="I91" s="51">
        <f>IFERROR(__xludf.DUMMYFUNCTION("""COMPUTED_VALUE"""),6.0)</f>
        <v>6</v>
      </c>
      <c r="J91" s="51">
        <f>IFERROR(__xludf.DUMMYFUNCTION("""COMPUTED_VALUE"""),4.0)</f>
        <v>4</v>
      </c>
      <c r="K91" s="51">
        <f>IFERROR(__xludf.DUMMYFUNCTION("""COMPUTED_VALUE"""),10.0)</f>
        <v>10</v>
      </c>
      <c r="L91" s="51">
        <f>IFERROR(__xludf.DUMMYFUNCTION("""COMPUTED_VALUE"""),1.0)</f>
        <v>1</v>
      </c>
      <c r="M91" s="51">
        <f>IFERROR(__xludf.DUMMYFUNCTION("""COMPUTED_VALUE"""),251.0)</f>
        <v>251</v>
      </c>
      <c r="N91" s="52">
        <f>IFERROR(__xludf.DUMMYFUNCTION("""COMPUTED_VALUE"""),24.0)</f>
        <v>24</v>
      </c>
    </row>
    <row r="92">
      <c r="A92" s="1"/>
      <c r="B92" s="48" t="str">
        <f>IFERROR(__xludf.DUMMYFUNCTION("""COMPUTED_VALUE"""),"Robert Chang")</f>
        <v>Robert Chang</v>
      </c>
      <c r="C92" s="49">
        <f>IFERROR(__xludf.DUMMYFUNCTION("""COMPUTED_VALUE"""),231.0)</f>
        <v>231</v>
      </c>
      <c r="D92" s="50">
        <f>IFERROR(__xludf.DUMMYFUNCTION("""COMPUTED_VALUE"""),21.0)</f>
        <v>21</v>
      </c>
      <c r="E92" s="49">
        <f>IFERROR(__xludf.DUMMYFUNCTION("""COMPUTED_VALUE"""),2.0)</f>
        <v>2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IFERROR(__xludf.DUMMYFUNCTION("""COMPUTED_VALUE"""),6.0)</f>
        <v>6</v>
      </c>
      <c r="I92" s="51">
        <f>IFERROR(__xludf.DUMMYFUNCTION("""COMPUTED_VALUE"""),6.0)</f>
        <v>6</v>
      </c>
      <c r="J92" s="51">
        <f>IFERROR(__xludf.DUMMYFUNCTION("""COMPUTED_VALUE"""),6.0)</f>
        <v>6</v>
      </c>
      <c r="K92" s="51">
        <f>IFERROR(__xludf.DUMMYFUNCTION("""COMPUTED_VALUE"""),18.0)</f>
        <v>18</v>
      </c>
      <c r="L92" s="51">
        <f>IFERROR(__xludf.DUMMYFUNCTION("""COMPUTED_VALUE"""),3.0)</f>
        <v>3</v>
      </c>
      <c r="M92" s="51">
        <f>IFERROR(__xludf.DUMMYFUNCTION("""COMPUTED_VALUE"""),249.0)</f>
        <v>249</v>
      </c>
      <c r="N92" s="52">
        <f>IFERROR(__xludf.DUMMYFUNCTION("""COMPUTED_VALUE"""),24.0)</f>
        <v>24</v>
      </c>
    </row>
    <row r="93">
      <c r="A93" s="1"/>
      <c r="B93" s="48" t="str">
        <f>IFERROR(__xludf.DUMMYFUNCTION("""COMPUTED_VALUE"""),"Peter Homsey")</f>
        <v>Peter Homsey</v>
      </c>
      <c r="C93" s="49">
        <f>IFERROR(__xludf.DUMMYFUNCTION("""COMPUTED_VALUE"""),229.0)</f>
        <v>229</v>
      </c>
      <c r="D93" s="50">
        <f>IFERROR(__xludf.DUMMYFUNCTION("""COMPUTED_VALUE"""),20.0)</f>
        <v>20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IFERROR(__xludf.DUMMYFUNCTION("""COMPUTED_VALUE"""),0.0)</f>
        <v>0</v>
      </c>
      <c r="I93" s="51">
        <f>IFERROR(__xludf.DUMMYFUNCTION("""COMPUTED_VALUE"""),1.0)</f>
        <v>1</v>
      </c>
      <c r="J93" s="51">
        <f>IFERROR(__xludf.DUMMYFUNCTION("""COMPUTED_VALUE"""),6.0)</f>
        <v>6</v>
      </c>
      <c r="K93" s="51">
        <f>IFERROR(__xludf.DUMMYFUNCTION("""COMPUTED_VALUE"""),7.0)</f>
        <v>7</v>
      </c>
      <c r="L93" s="51">
        <f>IFERROR(__xludf.DUMMYFUNCTION("""COMPUTED_VALUE"""),1.0)</f>
        <v>1</v>
      </c>
      <c r="M93" s="51">
        <f>IFERROR(__xludf.DUMMYFUNCTION("""COMPUTED_VALUE"""),236.0)</f>
        <v>236</v>
      </c>
      <c r="N93" s="52">
        <f>IFERROR(__xludf.DUMMYFUNCTION("""COMPUTED_VALUE"""),21.0)</f>
        <v>21</v>
      </c>
    </row>
    <row r="94">
      <c r="A94" s="1"/>
      <c r="B94" s="53" t="str">
        <f>IFERROR(__xludf.DUMMYFUNCTION("""COMPUTED_VALUE"""),"Pulkit Mathur")</f>
        <v>Pulkit Mathur</v>
      </c>
      <c r="C94" s="54">
        <f>IFERROR(__xludf.DUMMYFUNCTION("""COMPUTED_VALUE"""),227.0)</f>
        <v>227</v>
      </c>
      <c r="D94" s="55">
        <f>IFERROR(__xludf.DUMMYFUNCTION("""COMPUTED_VALUE"""),20.0)</f>
        <v>20</v>
      </c>
      <c r="E94" s="54">
        <f>IFERROR(__xludf.DUMMYFUNCTION("""COMPUTED_VALUE"""),2.0)</f>
        <v>2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IFERROR(__xludf.DUMMYFUNCTION("""COMPUTED_VALUE"""),7.0)</f>
        <v>7</v>
      </c>
      <c r="I94" s="56">
        <f>IFERROR(__xludf.DUMMYFUNCTION("""COMPUTED_VALUE"""),6.0)</f>
        <v>6</v>
      </c>
      <c r="J94" s="56">
        <f>IFERROR(__xludf.DUMMYFUNCTION("""COMPUTED_VALUE"""),7.0)</f>
        <v>7</v>
      </c>
      <c r="K94" s="56">
        <f>IFERROR(__xludf.DUMMYFUNCTION("""COMPUTED_VALUE"""),20.0)</f>
        <v>20</v>
      </c>
      <c r="L94" s="56">
        <f>IFERROR(__xludf.DUMMYFUNCTION("""COMPUTED_VALUE"""),3.0)</f>
        <v>3</v>
      </c>
      <c r="M94" s="56">
        <f>IFERROR(__xludf.DUMMYFUNCTION("""COMPUTED_VALUE"""),247.0)</f>
        <v>247</v>
      </c>
      <c r="N94" s="57">
        <f>IFERROR(__xludf.DUMMYFUNCTION("""COMPUTED_VALUE"""),23.0)</f>
        <v>23</v>
      </c>
    </row>
    <row r="95">
      <c r="A95" s="1"/>
      <c r="B95" s="53" t="str">
        <f>IFERROR(__xludf.DUMMYFUNCTION("""COMPUTED_VALUE"""),"Pavan Akkimsetty")</f>
        <v>Pavan Akkimsetty</v>
      </c>
      <c r="C95" s="54">
        <f>IFERROR(__xludf.DUMMYFUNCTION("""COMPUTED_VALUE"""),224.0)</f>
        <v>224</v>
      </c>
      <c r="D95" s="55">
        <f>IFERROR(__xludf.DUMMYFUNCTION("""COMPUTED_VALUE"""),20.0)</f>
        <v>20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IFERROR(__xludf.DUMMYFUNCTION("""COMPUTED_VALUE"""),5.0)</f>
        <v>5</v>
      </c>
      <c r="I95" s="56">
        <f>IFERROR(__xludf.DUMMYFUNCTION("""COMPUTED_VALUE"""),6.0)</f>
        <v>6</v>
      </c>
      <c r="J95" s="56">
        <f>IFERROR(__xludf.DUMMYFUNCTION("""COMPUTED_VALUE"""),5.0)</f>
        <v>5</v>
      </c>
      <c r="K95" s="56">
        <f>IFERROR(__xludf.DUMMYFUNCTION("""COMPUTED_VALUE"""),16.0)</f>
        <v>16</v>
      </c>
      <c r="L95" s="56">
        <f>IFERROR(__xludf.DUMMYFUNCTION("""COMPUTED_VALUE"""),1.0)</f>
        <v>1</v>
      </c>
      <c r="M95" s="56">
        <f>IFERROR(__xludf.DUMMYFUNCTION("""COMPUTED_VALUE"""),240.0)</f>
        <v>240</v>
      </c>
      <c r="N95" s="57">
        <f>IFERROR(__xludf.DUMMYFUNCTION("""COMPUTED_VALUE"""),21.0)</f>
        <v>21</v>
      </c>
    </row>
    <row r="96">
      <c r="A96" s="1"/>
      <c r="B96" s="53" t="str">
        <f>IFERROR(__xludf.DUMMYFUNCTION("""COMPUTED_VALUE"""),"Lloyd Sagar")</f>
        <v>Lloyd Sagar</v>
      </c>
      <c r="C96" s="54">
        <f>IFERROR(__xludf.DUMMYFUNCTION("""COMPUTED_VALUE"""),220.0)</f>
        <v>220</v>
      </c>
      <c r="D96" s="55">
        <f>IFERROR(__xludf.DUMMYFUNCTION("""COMPUTED_VALUE"""),16.0)</f>
        <v>16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IFERROR(__xludf.DUMMYFUNCTION("""COMPUTED_VALUE"""),5.0)</f>
        <v>5</v>
      </c>
      <c r="I96" s="56">
        <f>IFERROR(__xludf.DUMMYFUNCTION("""COMPUTED_VALUE"""),3.0)</f>
        <v>3</v>
      </c>
      <c r="J96" s="56">
        <f>IFERROR(__xludf.DUMMYFUNCTION("""COMPUTED_VALUE"""),7.0)</f>
        <v>7</v>
      </c>
      <c r="K96" s="56">
        <f>IFERROR(__xludf.DUMMYFUNCTION("""COMPUTED_VALUE"""),15.0)</f>
        <v>15</v>
      </c>
      <c r="L96" s="56">
        <f>IFERROR(__xludf.DUMMYFUNCTION("""COMPUTED_VALUE"""),1.0)</f>
        <v>1</v>
      </c>
      <c r="M96" s="56">
        <f>IFERROR(__xludf.DUMMYFUNCTION("""COMPUTED_VALUE"""),235.0)</f>
        <v>235</v>
      </c>
      <c r="N96" s="57">
        <f>IFERROR(__xludf.DUMMYFUNCTION("""COMPUTED_VALUE"""),17.0)</f>
        <v>17</v>
      </c>
    </row>
    <row r="97">
      <c r="A97" s="1"/>
      <c r="B97" s="53" t="str">
        <f>IFERROR(__xludf.DUMMYFUNCTION("""COMPUTED_VALUE"""),"Chinna Ponnaganti")</f>
        <v>Chinna Ponnaganti</v>
      </c>
      <c r="C97" s="54">
        <f>IFERROR(__xludf.DUMMYFUNCTION("""COMPUTED_VALUE"""),217.0)</f>
        <v>217</v>
      </c>
      <c r="D97" s="55">
        <f>IFERROR(__xludf.DUMMYFUNCTION("""COMPUTED_VALUE"""),21.0)</f>
        <v>21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IFERROR(__xludf.DUMMYFUNCTION("""COMPUTED_VALUE"""),7.0)</f>
        <v>7</v>
      </c>
      <c r="I97" s="56">
        <f>IFERROR(__xludf.DUMMYFUNCTION("""COMPUTED_VALUE"""),3.0)</f>
        <v>3</v>
      </c>
      <c r="J97" s="56">
        <f>IFERROR(__xludf.DUMMYFUNCTION("""COMPUTED_VALUE"""),5.0)</f>
        <v>5</v>
      </c>
      <c r="K97" s="56">
        <f>IFERROR(__xludf.DUMMYFUNCTION("""COMPUTED_VALUE"""),15.0)</f>
        <v>15</v>
      </c>
      <c r="L97" s="56">
        <f>IFERROR(__xludf.DUMMYFUNCTION("""COMPUTED_VALUE"""),1.0)</f>
        <v>1</v>
      </c>
      <c r="M97" s="56">
        <f>IFERROR(__xludf.DUMMYFUNCTION("""COMPUTED_VALUE"""),232.0)</f>
        <v>232</v>
      </c>
      <c r="N97" s="57">
        <f>IFERROR(__xludf.DUMMYFUNCTION("""COMPUTED_VALUE"""),22.0)</f>
        <v>22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IFERROR(__xludf.DUMMYFUNCTION("""COMPUTED_VALUE"""),216.0)</f>
        <v>216</v>
      </c>
      <c r="D98" s="50">
        <f>IFERROR(__xludf.DUMMYFUNCTION("""COMPUTED_VALUE"""),14.0)</f>
        <v>14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IFERROR(__xludf.DUMMYFUNCTION("""COMPUTED_VALUE"""),6.0)</f>
        <v>6</v>
      </c>
      <c r="I98" s="51">
        <f>IFERROR(__xludf.DUMMYFUNCTION("""COMPUTED_VALUE"""),6.0)</f>
        <v>6</v>
      </c>
      <c r="J98" s="51">
        <f>IFERROR(__xludf.DUMMYFUNCTION("""COMPUTED_VALUE"""),3.0)</f>
        <v>3</v>
      </c>
      <c r="K98" s="51">
        <f>IFERROR(__xludf.DUMMYFUNCTION("""COMPUTED_VALUE"""),15.0)</f>
        <v>15</v>
      </c>
      <c r="L98" s="51">
        <f>IFERROR(__xludf.DUMMYFUNCTION("""COMPUTED_VALUE"""),2.0)</f>
        <v>2</v>
      </c>
      <c r="M98" s="51">
        <f>IFERROR(__xludf.DUMMYFUNCTION("""COMPUTED_VALUE"""),231.0)</f>
        <v>231</v>
      </c>
      <c r="N98" s="52">
        <f>IFERROR(__xludf.DUMMYFUNCTION("""COMPUTED_VALUE"""),16.0)</f>
        <v>16</v>
      </c>
    </row>
    <row r="99">
      <c r="A99" s="1"/>
      <c r="B99" s="48" t="str">
        <f>IFERROR(__xludf.DUMMYFUNCTION("""COMPUTED_VALUE"""),"Rajasekar Ramasamy")</f>
        <v>Rajasekar Ramasamy</v>
      </c>
      <c r="C99" s="49">
        <f>IFERROR(__xludf.DUMMYFUNCTION("""COMPUTED_VALUE"""),213.0)</f>
        <v>213</v>
      </c>
      <c r="D99" s="50">
        <f>IFERROR(__xludf.DUMMYFUNCTION("""COMPUTED_VALUE"""),20.0)</f>
        <v>20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IFERROR(__xludf.DUMMYFUNCTION("""COMPUTED_VALUE"""),4.0)</f>
        <v>4</v>
      </c>
      <c r="I99" s="51">
        <f>IFERROR(__xludf.DUMMYFUNCTION("""COMPUTED_VALUE"""),4.0)</f>
        <v>4</v>
      </c>
      <c r="J99" s="51">
        <f>IFERROR(__xludf.DUMMYFUNCTION("""COMPUTED_VALUE"""),3.0)</f>
        <v>3</v>
      </c>
      <c r="K99" s="51">
        <f>IFERROR(__xludf.DUMMYFUNCTION("""COMPUTED_VALUE"""),11.0)</f>
        <v>11</v>
      </c>
      <c r="L99" s="51">
        <f>IFERROR(__xludf.DUMMYFUNCTION("""COMPUTED_VALUE"""),0.0)</f>
        <v>0</v>
      </c>
      <c r="M99" s="51">
        <f>IFERROR(__xludf.DUMMYFUNCTION("""COMPUTED_VALUE"""),224.0)</f>
        <v>224</v>
      </c>
      <c r="N99" s="52">
        <f>IFERROR(__xludf.DUMMYFUNCTION("""COMPUTED_VALUE"""),20.0)</f>
        <v>20</v>
      </c>
    </row>
    <row r="100">
      <c r="A100" s="1"/>
      <c r="B100" s="48" t="str">
        <f>IFERROR(__xludf.DUMMYFUNCTION("""COMPUTED_VALUE"""),"Oscar Bonilla")</f>
        <v>Oscar Bonilla</v>
      </c>
      <c r="C100" s="49">
        <f>IFERROR(__xludf.DUMMYFUNCTION("""COMPUTED_VALUE"""),213.0)</f>
        <v>213</v>
      </c>
      <c r="D100" s="50">
        <f>IFERROR(__xludf.DUMMYFUNCTION("""COMPUTED_VALUE"""),17.0)</f>
        <v>17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IFERROR(__xludf.DUMMYFUNCTION("""COMPUTED_VALUE"""),6.0)</f>
        <v>6</v>
      </c>
      <c r="I100" s="51">
        <f>IFERROR(__xludf.DUMMYFUNCTION("""COMPUTED_VALUE"""),4.0)</f>
        <v>4</v>
      </c>
      <c r="J100" s="51">
        <f>IFERROR(__xludf.DUMMYFUNCTION("""COMPUTED_VALUE"""),6.0)</f>
        <v>6</v>
      </c>
      <c r="K100" s="51">
        <f>IFERROR(__xludf.DUMMYFUNCTION("""COMPUTED_VALUE"""),16.0)</f>
        <v>16</v>
      </c>
      <c r="L100" s="51">
        <f>IFERROR(__xludf.DUMMYFUNCTION("""COMPUTED_VALUE"""),2.0)</f>
        <v>2</v>
      </c>
      <c r="M100" s="51">
        <f>IFERROR(__xludf.DUMMYFUNCTION("""COMPUTED_VALUE"""),229.0)</f>
        <v>229</v>
      </c>
      <c r="N100" s="52">
        <f>IFERROR(__xludf.DUMMYFUNCTION("""COMPUTED_VALUE"""),19.0)</f>
        <v>19</v>
      </c>
    </row>
    <row r="101">
      <c r="A101" s="1"/>
      <c r="B101" s="48" t="str">
        <f>IFERROR(__xludf.DUMMYFUNCTION("""COMPUTED_VALUE"""),"Ted Shen")</f>
        <v>Ted Shen</v>
      </c>
      <c r="C101" s="49">
        <f>IFERROR(__xludf.DUMMYFUNCTION("""COMPUTED_VALUE"""),213.0)</f>
        <v>213</v>
      </c>
      <c r="D101" s="50">
        <f>IFERROR(__xludf.DUMMYFUNCTION("""COMPUTED_VALUE"""),17.0)</f>
        <v>17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IFERROR(__xludf.DUMMYFUNCTION("""COMPUTED_VALUE"""),4.0)</f>
        <v>4</v>
      </c>
      <c r="I101" s="51">
        <f>IFERROR(__xludf.DUMMYFUNCTION("""COMPUTED_VALUE"""),6.0)</f>
        <v>6</v>
      </c>
      <c r="J101" s="51">
        <f>IFERROR(__xludf.DUMMYFUNCTION("""COMPUTED_VALUE"""),6.0)</f>
        <v>6</v>
      </c>
      <c r="K101" s="51">
        <f>IFERROR(__xludf.DUMMYFUNCTION("""COMPUTED_VALUE"""),16.0)</f>
        <v>16</v>
      </c>
      <c r="L101" s="51">
        <f>IFERROR(__xludf.DUMMYFUNCTION("""COMPUTED_VALUE"""),2.0)</f>
        <v>2</v>
      </c>
      <c r="M101" s="51">
        <f>IFERROR(__xludf.DUMMYFUNCTION("""COMPUTED_VALUE"""),229.0)</f>
        <v>229</v>
      </c>
      <c r="N101" s="52">
        <f>IFERROR(__xludf.DUMMYFUNCTION("""COMPUTED_VALUE"""),19.0)</f>
        <v>19</v>
      </c>
    </row>
    <row r="102">
      <c r="A102" s="1"/>
      <c r="B102" s="53" t="str">
        <f>IFERROR(__xludf.DUMMYFUNCTION("""COMPUTED_VALUE"""),"Jonathan Phan")</f>
        <v>Jonathan Phan</v>
      </c>
      <c r="C102" s="54">
        <f>IFERROR(__xludf.DUMMYFUNCTION("""COMPUTED_VALUE"""),212.0)</f>
        <v>212</v>
      </c>
      <c r="D102" s="55">
        <f>IFERROR(__xludf.DUMMYFUNCTION("""COMPUTED_VALUE"""),17.0)</f>
        <v>17</v>
      </c>
      <c r="E102" s="54">
        <f>IFERROR(__xludf.DUMMYFUNCTION("""COMPUTED_VALUE"""),1.0)</f>
        <v>1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IFERROR(__xludf.DUMMYFUNCTION("""COMPUTED_VALUE"""),6.0)</f>
        <v>6</v>
      </c>
      <c r="I102" s="56">
        <f>IFERROR(__xludf.DUMMYFUNCTION("""COMPUTED_VALUE"""),6.0)</f>
        <v>6</v>
      </c>
      <c r="J102" s="56">
        <f>IFERROR(__xludf.DUMMYFUNCTION("""COMPUTED_VALUE"""),6.0)</f>
        <v>6</v>
      </c>
      <c r="K102" s="56">
        <f>IFERROR(__xludf.DUMMYFUNCTION("""COMPUTED_VALUE"""),18.0)</f>
        <v>18</v>
      </c>
      <c r="L102" s="56">
        <f>IFERROR(__xludf.DUMMYFUNCTION("""COMPUTED_VALUE"""),0.0)</f>
        <v>0</v>
      </c>
      <c r="M102" s="56">
        <f>IFERROR(__xludf.DUMMYFUNCTION("""COMPUTED_VALUE"""),230.0)</f>
        <v>230</v>
      </c>
      <c r="N102" s="57">
        <f>IFERROR(__xludf.DUMMYFUNCTION("""COMPUTED_VALUE"""),17.0)</f>
        <v>17</v>
      </c>
    </row>
    <row r="103">
      <c r="A103" s="1"/>
      <c r="B103" s="53" t="str">
        <f>IFERROR(__xludf.DUMMYFUNCTION("""COMPUTED_VALUE"""),"David Shin")</f>
        <v>David Shin</v>
      </c>
      <c r="C103" s="54">
        <f>IFERROR(__xludf.DUMMYFUNCTION("""COMPUTED_VALUE"""),212.0)</f>
        <v>212</v>
      </c>
      <c r="D103" s="55">
        <f>IFERROR(__xludf.DUMMYFUNCTION("""COMPUTED_VALUE"""),16.0)</f>
        <v>16</v>
      </c>
      <c r="E103" s="54">
        <f>IFERROR(__xludf.DUMMYFUNCTION("""COMPUTED_VALUE"""),1.0)</f>
        <v>1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IFERROR(__xludf.DUMMYFUNCTION("""COMPUTED_VALUE"""),7.0)</f>
        <v>7</v>
      </c>
      <c r="I103" s="56">
        <f>IFERROR(__xludf.DUMMYFUNCTION("""COMPUTED_VALUE"""),6.0)</f>
        <v>6</v>
      </c>
      <c r="J103" s="56">
        <f>IFERROR(__xludf.DUMMYFUNCTION("""COMPUTED_VALUE"""),7.0)</f>
        <v>7</v>
      </c>
      <c r="K103" s="56">
        <f>IFERROR(__xludf.DUMMYFUNCTION("""COMPUTED_VALUE"""),20.0)</f>
        <v>20</v>
      </c>
      <c r="L103" s="56">
        <f>IFERROR(__xludf.DUMMYFUNCTION("""COMPUTED_VALUE"""),2.0)</f>
        <v>2</v>
      </c>
      <c r="M103" s="56">
        <f>IFERROR(__xludf.DUMMYFUNCTION("""COMPUTED_VALUE"""),232.0)</f>
        <v>232</v>
      </c>
      <c r="N103" s="57">
        <f>IFERROR(__xludf.DUMMYFUNCTION("""COMPUTED_VALUE"""),18.0)</f>
        <v>18</v>
      </c>
    </row>
    <row r="104">
      <c r="A104" s="1"/>
      <c r="B104" s="53" t="str">
        <f>IFERROR(__xludf.DUMMYFUNCTION("""COMPUTED_VALUE"""),"Tony Wong")</f>
        <v>Tony Wong</v>
      </c>
      <c r="C104" s="54">
        <f>IFERROR(__xludf.DUMMYFUNCTION("""COMPUTED_VALUE"""),210.0)</f>
        <v>210</v>
      </c>
      <c r="D104" s="55">
        <f>IFERROR(__xludf.DUMMYFUNCTION("""COMPUTED_VALUE"""),14.0)</f>
        <v>14</v>
      </c>
      <c r="E104" s="54">
        <f>IFERROR(__xludf.DUMMYFUNCTION("""COMPUTED_VALUE"""),1.0)</f>
        <v>1</v>
      </c>
      <c r="F104" s="56">
        <f>IFERROR(__xludf.DUMMYFUNCTION("""COMPUTED_VALUE"""),4.0)</f>
        <v>4</v>
      </c>
      <c r="G104" s="56">
        <f>IFERROR(__xludf.DUMMYFUNCTION("""COMPUTED_VALUE"""),0.0)</f>
        <v>0</v>
      </c>
      <c r="H104" s="56">
        <f>IFERROR(__xludf.DUMMYFUNCTION("""COMPUTED_VALUE"""),6.0)</f>
        <v>6</v>
      </c>
      <c r="I104" s="56">
        <f>IFERROR(__xludf.DUMMYFUNCTION("""COMPUTED_VALUE"""),7.0)</f>
        <v>7</v>
      </c>
      <c r="J104" s="56">
        <f>IFERROR(__xludf.DUMMYFUNCTION("""COMPUTED_VALUE"""),7.0)</f>
        <v>7</v>
      </c>
      <c r="K104" s="56">
        <f>IFERROR(__xludf.DUMMYFUNCTION("""COMPUTED_VALUE"""),20.0)</f>
        <v>20</v>
      </c>
      <c r="L104" s="56">
        <f>IFERROR(__xludf.DUMMYFUNCTION("""COMPUTED_VALUE"""),2.0)</f>
        <v>2</v>
      </c>
      <c r="M104" s="56">
        <f>IFERROR(__xludf.DUMMYFUNCTION("""COMPUTED_VALUE"""),230.0)</f>
        <v>230</v>
      </c>
      <c r="N104" s="57">
        <f>IFERROR(__xludf.DUMMYFUNCTION("""COMPUTED_VALUE"""),16.0)</f>
        <v>16</v>
      </c>
    </row>
    <row r="105">
      <c r="A105" s="1"/>
      <c r="B105" s="53" t="str">
        <f>IFERROR(__xludf.DUMMYFUNCTION("""COMPUTED_VALUE"""),"Sai Dilip Ponnaganti")</f>
        <v>Sai Dilip Ponnaganti</v>
      </c>
      <c r="C105" s="54">
        <f>IFERROR(__xludf.DUMMYFUNCTION("""COMPUTED_VALUE"""),208.0)</f>
        <v>208</v>
      </c>
      <c r="D105" s="55">
        <f>IFERROR(__xludf.DUMMYFUNCTION("""COMPUTED_VALUE"""),13.0)</f>
        <v>13</v>
      </c>
      <c r="E105" s="54">
        <f>IFERROR(__xludf.DUMMYFUNCTION("""COMPUTED_VALUE"""),2.0)</f>
        <v>2</v>
      </c>
      <c r="F105" s="56">
        <f>IFERROR(__xludf.DUMMYFUNCTION("""COMPUTED_VALUE"""),4.0)</f>
        <v>4</v>
      </c>
      <c r="G105" s="56">
        <f>IFERROR(__xludf.DUMMYFUNCTION("""COMPUTED_VALUE"""),0.0)</f>
        <v>0</v>
      </c>
      <c r="H105" s="56">
        <f>IFERROR(__xludf.DUMMYFUNCTION("""COMPUTED_VALUE"""),7.0)</f>
        <v>7</v>
      </c>
      <c r="I105" s="56">
        <f>IFERROR(__xludf.DUMMYFUNCTION("""COMPUTED_VALUE"""),7.0)</f>
        <v>7</v>
      </c>
      <c r="J105" s="56">
        <f>IFERROR(__xludf.DUMMYFUNCTION("""COMPUTED_VALUE"""),6.0)</f>
        <v>6</v>
      </c>
      <c r="K105" s="56">
        <f>IFERROR(__xludf.DUMMYFUNCTION("""COMPUTED_VALUE"""),20.0)</f>
        <v>20</v>
      </c>
      <c r="L105" s="56">
        <f>IFERROR(__xludf.DUMMYFUNCTION("""COMPUTED_VALUE"""),2.0)</f>
        <v>2</v>
      </c>
      <c r="M105" s="56">
        <f>IFERROR(__xludf.DUMMYFUNCTION("""COMPUTED_VALUE"""),228.0)</f>
        <v>228</v>
      </c>
      <c r="N105" s="57">
        <f>IFERROR(__xludf.DUMMYFUNCTION("""COMPUTED_VALUE"""),15.0)</f>
        <v>15</v>
      </c>
    </row>
    <row r="106">
      <c r="A106" s="1"/>
      <c r="B106" s="48" t="str">
        <f>IFERROR(__xludf.DUMMYFUNCTION("""COMPUTED_VALUE"""),"Trinath Goteti")</f>
        <v>Trinath Goteti</v>
      </c>
      <c r="C106" s="49">
        <f>IFERROR(__xludf.DUMMYFUNCTION("""COMPUTED_VALUE"""),207.0)</f>
        <v>207</v>
      </c>
      <c r="D106" s="50">
        <f>IFERROR(__xludf.DUMMYFUNCTION("""COMPUTED_VALUE"""),12.0)</f>
        <v>12</v>
      </c>
      <c r="E106" s="49">
        <f>IFERROR(__xludf.DUMMYFUNCTION("""COMPUTED_VALUE"""),2.0)</f>
        <v>2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IFERROR(__xludf.DUMMYFUNCTION("""COMPUTED_VALUE"""),7.0)</f>
        <v>7</v>
      </c>
      <c r="J106" s="51">
        <f>IFERROR(__xludf.DUMMYFUNCTION("""COMPUTED_VALUE"""),3.0)</f>
        <v>3</v>
      </c>
      <c r="K106" s="51">
        <f>IFERROR(__xludf.DUMMYFUNCTION("""COMPUTED_VALUE"""),16.0)</f>
        <v>16</v>
      </c>
      <c r="L106" s="51">
        <f>IFERROR(__xludf.DUMMYFUNCTION("""COMPUTED_VALUE"""),2.0)</f>
        <v>2</v>
      </c>
      <c r="M106" s="51">
        <f>IFERROR(__xludf.DUMMYFUNCTION("""COMPUTED_VALUE"""),223.0)</f>
        <v>223</v>
      </c>
      <c r="N106" s="52">
        <f>IFERROR(__xludf.DUMMYFUNCTION("""COMPUTED_VALUE"""),14.0)</f>
        <v>14</v>
      </c>
    </row>
    <row r="107">
      <c r="A107" s="1"/>
      <c r="B107" s="48" t="str">
        <f>IFERROR(__xludf.DUMMYFUNCTION("""COMPUTED_VALUE"""),"Rosie Bonilla")</f>
        <v>Rosie Bonilla</v>
      </c>
      <c r="C107" s="49">
        <f>IFERROR(__xludf.DUMMYFUNCTION("""COMPUTED_VALUE"""),202.0)</f>
        <v>202</v>
      </c>
      <c r="D107" s="50">
        <f>IFERROR(__xludf.DUMMYFUNCTION("""COMPUTED_VALUE"""),14.0)</f>
        <v>14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IFERROR(__xludf.DUMMYFUNCTION("""COMPUTED_VALUE"""),0.0)</f>
        <v>0</v>
      </c>
      <c r="I107" s="51">
        <f>IFERROR(__xludf.DUMMYFUNCTION("""COMPUTED_VALUE"""),5.0)</f>
        <v>5</v>
      </c>
      <c r="J107" s="51">
        <f>IFERROR(__xludf.DUMMYFUNCTION("""COMPUTED_VALUE"""),3.0)</f>
        <v>3</v>
      </c>
      <c r="K107" s="51">
        <f>IFERROR(__xludf.DUMMYFUNCTION("""COMPUTED_VALUE"""),8.0)</f>
        <v>8</v>
      </c>
      <c r="L107" s="51">
        <f>IFERROR(__xludf.DUMMYFUNCTION("""COMPUTED_VALUE"""),0.0)</f>
        <v>0</v>
      </c>
      <c r="M107" s="51">
        <f>IFERROR(__xludf.DUMMYFUNCTION("""COMPUTED_VALUE"""),210.0)</f>
        <v>210</v>
      </c>
      <c r="N107" s="52">
        <f>IFERROR(__xludf.DUMMYFUNCTION("""COMPUTED_VALUE"""),14.0)</f>
        <v>14</v>
      </c>
    </row>
    <row r="108">
      <c r="A108" s="1"/>
      <c r="B108" s="48" t="str">
        <f>IFERROR(__xludf.DUMMYFUNCTION("""COMPUTED_VALUE"""),"Kingsley Kuo")</f>
        <v>Kingsley Kuo</v>
      </c>
      <c r="C108" s="49">
        <f>IFERROR(__xludf.DUMMYFUNCTION("""COMPUTED_VALUE"""),199.0)</f>
        <v>199</v>
      </c>
      <c r="D108" s="50">
        <f>IFERROR(__xludf.DUMMYFUNCTION("""COMPUTED_VALUE"""),11.0)</f>
        <v>11</v>
      </c>
      <c r="E108" s="49">
        <f>IFERROR(__xludf.DUMMYFUNCTION("""COMPUTED_VALUE"""),1.0)</f>
        <v>1</v>
      </c>
      <c r="F108" s="51">
        <f>IFERROR(__xludf.DUMMYFUNCTION("""COMPUTED_VALUE"""),5.0)</f>
        <v>5</v>
      </c>
      <c r="G108" s="51">
        <f>IFERROR(__xludf.DUMMYFUNCTION("""COMPUTED_VALUE"""),0.0)</f>
        <v>0</v>
      </c>
      <c r="H108" s="51">
        <f>IFERROR(__xludf.DUMMYFUNCTION("""COMPUTED_VALUE"""),6.0)</f>
        <v>6</v>
      </c>
      <c r="I108" s="51">
        <f>IFERROR(__xludf.DUMMYFUNCTION("""COMPUTED_VALUE"""),5.0)</f>
        <v>5</v>
      </c>
      <c r="J108" s="51">
        <f>IFERROR(__xludf.DUMMYFUNCTION("""COMPUTED_VALUE"""),6.0)</f>
        <v>6</v>
      </c>
      <c r="K108" s="51">
        <f>IFERROR(__xludf.DUMMYFUNCTION("""COMPUTED_VALUE"""),17.0)</f>
        <v>17</v>
      </c>
      <c r="L108" s="51">
        <f>IFERROR(__xludf.DUMMYFUNCTION("""COMPUTED_VALUE"""),2.0)</f>
        <v>2</v>
      </c>
      <c r="M108" s="51">
        <f>IFERROR(__xludf.DUMMYFUNCTION("""COMPUTED_VALUE"""),216.0)</f>
        <v>216</v>
      </c>
      <c r="N108" s="52">
        <f>IFERROR(__xludf.DUMMYFUNCTION("""COMPUTED_VALUE"""),13.0)</f>
        <v>13</v>
      </c>
    </row>
    <row r="109">
      <c r="A109" s="1"/>
      <c r="B109" s="48" t="str">
        <f>IFERROR(__xludf.DUMMYFUNCTION("""COMPUTED_VALUE"""),"Naveen Raj")</f>
        <v>Naveen Raj</v>
      </c>
      <c r="C109" s="49">
        <f>IFERROR(__xludf.DUMMYFUNCTION("""COMPUTED_VALUE"""),195.0)</f>
        <v>195</v>
      </c>
      <c r="D109" s="50">
        <f>IFERROR(__xludf.DUMMYFUNCTION("""COMPUTED_VALUE"""),12.0)</f>
        <v>12</v>
      </c>
      <c r="E109" s="49">
        <f>IFERROR(__xludf.DUMMYFUNCTION("""COMPUTED_VALUE"""),2.0)</f>
        <v>2</v>
      </c>
      <c r="F109" s="51">
        <f>IFERROR(__xludf.DUMMYFUNCTION("""COMPUTED_VALUE"""),5.0)</f>
        <v>5</v>
      </c>
      <c r="G109" s="51">
        <f>IFERROR(__xludf.DUMMYFUNCTION("""COMPUTED_VALUE"""),0.0)</f>
        <v>0</v>
      </c>
      <c r="H109" s="51">
        <f>IFERROR(__xludf.DUMMYFUNCTION("""COMPUTED_VALUE"""),0.0)</f>
        <v>0</v>
      </c>
      <c r="I109" s="51">
        <f>IFERROR(__xludf.DUMMYFUNCTION("""COMPUTED_VALUE"""),7.0)</f>
        <v>7</v>
      </c>
      <c r="J109" s="51">
        <f>IFERROR(__xludf.DUMMYFUNCTION("""COMPUTED_VALUE"""),6.0)</f>
        <v>6</v>
      </c>
      <c r="K109" s="51">
        <f>IFERROR(__xludf.DUMMYFUNCTION("""COMPUTED_VALUE"""),13.0)</f>
        <v>13</v>
      </c>
      <c r="L109" s="51">
        <f>IFERROR(__xludf.DUMMYFUNCTION("""COMPUTED_VALUE"""),2.0)</f>
        <v>2</v>
      </c>
      <c r="M109" s="51">
        <f>IFERROR(__xludf.DUMMYFUNCTION("""COMPUTED_VALUE"""),208.0)</f>
        <v>208</v>
      </c>
      <c r="N109" s="52">
        <f>IFERROR(__xludf.DUMMYFUNCTION("""COMPUTED_VALUE"""),14.0)</f>
        <v>14</v>
      </c>
    </row>
    <row r="110">
      <c r="A110" s="1"/>
      <c r="B110" s="53" t="str">
        <f>IFERROR(__xludf.DUMMYFUNCTION("""COMPUTED_VALUE"""),"Manuel Rivera")</f>
        <v>Manuel Rivera</v>
      </c>
      <c r="C110" s="54">
        <f>IFERROR(__xludf.DUMMYFUNCTION("""COMPUTED_VALUE"""),194.0)</f>
        <v>194</v>
      </c>
      <c r="D110" s="55">
        <f>IFERROR(__xludf.DUMMYFUNCTION("""COMPUTED_VALUE"""),15.0)</f>
        <v>15</v>
      </c>
      <c r="E110" s="54">
        <f>IFERROR(__xludf.DUMMYFUNCTION("""COMPUTED_VALUE"""),2.0)</f>
        <v>2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IFERROR(__xludf.DUMMYFUNCTION("""COMPUTED_VALUE"""),3.0)</f>
        <v>3</v>
      </c>
      <c r="I110" s="56">
        <f>IFERROR(__xludf.DUMMYFUNCTION("""COMPUTED_VALUE"""),6.0)</f>
        <v>6</v>
      </c>
      <c r="J110" s="56">
        <f>IFERROR(__xludf.DUMMYFUNCTION("""COMPUTED_VALUE"""),3.0)</f>
        <v>3</v>
      </c>
      <c r="K110" s="56">
        <f>IFERROR(__xludf.DUMMYFUNCTION("""COMPUTED_VALUE"""),12.0)</f>
        <v>12</v>
      </c>
      <c r="L110" s="56">
        <f>IFERROR(__xludf.DUMMYFUNCTION("""COMPUTED_VALUE"""),1.0)</f>
        <v>1</v>
      </c>
      <c r="M110" s="56">
        <f>IFERROR(__xludf.DUMMYFUNCTION("""COMPUTED_VALUE"""),206.0)</f>
        <v>206</v>
      </c>
      <c r="N110" s="57">
        <f>IFERROR(__xludf.DUMMYFUNCTION("""COMPUTED_VALUE"""),16.0)</f>
        <v>16</v>
      </c>
    </row>
    <row r="111">
      <c r="A111" s="1"/>
      <c r="B111" s="53" t="str">
        <f>IFERROR(__xludf.DUMMYFUNCTION("""COMPUTED_VALUE"""),"Vamsi Lolla ")</f>
        <v>Vamsi Lolla </v>
      </c>
      <c r="C111" s="54">
        <f>IFERROR(__xludf.DUMMYFUNCTION("""COMPUTED_VALUE"""),182.0)</f>
        <v>182</v>
      </c>
      <c r="D111" s="55">
        <f>IFERROR(__xludf.DUMMYFUNCTION("""COMPUTED_VALUE"""),8.0)</f>
        <v>8</v>
      </c>
      <c r="E111" s="54">
        <f>IFERROR(__xludf.DUMMYFUNCTION("""COMPUTED_VALUE"""),1.0)</f>
        <v>1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IFERROR(__xludf.DUMMYFUNCTION("""COMPUTED_VALUE"""),6.0)</f>
        <v>6</v>
      </c>
      <c r="I111" s="56">
        <f>IFERROR(__xludf.DUMMYFUNCTION("""COMPUTED_VALUE"""),3.0)</f>
        <v>3</v>
      </c>
      <c r="J111" s="56">
        <f>IFERROR(__xludf.DUMMYFUNCTION("""COMPUTED_VALUE"""),3.0)</f>
        <v>3</v>
      </c>
      <c r="K111" s="56">
        <f>IFERROR(__xludf.DUMMYFUNCTION("""COMPUTED_VALUE"""),12.0)</f>
        <v>12</v>
      </c>
      <c r="L111" s="56">
        <f>IFERROR(__xludf.DUMMYFUNCTION("""COMPUTED_VALUE"""),1.0)</f>
        <v>1</v>
      </c>
      <c r="M111" s="56">
        <f>IFERROR(__xludf.DUMMYFUNCTION("""COMPUTED_VALUE"""),194.0)</f>
        <v>194</v>
      </c>
      <c r="N111" s="57">
        <f>IFERROR(__xludf.DUMMYFUNCTION("""COMPUTED_VALUE"""),9.0)</f>
        <v>9</v>
      </c>
    </row>
    <row r="112">
      <c r="A112" s="1"/>
      <c r="B112" s="53" t="str">
        <f>IFERROR(__xludf.DUMMYFUNCTION("""COMPUTED_VALUE"""),"Santosh Sundaresan ")</f>
        <v>Santosh Sundaresan </v>
      </c>
      <c r="C112" s="54">
        <f>IFERROR(__xludf.DUMMYFUNCTION("""COMPUTED_VALUE"""),169.0)</f>
        <v>169</v>
      </c>
      <c r="D112" s="55">
        <f>IFERROR(__xludf.DUMMYFUNCTION("""COMPUTED_VALUE"""),5.0)</f>
        <v>5</v>
      </c>
      <c r="E112" s="54">
        <f>IFERROR(__xludf.DUMMYFUNCTION("""COMPUTED_VALUE"""),2.0)</f>
        <v>2</v>
      </c>
      <c r="F112" s="56">
        <f>IFERROR(__xludf.DUMMYFUNCTION("""COMPUTED_VALUE"""),6.0)</f>
        <v>6</v>
      </c>
      <c r="G112" s="56">
        <f>IFERROR(__xludf.DUMMYFUNCTION("""COMPUTED_VALUE"""),0.0)</f>
        <v>0</v>
      </c>
      <c r="H112" s="56">
        <f>IFERROR(__xludf.DUMMYFUNCTION("""COMPUTED_VALUE"""),3.0)</f>
        <v>3</v>
      </c>
      <c r="I112" s="56">
        <f>IFERROR(__xludf.DUMMYFUNCTION("""COMPUTED_VALUE"""),3.0)</f>
        <v>3</v>
      </c>
      <c r="J112" s="56">
        <f>IFERROR(__xludf.DUMMYFUNCTION("""COMPUTED_VALUE"""),6.0)</f>
        <v>6</v>
      </c>
      <c r="K112" s="56">
        <f>IFERROR(__xludf.DUMMYFUNCTION("""COMPUTED_VALUE"""),12.0)</f>
        <v>12</v>
      </c>
      <c r="L112" s="56">
        <f>IFERROR(__xludf.DUMMYFUNCTION("""COMPUTED_VALUE"""),1.0)</f>
        <v>1</v>
      </c>
      <c r="M112" s="56">
        <f>IFERROR(__xludf.DUMMYFUNCTION("""COMPUTED_VALUE"""),181.0)</f>
        <v>181</v>
      </c>
      <c r="N112" s="57">
        <f>IFERROR(__xludf.DUMMYFUNCTION("""COMPUTED_VALUE"""),6.0)</f>
        <v>6</v>
      </c>
    </row>
    <row r="113">
      <c r="A113" s="1"/>
      <c r="B113" s="53" t="str">
        <f>IFERROR(__xludf.DUMMYFUNCTION("""COMPUTED_VALUE"""),"Kevin Wang")</f>
        <v>Kevin Wang</v>
      </c>
      <c r="C113" s="54">
        <f>IFERROR(__xludf.DUMMYFUNCTION("""COMPUTED_VALUE"""),161.0)</f>
        <v>161</v>
      </c>
      <c r="D113" s="55">
        <f>IFERROR(__xludf.DUMMYFUNCTION("""COMPUTED_VALUE"""),11.0)</f>
        <v>11</v>
      </c>
      <c r="E113" s="54">
        <f>IFERROR(__xludf.DUMMYFUNCTION("""COMPUTED_VALUE"""),1.0)</f>
        <v>1</v>
      </c>
      <c r="F113" s="56">
        <f>IFERROR(__xludf.DUMMYFUNCTION("""COMPUTED_VALUE"""),7.0)</f>
        <v>7</v>
      </c>
      <c r="G113" s="56">
        <f>IFERROR(__xludf.DUMMYFUNCTION("""COMPUTED_VALUE"""),0.0)</f>
        <v>0</v>
      </c>
      <c r="H113" s="56">
        <f>IFERROR(__xludf.DUMMYFUNCTION("""COMPUTED_VALUE"""),6.0)</f>
        <v>6</v>
      </c>
      <c r="I113" s="56">
        <f>IFERROR(__xludf.DUMMYFUNCTION("""COMPUTED_VALUE"""),2.0)</f>
        <v>2</v>
      </c>
      <c r="J113" s="56">
        <f>IFERROR(__xludf.DUMMYFUNCTION("""COMPUTED_VALUE"""),2.0)</f>
        <v>2</v>
      </c>
      <c r="K113" s="56">
        <f>IFERROR(__xludf.DUMMYFUNCTION("""COMPUTED_VALUE"""),10.0)</f>
        <v>10</v>
      </c>
      <c r="L113" s="56">
        <f>IFERROR(__xludf.DUMMYFUNCTION("""COMPUTED_VALUE"""),1.0)</f>
        <v>1</v>
      </c>
      <c r="M113" s="56">
        <f>IFERROR(__xludf.DUMMYFUNCTION("""COMPUTED_VALUE"""),171.0)</f>
        <v>171</v>
      </c>
      <c r="N113" s="57">
        <f>IFERROR(__xludf.DUMMYFUNCTION("""COMPUTED_VALUE"""),12.0)</f>
        <v>12</v>
      </c>
    </row>
    <row r="114">
      <c r="A114" s="1"/>
      <c r="B114" s="48" t="str">
        <f>IFERROR(__xludf.DUMMYFUNCTION("""COMPUTED_VALUE"""),"Joyce Zhu")</f>
        <v>Joyce Zhu</v>
      </c>
      <c r="C114" s="49">
        <f>IFERROR(__xludf.DUMMYFUNCTION("""COMPUTED_VALUE"""),156.0)</f>
        <v>156</v>
      </c>
      <c r="D114" s="50">
        <f>IFERROR(__xludf.DUMMYFUNCTION("""COMPUTED_VALUE"""),1.0)</f>
        <v>1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IFERROR(__xludf.DUMMYFUNCTION("""COMPUTED_VALUE"""),1.0)</f>
        <v>1</v>
      </c>
      <c r="I114" s="51">
        <f>IFERROR(__xludf.DUMMYFUNCTION("""COMPUTED_VALUE"""),6.0)</f>
        <v>6</v>
      </c>
      <c r="J114" s="51">
        <f>IFERROR(__xludf.DUMMYFUNCTION("""COMPUTED_VALUE"""),2.0)</f>
        <v>2</v>
      </c>
      <c r="K114" s="51">
        <f>IFERROR(__xludf.DUMMYFUNCTION("""COMPUTED_VALUE"""),9.0)</f>
        <v>9</v>
      </c>
      <c r="L114" s="51">
        <f>IFERROR(__xludf.DUMMYFUNCTION("""COMPUTED_VALUE"""),0.0)</f>
        <v>0</v>
      </c>
      <c r="M114" s="51">
        <f>IFERROR(__xludf.DUMMYFUNCTION("""COMPUTED_VALUE"""),165.0)</f>
        <v>165</v>
      </c>
      <c r="N114" s="52">
        <f>IFERROR(__xludf.DUMMYFUNCTION("""COMPUTED_VALUE"""),1.0)</f>
        <v>1</v>
      </c>
    </row>
    <row r="115">
      <c r="A115" s="1"/>
      <c r="B115" s="48"/>
      <c r="C115" s="60"/>
      <c r="D115" s="60"/>
      <c r="E115" s="60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1"/>
      <c r="B116" s="48"/>
      <c r="C116" s="60"/>
      <c r="D116" s="60"/>
      <c r="E116" s="60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1"/>
      <c r="B117" s="48"/>
      <c r="C117" s="60"/>
      <c r="D117" s="60"/>
      <c r="E117" s="60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0"")"),"Alejandro Mejia")</f>
        <v>Alejandro Mejia</v>
      </c>
      <c r="C134" s="49">
        <f>IFERROR(__xludf.DUMMYFUNCTION("""COMPUTED_VALUE"""),236.0)</f>
        <v>236</v>
      </c>
      <c r="D134" s="50">
        <f>IFERROR(__xludf.DUMMYFUNCTION("""COMPUTED_VALUE"""),21.0)</f>
        <v>21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IFERROR(__xludf.DUMMYFUNCTION("""COMPUTED_VALUE"""),245.0)</f>
        <v>245</v>
      </c>
      <c r="N134" s="52">
        <f>IFERROR(__xludf.DUMMYFUNCTION("""COMPUTED_VALUE"""),21.0)</f>
        <v>21</v>
      </c>
    </row>
    <row r="135">
      <c r="A135" s="1"/>
      <c r="B135" s="48" t="str">
        <f>IFERROR(__xludf.DUMMYFUNCTION("""COMPUTED_VALUE"""),"Lam Bui")</f>
        <v>Lam Bui</v>
      </c>
      <c r="C135" s="49">
        <f>IFERROR(__xludf.DUMMYFUNCTION("""COMPUTED_VALUE"""),233.0)</f>
        <v>233</v>
      </c>
      <c r="D135" s="50">
        <f>IFERROR(__xludf.DUMMYFUNCTION("""COMPUTED_VALUE"""),21.0)</f>
        <v>21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IFERROR(__xludf.DUMMYFUNCTION("""COMPUTED_VALUE"""),242.0)</f>
        <v>242</v>
      </c>
      <c r="N135" s="52">
        <f>IFERROR(__xludf.DUMMYFUNCTION("""COMPUTED_VALUE"""),21.0)</f>
        <v>21</v>
      </c>
    </row>
    <row r="136">
      <c r="A136" s="1"/>
      <c r="B136" s="48" t="str">
        <f>IFERROR(__xludf.DUMMYFUNCTION("""COMPUTED_VALUE"""),"Matthew Huang")</f>
        <v>Matthew Huang</v>
      </c>
      <c r="C136" s="49">
        <f>IFERROR(__xludf.DUMMYFUNCTION("""COMPUTED_VALUE"""),224.0)</f>
        <v>224</v>
      </c>
      <c r="D136" s="50">
        <f>IFERROR(__xludf.DUMMYFUNCTION("""COMPUTED_VALUE"""),17.0)</f>
        <v>17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IFERROR(__xludf.DUMMYFUNCTION("""COMPUTED_VALUE"""),233.0)</f>
        <v>233</v>
      </c>
      <c r="N136" s="52">
        <f>IFERROR(__xludf.DUMMYFUNCTION("""COMPUTED_VALUE"""),17.0)</f>
        <v>17</v>
      </c>
    </row>
    <row r="137">
      <c r="A137" s="1"/>
      <c r="B137" s="48" t="str">
        <f>IFERROR(__xludf.DUMMYFUNCTION("""COMPUTED_VALUE"""),"Joe Luzzi")</f>
        <v>Joe Luzzi</v>
      </c>
      <c r="C137" s="49">
        <f>IFERROR(__xludf.DUMMYFUNCTION("""COMPUTED_VALUE"""),219.0)</f>
        <v>219</v>
      </c>
      <c r="D137" s="50">
        <f>IFERROR(__xludf.DUMMYFUNCTION("""COMPUTED_VALUE"""),20.0)</f>
        <v>20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IFERROR(__xludf.DUMMYFUNCTION("""COMPUTED_VALUE"""),228.0)</f>
        <v>228</v>
      </c>
      <c r="N137" s="52">
        <f>IFERROR(__xludf.DUMMYFUNCTION("""COMPUTED_VALUE"""),20.0)</f>
        <v>20</v>
      </c>
    </row>
    <row r="138">
      <c r="A138" s="1"/>
      <c r="B138" s="48" t="str">
        <f>IFERROR(__xludf.DUMMYFUNCTION("""COMPUTED_VALUE"""),"Anish Kumar")</f>
        <v>Anish Kumar</v>
      </c>
      <c r="C138" s="49">
        <f>IFERROR(__xludf.DUMMYFUNCTION("""COMPUTED_VALUE"""),218.0)</f>
        <v>218</v>
      </c>
      <c r="D138" s="50">
        <f>IFERROR(__xludf.DUMMYFUNCTION("""COMPUTED_VALUE"""),17.0)</f>
        <v>17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IFERROR(__xludf.DUMMYFUNCTION("""COMPUTED_VALUE"""),227.0)</f>
        <v>227</v>
      </c>
      <c r="N138" s="52">
        <f>IFERROR(__xludf.DUMMYFUNCTION("""COMPUTED_VALUE"""),17.0)</f>
        <v>17</v>
      </c>
    </row>
    <row r="139">
      <c r="A139" s="1"/>
      <c r="B139" s="48" t="str">
        <f>IFERROR(__xludf.DUMMYFUNCTION("""COMPUTED_VALUE"""),"Eric Pan")</f>
        <v>Eric Pan</v>
      </c>
      <c r="C139" s="49">
        <f>IFERROR(__xludf.DUMMYFUNCTION("""COMPUTED_VALUE"""),215.0)</f>
        <v>215</v>
      </c>
      <c r="D139" s="50">
        <f>IFERROR(__xludf.DUMMYFUNCTION("""COMPUTED_VALUE"""),16.0)</f>
        <v>16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IFERROR(__xludf.DUMMYFUNCTION("""COMPUTED_VALUE"""),224.0)</f>
        <v>224</v>
      </c>
      <c r="N139" s="52">
        <f>IFERROR(__xludf.DUMMYFUNCTION("""COMPUTED_VALUE"""),16.0)</f>
        <v>16</v>
      </c>
    </row>
    <row r="140">
      <c r="A140" s="1"/>
      <c r="B140" s="48" t="str">
        <f>IFERROR(__xludf.DUMMYFUNCTION("""COMPUTED_VALUE"""),"Sean Chang")</f>
        <v>Sean Chang</v>
      </c>
      <c r="C140" s="49">
        <f>IFERROR(__xludf.DUMMYFUNCTION("""COMPUTED_VALUE"""),213.0)</f>
        <v>213</v>
      </c>
      <c r="D140" s="50">
        <f>IFERROR(__xludf.DUMMYFUNCTION("""COMPUTED_VALUE"""),15.0)</f>
        <v>15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IFERROR(__xludf.DUMMYFUNCTION("""COMPUTED_VALUE"""),222.0)</f>
        <v>222</v>
      </c>
      <c r="N140" s="52">
        <f>IFERROR(__xludf.DUMMYFUNCTION("""COMPUTED_VALUE"""),15.0)</f>
        <v>15</v>
      </c>
    </row>
    <row r="141">
      <c r="A141" s="1"/>
      <c r="B141" s="48" t="str">
        <f>IFERROR(__xludf.DUMMYFUNCTION("""COMPUTED_VALUE"""),"Tom Le")</f>
        <v>Tom Le</v>
      </c>
      <c r="C141" s="49">
        <f>IFERROR(__xludf.DUMMYFUNCTION("""COMPUTED_VALUE"""),212.0)</f>
        <v>212</v>
      </c>
      <c r="D141" s="50">
        <f>IFERROR(__xludf.DUMMYFUNCTION("""COMPUTED_VALUE"""),13.0)</f>
        <v>13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IFERROR(__xludf.DUMMYFUNCTION("""COMPUTED_VALUE"""),221.0)</f>
        <v>221</v>
      </c>
      <c r="N141" s="52">
        <f>IFERROR(__xludf.DUMMYFUNCTION("""COMPUTED_VALUE"""),13.0)</f>
        <v>13</v>
      </c>
    </row>
    <row r="142">
      <c r="A142" s="1"/>
      <c r="B142" s="48" t="str">
        <f>IFERROR(__xludf.DUMMYFUNCTION("""COMPUTED_VALUE"""),"Troy Wong")</f>
        <v>Troy Wong</v>
      </c>
      <c r="C142" s="49">
        <f>IFERROR(__xludf.DUMMYFUNCTION("""COMPUTED_VALUE"""),198.0)</f>
        <v>198</v>
      </c>
      <c r="D142" s="50">
        <f>IFERROR(__xludf.DUMMYFUNCTION("""COMPUTED_VALUE"""),10.0)</f>
        <v>10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IFERROR(__xludf.DUMMYFUNCTION("""COMPUTED_VALUE"""),207.0)</f>
        <v>207</v>
      </c>
      <c r="N142" s="52">
        <f>IFERROR(__xludf.DUMMYFUNCTION("""COMPUTED_VALUE"""),10.0)</f>
        <v>10</v>
      </c>
    </row>
    <row r="143">
      <c r="A143" s="1"/>
      <c r="B143" s="48" t="str">
        <f>IFERROR(__xludf.DUMMYFUNCTION("""COMPUTED_VALUE"""),"Mauricio Palacios")</f>
        <v>Mauricio Palacios</v>
      </c>
      <c r="C143" s="49">
        <f>IFERROR(__xludf.DUMMYFUNCTION("""COMPUTED_VALUE"""),196.0)</f>
        <v>196</v>
      </c>
      <c r="D143" s="50">
        <f>IFERROR(__xludf.DUMMYFUNCTION("""COMPUTED_VALUE"""),19.0)</f>
        <v>19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IFERROR(__xludf.DUMMYFUNCTION("""COMPUTED_VALUE"""),205.0)</f>
        <v>205</v>
      </c>
      <c r="N143" s="52">
        <f>IFERROR(__xludf.DUMMYFUNCTION("""COMPUTED_VALUE"""),19.0)</f>
        <v>19</v>
      </c>
    </row>
    <row r="144">
      <c r="A144" s="1"/>
      <c r="B144" s="48" t="str">
        <f>IFERROR(__xludf.DUMMYFUNCTION("""COMPUTED_VALUE"""),"Sanjaye Elayattu")</f>
        <v>Sanjaye Elayattu</v>
      </c>
      <c r="C144" s="49">
        <f>IFERROR(__xludf.DUMMYFUNCTION("""COMPUTED_VALUE"""),196.0)</f>
        <v>196</v>
      </c>
      <c r="D144" s="50">
        <f>IFERROR(__xludf.DUMMYFUNCTION("""COMPUTED_VALUE"""),8.0)</f>
        <v>8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IFERROR(__xludf.DUMMYFUNCTION("""COMPUTED_VALUE"""),205.0)</f>
        <v>205</v>
      </c>
      <c r="N144" s="52">
        <f>IFERROR(__xludf.DUMMYFUNCTION("""COMPUTED_VALUE"""),8.0)</f>
        <v>8</v>
      </c>
    </row>
    <row r="145">
      <c r="A145" s="1"/>
      <c r="B145" s="48" t="str">
        <f>IFERROR(__xludf.DUMMYFUNCTION("""COMPUTED_VALUE"""),"Susanta Mishra")</f>
        <v>Susanta Mishra</v>
      </c>
      <c r="C145" s="49">
        <f>IFERROR(__xludf.DUMMYFUNCTION("""COMPUTED_VALUE"""),195.0)</f>
        <v>195</v>
      </c>
      <c r="D145" s="50">
        <f>IFERROR(__xludf.DUMMYFUNCTION("""COMPUTED_VALUE"""),11.0)</f>
        <v>11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IFERROR(__xludf.DUMMYFUNCTION("""COMPUTED_VALUE"""),204.0)</f>
        <v>204</v>
      </c>
      <c r="N145" s="52">
        <f>IFERROR(__xludf.DUMMYFUNCTION("""COMPUTED_VALUE"""),11.0)</f>
        <v>11</v>
      </c>
    </row>
    <row r="146">
      <c r="A146" s="1"/>
      <c r="B146" s="48" t="str">
        <f>IFERROR(__xludf.DUMMYFUNCTION("""COMPUTED_VALUE"""),"Derek Fu")</f>
        <v>Derek Fu</v>
      </c>
      <c r="C146" s="49">
        <f>IFERROR(__xludf.DUMMYFUNCTION("""COMPUTED_VALUE"""),195.0)</f>
        <v>195</v>
      </c>
      <c r="D146" s="50">
        <f>IFERROR(__xludf.DUMMYFUNCTION("""COMPUTED_VALUE"""),10.0)</f>
        <v>10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IFERROR(__xludf.DUMMYFUNCTION("""COMPUTED_VALUE"""),204.0)</f>
        <v>204</v>
      </c>
      <c r="N146" s="52">
        <f>IFERROR(__xludf.DUMMYFUNCTION("""COMPUTED_VALUE"""),10.0)</f>
        <v>10</v>
      </c>
    </row>
    <row r="147">
      <c r="A147" s="1"/>
      <c r="B147" s="48" t="str">
        <f>IFERROR(__xludf.DUMMYFUNCTION("""COMPUTED_VALUE"""),"Sandy Weyant")</f>
        <v>Sandy Weyant</v>
      </c>
      <c r="C147" s="49">
        <f>IFERROR(__xludf.DUMMYFUNCTION("""COMPUTED_VALUE"""),193.0)</f>
        <v>193</v>
      </c>
      <c r="D147" s="50">
        <f>IFERROR(__xludf.DUMMYFUNCTION("""COMPUTED_VALUE"""),11.0)</f>
        <v>11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IFERROR(__xludf.DUMMYFUNCTION("""COMPUTED_VALUE"""),202.0)</f>
        <v>202</v>
      </c>
      <c r="N147" s="52">
        <f>IFERROR(__xludf.DUMMYFUNCTION("""COMPUTED_VALUE"""),11.0)</f>
        <v>11</v>
      </c>
    </row>
    <row r="148">
      <c r="A148" s="1"/>
      <c r="B148" s="48" t="str">
        <f>IFERROR(__xludf.DUMMYFUNCTION("""COMPUTED_VALUE"""),"Paul Sanchez")</f>
        <v>Paul Sanchez</v>
      </c>
      <c r="C148" s="49">
        <f>IFERROR(__xludf.DUMMYFUNCTION("""COMPUTED_VALUE"""),189.0)</f>
        <v>189</v>
      </c>
      <c r="D148" s="50">
        <f>IFERROR(__xludf.DUMMYFUNCTION("""COMPUTED_VALUE"""),9.0)</f>
        <v>9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IFERROR(__xludf.DUMMYFUNCTION("""COMPUTED_VALUE"""),198.0)</f>
        <v>198</v>
      </c>
      <c r="N148" s="52">
        <f>IFERROR(__xludf.DUMMYFUNCTION("""COMPUTED_VALUE"""),9.0)</f>
        <v>9</v>
      </c>
    </row>
    <row r="149">
      <c r="A149" s="1"/>
      <c r="B149" s="48" t="str">
        <f>IFERROR(__xludf.DUMMYFUNCTION("""COMPUTED_VALUE"""),"Christopher Li")</f>
        <v>Christopher Li</v>
      </c>
      <c r="C149" s="49">
        <f>IFERROR(__xludf.DUMMYFUNCTION("""COMPUTED_VALUE"""),189.0)</f>
        <v>189</v>
      </c>
      <c r="D149" s="50">
        <f>IFERROR(__xludf.DUMMYFUNCTION("""COMPUTED_VALUE"""),8.0)</f>
        <v>8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IFERROR(__xludf.DUMMYFUNCTION("""COMPUTED_VALUE"""),198.0)</f>
        <v>198</v>
      </c>
      <c r="N149" s="52">
        <f>IFERROR(__xludf.DUMMYFUNCTION("""COMPUTED_VALUE"""),8.0)</f>
        <v>8</v>
      </c>
    </row>
    <row r="150">
      <c r="A150" s="1"/>
      <c r="B150" s="48" t="str">
        <f>IFERROR(__xludf.DUMMYFUNCTION("""COMPUTED_VALUE"""),"Nohely Mejia")</f>
        <v>Nohely Mejia</v>
      </c>
      <c r="C150" s="49">
        <f>IFERROR(__xludf.DUMMYFUNCTION("""COMPUTED_VALUE"""),184.0)</f>
        <v>184</v>
      </c>
      <c r="D150" s="50">
        <f>IFERROR(__xludf.DUMMYFUNCTION("""COMPUTED_VALUE"""),9.0)</f>
        <v>9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IFERROR(__xludf.DUMMYFUNCTION("""COMPUTED_VALUE"""),193.0)</f>
        <v>193</v>
      </c>
      <c r="N150" s="52">
        <f>IFERROR(__xludf.DUMMYFUNCTION("""COMPUTED_VALUE"""),9.0)</f>
        <v>9</v>
      </c>
    </row>
    <row r="151">
      <c r="A151" s="1"/>
      <c r="B151" s="48" t="str">
        <f>IFERROR(__xludf.DUMMYFUNCTION("""COMPUTED_VALUE"""),"James Cole III")</f>
        <v>James Cole III</v>
      </c>
      <c r="C151" s="49">
        <f>IFERROR(__xludf.DUMMYFUNCTION("""COMPUTED_VALUE"""),184.0)</f>
        <v>184</v>
      </c>
      <c r="D151" s="50">
        <f>IFERROR(__xludf.DUMMYFUNCTION("""COMPUTED_VALUE"""),8.0)</f>
        <v>8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IFERROR(__xludf.DUMMYFUNCTION("""COMPUTED_VALUE"""),193.0)</f>
        <v>193</v>
      </c>
      <c r="N151" s="52">
        <f>IFERROR(__xludf.DUMMYFUNCTION("""COMPUTED_VALUE"""),8.0)</f>
        <v>8</v>
      </c>
    </row>
    <row r="152">
      <c r="A152" s="1"/>
      <c r="B152" s="48" t="str">
        <f>IFERROR(__xludf.DUMMYFUNCTION("""COMPUTED_VALUE"""),"Jimmy Awolesi")</f>
        <v>Jimmy Awolesi</v>
      </c>
      <c r="C152" s="49">
        <f>IFERROR(__xludf.DUMMYFUNCTION("""COMPUTED_VALUE"""),181.0)</f>
        <v>181</v>
      </c>
      <c r="D152" s="50">
        <f>IFERROR(__xludf.DUMMYFUNCTION("""COMPUTED_VALUE"""),12.0)</f>
        <v>12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IFERROR(__xludf.DUMMYFUNCTION("""COMPUTED_VALUE"""),190.0)</f>
        <v>190</v>
      </c>
      <c r="N152" s="52">
        <f>IFERROR(__xludf.DUMMYFUNCTION("""COMPUTED_VALUE"""),12.0)</f>
        <v>12</v>
      </c>
    </row>
    <row r="153">
      <c r="A153" s="1"/>
      <c r="B153" s="48" t="str">
        <f>IFERROR(__xludf.DUMMYFUNCTION("""COMPUTED_VALUE"""),"Vinot Kumar Nagappan")</f>
        <v>Vinot Kumar Nagappan</v>
      </c>
      <c r="C153" s="49">
        <f>IFERROR(__xludf.DUMMYFUNCTION("""COMPUTED_VALUE"""),181.0)</f>
        <v>181</v>
      </c>
      <c r="D153" s="50">
        <f>IFERROR(__xludf.DUMMYFUNCTION("""COMPUTED_VALUE"""),10.0)</f>
        <v>10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IFERROR(__xludf.DUMMYFUNCTION("""COMPUTED_VALUE"""),190.0)</f>
        <v>190</v>
      </c>
      <c r="N153" s="52">
        <f>IFERROR(__xludf.DUMMYFUNCTION("""COMPUTED_VALUE"""),10.0)</f>
        <v>10</v>
      </c>
    </row>
    <row r="154">
      <c r="A154" s="1"/>
      <c r="B154" s="48" t="str">
        <f>IFERROR(__xludf.DUMMYFUNCTION("""COMPUTED_VALUE"""),"Pan Lee")</f>
        <v>Pan Lee</v>
      </c>
      <c r="C154" s="49">
        <f>IFERROR(__xludf.DUMMYFUNCTION("""COMPUTED_VALUE"""),176.0)</f>
        <v>176</v>
      </c>
      <c r="D154" s="50">
        <f>IFERROR(__xludf.DUMMYFUNCTION("""COMPUTED_VALUE"""),5.0)</f>
        <v>5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IFERROR(__xludf.DUMMYFUNCTION("""COMPUTED_VALUE"""),185.0)</f>
        <v>185</v>
      </c>
      <c r="N154" s="52">
        <f>IFERROR(__xludf.DUMMYFUNCTION("""COMPUTED_VALUE"""),5.0)</f>
        <v>5</v>
      </c>
    </row>
    <row r="155">
      <c r="A155" s="1"/>
      <c r="B155" s="48" t="str">
        <f>IFERROR(__xludf.DUMMYFUNCTION("""COMPUTED_VALUE"""),"Elayaraja Thangaraj ")</f>
        <v>Elayaraja Thangaraj </v>
      </c>
      <c r="C155" s="49">
        <f>IFERROR(__xludf.DUMMYFUNCTION("""COMPUTED_VALUE"""),175.0)</f>
        <v>175</v>
      </c>
      <c r="D155" s="50">
        <f>IFERROR(__xludf.DUMMYFUNCTION("""COMPUTED_VALUE"""),12.0)</f>
        <v>12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IFERROR(__xludf.DUMMYFUNCTION("""COMPUTED_VALUE"""),184.0)</f>
        <v>184</v>
      </c>
      <c r="N155" s="52">
        <f>IFERROR(__xludf.DUMMYFUNCTION("""COMPUTED_VALUE"""),12.0)</f>
        <v>12</v>
      </c>
    </row>
    <row r="156">
      <c r="A156" s="1"/>
      <c r="B156" s="48" t="str">
        <f>IFERROR(__xludf.DUMMYFUNCTION("""COMPUTED_VALUE"""),"Balaji Alahari")</f>
        <v>Balaji Alahari</v>
      </c>
      <c r="C156" s="49">
        <f>IFERROR(__xludf.DUMMYFUNCTION("""COMPUTED_VALUE"""),174.0)</f>
        <v>174</v>
      </c>
      <c r="D156" s="50">
        <f>IFERROR(__xludf.DUMMYFUNCTION("""COMPUTED_VALUE"""),4.0)</f>
        <v>4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IFERROR(__xludf.DUMMYFUNCTION("""COMPUTED_VALUE"""),183.0)</f>
        <v>183</v>
      </c>
      <c r="N156" s="52">
        <f>IFERROR(__xludf.DUMMYFUNCTION("""COMPUTED_VALUE"""),4.0)</f>
        <v>4</v>
      </c>
    </row>
    <row r="157">
      <c r="A157" s="1"/>
      <c r="B157" s="48" t="str">
        <f>IFERROR(__xludf.DUMMYFUNCTION("""COMPUTED_VALUE"""),"Lauren Chang")</f>
        <v>Lauren Chang</v>
      </c>
      <c r="C157" s="49">
        <f>IFERROR(__xludf.DUMMYFUNCTION("""COMPUTED_VALUE"""),174.0)</f>
        <v>174</v>
      </c>
      <c r="D157" s="50">
        <f>IFERROR(__xludf.DUMMYFUNCTION("""COMPUTED_VALUE"""),4.0)</f>
        <v>4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IFERROR(__xludf.DUMMYFUNCTION("""COMPUTED_VALUE"""),183.0)</f>
        <v>183</v>
      </c>
      <c r="N157" s="52">
        <f>IFERROR(__xludf.DUMMYFUNCTION("""COMPUTED_VALUE"""),4.0)</f>
        <v>4</v>
      </c>
    </row>
    <row r="158">
      <c r="A158" s="1"/>
      <c r="B158" s="48" t="str">
        <f>IFERROR(__xludf.DUMMYFUNCTION("""COMPUTED_VALUE"""),"Vilas Janardhanan")</f>
        <v>Vilas Janardhanan</v>
      </c>
      <c r="C158" s="49">
        <f>IFERROR(__xludf.DUMMYFUNCTION("""COMPUTED_VALUE"""),171.0)</f>
        <v>171</v>
      </c>
      <c r="D158" s="50">
        <f>IFERROR(__xludf.DUMMYFUNCTION("""COMPUTED_VALUE"""),7.0)</f>
        <v>7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IFERROR(__xludf.DUMMYFUNCTION("""COMPUTED_VALUE"""),180.0)</f>
        <v>180</v>
      </c>
      <c r="N158" s="52">
        <f>IFERROR(__xludf.DUMMYFUNCTION("""COMPUTED_VALUE"""),7.0)</f>
        <v>7</v>
      </c>
    </row>
    <row r="159">
      <c r="A159" s="1"/>
      <c r="B159" s="48" t="str">
        <f>IFERROR(__xludf.DUMMYFUNCTION("""COMPUTED_VALUE"""),"Piyorasa Li")</f>
        <v>Piyorasa Li</v>
      </c>
      <c r="C159" s="49">
        <f>IFERROR(__xludf.DUMMYFUNCTION("""COMPUTED_VALUE"""),171.0)</f>
        <v>171</v>
      </c>
      <c r="D159" s="50">
        <f>IFERROR(__xludf.DUMMYFUNCTION("""COMPUTED_VALUE"""),3.0)</f>
        <v>3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IFERROR(__xludf.DUMMYFUNCTION("""COMPUTED_VALUE"""),180.0)</f>
        <v>180</v>
      </c>
      <c r="N159" s="52">
        <f>IFERROR(__xludf.DUMMYFUNCTION("""COMPUTED_VALUE"""),3.0)</f>
        <v>3</v>
      </c>
    </row>
    <row r="160">
      <c r="A160" s="1"/>
      <c r="B160" s="48" t="str">
        <f>IFERROR(__xludf.DUMMYFUNCTION("""COMPUTED_VALUE"""),"Jason Kim ")</f>
        <v>Jason Kim </v>
      </c>
      <c r="C160" s="49">
        <f>IFERROR(__xludf.DUMMYFUNCTION("""COMPUTED_VALUE"""),171.0)</f>
        <v>171</v>
      </c>
      <c r="D160" s="50">
        <f>IFERROR(__xludf.DUMMYFUNCTION("""COMPUTED_VALUE"""),3.0)</f>
        <v>3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IFERROR(__xludf.DUMMYFUNCTION("""COMPUTED_VALUE"""),180.0)</f>
        <v>180</v>
      </c>
      <c r="N160" s="52">
        <f>IFERROR(__xludf.DUMMYFUNCTION("""COMPUTED_VALUE"""),3.0)</f>
        <v>3</v>
      </c>
    </row>
    <row r="161">
      <c r="A161" s="1"/>
      <c r="B161" s="48" t="str">
        <f>IFERROR(__xludf.DUMMYFUNCTION("""COMPUTED_VALUE"""),"Suleman Alidina")</f>
        <v>Suleman Alidina</v>
      </c>
      <c r="C161" s="49">
        <f>IFERROR(__xludf.DUMMYFUNCTION("""COMPUTED_VALUE"""),169.0)</f>
        <v>169</v>
      </c>
      <c r="D161" s="50">
        <f>IFERROR(__xludf.DUMMYFUNCTION("""COMPUTED_VALUE"""),4.0)</f>
        <v>4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IFERROR(__xludf.DUMMYFUNCTION("""COMPUTED_VALUE"""),178.0)</f>
        <v>178</v>
      </c>
      <c r="N161" s="52">
        <f>IFERROR(__xludf.DUMMYFUNCTION("""COMPUTED_VALUE"""),4.0)</f>
        <v>4</v>
      </c>
    </row>
    <row r="162">
      <c r="A162" s="1"/>
      <c r="B162" s="48" t="str">
        <f>IFERROR(__xludf.DUMMYFUNCTION("""COMPUTED_VALUE"""),"Coco Yan")</f>
        <v>Coco Yan</v>
      </c>
      <c r="C162" s="49">
        <f>IFERROR(__xludf.DUMMYFUNCTION("""COMPUTED_VALUE"""),166.0)</f>
        <v>166</v>
      </c>
      <c r="D162" s="50">
        <f>IFERROR(__xludf.DUMMYFUNCTION("""COMPUTED_VALUE"""),2.0)</f>
        <v>2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IFERROR(__xludf.DUMMYFUNCTION("""COMPUTED_VALUE"""),175.0)</f>
        <v>175</v>
      </c>
      <c r="N162" s="52">
        <f>IFERROR(__xludf.DUMMYFUNCTION("""COMPUTED_VALUE"""),2.0)</f>
        <v>2</v>
      </c>
    </row>
    <row r="163">
      <c r="A163" s="1"/>
      <c r="B163" s="48" t="str">
        <f>IFERROR(__xludf.DUMMYFUNCTION("""COMPUTED_VALUE"""),"Amit Patel")</f>
        <v>Amit Patel</v>
      </c>
      <c r="C163" s="49">
        <f>IFERROR(__xludf.DUMMYFUNCTION("""COMPUTED_VALUE"""),165.0)</f>
        <v>165</v>
      </c>
      <c r="D163" s="50">
        <f>IFERROR(__xludf.DUMMYFUNCTION("""COMPUTED_VALUE"""),3.0)</f>
        <v>3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IFERROR(__xludf.DUMMYFUNCTION("""COMPUTED_VALUE"""),174.0)</f>
        <v>174</v>
      </c>
      <c r="N163" s="52">
        <f>IFERROR(__xludf.DUMMYFUNCTION("""COMPUTED_VALUE"""),3.0)</f>
        <v>3</v>
      </c>
    </row>
    <row r="164">
      <c r="A164" s="1"/>
      <c r="B164" s="48" t="str">
        <f>IFERROR(__xludf.DUMMYFUNCTION("""COMPUTED_VALUE"""),"Savay Lieu")</f>
        <v>Savay Lieu</v>
      </c>
      <c r="C164" s="49">
        <f>IFERROR(__xludf.DUMMYFUNCTION("""COMPUTED_VALUE"""),162.0)</f>
        <v>162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IFERROR(__xludf.DUMMYFUNCTION("""COMPUTED_VALUE"""),171.0)</f>
        <v>171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IFERROR(__xludf.DUMMYFUNCTION("""COMPUTED_VALUE"""),"Mihir Anand")</f>
        <v>Mihir Anand</v>
      </c>
      <c r="C165" s="49">
        <f>IFERROR(__xludf.DUMMYFUNCTION("""COMPUTED_VALUE"""),162.0)</f>
        <v>162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IFERROR(__xludf.DUMMYFUNCTION("""COMPUTED_VALUE"""),171.0)</f>
        <v>171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IFERROR(__xludf.DUMMYFUNCTION("""COMPUTED_VALUE"""),"Manish Anand")</f>
        <v>Manish Anand</v>
      </c>
      <c r="C166" s="49">
        <f>IFERROR(__xludf.DUMMYFUNCTION("""COMPUTED_VALUE"""),162.0)</f>
        <v>162</v>
      </c>
      <c r="D166" s="50">
        <f>IFERROR(__xludf.DUMMYFUNCTION("""COMPUTED_VALUE"""),0.0)</f>
        <v>0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IFERROR(__xludf.DUMMYFUNCTION("""COMPUTED_VALUE"""),171.0)</f>
        <v>171</v>
      </c>
      <c r="N166" s="52">
        <f>IFERROR(__xludf.DUMMYFUNCTION("""COMPUTED_VALUE"""),0.0)</f>
        <v>0</v>
      </c>
    </row>
    <row r="167">
      <c r="A167" s="1"/>
      <c r="B167" s="48" t="str">
        <f>IFERROR(__xludf.DUMMYFUNCTION("""COMPUTED_VALUE"""),"Fendi Purwadi")</f>
        <v>Fendi Purwadi</v>
      </c>
      <c r="C167" s="49">
        <f>IFERROR(__xludf.DUMMYFUNCTION("""COMPUTED_VALUE"""),162.0)</f>
        <v>162</v>
      </c>
      <c r="D167" s="50">
        <f>IFERROR(__xludf.DUMMYFUNCTION("""COMPUTED_VALUE"""),0.0)</f>
        <v>0</v>
      </c>
      <c r="E167" s="49">
        <f>IFERROR(__xludf.DUMMYFUNCTION("""COMPUTED_VALUE"""),3.0)</f>
        <v>3</v>
      </c>
      <c r="F167" s="51">
        <f>IFERROR(__xludf.DUMMYFUNCTION("""COMPUTED_VALUE"""),0.0)</f>
        <v>0</v>
      </c>
      <c r="G167" s="51">
        <f>IFERROR(__xludf.DUMMYFUNCTION("""COMPUTED_VALUE"""),9.0)</f>
        <v>9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IFERROR(__xludf.DUMMYFUNCTION("""COMPUTED_VALUE"""),9.0)</f>
        <v>9</v>
      </c>
      <c r="L167" s="51">
        <f>IFERROR(__xludf.DUMMYFUNCTION("""COMPUTED_VALUE"""),0.0)</f>
        <v>0</v>
      </c>
      <c r="M167" s="51">
        <f>IFERROR(__xludf.DUMMYFUNCTION("""COMPUTED_VALUE"""),171.0)</f>
        <v>171</v>
      </c>
      <c r="N167" s="52">
        <f>IFERROR(__xludf.DUMMYFUNCTION("""COMPUTED_VALUE"""),0.0)</f>
        <v>0</v>
      </c>
    </row>
    <row r="168">
      <c r="A168" s="1"/>
      <c r="B168" s="48" t="str">
        <f>IFERROR(__xludf.DUMMYFUNCTION("""COMPUTED_VALUE"""),"Jose Ortiz")</f>
        <v>Jose Ortiz</v>
      </c>
      <c r="C168" s="49">
        <f>IFERROR(__xludf.DUMMYFUNCTION("""COMPUTED_VALUE"""),159.0)</f>
        <v>159</v>
      </c>
      <c r="D168" s="50">
        <f>IFERROR(__xludf.DUMMYFUNCTION("""COMPUTED_VALUE"""),5.0)</f>
        <v>5</v>
      </c>
      <c r="E168" s="49">
        <f>IFERROR(__xludf.DUMMYFUNCTION("""COMPUTED_VALUE"""),3.0)</f>
        <v>3</v>
      </c>
      <c r="F168" s="51">
        <f>IFERROR(__xludf.DUMMYFUNCTION("""COMPUTED_VALUE"""),0.0)</f>
        <v>0</v>
      </c>
      <c r="G168" s="51">
        <f>IFERROR(__xludf.DUMMYFUNCTION("""COMPUTED_VALUE"""),9.0)</f>
        <v>9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IFERROR(__xludf.DUMMYFUNCTION("""COMPUTED_VALUE"""),9.0)</f>
        <v>9</v>
      </c>
      <c r="L168" s="51">
        <f>IFERROR(__xludf.DUMMYFUNCTION("""COMPUTED_VALUE"""),0.0)</f>
        <v>0</v>
      </c>
      <c r="M168" s="51">
        <f>IFERROR(__xludf.DUMMYFUNCTION("""COMPUTED_VALUE"""),168.0)</f>
        <v>168</v>
      </c>
      <c r="N168" s="52">
        <f>IFERROR(__xludf.DUMMYFUNCTION("""COMPUTED_VALUE"""),5.0)</f>
        <v>5</v>
      </c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45234.0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18.0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228.0</v>
      </c>
      <c r="D5" s="28">
        <v>23.0</v>
      </c>
      <c r="E5" s="30">
        <v>1.0</v>
      </c>
      <c r="F5" s="31">
        <v>1.0</v>
      </c>
      <c r="G5" s="27">
        <v>0.0</v>
      </c>
      <c r="H5" s="31">
        <v>6.0</v>
      </c>
      <c r="I5" s="31">
        <v>6.0</v>
      </c>
      <c r="J5" s="31">
        <v>6.0</v>
      </c>
      <c r="K5" s="32">
        <v>18.0</v>
      </c>
      <c r="L5" s="31">
        <v>3.0</v>
      </c>
      <c r="M5" s="27">
        <f t="shared" ref="M5:N5" si="1">C5+K5</f>
        <v>246</v>
      </c>
      <c r="N5" s="28">
        <f t="shared" si="1"/>
        <v>26</v>
      </c>
      <c r="O5" s="33" t="s">
        <v>37</v>
      </c>
      <c r="P5" s="33" t="s">
        <v>37</v>
      </c>
      <c r="Q5" s="31">
        <f>if(G5=13,1,0)+VLOOKUP(B5,'102823'!B:Q,16,false)</f>
        <v>1</v>
      </c>
      <c r="R5" s="31"/>
      <c r="S5" s="31">
        <f>if(G5=9,1,0)+VLOOKUP(B5,'102823'!B:S,18,false)</f>
        <v>6</v>
      </c>
    </row>
    <row r="6">
      <c r="A6" s="25">
        <f t="shared" ref="A6:A68" si="3">A5+1</f>
        <v>2</v>
      </c>
      <c r="B6" s="26" t="s">
        <v>42</v>
      </c>
      <c r="C6" s="27">
        <v>228.0</v>
      </c>
      <c r="D6" s="28">
        <v>22.0</v>
      </c>
      <c r="E6" s="30">
        <v>2.0</v>
      </c>
      <c r="F6" s="31">
        <v>1.0</v>
      </c>
      <c r="G6" s="27">
        <v>0.0</v>
      </c>
      <c r="H6" s="31">
        <v>3.0</v>
      </c>
      <c r="I6" s="31">
        <v>6.0</v>
      </c>
      <c r="J6" s="31">
        <v>4.0</v>
      </c>
      <c r="K6" s="32">
        <v>13.0</v>
      </c>
      <c r="L6" s="31">
        <v>1.0</v>
      </c>
      <c r="M6" s="27">
        <f t="shared" ref="M6:N6" si="2">C6+K6</f>
        <v>241</v>
      </c>
      <c r="N6" s="28">
        <f t="shared" si="2"/>
        <v>23</v>
      </c>
      <c r="O6" s="33" t="s">
        <v>37</v>
      </c>
      <c r="P6" s="33" t="s">
        <v>37</v>
      </c>
      <c r="Q6" s="31">
        <f>if(G6=13,1,0)+VLOOKUP(B6,'102823'!B:Q,16,false)</f>
        <v>0</v>
      </c>
      <c r="R6" s="31"/>
      <c r="S6" s="31">
        <f>if(G6=9,1,0)+VLOOKUP(B6,'102823'!B:S,18,false)</f>
        <v>7</v>
      </c>
    </row>
    <row r="7">
      <c r="A7" s="25">
        <f t="shared" si="3"/>
        <v>3</v>
      </c>
      <c r="B7" s="26" t="s">
        <v>49</v>
      </c>
      <c r="C7" s="27">
        <v>225.0</v>
      </c>
      <c r="D7" s="28">
        <v>20.0</v>
      </c>
      <c r="E7" s="30">
        <v>1.0</v>
      </c>
      <c r="F7" s="31">
        <v>1.0</v>
      </c>
      <c r="G7" s="27">
        <v>0.0</v>
      </c>
      <c r="H7" s="31">
        <v>3.0</v>
      </c>
      <c r="I7" s="31">
        <v>2.0</v>
      </c>
      <c r="J7" s="31">
        <v>6.0</v>
      </c>
      <c r="K7" s="32">
        <v>11.0</v>
      </c>
      <c r="L7" s="31">
        <v>1.0</v>
      </c>
      <c r="M7" s="27">
        <f t="shared" ref="M7:N7" si="4">C7+K7</f>
        <v>236</v>
      </c>
      <c r="N7" s="28">
        <f t="shared" si="4"/>
        <v>21</v>
      </c>
      <c r="O7" s="33" t="s">
        <v>37</v>
      </c>
      <c r="P7" s="33" t="s">
        <v>37</v>
      </c>
      <c r="Q7" s="31">
        <f>if(G7=13,1,0)+VLOOKUP(B7,'102823'!B:Q,16,false)</f>
        <v>1</v>
      </c>
      <c r="R7" s="31"/>
      <c r="S7" s="31">
        <f>if(G7=9,1,0)+VLOOKUP(B7,'102823'!B:S,18,false)</f>
        <v>2</v>
      </c>
    </row>
    <row r="8">
      <c r="A8" s="25">
        <f t="shared" si="3"/>
        <v>4</v>
      </c>
      <c r="B8" s="26" t="s">
        <v>51</v>
      </c>
      <c r="C8" s="27">
        <v>221.0</v>
      </c>
      <c r="D8" s="28">
        <v>20.0</v>
      </c>
      <c r="E8" s="30">
        <v>1.0</v>
      </c>
      <c r="F8" s="31">
        <v>1.0</v>
      </c>
      <c r="G8" s="27">
        <v>0.0</v>
      </c>
      <c r="H8" s="31">
        <v>6.0</v>
      </c>
      <c r="I8" s="31">
        <v>2.0</v>
      </c>
      <c r="J8" s="31">
        <v>4.0</v>
      </c>
      <c r="K8" s="32">
        <v>12.0</v>
      </c>
      <c r="L8" s="31">
        <v>1.0</v>
      </c>
      <c r="M8" s="27">
        <f t="shared" ref="M8:N8" si="5">C8+K8</f>
        <v>233</v>
      </c>
      <c r="N8" s="28">
        <f t="shared" si="5"/>
        <v>21</v>
      </c>
      <c r="O8" s="33" t="s">
        <v>37</v>
      </c>
      <c r="P8" s="33" t="s">
        <v>37</v>
      </c>
      <c r="Q8" s="31">
        <f>if(G8=13,1,0)+VLOOKUP(B8,'102823'!B:Q,16,false)</f>
        <v>1</v>
      </c>
      <c r="R8" s="31"/>
      <c r="S8" s="31">
        <f>if(G8=9,1,0)+VLOOKUP(B8,'102823'!B:S,18,false)</f>
        <v>7</v>
      </c>
    </row>
    <row r="9">
      <c r="A9" s="25">
        <f t="shared" si="3"/>
        <v>5</v>
      </c>
      <c r="B9" s="26" t="s">
        <v>54</v>
      </c>
      <c r="C9" s="27">
        <v>220.0</v>
      </c>
      <c r="D9" s="28">
        <v>20.0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229</v>
      </c>
      <c r="N9" s="28">
        <f t="shared" si="6"/>
        <v>20</v>
      </c>
      <c r="O9" s="33" t="s">
        <v>37</v>
      </c>
      <c r="P9" s="33" t="s">
        <v>37</v>
      </c>
      <c r="Q9" s="31">
        <f>if(G9=13,1,0)+VLOOKUP(B9,'102823'!B:Q,16,false)</f>
        <v>0</v>
      </c>
      <c r="R9" s="31"/>
      <c r="S9" s="31">
        <f>if(G9=9,1,0)+VLOOKUP(B9,'102823'!B:S,18,false)</f>
        <v>6</v>
      </c>
    </row>
    <row r="10">
      <c r="A10" s="25">
        <f t="shared" si="3"/>
        <v>6</v>
      </c>
      <c r="B10" s="26" t="s">
        <v>48</v>
      </c>
      <c r="C10" s="27">
        <v>218.0</v>
      </c>
      <c r="D10" s="28">
        <v>20.0</v>
      </c>
      <c r="E10" s="30">
        <v>3.0</v>
      </c>
      <c r="F10" s="31">
        <v>0.0</v>
      </c>
      <c r="G10" s="27">
        <v>9.0</v>
      </c>
      <c r="H10" s="31">
        <v>0.0</v>
      </c>
      <c r="I10" s="31">
        <v>0.0</v>
      </c>
      <c r="J10" s="31">
        <v>0.0</v>
      </c>
      <c r="K10" s="32">
        <v>9.0</v>
      </c>
      <c r="L10" s="31">
        <v>0.0</v>
      </c>
      <c r="M10" s="27">
        <f t="shared" ref="M10:N10" si="7">C10+K10</f>
        <v>227</v>
      </c>
      <c r="N10" s="28">
        <f t="shared" si="7"/>
        <v>20</v>
      </c>
      <c r="O10" s="33" t="s">
        <v>37</v>
      </c>
      <c r="P10" s="33" t="s">
        <v>37</v>
      </c>
      <c r="Q10" s="31">
        <f>if(G10=13,1,0)+VLOOKUP(B10,'102823'!B:Q,16,false)</f>
        <v>0</v>
      </c>
      <c r="R10" s="31"/>
      <c r="S10" s="31">
        <f>if(G10=9,1,0)+VLOOKUP(B10,'102823'!B:S,18,false)</f>
        <v>7</v>
      </c>
    </row>
    <row r="11">
      <c r="A11" s="25">
        <f t="shared" si="3"/>
        <v>7</v>
      </c>
      <c r="B11" s="26" t="s">
        <v>50</v>
      </c>
      <c r="C11" s="27">
        <v>215.0</v>
      </c>
      <c r="D11" s="28">
        <v>17.0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224</v>
      </c>
      <c r="N11" s="28">
        <f t="shared" si="8"/>
        <v>17</v>
      </c>
      <c r="O11" s="33" t="s">
        <v>37</v>
      </c>
      <c r="P11" s="33" t="s">
        <v>37</v>
      </c>
      <c r="Q11" s="31">
        <f>if(G11=13,1,0)+VLOOKUP(B11,'102823'!B:Q,16,false)</f>
        <v>0</v>
      </c>
      <c r="R11" s="31"/>
      <c r="S11" s="31">
        <f>if(G11=9,1,0)+VLOOKUP(B11,'102823'!B:S,18,false)</f>
        <v>9</v>
      </c>
    </row>
    <row r="12">
      <c r="A12" s="25">
        <f t="shared" si="3"/>
        <v>8</v>
      </c>
      <c r="B12" s="26" t="s">
        <v>47</v>
      </c>
      <c r="C12" s="27">
        <v>213.0</v>
      </c>
      <c r="D12" s="28">
        <v>18.0</v>
      </c>
      <c r="E12" s="30">
        <v>2.0</v>
      </c>
      <c r="F12" s="31">
        <v>2.0</v>
      </c>
      <c r="G12" s="27">
        <v>0.0</v>
      </c>
      <c r="H12" s="31">
        <v>6.0</v>
      </c>
      <c r="I12" s="31">
        <v>6.0</v>
      </c>
      <c r="J12" s="31">
        <v>6.0</v>
      </c>
      <c r="K12" s="32">
        <v>18.0</v>
      </c>
      <c r="L12" s="31">
        <v>3.0</v>
      </c>
      <c r="M12" s="27">
        <f t="shared" ref="M12:N12" si="9">C12+K12</f>
        <v>231</v>
      </c>
      <c r="N12" s="28">
        <f t="shared" si="9"/>
        <v>21</v>
      </c>
      <c r="O12" s="33" t="s">
        <v>37</v>
      </c>
      <c r="P12" s="33" t="s">
        <v>37</v>
      </c>
      <c r="Q12" s="31">
        <f>if(G12=13,1,0)+VLOOKUP(B12,'102823'!B:Q,16,false)</f>
        <v>0</v>
      </c>
      <c r="R12" s="31"/>
      <c r="S12" s="31">
        <f>if(G12=9,1,0)+VLOOKUP(B12,'102823'!B:S,18,false)</f>
        <v>9</v>
      </c>
    </row>
    <row r="13">
      <c r="A13" s="25">
        <f t="shared" si="3"/>
        <v>9</v>
      </c>
      <c r="B13" s="26" t="s">
        <v>52</v>
      </c>
      <c r="C13" s="27">
        <v>212.0</v>
      </c>
      <c r="D13" s="28">
        <v>19.0</v>
      </c>
      <c r="E13" s="30">
        <v>1.0</v>
      </c>
      <c r="F13" s="31">
        <v>2.0</v>
      </c>
      <c r="G13" s="27">
        <v>0.0</v>
      </c>
      <c r="H13" s="31">
        <v>6.0</v>
      </c>
      <c r="I13" s="31">
        <v>2.0</v>
      </c>
      <c r="J13" s="31">
        <v>4.0</v>
      </c>
      <c r="K13" s="32">
        <v>12.0</v>
      </c>
      <c r="L13" s="31">
        <v>1.0</v>
      </c>
      <c r="M13" s="27">
        <f t="shared" ref="M13:N13" si="10">C13+K13</f>
        <v>224</v>
      </c>
      <c r="N13" s="28">
        <f t="shared" si="10"/>
        <v>20</v>
      </c>
      <c r="O13" s="33" t="s">
        <v>37</v>
      </c>
      <c r="P13" s="33" t="s">
        <v>37</v>
      </c>
      <c r="Q13" s="31">
        <f>if(G13=13,1,0)+VLOOKUP(B13,'102823'!B:Q,16,false)</f>
        <v>0</v>
      </c>
      <c r="R13" s="31"/>
      <c r="S13" s="31">
        <f>if(G13=9,1,0)+VLOOKUP(B13,'102823'!B:S,18,false)</f>
        <v>2</v>
      </c>
    </row>
    <row r="14">
      <c r="A14" s="25">
        <f t="shared" si="3"/>
        <v>10</v>
      </c>
      <c r="B14" s="36" t="s">
        <v>67</v>
      </c>
      <c r="C14" s="27">
        <v>209.0</v>
      </c>
      <c r="D14" s="28">
        <v>17.0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218</v>
      </c>
      <c r="N14" s="28">
        <f t="shared" si="11"/>
        <v>17</v>
      </c>
      <c r="O14" s="33" t="s">
        <v>37</v>
      </c>
      <c r="P14" s="33" t="s">
        <v>37</v>
      </c>
      <c r="Q14" s="31">
        <f>if(G14=13,1,0)+VLOOKUP(B14,'102823'!B:Q,16,false)</f>
        <v>0</v>
      </c>
      <c r="R14" s="31"/>
      <c r="S14" s="31">
        <f>if(G14=9,1,0)+VLOOKUP(B14,'102823'!B:S,18,false)</f>
        <v>8</v>
      </c>
    </row>
    <row r="15">
      <c r="A15" s="25">
        <f t="shared" si="3"/>
        <v>11</v>
      </c>
      <c r="B15" s="36" t="s">
        <v>56</v>
      </c>
      <c r="C15" s="27">
        <v>208.0</v>
      </c>
      <c r="D15" s="28">
        <v>21.0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217</v>
      </c>
      <c r="N15" s="28">
        <f t="shared" si="12"/>
        <v>21</v>
      </c>
      <c r="O15" s="33" t="s">
        <v>37</v>
      </c>
      <c r="P15" s="33" t="s">
        <v>37</v>
      </c>
      <c r="Q15" s="31">
        <f>if(G15=13,1,0)+VLOOKUP(B15,'102823'!B:Q,16,false)</f>
        <v>1</v>
      </c>
      <c r="R15" s="31"/>
      <c r="S15" s="31">
        <f>if(G15=9,1,0)+VLOOKUP(B15,'102823'!B:S,18,false)</f>
        <v>3</v>
      </c>
    </row>
    <row r="16">
      <c r="A16" s="25">
        <f t="shared" si="3"/>
        <v>12</v>
      </c>
      <c r="B16" s="26" t="s">
        <v>57</v>
      </c>
      <c r="C16" s="27">
        <v>207.0</v>
      </c>
      <c r="D16" s="28">
        <v>19.0</v>
      </c>
      <c r="E16" s="30">
        <v>1.0</v>
      </c>
      <c r="F16" s="31">
        <v>2.0</v>
      </c>
      <c r="G16" s="27">
        <v>0.0</v>
      </c>
      <c r="H16" s="31">
        <v>2.0</v>
      </c>
      <c r="I16" s="31">
        <v>6.0</v>
      </c>
      <c r="J16" s="31">
        <v>4.0</v>
      </c>
      <c r="K16" s="32">
        <v>12.0</v>
      </c>
      <c r="L16" s="31">
        <v>1.0</v>
      </c>
      <c r="M16" s="27">
        <f t="shared" ref="M16:N16" si="13">C16+K16</f>
        <v>219</v>
      </c>
      <c r="N16" s="28">
        <f t="shared" si="13"/>
        <v>20</v>
      </c>
      <c r="O16" s="33" t="s">
        <v>37</v>
      </c>
      <c r="P16" s="33" t="s">
        <v>37</v>
      </c>
      <c r="Q16" s="31">
        <f>if(G16=13,1,0)+VLOOKUP(B16,'102823'!B:Q,16,false)</f>
        <v>0</v>
      </c>
      <c r="R16" s="31"/>
      <c r="S16" s="31">
        <f>if(G16=9,1,0)+VLOOKUP(B16,'102823'!B:S,18,false)</f>
        <v>5</v>
      </c>
    </row>
    <row r="17">
      <c r="A17" s="25">
        <f t="shared" si="3"/>
        <v>13</v>
      </c>
      <c r="B17" s="26" t="s">
        <v>72</v>
      </c>
      <c r="C17" s="27">
        <v>206.0</v>
      </c>
      <c r="D17" s="28">
        <v>16.0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215</v>
      </c>
      <c r="N17" s="28">
        <f t="shared" si="14"/>
        <v>16</v>
      </c>
      <c r="O17" s="33" t="s">
        <v>37</v>
      </c>
      <c r="P17" s="33" t="s">
        <v>37</v>
      </c>
      <c r="Q17" s="31">
        <f>if(G17=13,1,0)+VLOOKUP(B17,'102823'!B:Q,16,false)</f>
        <v>1</v>
      </c>
      <c r="R17" s="31"/>
      <c r="S17" s="31">
        <f>if(G17=9,1,0)+VLOOKUP(B17,'102823'!B:S,18,false)</f>
        <v>10</v>
      </c>
    </row>
    <row r="18">
      <c r="A18" s="25">
        <f t="shared" si="3"/>
        <v>14</v>
      </c>
      <c r="B18" s="26" t="s">
        <v>70</v>
      </c>
      <c r="C18" s="27">
        <v>204.0</v>
      </c>
      <c r="D18" s="28">
        <v>20.0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213</v>
      </c>
      <c r="N18" s="28">
        <f t="shared" si="15"/>
        <v>20</v>
      </c>
      <c r="O18" s="33" t="s">
        <v>37</v>
      </c>
      <c r="P18" s="33" t="s">
        <v>37</v>
      </c>
      <c r="Q18" s="31">
        <f>if(G18=13,1,0)+VLOOKUP(B18,'102823'!B:Q,16,false)</f>
        <v>0</v>
      </c>
      <c r="R18" s="31"/>
      <c r="S18" s="31">
        <f>if(G18=9,1,0)+VLOOKUP(B18,'102823'!B:S,18,false)</f>
        <v>6</v>
      </c>
    </row>
    <row r="19">
      <c r="A19" s="25">
        <f t="shared" si="3"/>
        <v>15</v>
      </c>
      <c r="B19" s="26" t="s">
        <v>55</v>
      </c>
      <c r="C19" s="27">
        <v>204.0</v>
      </c>
      <c r="D19" s="28">
        <v>17.0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213</v>
      </c>
      <c r="N19" s="28">
        <f t="shared" si="16"/>
        <v>17</v>
      </c>
      <c r="O19" s="33" t="s">
        <v>37</v>
      </c>
      <c r="P19" s="33" t="s">
        <v>37</v>
      </c>
      <c r="Q19" s="31">
        <f>if(G19=13,1,0)+VLOOKUP(B19,'102823'!B:Q,16,false)</f>
        <v>0</v>
      </c>
      <c r="R19" s="31"/>
      <c r="S19" s="31">
        <f>if(G19=9,1,0)+VLOOKUP(B19,'102823'!B:S,18,false)</f>
        <v>9</v>
      </c>
    </row>
    <row r="20">
      <c r="A20" s="25">
        <f t="shared" si="3"/>
        <v>16</v>
      </c>
      <c r="B20" s="26" t="s">
        <v>66</v>
      </c>
      <c r="C20" s="27">
        <v>204.0</v>
      </c>
      <c r="D20" s="28">
        <v>15.0</v>
      </c>
      <c r="E20" s="30">
        <v>3.0</v>
      </c>
      <c r="F20" s="31">
        <v>0.0</v>
      </c>
      <c r="G20" s="27">
        <v>9.0</v>
      </c>
      <c r="H20" s="31">
        <v>0.0</v>
      </c>
      <c r="I20" s="31">
        <v>0.0</v>
      </c>
      <c r="J20" s="31">
        <v>0.0</v>
      </c>
      <c r="K20" s="32">
        <v>9.0</v>
      </c>
      <c r="L20" s="31">
        <v>0.0</v>
      </c>
      <c r="M20" s="27">
        <f t="shared" ref="M20:N20" si="17">C20+K20</f>
        <v>213</v>
      </c>
      <c r="N20" s="28">
        <f t="shared" si="17"/>
        <v>15</v>
      </c>
      <c r="O20" s="33" t="s">
        <v>37</v>
      </c>
      <c r="P20" s="33" t="s">
        <v>37</v>
      </c>
      <c r="Q20" s="31">
        <f>if(G20=13,1,0)+VLOOKUP(B20,'102823'!B:Q,16,false)</f>
        <v>1</v>
      </c>
      <c r="R20" s="31"/>
      <c r="S20" s="31">
        <f>if(G20=9,1,0)+VLOOKUP(B20,'102823'!B:S,18,false)</f>
        <v>6</v>
      </c>
    </row>
    <row r="21">
      <c r="A21" s="25">
        <f t="shared" si="3"/>
        <v>17</v>
      </c>
      <c r="B21" s="26" t="s">
        <v>61</v>
      </c>
      <c r="C21" s="27">
        <v>203.0</v>
      </c>
      <c r="D21" s="28">
        <v>17.0</v>
      </c>
      <c r="E21" s="30">
        <v>3.0</v>
      </c>
      <c r="F21" s="31">
        <v>0.0</v>
      </c>
      <c r="G21" s="27">
        <v>9.0</v>
      </c>
      <c r="H21" s="31">
        <v>0.0</v>
      </c>
      <c r="I21" s="31">
        <v>0.0</v>
      </c>
      <c r="J21" s="31">
        <v>0.0</v>
      </c>
      <c r="K21" s="32">
        <v>9.0</v>
      </c>
      <c r="L21" s="31">
        <v>0.0</v>
      </c>
      <c r="M21" s="27">
        <f t="shared" ref="M21:N21" si="18">C21+K21</f>
        <v>212</v>
      </c>
      <c r="N21" s="28">
        <f t="shared" si="18"/>
        <v>17</v>
      </c>
      <c r="O21" s="33" t="s">
        <v>37</v>
      </c>
      <c r="P21" s="33" t="s">
        <v>37</v>
      </c>
      <c r="Q21" s="31">
        <f>if(G21=13,1,0)+VLOOKUP(B21,'102823'!B:Q,16,false)</f>
        <v>0</v>
      </c>
      <c r="R21" s="31"/>
      <c r="S21" s="31">
        <f>if(G21=9,1,0)+VLOOKUP(B21,'102823'!B:S,18,false)</f>
        <v>5</v>
      </c>
    </row>
    <row r="22">
      <c r="A22" s="25">
        <f t="shared" si="3"/>
        <v>18</v>
      </c>
      <c r="B22" s="26" t="s">
        <v>60</v>
      </c>
      <c r="C22" s="27">
        <v>203.0</v>
      </c>
      <c r="D22" s="28">
        <v>16.0</v>
      </c>
      <c r="E22" s="30">
        <v>1.0</v>
      </c>
      <c r="F22" s="31">
        <v>2.0</v>
      </c>
      <c r="G22" s="27">
        <v>0.0</v>
      </c>
      <c r="H22" s="31">
        <v>2.0</v>
      </c>
      <c r="I22" s="31">
        <v>2.0</v>
      </c>
      <c r="J22" s="31">
        <v>6.0</v>
      </c>
      <c r="K22" s="32">
        <v>10.0</v>
      </c>
      <c r="L22" s="31">
        <v>1.0</v>
      </c>
      <c r="M22" s="27">
        <f t="shared" ref="M22:N22" si="19">C22+K22</f>
        <v>213</v>
      </c>
      <c r="N22" s="28">
        <f t="shared" si="19"/>
        <v>17</v>
      </c>
      <c r="O22" s="33" t="s">
        <v>37</v>
      </c>
      <c r="P22" s="33" t="s">
        <v>37</v>
      </c>
      <c r="Q22" s="31">
        <f>if(G22=13,1,0)+VLOOKUP(B22,'102823'!B:Q,16,false)</f>
        <v>0</v>
      </c>
      <c r="R22" s="31"/>
      <c r="S22" s="31">
        <f>if(G22=9,1,0)+VLOOKUP(B22,'102823'!B:S,18,false)</f>
        <v>7</v>
      </c>
    </row>
    <row r="23">
      <c r="A23" s="25">
        <f t="shared" si="3"/>
        <v>19</v>
      </c>
      <c r="B23" s="26" t="s">
        <v>58</v>
      </c>
      <c r="C23" s="27">
        <v>203.0</v>
      </c>
      <c r="D23" s="28">
        <v>16.0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212</v>
      </c>
      <c r="N23" s="28">
        <f t="shared" si="20"/>
        <v>16</v>
      </c>
      <c r="O23" s="33" t="s">
        <v>37</v>
      </c>
      <c r="P23" s="33" t="s">
        <v>37</v>
      </c>
      <c r="Q23" s="31">
        <f>if(G23=13,1,0)+VLOOKUP(B23,'102823'!B:Q,16,false)</f>
        <v>0</v>
      </c>
      <c r="R23" s="31"/>
      <c r="S23" s="31">
        <f>if(G23=9,1,0)+VLOOKUP(B23,'102823'!B:S,18,false)</f>
        <v>7</v>
      </c>
    </row>
    <row r="24">
      <c r="A24" s="25">
        <f t="shared" si="3"/>
        <v>20</v>
      </c>
      <c r="B24" s="26" t="s">
        <v>68</v>
      </c>
      <c r="C24" s="27">
        <v>203.0</v>
      </c>
      <c r="D24" s="28">
        <v>13.0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212</v>
      </c>
      <c r="N24" s="28">
        <f t="shared" si="21"/>
        <v>13</v>
      </c>
      <c r="O24" s="33" t="s">
        <v>37</v>
      </c>
      <c r="P24" s="33" t="s">
        <v>37</v>
      </c>
      <c r="Q24" s="31">
        <f>if(G24=13,1,0)+VLOOKUP(B24,'102823'!B:Q,16,false)</f>
        <v>1</v>
      </c>
      <c r="R24" s="31"/>
      <c r="S24" s="31">
        <f>if(G24=9,1,0)+VLOOKUP(B24,'102823'!B:S,18,false)</f>
        <v>11</v>
      </c>
    </row>
    <row r="25">
      <c r="A25" s="25">
        <f t="shared" si="3"/>
        <v>21</v>
      </c>
      <c r="B25" s="26" t="s">
        <v>53</v>
      </c>
      <c r="C25" s="27">
        <v>203.0</v>
      </c>
      <c r="D25" s="28">
        <v>13.0</v>
      </c>
      <c r="E25" s="30">
        <v>1.0</v>
      </c>
      <c r="F25" s="31">
        <v>3.0</v>
      </c>
      <c r="G25" s="27">
        <v>0.0</v>
      </c>
      <c r="H25" s="31">
        <v>5.0</v>
      </c>
      <c r="I25" s="31">
        <v>2.0</v>
      </c>
      <c r="J25" s="31">
        <v>6.0</v>
      </c>
      <c r="K25" s="32">
        <v>13.0</v>
      </c>
      <c r="L25" s="31">
        <v>1.0</v>
      </c>
      <c r="M25" s="27">
        <f t="shared" ref="M25:N25" si="22">C25+K25</f>
        <v>216</v>
      </c>
      <c r="N25" s="28">
        <f t="shared" si="22"/>
        <v>14</v>
      </c>
      <c r="O25" s="33" t="s">
        <v>37</v>
      </c>
      <c r="P25" s="33" t="s">
        <v>37</v>
      </c>
      <c r="Q25" s="31">
        <f>if(G25=13,1,0)+VLOOKUP(B25,'102823'!B:Q,16,false)</f>
        <v>0</v>
      </c>
      <c r="R25" s="31"/>
      <c r="S25" s="31">
        <f>if(G25=9,1,0)+VLOOKUP(B25,'102823'!B:S,18,false)</f>
        <v>6</v>
      </c>
    </row>
    <row r="26">
      <c r="A26" s="25">
        <f t="shared" si="3"/>
        <v>22</v>
      </c>
      <c r="B26" s="36" t="s">
        <v>59</v>
      </c>
      <c r="C26" s="27">
        <v>201.0</v>
      </c>
      <c r="D26" s="28">
        <v>13.0</v>
      </c>
      <c r="E26" s="30">
        <v>1.0</v>
      </c>
      <c r="F26" s="31">
        <v>3.0</v>
      </c>
      <c r="G26" s="27">
        <v>0.0</v>
      </c>
      <c r="H26" s="31">
        <v>7.0</v>
      </c>
      <c r="I26" s="31">
        <v>6.0</v>
      </c>
      <c r="J26" s="31">
        <v>6.0</v>
      </c>
      <c r="K26" s="32">
        <v>19.0</v>
      </c>
      <c r="L26" s="31">
        <v>3.0</v>
      </c>
      <c r="M26" s="27">
        <f t="shared" ref="M26:N26" si="23">C26+K26</f>
        <v>220</v>
      </c>
      <c r="N26" s="28">
        <f t="shared" si="23"/>
        <v>16</v>
      </c>
      <c r="O26" s="33" t="s">
        <v>37</v>
      </c>
      <c r="P26" s="33" t="s">
        <v>37</v>
      </c>
      <c r="Q26" s="31">
        <f>if(G26=13,1,0)+VLOOKUP(B26,'102823'!B:Q,16,false)</f>
        <v>0</v>
      </c>
      <c r="R26" s="31"/>
      <c r="S26" s="31">
        <f>if(G26=9,1,0)+VLOOKUP(B26,'102823'!B:S,18,false)</f>
        <v>3</v>
      </c>
    </row>
    <row r="27">
      <c r="A27" s="25">
        <f t="shared" si="3"/>
        <v>23</v>
      </c>
      <c r="B27" s="26" t="s">
        <v>65</v>
      </c>
      <c r="C27" s="27">
        <v>199.0</v>
      </c>
      <c r="D27" s="28">
        <v>13.0</v>
      </c>
      <c r="E27" s="30">
        <v>3.0</v>
      </c>
      <c r="F27" s="31">
        <v>0.0</v>
      </c>
      <c r="G27" s="27">
        <v>9.0</v>
      </c>
      <c r="H27" s="31">
        <v>0.0</v>
      </c>
      <c r="I27" s="31">
        <v>0.0</v>
      </c>
      <c r="J27" s="31">
        <v>0.0</v>
      </c>
      <c r="K27" s="32">
        <v>9.0</v>
      </c>
      <c r="L27" s="31">
        <v>0.0</v>
      </c>
      <c r="M27" s="27">
        <f t="shared" ref="M27:N27" si="24">C27+K27</f>
        <v>208</v>
      </c>
      <c r="N27" s="28">
        <f t="shared" si="24"/>
        <v>13</v>
      </c>
      <c r="O27" s="33" t="s">
        <v>37</v>
      </c>
      <c r="P27" s="33" t="s">
        <v>37</v>
      </c>
      <c r="Q27" s="31">
        <f>if(G27=13,1,0)+VLOOKUP(B27,'102823'!B:Q,16,false)</f>
        <v>0</v>
      </c>
      <c r="R27" s="31"/>
      <c r="S27" s="31">
        <f>if(G27=9,1,0)+VLOOKUP(B27,'102823'!B:S,18,false)</f>
        <v>10</v>
      </c>
    </row>
    <row r="28">
      <c r="A28" s="25">
        <f t="shared" si="3"/>
        <v>24</v>
      </c>
      <c r="B28" s="36" t="s">
        <v>62</v>
      </c>
      <c r="C28" s="27">
        <v>197.0</v>
      </c>
      <c r="D28" s="28">
        <v>13.0</v>
      </c>
      <c r="E28" s="30">
        <v>1.0</v>
      </c>
      <c r="F28" s="31">
        <v>3.0</v>
      </c>
      <c r="G28" s="27">
        <v>0.0</v>
      </c>
      <c r="H28" s="31">
        <v>7.0</v>
      </c>
      <c r="I28" s="31">
        <v>2.0</v>
      </c>
      <c r="J28" s="31">
        <v>4.0</v>
      </c>
      <c r="K28" s="32">
        <v>13.0</v>
      </c>
      <c r="L28" s="31">
        <v>1.0</v>
      </c>
      <c r="M28" s="27">
        <f t="shared" ref="M28:N28" si="25">C28+K28</f>
        <v>210</v>
      </c>
      <c r="N28" s="28">
        <f t="shared" si="25"/>
        <v>14</v>
      </c>
      <c r="O28" s="33" t="s">
        <v>37</v>
      </c>
      <c r="P28" s="33" t="s">
        <v>37</v>
      </c>
      <c r="Q28" s="31">
        <f>if(G28=13,1,0)+VLOOKUP(B28,'102823'!B:Q,16,false)</f>
        <v>0</v>
      </c>
      <c r="R28" s="31"/>
      <c r="S28" s="31">
        <f>if(G28=9,1,0)+VLOOKUP(B28,'102823'!B:S,18,false)</f>
        <v>5</v>
      </c>
    </row>
    <row r="29">
      <c r="A29" s="25">
        <f t="shared" si="3"/>
        <v>25</v>
      </c>
      <c r="B29" s="26" t="s">
        <v>74</v>
      </c>
      <c r="C29" s="27">
        <v>193.0</v>
      </c>
      <c r="D29" s="28">
        <v>14.0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202</v>
      </c>
      <c r="N29" s="28">
        <f t="shared" si="26"/>
        <v>14</v>
      </c>
      <c r="O29" s="33" t="s">
        <v>37</v>
      </c>
      <c r="P29" s="33" t="s">
        <v>37</v>
      </c>
      <c r="Q29" s="31">
        <f>if(G29=13,1,0)+VLOOKUP(B29,'102823'!B:Q,16,false)</f>
        <v>0</v>
      </c>
      <c r="R29" s="31"/>
      <c r="S29" s="31">
        <f>if(G29=9,1,0)+VLOOKUP(B29,'102823'!B:S,18,false)</f>
        <v>5</v>
      </c>
    </row>
    <row r="30">
      <c r="A30" s="25">
        <f t="shared" si="3"/>
        <v>26</v>
      </c>
      <c r="B30" s="26" t="s">
        <v>64</v>
      </c>
      <c r="C30" s="27">
        <v>192.0</v>
      </c>
      <c r="D30" s="28">
        <v>11.0</v>
      </c>
      <c r="E30" s="30">
        <v>1.0</v>
      </c>
      <c r="F30" s="31">
        <v>3.0</v>
      </c>
      <c r="G30" s="27">
        <v>0.0</v>
      </c>
      <c r="H30" s="31">
        <v>5.0</v>
      </c>
      <c r="I30" s="31">
        <v>6.0</v>
      </c>
      <c r="J30" s="31">
        <v>4.0</v>
      </c>
      <c r="K30" s="32">
        <v>15.0</v>
      </c>
      <c r="L30" s="31">
        <v>1.0</v>
      </c>
      <c r="M30" s="27">
        <f t="shared" ref="M30:N30" si="27">C30+K30</f>
        <v>207</v>
      </c>
      <c r="N30" s="28">
        <f t="shared" si="27"/>
        <v>12</v>
      </c>
      <c r="O30" s="33" t="s">
        <v>37</v>
      </c>
      <c r="P30" s="33" t="s">
        <v>37</v>
      </c>
      <c r="Q30" s="31">
        <f>if(G30=13,1,0)+VLOOKUP(B30,'102823'!B:Q,16,false)</f>
        <v>0</v>
      </c>
      <c r="R30" s="31"/>
      <c r="S30" s="31">
        <f>if(G30=9,1,0)+VLOOKUP(B30,'102823'!B:S,18,false)</f>
        <v>12</v>
      </c>
    </row>
    <row r="31">
      <c r="A31" s="25">
        <f t="shared" si="3"/>
        <v>27</v>
      </c>
      <c r="B31" s="26" t="s">
        <v>79</v>
      </c>
      <c r="C31" s="27">
        <v>189.0</v>
      </c>
      <c r="D31" s="28">
        <v>18.0</v>
      </c>
      <c r="E31" s="30">
        <v>2.0</v>
      </c>
      <c r="F31" s="31">
        <v>5.0</v>
      </c>
      <c r="G31" s="27">
        <v>0.0</v>
      </c>
      <c r="H31" s="31">
        <v>6.0</v>
      </c>
      <c r="I31" s="31">
        <v>1.0</v>
      </c>
      <c r="J31" s="31">
        <v>0.0</v>
      </c>
      <c r="K31" s="32">
        <v>7.0</v>
      </c>
      <c r="L31" s="31">
        <v>1.0</v>
      </c>
      <c r="M31" s="27">
        <f t="shared" ref="M31:N31" si="28">C31+K31</f>
        <v>196</v>
      </c>
      <c r="N31" s="28">
        <f t="shared" si="28"/>
        <v>19</v>
      </c>
      <c r="O31" s="33" t="s">
        <v>37</v>
      </c>
      <c r="P31" s="33" t="s">
        <v>37</v>
      </c>
      <c r="Q31" s="31">
        <f>if(G31=13,1,0)+VLOOKUP(B31,'102823'!B:Q,16,false)</f>
        <v>0</v>
      </c>
      <c r="R31" s="31"/>
      <c r="S31" s="31">
        <f>if(G31=9,1,0)+VLOOKUP(B31,'102823'!B:S,18,false)</f>
        <v>2</v>
      </c>
    </row>
    <row r="32">
      <c r="A32" s="25">
        <f t="shared" si="3"/>
        <v>28</v>
      </c>
      <c r="B32" s="36" t="s">
        <v>77</v>
      </c>
      <c r="C32" s="27">
        <v>189.0</v>
      </c>
      <c r="D32" s="28">
        <v>10.0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198</v>
      </c>
      <c r="N32" s="28">
        <f t="shared" si="29"/>
        <v>10</v>
      </c>
      <c r="O32" s="33" t="s">
        <v>37</v>
      </c>
      <c r="P32" s="33" t="s">
        <v>37</v>
      </c>
      <c r="Q32" s="31">
        <f>if(G32=13,1,0)+VLOOKUP(B32,'102823'!B:Q,16,false)</f>
        <v>0</v>
      </c>
      <c r="R32" s="31"/>
      <c r="S32" s="31">
        <f>if(G32=9,1,0)+VLOOKUP(B32,'102823'!B:S,18,false)</f>
        <v>13</v>
      </c>
    </row>
    <row r="33">
      <c r="A33" s="25">
        <f t="shared" si="3"/>
        <v>29</v>
      </c>
      <c r="B33" s="36" t="s">
        <v>81</v>
      </c>
      <c r="C33" s="27">
        <v>187.0</v>
      </c>
      <c r="D33" s="28">
        <v>10.0</v>
      </c>
      <c r="E33" s="30">
        <v>1.0</v>
      </c>
      <c r="F33" s="31">
        <v>5.0</v>
      </c>
      <c r="G33" s="27">
        <v>0.0</v>
      </c>
      <c r="H33" s="31">
        <v>0.0</v>
      </c>
      <c r="I33" s="31">
        <v>6.0</v>
      </c>
      <c r="J33" s="31">
        <v>0.0</v>
      </c>
      <c r="K33" s="32">
        <v>6.0</v>
      </c>
      <c r="L33" s="31">
        <v>1.0</v>
      </c>
      <c r="M33" s="27">
        <f t="shared" ref="M33:N33" si="30">C33+K33</f>
        <v>193</v>
      </c>
      <c r="N33" s="28">
        <f t="shared" si="30"/>
        <v>11</v>
      </c>
      <c r="O33" s="33" t="s">
        <v>37</v>
      </c>
      <c r="P33" s="33" t="s">
        <v>37</v>
      </c>
      <c r="Q33" s="31">
        <f>if(G33=13,1,0)+VLOOKUP(B33,'102823'!B:Q,16,false)</f>
        <v>0</v>
      </c>
      <c r="R33" s="31"/>
      <c r="S33" s="31">
        <f>if(G33=9,1,0)+VLOOKUP(B33,'102823'!B:S,18,false)</f>
        <v>5</v>
      </c>
    </row>
    <row r="34">
      <c r="A34" s="25">
        <f t="shared" si="3"/>
        <v>30</v>
      </c>
      <c r="B34" s="26" t="s">
        <v>73</v>
      </c>
      <c r="C34" s="27">
        <v>187.0</v>
      </c>
      <c r="D34" s="28">
        <v>8.0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196</v>
      </c>
      <c r="N34" s="28">
        <f t="shared" si="31"/>
        <v>8</v>
      </c>
      <c r="O34" s="33" t="s">
        <v>37</v>
      </c>
      <c r="P34" s="33" t="s">
        <v>37</v>
      </c>
      <c r="Q34" s="31">
        <f>if(G34=13,1,0)+VLOOKUP(B34,'102823'!B:Q,16,false)</f>
        <v>0</v>
      </c>
      <c r="R34" s="31"/>
      <c r="S34" s="31">
        <f>if(G34=9,1,0)+VLOOKUP(B34,'102823'!B:S,18,false)</f>
        <v>12</v>
      </c>
    </row>
    <row r="35">
      <c r="A35" s="25">
        <f t="shared" si="3"/>
        <v>31</v>
      </c>
      <c r="B35" s="26" t="s">
        <v>75</v>
      </c>
      <c r="C35" s="27">
        <v>186.0</v>
      </c>
      <c r="D35" s="28">
        <v>12.0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195</v>
      </c>
      <c r="N35" s="28">
        <f t="shared" si="32"/>
        <v>12</v>
      </c>
      <c r="O35" s="33" t="s">
        <v>37</v>
      </c>
      <c r="P35" s="33" t="s">
        <v>37</v>
      </c>
      <c r="Q35" s="31">
        <f>if(G35=13,1,0)+VLOOKUP(B35,'102823'!B:Q,16,false)</f>
        <v>0</v>
      </c>
      <c r="R35" s="31"/>
      <c r="S35" s="31">
        <f>if(G35=9,1,0)+VLOOKUP(B35,'102823'!B:S,18,false)</f>
        <v>5</v>
      </c>
    </row>
    <row r="36">
      <c r="A36" s="25">
        <f t="shared" si="3"/>
        <v>32</v>
      </c>
      <c r="B36" s="26" t="s">
        <v>71</v>
      </c>
      <c r="C36" s="27">
        <v>186.0</v>
      </c>
      <c r="D36" s="28">
        <v>11.0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195</v>
      </c>
      <c r="N36" s="28">
        <f t="shared" si="33"/>
        <v>11</v>
      </c>
      <c r="O36" s="33" t="s">
        <v>37</v>
      </c>
      <c r="P36" s="33" t="s">
        <v>37</v>
      </c>
      <c r="Q36" s="31">
        <f>if(G36=13,1,0)+VLOOKUP(B36,'102823'!B:Q,16,false)</f>
        <v>1</v>
      </c>
      <c r="R36" s="31"/>
      <c r="S36" s="31">
        <f>if(G36=9,1,0)+VLOOKUP(B36,'102823'!B:S,18,false)</f>
        <v>12</v>
      </c>
    </row>
    <row r="37">
      <c r="A37" s="25">
        <f t="shared" si="3"/>
        <v>33</v>
      </c>
      <c r="B37" s="26" t="s">
        <v>80</v>
      </c>
      <c r="C37" s="27">
        <v>186.0</v>
      </c>
      <c r="D37" s="28">
        <v>10.0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195</v>
      </c>
      <c r="N37" s="28">
        <f t="shared" si="34"/>
        <v>10</v>
      </c>
      <c r="O37" s="33" t="s">
        <v>37</v>
      </c>
      <c r="P37" s="33" t="s">
        <v>37</v>
      </c>
      <c r="Q37" s="31">
        <f>if(G37=13,1,0)+VLOOKUP(B37,'102823'!B:Q,16,false)</f>
        <v>0</v>
      </c>
      <c r="R37" s="31"/>
      <c r="S37" s="31">
        <f>if(G37=9,1,0)+VLOOKUP(B37,'102823'!B:S,18,false)</f>
        <v>14</v>
      </c>
    </row>
    <row r="38">
      <c r="A38" s="25">
        <f t="shared" si="3"/>
        <v>34</v>
      </c>
      <c r="B38" s="26" t="s">
        <v>78</v>
      </c>
      <c r="C38" s="27">
        <v>185.0</v>
      </c>
      <c r="D38" s="28">
        <v>15.0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194</v>
      </c>
      <c r="N38" s="28">
        <f t="shared" si="35"/>
        <v>15</v>
      </c>
      <c r="O38" s="33" t="s">
        <v>37</v>
      </c>
      <c r="P38" s="33" t="s">
        <v>37</v>
      </c>
      <c r="Q38" s="31">
        <f>if(G38=13,1,0)+VLOOKUP(B38,'102823'!B:Q,16,false)</f>
        <v>0</v>
      </c>
      <c r="R38" s="31"/>
      <c r="S38" s="31">
        <f>if(G38=9,1,0)+VLOOKUP(B38,'102823'!B:S,18,false)</f>
        <v>6</v>
      </c>
    </row>
    <row r="39">
      <c r="A39" s="25">
        <f t="shared" si="3"/>
        <v>35</v>
      </c>
      <c r="B39" s="36" t="s">
        <v>63</v>
      </c>
      <c r="C39" s="27">
        <v>181.0</v>
      </c>
      <c r="D39" s="28">
        <v>8.0</v>
      </c>
      <c r="E39" s="30">
        <v>1.0</v>
      </c>
      <c r="F39" s="31">
        <v>5.0</v>
      </c>
      <c r="G39" s="27">
        <v>0.0</v>
      </c>
      <c r="H39" s="31">
        <v>6.0</v>
      </c>
      <c r="I39" s="31">
        <v>6.0</v>
      </c>
      <c r="J39" s="31">
        <v>6.0</v>
      </c>
      <c r="K39" s="32">
        <v>18.0</v>
      </c>
      <c r="L39" s="31">
        <v>3.0</v>
      </c>
      <c r="M39" s="27">
        <f t="shared" ref="M39:N39" si="36">C39+K39</f>
        <v>199</v>
      </c>
      <c r="N39" s="28">
        <f t="shared" si="36"/>
        <v>11</v>
      </c>
      <c r="O39" s="33" t="s">
        <v>37</v>
      </c>
      <c r="P39" s="33" t="s">
        <v>37</v>
      </c>
      <c r="Q39" s="31">
        <f>if(G39=13,1,0)+VLOOKUP(B39,'102823'!B:Q,16,false)</f>
        <v>0</v>
      </c>
      <c r="R39" s="31"/>
      <c r="S39" s="31">
        <f>if(G39=9,1,0)+VLOOKUP(B39,'102823'!B:S,18,false)</f>
        <v>13</v>
      </c>
    </row>
    <row r="40">
      <c r="A40" s="25">
        <f t="shared" si="3"/>
        <v>36</v>
      </c>
      <c r="B40" s="36" t="s">
        <v>83</v>
      </c>
      <c r="C40" s="27">
        <v>180.0</v>
      </c>
      <c r="D40" s="28">
        <v>9.0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189</v>
      </c>
      <c r="N40" s="28">
        <f t="shared" si="37"/>
        <v>9</v>
      </c>
      <c r="O40" s="33" t="s">
        <v>37</v>
      </c>
      <c r="P40" s="33" t="s">
        <v>37</v>
      </c>
      <c r="Q40" s="31">
        <f>if(G40=13,1,0)+VLOOKUP(B40,'102823'!B:Q,16,false)</f>
        <v>0</v>
      </c>
      <c r="R40" s="31"/>
      <c r="S40" s="31">
        <f>if(G40=9,1,0)+VLOOKUP(B40,'102823'!B:S,18,false)</f>
        <v>10</v>
      </c>
    </row>
    <row r="41">
      <c r="A41" s="25">
        <f t="shared" si="3"/>
        <v>37</v>
      </c>
      <c r="B41" s="36" t="s">
        <v>88</v>
      </c>
      <c r="C41" s="27">
        <v>175.0</v>
      </c>
      <c r="D41" s="28">
        <v>8.0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184</v>
      </c>
      <c r="N41" s="28">
        <f t="shared" si="38"/>
        <v>8</v>
      </c>
      <c r="O41" s="33" t="s">
        <v>37</v>
      </c>
      <c r="P41" s="33" t="s">
        <v>37</v>
      </c>
      <c r="Q41" s="31">
        <f>if(G41=13,1,0)+VLOOKUP(B41,'102823'!B:Q,16,false)</f>
        <v>0</v>
      </c>
      <c r="R41" s="31"/>
      <c r="S41" s="31">
        <f>if(G41=9,1,0)+VLOOKUP(B41,'102823'!B:S,18,false)</f>
        <v>12</v>
      </c>
    </row>
    <row r="42">
      <c r="A42" s="25">
        <f t="shared" si="3"/>
        <v>38</v>
      </c>
      <c r="B42" s="26" t="s">
        <v>86</v>
      </c>
      <c r="C42" s="27">
        <v>174.0</v>
      </c>
      <c r="D42" s="28">
        <v>9.0</v>
      </c>
      <c r="E42" s="30">
        <v>1.0</v>
      </c>
      <c r="F42" s="31">
        <v>5.0</v>
      </c>
      <c r="G42" s="27">
        <v>0.0</v>
      </c>
      <c r="H42" s="31">
        <v>0.0</v>
      </c>
      <c r="I42" s="31">
        <v>1.0</v>
      </c>
      <c r="J42" s="31">
        <v>6.0</v>
      </c>
      <c r="K42" s="32">
        <v>7.0</v>
      </c>
      <c r="L42" s="31">
        <v>1.0</v>
      </c>
      <c r="M42" s="27">
        <f t="shared" ref="M42:N42" si="39">C42+K42</f>
        <v>181</v>
      </c>
      <c r="N42" s="28">
        <f t="shared" si="39"/>
        <v>10</v>
      </c>
      <c r="O42" s="33" t="s">
        <v>37</v>
      </c>
      <c r="P42" s="33" t="s">
        <v>37</v>
      </c>
      <c r="Q42" s="31">
        <f>if(G42=13,1,0)+VLOOKUP(B42,'102823'!B:Q,16,false)</f>
        <v>0</v>
      </c>
      <c r="R42" s="31"/>
      <c r="S42" s="31">
        <f>if(G42=9,1,0)+VLOOKUP(B42,'102823'!B:S,18,false)</f>
        <v>9</v>
      </c>
    </row>
    <row r="43">
      <c r="A43" s="25">
        <f t="shared" si="3"/>
        <v>39</v>
      </c>
      <c r="B43" s="26" t="s">
        <v>89</v>
      </c>
      <c r="C43" s="27">
        <v>173.0</v>
      </c>
      <c r="D43" s="28">
        <v>8.0</v>
      </c>
      <c r="E43" s="30">
        <v>2.0</v>
      </c>
      <c r="F43" s="31">
        <v>6.0</v>
      </c>
      <c r="G43" s="27">
        <v>0.0</v>
      </c>
      <c r="H43" s="31">
        <v>6.0</v>
      </c>
      <c r="I43" s="31">
        <v>3.0</v>
      </c>
      <c r="J43" s="31">
        <v>2.0</v>
      </c>
      <c r="K43" s="32">
        <v>11.0</v>
      </c>
      <c r="L43" s="31">
        <v>1.0</v>
      </c>
      <c r="M43" s="27">
        <f t="shared" ref="M43:N43" si="40">C43+K43</f>
        <v>184</v>
      </c>
      <c r="N43" s="28">
        <f t="shared" si="40"/>
        <v>9</v>
      </c>
      <c r="O43" s="33" t="s">
        <v>37</v>
      </c>
      <c r="P43" s="33" t="s">
        <v>37</v>
      </c>
      <c r="Q43" s="31">
        <f>if(G43=13,1,0)+VLOOKUP(B43,'102823'!B:Q,16,false)</f>
        <v>2</v>
      </c>
      <c r="R43" s="31"/>
      <c r="S43" s="31">
        <f>if(G43=9,1,0)+VLOOKUP(B43,'102823'!B:S,18,false)</f>
        <v>5</v>
      </c>
    </row>
    <row r="44">
      <c r="A44" s="25">
        <f t="shared" si="3"/>
        <v>40</v>
      </c>
      <c r="B44" s="26" t="s">
        <v>87</v>
      </c>
      <c r="C44" s="27">
        <v>173.0</v>
      </c>
      <c r="D44" s="28">
        <v>8.0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182</v>
      </c>
      <c r="N44" s="28">
        <f t="shared" si="41"/>
        <v>8</v>
      </c>
      <c r="O44" s="33" t="s">
        <v>37</v>
      </c>
      <c r="P44" s="33" t="s">
        <v>37</v>
      </c>
      <c r="Q44" s="31">
        <f>if(G44=13,1,0)+VLOOKUP(B44,'102823'!B:Q,16,false)</f>
        <v>1</v>
      </c>
      <c r="R44" s="31"/>
      <c r="S44" s="31">
        <f>if(G44=9,1,0)+VLOOKUP(B44,'102823'!B:S,18,false)</f>
        <v>9</v>
      </c>
    </row>
    <row r="45">
      <c r="A45" s="25">
        <f t="shared" si="3"/>
        <v>41</v>
      </c>
      <c r="B45" s="36" t="s">
        <v>69</v>
      </c>
      <c r="C45" s="27">
        <v>171.0</v>
      </c>
      <c r="D45" s="28">
        <v>5.0</v>
      </c>
      <c r="E45" s="30">
        <v>1.0</v>
      </c>
      <c r="F45" s="31">
        <v>6.0</v>
      </c>
      <c r="G45" s="27">
        <v>0.0</v>
      </c>
      <c r="H45" s="31">
        <v>6.0</v>
      </c>
      <c r="I45" s="31">
        <v>6.0</v>
      </c>
      <c r="J45" s="31">
        <v>6.0</v>
      </c>
      <c r="K45" s="32">
        <v>18.0</v>
      </c>
      <c r="L45" s="31">
        <v>3.0</v>
      </c>
      <c r="M45" s="27">
        <f t="shared" ref="M45:N45" si="42">C45+K45</f>
        <v>189</v>
      </c>
      <c r="N45" s="28">
        <f t="shared" si="42"/>
        <v>8</v>
      </c>
      <c r="O45" s="33" t="s">
        <v>37</v>
      </c>
      <c r="P45" s="33" t="s">
        <v>37</v>
      </c>
      <c r="Q45" s="31">
        <f>if(G45=13,1,0)+VLOOKUP(B45,'102823'!B:Q,16,false)</f>
        <v>0</v>
      </c>
      <c r="R45" s="31"/>
      <c r="S45" s="31">
        <f>if(G45=9,1,0)+VLOOKUP(B45,'102823'!B:S,18,false)</f>
        <v>15</v>
      </c>
    </row>
    <row r="46">
      <c r="A46" s="25">
        <f t="shared" si="3"/>
        <v>42</v>
      </c>
      <c r="B46" s="26" t="s">
        <v>90</v>
      </c>
      <c r="C46" s="27">
        <v>168.0</v>
      </c>
      <c r="D46" s="28">
        <v>11.0</v>
      </c>
      <c r="E46" s="30">
        <v>1.0</v>
      </c>
      <c r="F46" s="31">
        <v>6.0</v>
      </c>
      <c r="G46" s="27">
        <v>0.0</v>
      </c>
      <c r="H46" s="31">
        <v>4.0</v>
      </c>
      <c r="I46" s="31">
        <v>3.0</v>
      </c>
      <c r="J46" s="31">
        <v>6.0</v>
      </c>
      <c r="K46" s="32">
        <v>13.0</v>
      </c>
      <c r="L46" s="31">
        <v>1.0</v>
      </c>
      <c r="M46" s="27">
        <f t="shared" ref="M46:N46" si="43">C46+K46</f>
        <v>181</v>
      </c>
      <c r="N46" s="28">
        <f t="shared" si="43"/>
        <v>12</v>
      </c>
      <c r="O46" s="33" t="s">
        <v>37</v>
      </c>
      <c r="P46" s="33" t="s">
        <v>37</v>
      </c>
      <c r="Q46" s="31">
        <f>if(G46=13,1,0)+VLOOKUP(B46,'102823'!B:Q,16,false)</f>
        <v>0</v>
      </c>
      <c r="R46" s="31"/>
      <c r="S46" s="31">
        <f>if(G46=9,1,0)+VLOOKUP(B46,'102823'!B:S,18,false)</f>
        <v>8</v>
      </c>
    </row>
    <row r="47">
      <c r="A47" s="25">
        <f t="shared" si="3"/>
        <v>43</v>
      </c>
      <c r="B47" s="36" t="s">
        <v>93</v>
      </c>
      <c r="C47" s="27">
        <v>167.0</v>
      </c>
      <c r="D47" s="28">
        <v>5.0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176</v>
      </c>
      <c r="N47" s="28">
        <f t="shared" si="44"/>
        <v>5</v>
      </c>
      <c r="O47" s="33" t="s">
        <v>37</v>
      </c>
      <c r="P47" s="33" t="s">
        <v>37</v>
      </c>
      <c r="Q47" s="31">
        <f>if(G47=13,1,0)+VLOOKUP(B47,'102823'!B:Q,16,false)</f>
        <v>0</v>
      </c>
      <c r="R47" s="31"/>
      <c r="S47" s="31">
        <f>if(G47=9,1,0)+VLOOKUP(B47,'102823'!B:S,18,false)</f>
        <v>16</v>
      </c>
    </row>
    <row r="48">
      <c r="A48" s="25">
        <f t="shared" si="3"/>
        <v>44</v>
      </c>
      <c r="B48" s="26" t="s">
        <v>91</v>
      </c>
      <c r="C48" s="27">
        <v>165.0</v>
      </c>
      <c r="D48" s="28">
        <v>4.0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174</v>
      </c>
      <c r="N48" s="28">
        <f t="shared" si="45"/>
        <v>4</v>
      </c>
      <c r="O48" s="33" t="s">
        <v>37</v>
      </c>
      <c r="P48" s="33" t="s">
        <v>37</v>
      </c>
      <c r="Q48" s="31">
        <f>if(G48=13,1,0)+VLOOKUP(B48,'102823'!B:Q,16,false)</f>
        <v>1</v>
      </c>
      <c r="R48" s="31"/>
      <c r="S48" s="31">
        <f>if(G48=9,1,0)+VLOOKUP(B48,'102823'!B:S,18,false)</f>
        <v>14</v>
      </c>
    </row>
    <row r="49">
      <c r="A49" s="25">
        <f t="shared" si="3"/>
        <v>45</v>
      </c>
      <c r="B49" s="36" t="s">
        <v>94</v>
      </c>
      <c r="C49" s="27">
        <v>165.0</v>
      </c>
      <c r="D49" s="28">
        <v>4.0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174</v>
      </c>
      <c r="N49" s="28">
        <f t="shared" si="46"/>
        <v>4</v>
      </c>
      <c r="O49" s="33" t="s">
        <v>37</v>
      </c>
      <c r="P49" s="33" t="s">
        <v>37</v>
      </c>
      <c r="Q49" s="31">
        <f>if(G49=13,1,0)+VLOOKUP(B49,'102823'!B:Q,16,false)</f>
        <v>0</v>
      </c>
      <c r="R49" s="31"/>
      <c r="S49" s="31">
        <f>if(G49=9,1,0)+VLOOKUP(B49,'102823'!B:S,18,false)</f>
        <v>13</v>
      </c>
    </row>
    <row r="50">
      <c r="A50" s="25">
        <f t="shared" si="3"/>
        <v>46</v>
      </c>
      <c r="B50" s="36" t="s">
        <v>85</v>
      </c>
      <c r="C50" s="27">
        <v>163.0</v>
      </c>
      <c r="D50" s="28">
        <v>11.0</v>
      </c>
      <c r="E50" s="30">
        <v>1.0</v>
      </c>
      <c r="F50" s="31">
        <v>6.0</v>
      </c>
      <c r="G50" s="27">
        <v>0.0</v>
      </c>
      <c r="H50" s="31">
        <v>4.0</v>
      </c>
      <c r="I50" s="31">
        <v>6.0</v>
      </c>
      <c r="J50" s="31">
        <v>2.0</v>
      </c>
      <c r="K50" s="32">
        <v>12.0</v>
      </c>
      <c r="L50" s="31">
        <v>1.0</v>
      </c>
      <c r="M50" s="27">
        <f t="shared" ref="M50:N50" si="47">C50+K50</f>
        <v>175</v>
      </c>
      <c r="N50" s="28">
        <f t="shared" si="47"/>
        <v>12</v>
      </c>
      <c r="O50" s="33" t="s">
        <v>37</v>
      </c>
      <c r="P50" s="33" t="s">
        <v>37</v>
      </c>
      <c r="Q50" s="31">
        <f>if(G50=13,1,0)+VLOOKUP(B50,'102823'!B:Q,16,false)</f>
        <v>0</v>
      </c>
      <c r="R50" s="31"/>
      <c r="S50" s="31">
        <f>if(G50=9,1,0)+VLOOKUP(B50,'102823'!B:S,18,false)</f>
        <v>8</v>
      </c>
    </row>
    <row r="51">
      <c r="A51" s="25">
        <f t="shared" si="3"/>
        <v>47</v>
      </c>
      <c r="B51" s="36" t="s">
        <v>97</v>
      </c>
      <c r="C51" s="27">
        <v>162.0</v>
      </c>
      <c r="D51" s="28">
        <v>7.0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171</v>
      </c>
      <c r="N51" s="28">
        <f t="shared" si="48"/>
        <v>7</v>
      </c>
      <c r="O51" s="33" t="s">
        <v>37</v>
      </c>
      <c r="P51" s="33" t="s">
        <v>37</v>
      </c>
      <c r="Q51" s="31">
        <f>if(G51=13,1,0)+VLOOKUP(B51,'102823'!B:Q,16,false)</f>
        <v>0</v>
      </c>
      <c r="R51" s="31"/>
      <c r="S51" s="31">
        <f>if(G51=9,1,0)+VLOOKUP(B51,'102823'!B:S,18,false)</f>
        <v>12</v>
      </c>
    </row>
    <row r="52">
      <c r="A52" s="25">
        <f t="shared" si="3"/>
        <v>48</v>
      </c>
      <c r="B52" s="36" t="s">
        <v>98</v>
      </c>
      <c r="C52" s="27">
        <v>162.0</v>
      </c>
      <c r="D52" s="28">
        <v>3.0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171</v>
      </c>
      <c r="N52" s="28">
        <f t="shared" si="49"/>
        <v>3</v>
      </c>
      <c r="O52" s="33" t="s">
        <v>37</v>
      </c>
      <c r="P52" s="33" t="s">
        <v>37</v>
      </c>
      <c r="Q52" s="31">
        <f>if(G52=13,1,0)+VLOOKUP(B52,'102823'!B:Q,16,false)</f>
        <v>0</v>
      </c>
      <c r="R52" s="31"/>
      <c r="S52" s="31">
        <f>if(G52=9,1,0)+VLOOKUP(B52,'102823'!B:S,18,false)</f>
        <v>13</v>
      </c>
    </row>
    <row r="53">
      <c r="A53" s="25">
        <f t="shared" si="3"/>
        <v>49</v>
      </c>
      <c r="B53" s="36" t="s">
        <v>99</v>
      </c>
      <c r="C53" s="27">
        <v>162.0</v>
      </c>
      <c r="D53" s="28">
        <v>3.0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171</v>
      </c>
      <c r="N53" s="28">
        <f t="shared" si="50"/>
        <v>3</v>
      </c>
      <c r="O53" s="33" t="s">
        <v>37</v>
      </c>
      <c r="P53" s="33" t="s">
        <v>37</v>
      </c>
      <c r="Q53" s="31">
        <f>if(G53=13,1,0)+VLOOKUP(B53,'102823'!B:Q,16,false)</f>
        <v>0</v>
      </c>
      <c r="R53" s="31"/>
      <c r="S53" s="31">
        <f>if(G53=9,1,0)+VLOOKUP(B53,'102823'!B:S,18,false)</f>
        <v>14</v>
      </c>
    </row>
    <row r="54">
      <c r="A54" s="25">
        <f t="shared" si="3"/>
        <v>50</v>
      </c>
      <c r="B54" s="26" t="s">
        <v>95</v>
      </c>
      <c r="C54" s="27">
        <v>160.0</v>
      </c>
      <c r="D54" s="28">
        <v>5.0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169</v>
      </c>
      <c r="N54" s="28">
        <f t="shared" si="51"/>
        <v>5</v>
      </c>
      <c r="O54" s="33" t="s">
        <v>37</v>
      </c>
      <c r="P54" s="33" t="s">
        <v>37</v>
      </c>
      <c r="Q54" s="31">
        <f>if(G54=13,1,0)+VLOOKUP(B54,'102823'!B:Q,16,false)</f>
        <v>0</v>
      </c>
      <c r="R54" s="31"/>
      <c r="S54" s="31">
        <f>if(G54=9,1,0)+VLOOKUP(B54,'102823'!B:S,18,false)</f>
        <v>13</v>
      </c>
    </row>
    <row r="55">
      <c r="A55" s="25">
        <f t="shared" si="3"/>
        <v>51</v>
      </c>
      <c r="B55" s="36" t="s">
        <v>76</v>
      </c>
      <c r="C55" s="27">
        <v>160.0</v>
      </c>
      <c r="D55" s="28">
        <v>4.0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169</v>
      </c>
      <c r="N55" s="28">
        <f t="shared" si="52"/>
        <v>4</v>
      </c>
      <c r="O55" s="33" t="s">
        <v>37</v>
      </c>
      <c r="P55" s="33" t="s">
        <v>37</v>
      </c>
      <c r="Q55" s="31">
        <f>if(G55=13,1,0)+VLOOKUP(B55,'102823'!B:Q,16,false)</f>
        <v>0</v>
      </c>
      <c r="R55" s="31"/>
      <c r="S55" s="31">
        <f>if(G55=9,1,0)+VLOOKUP(B55,'102823'!B:S,18,false)</f>
        <v>16</v>
      </c>
    </row>
    <row r="56">
      <c r="A56" s="25">
        <f t="shared" si="3"/>
        <v>52</v>
      </c>
      <c r="B56" s="26" t="s">
        <v>100</v>
      </c>
      <c r="C56" s="27">
        <v>157.0</v>
      </c>
      <c r="D56" s="28">
        <v>2.0</v>
      </c>
      <c r="E56" s="30">
        <v>1.0</v>
      </c>
      <c r="F56" s="31">
        <v>7.0</v>
      </c>
      <c r="G56" s="27">
        <v>0.0</v>
      </c>
      <c r="H56" s="31">
        <v>0.0</v>
      </c>
      <c r="I56" s="31">
        <v>2.0</v>
      </c>
      <c r="J56" s="31">
        <v>6.0</v>
      </c>
      <c r="K56" s="32">
        <v>8.0</v>
      </c>
      <c r="L56" s="31">
        <v>1.0</v>
      </c>
      <c r="M56" s="27">
        <f t="shared" ref="M56:N56" si="53">C56+K56</f>
        <v>165</v>
      </c>
      <c r="N56" s="28">
        <f t="shared" si="53"/>
        <v>3</v>
      </c>
      <c r="O56" s="33" t="s">
        <v>37</v>
      </c>
      <c r="P56" s="33" t="s">
        <v>37</v>
      </c>
      <c r="Q56" s="31">
        <f>if(G56=13,1,0)+VLOOKUP(B56,'102823'!B:Q,16,false)</f>
        <v>0</v>
      </c>
      <c r="R56" s="31"/>
      <c r="S56" s="31">
        <f>if(G56=9,1,0)+VLOOKUP(B56,'102823'!B:S,18,false)</f>
        <v>16</v>
      </c>
    </row>
    <row r="57">
      <c r="A57" s="25">
        <f t="shared" si="3"/>
        <v>53</v>
      </c>
      <c r="B57" s="36" t="s">
        <v>101</v>
      </c>
      <c r="C57" s="27">
        <v>157.0</v>
      </c>
      <c r="D57" s="28">
        <v>2.0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166</v>
      </c>
      <c r="N57" s="28">
        <f t="shared" si="54"/>
        <v>2</v>
      </c>
      <c r="O57" s="33" t="s">
        <v>37</v>
      </c>
      <c r="P57" s="33" t="s">
        <v>37</v>
      </c>
      <c r="Q57" s="31">
        <f>if(G57=13,1,0)+VLOOKUP(B57,'102823'!B:Q,16,false)</f>
        <v>0</v>
      </c>
      <c r="R57" s="31"/>
      <c r="S57" s="31">
        <f>if(G57=9,1,0)+VLOOKUP(B57,'102823'!B:S,18,false)</f>
        <v>17</v>
      </c>
    </row>
    <row r="58">
      <c r="A58" s="25">
        <f t="shared" si="3"/>
        <v>54</v>
      </c>
      <c r="B58" s="36" t="s">
        <v>102</v>
      </c>
      <c r="C58" s="27">
        <v>157.0</v>
      </c>
      <c r="D58" s="28">
        <v>2.0</v>
      </c>
      <c r="E58" s="30">
        <v>3.0</v>
      </c>
      <c r="F58" s="31"/>
      <c r="G58" s="27">
        <v>9.0</v>
      </c>
      <c r="H58" s="31"/>
      <c r="I58" s="31"/>
      <c r="J58" s="31"/>
      <c r="K58" s="32">
        <v>9.0</v>
      </c>
      <c r="L58" s="31"/>
      <c r="M58" s="27">
        <f t="shared" ref="M58:N58" si="55">C58+K58</f>
        <v>166</v>
      </c>
      <c r="N58" s="28">
        <f t="shared" si="55"/>
        <v>2</v>
      </c>
      <c r="O58" s="33" t="s">
        <v>37</v>
      </c>
      <c r="P58" s="33" t="s">
        <v>37</v>
      </c>
      <c r="Q58" s="31">
        <f>if(G58=13,1,0)+VLOOKUP(B58,'102823'!B:Q,16,false)</f>
        <v>0</v>
      </c>
      <c r="R58" s="31"/>
      <c r="S58" s="31">
        <f>if(G58=9,1,0)+VLOOKUP(B58,'102823'!B:S,18,false)</f>
        <v>17</v>
      </c>
    </row>
    <row r="59">
      <c r="A59" s="25">
        <f t="shared" si="3"/>
        <v>55</v>
      </c>
      <c r="B59" s="36" t="s">
        <v>82</v>
      </c>
      <c r="C59" s="27">
        <v>156.0</v>
      </c>
      <c r="D59" s="28">
        <v>2.0</v>
      </c>
      <c r="E59" s="30">
        <v>1.0</v>
      </c>
      <c r="F59" s="31"/>
      <c r="G59" s="27"/>
      <c r="H59" s="31">
        <v>6.0</v>
      </c>
      <c r="I59" s="31">
        <v>6.0</v>
      </c>
      <c r="J59" s="31">
        <v>6.0</v>
      </c>
      <c r="K59" s="32">
        <v>18.0</v>
      </c>
      <c r="L59" s="31">
        <v>3.0</v>
      </c>
      <c r="M59" s="27">
        <f t="shared" ref="M59:N59" si="56">C59+K59</f>
        <v>174</v>
      </c>
      <c r="N59" s="28">
        <f t="shared" si="56"/>
        <v>5</v>
      </c>
      <c r="O59" s="33" t="s">
        <v>37</v>
      </c>
      <c r="P59" s="33" t="s">
        <v>37</v>
      </c>
      <c r="Q59" s="31">
        <f>if(G59=13,1,0)+VLOOKUP(B59,'102823'!B:Q,16,false)</f>
        <v>0</v>
      </c>
      <c r="R59" s="31"/>
      <c r="S59" s="31">
        <f>if(G59=9,1,0)+VLOOKUP(B59,'102823'!B:S,18,false)</f>
        <v>16</v>
      </c>
    </row>
    <row r="60">
      <c r="A60" s="25">
        <f t="shared" si="3"/>
        <v>56</v>
      </c>
      <c r="B60" s="44" t="s">
        <v>103</v>
      </c>
      <c r="C60" s="27">
        <v>153.0</v>
      </c>
      <c r="D60" s="28">
        <v>0.0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162</v>
      </c>
      <c r="N60" s="28">
        <f t="shared" si="57"/>
        <v>0</v>
      </c>
      <c r="O60" s="33" t="s">
        <v>37</v>
      </c>
      <c r="P60" s="33" t="s">
        <v>37</v>
      </c>
      <c r="Q60" s="31">
        <f>if(G60=13,1,0)+VLOOKUP(B60,'102823'!B:Q,16,false)</f>
        <v>0</v>
      </c>
      <c r="R60" s="31"/>
      <c r="S60" s="31">
        <f>if(G60=9,1,0)+VLOOKUP(B60,'102823'!B:S,18,false)</f>
        <v>18</v>
      </c>
    </row>
    <row r="61">
      <c r="A61" s="25">
        <f t="shared" si="3"/>
        <v>57</v>
      </c>
      <c r="B61" s="38" t="s">
        <v>92</v>
      </c>
      <c r="C61" s="27">
        <v>153.0</v>
      </c>
      <c r="D61" s="28">
        <v>0.0</v>
      </c>
      <c r="E61" s="30">
        <v>3.0</v>
      </c>
      <c r="F61" s="31"/>
      <c r="G61" s="27">
        <v>9.0</v>
      </c>
      <c r="H61" s="31"/>
      <c r="I61" s="31"/>
      <c r="J61" s="31"/>
      <c r="K61" s="32">
        <v>9.0</v>
      </c>
      <c r="L61" s="31"/>
      <c r="M61" s="27">
        <f t="shared" ref="M61:N61" si="58">C61+K61</f>
        <v>162</v>
      </c>
      <c r="N61" s="28">
        <f t="shared" si="58"/>
        <v>0</v>
      </c>
      <c r="O61" s="33" t="s">
        <v>37</v>
      </c>
      <c r="P61" s="33" t="s">
        <v>37</v>
      </c>
      <c r="Q61" s="31"/>
      <c r="R61" s="31"/>
      <c r="S61" s="31">
        <v>17.0</v>
      </c>
    </row>
    <row r="62">
      <c r="A62" s="25">
        <f t="shared" si="3"/>
        <v>58</v>
      </c>
      <c r="B62" s="36" t="s">
        <v>104</v>
      </c>
      <c r="C62" s="27">
        <v>153.0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162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if(G62=13,1,0)+VLOOKUP(B62,'102823'!B:Q,16,false)</f>
        <v>0</v>
      </c>
      <c r="R62" s="31"/>
      <c r="S62" s="31">
        <f>if(G62=9,1,0)+VLOOKUP(B62,'102823'!B:S,18,false)</f>
        <v>18</v>
      </c>
    </row>
    <row r="63">
      <c r="A63" s="25">
        <f t="shared" si="3"/>
        <v>59</v>
      </c>
      <c r="B63" s="26" t="s">
        <v>105</v>
      </c>
      <c r="C63" s="27">
        <v>153.0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162</v>
      </c>
      <c r="N63" s="28">
        <f t="shared" si="60"/>
        <v>0</v>
      </c>
      <c r="O63" s="33" t="s">
        <v>37</v>
      </c>
      <c r="P63" s="33" t="s">
        <v>37</v>
      </c>
      <c r="Q63" s="31">
        <f>if(G63=13,1,0)+VLOOKUP(B63,'102823'!B:Q,16,false)</f>
        <v>0</v>
      </c>
      <c r="R63" s="31"/>
      <c r="S63" s="31">
        <f>if(G63=9,1,0)+VLOOKUP(B63,'102823'!B:S,18,false)</f>
        <v>18</v>
      </c>
    </row>
    <row r="64">
      <c r="A64" s="25">
        <f t="shared" si="3"/>
        <v>60</v>
      </c>
      <c r="B64" s="26" t="s">
        <v>106</v>
      </c>
      <c r="C64" s="27">
        <v>153.0</v>
      </c>
      <c r="D64" s="28">
        <v>0.0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162</v>
      </c>
      <c r="N64" s="28">
        <f t="shared" si="61"/>
        <v>0</v>
      </c>
      <c r="O64" s="33" t="s">
        <v>37</v>
      </c>
      <c r="P64" s="33" t="s">
        <v>37</v>
      </c>
      <c r="Q64" s="31">
        <f>if(G64=13,1,0)+VLOOKUP(B64,'102823'!B:Q,16,false)</f>
        <v>0</v>
      </c>
      <c r="R64" s="31"/>
      <c r="S64" s="31">
        <f>if(G64=9,1,0)+VLOOKUP(B64,'102823'!B:S,18,false)</f>
        <v>18</v>
      </c>
    </row>
    <row r="65">
      <c r="A65" s="25">
        <f t="shared" si="3"/>
        <v>61</v>
      </c>
      <c r="B65" s="36" t="s">
        <v>107</v>
      </c>
      <c r="C65" s="27">
        <v>153.0</v>
      </c>
      <c r="D65" s="28">
        <v>0.0</v>
      </c>
      <c r="E65" s="30">
        <v>1.0</v>
      </c>
      <c r="F65" s="31"/>
      <c r="G65" s="27">
        <v>0.0</v>
      </c>
      <c r="H65" s="31">
        <v>0.0</v>
      </c>
      <c r="I65" s="31">
        <v>6.0</v>
      </c>
      <c r="J65" s="31">
        <v>1.0</v>
      </c>
      <c r="K65" s="32">
        <v>7.0</v>
      </c>
      <c r="L65" s="31">
        <v>1.0</v>
      </c>
      <c r="M65" s="27">
        <f t="shared" ref="M65:N65" si="62">C65+K65</f>
        <v>160</v>
      </c>
      <c r="N65" s="28">
        <f t="shared" si="62"/>
        <v>1</v>
      </c>
      <c r="O65" s="33" t="s">
        <v>37</v>
      </c>
      <c r="P65" s="33" t="s">
        <v>37</v>
      </c>
      <c r="Q65" s="31"/>
      <c r="R65" s="31"/>
      <c r="S65" s="31">
        <v>17.0</v>
      </c>
    </row>
    <row r="66">
      <c r="A66" s="25">
        <f t="shared" si="3"/>
        <v>62</v>
      </c>
      <c r="B66" s="36" t="s">
        <v>96</v>
      </c>
      <c r="C66" s="27">
        <v>152.0</v>
      </c>
      <c r="D66" s="28">
        <v>10.0</v>
      </c>
      <c r="E66" s="30">
        <v>1.0</v>
      </c>
      <c r="F66" s="31">
        <v>7.0</v>
      </c>
      <c r="G66" s="27">
        <v>0.0</v>
      </c>
      <c r="H66" s="31">
        <v>6.0</v>
      </c>
      <c r="I66" s="31">
        <v>2.0</v>
      </c>
      <c r="J66" s="31">
        <v>1.0</v>
      </c>
      <c r="K66" s="32">
        <v>9.0</v>
      </c>
      <c r="L66" s="31">
        <v>1.0</v>
      </c>
      <c r="M66" s="27">
        <f t="shared" ref="M66:N66" si="63">C66+K66</f>
        <v>161</v>
      </c>
      <c r="N66" s="28">
        <f t="shared" si="63"/>
        <v>11</v>
      </c>
      <c r="O66" s="33" t="s">
        <v>37</v>
      </c>
      <c r="P66" s="33" t="s">
        <v>37</v>
      </c>
      <c r="Q66" s="31">
        <f>if(G66=13,1,0)+VLOOKUP(B66,'102823'!B:Q,16,false)</f>
        <v>0</v>
      </c>
      <c r="R66" s="31"/>
      <c r="S66" s="31">
        <f>if(G66=9,1,0)+VLOOKUP(B66,'102823'!B:S,18,false)</f>
        <v>7</v>
      </c>
    </row>
    <row r="67">
      <c r="A67" s="25">
        <f t="shared" si="3"/>
        <v>63</v>
      </c>
      <c r="B67" s="36" t="s">
        <v>108</v>
      </c>
      <c r="C67" s="27">
        <v>150.0</v>
      </c>
      <c r="D67" s="28">
        <v>5.0</v>
      </c>
      <c r="E67" s="30">
        <v>3.0</v>
      </c>
      <c r="F67" s="31">
        <v>0.0</v>
      </c>
      <c r="G67" s="27">
        <v>9.0</v>
      </c>
      <c r="H67" s="31">
        <v>0.0</v>
      </c>
      <c r="I67" s="31">
        <v>0.0</v>
      </c>
      <c r="J67" s="31">
        <v>0.0</v>
      </c>
      <c r="K67" s="32">
        <v>9.0</v>
      </c>
      <c r="L67" s="31">
        <v>0.0</v>
      </c>
      <c r="M67" s="27">
        <f t="shared" ref="M67:N67" si="64">C67+K67</f>
        <v>159</v>
      </c>
      <c r="N67" s="28">
        <f t="shared" si="64"/>
        <v>5</v>
      </c>
      <c r="O67" s="33" t="s">
        <v>37</v>
      </c>
      <c r="P67" s="33" t="s">
        <v>37</v>
      </c>
      <c r="Q67" s="31">
        <f>if(G67=13,1,0)+VLOOKUP(B67,'102823'!B:Q,16,false)</f>
        <v>0</v>
      </c>
      <c r="R67" s="31"/>
      <c r="S67" s="31">
        <f>if(G67=9,1,0)+VLOOKUP(B67,'102823'!B:S,18,false)</f>
        <v>13</v>
      </c>
    </row>
    <row r="68">
      <c r="A68" s="25">
        <f t="shared" si="3"/>
        <v>64</v>
      </c>
      <c r="B68" s="36" t="s">
        <v>109</v>
      </c>
      <c r="C68" s="27">
        <v>147.0</v>
      </c>
      <c r="D68" s="28">
        <v>1.0</v>
      </c>
      <c r="E68" s="30">
        <v>3.0</v>
      </c>
      <c r="F68" s="31">
        <v>0.0</v>
      </c>
      <c r="G68" s="27">
        <v>9.0</v>
      </c>
      <c r="H68" s="31">
        <v>0.0</v>
      </c>
      <c r="I68" s="31">
        <v>0.0</v>
      </c>
      <c r="J68" s="31">
        <v>0.0</v>
      </c>
      <c r="K68" s="32">
        <v>9.0</v>
      </c>
      <c r="L68" s="31">
        <v>0.0</v>
      </c>
      <c r="M68" s="27">
        <f t="shared" ref="M68:N68" si="65">C68+K68</f>
        <v>156</v>
      </c>
      <c r="N68" s="28">
        <f t="shared" si="65"/>
        <v>1</v>
      </c>
      <c r="O68" s="33" t="s">
        <v>37</v>
      </c>
      <c r="P68" s="33" t="s">
        <v>37</v>
      </c>
      <c r="Q68" s="31">
        <f>if(G68=13,1,0)+VLOOKUP(B68,'102823'!B:Q,16,false)</f>
        <v>0</v>
      </c>
      <c r="R68" s="31"/>
      <c r="S68" s="31">
        <f>if(G68=9,1,0)+VLOOKUP(B68,'102823'!B:S,18,false)</f>
        <v>8</v>
      </c>
    </row>
    <row r="69">
      <c r="A69" s="1"/>
      <c r="C69" s="1"/>
      <c r="D69" s="1"/>
      <c r="E69" s="1"/>
      <c r="P69" s="1"/>
    </row>
    <row r="70">
      <c r="A70" s="1"/>
      <c r="B70" s="39">
        <f>COUNTA(B5:B68)</f>
        <v>64</v>
      </c>
      <c r="C70" s="1"/>
      <c r="D70" s="1"/>
      <c r="E70" s="1"/>
      <c r="O70" s="34" t="s">
        <v>110</v>
      </c>
      <c r="P70" s="40">
        <f>COUNTA(P5:P68)</f>
        <v>64</v>
      </c>
    </row>
    <row r="71">
      <c r="A71" s="1"/>
      <c r="C71" s="1"/>
      <c r="D71" s="1"/>
      <c r="E71" s="1"/>
      <c r="O71" s="34" t="s">
        <v>111</v>
      </c>
      <c r="P71" s="40">
        <f>P72-P70</f>
        <v>0</v>
      </c>
    </row>
    <row r="72">
      <c r="A72" s="1"/>
      <c r="C72" s="1"/>
      <c r="D72" s="1"/>
      <c r="J72" s="41"/>
      <c r="K72" s="42"/>
      <c r="L72" s="43"/>
      <c r="O72" s="34" t="s">
        <v>41</v>
      </c>
      <c r="P72" s="40">
        <f>B70</f>
        <v>64</v>
      </c>
    </row>
    <row r="73">
      <c r="A73" s="1"/>
      <c r="C73" s="1"/>
      <c r="D73" s="1"/>
      <c r="E73" s="34" t="s">
        <v>112</v>
      </c>
      <c r="J73" s="41"/>
      <c r="K73" s="42"/>
      <c r="L73" s="43"/>
    </row>
    <row r="74">
      <c r="A74" s="1"/>
      <c r="C74" s="1"/>
      <c r="D74" s="1"/>
      <c r="J74" s="41"/>
      <c r="K74" s="42"/>
      <c r="L74" s="43"/>
    </row>
    <row r="75">
      <c r="A75" s="1"/>
      <c r="C75" s="1"/>
      <c r="D75" s="1"/>
      <c r="J75" s="41"/>
      <c r="K75" s="42"/>
      <c r="L75" s="43"/>
    </row>
    <row r="76">
      <c r="A76" s="1"/>
      <c r="B76" s="45" t="s">
        <v>113</v>
      </c>
      <c r="C76" s="45" t="s">
        <v>114</v>
      </c>
      <c r="D76" s="45" t="s">
        <v>115</v>
      </c>
      <c r="J76" s="41"/>
      <c r="K76" s="42"/>
      <c r="L76" s="43"/>
    </row>
    <row r="77">
      <c r="A77" s="1"/>
      <c r="B77" s="36" t="str">
        <f>IFERROR(__xludf.DUMMYFUNCTION("QUERY(B5:L68,""Select B, K, L where K &gt;= 18 order by K desc, L desc"",0)"),"Lloyd Sagar")</f>
        <v>Lloyd Sagar</v>
      </c>
      <c r="C77" s="46">
        <f>IFERROR(__xludf.DUMMYFUNCTION("""COMPUTED_VALUE"""),19.0)</f>
        <v>19</v>
      </c>
      <c r="D77" s="46">
        <f>IFERROR(__xludf.DUMMYFUNCTION("""COMPUTED_VALUE"""),3.0)</f>
        <v>3</v>
      </c>
      <c r="E77" s="1"/>
      <c r="K77" s="42"/>
      <c r="L77" s="43"/>
    </row>
    <row r="78">
      <c r="A78" s="1"/>
      <c r="B78" s="36" t="str">
        <f>IFERROR(__xludf.DUMMYFUNCTION("""COMPUTED_VALUE"""),"Peter Cheng")</f>
        <v>Peter Cheng</v>
      </c>
      <c r="C78" s="46">
        <f>IFERROR(__xludf.DUMMYFUNCTION("""COMPUTED_VALUE"""),18.0)</f>
        <v>18</v>
      </c>
      <c r="D78" s="46">
        <f>IFERROR(__xludf.DUMMYFUNCTION("""COMPUTED_VALUE"""),3.0)</f>
        <v>3</v>
      </c>
      <c r="E78" s="1"/>
      <c r="L78" s="47"/>
    </row>
    <row r="79">
      <c r="A79" s="1"/>
      <c r="B79" s="36" t="str">
        <f>IFERROR(__xludf.DUMMYFUNCTION("""COMPUTED_VALUE"""),"Robert Chang")</f>
        <v>Robert Chang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</row>
    <row r="80">
      <c r="A80" s="1"/>
      <c r="B80" s="36" t="str">
        <f>IFERROR(__xludf.DUMMYFUNCTION("""COMPUTED_VALUE"""),"Kingsley Kuo")</f>
        <v>Kingsley Kuo</v>
      </c>
      <c r="C80" s="46">
        <f>IFERROR(__xludf.DUMMYFUNCTION("""COMPUTED_VALUE"""),18.0)</f>
        <v>18</v>
      </c>
      <c r="D80" s="46">
        <f>IFERROR(__xludf.DUMMYFUNCTION("""COMPUTED_VALUE"""),3.0)</f>
        <v>3</v>
      </c>
      <c r="E80" s="1"/>
    </row>
    <row r="81">
      <c r="A81" s="1"/>
      <c r="B81" s="36" t="str">
        <f>IFERROR(__xludf.DUMMYFUNCTION("""COMPUTED_VALUE"""),"Christopher Li")</f>
        <v>Christopher Li</v>
      </c>
      <c r="C81" s="46">
        <f>IFERROR(__xludf.DUMMYFUNCTION("""COMPUTED_VALUE"""),18.0)</f>
        <v>18</v>
      </c>
      <c r="D81" s="46">
        <f>IFERROR(__xludf.DUMMYFUNCTION("""COMPUTED_VALUE"""),3.0)</f>
        <v>3</v>
      </c>
      <c r="E81" s="1"/>
      <c r="K81" s="34"/>
    </row>
    <row r="82">
      <c r="A82" s="1"/>
      <c r="B82" s="36" t="str">
        <f>IFERROR(__xludf.DUMMYFUNCTION("""COMPUTED_VALUE"""),"Andrew Chin")</f>
        <v>Andrew Chin</v>
      </c>
      <c r="C82" s="46">
        <f>IFERROR(__xludf.DUMMYFUNCTION("""COMPUTED_VALUE"""),18.0)</f>
        <v>18</v>
      </c>
      <c r="D82" s="46">
        <f>IFERROR(__xludf.DUMMYFUNCTION("""COMPUTED_VALUE"""),3.0)</f>
        <v>3</v>
      </c>
      <c r="E82" s="1"/>
      <c r="K82" s="34"/>
    </row>
    <row r="83">
      <c r="A83" s="1"/>
      <c r="B83" s="36"/>
      <c r="C83" s="46"/>
      <c r="D83" s="46"/>
      <c r="E83" s="1"/>
      <c r="K83" s="34"/>
    </row>
    <row r="84">
      <c r="A84" s="1"/>
      <c r="B84" s="36"/>
      <c r="C84" s="46"/>
      <c r="D84" s="46"/>
      <c r="E84" s="1"/>
      <c r="K84" s="34"/>
    </row>
    <row r="85">
      <c r="A85" s="1"/>
      <c r="B85" s="36"/>
      <c r="C85" s="46"/>
      <c r="D85" s="46"/>
      <c r="E85" s="1"/>
    </row>
    <row r="86">
      <c r="A86" s="1"/>
      <c r="B86" s="36"/>
      <c r="C86" s="46"/>
      <c r="D86" s="46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B89" s="20" t="s">
        <v>25</v>
      </c>
      <c r="C89" s="21" t="s">
        <v>8</v>
      </c>
      <c r="D89" s="21" t="s">
        <v>14</v>
      </c>
      <c r="E89" s="21" t="s">
        <v>26</v>
      </c>
      <c r="F89" s="21" t="s">
        <v>27</v>
      </c>
      <c r="G89" s="21" t="s">
        <v>28</v>
      </c>
      <c r="H89" s="21" t="s">
        <v>17</v>
      </c>
      <c r="I89" s="21" t="s">
        <v>18</v>
      </c>
      <c r="J89" s="21" t="s">
        <v>19</v>
      </c>
      <c r="K89" s="21" t="s">
        <v>8</v>
      </c>
      <c r="L89" s="21" t="s">
        <v>14</v>
      </c>
      <c r="M89" s="22" t="s">
        <v>8</v>
      </c>
      <c r="N89" s="22" t="s">
        <v>14</v>
      </c>
    </row>
    <row r="90">
      <c r="A90" s="1"/>
      <c r="B90" s="48" t="str">
        <f>IFERROR(__xludf.DUMMYFUNCTION("QUERY(B5:N68, ""Select B, C, D, E, F, G, H, I, J, K, L, M, N   where F &gt;= 1"")"),"Peter Cheng")</f>
        <v>Peter Cheng</v>
      </c>
      <c r="C90" s="49">
        <f>IFERROR(__xludf.DUMMYFUNCTION("""COMPUTED_VALUE"""),228.0)</f>
        <v>228</v>
      </c>
      <c r="D90" s="50">
        <f>IFERROR(__xludf.DUMMYFUNCTION("""COMPUTED_VALUE"""),23.0)</f>
        <v>23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IFERROR(__xludf.DUMMYFUNCTION("""COMPUTED_VALUE"""),6.0)</f>
        <v>6</v>
      </c>
      <c r="I90" s="51">
        <f>IFERROR(__xludf.DUMMYFUNCTION("""COMPUTED_VALUE"""),6.0)</f>
        <v>6</v>
      </c>
      <c r="J90" s="51">
        <f>IFERROR(__xludf.DUMMYFUNCTION("""COMPUTED_VALUE"""),6.0)</f>
        <v>6</v>
      </c>
      <c r="K90" s="51">
        <f>IFERROR(__xludf.DUMMYFUNCTION("""COMPUTED_VALUE"""),18.0)</f>
        <v>18</v>
      </c>
      <c r="L90" s="51">
        <f>IFERROR(__xludf.DUMMYFUNCTION("""COMPUTED_VALUE"""),3.0)</f>
        <v>3</v>
      </c>
      <c r="M90" s="51">
        <f>IFERROR(__xludf.DUMMYFUNCTION("""COMPUTED_VALUE"""),246.0)</f>
        <v>246</v>
      </c>
      <c r="N90" s="52">
        <f>IFERROR(__xludf.DUMMYFUNCTION("""COMPUTED_VALUE"""),26.0)</f>
        <v>26</v>
      </c>
    </row>
    <row r="91">
      <c r="A91" s="1"/>
      <c r="B91" s="48" t="str">
        <f>IFERROR(__xludf.DUMMYFUNCTION("""COMPUTED_VALUE"""),"Adrian Tay")</f>
        <v>Adrian Tay</v>
      </c>
      <c r="C91" s="49">
        <f>IFERROR(__xludf.DUMMYFUNCTION("""COMPUTED_VALUE"""),228.0)</f>
        <v>228</v>
      </c>
      <c r="D91" s="50">
        <f>IFERROR(__xludf.DUMMYFUNCTION("""COMPUTED_VALUE"""),22.0)</f>
        <v>22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IFERROR(__xludf.DUMMYFUNCTION("""COMPUTED_VALUE"""),3.0)</f>
        <v>3</v>
      </c>
      <c r="I91" s="51">
        <f>IFERROR(__xludf.DUMMYFUNCTION("""COMPUTED_VALUE"""),6.0)</f>
        <v>6</v>
      </c>
      <c r="J91" s="51">
        <f>IFERROR(__xludf.DUMMYFUNCTION("""COMPUTED_VALUE"""),4.0)</f>
        <v>4</v>
      </c>
      <c r="K91" s="51">
        <f>IFERROR(__xludf.DUMMYFUNCTION("""COMPUTED_VALUE"""),13.0)</f>
        <v>13</v>
      </c>
      <c r="L91" s="51">
        <f>IFERROR(__xludf.DUMMYFUNCTION("""COMPUTED_VALUE"""),1.0)</f>
        <v>1</v>
      </c>
      <c r="M91" s="51">
        <f>IFERROR(__xludf.DUMMYFUNCTION("""COMPUTED_VALUE"""),241.0)</f>
        <v>241</v>
      </c>
      <c r="N91" s="52">
        <f>IFERROR(__xludf.DUMMYFUNCTION("""COMPUTED_VALUE"""),23.0)</f>
        <v>23</v>
      </c>
    </row>
    <row r="92">
      <c r="A92" s="1"/>
      <c r="B92" s="48" t="str">
        <f>IFERROR(__xludf.DUMMYFUNCTION("""COMPUTED_VALUE"""),"Alejandro Mejia")</f>
        <v>Alejandro Mejia</v>
      </c>
      <c r="C92" s="49">
        <f>IFERROR(__xludf.DUMMYFUNCTION("""COMPUTED_VALUE"""),225.0)</f>
        <v>225</v>
      </c>
      <c r="D92" s="50">
        <f>IFERROR(__xludf.DUMMYFUNCTION("""COMPUTED_VALUE"""),20.0)</f>
        <v>20</v>
      </c>
      <c r="E92" s="49">
        <f>IFERROR(__xludf.DUMMYFUNCTION("""COMPUTED_VALUE"""),1.0)</f>
        <v>1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IFERROR(__xludf.DUMMYFUNCTION("""COMPUTED_VALUE"""),3.0)</f>
        <v>3</v>
      </c>
      <c r="I92" s="51">
        <f>IFERROR(__xludf.DUMMYFUNCTION("""COMPUTED_VALUE"""),2.0)</f>
        <v>2</v>
      </c>
      <c r="J92" s="51">
        <f>IFERROR(__xludf.DUMMYFUNCTION("""COMPUTED_VALUE"""),6.0)</f>
        <v>6</v>
      </c>
      <c r="K92" s="51">
        <f>IFERROR(__xludf.DUMMYFUNCTION("""COMPUTED_VALUE"""),11.0)</f>
        <v>11</v>
      </c>
      <c r="L92" s="51">
        <f>IFERROR(__xludf.DUMMYFUNCTION("""COMPUTED_VALUE"""),1.0)</f>
        <v>1</v>
      </c>
      <c r="M92" s="51">
        <f>IFERROR(__xludf.DUMMYFUNCTION("""COMPUTED_VALUE"""),236.0)</f>
        <v>236</v>
      </c>
      <c r="N92" s="52">
        <f>IFERROR(__xludf.DUMMYFUNCTION("""COMPUTED_VALUE"""),21.0)</f>
        <v>21</v>
      </c>
    </row>
    <row r="93">
      <c r="A93" s="1"/>
      <c r="B93" s="48" t="str">
        <f>IFERROR(__xludf.DUMMYFUNCTION("""COMPUTED_VALUE"""),"Lam Bui")</f>
        <v>Lam Bui</v>
      </c>
      <c r="C93" s="49">
        <f>IFERROR(__xludf.DUMMYFUNCTION("""COMPUTED_VALUE"""),221.0)</f>
        <v>221</v>
      </c>
      <c r="D93" s="50">
        <f>IFERROR(__xludf.DUMMYFUNCTION("""COMPUTED_VALUE"""),20.0)</f>
        <v>20</v>
      </c>
      <c r="E93" s="49">
        <f>IFERROR(__xludf.DUMMYFUNCTION("""COMPUTED_VALUE"""),1.0)</f>
        <v>1</v>
      </c>
      <c r="F93" s="51">
        <f>IFERROR(__xludf.DUMMYFUNCTION("""COMPUTED_VALUE"""),1.0)</f>
        <v>1</v>
      </c>
      <c r="G93" s="51">
        <f>IFERROR(__xludf.DUMMYFUNCTION("""COMPUTED_VALUE"""),0.0)</f>
        <v>0</v>
      </c>
      <c r="H93" s="51">
        <f>IFERROR(__xludf.DUMMYFUNCTION("""COMPUTED_VALUE"""),6.0)</f>
        <v>6</v>
      </c>
      <c r="I93" s="51">
        <f>IFERROR(__xludf.DUMMYFUNCTION("""COMPUTED_VALUE"""),2.0)</f>
        <v>2</v>
      </c>
      <c r="J93" s="51">
        <f>IFERROR(__xludf.DUMMYFUNCTION("""COMPUTED_VALUE"""),4.0)</f>
        <v>4</v>
      </c>
      <c r="K93" s="51">
        <f>IFERROR(__xludf.DUMMYFUNCTION("""COMPUTED_VALUE"""),12.0)</f>
        <v>12</v>
      </c>
      <c r="L93" s="51">
        <f>IFERROR(__xludf.DUMMYFUNCTION("""COMPUTED_VALUE"""),1.0)</f>
        <v>1</v>
      </c>
      <c r="M93" s="51">
        <f>IFERROR(__xludf.DUMMYFUNCTION("""COMPUTED_VALUE"""),233.0)</f>
        <v>233</v>
      </c>
      <c r="N93" s="52">
        <f>IFERROR(__xludf.DUMMYFUNCTION("""COMPUTED_VALUE"""),21.0)</f>
        <v>21</v>
      </c>
    </row>
    <row r="94">
      <c r="A94" s="1"/>
      <c r="B94" s="53" t="str">
        <f>IFERROR(__xludf.DUMMYFUNCTION("""COMPUTED_VALUE"""),"Robert Chang")</f>
        <v>Robert Chang</v>
      </c>
      <c r="C94" s="54">
        <f>IFERROR(__xludf.DUMMYFUNCTION("""COMPUTED_VALUE"""),213.0)</f>
        <v>213</v>
      </c>
      <c r="D94" s="55">
        <f>IFERROR(__xludf.DUMMYFUNCTION("""COMPUTED_VALUE"""),18.0)</f>
        <v>18</v>
      </c>
      <c r="E94" s="54">
        <f>IFERROR(__xludf.DUMMYFUNCTION("""COMPUTED_VALUE"""),2.0)</f>
        <v>2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IFERROR(__xludf.DUMMYFUNCTION("""COMPUTED_VALUE"""),6.0)</f>
        <v>6</v>
      </c>
      <c r="I94" s="56">
        <f>IFERROR(__xludf.DUMMYFUNCTION("""COMPUTED_VALUE"""),6.0)</f>
        <v>6</v>
      </c>
      <c r="J94" s="56">
        <f>IFERROR(__xludf.DUMMYFUNCTION("""COMPUTED_VALUE"""),6.0)</f>
        <v>6</v>
      </c>
      <c r="K94" s="56">
        <f>IFERROR(__xludf.DUMMYFUNCTION("""COMPUTED_VALUE"""),18.0)</f>
        <v>18</v>
      </c>
      <c r="L94" s="56">
        <f>IFERROR(__xludf.DUMMYFUNCTION("""COMPUTED_VALUE"""),3.0)</f>
        <v>3</v>
      </c>
      <c r="M94" s="56">
        <f>IFERROR(__xludf.DUMMYFUNCTION("""COMPUTED_VALUE"""),231.0)</f>
        <v>231</v>
      </c>
      <c r="N94" s="57">
        <f>IFERROR(__xludf.DUMMYFUNCTION("""COMPUTED_VALUE"""),21.0)</f>
        <v>21</v>
      </c>
    </row>
    <row r="95">
      <c r="A95" s="1"/>
      <c r="B95" s="53" t="str">
        <f>IFERROR(__xludf.DUMMYFUNCTION("""COMPUTED_VALUE"""),"Pavan Akkimsetty")</f>
        <v>Pavan Akkimsetty</v>
      </c>
      <c r="C95" s="54">
        <f>IFERROR(__xludf.DUMMYFUNCTION("""COMPUTED_VALUE"""),212.0)</f>
        <v>212</v>
      </c>
      <c r="D95" s="55">
        <f>IFERROR(__xludf.DUMMYFUNCTION("""COMPUTED_VALUE"""),19.0)</f>
        <v>19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IFERROR(__xludf.DUMMYFUNCTION("""COMPUTED_VALUE"""),6.0)</f>
        <v>6</v>
      </c>
      <c r="I95" s="56">
        <f>IFERROR(__xludf.DUMMYFUNCTION("""COMPUTED_VALUE"""),2.0)</f>
        <v>2</v>
      </c>
      <c r="J95" s="56">
        <f>IFERROR(__xludf.DUMMYFUNCTION("""COMPUTED_VALUE"""),4.0)</f>
        <v>4</v>
      </c>
      <c r="K95" s="56">
        <f>IFERROR(__xludf.DUMMYFUNCTION("""COMPUTED_VALUE"""),12.0)</f>
        <v>12</v>
      </c>
      <c r="L95" s="56">
        <f>IFERROR(__xludf.DUMMYFUNCTION("""COMPUTED_VALUE"""),1.0)</f>
        <v>1</v>
      </c>
      <c r="M95" s="56">
        <f>IFERROR(__xludf.DUMMYFUNCTION("""COMPUTED_VALUE"""),224.0)</f>
        <v>224</v>
      </c>
      <c r="N95" s="57">
        <f>IFERROR(__xludf.DUMMYFUNCTION("""COMPUTED_VALUE"""),20.0)</f>
        <v>20</v>
      </c>
    </row>
    <row r="96">
      <c r="A96" s="1"/>
      <c r="B96" s="53" t="str">
        <f>IFERROR(__xludf.DUMMYFUNCTION("""COMPUTED_VALUE"""),"Joe Luzzi")</f>
        <v>Joe Luzzi</v>
      </c>
      <c r="C96" s="54">
        <f>IFERROR(__xludf.DUMMYFUNCTION("""COMPUTED_VALUE"""),207.0)</f>
        <v>207</v>
      </c>
      <c r="D96" s="55">
        <f>IFERROR(__xludf.DUMMYFUNCTION("""COMPUTED_VALUE"""),19.0)</f>
        <v>19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IFERROR(__xludf.DUMMYFUNCTION("""COMPUTED_VALUE"""),2.0)</f>
        <v>2</v>
      </c>
      <c r="I96" s="56">
        <f>IFERROR(__xludf.DUMMYFUNCTION("""COMPUTED_VALUE"""),6.0)</f>
        <v>6</v>
      </c>
      <c r="J96" s="56">
        <f>IFERROR(__xludf.DUMMYFUNCTION("""COMPUTED_VALUE"""),4.0)</f>
        <v>4</v>
      </c>
      <c r="K96" s="56">
        <f>IFERROR(__xludf.DUMMYFUNCTION("""COMPUTED_VALUE"""),12.0)</f>
        <v>12</v>
      </c>
      <c r="L96" s="56">
        <f>IFERROR(__xludf.DUMMYFUNCTION("""COMPUTED_VALUE"""),1.0)</f>
        <v>1</v>
      </c>
      <c r="M96" s="56">
        <f>IFERROR(__xludf.DUMMYFUNCTION("""COMPUTED_VALUE"""),219.0)</f>
        <v>219</v>
      </c>
      <c r="N96" s="57">
        <f>IFERROR(__xludf.DUMMYFUNCTION("""COMPUTED_VALUE"""),20.0)</f>
        <v>20</v>
      </c>
    </row>
    <row r="97">
      <c r="A97" s="1"/>
      <c r="B97" s="53" t="str">
        <f>IFERROR(__xludf.DUMMYFUNCTION("""COMPUTED_VALUE"""),"Ted Shen")</f>
        <v>Ted Shen</v>
      </c>
      <c r="C97" s="54">
        <f>IFERROR(__xludf.DUMMYFUNCTION("""COMPUTED_VALUE"""),203.0)</f>
        <v>203</v>
      </c>
      <c r="D97" s="55">
        <f>IFERROR(__xludf.DUMMYFUNCTION("""COMPUTED_VALUE"""),16.0)</f>
        <v>16</v>
      </c>
      <c r="E97" s="54">
        <f>IFERROR(__xludf.DUMMYFUNCTION("""COMPUTED_VALUE"""),1.0)</f>
        <v>1</v>
      </c>
      <c r="F97" s="56">
        <f>IFERROR(__xludf.DUMMYFUNCTION("""COMPUTED_VALUE"""),2.0)</f>
        <v>2</v>
      </c>
      <c r="G97" s="56">
        <f>IFERROR(__xludf.DUMMYFUNCTION("""COMPUTED_VALUE"""),0.0)</f>
        <v>0</v>
      </c>
      <c r="H97" s="56">
        <f>IFERROR(__xludf.DUMMYFUNCTION("""COMPUTED_VALUE"""),2.0)</f>
        <v>2</v>
      </c>
      <c r="I97" s="56">
        <f>IFERROR(__xludf.DUMMYFUNCTION("""COMPUTED_VALUE"""),2.0)</f>
        <v>2</v>
      </c>
      <c r="J97" s="56">
        <f>IFERROR(__xludf.DUMMYFUNCTION("""COMPUTED_VALUE"""),6.0)</f>
        <v>6</v>
      </c>
      <c r="K97" s="56">
        <f>IFERROR(__xludf.DUMMYFUNCTION("""COMPUTED_VALUE"""),10.0)</f>
        <v>10</v>
      </c>
      <c r="L97" s="56">
        <f>IFERROR(__xludf.DUMMYFUNCTION("""COMPUTED_VALUE"""),1.0)</f>
        <v>1</v>
      </c>
      <c r="M97" s="56">
        <f>IFERROR(__xludf.DUMMYFUNCTION("""COMPUTED_VALUE"""),213.0)</f>
        <v>213</v>
      </c>
      <c r="N97" s="57">
        <f>IFERROR(__xludf.DUMMYFUNCTION("""COMPUTED_VALUE"""),17.0)</f>
        <v>17</v>
      </c>
    </row>
    <row r="98">
      <c r="A98" s="1"/>
      <c r="B98" s="48" t="str">
        <f>IFERROR(__xludf.DUMMYFUNCTION("""COMPUTED_VALUE"""),"Erik Hoeckmann")</f>
        <v>Erik Hoeckmann</v>
      </c>
      <c r="C98" s="49">
        <f>IFERROR(__xludf.DUMMYFUNCTION("""COMPUTED_VALUE"""),203.0)</f>
        <v>203</v>
      </c>
      <c r="D98" s="50">
        <f>IFERROR(__xludf.DUMMYFUNCTION("""COMPUTED_VALUE"""),13.0)</f>
        <v>13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IFERROR(__xludf.DUMMYFUNCTION("""COMPUTED_VALUE"""),5.0)</f>
        <v>5</v>
      </c>
      <c r="I98" s="51">
        <f>IFERROR(__xludf.DUMMYFUNCTION("""COMPUTED_VALUE"""),2.0)</f>
        <v>2</v>
      </c>
      <c r="J98" s="51">
        <f>IFERROR(__xludf.DUMMYFUNCTION("""COMPUTED_VALUE"""),6.0)</f>
        <v>6</v>
      </c>
      <c r="K98" s="51">
        <f>IFERROR(__xludf.DUMMYFUNCTION("""COMPUTED_VALUE"""),13.0)</f>
        <v>13</v>
      </c>
      <c r="L98" s="51">
        <f>IFERROR(__xludf.DUMMYFUNCTION("""COMPUTED_VALUE"""),1.0)</f>
        <v>1</v>
      </c>
      <c r="M98" s="51">
        <f>IFERROR(__xludf.DUMMYFUNCTION("""COMPUTED_VALUE"""),216.0)</f>
        <v>216</v>
      </c>
      <c r="N98" s="52">
        <f>IFERROR(__xludf.DUMMYFUNCTION("""COMPUTED_VALUE"""),14.0)</f>
        <v>14</v>
      </c>
    </row>
    <row r="99">
      <c r="A99" s="1"/>
      <c r="B99" s="48" t="str">
        <f>IFERROR(__xludf.DUMMYFUNCTION("""COMPUTED_VALUE"""),"Lloyd Sagar")</f>
        <v>Lloyd Sagar</v>
      </c>
      <c r="C99" s="49">
        <f>IFERROR(__xludf.DUMMYFUNCTION("""COMPUTED_VALUE"""),201.0)</f>
        <v>201</v>
      </c>
      <c r="D99" s="50">
        <f>IFERROR(__xludf.DUMMYFUNCTION("""COMPUTED_VALUE"""),13.0)</f>
        <v>13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IFERROR(__xludf.DUMMYFUNCTION("""COMPUTED_VALUE"""),7.0)</f>
        <v>7</v>
      </c>
      <c r="I99" s="51">
        <f>IFERROR(__xludf.DUMMYFUNCTION("""COMPUTED_VALUE"""),6.0)</f>
        <v>6</v>
      </c>
      <c r="J99" s="51">
        <f>IFERROR(__xludf.DUMMYFUNCTION("""COMPUTED_VALUE"""),6.0)</f>
        <v>6</v>
      </c>
      <c r="K99" s="51">
        <f>IFERROR(__xludf.DUMMYFUNCTION("""COMPUTED_VALUE"""),19.0)</f>
        <v>19</v>
      </c>
      <c r="L99" s="51">
        <f>IFERROR(__xludf.DUMMYFUNCTION("""COMPUTED_VALUE"""),3.0)</f>
        <v>3</v>
      </c>
      <c r="M99" s="51">
        <f>IFERROR(__xludf.DUMMYFUNCTION("""COMPUTED_VALUE"""),220.0)</f>
        <v>220</v>
      </c>
      <c r="N99" s="52">
        <f>IFERROR(__xludf.DUMMYFUNCTION("""COMPUTED_VALUE"""),16.0)</f>
        <v>16</v>
      </c>
    </row>
    <row r="100">
      <c r="A100" s="1"/>
      <c r="B100" s="48" t="str">
        <f>IFERROR(__xludf.DUMMYFUNCTION("""COMPUTED_VALUE"""),"Tony Wong")</f>
        <v>Tony Wong</v>
      </c>
      <c r="C100" s="49">
        <f>IFERROR(__xludf.DUMMYFUNCTION("""COMPUTED_VALUE"""),197.0)</f>
        <v>197</v>
      </c>
      <c r="D100" s="50">
        <f>IFERROR(__xludf.DUMMYFUNCTION("""COMPUTED_VALUE"""),13.0)</f>
        <v>13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IFERROR(__xludf.DUMMYFUNCTION("""COMPUTED_VALUE"""),7.0)</f>
        <v>7</v>
      </c>
      <c r="I100" s="51">
        <f>IFERROR(__xludf.DUMMYFUNCTION("""COMPUTED_VALUE"""),2.0)</f>
        <v>2</v>
      </c>
      <c r="J100" s="51">
        <f>IFERROR(__xludf.DUMMYFUNCTION("""COMPUTED_VALUE"""),4.0)</f>
        <v>4</v>
      </c>
      <c r="K100" s="51">
        <f>IFERROR(__xludf.DUMMYFUNCTION("""COMPUTED_VALUE"""),13.0)</f>
        <v>13</v>
      </c>
      <c r="L100" s="51">
        <f>IFERROR(__xludf.DUMMYFUNCTION("""COMPUTED_VALUE"""),1.0)</f>
        <v>1</v>
      </c>
      <c r="M100" s="51">
        <f>IFERROR(__xludf.DUMMYFUNCTION("""COMPUTED_VALUE"""),210.0)</f>
        <v>210</v>
      </c>
      <c r="N100" s="52">
        <f>IFERROR(__xludf.DUMMYFUNCTION("""COMPUTED_VALUE"""),14.0)</f>
        <v>14</v>
      </c>
    </row>
    <row r="101">
      <c r="A101" s="1"/>
      <c r="B101" s="48" t="str">
        <f>IFERROR(__xludf.DUMMYFUNCTION("""COMPUTED_VALUE"""),"Trinath Goteti")</f>
        <v>Trinath Goteti</v>
      </c>
      <c r="C101" s="49">
        <f>IFERROR(__xludf.DUMMYFUNCTION("""COMPUTED_VALUE"""),192.0)</f>
        <v>192</v>
      </c>
      <c r="D101" s="50">
        <f>IFERROR(__xludf.DUMMYFUNCTION("""COMPUTED_VALUE"""),11.0)</f>
        <v>11</v>
      </c>
      <c r="E101" s="49">
        <f>IFERROR(__xludf.DUMMYFUNCTION("""COMPUTED_VALUE"""),1.0)</f>
        <v>1</v>
      </c>
      <c r="F101" s="51">
        <f>IFERROR(__xludf.DUMMYFUNCTION("""COMPUTED_VALUE"""),3.0)</f>
        <v>3</v>
      </c>
      <c r="G101" s="51">
        <f>IFERROR(__xludf.DUMMYFUNCTION("""COMPUTED_VALUE"""),0.0)</f>
        <v>0</v>
      </c>
      <c r="H101" s="51">
        <f>IFERROR(__xludf.DUMMYFUNCTION("""COMPUTED_VALUE"""),5.0)</f>
        <v>5</v>
      </c>
      <c r="I101" s="51">
        <f>IFERROR(__xludf.DUMMYFUNCTION("""COMPUTED_VALUE"""),6.0)</f>
        <v>6</v>
      </c>
      <c r="J101" s="51">
        <f>IFERROR(__xludf.DUMMYFUNCTION("""COMPUTED_VALUE"""),4.0)</f>
        <v>4</v>
      </c>
      <c r="K101" s="51">
        <f>IFERROR(__xludf.DUMMYFUNCTION("""COMPUTED_VALUE"""),15.0)</f>
        <v>15</v>
      </c>
      <c r="L101" s="51">
        <f>IFERROR(__xludf.DUMMYFUNCTION("""COMPUTED_VALUE"""),1.0)</f>
        <v>1</v>
      </c>
      <c r="M101" s="51">
        <f>IFERROR(__xludf.DUMMYFUNCTION("""COMPUTED_VALUE"""),207.0)</f>
        <v>207</v>
      </c>
      <c r="N101" s="52">
        <f>IFERROR(__xludf.DUMMYFUNCTION("""COMPUTED_VALUE"""),12.0)</f>
        <v>12</v>
      </c>
    </row>
    <row r="102">
      <c r="A102" s="1"/>
      <c r="B102" s="53" t="str">
        <f>IFERROR(__xludf.DUMMYFUNCTION("""COMPUTED_VALUE"""),"Mauricio Palacios")</f>
        <v>Mauricio Palacios</v>
      </c>
      <c r="C102" s="54">
        <f>IFERROR(__xludf.DUMMYFUNCTION("""COMPUTED_VALUE"""),189.0)</f>
        <v>189</v>
      </c>
      <c r="D102" s="55">
        <f>IFERROR(__xludf.DUMMYFUNCTION("""COMPUTED_VALUE"""),18.0)</f>
        <v>18</v>
      </c>
      <c r="E102" s="54">
        <f>IFERROR(__xludf.DUMMYFUNCTION("""COMPUTED_VALUE"""),2.0)</f>
        <v>2</v>
      </c>
      <c r="F102" s="56">
        <f>IFERROR(__xludf.DUMMYFUNCTION("""COMPUTED_VALUE"""),5.0)</f>
        <v>5</v>
      </c>
      <c r="G102" s="56">
        <f>IFERROR(__xludf.DUMMYFUNCTION("""COMPUTED_VALUE"""),0.0)</f>
        <v>0</v>
      </c>
      <c r="H102" s="56">
        <f>IFERROR(__xludf.DUMMYFUNCTION("""COMPUTED_VALUE"""),6.0)</f>
        <v>6</v>
      </c>
      <c r="I102" s="56">
        <f>IFERROR(__xludf.DUMMYFUNCTION("""COMPUTED_VALUE"""),1.0)</f>
        <v>1</v>
      </c>
      <c r="J102" s="56">
        <f>IFERROR(__xludf.DUMMYFUNCTION("""COMPUTED_VALUE"""),0.0)</f>
        <v>0</v>
      </c>
      <c r="K102" s="56">
        <f>IFERROR(__xludf.DUMMYFUNCTION("""COMPUTED_VALUE"""),7.0)</f>
        <v>7</v>
      </c>
      <c r="L102" s="56">
        <f>IFERROR(__xludf.DUMMYFUNCTION("""COMPUTED_VALUE"""),1.0)</f>
        <v>1</v>
      </c>
      <c r="M102" s="56">
        <f>IFERROR(__xludf.DUMMYFUNCTION("""COMPUTED_VALUE"""),196.0)</f>
        <v>196</v>
      </c>
      <c r="N102" s="57">
        <f>IFERROR(__xludf.DUMMYFUNCTION("""COMPUTED_VALUE"""),19.0)</f>
        <v>19</v>
      </c>
    </row>
    <row r="103">
      <c r="A103" s="1"/>
      <c r="B103" s="53" t="str">
        <f>IFERROR(__xludf.DUMMYFUNCTION("""COMPUTED_VALUE"""),"Sandy Weyant")</f>
        <v>Sandy Weyant</v>
      </c>
      <c r="C103" s="54">
        <f>IFERROR(__xludf.DUMMYFUNCTION("""COMPUTED_VALUE"""),187.0)</f>
        <v>187</v>
      </c>
      <c r="D103" s="55">
        <f>IFERROR(__xludf.DUMMYFUNCTION("""COMPUTED_VALUE"""),10.0)</f>
        <v>10</v>
      </c>
      <c r="E103" s="54">
        <f>IFERROR(__xludf.DUMMYFUNCTION("""COMPUTED_VALUE"""),1.0)</f>
        <v>1</v>
      </c>
      <c r="F103" s="56">
        <f>IFERROR(__xludf.DUMMYFUNCTION("""COMPUTED_VALUE"""),5.0)</f>
        <v>5</v>
      </c>
      <c r="G103" s="56">
        <f>IFERROR(__xludf.DUMMYFUNCTION("""COMPUTED_VALUE"""),0.0)</f>
        <v>0</v>
      </c>
      <c r="H103" s="56">
        <f>IFERROR(__xludf.DUMMYFUNCTION("""COMPUTED_VALUE"""),0.0)</f>
        <v>0</v>
      </c>
      <c r="I103" s="56">
        <f>IFERROR(__xludf.DUMMYFUNCTION("""COMPUTED_VALUE"""),6.0)</f>
        <v>6</v>
      </c>
      <c r="J103" s="56">
        <f>IFERROR(__xludf.DUMMYFUNCTION("""COMPUTED_VALUE"""),0.0)</f>
        <v>0</v>
      </c>
      <c r="K103" s="56">
        <f>IFERROR(__xludf.DUMMYFUNCTION("""COMPUTED_VALUE"""),6.0)</f>
        <v>6</v>
      </c>
      <c r="L103" s="56">
        <f>IFERROR(__xludf.DUMMYFUNCTION("""COMPUTED_VALUE"""),1.0)</f>
        <v>1</v>
      </c>
      <c r="M103" s="56">
        <f>IFERROR(__xludf.DUMMYFUNCTION("""COMPUTED_VALUE"""),193.0)</f>
        <v>193</v>
      </c>
      <c r="N103" s="57">
        <f>IFERROR(__xludf.DUMMYFUNCTION("""COMPUTED_VALUE"""),11.0)</f>
        <v>11</v>
      </c>
    </row>
    <row r="104">
      <c r="A104" s="1"/>
      <c r="B104" s="53" t="str">
        <f>IFERROR(__xludf.DUMMYFUNCTION("""COMPUTED_VALUE"""),"Kingsley Kuo")</f>
        <v>Kingsley Kuo</v>
      </c>
      <c r="C104" s="54">
        <f>IFERROR(__xludf.DUMMYFUNCTION("""COMPUTED_VALUE"""),181.0)</f>
        <v>181</v>
      </c>
      <c r="D104" s="55">
        <f>IFERROR(__xludf.DUMMYFUNCTION("""COMPUTED_VALUE"""),8.0)</f>
        <v>8</v>
      </c>
      <c r="E104" s="54">
        <f>IFERROR(__xludf.DUMMYFUNCTION("""COMPUTED_VALUE"""),1.0)</f>
        <v>1</v>
      </c>
      <c r="F104" s="56">
        <f>IFERROR(__xludf.DUMMYFUNCTION("""COMPUTED_VALUE"""),5.0)</f>
        <v>5</v>
      </c>
      <c r="G104" s="56">
        <f>IFERROR(__xludf.DUMMYFUNCTION("""COMPUTED_VALUE"""),0.0)</f>
        <v>0</v>
      </c>
      <c r="H104" s="56">
        <f>IFERROR(__xludf.DUMMYFUNCTION("""COMPUTED_VALUE"""),6.0)</f>
        <v>6</v>
      </c>
      <c r="I104" s="56">
        <f>IFERROR(__xludf.DUMMYFUNCTION("""COMPUTED_VALUE"""),6.0)</f>
        <v>6</v>
      </c>
      <c r="J104" s="56">
        <f>IFERROR(__xludf.DUMMYFUNCTION("""COMPUTED_VALUE"""),6.0)</f>
        <v>6</v>
      </c>
      <c r="K104" s="56">
        <f>IFERROR(__xludf.DUMMYFUNCTION("""COMPUTED_VALUE"""),18.0)</f>
        <v>18</v>
      </c>
      <c r="L104" s="56">
        <f>IFERROR(__xludf.DUMMYFUNCTION("""COMPUTED_VALUE"""),3.0)</f>
        <v>3</v>
      </c>
      <c r="M104" s="56">
        <f>IFERROR(__xludf.DUMMYFUNCTION("""COMPUTED_VALUE"""),199.0)</f>
        <v>199</v>
      </c>
      <c r="N104" s="57">
        <f>IFERROR(__xludf.DUMMYFUNCTION("""COMPUTED_VALUE"""),11.0)</f>
        <v>11</v>
      </c>
    </row>
    <row r="105">
      <c r="A105" s="1"/>
      <c r="B105" s="53" t="str">
        <f>IFERROR(__xludf.DUMMYFUNCTION("""COMPUTED_VALUE"""),"Vinot Kumar Nagappan")</f>
        <v>Vinot Kumar Nagappan</v>
      </c>
      <c r="C105" s="54">
        <f>IFERROR(__xludf.DUMMYFUNCTION("""COMPUTED_VALUE"""),174.0)</f>
        <v>174</v>
      </c>
      <c r="D105" s="55">
        <f>IFERROR(__xludf.DUMMYFUNCTION("""COMPUTED_VALUE"""),9.0)</f>
        <v>9</v>
      </c>
      <c r="E105" s="54">
        <f>IFERROR(__xludf.DUMMYFUNCTION("""COMPUTED_VALUE"""),1.0)</f>
        <v>1</v>
      </c>
      <c r="F105" s="56">
        <f>IFERROR(__xludf.DUMMYFUNCTION("""COMPUTED_VALUE"""),5.0)</f>
        <v>5</v>
      </c>
      <c r="G105" s="56">
        <f>IFERROR(__xludf.DUMMYFUNCTION("""COMPUTED_VALUE"""),0.0)</f>
        <v>0</v>
      </c>
      <c r="H105" s="56">
        <f>IFERROR(__xludf.DUMMYFUNCTION("""COMPUTED_VALUE"""),0.0)</f>
        <v>0</v>
      </c>
      <c r="I105" s="56">
        <f>IFERROR(__xludf.DUMMYFUNCTION("""COMPUTED_VALUE"""),1.0)</f>
        <v>1</v>
      </c>
      <c r="J105" s="56">
        <f>IFERROR(__xludf.DUMMYFUNCTION("""COMPUTED_VALUE"""),6.0)</f>
        <v>6</v>
      </c>
      <c r="K105" s="56">
        <f>IFERROR(__xludf.DUMMYFUNCTION("""COMPUTED_VALUE"""),7.0)</f>
        <v>7</v>
      </c>
      <c r="L105" s="56">
        <f>IFERROR(__xludf.DUMMYFUNCTION("""COMPUTED_VALUE"""),1.0)</f>
        <v>1</v>
      </c>
      <c r="M105" s="56">
        <f>IFERROR(__xludf.DUMMYFUNCTION("""COMPUTED_VALUE"""),181.0)</f>
        <v>181</v>
      </c>
      <c r="N105" s="57">
        <f>IFERROR(__xludf.DUMMYFUNCTION("""COMPUTED_VALUE"""),10.0)</f>
        <v>10</v>
      </c>
    </row>
    <row r="106">
      <c r="A106" s="1"/>
      <c r="B106" s="48" t="str">
        <f>IFERROR(__xludf.DUMMYFUNCTION("""COMPUTED_VALUE"""),"Nohely Mejia")</f>
        <v>Nohely Mejia</v>
      </c>
      <c r="C106" s="49">
        <f>IFERROR(__xludf.DUMMYFUNCTION("""COMPUTED_VALUE"""),173.0)</f>
        <v>173</v>
      </c>
      <c r="D106" s="50">
        <f>IFERROR(__xludf.DUMMYFUNCTION("""COMPUTED_VALUE"""),8.0)</f>
        <v>8</v>
      </c>
      <c r="E106" s="49">
        <f>IFERROR(__xludf.DUMMYFUNCTION("""COMPUTED_VALUE"""),2.0)</f>
        <v>2</v>
      </c>
      <c r="F106" s="51">
        <f>IFERROR(__xludf.DUMMYFUNCTION("""COMPUTED_VALUE"""),6.0)</f>
        <v>6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IFERROR(__xludf.DUMMYFUNCTION("""COMPUTED_VALUE"""),3.0)</f>
        <v>3</v>
      </c>
      <c r="J106" s="51">
        <f>IFERROR(__xludf.DUMMYFUNCTION("""COMPUTED_VALUE"""),2.0)</f>
        <v>2</v>
      </c>
      <c r="K106" s="51">
        <f>IFERROR(__xludf.DUMMYFUNCTION("""COMPUTED_VALUE"""),11.0)</f>
        <v>11</v>
      </c>
      <c r="L106" s="51">
        <f>IFERROR(__xludf.DUMMYFUNCTION("""COMPUTED_VALUE"""),1.0)</f>
        <v>1</v>
      </c>
      <c r="M106" s="51">
        <f>IFERROR(__xludf.DUMMYFUNCTION("""COMPUTED_VALUE"""),184.0)</f>
        <v>184</v>
      </c>
      <c r="N106" s="52">
        <f>IFERROR(__xludf.DUMMYFUNCTION("""COMPUTED_VALUE"""),9.0)</f>
        <v>9</v>
      </c>
    </row>
    <row r="107">
      <c r="A107" s="1"/>
      <c r="B107" s="48" t="str">
        <f>IFERROR(__xludf.DUMMYFUNCTION("""COMPUTED_VALUE"""),"Christopher Li")</f>
        <v>Christopher Li</v>
      </c>
      <c r="C107" s="49">
        <f>IFERROR(__xludf.DUMMYFUNCTION("""COMPUTED_VALUE"""),171.0)</f>
        <v>171</v>
      </c>
      <c r="D107" s="50">
        <f>IFERROR(__xludf.DUMMYFUNCTION("""COMPUTED_VALUE"""),5.0)</f>
        <v>5</v>
      </c>
      <c r="E107" s="49">
        <f>IFERROR(__xludf.DUMMYFUNCTION("""COMPUTED_VALUE"""),1.0)</f>
        <v>1</v>
      </c>
      <c r="F107" s="51">
        <f>IFERROR(__xludf.DUMMYFUNCTION("""COMPUTED_VALUE"""),6.0)</f>
        <v>6</v>
      </c>
      <c r="G107" s="51">
        <f>IFERROR(__xludf.DUMMYFUNCTION("""COMPUTED_VALUE"""),0.0)</f>
        <v>0</v>
      </c>
      <c r="H107" s="51">
        <f>IFERROR(__xludf.DUMMYFUNCTION("""COMPUTED_VALUE"""),6.0)</f>
        <v>6</v>
      </c>
      <c r="I107" s="51">
        <f>IFERROR(__xludf.DUMMYFUNCTION("""COMPUTED_VALUE"""),6.0)</f>
        <v>6</v>
      </c>
      <c r="J107" s="51">
        <f>IFERROR(__xludf.DUMMYFUNCTION("""COMPUTED_VALUE"""),6.0)</f>
        <v>6</v>
      </c>
      <c r="K107" s="51">
        <f>IFERROR(__xludf.DUMMYFUNCTION("""COMPUTED_VALUE"""),18.0)</f>
        <v>18</v>
      </c>
      <c r="L107" s="51">
        <f>IFERROR(__xludf.DUMMYFUNCTION("""COMPUTED_VALUE"""),3.0)</f>
        <v>3</v>
      </c>
      <c r="M107" s="51">
        <f>IFERROR(__xludf.DUMMYFUNCTION("""COMPUTED_VALUE"""),189.0)</f>
        <v>189</v>
      </c>
      <c r="N107" s="52">
        <f>IFERROR(__xludf.DUMMYFUNCTION("""COMPUTED_VALUE"""),8.0)</f>
        <v>8</v>
      </c>
    </row>
    <row r="108">
      <c r="A108" s="1"/>
      <c r="B108" s="48" t="str">
        <f>IFERROR(__xludf.DUMMYFUNCTION("""COMPUTED_VALUE"""),"Jimmy Awolesi")</f>
        <v>Jimmy Awolesi</v>
      </c>
      <c r="C108" s="49">
        <f>IFERROR(__xludf.DUMMYFUNCTION("""COMPUTED_VALUE"""),168.0)</f>
        <v>168</v>
      </c>
      <c r="D108" s="50">
        <f>IFERROR(__xludf.DUMMYFUNCTION("""COMPUTED_VALUE"""),11.0)</f>
        <v>11</v>
      </c>
      <c r="E108" s="49">
        <f>IFERROR(__xludf.DUMMYFUNCTION("""COMPUTED_VALUE"""),1.0)</f>
        <v>1</v>
      </c>
      <c r="F108" s="51">
        <f>IFERROR(__xludf.DUMMYFUNCTION("""COMPUTED_VALUE"""),6.0)</f>
        <v>6</v>
      </c>
      <c r="G108" s="51">
        <f>IFERROR(__xludf.DUMMYFUNCTION("""COMPUTED_VALUE"""),0.0)</f>
        <v>0</v>
      </c>
      <c r="H108" s="51">
        <f>IFERROR(__xludf.DUMMYFUNCTION("""COMPUTED_VALUE"""),4.0)</f>
        <v>4</v>
      </c>
      <c r="I108" s="51">
        <f>IFERROR(__xludf.DUMMYFUNCTION("""COMPUTED_VALUE"""),3.0)</f>
        <v>3</v>
      </c>
      <c r="J108" s="51">
        <f>IFERROR(__xludf.DUMMYFUNCTION("""COMPUTED_VALUE"""),6.0)</f>
        <v>6</v>
      </c>
      <c r="K108" s="51">
        <f>IFERROR(__xludf.DUMMYFUNCTION("""COMPUTED_VALUE"""),13.0)</f>
        <v>13</v>
      </c>
      <c r="L108" s="51">
        <f>IFERROR(__xludf.DUMMYFUNCTION("""COMPUTED_VALUE"""),1.0)</f>
        <v>1</v>
      </c>
      <c r="M108" s="51">
        <f>IFERROR(__xludf.DUMMYFUNCTION("""COMPUTED_VALUE"""),181.0)</f>
        <v>181</v>
      </c>
      <c r="N108" s="52">
        <f>IFERROR(__xludf.DUMMYFUNCTION("""COMPUTED_VALUE"""),12.0)</f>
        <v>12</v>
      </c>
    </row>
    <row r="109">
      <c r="A109" s="1"/>
      <c r="B109" s="48" t="str">
        <f>IFERROR(__xludf.DUMMYFUNCTION("""COMPUTED_VALUE"""),"Elayaraja Thangaraj ")</f>
        <v>Elayaraja Thangaraj </v>
      </c>
      <c r="C109" s="49">
        <f>IFERROR(__xludf.DUMMYFUNCTION("""COMPUTED_VALUE"""),163.0)</f>
        <v>163</v>
      </c>
      <c r="D109" s="50">
        <f>IFERROR(__xludf.DUMMYFUNCTION("""COMPUTED_VALUE"""),11.0)</f>
        <v>11</v>
      </c>
      <c r="E109" s="49">
        <f>IFERROR(__xludf.DUMMYFUNCTION("""COMPUTED_VALUE"""),1.0)</f>
        <v>1</v>
      </c>
      <c r="F109" s="51">
        <f>IFERROR(__xludf.DUMMYFUNCTION("""COMPUTED_VALUE"""),6.0)</f>
        <v>6</v>
      </c>
      <c r="G109" s="51">
        <f>IFERROR(__xludf.DUMMYFUNCTION("""COMPUTED_VALUE"""),0.0)</f>
        <v>0</v>
      </c>
      <c r="H109" s="51">
        <f>IFERROR(__xludf.DUMMYFUNCTION("""COMPUTED_VALUE"""),4.0)</f>
        <v>4</v>
      </c>
      <c r="I109" s="51">
        <f>IFERROR(__xludf.DUMMYFUNCTION("""COMPUTED_VALUE"""),6.0)</f>
        <v>6</v>
      </c>
      <c r="J109" s="51">
        <f>IFERROR(__xludf.DUMMYFUNCTION("""COMPUTED_VALUE"""),2.0)</f>
        <v>2</v>
      </c>
      <c r="K109" s="51">
        <f>IFERROR(__xludf.DUMMYFUNCTION("""COMPUTED_VALUE"""),12.0)</f>
        <v>12</v>
      </c>
      <c r="L109" s="51">
        <f>IFERROR(__xludf.DUMMYFUNCTION("""COMPUTED_VALUE"""),1.0)</f>
        <v>1</v>
      </c>
      <c r="M109" s="51">
        <f>IFERROR(__xludf.DUMMYFUNCTION("""COMPUTED_VALUE"""),175.0)</f>
        <v>175</v>
      </c>
      <c r="N109" s="52">
        <f>IFERROR(__xludf.DUMMYFUNCTION("""COMPUTED_VALUE"""),12.0)</f>
        <v>12</v>
      </c>
    </row>
    <row r="110">
      <c r="A110" s="1"/>
      <c r="B110" s="53" t="str">
        <f>IFERROR(__xludf.DUMMYFUNCTION("""COMPUTED_VALUE"""),"Amit Patel")</f>
        <v>Amit Patel</v>
      </c>
      <c r="C110" s="54">
        <f>IFERROR(__xludf.DUMMYFUNCTION("""COMPUTED_VALUE"""),157.0)</f>
        <v>157</v>
      </c>
      <c r="D110" s="55">
        <f>IFERROR(__xludf.DUMMYFUNCTION("""COMPUTED_VALUE"""),2.0)</f>
        <v>2</v>
      </c>
      <c r="E110" s="54">
        <f>IFERROR(__xludf.DUMMYFUNCTION("""COMPUTED_VALUE"""),1.0)</f>
        <v>1</v>
      </c>
      <c r="F110" s="56">
        <f>IFERROR(__xludf.DUMMYFUNCTION("""COMPUTED_VALUE"""),7.0)</f>
        <v>7</v>
      </c>
      <c r="G110" s="56">
        <f>IFERROR(__xludf.DUMMYFUNCTION("""COMPUTED_VALUE"""),0.0)</f>
        <v>0</v>
      </c>
      <c r="H110" s="56">
        <f>IFERROR(__xludf.DUMMYFUNCTION("""COMPUTED_VALUE"""),0.0)</f>
        <v>0</v>
      </c>
      <c r="I110" s="56">
        <f>IFERROR(__xludf.DUMMYFUNCTION("""COMPUTED_VALUE"""),2.0)</f>
        <v>2</v>
      </c>
      <c r="J110" s="56">
        <f>IFERROR(__xludf.DUMMYFUNCTION("""COMPUTED_VALUE"""),6.0)</f>
        <v>6</v>
      </c>
      <c r="K110" s="56">
        <f>IFERROR(__xludf.DUMMYFUNCTION("""COMPUTED_VALUE"""),8.0)</f>
        <v>8</v>
      </c>
      <c r="L110" s="56">
        <f>IFERROR(__xludf.DUMMYFUNCTION("""COMPUTED_VALUE"""),1.0)</f>
        <v>1</v>
      </c>
      <c r="M110" s="56">
        <f>IFERROR(__xludf.DUMMYFUNCTION("""COMPUTED_VALUE"""),165.0)</f>
        <v>165</v>
      </c>
      <c r="N110" s="57">
        <f>IFERROR(__xludf.DUMMYFUNCTION("""COMPUTED_VALUE"""),3.0)</f>
        <v>3</v>
      </c>
    </row>
    <row r="111">
      <c r="A111" s="1"/>
      <c r="B111" s="53" t="str">
        <f>IFERROR(__xludf.DUMMYFUNCTION("""COMPUTED_VALUE"""),"Kevin Wang")</f>
        <v>Kevin Wang</v>
      </c>
      <c r="C111" s="54">
        <f>IFERROR(__xludf.DUMMYFUNCTION("""COMPUTED_VALUE"""),152.0)</f>
        <v>152</v>
      </c>
      <c r="D111" s="55">
        <f>IFERROR(__xludf.DUMMYFUNCTION("""COMPUTED_VALUE"""),10.0)</f>
        <v>10</v>
      </c>
      <c r="E111" s="54">
        <f>IFERROR(__xludf.DUMMYFUNCTION("""COMPUTED_VALUE"""),1.0)</f>
        <v>1</v>
      </c>
      <c r="F111" s="56">
        <f>IFERROR(__xludf.DUMMYFUNCTION("""COMPUTED_VALUE"""),7.0)</f>
        <v>7</v>
      </c>
      <c r="G111" s="56">
        <f>IFERROR(__xludf.DUMMYFUNCTION("""COMPUTED_VALUE"""),0.0)</f>
        <v>0</v>
      </c>
      <c r="H111" s="56">
        <f>IFERROR(__xludf.DUMMYFUNCTION("""COMPUTED_VALUE"""),6.0)</f>
        <v>6</v>
      </c>
      <c r="I111" s="56">
        <f>IFERROR(__xludf.DUMMYFUNCTION("""COMPUTED_VALUE"""),2.0)</f>
        <v>2</v>
      </c>
      <c r="J111" s="56">
        <f>IFERROR(__xludf.DUMMYFUNCTION("""COMPUTED_VALUE"""),1.0)</f>
        <v>1</v>
      </c>
      <c r="K111" s="56">
        <f>IFERROR(__xludf.DUMMYFUNCTION("""COMPUTED_VALUE"""),9.0)</f>
        <v>9</v>
      </c>
      <c r="L111" s="56">
        <f>IFERROR(__xludf.DUMMYFUNCTION("""COMPUTED_VALUE"""),1.0)</f>
        <v>1</v>
      </c>
      <c r="M111" s="56">
        <f>IFERROR(__xludf.DUMMYFUNCTION("""COMPUTED_VALUE"""),161.0)</f>
        <v>161</v>
      </c>
      <c r="N111" s="57">
        <f>IFERROR(__xludf.DUMMYFUNCTION("""COMPUTED_VALUE"""),11.0)</f>
        <v>11</v>
      </c>
    </row>
    <row r="112">
      <c r="A112" s="1"/>
      <c r="B112" s="53"/>
      <c r="C112" s="59"/>
      <c r="D112" s="59"/>
      <c r="E112" s="59"/>
      <c r="F112" s="53"/>
      <c r="G112" s="53"/>
      <c r="H112" s="53"/>
      <c r="I112" s="53"/>
      <c r="J112" s="53"/>
      <c r="K112" s="53"/>
      <c r="L112" s="53"/>
      <c r="M112" s="53"/>
      <c r="N112" s="53"/>
    </row>
    <row r="113">
      <c r="A113" s="1"/>
      <c r="B113" s="53"/>
      <c r="C113" s="59"/>
      <c r="D113" s="59"/>
      <c r="E113" s="59"/>
      <c r="F113" s="53"/>
      <c r="G113" s="53"/>
      <c r="H113" s="53"/>
      <c r="I113" s="53"/>
      <c r="J113" s="53"/>
      <c r="K113" s="53"/>
      <c r="L113" s="53"/>
      <c r="M113" s="53"/>
      <c r="N113" s="53"/>
    </row>
    <row r="114">
      <c r="A114" s="1"/>
      <c r="B114" s="48"/>
      <c r="C114" s="60"/>
      <c r="D114" s="60"/>
      <c r="E114" s="60"/>
      <c r="F114" s="48"/>
      <c r="G114" s="48"/>
      <c r="H114" s="48"/>
      <c r="I114" s="48"/>
      <c r="J114" s="48"/>
      <c r="K114" s="48"/>
      <c r="L114" s="48"/>
      <c r="M114" s="48"/>
      <c r="N114" s="48"/>
    </row>
    <row r="115">
      <c r="A115" s="1"/>
      <c r="B115" s="48"/>
      <c r="C115" s="60"/>
      <c r="D115" s="60"/>
      <c r="E115" s="60"/>
      <c r="F115" s="48"/>
      <c r="G115" s="48"/>
      <c r="H115" s="48"/>
      <c r="I115" s="48"/>
      <c r="J115" s="48"/>
      <c r="K115" s="48"/>
      <c r="L115" s="48"/>
      <c r="M115" s="48"/>
      <c r="N115" s="48"/>
    </row>
    <row r="116">
      <c r="A116" s="1"/>
      <c r="B116" s="48"/>
      <c r="C116" s="60"/>
      <c r="D116" s="60"/>
      <c r="E116" s="60"/>
      <c r="F116" s="48"/>
      <c r="G116" s="48"/>
      <c r="H116" s="48"/>
      <c r="I116" s="48"/>
      <c r="J116" s="48"/>
      <c r="K116" s="48"/>
      <c r="L116" s="48"/>
      <c r="M116" s="48"/>
      <c r="N116" s="48"/>
    </row>
    <row r="117">
      <c r="A117" s="1"/>
      <c r="B117" s="48"/>
      <c r="C117" s="60"/>
      <c r="D117" s="60"/>
      <c r="E117" s="60"/>
      <c r="F117" s="48"/>
      <c r="G117" s="48"/>
      <c r="H117" s="48"/>
      <c r="I117" s="48"/>
      <c r="J117" s="48"/>
      <c r="K117" s="48"/>
      <c r="L117" s="48"/>
      <c r="M117" s="48"/>
      <c r="N117" s="48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B121" s="53"/>
      <c r="C121" s="59"/>
      <c r="D121" s="59"/>
      <c r="E121" s="59"/>
      <c r="F121" s="53"/>
      <c r="G121" s="53"/>
      <c r="H121" s="53"/>
      <c r="I121" s="53"/>
      <c r="J121" s="53"/>
      <c r="K121" s="53"/>
      <c r="L121" s="53"/>
      <c r="M121" s="53"/>
      <c r="N121" s="53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B133" s="20" t="s">
        <v>25</v>
      </c>
      <c r="C133" s="21" t="s">
        <v>8</v>
      </c>
      <c r="D133" s="21" t="s">
        <v>14</v>
      </c>
      <c r="E133" s="21" t="s">
        <v>26</v>
      </c>
      <c r="F133" s="21" t="s">
        <v>27</v>
      </c>
      <c r="G133" s="21" t="s">
        <v>28</v>
      </c>
      <c r="H133" s="21" t="s">
        <v>17</v>
      </c>
      <c r="I133" s="21" t="s">
        <v>18</v>
      </c>
      <c r="J133" s="21" t="s">
        <v>19</v>
      </c>
      <c r="K133" s="21" t="s">
        <v>8</v>
      </c>
      <c r="L133" s="21" t="s">
        <v>14</v>
      </c>
      <c r="M133" s="22" t="s">
        <v>8</v>
      </c>
      <c r="N133" s="22" t="s">
        <v>14</v>
      </c>
    </row>
    <row r="134">
      <c r="A134" s="1"/>
      <c r="B134" s="48" t="str">
        <f>IFERROR(__xludf.DUMMYFUNCTION("QUERY(B5:N67, ""Select B, C, D, E, F, G, H, I, J, K, L, M, N   where F = 0"")"),"Peter Homsey")</f>
        <v>Peter Homsey</v>
      </c>
      <c r="C134" s="49">
        <f>IFERROR(__xludf.DUMMYFUNCTION("""COMPUTED_VALUE"""),220.0)</f>
        <v>220</v>
      </c>
      <c r="D134" s="50">
        <f>IFERROR(__xludf.DUMMYFUNCTION("""COMPUTED_VALUE"""),20.0)</f>
        <v>20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IFERROR(__xludf.DUMMYFUNCTION("""COMPUTED_VALUE"""),229.0)</f>
        <v>229</v>
      </c>
      <c r="N134" s="52">
        <f>IFERROR(__xludf.DUMMYFUNCTION("""COMPUTED_VALUE"""),20.0)</f>
        <v>20</v>
      </c>
    </row>
    <row r="135">
      <c r="A135" s="1"/>
      <c r="B135" s="48" t="str">
        <f>IFERROR(__xludf.DUMMYFUNCTION("""COMPUTED_VALUE"""),"Pulkit Mathur")</f>
        <v>Pulkit Mathur</v>
      </c>
      <c r="C135" s="49">
        <f>IFERROR(__xludf.DUMMYFUNCTION("""COMPUTED_VALUE"""),218.0)</f>
        <v>218</v>
      </c>
      <c r="D135" s="50">
        <f>IFERROR(__xludf.DUMMYFUNCTION("""COMPUTED_VALUE"""),20.0)</f>
        <v>20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IFERROR(__xludf.DUMMYFUNCTION("""COMPUTED_VALUE"""),227.0)</f>
        <v>227</v>
      </c>
      <c r="N135" s="52">
        <f>IFERROR(__xludf.DUMMYFUNCTION("""COMPUTED_VALUE"""),20.0)</f>
        <v>20</v>
      </c>
    </row>
    <row r="136">
      <c r="A136" s="1"/>
      <c r="B136" s="48" t="str">
        <f>IFERROR(__xludf.DUMMYFUNCTION("""COMPUTED_VALUE"""),"Matthew Huang")</f>
        <v>Matthew Huang</v>
      </c>
      <c r="C136" s="49">
        <f>IFERROR(__xludf.DUMMYFUNCTION("""COMPUTED_VALUE"""),215.0)</f>
        <v>215</v>
      </c>
      <c r="D136" s="50">
        <f>IFERROR(__xludf.DUMMYFUNCTION("""COMPUTED_VALUE"""),17.0)</f>
        <v>17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IFERROR(__xludf.DUMMYFUNCTION("""COMPUTED_VALUE"""),224.0)</f>
        <v>224</v>
      </c>
      <c r="N136" s="52">
        <f>IFERROR(__xludf.DUMMYFUNCTION("""COMPUTED_VALUE"""),17.0)</f>
        <v>17</v>
      </c>
    </row>
    <row r="137">
      <c r="A137" s="1"/>
      <c r="B137" s="48" t="str">
        <f>IFERROR(__xludf.DUMMYFUNCTION("""COMPUTED_VALUE"""),"Anish Kumar")</f>
        <v>Anish Kumar</v>
      </c>
      <c r="C137" s="49">
        <f>IFERROR(__xludf.DUMMYFUNCTION("""COMPUTED_VALUE"""),209.0)</f>
        <v>209</v>
      </c>
      <c r="D137" s="50">
        <f>IFERROR(__xludf.DUMMYFUNCTION("""COMPUTED_VALUE"""),17.0)</f>
        <v>17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IFERROR(__xludf.DUMMYFUNCTION("""COMPUTED_VALUE"""),218.0)</f>
        <v>218</v>
      </c>
      <c r="N137" s="52">
        <f>IFERROR(__xludf.DUMMYFUNCTION("""COMPUTED_VALUE"""),17.0)</f>
        <v>17</v>
      </c>
    </row>
    <row r="138">
      <c r="A138" s="1"/>
      <c r="B138" s="48" t="str">
        <f>IFERROR(__xludf.DUMMYFUNCTION("""COMPUTED_VALUE"""),"Chinna Ponnaganti")</f>
        <v>Chinna Ponnaganti</v>
      </c>
      <c r="C138" s="49">
        <f>IFERROR(__xludf.DUMMYFUNCTION("""COMPUTED_VALUE"""),208.0)</f>
        <v>208</v>
      </c>
      <c r="D138" s="50">
        <f>IFERROR(__xludf.DUMMYFUNCTION("""COMPUTED_VALUE"""),21.0)</f>
        <v>21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IFERROR(__xludf.DUMMYFUNCTION("""COMPUTED_VALUE"""),217.0)</f>
        <v>217</v>
      </c>
      <c r="N138" s="52">
        <f>IFERROR(__xludf.DUMMYFUNCTION("""COMPUTED_VALUE"""),21.0)</f>
        <v>21</v>
      </c>
    </row>
    <row r="139">
      <c r="A139" s="1"/>
      <c r="B139" s="48" t="str">
        <f>IFERROR(__xludf.DUMMYFUNCTION("""COMPUTED_VALUE"""),"Eric Pan")</f>
        <v>Eric Pan</v>
      </c>
      <c r="C139" s="49">
        <f>IFERROR(__xludf.DUMMYFUNCTION("""COMPUTED_VALUE"""),206.0)</f>
        <v>206</v>
      </c>
      <c r="D139" s="50">
        <f>IFERROR(__xludf.DUMMYFUNCTION("""COMPUTED_VALUE"""),16.0)</f>
        <v>16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IFERROR(__xludf.DUMMYFUNCTION("""COMPUTED_VALUE"""),215.0)</f>
        <v>215</v>
      </c>
      <c r="N139" s="52">
        <f>IFERROR(__xludf.DUMMYFUNCTION("""COMPUTED_VALUE"""),16.0)</f>
        <v>16</v>
      </c>
    </row>
    <row r="140">
      <c r="A140" s="1"/>
      <c r="B140" s="48" t="str">
        <f>IFERROR(__xludf.DUMMYFUNCTION("""COMPUTED_VALUE"""),"Rajasekar Ramasamy")</f>
        <v>Rajasekar Ramasamy</v>
      </c>
      <c r="C140" s="49">
        <f>IFERROR(__xludf.DUMMYFUNCTION("""COMPUTED_VALUE"""),204.0)</f>
        <v>204</v>
      </c>
      <c r="D140" s="50">
        <f>IFERROR(__xludf.DUMMYFUNCTION("""COMPUTED_VALUE"""),20.0)</f>
        <v>20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IFERROR(__xludf.DUMMYFUNCTION("""COMPUTED_VALUE"""),213.0)</f>
        <v>213</v>
      </c>
      <c r="N140" s="52">
        <f>IFERROR(__xludf.DUMMYFUNCTION("""COMPUTED_VALUE"""),20.0)</f>
        <v>20</v>
      </c>
    </row>
    <row r="141">
      <c r="A141" s="1"/>
      <c r="B141" s="48" t="str">
        <f>IFERROR(__xludf.DUMMYFUNCTION("""COMPUTED_VALUE"""),"Oscar Bonilla")</f>
        <v>Oscar Bonilla</v>
      </c>
      <c r="C141" s="49">
        <f>IFERROR(__xludf.DUMMYFUNCTION("""COMPUTED_VALUE"""),204.0)</f>
        <v>204</v>
      </c>
      <c r="D141" s="50">
        <f>IFERROR(__xludf.DUMMYFUNCTION("""COMPUTED_VALUE"""),17.0)</f>
        <v>17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IFERROR(__xludf.DUMMYFUNCTION("""COMPUTED_VALUE"""),213.0)</f>
        <v>213</v>
      </c>
      <c r="N141" s="52">
        <f>IFERROR(__xludf.DUMMYFUNCTION("""COMPUTED_VALUE"""),17.0)</f>
        <v>17</v>
      </c>
    </row>
    <row r="142">
      <c r="A142" s="1"/>
      <c r="B142" s="48" t="str">
        <f>IFERROR(__xludf.DUMMYFUNCTION("""COMPUTED_VALUE"""),"Sean Chang")</f>
        <v>Sean Chang</v>
      </c>
      <c r="C142" s="49">
        <f>IFERROR(__xludf.DUMMYFUNCTION("""COMPUTED_VALUE"""),204.0)</f>
        <v>204</v>
      </c>
      <c r="D142" s="50">
        <f>IFERROR(__xludf.DUMMYFUNCTION("""COMPUTED_VALUE"""),15.0)</f>
        <v>15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IFERROR(__xludf.DUMMYFUNCTION("""COMPUTED_VALUE"""),213.0)</f>
        <v>213</v>
      </c>
      <c r="N142" s="52">
        <f>IFERROR(__xludf.DUMMYFUNCTION("""COMPUTED_VALUE"""),15.0)</f>
        <v>15</v>
      </c>
    </row>
    <row r="143">
      <c r="A143" s="1"/>
      <c r="B143" s="48" t="str">
        <f>IFERROR(__xludf.DUMMYFUNCTION("""COMPUTED_VALUE"""),"Jonathan Phan")</f>
        <v>Jonathan Phan</v>
      </c>
      <c r="C143" s="49">
        <f>IFERROR(__xludf.DUMMYFUNCTION("""COMPUTED_VALUE"""),203.0)</f>
        <v>203</v>
      </c>
      <c r="D143" s="50">
        <f>IFERROR(__xludf.DUMMYFUNCTION("""COMPUTED_VALUE"""),17.0)</f>
        <v>17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IFERROR(__xludf.DUMMYFUNCTION("""COMPUTED_VALUE"""),212.0)</f>
        <v>212</v>
      </c>
      <c r="N143" s="52">
        <f>IFERROR(__xludf.DUMMYFUNCTION("""COMPUTED_VALUE"""),17.0)</f>
        <v>17</v>
      </c>
    </row>
    <row r="144">
      <c r="A144" s="1"/>
      <c r="B144" s="48" t="str">
        <f>IFERROR(__xludf.DUMMYFUNCTION("""COMPUTED_VALUE"""),"David Shin")</f>
        <v>David Shin</v>
      </c>
      <c r="C144" s="49">
        <f>IFERROR(__xludf.DUMMYFUNCTION("""COMPUTED_VALUE"""),203.0)</f>
        <v>203</v>
      </c>
      <c r="D144" s="50">
        <f>IFERROR(__xludf.DUMMYFUNCTION("""COMPUTED_VALUE"""),16.0)</f>
        <v>16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IFERROR(__xludf.DUMMYFUNCTION("""COMPUTED_VALUE"""),212.0)</f>
        <v>212</v>
      </c>
      <c r="N144" s="52">
        <f>IFERROR(__xludf.DUMMYFUNCTION("""COMPUTED_VALUE"""),16.0)</f>
        <v>16</v>
      </c>
    </row>
    <row r="145">
      <c r="A145" s="1"/>
      <c r="B145" s="48" t="str">
        <f>IFERROR(__xludf.DUMMYFUNCTION("""COMPUTED_VALUE"""),"Tom Le")</f>
        <v>Tom Le</v>
      </c>
      <c r="C145" s="49">
        <f>IFERROR(__xludf.DUMMYFUNCTION("""COMPUTED_VALUE"""),203.0)</f>
        <v>203</v>
      </c>
      <c r="D145" s="50">
        <f>IFERROR(__xludf.DUMMYFUNCTION("""COMPUTED_VALUE"""),13.0)</f>
        <v>13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IFERROR(__xludf.DUMMYFUNCTION("""COMPUTED_VALUE"""),212.0)</f>
        <v>212</v>
      </c>
      <c r="N145" s="52">
        <f>IFERROR(__xludf.DUMMYFUNCTION("""COMPUTED_VALUE"""),13.0)</f>
        <v>13</v>
      </c>
    </row>
    <row r="146">
      <c r="A146" s="1"/>
      <c r="B146" s="48" t="str">
        <f>IFERROR(__xludf.DUMMYFUNCTION("""COMPUTED_VALUE"""),"Sai Dilip Ponnaganti")</f>
        <v>Sai Dilip Ponnaganti</v>
      </c>
      <c r="C146" s="49">
        <f>IFERROR(__xludf.DUMMYFUNCTION("""COMPUTED_VALUE"""),199.0)</f>
        <v>199</v>
      </c>
      <c r="D146" s="50">
        <f>IFERROR(__xludf.DUMMYFUNCTION("""COMPUTED_VALUE"""),13.0)</f>
        <v>13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IFERROR(__xludf.DUMMYFUNCTION("""COMPUTED_VALUE"""),208.0)</f>
        <v>208</v>
      </c>
      <c r="N146" s="52">
        <f>IFERROR(__xludf.DUMMYFUNCTION("""COMPUTED_VALUE"""),13.0)</f>
        <v>13</v>
      </c>
    </row>
    <row r="147">
      <c r="A147" s="1"/>
      <c r="B147" s="48" t="str">
        <f>IFERROR(__xludf.DUMMYFUNCTION("""COMPUTED_VALUE"""),"Rosie Bonilla")</f>
        <v>Rosie Bonilla</v>
      </c>
      <c r="C147" s="49">
        <f>IFERROR(__xludf.DUMMYFUNCTION("""COMPUTED_VALUE"""),193.0)</f>
        <v>193</v>
      </c>
      <c r="D147" s="50">
        <f>IFERROR(__xludf.DUMMYFUNCTION("""COMPUTED_VALUE"""),14.0)</f>
        <v>14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IFERROR(__xludf.DUMMYFUNCTION("""COMPUTED_VALUE"""),202.0)</f>
        <v>202</v>
      </c>
      <c r="N147" s="52">
        <f>IFERROR(__xludf.DUMMYFUNCTION("""COMPUTED_VALUE"""),14.0)</f>
        <v>14</v>
      </c>
    </row>
    <row r="148">
      <c r="A148" s="1"/>
      <c r="B148" s="48" t="str">
        <f>IFERROR(__xludf.DUMMYFUNCTION("""COMPUTED_VALUE"""),"Troy Wong")</f>
        <v>Troy Wong</v>
      </c>
      <c r="C148" s="49">
        <f>IFERROR(__xludf.DUMMYFUNCTION("""COMPUTED_VALUE"""),189.0)</f>
        <v>189</v>
      </c>
      <c r="D148" s="50">
        <f>IFERROR(__xludf.DUMMYFUNCTION("""COMPUTED_VALUE"""),10.0)</f>
        <v>10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IFERROR(__xludf.DUMMYFUNCTION("""COMPUTED_VALUE"""),198.0)</f>
        <v>198</v>
      </c>
      <c r="N148" s="52">
        <f>IFERROR(__xludf.DUMMYFUNCTION("""COMPUTED_VALUE"""),10.0)</f>
        <v>10</v>
      </c>
    </row>
    <row r="149">
      <c r="A149" s="1"/>
      <c r="B149" s="48" t="str">
        <f>IFERROR(__xludf.DUMMYFUNCTION("""COMPUTED_VALUE"""),"Sanjaye Elayattu")</f>
        <v>Sanjaye Elayattu</v>
      </c>
      <c r="C149" s="49">
        <f>IFERROR(__xludf.DUMMYFUNCTION("""COMPUTED_VALUE"""),187.0)</f>
        <v>187</v>
      </c>
      <c r="D149" s="50">
        <f>IFERROR(__xludf.DUMMYFUNCTION("""COMPUTED_VALUE"""),8.0)</f>
        <v>8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IFERROR(__xludf.DUMMYFUNCTION("""COMPUTED_VALUE"""),196.0)</f>
        <v>196</v>
      </c>
      <c r="N149" s="52">
        <f>IFERROR(__xludf.DUMMYFUNCTION("""COMPUTED_VALUE"""),8.0)</f>
        <v>8</v>
      </c>
    </row>
    <row r="150">
      <c r="A150" s="1"/>
      <c r="B150" s="48" t="str">
        <f>IFERROR(__xludf.DUMMYFUNCTION("""COMPUTED_VALUE"""),"Naveen Raj")</f>
        <v>Naveen Raj</v>
      </c>
      <c r="C150" s="49">
        <f>IFERROR(__xludf.DUMMYFUNCTION("""COMPUTED_VALUE"""),186.0)</f>
        <v>186</v>
      </c>
      <c r="D150" s="50">
        <f>IFERROR(__xludf.DUMMYFUNCTION("""COMPUTED_VALUE"""),12.0)</f>
        <v>12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IFERROR(__xludf.DUMMYFUNCTION("""COMPUTED_VALUE"""),195.0)</f>
        <v>195</v>
      </c>
      <c r="N150" s="52">
        <f>IFERROR(__xludf.DUMMYFUNCTION("""COMPUTED_VALUE"""),12.0)</f>
        <v>12</v>
      </c>
    </row>
    <row r="151">
      <c r="A151" s="1"/>
      <c r="B151" s="48" t="str">
        <f>IFERROR(__xludf.DUMMYFUNCTION("""COMPUTED_VALUE"""),"Susanta Mishra")</f>
        <v>Susanta Mishra</v>
      </c>
      <c r="C151" s="49">
        <f>IFERROR(__xludf.DUMMYFUNCTION("""COMPUTED_VALUE"""),186.0)</f>
        <v>186</v>
      </c>
      <c r="D151" s="50">
        <f>IFERROR(__xludf.DUMMYFUNCTION("""COMPUTED_VALUE"""),11.0)</f>
        <v>11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IFERROR(__xludf.DUMMYFUNCTION("""COMPUTED_VALUE"""),195.0)</f>
        <v>195</v>
      </c>
      <c r="N151" s="52">
        <f>IFERROR(__xludf.DUMMYFUNCTION("""COMPUTED_VALUE"""),11.0)</f>
        <v>11</v>
      </c>
    </row>
    <row r="152">
      <c r="A152" s="1"/>
      <c r="B152" s="48" t="str">
        <f>IFERROR(__xludf.DUMMYFUNCTION("""COMPUTED_VALUE"""),"Derek Fu")</f>
        <v>Derek Fu</v>
      </c>
      <c r="C152" s="49">
        <f>IFERROR(__xludf.DUMMYFUNCTION("""COMPUTED_VALUE"""),186.0)</f>
        <v>186</v>
      </c>
      <c r="D152" s="50">
        <f>IFERROR(__xludf.DUMMYFUNCTION("""COMPUTED_VALUE"""),10.0)</f>
        <v>10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IFERROR(__xludf.DUMMYFUNCTION("""COMPUTED_VALUE"""),195.0)</f>
        <v>195</v>
      </c>
      <c r="N152" s="52">
        <f>IFERROR(__xludf.DUMMYFUNCTION("""COMPUTED_VALUE"""),10.0)</f>
        <v>10</v>
      </c>
    </row>
    <row r="153">
      <c r="A153" s="1"/>
      <c r="B153" s="48" t="str">
        <f>IFERROR(__xludf.DUMMYFUNCTION("""COMPUTED_VALUE"""),"Manuel Rivera")</f>
        <v>Manuel Rivera</v>
      </c>
      <c r="C153" s="49">
        <f>IFERROR(__xludf.DUMMYFUNCTION("""COMPUTED_VALUE"""),185.0)</f>
        <v>185</v>
      </c>
      <c r="D153" s="50">
        <f>IFERROR(__xludf.DUMMYFUNCTION("""COMPUTED_VALUE"""),15.0)</f>
        <v>15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IFERROR(__xludf.DUMMYFUNCTION("""COMPUTED_VALUE"""),194.0)</f>
        <v>194</v>
      </c>
      <c r="N153" s="52">
        <f>IFERROR(__xludf.DUMMYFUNCTION("""COMPUTED_VALUE"""),15.0)</f>
        <v>15</v>
      </c>
    </row>
    <row r="154">
      <c r="A154" s="1"/>
      <c r="B154" s="48" t="str">
        <f>IFERROR(__xludf.DUMMYFUNCTION("""COMPUTED_VALUE"""),"Paul Sanchez")</f>
        <v>Paul Sanchez</v>
      </c>
      <c r="C154" s="49">
        <f>IFERROR(__xludf.DUMMYFUNCTION("""COMPUTED_VALUE"""),180.0)</f>
        <v>180</v>
      </c>
      <c r="D154" s="50">
        <f>IFERROR(__xludf.DUMMYFUNCTION("""COMPUTED_VALUE"""),9.0)</f>
        <v>9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IFERROR(__xludf.DUMMYFUNCTION("""COMPUTED_VALUE"""),189.0)</f>
        <v>189</v>
      </c>
      <c r="N154" s="52">
        <f>IFERROR(__xludf.DUMMYFUNCTION("""COMPUTED_VALUE"""),9.0)</f>
        <v>9</v>
      </c>
    </row>
    <row r="155">
      <c r="A155" s="1"/>
      <c r="B155" s="48" t="str">
        <f>IFERROR(__xludf.DUMMYFUNCTION("""COMPUTED_VALUE"""),"James Cole III")</f>
        <v>James Cole III</v>
      </c>
      <c r="C155" s="49">
        <f>IFERROR(__xludf.DUMMYFUNCTION("""COMPUTED_VALUE"""),175.0)</f>
        <v>175</v>
      </c>
      <c r="D155" s="50">
        <f>IFERROR(__xludf.DUMMYFUNCTION("""COMPUTED_VALUE"""),8.0)</f>
        <v>8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IFERROR(__xludf.DUMMYFUNCTION("""COMPUTED_VALUE"""),184.0)</f>
        <v>184</v>
      </c>
      <c r="N155" s="52">
        <f>IFERROR(__xludf.DUMMYFUNCTION("""COMPUTED_VALUE"""),8.0)</f>
        <v>8</v>
      </c>
    </row>
    <row r="156">
      <c r="A156" s="1"/>
      <c r="B156" s="48" t="str">
        <f>IFERROR(__xludf.DUMMYFUNCTION("""COMPUTED_VALUE"""),"Vamsi Lolla ")</f>
        <v>Vamsi Lolla </v>
      </c>
      <c r="C156" s="49">
        <f>IFERROR(__xludf.DUMMYFUNCTION("""COMPUTED_VALUE"""),173.0)</f>
        <v>173</v>
      </c>
      <c r="D156" s="50">
        <f>IFERROR(__xludf.DUMMYFUNCTION("""COMPUTED_VALUE"""),8.0)</f>
        <v>8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IFERROR(__xludf.DUMMYFUNCTION("""COMPUTED_VALUE"""),182.0)</f>
        <v>182</v>
      </c>
      <c r="N156" s="52">
        <f>IFERROR(__xludf.DUMMYFUNCTION("""COMPUTED_VALUE"""),8.0)</f>
        <v>8</v>
      </c>
    </row>
    <row r="157">
      <c r="A157" s="1"/>
      <c r="B157" s="48" t="str">
        <f>IFERROR(__xludf.DUMMYFUNCTION("""COMPUTED_VALUE"""),"Pan Lee")</f>
        <v>Pan Lee</v>
      </c>
      <c r="C157" s="49">
        <f>IFERROR(__xludf.DUMMYFUNCTION("""COMPUTED_VALUE"""),167.0)</f>
        <v>167</v>
      </c>
      <c r="D157" s="50">
        <f>IFERROR(__xludf.DUMMYFUNCTION("""COMPUTED_VALUE"""),5.0)</f>
        <v>5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IFERROR(__xludf.DUMMYFUNCTION("""COMPUTED_VALUE"""),176.0)</f>
        <v>176</v>
      </c>
      <c r="N157" s="52">
        <f>IFERROR(__xludf.DUMMYFUNCTION("""COMPUTED_VALUE"""),5.0)</f>
        <v>5</v>
      </c>
    </row>
    <row r="158">
      <c r="A158" s="1"/>
      <c r="B158" s="48" t="str">
        <f>IFERROR(__xludf.DUMMYFUNCTION("""COMPUTED_VALUE"""),"Balaji Alahari")</f>
        <v>Balaji Alahari</v>
      </c>
      <c r="C158" s="49">
        <f>IFERROR(__xludf.DUMMYFUNCTION("""COMPUTED_VALUE"""),165.0)</f>
        <v>165</v>
      </c>
      <c r="D158" s="50">
        <f>IFERROR(__xludf.DUMMYFUNCTION("""COMPUTED_VALUE"""),4.0)</f>
        <v>4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IFERROR(__xludf.DUMMYFUNCTION("""COMPUTED_VALUE"""),174.0)</f>
        <v>174</v>
      </c>
      <c r="N158" s="52">
        <f>IFERROR(__xludf.DUMMYFUNCTION("""COMPUTED_VALUE"""),4.0)</f>
        <v>4</v>
      </c>
    </row>
    <row r="159">
      <c r="A159" s="1"/>
      <c r="B159" s="48" t="str">
        <f>IFERROR(__xludf.DUMMYFUNCTION("""COMPUTED_VALUE"""),"Lauren Chang")</f>
        <v>Lauren Chang</v>
      </c>
      <c r="C159" s="49">
        <f>IFERROR(__xludf.DUMMYFUNCTION("""COMPUTED_VALUE"""),165.0)</f>
        <v>165</v>
      </c>
      <c r="D159" s="50">
        <f>IFERROR(__xludf.DUMMYFUNCTION("""COMPUTED_VALUE"""),4.0)</f>
        <v>4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IFERROR(__xludf.DUMMYFUNCTION("""COMPUTED_VALUE"""),174.0)</f>
        <v>174</v>
      </c>
      <c r="N159" s="52">
        <f>IFERROR(__xludf.DUMMYFUNCTION("""COMPUTED_VALUE"""),4.0)</f>
        <v>4</v>
      </c>
    </row>
    <row r="160">
      <c r="A160" s="1"/>
      <c r="B160" s="48" t="str">
        <f>IFERROR(__xludf.DUMMYFUNCTION("""COMPUTED_VALUE"""),"Vilas Janardhanan")</f>
        <v>Vilas Janardhanan</v>
      </c>
      <c r="C160" s="49">
        <f>IFERROR(__xludf.DUMMYFUNCTION("""COMPUTED_VALUE"""),162.0)</f>
        <v>162</v>
      </c>
      <c r="D160" s="50">
        <f>IFERROR(__xludf.DUMMYFUNCTION("""COMPUTED_VALUE"""),7.0)</f>
        <v>7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IFERROR(__xludf.DUMMYFUNCTION("""COMPUTED_VALUE"""),171.0)</f>
        <v>171</v>
      </c>
      <c r="N160" s="52">
        <f>IFERROR(__xludf.DUMMYFUNCTION("""COMPUTED_VALUE"""),7.0)</f>
        <v>7</v>
      </c>
    </row>
    <row r="161">
      <c r="A161" s="1"/>
      <c r="B161" s="48" t="str">
        <f>IFERROR(__xludf.DUMMYFUNCTION("""COMPUTED_VALUE"""),"Piyorasa Li")</f>
        <v>Piyorasa Li</v>
      </c>
      <c r="C161" s="49">
        <f>IFERROR(__xludf.DUMMYFUNCTION("""COMPUTED_VALUE"""),162.0)</f>
        <v>162</v>
      </c>
      <c r="D161" s="50">
        <f>IFERROR(__xludf.DUMMYFUNCTION("""COMPUTED_VALUE"""),3.0)</f>
        <v>3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IFERROR(__xludf.DUMMYFUNCTION("""COMPUTED_VALUE"""),171.0)</f>
        <v>171</v>
      </c>
      <c r="N161" s="52">
        <f>IFERROR(__xludf.DUMMYFUNCTION("""COMPUTED_VALUE"""),3.0)</f>
        <v>3</v>
      </c>
    </row>
    <row r="162">
      <c r="A162" s="1"/>
      <c r="B162" s="48" t="str">
        <f>IFERROR(__xludf.DUMMYFUNCTION("""COMPUTED_VALUE"""),"Jason Kim ")</f>
        <v>Jason Kim </v>
      </c>
      <c r="C162" s="49">
        <f>IFERROR(__xludf.DUMMYFUNCTION("""COMPUTED_VALUE"""),162.0)</f>
        <v>162</v>
      </c>
      <c r="D162" s="50">
        <f>IFERROR(__xludf.DUMMYFUNCTION("""COMPUTED_VALUE"""),3.0)</f>
        <v>3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IFERROR(__xludf.DUMMYFUNCTION("""COMPUTED_VALUE"""),171.0)</f>
        <v>171</v>
      </c>
      <c r="N162" s="52">
        <f>IFERROR(__xludf.DUMMYFUNCTION("""COMPUTED_VALUE"""),3.0)</f>
        <v>3</v>
      </c>
    </row>
    <row r="163">
      <c r="A163" s="1"/>
      <c r="B163" s="48" t="str">
        <f>IFERROR(__xludf.DUMMYFUNCTION("""COMPUTED_VALUE"""),"Santosh Sundaresan ")</f>
        <v>Santosh Sundaresan </v>
      </c>
      <c r="C163" s="49">
        <f>IFERROR(__xludf.DUMMYFUNCTION("""COMPUTED_VALUE"""),160.0)</f>
        <v>160</v>
      </c>
      <c r="D163" s="50">
        <f>IFERROR(__xludf.DUMMYFUNCTION("""COMPUTED_VALUE"""),5.0)</f>
        <v>5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IFERROR(__xludf.DUMMYFUNCTION("""COMPUTED_VALUE"""),169.0)</f>
        <v>169</v>
      </c>
      <c r="N163" s="52">
        <f>IFERROR(__xludf.DUMMYFUNCTION("""COMPUTED_VALUE"""),5.0)</f>
        <v>5</v>
      </c>
    </row>
    <row r="164">
      <c r="A164" s="1"/>
      <c r="B164" s="48" t="str">
        <f>IFERROR(__xludf.DUMMYFUNCTION("""COMPUTED_VALUE"""),"Suleman Alidina")</f>
        <v>Suleman Alidina</v>
      </c>
      <c r="C164" s="49">
        <f>IFERROR(__xludf.DUMMYFUNCTION("""COMPUTED_VALUE"""),160.0)</f>
        <v>160</v>
      </c>
      <c r="D164" s="50">
        <f>IFERROR(__xludf.DUMMYFUNCTION("""COMPUTED_VALUE"""),4.0)</f>
        <v>4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IFERROR(__xludf.DUMMYFUNCTION("""COMPUTED_VALUE"""),169.0)</f>
        <v>169</v>
      </c>
      <c r="N164" s="52">
        <f>IFERROR(__xludf.DUMMYFUNCTION("""COMPUTED_VALUE"""),4.0)</f>
        <v>4</v>
      </c>
    </row>
    <row r="165">
      <c r="A165" s="1"/>
      <c r="B165" s="48" t="str">
        <f>IFERROR(__xludf.DUMMYFUNCTION("""COMPUTED_VALUE"""),"Coco Yan")</f>
        <v>Coco Yan</v>
      </c>
      <c r="C165" s="49">
        <f>IFERROR(__xludf.DUMMYFUNCTION("""COMPUTED_VALUE"""),157.0)</f>
        <v>157</v>
      </c>
      <c r="D165" s="50">
        <f>IFERROR(__xludf.DUMMYFUNCTION("""COMPUTED_VALUE"""),2.0)</f>
        <v>2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IFERROR(__xludf.DUMMYFUNCTION("""COMPUTED_VALUE"""),166.0)</f>
        <v>166</v>
      </c>
      <c r="N165" s="52">
        <f>IFERROR(__xludf.DUMMYFUNCTION("""COMPUTED_VALUE"""),2.0)</f>
        <v>2</v>
      </c>
    </row>
    <row r="166">
      <c r="A166" s="1"/>
      <c r="B166" s="48" t="str">
        <f>IFERROR(__xludf.DUMMYFUNCTION("""COMPUTED_VALUE"""),"Savay Lieu")</f>
        <v>Savay Lieu</v>
      </c>
      <c r="C166" s="49">
        <f>IFERROR(__xludf.DUMMYFUNCTION("""COMPUTED_VALUE"""),153.0)</f>
        <v>153</v>
      </c>
      <c r="D166" s="50">
        <f>IFERROR(__xludf.DUMMYFUNCTION("""COMPUTED_VALUE"""),0.0)</f>
        <v>0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IFERROR(__xludf.DUMMYFUNCTION("""COMPUTED_VALUE"""),162.0)</f>
        <v>162</v>
      </c>
      <c r="N166" s="52">
        <f>IFERROR(__xludf.DUMMYFUNCTION("""COMPUTED_VALUE"""),0.0)</f>
        <v>0</v>
      </c>
    </row>
    <row r="167">
      <c r="A167" s="1"/>
      <c r="B167" s="48" t="str">
        <f>IFERROR(__xludf.DUMMYFUNCTION("""COMPUTED_VALUE"""),"Mihir Anand")</f>
        <v>Mihir Anand</v>
      </c>
      <c r="C167" s="49">
        <f>IFERROR(__xludf.DUMMYFUNCTION("""COMPUTED_VALUE"""),153.0)</f>
        <v>153</v>
      </c>
      <c r="D167" s="50">
        <f>IFERROR(__xludf.DUMMYFUNCTION("""COMPUTED_VALUE"""),0.0)</f>
        <v>0</v>
      </c>
      <c r="E167" s="49">
        <f>IFERROR(__xludf.DUMMYFUNCTION("""COMPUTED_VALUE"""),3.0)</f>
        <v>3</v>
      </c>
      <c r="F167" s="51">
        <f>IFERROR(__xludf.DUMMYFUNCTION("""COMPUTED_VALUE"""),0.0)</f>
        <v>0</v>
      </c>
      <c r="G167" s="51">
        <f>IFERROR(__xludf.DUMMYFUNCTION("""COMPUTED_VALUE"""),9.0)</f>
        <v>9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IFERROR(__xludf.DUMMYFUNCTION("""COMPUTED_VALUE"""),9.0)</f>
        <v>9</v>
      </c>
      <c r="L167" s="51">
        <f>IFERROR(__xludf.DUMMYFUNCTION("""COMPUTED_VALUE"""),0.0)</f>
        <v>0</v>
      </c>
      <c r="M167" s="51">
        <f>IFERROR(__xludf.DUMMYFUNCTION("""COMPUTED_VALUE"""),162.0)</f>
        <v>162</v>
      </c>
      <c r="N167" s="52">
        <f>IFERROR(__xludf.DUMMYFUNCTION("""COMPUTED_VALUE"""),0.0)</f>
        <v>0</v>
      </c>
    </row>
    <row r="168">
      <c r="A168" s="1"/>
      <c r="B168" s="48" t="str">
        <f>IFERROR(__xludf.DUMMYFUNCTION("""COMPUTED_VALUE"""),"Manish Anand")</f>
        <v>Manish Anand</v>
      </c>
      <c r="C168" s="49">
        <f>IFERROR(__xludf.DUMMYFUNCTION("""COMPUTED_VALUE"""),153.0)</f>
        <v>153</v>
      </c>
      <c r="D168" s="50">
        <f>IFERROR(__xludf.DUMMYFUNCTION("""COMPUTED_VALUE"""),0.0)</f>
        <v>0</v>
      </c>
      <c r="E168" s="49">
        <f>IFERROR(__xludf.DUMMYFUNCTION("""COMPUTED_VALUE"""),3.0)</f>
        <v>3</v>
      </c>
      <c r="F168" s="51">
        <f>IFERROR(__xludf.DUMMYFUNCTION("""COMPUTED_VALUE"""),0.0)</f>
        <v>0</v>
      </c>
      <c r="G168" s="51">
        <f>IFERROR(__xludf.DUMMYFUNCTION("""COMPUTED_VALUE"""),9.0)</f>
        <v>9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IFERROR(__xludf.DUMMYFUNCTION("""COMPUTED_VALUE"""),9.0)</f>
        <v>9</v>
      </c>
      <c r="L168" s="51">
        <f>IFERROR(__xludf.DUMMYFUNCTION("""COMPUTED_VALUE"""),0.0)</f>
        <v>0</v>
      </c>
      <c r="M168" s="51">
        <f>IFERROR(__xludf.DUMMYFUNCTION("""COMPUTED_VALUE"""),162.0)</f>
        <v>162</v>
      </c>
      <c r="N168" s="52">
        <f>IFERROR(__xludf.DUMMYFUNCTION("""COMPUTED_VALUE"""),0.0)</f>
        <v>0</v>
      </c>
    </row>
    <row r="169">
      <c r="A169" s="1"/>
      <c r="B169" s="48" t="str">
        <f>IFERROR(__xludf.DUMMYFUNCTION("""COMPUTED_VALUE"""),"Fendi Purwadi")</f>
        <v>Fendi Purwadi</v>
      </c>
      <c r="C169" s="49">
        <f>IFERROR(__xludf.DUMMYFUNCTION("""COMPUTED_VALUE"""),153.0)</f>
        <v>153</v>
      </c>
      <c r="D169" s="50">
        <f>IFERROR(__xludf.DUMMYFUNCTION("""COMPUTED_VALUE"""),0.0)</f>
        <v>0</v>
      </c>
      <c r="E169" s="49">
        <f>IFERROR(__xludf.DUMMYFUNCTION("""COMPUTED_VALUE"""),3.0)</f>
        <v>3</v>
      </c>
      <c r="F169" s="51">
        <f>IFERROR(__xludf.DUMMYFUNCTION("""COMPUTED_VALUE"""),0.0)</f>
        <v>0</v>
      </c>
      <c r="G169" s="51">
        <f>IFERROR(__xludf.DUMMYFUNCTION("""COMPUTED_VALUE"""),9.0)</f>
        <v>9</v>
      </c>
      <c r="H169" s="51">
        <f>IFERROR(__xludf.DUMMYFUNCTION("""COMPUTED_VALUE"""),0.0)</f>
        <v>0</v>
      </c>
      <c r="I169" s="51">
        <f>IFERROR(__xludf.DUMMYFUNCTION("""COMPUTED_VALUE"""),0.0)</f>
        <v>0</v>
      </c>
      <c r="J169" s="51">
        <f>IFERROR(__xludf.DUMMYFUNCTION("""COMPUTED_VALUE"""),0.0)</f>
        <v>0</v>
      </c>
      <c r="K169" s="51">
        <f>IFERROR(__xludf.DUMMYFUNCTION("""COMPUTED_VALUE"""),9.0)</f>
        <v>9</v>
      </c>
      <c r="L169" s="51">
        <f>IFERROR(__xludf.DUMMYFUNCTION("""COMPUTED_VALUE"""),0.0)</f>
        <v>0</v>
      </c>
      <c r="M169" s="51">
        <f>IFERROR(__xludf.DUMMYFUNCTION("""COMPUTED_VALUE"""),162.0)</f>
        <v>162</v>
      </c>
      <c r="N169" s="52">
        <f>IFERROR(__xludf.DUMMYFUNCTION("""COMPUTED_VALUE"""),0.0)</f>
        <v>0</v>
      </c>
    </row>
    <row r="170">
      <c r="A170" s="1"/>
      <c r="B170" s="48" t="str">
        <f>IFERROR(__xludf.DUMMYFUNCTION("""COMPUTED_VALUE"""),"Jose Ortiz")</f>
        <v>Jose Ortiz</v>
      </c>
      <c r="C170" s="49">
        <f>IFERROR(__xludf.DUMMYFUNCTION("""COMPUTED_VALUE"""),150.0)</f>
        <v>150</v>
      </c>
      <c r="D170" s="50">
        <f>IFERROR(__xludf.DUMMYFUNCTION("""COMPUTED_VALUE"""),5.0)</f>
        <v>5</v>
      </c>
      <c r="E170" s="49">
        <f>IFERROR(__xludf.DUMMYFUNCTION("""COMPUTED_VALUE"""),3.0)</f>
        <v>3</v>
      </c>
      <c r="F170" s="51">
        <f>IFERROR(__xludf.DUMMYFUNCTION("""COMPUTED_VALUE"""),0.0)</f>
        <v>0</v>
      </c>
      <c r="G170" s="51">
        <f>IFERROR(__xludf.DUMMYFUNCTION("""COMPUTED_VALUE"""),9.0)</f>
        <v>9</v>
      </c>
      <c r="H170" s="51">
        <f>IFERROR(__xludf.DUMMYFUNCTION("""COMPUTED_VALUE"""),0.0)</f>
        <v>0</v>
      </c>
      <c r="I170" s="51">
        <f>IFERROR(__xludf.DUMMYFUNCTION("""COMPUTED_VALUE"""),0.0)</f>
        <v>0</v>
      </c>
      <c r="J170" s="51">
        <f>IFERROR(__xludf.DUMMYFUNCTION("""COMPUTED_VALUE"""),0.0)</f>
        <v>0</v>
      </c>
      <c r="K170" s="51">
        <f>IFERROR(__xludf.DUMMYFUNCTION("""COMPUTED_VALUE"""),9.0)</f>
        <v>9</v>
      </c>
      <c r="L170" s="51">
        <f>IFERROR(__xludf.DUMMYFUNCTION("""COMPUTED_VALUE"""),0.0)</f>
        <v>0</v>
      </c>
      <c r="M170" s="51">
        <f>IFERROR(__xludf.DUMMYFUNCTION("""COMPUTED_VALUE"""),159.0)</f>
        <v>159</v>
      </c>
      <c r="N170" s="52">
        <f>IFERROR(__xludf.DUMMYFUNCTION("""COMPUTED_VALUE"""),5.0)</f>
        <v>5</v>
      </c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B187" s="48"/>
      <c r="C187" s="49"/>
      <c r="D187" s="50"/>
      <c r="E187" s="49"/>
      <c r="F187" s="51"/>
      <c r="G187" s="51"/>
      <c r="H187" s="51"/>
      <c r="I187" s="51"/>
      <c r="J187" s="51"/>
      <c r="K187" s="51"/>
      <c r="L187" s="51"/>
      <c r="M187" s="51"/>
      <c r="N187" s="52"/>
    </row>
    <row r="188">
      <c r="A188" s="1"/>
      <c r="B188" s="48"/>
      <c r="C188" s="49"/>
      <c r="D188" s="50"/>
      <c r="E188" s="49"/>
      <c r="F188" s="51"/>
      <c r="G188" s="51"/>
      <c r="H188" s="51"/>
      <c r="I188" s="51"/>
      <c r="J188" s="51"/>
      <c r="K188" s="51"/>
      <c r="L188" s="51"/>
      <c r="M188" s="51"/>
      <c r="N188" s="52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  <row r="1025">
      <c r="A1025" s="1"/>
      <c r="C1025" s="1"/>
      <c r="D1025" s="1"/>
      <c r="E1025" s="1"/>
    </row>
    <row r="1026">
      <c r="A1026" s="1"/>
      <c r="C1026" s="1"/>
      <c r="D1026" s="1"/>
      <c r="E1026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8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8 B76:D86">
    <cfRule type="expression" dxfId="0" priority="3">
      <formula>E5=1</formula>
    </cfRule>
  </conditionalFormatting>
  <conditionalFormatting sqref="B5:B68 B76:D86">
    <cfRule type="expression" dxfId="2" priority="4">
      <formula>E5=2</formula>
    </cfRule>
  </conditionalFormatting>
  <conditionalFormatting sqref="B5:B68 B76:D86">
    <cfRule type="expression" dxfId="3" priority="5">
      <formula>E5=3</formula>
    </cfRule>
  </conditionalFormatting>
  <conditionalFormatting sqref="B5:B68 B76:D86">
    <cfRule type="expression" dxfId="4" priority="6">
      <formula>E5=4</formula>
    </cfRule>
  </conditionalFormatting>
  <conditionalFormatting sqref="L78">
    <cfRule type="containsText" dxfId="0" priority="7" operator="containsText" text="Good">
      <formula>NOT(ISERROR(SEARCH(("Good"),(L78))))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45227.0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17.0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219.0</v>
      </c>
      <c r="D5" s="28">
        <v>23.0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228</v>
      </c>
      <c r="N5" s="28">
        <f t="shared" si="1"/>
        <v>23</v>
      </c>
      <c r="O5" s="33" t="s">
        <v>37</v>
      </c>
      <c r="P5" s="33" t="s">
        <v>37</v>
      </c>
      <c r="Q5" s="31">
        <f>if(G5=13,1,0)+VLOOKUP(B5,'102123'!B$5:Q$64,16,false)</f>
        <v>1</v>
      </c>
      <c r="R5" s="31"/>
      <c r="S5" s="31">
        <f>if(G5=9,1,0)+VLOOKUP(B5,'102123'!B:S,18,false)</f>
        <v>6</v>
      </c>
    </row>
    <row r="6">
      <c r="A6" s="25">
        <f t="shared" ref="A6:A66" si="3">A5+1</f>
        <v>2</v>
      </c>
      <c r="B6" s="26" t="s">
        <v>49</v>
      </c>
      <c r="C6" s="27">
        <v>213.0</v>
      </c>
      <c r="D6" s="28">
        <v>19.0</v>
      </c>
      <c r="E6" s="30">
        <v>1.0</v>
      </c>
      <c r="F6" s="31">
        <v>1.0</v>
      </c>
      <c r="G6" s="27">
        <v>0.0</v>
      </c>
      <c r="H6" s="31">
        <v>1.0</v>
      </c>
      <c r="I6" s="31">
        <v>5.0</v>
      </c>
      <c r="J6" s="31">
        <v>6.0</v>
      </c>
      <c r="K6" s="32">
        <v>12.0</v>
      </c>
      <c r="L6" s="31">
        <v>1.0</v>
      </c>
      <c r="M6" s="27">
        <f t="shared" ref="M6:N6" si="2">C6+K6</f>
        <v>225</v>
      </c>
      <c r="N6" s="28">
        <f t="shared" si="2"/>
        <v>20</v>
      </c>
      <c r="O6" s="33" t="s">
        <v>37</v>
      </c>
      <c r="P6" s="33" t="s">
        <v>37</v>
      </c>
      <c r="Q6" s="31">
        <f>if(G6=13,1,0)+VLOOKUP(B6,'102123'!B$5:Q$64,16,false)</f>
        <v>1</v>
      </c>
      <c r="R6" s="31"/>
      <c r="S6" s="31">
        <f>if(G6=9,1,0)+VLOOKUP(B6,'102123'!B:S,18,false)</f>
        <v>2</v>
      </c>
    </row>
    <row r="7">
      <c r="A7" s="25">
        <f t="shared" si="3"/>
        <v>3</v>
      </c>
      <c r="B7" s="26" t="s">
        <v>54</v>
      </c>
      <c r="C7" s="27">
        <v>210.0</v>
      </c>
      <c r="D7" s="28">
        <v>19.0</v>
      </c>
      <c r="E7" s="30">
        <v>1.0</v>
      </c>
      <c r="F7" s="31">
        <v>1.0</v>
      </c>
      <c r="G7" s="27">
        <v>0.0</v>
      </c>
      <c r="H7" s="31">
        <v>1.0</v>
      </c>
      <c r="I7" s="31">
        <v>7.0</v>
      </c>
      <c r="J7" s="31">
        <v>2.0</v>
      </c>
      <c r="K7" s="32">
        <v>10.0</v>
      </c>
      <c r="L7" s="31">
        <v>1.0</v>
      </c>
      <c r="M7" s="27">
        <f t="shared" ref="M7:N7" si="4">C7+K7</f>
        <v>220</v>
      </c>
      <c r="N7" s="28">
        <f t="shared" si="4"/>
        <v>20</v>
      </c>
      <c r="O7" s="33" t="s">
        <v>37</v>
      </c>
      <c r="P7" s="33" t="s">
        <v>37</v>
      </c>
      <c r="Q7" s="31">
        <f>if(G7=13,1,0)+VLOOKUP(B7,'102123'!B$5:Q$64,16,false)</f>
        <v>0</v>
      </c>
      <c r="R7" s="31"/>
      <c r="S7" s="31">
        <f>if(G7=9,1,0)+VLOOKUP(B7,'102123'!B:S,18,false)</f>
        <v>5</v>
      </c>
    </row>
    <row r="8">
      <c r="A8" s="25">
        <f t="shared" si="3"/>
        <v>4</v>
      </c>
      <c r="B8" s="26" t="s">
        <v>42</v>
      </c>
      <c r="C8" s="27">
        <v>209.0</v>
      </c>
      <c r="D8" s="28">
        <v>19.0</v>
      </c>
      <c r="E8" s="30">
        <v>1.0</v>
      </c>
      <c r="F8" s="31">
        <v>1.0</v>
      </c>
      <c r="G8" s="27">
        <v>0.0</v>
      </c>
      <c r="H8" s="31">
        <v>6.0</v>
      </c>
      <c r="I8" s="31">
        <v>7.0</v>
      </c>
      <c r="J8" s="31">
        <v>6.0</v>
      </c>
      <c r="K8" s="32">
        <v>19.0</v>
      </c>
      <c r="L8" s="31">
        <v>3.0</v>
      </c>
      <c r="M8" s="27">
        <f t="shared" ref="M8:N8" si="5">C8+K8</f>
        <v>228</v>
      </c>
      <c r="N8" s="28">
        <f t="shared" si="5"/>
        <v>22</v>
      </c>
      <c r="O8" s="33" t="s">
        <v>37</v>
      </c>
      <c r="P8" s="33" t="s">
        <v>37</v>
      </c>
      <c r="Q8" s="31">
        <f>if(G8=13,1,0)+VLOOKUP(B8,'102123'!B$5:Q$64,16,false)</f>
        <v>0</v>
      </c>
      <c r="R8" s="31"/>
      <c r="S8" s="31">
        <f>if(G8=9,1,0)+VLOOKUP(B8,'102123'!B:S,18,false)</f>
        <v>7</v>
      </c>
    </row>
    <row r="9">
      <c r="A9" s="25">
        <f t="shared" si="3"/>
        <v>5</v>
      </c>
      <c r="B9" s="26" t="s">
        <v>48</v>
      </c>
      <c r="C9" s="27">
        <v>205.0</v>
      </c>
      <c r="D9" s="28">
        <v>19.0</v>
      </c>
      <c r="E9" s="30">
        <v>2.0</v>
      </c>
      <c r="F9" s="31">
        <v>1.0</v>
      </c>
      <c r="G9" s="27">
        <v>0.0</v>
      </c>
      <c r="H9" s="31">
        <v>6.0</v>
      </c>
      <c r="I9" s="31">
        <v>5.0</v>
      </c>
      <c r="J9" s="31">
        <v>2.0</v>
      </c>
      <c r="K9" s="32">
        <v>13.0</v>
      </c>
      <c r="L9" s="31">
        <v>1.0</v>
      </c>
      <c r="M9" s="27">
        <f t="shared" ref="M9:N9" si="6">C9+K9</f>
        <v>218</v>
      </c>
      <c r="N9" s="28">
        <f t="shared" si="6"/>
        <v>20</v>
      </c>
      <c r="O9" s="33" t="s">
        <v>37</v>
      </c>
      <c r="P9" s="33" t="s">
        <v>37</v>
      </c>
      <c r="Q9" s="31">
        <f>if(G9=13,1,0)+VLOOKUP(B9,'102123'!B$5:Q$64,16,false)</f>
        <v>0</v>
      </c>
      <c r="R9" s="31"/>
      <c r="S9" s="31">
        <f>if(G9=9,1,0)+VLOOKUP(B9,'102123'!B:S,18,false)</f>
        <v>6</v>
      </c>
    </row>
    <row r="10">
      <c r="A10" s="25">
        <f t="shared" si="3"/>
        <v>6</v>
      </c>
      <c r="B10" s="26" t="s">
        <v>51</v>
      </c>
      <c r="C10" s="27">
        <v>205.0</v>
      </c>
      <c r="D10" s="28">
        <v>18.0</v>
      </c>
      <c r="E10" s="30">
        <v>1.0</v>
      </c>
      <c r="F10" s="31">
        <v>2.0</v>
      </c>
      <c r="G10" s="27">
        <v>0.0</v>
      </c>
      <c r="H10" s="31">
        <v>3.0</v>
      </c>
      <c r="I10" s="31">
        <v>6.0</v>
      </c>
      <c r="J10" s="31">
        <v>7.0</v>
      </c>
      <c r="K10" s="32">
        <v>15.0</v>
      </c>
      <c r="L10" s="31">
        <v>2.0</v>
      </c>
      <c r="M10" s="27">
        <f t="shared" ref="M10:N10" si="7">C10+K10</f>
        <v>220</v>
      </c>
      <c r="N10" s="28">
        <f t="shared" si="7"/>
        <v>20</v>
      </c>
      <c r="O10" s="33" t="s">
        <v>37</v>
      </c>
      <c r="P10" s="33" t="s">
        <v>37</v>
      </c>
      <c r="Q10" s="31">
        <f>if(G10=13,1,0)+VLOOKUP(B10,'102123'!B$5:Q$64,16,false)</f>
        <v>1</v>
      </c>
      <c r="R10" s="31"/>
      <c r="S10" s="31">
        <f>if(G10=9,1,0)+VLOOKUP(B10,'102123'!B:S,18,false)</f>
        <v>7</v>
      </c>
    </row>
    <row r="11">
      <c r="A11" s="25">
        <f t="shared" si="3"/>
        <v>7</v>
      </c>
      <c r="B11" s="36" t="s">
        <v>67</v>
      </c>
      <c r="C11" s="27">
        <v>200.0</v>
      </c>
      <c r="D11" s="28">
        <v>17.0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209</v>
      </c>
      <c r="N11" s="28">
        <f t="shared" si="8"/>
        <v>17</v>
      </c>
      <c r="O11" s="33" t="s">
        <v>37</v>
      </c>
      <c r="P11" s="33" t="s">
        <v>37</v>
      </c>
      <c r="Q11" s="31">
        <f>if(G11=13,1,0)+VLOOKUP(B11,'102123'!B$5:Q$64,16,false)</f>
        <v>0</v>
      </c>
      <c r="R11" s="31"/>
      <c r="S11" s="31">
        <f>if(G11=9,1,0)+VLOOKUP(B11,'102123'!B:S,18,false)</f>
        <v>7</v>
      </c>
    </row>
    <row r="12">
      <c r="A12" s="25">
        <f t="shared" si="3"/>
        <v>8</v>
      </c>
      <c r="B12" s="26" t="s">
        <v>52</v>
      </c>
      <c r="C12" s="27">
        <v>198.0</v>
      </c>
      <c r="D12" s="28">
        <v>17.0</v>
      </c>
      <c r="E12" s="30">
        <v>1.0</v>
      </c>
      <c r="F12" s="31">
        <v>2.0</v>
      </c>
      <c r="G12" s="27">
        <v>0.0</v>
      </c>
      <c r="H12" s="31">
        <v>6.0</v>
      </c>
      <c r="I12" s="31">
        <v>1.0</v>
      </c>
      <c r="J12" s="31">
        <v>7.0</v>
      </c>
      <c r="K12" s="32">
        <v>14.0</v>
      </c>
      <c r="L12" s="31">
        <v>2.0</v>
      </c>
      <c r="M12" s="27">
        <f t="shared" ref="M12:N12" si="9">C12+K12</f>
        <v>212</v>
      </c>
      <c r="N12" s="28">
        <f t="shared" si="9"/>
        <v>19</v>
      </c>
      <c r="O12" s="33" t="s">
        <v>37</v>
      </c>
      <c r="P12" s="33" t="s">
        <v>37</v>
      </c>
      <c r="Q12" s="31">
        <f>if(G12=13,1,0)+VLOOKUP(B12,'102123'!B$5:Q$64,16,false)</f>
        <v>0</v>
      </c>
      <c r="R12" s="31"/>
      <c r="S12" s="31">
        <f>if(G12=9,1,0)+VLOOKUP(B12,'102123'!B:S,18,false)</f>
        <v>2</v>
      </c>
    </row>
    <row r="13">
      <c r="A13" s="25">
        <f t="shared" si="3"/>
        <v>9</v>
      </c>
      <c r="B13" s="26" t="s">
        <v>57</v>
      </c>
      <c r="C13" s="27">
        <v>197.0</v>
      </c>
      <c r="D13" s="28">
        <v>19.0</v>
      </c>
      <c r="E13" s="30">
        <v>1.0</v>
      </c>
      <c r="F13" s="31">
        <v>2.0</v>
      </c>
      <c r="G13" s="27">
        <v>0.0</v>
      </c>
      <c r="H13" s="31">
        <v>3.0</v>
      </c>
      <c r="I13" s="31">
        <v>1.0</v>
      </c>
      <c r="J13" s="31">
        <v>6.0</v>
      </c>
      <c r="K13" s="32">
        <v>9.0</v>
      </c>
      <c r="L13" s="31">
        <v>0.0</v>
      </c>
      <c r="M13" s="27">
        <f t="shared" ref="M13:N13" si="10">C13+K13</f>
        <v>206</v>
      </c>
      <c r="N13" s="28">
        <f t="shared" si="10"/>
        <v>19</v>
      </c>
      <c r="O13" s="33" t="s">
        <v>37</v>
      </c>
      <c r="P13" s="33" t="s">
        <v>37</v>
      </c>
      <c r="Q13" s="31">
        <f>if(G13=13,1,0)+VLOOKUP(B13,'102123'!B$5:Q$64,16,false)</f>
        <v>0</v>
      </c>
      <c r="R13" s="31"/>
      <c r="S13" s="31">
        <f>if(G13=9,1,0)+VLOOKUP(B13,'102123'!B:S,18,false)</f>
        <v>5</v>
      </c>
    </row>
    <row r="14">
      <c r="A14" s="25">
        <f t="shared" si="3"/>
        <v>10</v>
      </c>
      <c r="B14" s="26" t="s">
        <v>72</v>
      </c>
      <c r="C14" s="27">
        <v>197.0</v>
      </c>
      <c r="D14" s="28">
        <v>16.0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206</v>
      </c>
      <c r="N14" s="28">
        <f t="shared" si="11"/>
        <v>16</v>
      </c>
      <c r="O14" s="33" t="s">
        <v>37</v>
      </c>
      <c r="P14" s="33" t="s">
        <v>37</v>
      </c>
      <c r="Q14" s="31">
        <f>if(G14=13,1,0)+VLOOKUP(B14,'102123'!B$5:Q$64,16,false)</f>
        <v>1</v>
      </c>
      <c r="R14" s="31"/>
      <c r="S14" s="31">
        <f>if(G14=9,1,0)+VLOOKUP(B14,'102123'!B:S,18,false)</f>
        <v>9</v>
      </c>
    </row>
    <row r="15">
      <c r="A15" s="25">
        <f t="shared" si="3"/>
        <v>11</v>
      </c>
      <c r="B15" s="26" t="s">
        <v>50</v>
      </c>
      <c r="C15" s="27">
        <v>197.0</v>
      </c>
      <c r="D15" s="28">
        <v>15.0</v>
      </c>
      <c r="E15" s="30">
        <v>1.0</v>
      </c>
      <c r="F15" s="31">
        <v>2.0</v>
      </c>
      <c r="G15" s="27">
        <v>0.0</v>
      </c>
      <c r="H15" s="31">
        <v>6.0</v>
      </c>
      <c r="I15" s="31">
        <v>6.0</v>
      </c>
      <c r="J15" s="31">
        <v>6.0</v>
      </c>
      <c r="K15" s="32">
        <v>18.0</v>
      </c>
      <c r="L15" s="31">
        <v>2.0</v>
      </c>
      <c r="M15" s="27">
        <f t="shared" ref="M15:N15" si="12">C15+K15</f>
        <v>215</v>
      </c>
      <c r="N15" s="28">
        <f t="shared" si="12"/>
        <v>17</v>
      </c>
      <c r="O15" s="33" t="s">
        <v>37</v>
      </c>
      <c r="P15" s="33" t="s">
        <v>37</v>
      </c>
      <c r="Q15" s="31">
        <f>if(G15=13,1,0)+VLOOKUP(B15,'102123'!B$5:Q$64,16,false)</f>
        <v>0</v>
      </c>
      <c r="R15" s="31"/>
      <c r="S15" s="31">
        <f>if(G15=9,1,0)+VLOOKUP(B15,'102123'!B:S,18,false)</f>
        <v>8</v>
      </c>
    </row>
    <row r="16">
      <c r="A16" s="25">
        <f t="shared" si="3"/>
        <v>12</v>
      </c>
      <c r="B16" s="36" t="s">
        <v>56</v>
      </c>
      <c r="C16" s="27">
        <v>196.0</v>
      </c>
      <c r="D16" s="28">
        <v>20.0</v>
      </c>
      <c r="E16" s="30">
        <v>1.0</v>
      </c>
      <c r="F16" s="31">
        <v>3.0</v>
      </c>
      <c r="G16" s="27">
        <v>0.0</v>
      </c>
      <c r="H16" s="31">
        <v>6.0</v>
      </c>
      <c r="I16" s="31">
        <v>4.0</v>
      </c>
      <c r="J16" s="31">
        <v>2.0</v>
      </c>
      <c r="K16" s="32">
        <v>12.0</v>
      </c>
      <c r="L16" s="31">
        <v>1.0</v>
      </c>
      <c r="M16" s="27">
        <f t="shared" ref="M16:N16" si="13">C16+K16</f>
        <v>208</v>
      </c>
      <c r="N16" s="28">
        <f t="shared" si="13"/>
        <v>21</v>
      </c>
      <c r="O16" s="33" t="s">
        <v>37</v>
      </c>
      <c r="P16" s="33" t="s">
        <v>37</v>
      </c>
      <c r="Q16" s="31">
        <f>if(G16=13,1,0)+VLOOKUP(B16,'102123'!B$5:Q$64,16,false)</f>
        <v>1</v>
      </c>
      <c r="R16" s="31"/>
      <c r="S16" s="31">
        <f>if(G16=9,1,0)+VLOOKUP(B16,'102123'!B:S,18,false)</f>
        <v>2</v>
      </c>
    </row>
    <row r="17">
      <c r="A17" s="25">
        <f t="shared" si="3"/>
        <v>13</v>
      </c>
      <c r="B17" s="26" t="s">
        <v>47</v>
      </c>
      <c r="C17" s="27">
        <v>195.0</v>
      </c>
      <c r="D17" s="28">
        <v>15.0</v>
      </c>
      <c r="E17" s="30">
        <v>2.0</v>
      </c>
      <c r="F17" s="31">
        <v>3.0</v>
      </c>
      <c r="G17" s="27">
        <v>0.0</v>
      </c>
      <c r="H17" s="31">
        <v>6.0</v>
      </c>
      <c r="I17" s="31">
        <v>6.0</v>
      </c>
      <c r="J17" s="31">
        <v>6.0</v>
      </c>
      <c r="K17" s="32">
        <v>18.0</v>
      </c>
      <c r="L17" s="31">
        <v>3.0</v>
      </c>
      <c r="M17" s="27">
        <f t="shared" ref="M17:N17" si="14">C17+K17</f>
        <v>213</v>
      </c>
      <c r="N17" s="28">
        <f t="shared" si="14"/>
        <v>18</v>
      </c>
      <c r="O17" s="33" t="s">
        <v>37</v>
      </c>
      <c r="P17" s="33" t="s">
        <v>37</v>
      </c>
      <c r="Q17" s="31">
        <f>if(G17=13,1,0)+VLOOKUP(B17,'102123'!B$5:Q$64,16,false)</f>
        <v>0</v>
      </c>
      <c r="R17" s="31"/>
      <c r="S17" s="31">
        <f>if(G17=9,1,0)+VLOOKUP(B17,'102123'!B:S,18,false)</f>
        <v>9</v>
      </c>
    </row>
    <row r="18">
      <c r="A18" s="25">
        <f t="shared" si="3"/>
        <v>14</v>
      </c>
      <c r="B18" s="26" t="s">
        <v>60</v>
      </c>
      <c r="C18" s="27">
        <v>194.0</v>
      </c>
      <c r="D18" s="28">
        <v>16.0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203</v>
      </c>
      <c r="N18" s="28">
        <f t="shared" si="15"/>
        <v>16</v>
      </c>
      <c r="O18" s="33" t="s">
        <v>37</v>
      </c>
      <c r="P18" s="33" t="s">
        <v>37</v>
      </c>
      <c r="Q18" s="31">
        <f>if(G18=13,1,0)+VLOOKUP(B18,'102123'!B$5:Q$64,16,false)</f>
        <v>0</v>
      </c>
      <c r="R18" s="31"/>
      <c r="S18" s="31">
        <f>if(G18=9,1,0)+VLOOKUP(B18,'102123'!B:S,18,false)</f>
        <v>7</v>
      </c>
    </row>
    <row r="19">
      <c r="A19" s="25">
        <f t="shared" si="3"/>
        <v>15</v>
      </c>
      <c r="B19" s="26" t="s">
        <v>55</v>
      </c>
      <c r="C19" s="27">
        <v>194.0</v>
      </c>
      <c r="D19" s="28">
        <v>16.0</v>
      </c>
      <c r="E19" s="30">
        <v>1.0</v>
      </c>
      <c r="F19" s="31">
        <v>3.0</v>
      </c>
      <c r="G19" s="27">
        <v>0.0</v>
      </c>
      <c r="H19" s="31">
        <v>0.0</v>
      </c>
      <c r="I19" s="31">
        <v>4.0</v>
      </c>
      <c r="J19" s="31">
        <v>6.0</v>
      </c>
      <c r="K19" s="32">
        <v>10.0</v>
      </c>
      <c r="L19" s="31">
        <v>1.0</v>
      </c>
      <c r="M19" s="27">
        <f t="shared" ref="M19:N19" si="16">C19+K19</f>
        <v>204</v>
      </c>
      <c r="N19" s="28">
        <f t="shared" si="16"/>
        <v>17</v>
      </c>
      <c r="O19" s="33" t="s">
        <v>37</v>
      </c>
      <c r="P19" s="33" t="s">
        <v>37</v>
      </c>
      <c r="Q19" s="31">
        <f>if(G19=13,1,0)+VLOOKUP(B19,'102123'!B$5:Q$64,16,false)</f>
        <v>0</v>
      </c>
      <c r="R19" s="31"/>
      <c r="S19" s="31">
        <f>if(G19=9,1,0)+VLOOKUP(B19,'102123'!B:S,18,false)</f>
        <v>8</v>
      </c>
    </row>
    <row r="20">
      <c r="A20" s="25">
        <f t="shared" si="3"/>
        <v>16</v>
      </c>
      <c r="B20" s="26" t="s">
        <v>68</v>
      </c>
      <c r="C20" s="27">
        <v>194.0</v>
      </c>
      <c r="D20" s="28">
        <v>13.0</v>
      </c>
      <c r="E20" s="30">
        <v>3.0</v>
      </c>
      <c r="F20" s="31">
        <v>0.0</v>
      </c>
      <c r="G20" s="27">
        <v>9.0</v>
      </c>
      <c r="H20" s="31">
        <v>0.0</v>
      </c>
      <c r="I20" s="31">
        <v>0.0</v>
      </c>
      <c r="J20" s="31">
        <v>0.0</v>
      </c>
      <c r="K20" s="32">
        <v>9.0</v>
      </c>
      <c r="L20" s="31">
        <v>0.0</v>
      </c>
      <c r="M20" s="27">
        <f t="shared" ref="M20:N20" si="17">C20+K20</f>
        <v>203</v>
      </c>
      <c r="N20" s="28">
        <f t="shared" si="17"/>
        <v>13</v>
      </c>
      <c r="O20" s="33" t="s">
        <v>37</v>
      </c>
      <c r="P20" s="33" t="s">
        <v>37</v>
      </c>
      <c r="Q20" s="31">
        <f>if(G20=13,1,0)+VLOOKUP(B20,'102123'!B$5:Q$64,16,false)</f>
        <v>1</v>
      </c>
      <c r="R20" s="31"/>
      <c r="S20" s="31">
        <f>if(G20=9,1,0)+VLOOKUP(B20,'102123'!B:S,18,false)</f>
        <v>10</v>
      </c>
    </row>
    <row r="21">
      <c r="A21" s="25">
        <f t="shared" si="3"/>
        <v>17</v>
      </c>
      <c r="B21" s="36" t="s">
        <v>59</v>
      </c>
      <c r="C21" s="27">
        <v>193.0</v>
      </c>
      <c r="D21" s="28">
        <v>12.0</v>
      </c>
      <c r="E21" s="30">
        <v>1.0</v>
      </c>
      <c r="F21" s="31">
        <v>3.0</v>
      </c>
      <c r="G21" s="27">
        <v>0.0</v>
      </c>
      <c r="H21" s="31">
        <v>0.0</v>
      </c>
      <c r="I21" s="31">
        <v>6.0</v>
      </c>
      <c r="J21" s="31">
        <v>2.0</v>
      </c>
      <c r="K21" s="32">
        <v>8.0</v>
      </c>
      <c r="L21" s="31">
        <v>1.0</v>
      </c>
      <c r="M21" s="27">
        <f t="shared" ref="M21:N21" si="18">C21+K21</f>
        <v>201</v>
      </c>
      <c r="N21" s="28">
        <f t="shared" si="18"/>
        <v>13</v>
      </c>
      <c r="O21" s="33" t="s">
        <v>37</v>
      </c>
      <c r="P21" s="33" t="s">
        <v>37</v>
      </c>
      <c r="Q21" s="31">
        <f>if(G21=13,1,0)+VLOOKUP(B21,'102123'!B$5:Q$64,16,false)</f>
        <v>0</v>
      </c>
      <c r="R21" s="31"/>
      <c r="S21" s="31">
        <f>if(G21=9,1,0)+VLOOKUP(B21,'102123'!B:S,18,false)</f>
        <v>3</v>
      </c>
    </row>
    <row r="22">
      <c r="A22" s="25">
        <f t="shared" si="3"/>
        <v>18</v>
      </c>
      <c r="B22" s="26" t="s">
        <v>53</v>
      </c>
      <c r="C22" s="27">
        <v>192.0</v>
      </c>
      <c r="D22" s="28">
        <v>13.0</v>
      </c>
      <c r="E22" s="30">
        <v>1.0</v>
      </c>
      <c r="F22" s="31">
        <v>4.0</v>
      </c>
      <c r="G22" s="27">
        <v>0.0</v>
      </c>
      <c r="H22" s="31">
        <v>6.0</v>
      </c>
      <c r="I22" s="31">
        <v>1.0</v>
      </c>
      <c r="J22" s="31">
        <v>4.0</v>
      </c>
      <c r="K22" s="32">
        <v>11.0</v>
      </c>
      <c r="L22" s="31">
        <v>0.0</v>
      </c>
      <c r="M22" s="27">
        <f t="shared" ref="M22:N22" si="19">C22+K22</f>
        <v>203</v>
      </c>
      <c r="N22" s="28">
        <f t="shared" si="19"/>
        <v>13</v>
      </c>
      <c r="O22" s="33" t="s">
        <v>37</v>
      </c>
      <c r="P22" s="33" t="s">
        <v>37</v>
      </c>
      <c r="Q22" s="31">
        <f>if(G22=13,1,0)+VLOOKUP(B22,'102123'!B$5:Q$64,16,false)</f>
        <v>0</v>
      </c>
      <c r="R22" s="31"/>
      <c r="S22" s="31">
        <f>if(G22=9,1,0)+VLOOKUP(B22,'102123'!B:S,18,false)</f>
        <v>6</v>
      </c>
    </row>
    <row r="23">
      <c r="A23" s="25">
        <f t="shared" si="3"/>
        <v>19</v>
      </c>
      <c r="B23" s="26" t="s">
        <v>65</v>
      </c>
      <c r="C23" s="27">
        <v>190.0</v>
      </c>
      <c r="D23" s="28">
        <v>13.0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199</v>
      </c>
      <c r="N23" s="28">
        <f t="shared" si="20"/>
        <v>13</v>
      </c>
      <c r="O23" s="33" t="s">
        <v>37</v>
      </c>
      <c r="P23" s="33" t="s">
        <v>37</v>
      </c>
      <c r="Q23" s="31">
        <f>if(G23=13,1,0)+VLOOKUP(B23,'102123'!B$5:Q$64,16,false)</f>
        <v>0</v>
      </c>
      <c r="R23" s="31"/>
      <c r="S23" s="31">
        <f>if(G23=9,1,0)+VLOOKUP(B23,'102123'!B:S,18,false)</f>
        <v>9</v>
      </c>
    </row>
    <row r="24">
      <c r="A24" s="25">
        <f t="shared" si="3"/>
        <v>20</v>
      </c>
      <c r="B24" s="26" t="s">
        <v>66</v>
      </c>
      <c r="C24" s="27">
        <v>190.0</v>
      </c>
      <c r="D24" s="28">
        <v>13.0</v>
      </c>
      <c r="E24" s="30">
        <v>1.0</v>
      </c>
      <c r="F24" s="31">
        <v>4.0</v>
      </c>
      <c r="G24" s="27">
        <v>0.0</v>
      </c>
      <c r="H24" s="31">
        <v>7.0</v>
      </c>
      <c r="I24" s="31">
        <v>1.0</v>
      </c>
      <c r="J24" s="31">
        <v>6.0</v>
      </c>
      <c r="K24" s="32">
        <v>14.0</v>
      </c>
      <c r="L24" s="31">
        <v>2.0</v>
      </c>
      <c r="M24" s="27">
        <f t="shared" ref="M24:N24" si="21">C24+K24</f>
        <v>204</v>
      </c>
      <c r="N24" s="28">
        <f t="shared" si="21"/>
        <v>15</v>
      </c>
      <c r="O24" s="33" t="s">
        <v>37</v>
      </c>
      <c r="P24" s="33" t="s">
        <v>37</v>
      </c>
      <c r="Q24" s="31">
        <f>if(G24=13,1,0)+VLOOKUP(B24,'102123'!B$5:Q$64,16,false)</f>
        <v>1</v>
      </c>
      <c r="R24" s="31"/>
      <c r="S24" s="31">
        <f>if(G24=9,1,0)+VLOOKUP(B24,'102123'!B:S,18,false)</f>
        <v>5</v>
      </c>
    </row>
    <row r="25">
      <c r="A25" s="25">
        <f t="shared" si="3"/>
        <v>21</v>
      </c>
      <c r="B25" s="26" t="s">
        <v>70</v>
      </c>
      <c r="C25" s="27">
        <v>186.0</v>
      </c>
      <c r="D25" s="28">
        <v>18.0</v>
      </c>
      <c r="E25" s="30">
        <v>1.0</v>
      </c>
      <c r="F25" s="31">
        <v>4.0</v>
      </c>
      <c r="G25" s="27">
        <v>0.0</v>
      </c>
      <c r="H25" s="31">
        <v>6.0</v>
      </c>
      <c r="I25" s="31">
        <v>6.0</v>
      </c>
      <c r="J25" s="31">
        <v>6.0</v>
      </c>
      <c r="K25" s="32">
        <v>18.0</v>
      </c>
      <c r="L25" s="31">
        <v>2.0</v>
      </c>
      <c r="M25" s="27">
        <f t="shared" ref="M25:N25" si="22">C25+K25</f>
        <v>204</v>
      </c>
      <c r="N25" s="28">
        <f t="shared" si="22"/>
        <v>20</v>
      </c>
      <c r="O25" s="33" t="s">
        <v>37</v>
      </c>
      <c r="P25" s="33" t="s">
        <v>37</v>
      </c>
      <c r="Q25" s="31">
        <f>if(G25=13,1,0)+VLOOKUP(B25,'102123'!B$5:Q$64,16,false)</f>
        <v>0</v>
      </c>
      <c r="R25" s="31"/>
      <c r="S25" s="31">
        <f>if(G25=9,1,0)+VLOOKUP(B25,'102123'!B:S,18,false)</f>
        <v>5</v>
      </c>
    </row>
    <row r="26">
      <c r="A26" s="25">
        <f t="shared" si="3"/>
        <v>22</v>
      </c>
      <c r="B26" s="26" t="s">
        <v>61</v>
      </c>
      <c r="C26" s="27">
        <v>186.0</v>
      </c>
      <c r="D26" s="28">
        <v>15.0</v>
      </c>
      <c r="E26" s="30">
        <v>1.0</v>
      </c>
      <c r="F26" s="31">
        <v>4.0</v>
      </c>
      <c r="G26" s="27">
        <v>0.0</v>
      </c>
      <c r="H26" s="31">
        <v>7.0</v>
      </c>
      <c r="I26" s="31">
        <v>6.0</v>
      </c>
      <c r="J26" s="31">
        <v>4.0</v>
      </c>
      <c r="K26" s="32">
        <v>17.0</v>
      </c>
      <c r="L26" s="31">
        <v>2.0</v>
      </c>
      <c r="M26" s="27">
        <f t="shared" ref="M26:N26" si="23">C26+K26</f>
        <v>203</v>
      </c>
      <c r="N26" s="28">
        <f t="shared" si="23"/>
        <v>17</v>
      </c>
      <c r="O26" s="33" t="s">
        <v>37</v>
      </c>
      <c r="P26" s="33" t="s">
        <v>37</v>
      </c>
      <c r="Q26" s="31">
        <f>if(G26=13,1,0)+VLOOKUP(B26,'102123'!B$5:Q$64,16,false)</f>
        <v>0</v>
      </c>
      <c r="R26" s="31"/>
      <c r="S26" s="31">
        <f>if(G26=9,1,0)+VLOOKUP(B26,'102123'!B:S,18,false)</f>
        <v>4</v>
      </c>
    </row>
    <row r="27">
      <c r="A27" s="25">
        <f t="shared" si="3"/>
        <v>23</v>
      </c>
      <c r="B27" s="26" t="s">
        <v>58</v>
      </c>
      <c r="C27" s="27">
        <v>184.0</v>
      </c>
      <c r="D27" s="28">
        <v>13.0</v>
      </c>
      <c r="E27" s="30">
        <v>1.0</v>
      </c>
      <c r="F27" s="31">
        <v>5.0</v>
      </c>
      <c r="G27" s="27">
        <v>0.0</v>
      </c>
      <c r="H27" s="31">
        <v>6.0</v>
      </c>
      <c r="I27" s="31">
        <v>7.0</v>
      </c>
      <c r="J27" s="31">
        <v>6.0</v>
      </c>
      <c r="K27" s="32">
        <v>19.0</v>
      </c>
      <c r="L27" s="31">
        <v>3.0</v>
      </c>
      <c r="M27" s="27">
        <f t="shared" ref="M27:N27" si="24">C27+K27</f>
        <v>203</v>
      </c>
      <c r="N27" s="28">
        <f t="shared" si="24"/>
        <v>16</v>
      </c>
      <c r="O27" s="33" t="s">
        <v>37</v>
      </c>
      <c r="P27" s="33" t="s">
        <v>37</v>
      </c>
      <c r="Q27" s="31">
        <f>if(G27=13,1,0)+VLOOKUP(B27,'102123'!B$5:Q$64,16,false)</f>
        <v>0</v>
      </c>
      <c r="R27" s="31"/>
      <c r="S27" s="31">
        <f>if(G27=9,1,0)+VLOOKUP(B27,'102123'!B:S,18,false)</f>
        <v>6</v>
      </c>
    </row>
    <row r="28">
      <c r="A28" s="25">
        <f t="shared" si="3"/>
        <v>24</v>
      </c>
      <c r="B28" s="36" t="s">
        <v>62</v>
      </c>
      <c r="C28" s="27">
        <v>184.0</v>
      </c>
      <c r="D28" s="28">
        <v>12.0</v>
      </c>
      <c r="E28" s="30">
        <v>2.0</v>
      </c>
      <c r="F28" s="31">
        <v>5.0</v>
      </c>
      <c r="G28" s="27">
        <v>0.0</v>
      </c>
      <c r="H28" s="31">
        <v>1.0</v>
      </c>
      <c r="I28" s="31">
        <v>6.0</v>
      </c>
      <c r="J28" s="31">
        <v>6.0</v>
      </c>
      <c r="K28" s="32">
        <v>13.0</v>
      </c>
      <c r="L28" s="31">
        <v>1.0</v>
      </c>
      <c r="M28" s="27">
        <f t="shared" ref="M28:N28" si="25">C28+K28</f>
        <v>197</v>
      </c>
      <c r="N28" s="28">
        <f t="shared" si="25"/>
        <v>13</v>
      </c>
      <c r="O28" s="33" t="s">
        <v>37</v>
      </c>
      <c r="P28" s="33" t="s">
        <v>37</v>
      </c>
      <c r="Q28" s="31">
        <f>if(G28=13,1,0)+VLOOKUP(B28,'102123'!B$5:Q$64,16,false)</f>
        <v>0</v>
      </c>
      <c r="R28" s="31"/>
      <c r="S28" s="31">
        <f>if(G28=9,1,0)+VLOOKUP(B28,'102123'!B:S,18,false)</f>
        <v>5</v>
      </c>
    </row>
    <row r="29">
      <c r="A29" s="25">
        <f t="shared" si="3"/>
        <v>25</v>
      </c>
      <c r="B29" s="26" t="s">
        <v>64</v>
      </c>
      <c r="C29" s="27">
        <v>183.0</v>
      </c>
      <c r="D29" s="28">
        <v>11.0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192</v>
      </c>
      <c r="N29" s="28">
        <f t="shared" si="26"/>
        <v>11</v>
      </c>
      <c r="O29" s="33" t="s">
        <v>37</v>
      </c>
      <c r="P29" s="33" t="s">
        <v>37</v>
      </c>
      <c r="Q29" s="31">
        <f>if(G29=13,1,0)+VLOOKUP(B29,'102123'!B$5:Q$64,16,false)</f>
        <v>0</v>
      </c>
      <c r="R29" s="31"/>
      <c r="S29" s="31">
        <f>if(G29=9,1,0)+VLOOKUP(B29,'102123'!B:S,18,false)</f>
        <v>12</v>
      </c>
    </row>
    <row r="30">
      <c r="A30" s="25">
        <f t="shared" si="3"/>
        <v>26</v>
      </c>
      <c r="B30" s="26" t="s">
        <v>74</v>
      </c>
      <c r="C30" s="27">
        <v>179.0</v>
      </c>
      <c r="D30" s="28">
        <v>13.0</v>
      </c>
      <c r="E30" s="30">
        <v>1.0</v>
      </c>
      <c r="F30" s="31">
        <v>5.0</v>
      </c>
      <c r="G30" s="27">
        <v>0.0</v>
      </c>
      <c r="H30" s="31">
        <v>6.0</v>
      </c>
      <c r="I30" s="31">
        <v>6.0</v>
      </c>
      <c r="J30" s="31">
        <v>2.0</v>
      </c>
      <c r="K30" s="32">
        <v>14.0</v>
      </c>
      <c r="L30" s="31">
        <v>1.0</v>
      </c>
      <c r="M30" s="27">
        <f t="shared" ref="M30:N30" si="27">C30+K30</f>
        <v>193</v>
      </c>
      <c r="N30" s="28">
        <f t="shared" si="27"/>
        <v>14</v>
      </c>
      <c r="O30" s="33" t="s">
        <v>37</v>
      </c>
      <c r="P30" s="33" t="s">
        <v>37</v>
      </c>
      <c r="Q30" s="31">
        <f>if(G30=13,1,0)+VLOOKUP(B30,'102123'!B$5:Q$64,16,false)</f>
        <v>0</v>
      </c>
      <c r="R30" s="31"/>
      <c r="S30" s="31">
        <f>if(G30=9,1,0)+VLOOKUP(B30,'102123'!B:S,18,false)</f>
        <v>4</v>
      </c>
    </row>
    <row r="31">
      <c r="A31" s="25">
        <f t="shared" si="3"/>
        <v>27</v>
      </c>
      <c r="B31" s="26" t="s">
        <v>75</v>
      </c>
      <c r="C31" s="27">
        <v>177.0</v>
      </c>
      <c r="D31" s="28">
        <v>12.0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186</v>
      </c>
      <c r="N31" s="28">
        <f t="shared" si="28"/>
        <v>12</v>
      </c>
      <c r="O31" s="33" t="s">
        <v>37</v>
      </c>
      <c r="P31" s="33" t="s">
        <v>37</v>
      </c>
      <c r="Q31" s="31">
        <f>if(G31=13,1,0)+VLOOKUP(B31,'102123'!B$5:Q$64,16,false)</f>
        <v>0</v>
      </c>
      <c r="R31" s="31"/>
      <c r="S31" s="31">
        <f>if(G31=9,1,0)+VLOOKUP(B31,'102123'!B:S,18,false)</f>
        <v>4</v>
      </c>
    </row>
    <row r="32">
      <c r="A32" s="25">
        <f t="shared" si="3"/>
        <v>28</v>
      </c>
      <c r="B32" s="26" t="s">
        <v>80</v>
      </c>
      <c r="C32" s="27">
        <v>177.0</v>
      </c>
      <c r="D32" s="28">
        <v>10.0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186</v>
      </c>
      <c r="N32" s="28">
        <f t="shared" si="29"/>
        <v>10</v>
      </c>
      <c r="O32" s="33" t="s">
        <v>37</v>
      </c>
      <c r="P32" s="33" t="s">
        <v>37</v>
      </c>
      <c r="Q32" s="31">
        <f>if(G32=13,1,0)+VLOOKUP(B32,'102123'!B$5:Q$64,16,false)</f>
        <v>0</v>
      </c>
      <c r="R32" s="31"/>
      <c r="S32" s="31">
        <f>if(G32=9,1,0)+VLOOKUP(B32,'102123'!B:S,18,false)</f>
        <v>13</v>
      </c>
    </row>
    <row r="33">
      <c r="A33" s="25">
        <f t="shared" si="3"/>
        <v>29</v>
      </c>
      <c r="B33" s="36" t="s">
        <v>81</v>
      </c>
      <c r="C33" s="27">
        <v>177.0</v>
      </c>
      <c r="D33" s="28">
        <v>9.0</v>
      </c>
      <c r="E33" s="30">
        <v>1.0</v>
      </c>
      <c r="F33" s="31">
        <v>5.0</v>
      </c>
      <c r="G33" s="27">
        <v>0.0</v>
      </c>
      <c r="H33" s="31">
        <v>1.0</v>
      </c>
      <c r="I33" s="31">
        <v>7.0</v>
      </c>
      <c r="J33" s="31">
        <v>2.0</v>
      </c>
      <c r="K33" s="32">
        <v>10.0</v>
      </c>
      <c r="L33" s="31">
        <v>1.0</v>
      </c>
      <c r="M33" s="27">
        <f t="shared" ref="M33:N33" si="30">C33+K33</f>
        <v>187</v>
      </c>
      <c r="N33" s="28">
        <f t="shared" si="30"/>
        <v>10</v>
      </c>
      <c r="O33" s="33" t="s">
        <v>37</v>
      </c>
      <c r="P33" s="33" t="s">
        <v>37</v>
      </c>
      <c r="Q33" s="31">
        <f>if(G33=13,1,0)+VLOOKUP(B33,'102123'!B$5:Q$64,16,false)</f>
        <v>0</v>
      </c>
      <c r="R33" s="31"/>
      <c r="S33" s="31">
        <f>if(G33=9,1,0)+VLOOKUP(B33,'102123'!B:S,18,false)</f>
        <v>5</v>
      </c>
    </row>
    <row r="34">
      <c r="A34" s="25">
        <f t="shared" si="3"/>
        <v>30</v>
      </c>
      <c r="B34" s="36" t="s">
        <v>63</v>
      </c>
      <c r="C34" s="27">
        <v>172.0</v>
      </c>
      <c r="D34" s="28">
        <v>8.0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181</v>
      </c>
      <c r="N34" s="28">
        <f t="shared" si="31"/>
        <v>8</v>
      </c>
      <c r="O34" s="33" t="s">
        <v>37</v>
      </c>
      <c r="P34" s="33" t="s">
        <v>37</v>
      </c>
      <c r="Q34" s="31">
        <f>if(G34=13,1,0)+VLOOKUP(B34,'102123'!B$5:Q$64,16,false)</f>
        <v>0</v>
      </c>
      <c r="R34" s="31"/>
      <c r="S34" s="31">
        <f>if(G34=9,1,0)+VLOOKUP(B34,'102123'!B:S,18,false)</f>
        <v>13</v>
      </c>
    </row>
    <row r="35">
      <c r="A35" s="25">
        <f t="shared" si="3"/>
        <v>31</v>
      </c>
      <c r="B35" s="36" t="s">
        <v>83</v>
      </c>
      <c r="C35" s="27">
        <v>171.0</v>
      </c>
      <c r="D35" s="28">
        <v>9.0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180</v>
      </c>
      <c r="N35" s="28">
        <f t="shared" si="32"/>
        <v>9</v>
      </c>
      <c r="O35" s="33" t="s">
        <v>37</v>
      </c>
      <c r="P35" s="33" t="s">
        <v>37</v>
      </c>
      <c r="Q35" s="31">
        <f>if(G35=13,1,0)+VLOOKUP(B35,'102123'!B$5:Q$64,16,false)</f>
        <v>0</v>
      </c>
      <c r="R35" s="31"/>
      <c r="S35" s="31">
        <f>if(G35=9,1,0)+VLOOKUP(B35,'102123'!B:S,18,false)</f>
        <v>9</v>
      </c>
    </row>
    <row r="36">
      <c r="A36" s="25">
        <f t="shared" si="3"/>
        <v>32</v>
      </c>
      <c r="B36" s="26" t="s">
        <v>79</v>
      </c>
      <c r="C36" s="27">
        <v>170.0</v>
      </c>
      <c r="D36" s="28">
        <v>16.0</v>
      </c>
      <c r="E36" s="30">
        <v>2.0</v>
      </c>
      <c r="F36" s="31">
        <v>6.0</v>
      </c>
      <c r="G36" s="27">
        <v>0.0</v>
      </c>
      <c r="H36" s="31">
        <v>7.0</v>
      </c>
      <c r="I36" s="31">
        <v>6.0</v>
      </c>
      <c r="J36" s="31">
        <v>6.0</v>
      </c>
      <c r="K36" s="32">
        <v>19.0</v>
      </c>
      <c r="L36" s="31">
        <v>2.0</v>
      </c>
      <c r="M36" s="27">
        <f t="shared" ref="M36:N36" si="33">C36+K36</f>
        <v>189</v>
      </c>
      <c r="N36" s="28">
        <f t="shared" si="33"/>
        <v>18</v>
      </c>
      <c r="O36" s="33" t="s">
        <v>37</v>
      </c>
      <c r="P36" s="33" t="s">
        <v>37</v>
      </c>
      <c r="Q36" s="31">
        <f>if(G36=13,1,0)+VLOOKUP(B36,'102123'!B$5:Q$64,16,false)</f>
        <v>0</v>
      </c>
      <c r="R36" s="31"/>
      <c r="S36" s="31">
        <f>if(G36=9,1,0)+VLOOKUP(B36,'102123'!B:S,18,false)</f>
        <v>2</v>
      </c>
    </row>
    <row r="37">
      <c r="A37" s="25">
        <f t="shared" si="3"/>
        <v>33</v>
      </c>
      <c r="B37" s="26" t="s">
        <v>78</v>
      </c>
      <c r="C37" s="27">
        <v>170.0</v>
      </c>
      <c r="D37" s="28">
        <v>15.0</v>
      </c>
      <c r="E37" s="30">
        <v>2.0</v>
      </c>
      <c r="F37" s="31">
        <v>6.0</v>
      </c>
      <c r="G37" s="27">
        <v>0.0</v>
      </c>
      <c r="H37" s="31">
        <v>6.0</v>
      </c>
      <c r="I37" s="31">
        <v>3.0</v>
      </c>
      <c r="J37" s="31">
        <v>6.0</v>
      </c>
      <c r="K37" s="32">
        <v>15.0</v>
      </c>
      <c r="L37" s="31">
        <v>0.0</v>
      </c>
      <c r="M37" s="27">
        <f t="shared" ref="M37:N37" si="34">C37+K37</f>
        <v>185</v>
      </c>
      <c r="N37" s="28">
        <f t="shared" si="34"/>
        <v>15</v>
      </c>
      <c r="O37" s="33" t="s">
        <v>37</v>
      </c>
      <c r="P37" s="33" t="s">
        <v>37</v>
      </c>
      <c r="Q37" s="31">
        <f>if(G37=13,1,0)+VLOOKUP(B37,'102123'!B$5:Q$64,16,false)</f>
        <v>0</v>
      </c>
      <c r="R37" s="31"/>
      <c r="S37" s="31">
        <f>if(G37=9,1,0)+VLOOKUP(B37,'102123'!B:S,18,false)</f>
        <v>5</v>
      </c>
    </row>
    <row r="38">
      <c r="A38" s="25">
        <f t="shared" si="3"/>
        <v>34</v>
      </c>
      <c r="B38" s="36" t="s">
        <v>77</v>
      </c>
      <c r="C38" s="27">
        <v>170.0</v>
      </c>
      <c r="D38" s="28">
        <v>8.0</v>
      </c>
      <c r="E38" s="30">
        <v>1.0</v>
      </c>
      <c r="F38" s="31">
        <v>6.0</v>
      </c>
      <c r="G38" s="27">
        <v>0.0</v>
      </c>
      <c r="H38" s="31">
        <v>6.0</v>
      </c>
      <c r="I38" s="31">
        <v>6.0</v>
      </c>
      <c r="J38" s="31">
        <v>7.0</v>
      </c>
      <c r="K38" s="32">
        <v>19.0</v>
      </c>
      <c r="L38" s="31">
        <v>2.0</v>
      </c>
      <c r="M38" s="27">
        <f t="shared" ref="M38:N38" si="35">C38+K38</f>
        <v>189</v>
      </c>
      <c r="N38" s="28">
        <f t="shared" si="35"/>
        <v>10</v>
      </c>
      <c r="O38" s="33" t="s">
        <v>37</v>
      </c>
      <c r="P38" s="33" t="s">
        <v>37</v>
      </c>
      <c r="Q38" s="31">
        <f>if(G38=13,1,0)+VLOOKUP(B38,'102123'!B$5:Q$64,16,false)</f>
        <v>0</v>
      </c>
      <c r="R38" s="31"/>
      <c r="S38" s="31">
        <f>if(G38=9,1,0)+VLOOKUP(B38,'102123'!B:S,18,false)</f>
        <v>12</v>
      </c>
    </row>
    <row r="39">
      <c r="A39" s="25">
        <f t="shared" si="3"/>
        <v>35</v>
      </c>
      <c r="B39" s="26" t="s">
        <v>73</v>
      </c>
      <c r="C39" s="27">
        <v>170.0</v>
      </c>
      <c r="D39" s="28">
        <v>6.0</v>
      </c>
      <c r="E39" s="30">
        <v>1.0</v>
      </c>
      <c r="F39" s="31">
        <v>6.0</v>
      </c>
      <c r="G39" s="27">
        <v>0.0</v>
      </c>
      <c r="H39" s="31">
        <v>7.0</v>
      </c>
      <c r="I39" s="31">
        <v>3.0</v>
      </c>
      <c r="J39" s="31">
        <v>7.0</v>
      </c>
      <c r="K39" s="32">
        <v>17.0</v>
      </c>
      <c r="L39" s="31">
        <v>2.0</v>
      </c>
      <c r="M39" s="27">
        <f t="shared" ref="M39:N39" si="36">C39+K39</f>
        <v>187</v>
      </c>
      <c r="N39" s="28">
        <f t="shared" si="36"/>
        <v>8</v>
      </c>
      <c r="O39" s="33" t="s">
        <v>37</v>
      </c>
      <c r="P39" s="33" t="s">
        <v>37</v>
      </c>
      <c r="Q39" s="31">
        <f>if(G39=13,1,0)+VLOOKUP(B39,'102123'!B$5:Q$64,16,false)</f>
        <v>0</v>
      </c>
      <c r="R39" s="31"/>
      <c r="S39" s="31">
        <f>if(G39=9,1,0)+VLOOKUP(B39,'102123'!B:S,18,false)</f>
        <v>11</v>
      </c>
    </row>
    <row r="40">
      <c r="A40" s="25">
        <f t="shared" si="3"/>
        <v>36</v>
      </c>
      <c r="B40" s="26" t="s">
        <v>71</v>
      </c>
      <c r="C40" s="27">
        <v>168.0</v>
      </c>
      <c r="D40" s="28">
        <v>8.0</v>
      </c>
      <c r="E40" s="30">
        <v>1.0</v>
      </c>
      <c r="F40" s="31">
        <v>7.0</v>
      </c>
      <c r="G40" s="27">
        <v>0.0</v>
      </c>
      <c r="H40" s="31">
        <v>6.0</v>
      </c>
      <c r="I40" s="31">
        <v>6.0</v>
      </c>
      <c r="J40" s="31">
        <v>6.0</v>
      </c>
      <c r="K40" s="32">
        <v>18.0</v>
      </c>
      <c r="L40" s="31">
        <v>3.0</v>
      </c>
      <c r="M40" s="27">
        <f t="shared" ref="M40:N40" si="37">C40+K40</f>
        <v>186</v>
      </c>
      <c r="N40" s="28">
        <f t="shared" si="37"/>
        <v>11</v>
      </c>
      <c r="O40" s="33" t="s">
        <v>37</v>
      </c>
      <c r="P40" s="33" t="s">
        <v>37</v>
      </c>
      <c r="Q40" s="31">
        <f>if(G40=13,1,0)+VLOOKUP(B40,'102123'!B$5:Q$64,16,false)</f>
        <v>1</v>
      </c>
      <c r="R40" s="31"/>
      <c r="S40" s="31">
        <f>if(G40=9,1,0)+VLOOKUP(B40,'102123'!B:S,18,false)</f>
        <v>11</v>
      </c>
    </row>
    <row r="41">
      <c r="A41" s="25">
        <f t="shared" si="3"/>
        <v>37</v>
      </c>
      <c r="B41" s="36" t="s">
        <v>88</v>
      </c>
      <c r="C41" s="27">
        <v>166.0</v>
      </c>
      <c r="D41" s="28">
        <v>8.0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175</v>
      </c>
      <c r="N41" s="28">
        <f t="shared" si="38"/>
        <v>8</v>
      </c>
      <c r="O41" s="33" t="s">
        <v>37</v>
      </c>
      <c r="P41" s="33" t="s">
        <v>37</v>
      </c>
      <c r="Q41" s="31">
        <f>if(G41=13,1,0)+VLOOKUP(B41,'102123'!B$5:Q$64,16,false)</f>
        <v>0</v>
      </c>
      <c r="R41" s="31"/>
      <c r="S41" s="31">
        <f>if(G41=9,1,0)+VLOOKUP(B41,'102123'!B:S,18,false)</f>
        <v>11</v>
      </c>
    </row>
    <row r="42">
      <c r="A42" s="25">
        <f t="shared" si="3"/>
        <v>38</v>
      </c>
      <c r="B42" s="26" t="s">
        <v>89</v>
      </c>
      <c r="C42" s="27">
        <v>164.0</v>
      </c>
      <c r="D42" s="28">
        <v>8.0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173</v>
      </c>
      <c r="N42" s="28">
        <f t="shared" si="39"/>
        <v>8</v>
      </c>
      <c r="O42" s="33" t="s">
        <v>37</v>
      </c>
      <c r="P42" s="33" t="s">
        <v>37</v>
      </c>
      <c r="Q42" s="31">
        <f>if(G42=13,1,0)+VLOOKUP(B42,'102123'!B$5:Q$64,16,false)</f>
        <v>2</v>
      </c>
      <c r="R42" s="31"/>
      <c r="S42" s="31">
        <f>if(G42=9,1,0)+VLOOKUP(B42,'102123'!B:S,18,false)</f>
        <v>5</v>
      </c>
    </row>
    <row r="43">
      <c r="A43" s="25">
        <f t="shared" si="3"/>
        <v>39</v>
      </c>
      <c r="B43" s="26" t="s">
        <v>87</v>
      </c>
      <c r="C43" s="27">
        <v>164.0</v>
      </c>
      <c r="D43" s="28">
        <v>8.0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173</v>
      </c>
      <c r="N43" s="28">
        <f t="shared" si="40"/>
        <v>8</v>
      </c>
      <c r="O43" s="33" t="s">
        <v>37</v>
      </c>
      <c r="P43" s="33" t="s">
        <v>37</v>
      </c>
      <c r="Q43" s="31">
        <f>if(G43=13,1,0)+VLOOKUP(B43,'102123'!B$5:Q$64,16,false)</f>
        <v>1</v>
      </c>
      <c r="R43" s="31"/>
      <c r="S43" s="31">
        <f>if(G43=9,1,0)+VLOOKUP(B43,'102123'!B:S,18,false)</f>
        <v>8</v>
      </c>
    </row>
    <row r="44">
      <c r="A44" s="25">
        <f t="shared" si="3"/>
        <v>40</v>
      </c>
      <c r="B44" s="26" t="s">
        <v>86</v>
      </c>
      <c r="C44" s="27">
        <v>164.0</v>
      </c>
      <c r="D44" s="28">
        <v>8.0</v>
      </c>
      <c r="E44" s="30">
        <v>1.0</v>
      </c>
      <c r="F44" s="31">
        <v>7.0</v>
      </c>
      <c r="G44" s="27">
        <v>0.0</v>
      </c>
      <c r="H44" s="31">
        <v>4.0</v>
      </c>
      <c r="I44" s="31">
        <v>0.0</v>
      </c>
      <c r="J44" s="31">
        <v>6.0</v>
      </c>
      <c r="K44" s="32">
        <v>10.0</v>
      </c>
      <c r="L44" s="31">
        <v>1.0</v>
      </c>
      <c r="M44" s="27">
        <f t="shared" ref="M44:N44" si="41">C44+K44</f>
        <v>174</v>
      </c>
      <c r="N44" s="28">
        <f t="shared" si="41"/>
        <v>9</v>
      </c>
      <c r="O44" s="33" t="s">
        <v>37</v>
      </c>
      <c r="P44" s="33" t="s">
        <v>37</v>
      </c>
      <c r="Q44" s="31">
        <f>if(G44=13,1,0)+VLOOKUP(B44,'102123'!B$5:Q$64,16,false)</f>
        <v>0</v>
      </c>
      <c r="R44" s="31"/>
      <c r="S44" s="31">
        <f>if(G44=9,1,0)+VLOOKUP(B44,'102123'!B:S,18,false)</f>
        <v>9</v>
      </c>
    </row>
    <row r="45">
      <c r="A45" s="25">
        <f t="shared" si="3"/>
        <v>41</v>
      </c>
      <c r="B45" s="36" t="s">
        <v>69</v>
      </c>
      <c r="C45" s="27">
        <v>162.0</v>
      </c>
      <c r="D45" s="28">
        <v>5.0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171</v>
      </c>
      <c r="N45" s="28">
        <f t="shared" si="42"/>
        <v>5</v>
      </c>
      <c r="O45" s="33" t="s">
        <v>37</v>
      </c>
      <c r="P45" s="33" t="s">
        <v>37</v>
      </c>
      <c r="Q45" s="31">
        <f>if(G45=13,1,0)+VLOOKUP(B45,'102123'!B$5:Q$64,16,false)</f>
        <v>0</v>
      </c>
      <c r="R45" s="31"/>
      <c r="S45" s="31">
        <f>if(G45=9,1,0)+VLOOKUP(B45,'102123'!B:S,18,false)</f>
        <v>15</v>
      </c>
    </row>
    <row r="46">
      <c r="A46" s="25">
        <f t="shared" si="3"/>
        <v>42</v>
      </c>
      <c r="B46" s="26" t="s">
        <v>90</v>
      </c>
      <c r="C46" s="27">
        <v>159.0</v>
      </c>
      <c r="D46" s="28">
        <v>11.0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168</v>
      </c>
      <c r="N46" s="28">
        <f t="shared" si="43"/>
        <v>11</v>
      </c>
      <c r="O46" s="33" t="s">
        <v>37</v>
      </c>
      <c r="P46" s="33" t="s">
        <v>37</v>
      </c>
      <c r="Q46" s="31">
        <f>if(G46=13,1,0)+VLOOKUP(B46,'102123'!B$5:Q$64,16,false)</f>
        <v>0</v>
      </c>
      <c r="R46" s="31"/>
      <c r="S46" s="31">
        <f>if(G46=9,1,0)+VLOOKUP(B46,'102123'!B:S,18,false)</f>
        <v>8</v>
      </c>
    </row>
    <row r="47">
      <c r="A47" s="25">
        <f t="shared" si="3"/>
        <v>43</v>
      </c>
      <c r="B47" s="26" t="s">
        <v>91</v>
      </c>
      <c r="C47" s="27">
        <v>159.0</v>
      </c>
      <c r="D47" s="28">
        <v>3.0</v>
      </c>
      <c r="E47" s="30">
        <v>1.0</v>
      </c>
      <c r="F47" s="31">
        <v>7.0</v>
      </c>
      <c r="G47" s="27">
        <v>0.0</v>
      </c>
      <c r="H47" s="31">
        <v>6.0</v>
      </c>
      <c r="I47" s="31">
        <v>0.0</v>
      </c>
      <c r="J47" s="31">
        <v>0.0</v>
      </c>
      <c r="K47" s="32">
        <v>6.0</v>
      </c>
      <c r="L47" s="31">
        <v>1.0</v>
      </c>
      <c r="M47" s="27">
        <f t="shared" ref="M47:N47" si="44">C47+K47</f>
        <v>165</v>
      </c>
      <c r="N47" s="28">
        <f t="shared" si="44"/>
        <v>4</v>
      </c>
      <c r="O47" s="33" t="s">
        <v>37</v>
      </c>
      <c r="P47" s="33" t="s">
        <v>37</v>
      </c>
      <c r="Q47" s="31">
        <f>if(G47=13,1,0)+VLOOKUP(B47,'102123'!B$5:Q$64,16,false)</f>
        <v>1</v>
      </c>
      <c r="R47" s="31"/>
      <c r="S47" s="31">
        <f>if(G47=9,1,0)+VLOOKUP(B47,'102123'!B:S,18,false)</f>
        <v>13</v>
      </c>
    </row>
    <row r="48">
      <c r="A48" s="25">
        <f t="shared" si="3"/>
        <v>44</v>
      </c>
      <c r="B48" s="36" t="s">
        <v>93</v>
      </c>
      <c r="C48" s="27">
        <v>158.0</v>
      </c>
      <c r="D48" s="28">
        <v>5.0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167</v>
      </c>
      <c r="N48" s="28">
        <f t="shared" si="45"/>
        <v>5</v>
      </c>
      <c r="O48" s="33" t="s">
        <v>37</v>
      </c>
      <c r="P48" s="33" t="s">
        <v>37</v>
      </c>
      <c r="Q48" s="31">
        <f>if(G48=13,1,0)+VLOOKUP(B48,'102123'!B$5:Q$64,16,false)</f>
        <v>0</v>
      </c>
      <c r="R48" s="31"/>
      <c r="S48" s="31">
        <f>if(G48=9,1,0)+VLOOKUP(B48,'102123'!B:S,18,false)</f>
        <v>15</v>
      </c>
    </row>
    <row r="49">
      <c r="A49" s="25">
        <f t="shared" si="3"/>
        <v>45</v>
      </c>
      <c r="B49" s="36" t="s">
        <v>94</v>
      </c>
      <c r="C49" s="27">
        <v>155.0</v>
      </c>
      <c r="D49" s="28">
        <v>3.0</v>
      </c>
      <c r="E49" s="30">
        <v>1.0</v>
      </c>
      <c r="F49" s="31">
        <v>7.0</v>
      </c>
      <c r="G49" s="27">
        <v>0.0</v>
      </c>
      <c r="H49" s="31">
        <v>4.0</v>
      </c>
      <c r="I49" s="31">
        <v>6.0</v>
      </c>
      <c r="J49" s="31">
        <v>0.0</v>
      </c>
      <c r="K49" s="32">
        <v>10.0</v>
      </c>
      <c r="L49" s="31">
        <v>1.0</v>
      </c>
      <c r="M49" s="27">
        <f t="shared" ref="M49:N49" si="46">C49+K49</f>
        <v>165</v>
      </c>
      <c r="N49" s="28">
        <f t="shared" si="46"/>
        <v>4</v>
      </c>
      <c r="O49" s="33" t="s">
        <v>37</v>
      </c>
      <c r="P49" s="33" t="s">
        <v>37</v>
      </c>
      <c r="Q49" s="31">
        <f>if(G49=13,1,0)+VLOOKUP(B49,'102123'!B$5:Q$64,16,false)</f>
        <v>0</v>
      </c>
      <c r="R49" s="31"/>
      <c r="S49" s="31">
        <f>if(G49=9,1,0)+VLOOKUP(B49,'102123'!B:S,18,false)</f>
        <v>12</v>
      </c>
    </row>
    <row r="50">
      <c r="A50" s="25">
        <f t="shared" si="3"/>
        <v>46</v>
      </c>
      <c r="B50" s="36" t="s">
        <v>85</v>
      </c>
      <c r="C50" s="27">
        <v>154.0</v>
      </c>
      <c r="D50" s="28">
        <v>11.0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163</v>
      </c>
      <c r="N50" s="28">
        <f t="shared" si="47"/>
        <v>11</v>
      </c>
      <c r="O50" s="33" t="s">
        <v>37</v>
      </c>
      <c r="P50" s="33" t="s">
        <v>37</v>
      </c>
      <c r="Q50" s="31">
        <f>if(G50=13,1,0)+VLOOKUP(B50,'102123'!B$5:Q$64,16,false)</f>
        <v>0</v>
      </c>
      <c r="R50" s="31"/>
      <c r="S50" s="31">
        <f>if(G50=9,1,0)+VLOOKUP(B50,'102123'!B:S,18,false)</f>
        <v>8</v>
      </c>
    </row>
    <row r="51">
      <c r="A51" s="25">
        <f t="shared" si="3"/>
        <v>47</v>
      </c>
      <c r="B51" s="36" t="s">
        <v>97</v>
      </c>
      <c r="C51" s="27">
        <v>153.0</v>
      </c>
      <c r="D51" s="28">
        <v>7.0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162</v>
      </c>
      <c r="N51" s="28">
        <f t="shared" si="48"/>
        <v>7</v>
      </c>
      <c r="O51" s="33" t="s">
        <v>37</v>
      </c>
      <c r="P51" s="33" t="s">
        <v>37</v>
      </c>
      <c r="Q51" s="31">
        <f>if(G51=13,1,0)+VLOOKUP(B51,'102123'!B$5:Q$64,16,false)</f>
        <v>0</v>
      </c>
      <c r="R51" s="31"/>
      <c r="S51" s="31">
        <f>if(G51=9,1,0)+VLOOKUP(B51,'102123'!B:S,18,false)</f>
        <v>11</v>
      </c>
    </row>
    <row r="52">
      <c r="A52" s="25">
        <f t="shared" si="3"/>
        <v>48</v>
      </c>
      <c r="B52" s="36" t="s">
        <v>98</v>
      </c>
      <c r="C52" s="27">
        <v>153.0</v>
      </c>
      <c r="D52" s="28">
        <v>3.0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162</v>
      </c>
      <c r="N52" s="28">
        <f t="shared" si="49"/>
        <v>3</v>
      </c>
      <c r="O52" s="33" t="s">
        <v>37</v>
      </c>
      <c r="P52" s="33" t="s">
        <v>37</v>
      </c>
      <c r="Q52" s="31">
        <f>if(G52=13,1,0)+VLOOKUP(B52,'102123'!B$5:Q$64,16,false)</f>
        <v>0</v>
      </c>
      <c r="R52" s="31"/>
      <c r="S52" s="31">
        <f>if(G52=9,1,0)+VLOOKUP(B52,'102123'!B:S,18,false)</f>
        <v>12</v>
      </c>
    </row>
    <row r="53">
      <c r="A53" s="25">
        <f t="shared" si="3"/>
        <v>49</v>
      </c>
      <c r="B53" s="36" t="s">
        <v>99</v>
      </c>
      <c r="C53" s="27">
        <v>153.0</v>
      </c>
      <c r="D53" s="28">
        <v>3.0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162</v>
      </c>
      <c r="N53" s="28">
        <f t="shared" si="50"/>
        <v>3</v>
      </c>
      <c r="O53" s="33" t="s">
        <v>37</v>
      </c>
      <c r="P53" s="33" t="s">
        <v>37</v>
      </c>
      <c r="Q53" s="31">
        <f>if(G53=13,1,0)+VLOOKUP(B53,'102123'!B$5:Q$64,16,false)</f>
        <v>0</v>
      </c>
      <c r="R53" s="31"/>
      <c r="S53" s="31">
        <f>if(G53=9,1,0)+VLOOKUP(B53,'102123'!B:S,18,false)</f>
        <v>13</v>
      </c>
    </row>
    <row r="54">
      <c r="A54" s="25">
        <f t="shared" si="3"/>
        <v>50</v>
      </c>
      <c r="B54" s="36" t="s">
        <v>96</v>
      </c>
      <c r="C54" s="27">
        <v>151.0</v>
      </c>
      <c r="D54" s="28">
        <v>10.0</v>
      </c>
      <c r="E54" s="30">
        <v>1.0</v>
      </c>
      <c r="F54" s="31">
        <v>8.0</v>
      </c>
      <c r="G54" s="27">
        <v>0.0</v>
      </c>
      <c r="H54" s="31">
        <v>0.0</v>
      </c>
      <c r="I54" s="31">
        <v>1.0</v>
      </c>
      <c r="J54" s="31">
        <v>0.0</v>
      </c>
      <c r="K54" s="32">
        <v>1.0</v>
      </c>
      <c r="L54" s="31">
        <v>0.0</v>
      </c>
      <c r="M54" s="27">
        <f t="shared" ref="M54:N54" si="51">C54+K54</f>
        <v>152</v>
      </c>
      <c r="N54" s="28">
        <f t="shared" si="51"/>
        <v>10</v>
      </c>
      <c r="O54" s="33" t="s">
        <v>37</v>
      </c>
      <c r="P54" s="33" t="s">
        <v>37</v>
      </c>
      <c r="Q54" s="31">
        <f>if(G54=13,1,0)+VLOOKUP(B54,'102123'!B$5:Q$64,16,false)</f>
        <v>0</v>
      </c>
      <c r="R54" s="31"/>
      <c r="S54" s="31">
        <f>if(G54=9,1,0)+VLOOKUP(B54,'102123'!B:S,18,false)</f>
        <v>7</v>
      </c>
    </row>
    <row r="55">
      <c r="A55" s="25">
        <f t="shared" si="3"/>
        <v>51</v>
      </c>
      <c r="B55" s="26" t="s">
        <v>95</v>
      </c>
      <c r="C55" s="27">
        <v>151.0</v>
      </c>
      <c r="D55" s="28">
        <v>5.0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160</v>
      </c>
      <c r="N55" s="28">
        <f t="shared" si="52"/>
        <v>5</v>
      </c>
      <c r="O55" s="33" t="s">
        <v>37</v>
      </c>
      <c r="P55" s="33" t="s">
        <v>37</v>
      </c>
      <c r="Q55" s="31">
        <f>if(G55=13,1,0)+VLOOKUP(B55,'102123'!B$5:Q$64,16,false)</f>
        <v>0</v>
      </c>
      <c r="R55" s="31"/>
      <c r="S55" s="31">
        <f>if(G55=9,1,0)+VLOOKUP(B55,'102123'!B:S,18,false)</f>
        <v>12</v>
      </c>
    </row>
    <row r="56">
      <c r="A56" s="25">
        <f t="shared" si="3"/>
        <v>52</v>
      </c>
      <c r="B56" s="36" t="s">
        <v>76</v>
      </c>
      <c r="C56" s="27">
        <v>148.0</v>
      </c>
      <c r="D56" s="28">
        <v>2.0</v>
      </c>
      <c r="E56" s="30">
        <v>1.0</v>
      </c>
      <c r="F56" s="31">
        <v>8.0</v>
      </c>
      <c r="G56" s="27">
        <v>0.0</v>
      </c>
      <c r="H56" s="31">
        <v>6.0</v>
      </c>
      <c r="I56" s="31">
        <v>6.0</v>
      </c>
      <c r="J56" s="31">
        <v>0.0</v>
      </c>
      <c r="K56" s="32">
        <v>12.0</v>
      </c>
      <c r="L56" s="31">
        <v>2.0</v>
      </c>
      <c r="M56" s="27">
        <f t="shared" ref="M56:N56" si="53">C56+K56</f>
        <v>160</v>
      </c>
      <c r="N56" s="28">
        <f t="shared" si="53"/>
        <v>4</v>
      </c>
      <c r="O56" s="33" t="s">
        <v>37</v>
      </c>
      <c r="P56" s="33" t="s">
        <v>37</v>
      </c>
      <c r="Q56" s="31">
        <f>if(G56=13,1,0)+VLOOKUP(B56,'102123'!B$5:Q$64,16,false)</f>
        <v>0</v>
      </c>
      <c r="R56" s="31"/>
      <c r="S56" s="31">
        <f>if(G56=9,1,0)+VLOOKUP(B56,'102123'!B:S,18,false)</f>
        <v>15</v>
      </c>
    </row>
    <row r="57">
      <c r="A57" s="25">
        <f t="shared" si="3"/>
        <v>53</v>
      </c>
      <c r="B57" s="26" t="s">
        <v>100</v>
      </c>
      <c r="C57" s="27">
        <v>148.0</v>
      </c>
      <c r="D57" s="28">
        <v>2.0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157</v>
      </c>
      <c r="N57" s="28">
        <f t="shared" si="54"/>
        <v>2</v>
      </c>
      <c r="O57" s="33" t="s">
        <v>37</v>
      </c>
      <c r="P57" s="33" t="s">
        <v>37</v>
      </c>
      <c r="Q57" s="31">
        <f>if(G57=13,1,0)+VLOOKUP(B57,'102123'!B$5:Q$64,16,false)</f>
        <v>0</v>
      </c>
      <c r="R57" s="31"/>
      <c r="S57" s="31">
        <f>if(G57=9,1,0)+VLOOKUP(B57,'102123'!B:S,18,false)</f>
        <v>16</v>
      </c>
    </row>
    <row r="58">
      <c r="A58" s="25">
        <f t="shared" si="3"/>
        <v>54</v>
      </c>
      <c r="B58" s="36" t="s">
        <v>101</v>
      </c>
      <c r="C58" s="27">
        <v>148.0</v>
      </c>
      <c r="D58" s="28">
        <v>2.0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157</v>
      </c>
      <c r="N58" s="28">
        <f t="shared" si="55"/>
        <v>2</v>
      </c>
      <c r="O58" s="33" t="s">
        <v>37</v>
      </c>
      <c r="P58" s="33" t="s">
        <v>37</v>
      </c>
      <c r="Q58" s="31">
        <f>if(G58=13,1,0)+VLOOKUP(B58,'102123'!B$5:Q$64,16,false)</f>
        <v>0</v>
      </c>
      <c r="R58" s="31"/>
      <c r="S58" s="31">
        <f>if(G58=9,1,0)+VLOOKUP(B58,'102123'!B:S,18,false)</f>
        <v>16</v>
      </c>
    </row>
    <row r="59">
      <c r="A59" s="25">
        <f t="shared" si="3"/>
        <v>55</v>
      </c>
      <c r="B59" s="26" t="s">
        <v>103</v>
      </c>
      <c r="C59" s="27">
        <v>144.0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153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if(G59=13,1,0)+VLOOKUP(B59,'102123'!B$5:Q$64,16,false)</f>
        <v>0</v>
      </c>
      <c r="R59" s="31"/>
      <c r="S59" s="31">
        <f>if(G59=9,1,0)+VLOOKUP(B59,'102123'!B:S,18,false)</f>
        <v>17</v>
      </c>
    </row>
    <row r="60">
      <c r="A60" s="25">
        <f t="shared" si="3"/>
        <v>56</v>
      </c>
      <c r="B60" s="38" t="s">
        <v>82</v>
      </c>
      <c r="C60" s="27">
        <v>144.0</v>
      </c>
      <c r="D60" s="28">
        <v>0.0</v>
      </c>
      <c r="E60" s="30">
        <v>1.0</v>
      </c>
      <c r="F60" s="31">
        <v>8.0</v>
      </c>
      <c r="G60" s="27"/>
      <c r="H60" s="31"/>
      <c r="I60" s="31">
        <v>6.0</v>
      </c>
      <c r="J60" s="31">
        <v>6.0</v>
      </c>
      <c r="K60" s="32">
        <v>12.0</v>
      </c>
      <c r="L60" s="31">
        <v>2.0</v>
      </c>
      <c r="M60" s="27">
        <f t="shared" ref="M60:N60" si="57">C60+K60</f>
        <v>156</v>
      </c>
      <c r="N60" s="28">
        <f t="shared" si="57"/>
        <v>2</v>
      </c>
      <c r="O60" s="33" t="s">
        <v>37</v>
      </c>
      <c r="P60" s="33" t="s">
        <v>37</v>
      </c>
      <c r="Q60" s="31"/>
      <c r="R60" s="31"/>
      <c r="S60" s="31">
        <v>16.0</v>
      </c>
    </row>
    <row r="61">
      <c r="A61" s="25">
        <f t="shared" si="3"/>
        <v>57</v>
      </c>
      <c r="B61" s="36" t="s">
        <v>104</v>
      </c>
      <c r="C61" s="27">
        <v>144.0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153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if(G61=13,1,0)+VLOOKUP(B61,'102123'!B$5:Q$64,16,false)</f>
        <v>0</v>
      </c>
      <c r="R61" s="31"/>
      <c r="S61" s="31">
        <f>if(G61=9,1,0)+VLOOKUP(B61,'102123'!B:S,18,false)</f>
        <v>17</v>
      </c>
    </row>
    <row r="62">
      <c r="A62" s="25">
        <f t="shared" si="3"/>
        <v>58</v>
      </c>
      <c r="B62" s="26" t="s">
        <v>105</v>
      </c>
      <c r="C62" s="27">
        <v>144.0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153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if(G62=13,1,0)+VLOOKUP(B62,'102123'!B$5:Q$64,16,false)</f>
        <v>0</v>
      </c>
      <c r="R62" s="31"/>
      <c r="S62" s="31">
        <f>if(G62=9,1,0)+VLOOKUP(B62,'102123'!B:S,18,false)</f>
        <v>17</v>
      </c>
    </row>
    <row r="63">
      <c r="A63" s="25">
        <f t="shared" si="3"/>
        <v>59</v>
      </c>
      <c r="B63" s="26" t="s">
        <v>106</v>
      </c>
      <c r="C63" s="27">
        <v>144.0</v>
      </c>
      <c r="D63" s="28">
        <v>0.0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153</v>
      </c>
      <c r="N63" s="28">
        <f t="shared" si="60"/>
        <v>0</v>
      </c>
      <c r="O63" s="33" t="s">
        <v>37</v>
      </c>
      <c r="P63" s="33" t="s">
        <v>37</v>
      </c>
      <c r="Q63" s="31">
        <f>if(G63=13,1,0)+VLOOKUP(B63,'102123'!B$5:Q$64,16,false)</f>
        <v>0</v>
      </c>
      <c r="R63" s="31"/>
      <c r="S63" s="31">
        <f>if(G63=9,1,0)+VLOOKUP(B63,'102123'!B:S,18,false)</f>
        <v>17</v>
      </c>
    </row>
    <row r="64">
      <c r="A64" s="25">
        <f t="shared" si="3"/>
        <v>60</v>
      </c>
      <c r="B64" s="36" t="s">
        <v>102</v>
      </c>
      <c r="C64" s="27">
        <v>144.0</v>
      </c>
      <c r="D64" s="28">
        <v>0.0</v>
      </c>
      <c r="E64" s="30">
        <v>1.0</v>
      </c>
      <c r="F64" s="31">
        <v>8.0</v>
      </c>
      <c r="G64" s="27"/>
      <c r="H64" s="31">
        <v>6.0</v>
      </c>
      <c r="I64" s="31">
        <v>1.0</v>
      </c>
      <c r="J64" s="31">
        <v>6.0</v>
      </c>
      <c r="K64" s="32">
        <v>13.0</v>
      </c>
      <c r="L64" s="31">
        <v>2.0</v>
      </c>
      <c r="M64" s="27">
        <f t="shared" ref="M64:N64" si="61">C64+K64</f>
        <v>157</v>
      </c>
      <c r="N64" s="28">
        <f t="shared" si="61"/>
        <v>2</v>
      </c>
      <c r="O64" s="33" t="s">
        <v>37</v>
      </c>
      <c r="P64" s="33" t="s">
        <v>37</v>
      </c>
      <c r="Q64" s="31"/>
      <c r="R64" s="31"/>
      <c r="S64" s="31">
        <v>16.0</v>
      </c>
    </row>
    <row r="65">
      <c r="A65" s="25">
        <f t="shared" si="3"/>
        <v>61</v>
      </c>
      <c r="B65" s="36" t="s">
        <v>108</v>
      </c>
      <c r="C65" s="27">
        <v>141.0</v>
      </c>
      <c r="D65" s="28">
        <v>5.0</v>
      </c>
      <c r="E65" s="30">
        <v>3.0</v>
      </c>
      <c r="F65" s="31">
        <v>0.0</v>
      </c>
      <c r="G65" s="27">
        <v>9.0</v>
      </c>
      <c r="H65" s="31">
        <v>0.0</v>
      </c>
      <c r="I65" s="31">
        <v>0.0</v>
      </c>
      <c r="J65" s="31">
        <v>0.0</v>
      </c>
      <c r="K65" s="32">
        <v>9.0</v>
      </c>
      <c r="L65" s="31">
        <v>0.0</v>
      </c>
      <c r="M65" s="27">
        <f t="shared" ref="M65:N65" si="62">C65+K65</f>
        <v>150</v>
      </c>
      <c r="N65" s="28">
        <f t="shared" si="62"/>
        <v>5</v>
      </c>
      <c r="O65" s="33" t="s">
        <v>37</v>
      </c>
      <c r="P65" s="33" t="s">
        <v>37</v>
      </c>
      <c r="Q65" s="31">
        <f>if(G65=13,1,0)+VLOOKUP(B65,'102123'!B$5:Q$64,16,false)</f>
        <v>0</v>
      </c>
      <c r="R65" s="31"/>
      <c r="S65" s="31">
        <f>if(G65=9,1,0)+VLOOKUP(B65,'102123'!B:S,18,false)</f>
        <v>12</v>
      </c>
    </row>
    <row r="66">
      <c r="A66" s="25">
        <f t="shared" si="3"/>
        <v>62</v>
      </c>
      <c r="B66" s="36" t="s">
        <v>109</v>
      </c>
      <c r="C66" s="27">
        <v>138.0</v>
      </c>
      <c r="D66" s="28">
        <v>1.0</v>
      </c>
      <c r="E66" s="30">
        <v>3.0</v>
      </c>
      <c r="F66" s="31">
        <v>0.0</v>
      </c>
      <c r="G66" s="27">
        <v>9.0</v>
      </c>
      <c r="H66" s="31">
        <v>0.0</v>
      </c>
      <c r="I66" s="31">
        <v>0.0</v>
      </c>
      <c r="J66" s="31">
        <v>0.0</v>
      </c>
      <c r="K66" s="32">
        <v>9.0</v>
      </c>
      <c r="L66" s="31">
        <v>0.0</v>
      </c>
      <c r="M66" s="27">
        <f t="shared" ref="M66:N66" si="63">C66+K66</f>
        <v>147</v>
      </c>
      <c r="N66" s="28">
        <f t="shared" si="63"/>
        <v>1</v>
      </c>
      <c r="O66" s="33" t="s">
        <v>37</v>
      </c>
      <c r="P66" s="33" t="s">
        <v>37</v>
      </c>
      <c r="Q66" s="31">
        <f>if(G66=13,1,0)+VLOOKUP(B66,'102123'!B$5:Q$64,16,false)</f>
        <v>0</v>
      </c>
      <c r="R66" s="31"/>
      <c r="S66" s="31">
        <f>if(G66=9,1,0)+VLOOKUP(B66,'102123'!B:S,18,false)</f>
        <v>7</v>
      </c>
    </row>
    <row r="67">
      <c r="A67" s="1"/>
      <c r="C67" s="1"/>
      <c r="D67" s="1"/>
      <c r="E67" s="1"/>
      <c r="P67" s="1"/>
    </row>
    <row r="68">
      <c r="A68" s="1"/>
      <c r="B68" s="39">
        <f>COUNTA(B5:B66)</f>
        <v>62</v>
      </c>
      <c r="C68" s="1"/>
      <c r="D68" s="1"/>
      <c r="E68" s="1"/>
      <c r="O68" s="34" t="s">
        <v>110</v>
      </c>
      <c r="P68" s="40">
        <f>COUNTA(P5:P66)</f>
        <v>62</v>
      </c>
    </row>
    <row r="69">
      <c r="A69" s="1"/>
      <c r="C69" s="1"/>
      <c r="D69" s="1"/>
      <c r="E69" s="1"/>
      <c r="O69" s="34" t="s">
        <v>111</v>
      </c>
      <c r="P69" s="40">
        <f>P70-P68</f>
        <v>0</v>
      </c>
    </row>
    <row r="70">
      <c r="A70" s="1"/>
      <c r="C70" s="1"/>
      <c r="D70" s="1"/>
      <c r="J70" s="41"/>
      <c r="K70" s="42"/>
      <c r="L70" s="43"/>
      <c r="O70" s="34" t="s">
        <v>41</v>
      </c>
      <c r="P70" s="40">
        <f>B68</f>
        <v>62</v>
      </c>
    </row>
    <row r="71">
      <c r="A71" s="1"/>
      <c r="C71" s="1"/>
      <c r="D71" s="1"/>
      <c r="E71" s="34" t="s">
        <v>112</v>
      </c>
      <c r="J71" s="41"/>
      <c r="K71" s="42"/>
      <c r="L71" s="43"/>
    </row>
    <row r="72">
      <c r="A72" s="1"/>
      <c r="C72" s="1"/>
      <c r="D72" s="1"/>
      <c r="J72" s="41"/>
      <c r="K72" s="42"/>
      <c r="L72" s="43"/>
    </row>
    <row r="73">
      <c r="A73" s="1"/>
      <c r="C73" s="1"/>
      <c r="D73" s="1"/>
      <c r="J73" s="41"/>
      <c r="K73" s="42"/>
      <c r="L73" s="43"/>
    </row>
    <row r="74">
      <c r="A74" s="1"/>
      <c r="B74" s="45" t="s">
        <v>113</v>
      </c>
      <c r="C74" s="45" t="s">
        <v>114</v>
      </c>
      <c r="D74" s="45" t="s">
        <v>115</v>
      </c>
      <c r="J74" s="41"/>
      <c r="K74" s="42"/>
      <c r="L74" s="43"/>
    </row>
    <row r="75">
      <c r="A75" s="1"/>
      <c r="B75" s="36" t="str">
        <f>IFERROR(__xludf.DUMMYFUNCTION("QUERY(B5:L66,""Select B, K, L where K &gt;= 18 order by K desc, L desc"",0)"),"Adrian Tay")</f>
        <v>Adrian Tay</v>
      </c>
      <c r="C75" s="46">
        <f>IFERROR(__xludf.DUMMYFUNCTION("""COMPUTED_VALUE"""),19.0)</f>
        <v>19</v>
      </c>
      <c r="D75" s="46">
        <f>IFERROR(__xludf.DUMMYFUNCTION("""COMPUTED_VALUE"""),3.0)</f>
        <v>3</v>
      </c>
      <c r="E75" s="1"/>
      <c r="K75" s="42"/>
      <c r="L75" s="43"/>
    </row>
    <row r="76">
      <c r="A76" s="1"/>
      <c r="B76" s="36" t="str">
        <f>IFERROR(__xludf.DUMMYFUNCTION("""COMPUTED_VALUE"""),"David Shin")</f>
        <v>David Shin</v>
      </c>
      <c r="C76" s="46">
        <f>IFERROR(__xludf.DUMMYFUNCTION("""COMPUTED_VALUE"""),19.0)</f>
        <v>19</v>
      </c>
      <c r="D76" s="46">
        <f>IFERROR(__xludf.DUMMYFUNCTION("""COMPUTED_VALUE"""),3.0)</f>
        <v>3</v>
      </c>
      <c r="E76" s="1"/>
      <c r="L76" s="47"/>
    </row>
    <row r="77">
      <c r="A77" s="1"/>
      <c r="B77" s="36" t="str">
        <f>IFERROR(__xludf.DUMMYFUNCTION("""COMPUTED_VALUE"""),"Mauricio Palacios")</f>
        <v>Mauricio Palacios</v>
      </c>
      <c r="C77" s="46">
        <f>IFERROR(__xludf.DUMMYFUNCTION("""COMPUTED_VALUE"""),19.0)</f>
        <v>19</v>
      </c>
      <c r="D77" s="46">
        <f>IFERROR(__xludf.DUMMYFUNCTION("""COMPUTED_VALUE"""),2.0)</f>
        <v>2</v>
      </c>
      <c r="E77" s="1"/>
    </row>
    <row r="78">
      <c r="A78" s="1"/>
      <c r="B78" s="36" t="str">
        <f>IFERROR(__xludf.DUMMYFUNCTION("""COMPUTED_VALUE"""),"Troy Wong")</f>
        <v>Troy Wong</v>
      </c>
      <c r="C78" s="46">
        <f>IFERROR(__xludf.DUMMYFUNCTION("""COMPUTED_VALUE"""),19.0)</f>
        <v>19</v>
      </c>
      <c r="D78" s="46">
        <f>IFERROR(__xludf.DUMMYFUNCTION("""COMPUTED_VALUE"""),2.0)</f>
        <v>2</v>
      </c>
      <c r="E78" s="1"/>
    </row>
    <row r="79">
      <c r="A79" s="1"/>
      <c r="B79" s="36" t="str">
        <f>IFERROR(__xludf.DUMMYFUNCTION("""COMPUTED_VALUE"""),"Robert Chang")</f>
        <v>Robert Chang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  <c r="K79" s="34"/>
    </row>
    <row r="80">
      <c r="A80" s="1"/>
      <c r="B80" s="36" t="str">
        <f>IFERROR(__xludf.DUMMYFUNCTION("""COMPUTED_VALUE"""),"Susanta Mishra")</f>
        <v>Susanta Mishra</v>
      </c>
      <c r="C80" s="46">
        <f>IFERROR(__xludf.DUMMYFUNCTION("""COMPUTED_VALUE"""),18.0)</f>
        <v>18</v>
      </c>
      <c r="D80" s="46">
        <f>IFERROR(__xludf.DUMMYFUNCTION("""COMPUTED_VALUE"""),3.0)</f>
        <v>3</v>
      </c>
      <c r="E80" s="1"/>
      <c r="K80" s="34"/>
    </row>
    <row r="81">
      <c r="A81" s="1"/>
      <c r="B81" s="36" t="str">
        <f>IFERROR(__xludf.DUMMYFUNCTION("""COMPUTED_VALUE"""),"Matthew Huang")</f>
        <v>Matthew Huang</v>
      </c>
      <c r="C81" s="46">
        <f>IFERROR(__xludf.DUMMYFUNCTION("""COMPUTED_VALUE"""),18.0)</f>
        <v>18</v>
      </c>
      <c r="D81" s="46">
        <f>IFERROR(__xludf.DUMMYFUNCTION("""COMPUTED_VALUE"""),2.0)</f>
        <v>2</v>
      </c>
      <c r="E81" s="1"/>
      <c r="K81" s="34"/>
    </row>
    <row r="82">
      <c r="A82" s="1"/>
      <c r="B82" s="36" t="str">
        <f>IFERROR(__xludf.DUMMYFUNCTION("""COMPUTED_VALUE"""),"Rajasekar Ramasamy")</f>
        <v>Rajasekar Ramasamy</v>
      </c>
      <c r="C82" s="46">
        <f>IFERROR(__xludf.DUMMYFUNCTION("""COMPUTED_VALUE"""),18.0)</f>
        <v>18</v>
      </c>
      <c r="D82" s="46">
        <f>IFERROR(__xludf.DUMMYFUNCTION("""COMPUTED_VALUE"""),2.0)</f>
        <v>2</v>
      </c>
      <c r="E82" s="1"/>
      <c r="K82" s="34"/>
    </row>
    <row r="83">
      <c r="A83" s="1"/>
      <c r="B83" s="36"/>
      <c r="C83" s="46"/>
      <c r="D83" s="46"/>
      <c r="E83" s="1"/>
    </row>
    <row r="84">
      <c r="A84" s="1"/>
      <c r="B84" s="36"/>
      <c r="C84" s="46"/>
      <c r="D84" s="46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B87" s="20" t="s">
        <v>25</v>
      </c>
      <c r="C87" s="21" t="s">
        <v>8</v>
      </c>
      <c r="D87" s="21" t="s">
        <v>14</v>
      </c>
      <c r="E87" s="21" t="s">
        <v>26</v>
      </c>
      <c r="F87" s="21" t="s">
        <v>27</v>
      </c>
      <c r="G87" s="21" t="s">
        <v>28</v>
      </c>
      <c r="H87" s="21" t="s">
        <v>17</v>
      </c>
      <c r="I87" s="21" t="s">
        <v>18</v>
      </c>
      <c r="J87" s="21" t="s">
        <v>19</v>
      </c>
      <c r="K87" s="21" t="s">
        <v>8</v>
      </c>
      <c r="L87" s="21" t="s">
        <v>14</v>
      </c>
      <c r="M87" s="22" t="s">
        <v>8</v>
      </c>
      <c r="N87" s="22" t="s">
        <v>14</v>
      </c>
    </row>
    <row r="88">
      <c r="A88" s="1"/>
      <c r="B88" s="48" t="str">
        <f>IFERROR(__xludf.DUMMYFUNCTION("QUERY(B5:N68, ""Select B, C, D, E, F, G, H, I, J, K, L, M, N   where F &gt;= 1"")"),"Alejandro Mejia")</f>
        <v>Alejandro Mejia</v>
      </c>
      <c r="C88" s="49">
        <f>IFERROR(__xludf.DUMMYFUNCTION("""COMPUTED_VALUE"""),213.0)</f>
        <v>213</v>
      </c>
      <c r="D88" s="50">
        <f>IFERROR(__xludf.DUMMYFUNCTION("""COMPUTED_VALUE"""),19.0)</f>
        <v>19</v>
      </c>
      <c r="E88" s="49">
        <f>IFERROR(__xludf.DUMMYFUNCTION("""COMPUTED_VALUE"""),1.0)</f>
        <v>1</v>
      </c>
      <c r="F88" s="51">
        <f>IFERROR(__xludf.DUMMYFUNCTION("""COMPUTED_VALUE"""),1.0)</f>
        <v>1</v>
      </c>
      <c r="G88" s="51">
        <f>IFERROR(__xludf.DUMMYFUNCTION("""COMPUTED_VALUE"""),0.0)</f>
        <v>0</v>
      </c>
      <c r="H88" s="51">
        <f>IFERROR(__xludf.DUMMYFUNCTION("""COMPUTED_VALUE"""),1.0)</f>
        <v>1</v>
      </c>
      <c r="I88" s="51">
        <f>IFERROR(__xludf.DUMMYFUNCTION("""COMPUTED_VALUE"""),5.0)</f>
        <v>5</v>
      </c>
      <c r="J88" s="51">
        <f>IFERROR(__xludf.DUMMYFUNCTION("""COMPUTED_VALUE"""),6.0)</f>
        <v>6</v>
      </c>
      <c r="K88" s="51">
        <f>IFERROR(__xludf.DUMMYFUNCTION("""COMPUTED_VALUE"""),12.0)</f>
        <v>12</v>
      </c>
      <c r="L88" s="51">
        <f>IFERROR(__xludf.DUMMYFUNCTION("""COMPUTED_VALUE"""),1.0)</f>
        <v>1</v>
      </c>
      <c r="M88" s="51">
        <f>IFERROR(__xludf.DUMMYFUNCTION("""COMPUTED_VALUE"""),225.0)</f>
        <v>225</v>
      </c>
      <c r="N88" s="52">
        <f>IFERROR(__xludf.DUMMYFUNCTION("""COMPUTED_VALUE"""),20.0)</f>
        <v>20</v>
      </c>
    </row>
    <row r="89">
      <c r="A89" s="1"/>
      <c r="B89" s="48" t="str">
        <f>IFERROR(__xludf.DUMMYFUNCTION("""COMPUTED_VALUE"""),"Peter Homsey")</f>
        <v>Peter Homsey</v>
      </c>
      <c r="C89" s="49">
        <f>IFERROR(__xludf.DUMMYFUNCTION("""COMPUTED_VALUE"""),210.0)</f>
        <v>210</v>
      </c>
      <c r="D89" s="50">
        <f>IFERROR(__xludf.DUMMYFUNCTION("""COMPUTED_VALUE"""),19.0)</f>
        <v>19</v>
      </c>
      <c r="E89" s="49">
        <f>IFERROR(__xludf.DUMMYFUNCTION("""COMPUTED_VALUE"""),1.0)</f>
        <v>1</v>
      </c>
      <c r="F89" s="51">
        <f>IFERROR(__xludf.DUMMYFUNCTION("""COMPUTED_VALUE"""),1.0)</f>
        <v>1</v>
      </c>
      <c r="G89" s="51">
        <f>IFERROR(__xludf.DUMMYFUNCTION("""COMPUTED_VALUE"""),0.0)</f>
        <v>0</v>
      </c>
      <c r="H89" s="51">
        <f>IFERROR(__xludf.DUMMYFUNCTION("""COMPUTED_VALUE"""),1.0)</f>
        <v>1</v>
      </c>
      <c r="I89" s="51">
        <f>IFERROR(__xludf.DUMMYFUNCTION("""COMPUTED_VALUE"""),7.0)</f>
        <v>7</v>
      </c>
      <c r="J89" s="51">
        <f>IFERROR(__xludf.DUMMYFUNCTION("""COMPUTED_VALUE"""),2.0)</f>
        <v>2</v>
      </c>
      <c r="K89" s="51">
        <f>IFERROR(__xludf.DUMMYFUNCTION("""COMPUTED_VALUE"""),10.0)</f>
        <v>10</v>
      </c>
      <c r="L89" s="51">
        <f>IFERROR(__xludf.DUMMYFUNCTION("""COMPUTED_VALUE"""),1.0)</f>
        <v>1</v>
      </c>
      <c r="M89" s="51">
        <f>IFERROR(__xludf.DUMMYFUNCTION("""COMPUTED_VALUE"""),220.0)</f>
        <v>220</v>
      </c>
      <c r="N89" s="52">
        <f>IFERROR(__xludf.DUMMYFUNCTION("""COMPUTED_VALUE"""),20.0)</f>
        <v>20</v>
      </c>
    </row>
    <row r="90">
      <c r="A90" s="1"/>
      <c r="B90" s="48" t="str">
        <f>IFERROR(__xludf.DUMMYFUNCTION("""COMPUTED_VALUE"""),"Adrian Tay")</f>
        <v>Adrian Tay</v>
      </c>
      <c r="C90" s="49">
        <f>IFERROR(__xludf.DUMMYFUNCTION("""COMPUTED_VALUE"""),209.0)</f>
        <v>209</v>
      </c>
      <c r="D90" s="50">
        <f>IFERROR(__xludf.DUMMYFUNCTION("""COMPUTED_VALUE"""),19.0)</f>
        <v>19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IFERROR(__xludf.DUMMYFUNCTION("""COMPUTED_VALUE"""),6.0)</f>
        <v>6</v>
      </c>
      <c r="I90" s="51">
        <f>IFERROR(__xludf.DUMMYFUNCTION("""COMPUTED_VALUE"""),7.0)</f>
        <v>7</v>
      </c>
      <c r="J90" s="51">
        <f>IFERROR(__xludf.DUMMYFUNCTION("""COMPUTED_VALUE"""),6.0)</f>
        <v>6</v>
      </c>
      <c r="K90" s="51">
        <f>IFERROR(__xludf.DUMMYFUNCTION("""COMPUTED_VALUE"""),19.0)</f>
        <v>19</v>
      </c>
      <c r="L90" s="51">
        <f>IFERROR(__xludf.DUMMYFUNCTION("""COMPUTED_VALUE"""),3.0)</f>
        <v>3</v>
      </c>
      <c r="M90" s="51">
        <f>IFERROR(__xludf.DUMMYFUNCTION("""COMPUTED_VALUE"""),228.0)</f>
        <v>228</v>
      </c>
      <c r="N90" s="52">
        <f>IFERROR(__xludf.DUMMYFUNCTION("""COMPUTED_VALUE"""),22.0)</f>
        <v>22</v>
      </c>
    </row>
    <row r="91">
      <c r="A91" s="1"/>
      <c r="B91" s="48" t="str">
        <f>IFERROR(__xludf.DUMMYFUNCTION("""COMPUTED_VALUE"""),"Pulkit Mathur")</f>
        <v>Pulkit Mathur</v>
      </c>
      <c r="C91" s="49">
        <f>IFERROR(__xludf.DUMMYFUNCTION("""COMPUTED_VALUE"""),205.0)</f>
        <v>205</v>
      </c>
      <c r="D91" s="50">
        <f>IFERROR(__xludf.DUMMYFUNCTION("""COMPUTED_VALUE"""),19.0)</f>
        <v>19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IFERROR(__xludf.DUMMYFUNCTION("""COMPUTED_VALUE"""),6.0)</f>
        <v>6</v>
      </c>
      <c r="I91" s="51">
        <f>IFERROR(__xludf.DUMMYFUNCTION("""COMPUTED_VALUE"""),5.0)</f>
        <v>5</v>
      </c>
      <c r="J91" s="51">
        <f>IFERROR(__xludf.DUMMYFUNCTION("""COMPUTED_VALUE"""),2.0)</f>
        <v>2</v>
      </c>
      <c r="K91" s="51">
        <f>IFERROR(__xludf.DUMMYFUNCTION("""COMPUTED_VALUE"""),13.0)</f>
        <v>13</v>
      </c>
      <c r="L91" s="51">
        <f>IFERROR(__xludf.DUMMYFUNCTION("""COMPUTED_VALUE"""),1.0)</f>
        <v>1</v>
      </c>
      <c r="M91" s="51">
        <f>IFERROR(__xludf.DUMMYFUNCTION("""COMPUTED_VALUE"""),218.0)</f>
        <v>218</v>
      </c>
      <c r="N91" s="52">
        <f>IFERROR(__xludf.DUMMYFUNCTION("""COMPUTED_VALUE"""),20.0)</f>
        <v>20</v>
      </c>
    </row>
    <row r="92">
      <c r="A92" s="1"/>
      <c r="B92" s="53" t="str">
        <f>IFERROR(__xludf.DUMMYFUNCTION("""COMPUTED_VALUE"""),"Lam Bui")</f>
        <v>Lam Bui</v>
      </c>
      <c r="C92" s="54">
        <f>IFERROR(__xludf.DUMMYFUNCTION("""COMPUTED_VALUE"""),205.0)</f>
        <v>205</v>
      </c>
      <c r="D92" s="55">
        <f>IFERROR(__xludf.DUMMYFUNCTION("""COMPUTED_VALUE"""),18.0)</f>
        <v>18</v>
      </c>
      <c r="E92" s="54">
        <f>IFERROR(__xludf.DUMMYFUNCTION("""COMPUTED_VALUE"""),1.0)</f>
        <v>1</v>
      </c>
      <c r="F92" s="56">
        <f>IFERROR(__xludf.DUMMYFUNCTION("""COMPUTED_VALUE"""),2.0)</f>
        <v>2</v>
      </c>
      <c r="G92" s="56">
        <f>IFERROR(__xludf.DUMMYFUNCTION("""COMPUTED_VALUE"""),0.0)</f>
        <v>0</v>
      </c>
      <c r="H92" s="56">
        <f>IFERROR(__xludf.DUMMYFUNCTION("""COMPUTED_VALUE"""),3.0)</f>
        <v>3</v>
      </c>
      <c r="I92" s="56">
        <f>IFERROR(__xludf.DUMMYFUNCTION("""COMPUTED_VALUE"""),6.0)</f>
        <v>6</v>
      </c>
      <c r="J92" s="56">
        <f>IFERROR(__xludf.DUMMYFUNCTION("""COMPUTED_VALUE"""),7.0)</f>
        <v>7</v>
      </c>
      <c r="K92" s="56">
        <f>IFERROR(__xludf.DUMMYFUNCTION("""COMPUTED_VALUE"""),15.0)</f>
        <v>15</v>
      </c>
      <c r="L92" s="56">
        <f>IFERROR(__xludf.DUMMYFUNCTION("""COMPUTED_VALUE"""),2.0)</f>
        <v>2</v>
      </c>
      <c r="M92" s="56">
        <f>IFERROR(__xludf.DUMMYFUNCTION("""COMPUTED_VALUE"""),220.0)</f>
        <v>220</v>
      </c>
      <c r="N92" s="57">
        <f>IFERROR(__xludf.DUMMYFUNCTION("""COMPUTED_VALUE"""),20.0)</f>
        <v>20</v>
      </c>
    </row>
    <row r="93">
      <c r="A93" s="1"/>
      <c r="B93" s="53" t="str">
        <f>IFERROR(__xludf.DUMMYFUNCTION("""COMPUTED_VALUE"""),"Pavan Akkimsetty")</f>
        <v>Pavan Akkimsetty</v>
      </c>
      <c r="C93" s="54">
        <f>IFERROR(__xludf.DUMMYFUNCTION("""COMPUTED_VALUE"""),198.0)</f>
        <v>198</v>
      </c>
      <c r="D93" s="55">
        <f>IFERROR(__xludf.DUMMYFUNCTION("""COMPUTED_VALUE"""),17.0)</f>
        <v>17</v>
      </c>
      <c r="E93" s="54">
        <f>IFERROR(__xludf.DUMMYFUNCTION("""COMPUTED_VALUE"""),1.0)</f>
        <v>1</v>
      </c>
      <c r="F93" s="56">
        <f>IFERROR(__xludf.DUMMYFUNCTION("""COMPUTED_VALUE"""),2.0)</f>
        <v>2</v>
      </c>
      <c r="G93" s="56">
        <f>IFERROR(__xludf.DUMMYFUNCTION("""COMPUTED_VALUE"""),0.0)</f>
        <v>0</v>
      </c>
      <c r="H93" s="56">
        <f>IFERROR(__xludf.DUMMYFUNCTION("""COMPUTED_VALUE"""),6.0)</f>
        <v>6</v>
      </c>
      <c r="I93" s="56">
        <f>IFERROR(__xludf.DUMMYFUNCTION("""COMPUTED_VALUE"""),1.0)</f>
        <v>1</v>
      </c>
      <c r="J93" s="56">
        <f>IFERROR(__xludf.DUMMYFUNCTION("""COMPUTED_VALUE"""),7.0)</f>
        <v>7</v>
      </c>
      <c r="K93" s="56">
        <f>IFERROR(__xludf.DUMMYFUNCTION("""COMPUTED_VALUE"""),14.0)</f>
        <v>14</v>
      </c>
      <c r="L93" s="56">
        <f>IFERROR(__xludf.DUMMYFUNCTION("""COMPUTED_VALUE"""),2.0)</f>
        <v>2</v>
      </c>
      <c r="M93" s="56">
        <f>IFERROR(__xludf.DUMMYFUNCTION("""COMPUTED_VALUE"""),212.0)</f>
        <v>212</v>
      </c>
      <c r="N93" s="57">
        <f>IFERROR(__xludf.DUMMYFUNCTION("""COMPUTED_VALUE"""),19.0)</f>
        <v>19</v>
      </c>
    </row>
    <row r="94">
      <c r="A94" s="1"/>
      <c r="B94" s="53" t="str">
        <f>IFERROR(__xludf.DUMMYFUNCTION("""COMPUTED_VALUE"""),"Joe Luzzi")</f>
        <v>Joe Luzzi</v>
      </c>
      <c r="C94" s="54">
        <f>IFERROR(__xludf.DUMMYFUNCTION("""COMPUTED_VALUE"""),197.0)</f>
        <v>197</v>
      </c>
      <c r="D94" s="55">
        <f>IFERROR(__xludf.DUMMYFUNCTION("""COMPUTED_VALUE"""),19.0)</f>
        <v>19</v>
      </c>
      <c r="E94" s="54">
        <f>IFERROR(__xludf.DUMMYFUNCTION("""COMPUTED_VALUE"""),1.0)</f>
        <v>1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IFERROR(__xludf.DUMMYFUNCTION("""COMPUTED_VALUE"""),3.0)</f>
        <v>3</v>
      </c>
      <c r="I94" s="56">
        <f>IFERROR(__xludf.DUMMYFUNCTION("""COMPUTED_VALUE"""),1.0)</f>
        <v>1</v>
      </c>
      <c r="J94" s="56">
        <f>IFERROR(__xludf.DUMMYFUNCTION("""COMPUTED_VALUE"""),6.0)</f>
        <v>6</v>
      </c>
      <c r="K94" s="56">
        <f>IFERROR(__xludf.DUMMYFUNCTION("""COMPUTED_VALUE"""),9.0)</f>
        <v>9</v>
      </c>
      <c r="L94" s="56">
        <f>IFERROR(__xludf.DUMMYFUNCTION("""COMPUTED_VALUE"""),0.0)</f>
        <v>0</v>
      </c>
      <c r="M94" s="56">
        <f>IFERROR(__xludf.DUMMYFUNCTION("""COMPUTED_VALUE"""),206.0)</f>
        <v>206</v>
      </c>
      <c r="N94" s="57">
        <f>IFERROR(__xludf.DUMMYFUNCTION("""COMPUTED_VALUE"""),19.0)</f>
        <v>19</v>
      </c>
    </row>
    <row r="95">
      <c r="A95" s="1"/>
      <c r="B95" s="53" t="str">
        <f>IFERROR(__xludf.DUMMYFUNCTION("""COMPUTED_VALUE"""),"Matthew Huang")</f>
        <v>Matthew Huang</v>
      </c>
      <c r="C95" s="54">
        <f>IFERROR(__xludf.DUMMYFUNCTION("""COMPUTED_VALUE"""),197.0)</f>
        <v>197</v>
      </c>
      <c r="D95" s="55">
        <f>IFERROR(__xludf.DUMMYFUNCTION("""COMPUTED_VALUE"""),15.0)</f>
        <v>15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IFERROR(__xludf.DUMMYFUNCTION("""COMPUTED_VALUE"""),6.0)</f>
        <v>6</v>
      </c>
      <c r="I95" s="56">
        <f>IFERROR(__xludf.DUMMYFUNCTION("""COMPUTED_VALUE"""),6.0)</f>
        <v>6</v>
      </c>
      <c r="J95" s="56">
        <f>IFERROR(__xludf.DUMMYFUNCTION("""COMPUTED_VALUE"""),6.0)</f>
        <v>6</v>
      </c>
      <c r="K95" s="56">
        <f>IFERROR(__xludf.DUMMYFUNCTION("""COMPUTED_VALUE"""),18.0)</f>
        <v>18</v>
      </c>
      <c r="L95" s="56">
        <f>IFERROR(__xludf.DUMMYFUNCTION("""COMPUTED_VALUE"""),2.0)</f>
        <v>2</v>
      </c>
      <c r="M95" s="56">
        <f>IFERROR(__xludf.DUMMYFUNCTION("""COMPUTED_VALUE"""),215.0)</f>
        <v>215</v>
      </c>
      <c r="N95" s="57">
        <f>IFERROR(__xludf.DUMMYFUNCTION("""COMPUTED_VALUE"""),17.0)</f>
        <v>17</v>
      </c>
    </row>
    <row r="96">
      <c r="A96" s="1"/>
      <c r="B96" s="48" t="str">
        <f>IFERROR(__xludf.DUMMYFUNCTION("""COMPUTED_VALUE"""),"Chinna Ponnaganti")</f>
        <v>Chinna Ponnaganti</v>
      </c>
      <c r="C96" s="49">
        <f>IFERROR(__xludf.DUMMYFUNCTION("""COMPUTED_VALUE"""),196.0)</f>
        <v>196</v>
      </c>
      <c r="D96" s="50">
        <f>IFERROR(__xludf.DUMMYFUNCTION("""COMPUTED_VALUE"""),20.0)</f>
        <v>20</v>
      </c>
      <c r="E96" s="49">
        <f>IFERROR(__xludf.DUMMYFUNCTION("""COMPUTED_VALUE"""),1.0)</f>
        <v>1</v>
      </c>
      <c r="F96" s="51">
        <f>IFERROR(__xludf.DUMMYFUNCTION("""COMPUTED_VALUE"""),3.0)</f>
        <v>3</v>
      </c>
      <c r="G96" s="51">
        <f>IFERROR(__xludf.DUMMYFUNCTION("""COMPUTED_VALUE"""),0.0)</f>
        <v>0</v>
      </c>
      <c r="H96" s="51">
        <f>IFERROR(__xludf.DUMMYFUNCTION("""COMPUTED_VALUE"""),6.0)</f>
        <v>6</v>
      </c>
      <c r="I96" s="51">
        <f>IFERROR(__xludf.DUMMYFUNCTION("""COMPUTED_VALUE"""),4.0)</f>
        <v>4</v>
      </c>
      <c r="J96" s="51">
        <f>IFERROR(__xludf.DUMMYFUNCTION("""COMPUTED_VALUE"""),2.0)</f>
        <v>2</v>
      </c>
      <c r="K96" s="51">
        <f>IFERROR(__xludf.DUMMYFUNCTION("""COMPUTED_VALUE"""),12.0)</f>
        <v>12</v>
      </c>
      <c r="L96" s="51">
        <f>IFERROR(__xludf.DUMMYFUNCTION("""COMPUTED_VALUE"""),1.0)</f>
        <v>1</v>
      </c>
      <c r="M96" s="51">
        <f>IFERROR(__xludf.DUMMYFUNCTION("""COMPUTED_VALUE"""),208.0)</f>
        <v>208</v>
      </c>
      <c r="N96" s="52">
        <f>IFERROR(__xludf.DUMMYFUNCTION("""COMPUTED_VALUE"""),21.0)</f>
        <v>21</v>
      </c>
    </row>
    <row r="97">
      <c r="A97" s="1"/>
      <c r="B97" s="48" t="str">
        <f>IFERROR(__xludf.DUMMYFUNCTION("""COMPUTED_VALUE"""),"Robert Chang")</f>
        <v>Robert Chang</v>
      </c>
      <c r="C97" s="49">
        <f>IFERROR(__xludf.DUMMYFUNCTION("""COMPUTED_VALUE"""),195.0)</f>
        <v>195</v>
      </c>
      <c r="D97" s="50">
        <f>IFERROR(__xludf.DUMMYFUNCTION("""COMPUTED_VALUE"""),15.0)</f>
        <v>15</v>
      </c>
      <c r="E97" s="49">
        <f>IFERROR(__xludf.DUMMYFUNCTION("""COMPUTED_VALUE"""),2.0)</f>
        <v>2</v>
      </c>
      <c r="F97" s="51">
        <f>IFERROR(__xludf.DUMMYFUNCTION("""COMPUTED_VALUE"""),3.0)</f>
        <v>3</v>
      </c>
      <c r="G97" s="51">
        <f>IFERROR(__xludf.DUMMYFUNCTION("""COMPUTED_VALUE"""),0.0)</f>
        <v>0</v>
      </c>
      <c r="H97" s="51">
        <f>IFERROR(__xludf.DUMMYFUNCTION("""COMPUTED_VALUE"""),6.0)</f>
        <v>6</v>
      </c>
      <c r="I97" s="51">
        <f>IFERROR(__xludf.DUMMYFUNCTION("""COMPUTED_VALUE"""),6.0)</f>
        <v>6</v>
      </c>
      <c r="J97" s="51">
        <f>IFERROR(__xludf.DUMMYFUNCTION("""COMPUTED_VALUE"""),6.0)</f>
        <v>6</v>
      </c>
      <c r="K97" s="51">
        <f>IFERROR(__xludf.DUMMYFUNCTION("""COMPUTED_VALUE"""),18.0)</f>
        <v>18</v>
      </c>
      <c r="L97" s="51">
        <f>IFERROR(__xludf.DUMMYFUNCTION("""COMPUTED_VALUE"""),3.0)</f>
        <v>3</v>
      </c>
      <c r="M97" s="51">
        <f>IFERROR(__xludf.DUMMYFUNCTION("""COMPUTED_VALUE"""),213.0)</f>
        <v>213</v>
      </c>
      <c r="N97" s="52">
        <f>IFERROR(__xludf.DUMMYFUNCTION("""COMPUTED_VALUE"""),18.0)</f>
        <v>18</v>
      </c>
    </row>
    <row r="98">
      <c r="A98" s="1"/>
      <c r="B98" s="48" t="str">
        <f>IFERROR(__xludf.DUMMYFUNCTION("""COMPUTED_VALUE"""),"Oscar Bonilla")</f>
        <v>Oscar Bonilla</v>
      </c>
      <c r="C98" s="49">
        <f>IFERROR(__xludf.DUMMYFUNCTION("""COMPUTED_VALUE"""),194.0)</f>
        <v>194</v>
      </c>
      <c r="D98" s="50">
        <f>IFERROR(__xludf.DUMMYFUNCTION("""COMPUTED_VALUE"""),16.0)</f>
        <v>16</v>
      </c>
      <c r="E98" s="49">
        <f>IFERROR(__xludf.DUMMYFUNCTION("""COMPUTED_VALUE"""),1.0)</f>
        <v>1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IFERROR(__xludf.DUMMYFUNCTION("""COMPUTED_VALUE"""),0.0)</f>
        <v>0</v>
      </c>
      <c r="I98" s="51">
        <f>IFERROR(__xludf.DUMMYFUNCTION("""COMPUTED_VALUE"""),4.0)</f>
        <v>4</v>
      </c>
      <c r="J98" s="51">
        <f>IFERROR(__xludf.DUMMYFUNCTION("""COMPUTED_VALUE"""),6.0)</f>
        <v>6</v>
      </c>
      <c r="K98" s="51">
        <f>IFERROR(__xludf.DUMMYFUNCTION("""COMPUTED_VALUE"""),10.0)</f>
        <v>10</v>
      </c>
      <c r="L98" s="51">
        <f>IFERROR(__xludf.DUMMYFUNCTION("""COMPUTED_VALUE"""),1.0)</f>
        <v>1</v>
      </c>
      <c r="M98" s="51">
        <f>IFERROR(__xludf.DUMMYFUNCTION("""COMPUTED_VALUE"""),204.0)</f>
        <v>204</v>
      </c>
      <c r="N98" s="52">
        <f>IFERROR(__xludf.DUMMYFUNCTION("""COMPUTED_VALUE"""),17.0)</f>
        <v>17</v>
      </c>
    </row>
    <row r="99">
      <c r="A99" s="1"/>
      <c r="B99" s="48" t="str">
        <f>IFERROR(__xludf.DUMMYFUNCTION("""COMPUTED_VALUE"""),"Lloyd Sagar")</f>
        <v>Lloyd Sagar</v>
      </c>
      <c r="C99" s="49">
        <f>IFERROR(__xludf.DUMMYFUNCTION("""COMPUTED_VALUE"""),193.0)</f>
        <v>193</v>
      </c>
      <c r="D99" s="50">
        <f>IFERROR(__xludf.DUMMYFUNCTION("""COMPUTED_VALUE"""),12.0)</f>
        <v>12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IFERROR(__xludf.DUMMYFUNCTION("""COMPUTED_VALUE"""),0.0)</f>
        <v>0</v>
      </c>
      <c r="I99" s="51">
        <f>IFERROR(__xludf.DUMMYFUNCTION("""COMPUTED_VALUE"""),6.0)</f>
        <v>6</v>
      </c>
      <c r="J99" s="51">
        <f>IFERROR(__xludf.DUMMYFUNCTION("""COMPUTED_VALUE"""),2.0)</f>
        <v>2</v>
      </c>
      <c r="K99" s="51">
        <f>IFERROR(__xludf.DUMMYFUNCTION("""COMPUTED_VALUE"""),8.0)</f>
        <v>8</v>
      </c>
      <c r="L99" s="51">
        <f>IFERROR(__xludf.DUMMYFUNCTION("""COMPUTED_VALUE"""),1.0)</f>
        <v>1</v>
      </c>
      <c r="M99" s="51">
        <f>IFERROR(__xludf.DUMMYFUNCTION("""COMPUTED_VALUE"""),201.0)</f>
        <v>201</v>
      </c>
      <c r="N99" s="52">
        <f>IFERROR(__xludf.DUMMYFUNCTION("""COMPUTED_VALUE"""),13.0)</f>
        <v>13</v>
      </c>
    </row>
    <row r="100">
      <c r="A100" s="1"/>
      <c r="B100" s="53" t="str">
        <f>IFERROR(__xludf.DUMMYFUNCTION("""COMPUTED_VALUE"""),"Erik Hoeckmann")</f>
        <v>Erik Hoeckmann</v>
      </c>
      <c r="C100" s="54">
        <f>IFERROR(__xludf.DUMMYFUNCTION("""COMPUTED_VALUE"""),192.0)</f>
        <v>192</v>
      </c>
      <c r="D100" s="55">
        <f>IFERROR(__xludf.DUMMYFUNCTION("""COMPUTED_VALUE"""),13.0)</f>
        <v>13</v>
      </c>
      <c r="E100" s="54">
        <f>IFERROR(__xludf.DUMMYFUNCTION("""COMPUTED_VALUE"""),1.0)</f>
        <v>1</v>
      </c>
      <c r="F100" s="56">
        <f>IFERROR(__xludf.DUMMYFUNCTION("""COMPUTED_VALUE"""),4.0)</f>
        <v>4</v>
      </c>
      <c r="G100" s="56">
        <f>IFERROR(__xludf.DUMMYFUNCTION("""COMPUTED_VALUE"""),0.0)</f>
        <v>0</v>
      </c>
      <c r="H100" s="56">
        <f>IFERROR(__xludf.DUMMYFUNCTION("""COMPUTED_VALUE"""),6.0)</f>
        <v>6</v>
      </c>
      <c r="I100" s="56">
        <f>IFERROR(__xludf.DUMMYFUNCTION("""COMPUTED_VALUE"""),1.0)</f>
        <v>1</v>
      </c>
      <c r="J100" s="56">
        <f>IFERROR(__xludf.DUMMYFUNCTION("""COMPUTED_VALUE"""),4.0)</f>
        <v>4</v>
      </c>
      <c r="K100" s="56">
        <f>IFERROR(__xludf.DUMMYFUNCTION("""COMPUTED_VALUE"""),11.0)</f>
        <v>11</v>
      </c>
      <c r="L100" s="56">
        <f>IFERROR(__xludf.DUMMYFUNCTION("""COMPUTED_VALUE"""),0.0)</f>
        <v>0</v>
      </c>
      <c r="M100" s="56">
        <f>IFERROR(__xludf.DUMMYFUNCTION("""COMPUTED_VALUE"""),203.0)</f>
        <v>203</v>
      </c>
      <c r="N100" s="57">
        <f>IFERROR(__xludf.DUMMYFUNCTION("""COMPUTED_VALUE"""),13.0)</f>
        <v>13</v>
      </c>
    </row>
    <row r="101">
      <c r="A101" s="1"/>
      <c r="B101" s="53" t="str">
        <f>IFERROR(__xludf.DUMMYFUNCTION("""COMPUTED_VALUE"""),"Sean Chang")</f>
        <v>Sean Chang</v>
      </c>
      <c r="C101" s="54">
        <f>IFERROR(__xludf.DUMMYFUNCTION("""COMPUTED_VALUE"""),190.0)</f>
        <v>190</v>
      </c>
      <c r="D101" s="55">
        <f>IFERROR(__xludf.DUMMYFUNCTION("""COMPUTED_VALUE"""),13.0)</f>
        <v>13</v>
      </c>
      <c r="E101" s="54">
        <f>IFERROR(__xludf.DUMMYFUNCTION("""COMPUTED_VALUE"""),1.0)</f>
        <v>1</v>
      </c>
      <c r="F101" s="56">
        <f>IFERROR(__xludf.DUMMYFUNCTION("""COMPUTED_VALUE"""),4.0)</f>
        <v>4</v>
      </c>
      <c r="G101" s="56">
        <f>IFERROR(__xludf.DUMMYFUNCTION("""COMPUTED_VALUE"""),0.0)</f>
        <v>0</v>
      </c>
      <c r="H101" s="56">
        <f>IFERROR(__xludf.DUMMYFUNCTION("""COMPUTED_VALUE"""),7.0)</f>
        <v>7</v>
      </c>
      <c r="I101" s="56">
        <f>IFERROR(__xludf.DUMMYFUNCTION("""COMPUTED_VALUE"""),1.0)</f>
        <v>1</v>
      </c>
      <c r="J101" s="56">
        <f>IFERROR(__xludf.DUMMYFUNCTION("""COMPUTED_VALUE"""),6.0)</f>
        <v>6</v>
      </c>
      <c r="K101" s="56">
        <f>IFERROR(__xludf.DUMMYFUNCTION("""COMPUTED_VALUE"""),14.0)</f>
        <v>14</v>
      </c>
      <c r="L101" s="56">
        <f>IFERROR(__xludf.DUMMYFUNCTION("""COMPUTED_VALUE"""),2.0)</f>
        <v>2</v>
      </c>
      <c r="M101" s="56">
        <f>IFERROR(__xludf.DUMMYFUNCTION("""COMPUTED_VALUE"""),204.0)</f>
        <v>204</v>
      </c>
      <c r="N101" s="57">
        <f>IFERROR(__xludf.DUMMYFUNCTION("""COMPUTED_VALUE"""),15.0)</f>
        <v>15</v>
      </c>
    </row>
    <row r="102">
      <c r="A102" s="1"/>
      <c r="B102" s="53" t="str">
        <f>IFERROR(__xludf.DUMMYFUNCTION("""COMPUTED_VALUE"""),"Rajasekar Ramasamy")</f>
        <v>Rajasekar Ramasamy</v>
      </c>
      <c r="C102" s="54">
        <f>IFERROR(__xludf.DUMMYFUNCTION("""COMPUTED_VALUE"""),186.0)</f>
        <v>186</v>
      </c>
      <c r="D102" s="55">
        <f>IFERROR(__xludf.DUMMYFUNCTION("""COMPUTED_VALUE"""),18.0)</f>
        <v>18</v>
      </c>
      <c r="E102" s="54">
        <f>IFERROR(__xludf.DUMMYFUNCTION("""COMPUTED_VALUE"""),1.0)</f>
        <v>1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IFERROR(__xludf.DUMMYFUNCTION("""COMPUTED_VALUE"""),6.0)</f>
        <v>6</v>
      </c>
      <c r="I102" s="56">
        <f>IFERROR(__xludf.DUMMYFUNCTION("""COMPUTED_VALUE"""),6.0)</f>
        <v>6</v>
      </c>
      <c r="J102" s="56">
        <f>IFERROR(__xludf.DUMMYFUNCTION("""COMPUTED_VALUE"""),6.0)</f>
        <v>6</v>
      </c>
      <c r="K102" s="56">
        <f>IFERROR(__xludf.DUMMYFUNCTION("""COMPUTED_VALUE"""),18.0)</f>
        <v>18</v>
      </c>
      <c r="L102" s="56">
        <f>IFERROR(__xludf.DUMMYFUNCTION("""COMPUTED_VALUE"""),2.0)</f>
        <v>2</v>
      </c>
      <c r="M102" s="56">
        <f>IFERROR(__xludf.DUMMYFUNCTION("""COMPUTED_VALUE"""),204.0)</f>
        <v>204</v>
      </c>
      <c r="N102" s="57">
        <f>IFERROR(__xludf.DUMMYFUNCTION("""COMPUTED_VALUE"""),20.0)</f>
        <v>20</v>
      </c>
    </row>
    <row r="103">
      <c r="A103" s="1"/>
      <c r="B103" s="53" t="str">
        <f>IFERROR(__xludf.DUMMYFUNCTION("""COMPUTED_VALUE"""),"Jonathan Phan")</f>
        <v>Jonathan Phan</v>
      </c>
      <c r="C103" s="54">
        <f>IFERROR(__xludf.DUMMYFUNCTION("""COMPUTED_VALUE"""),186.0)</f>
        <v>186</v>
      </c>
      <c r="D103" s="55">
        <f>IFERROR(__xludf.DUMMYFUNCTION("""COMPUTED_VALUE"""),15.0)</f>
        <v>15</v>
      </c>
      <c r="E103" s="54">
        <f>IFERROR(__xludf.DUMMYFUNCTION("""COMPUTED_VALUE"""),1.0)</f>
        <v>1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IFERROR(__xludf.DUMMYFUNCTION("""COMPUTED_VALUE"""),7.0)</f>
        <v>7</v>
      </c>
      <c r="I103" s="56">
        <f>IFERROR(__xludf.DUMMYFUNCTION("""COMPUTED_VALUE"""),6.0)</f>
        <v>6</v>
      </c>
      <c r="J103" s="56">
        <f>IFERROR(__xludf.DUMMYFUNCTION("""COMPUTED_VALUE"""),4.0)</f>
        <v>4</v>
      </c>
      <c r="K103" s="56">
        <f>IFERROR(__xludf.DUMMYFUNCTION("""COMPUTED_VALUE"""),17.0)</f>
        <v>17</v>
      </c>
      <c r="L103" s="56">
        <f>IFERROR(__xludf.DUMMYFUNCTION("""COMPUTED_VALUE"""),2.0)</f>
        <v>2</v>
      </c>
      <c r="M103" s="56">
        <f>IFERROR(__xludf.DUMMYFUNCTION("""COMPUTED_VALUE"""),203.0)</f>
        <v>203</v>
      </c>
      <c r="N103" s="57">
        <f>IFERROR(__xludf.DUMMYFUNCTION("""COMPUTED_VALUE"""),17.0)</f>
        <v>17</v>
      </c>
    </row>
    <row r="104">
      <c r="A104" s="1"/>
      <c r="B104" s="48" t="str">
        <f>IFERROR(__xludf.DUMMYFUNCTION("""COMPUTED_VALUE"""),"David Shin")</f>
        <v>David Shin</v>
      </c>
      <c r="C104" s="49">
        <f>IFERROR(__xludf.DUMMYFUNCTION("""COMPUTED_VALUE"""),184.0)</f>
        <v>184</v>
      </c>
      <c r="D104" s="50">
        <f>IFERROR(__xludf.DUMMYFUNCTION("""COMPUTED_VALUE"""),13.0)</f>
        <v>13</v>
      </c>
      <c r="E104" s="49">
        <f>IFERROR(__xludf.DUMMYFUNCTION("""COMPUTED_VALUE"""),1.0)</f>
        <v>1</v>
      </c>
      <c r="F104" s="51">
        <f>IFERROR(__xludf.DUMMYFUNCTION("""COMPUTED_VALUE"""),5.0)</f>
        <v>5</v>
      </c>
      <c r="G104" s="51">
        <f>IFERROR(__xludf.DUMMYFUNCTION("""COMPUTED_VALUE"""),0.0)</f>
        <v>0</v>
      </c>
      <c r="H104" s="51">
        <f>IFERROR(__xludf.DUMMYFUNCTION("""COMPUTED_VALUE"""),6.0)</f>
        <v>6</v>
      </c>
      <c r="I104" s="51">
        <f>IFERROR(__xludf.DUMMYFUNCTION("""COMPUTED_VALUE"""),7.0)</f>
        <v>7</v>
      </c>
      <c r="J104" s="51">
        <f>IFERROR(__xludf.DUMMYFUNCTION("""COMPUTED_VALUE"""),6.0)</f>
        <v>6</v>
      </c>
      <c r="K104" s="51">
        <f>IFERROR(__xludf.DUMMYFUNCTION("""COMPUTED_VALUE"""),19.0)</f>
        <v>19</v>
      </c>
      <c r="L104" s="51">
        <f>IFERROR(__xludf.DUMMYFUNCTION("""COMPUTED_VALUE"""),3.0)</f>
        <v>3</v>
      </c>
      <c r="M104" s="51">
        <f>IFERROR(__xludf.DUMMYFUNCTION("""COMPUTED_VALUE"""),203.0)</f>
        <v>203</v>
      </c>
      <c r="N104" s="52">
        <f>IFERROR(__xludf.DUMMYFUNCTION("""COMPUTED_VALUE"""),16.0)</f>
        <v>16</v>
      </c>
    </row>
    <row r="105">
      <c r="A105" s="1"/>
      <c r="B105" s="48" t="str">
        <f>IFERROR(__xludf.DUMMYFUNCTION("""COMPUTED_VALUE"""),"Tony Wong")</f>
        <v>Tony Wong</v>
      </c>
      <c r="C105" s="49">
        <f>IFERROR(__xludf.DUMMYFUNCTION("""COMPUTED_VALUE"""),184.0)</f>
        <v>184</v>
      </c>
      <c r="D105" s="50">
        <f>IFERROR(__xludf.DUMMYFUNCTION("""COMPUTED_VALUE"""),12.0)</f>
        <v>12</v>
      </c>
      <c r="E105" s="49">
        <f>IFERROR(__xludf.DUMMYFUNCTION("""COMPUTED_VALUE"""),2.0)</f>
        <v>2</v>
      </c>
      <c r="F105" s="51">
        <f>IFERROR(__xludf.DUMMYFUNCTION("""COMPUTED_VALUE"""),5.0)</f>
        <v>5</v>
      </c>
      <c r="G105" s="51">
        <f>IFERROR(__xludf.DUMMYFUNCTION("""COMPUTED_VALUE"""),0.0)</f>
        <v>0</v>
      </c>
      <c r="H105" s="51">
        <f>IFERROR(__xludf.DUMMYFUNCTION("""COMPUTED_VALUE"""),1.0)</f>
        <v>1</v>
      </c>
      <c r="I105" s="51">
        <f>IFERROR(__xludf.DUMMYFUNCTION("""COMPUTED_VALUE"""),6.0)</f>
        <v>6</v>
      </c>
      <c r="J105" s="51">
        <f>IFERROR(__xludf.DUMMYFUNCTION("""COMPUTED_VALUE"""),6.0)</f>
        <v>6</v>
      </c>
      <c r="K105" s="51">
        <f>IFERROR(__xludf.DUMMYFUNCTION("""COMPUTED_VALUE"""),13.0)</f>
        <v>13</v>
      </c>
      <c r="L105" s="51">
        <f>IFERROR(__xludf.DUMMYFUNCTION("""COMPUTED_VALUE"""),1.0)</f>
        <v>1</v>
      </c>
      <c r="M105" s="51">
        <f>IFERROR(__xludf.DUMMYFUNCTION("""COMPUTED_VALUE"""),197.0)</f>
        <v>197</v>
      </c>
      <c r="N105" s="52">
        <f>IFERROR(__xludf.DUMMYFUNCTION("""COMPUTED_VALUE"""),13.0)</f>
        <v>13</v>
      </c>
    </row>
    <row r="106">
      <c r="A106" s="1"/>
      <c r="B106" s="48" t="str">
        <f>IFERROR(__xludf.DUMMYFUNCTION("""COMPUTED_VALUE"""),"Rosie Bonilla")</f>
        <v>Rosie Bonilla</v>
      </c>
      <c r="C106" s="49">
        <f>IFERROR(__xludf.DUMMYFUNCTION("""COMPUTED_VALUE"""),179.0)</f>
        <v>179</v>
      </c>
      <c r="D106" s="50">
        <f>IFERROR(__xludf.DUMMYFUNCTION("""COMPUTED_VALUE"""),13.0)</f>
        <v>13</v>
      </c>
      <c r="E106" s="49">
        <f>IFERROR(__xludf.DUMMYFUNCTION("""COMPUTED_VALUE"""),1.0)</f>
        <v>1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IFERROR(__xludf.DUMMYFUNCTION("""COMPUTED_VALUE"""),6.0)</f>
        <v>6</v>
      </c>
      <c r="I106" s="51">
        <f>IFERROR(__xludf.DUMMYFUNCTION("""COMPUTED_VALUE"""),6.0)</f>
        <v>6</v>
      </c>
      <c r="J106" s="51">
        <f>IFERROR(__xludf.DUMMYFUNCTION("""COMPUTED_VALUE"""),2.0)</f>
        <v>2</v>
      </c>
      <c r="K106" s="51">
        <f>IFERROR(__xludf.DUMMYFUNCTION("""COMPUTED_VALUE"""),14.0)</f>
        <v>14</v>
      </c>
      <c r="L106" s="51">
        <f>IFERROR(__xludf.DUMMYFUNCTION("""COMPUTED_VALUE"""),1.0)</f>
        <v>1</v>
      </c>
      <c r="M106" s="51">
        <f>IFERROR(__xludf.DUMMYFUNCTION("""COMPUTED_VALUE"""),193.0)</f>
        <v>193</v>
      </c>
      <c r="N106" s="52">
        <f>IFERROR(__xludf.DUMMYFUNCTION("""COMPUTED_VALUE"""),14.0)</f>
        <v>14</v>
      </c>
    </row>
    <row r="107">
      <c r="A107" s="1"/>
      <c r="B107" s="48" t="str">
        <f>IFERROR(__xludf.DUMMYFUNCTION("""COMPUTED_VALUE"""),"Sandy Weyant")</f>
        <v>Sandy Weyant</v>
      </c>
      <c r="C107" s="49">
        <f>IFERROR(__xludf.DUMMYFUNCTION("""COMPUTED_VALUE"""),177.0)</f>
        <v>177</v>
      </c>
      <c r="D107" s="50">
        <f>IFERROR(__xludf.DUMMYFUNCTION("""COMPUTED_VALUE"""),9.0)</f>
        <v>9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IFERROR(__xludf.DUMMYFUNCTION("""COMPUTED_VALUE"""),1.0)</f>
        <v>1</v>
      </c>
      <c r="I107" s="51">
        <f>IFERROR(__xludf.DUMMYFUNCTION("""COMPUTED_VALUE"""),7.0)</f>
        <v>7</v>
      </c>
      <c r="J107" s="51">
        <f>IFERROR(__xludf.DUMMYFUNCTION("""COMPUTED_VALUE"""),2.0)</f>
        <v>2</v>
      </c>
      <c r="K107" s="51">
        <f>IFERROR(__xludf.DUMMYFUNCTION("""COMPUTED_VALUE"""),10.0)</f>
        <v>10</v>
      </c>
      <c r="L107" s="51">
        <f>IFERROR(__xludf.DUMMYFUNCTION("""COMPUTED_VALUE"""),1.0)</f>
        <v>1</v>
      </c>
      <c r="M107" s="51">
        <f>IFERROR(__xludf.DUMMYFUNCTION("""COMPUTED_VALUE"""),187.0)</f>
        <v>187</v>
      </c>
      <c r="N107" s="52">
        <f>IFERROR(__xludf.DUMMYFUNCTION("""COMPUTED_VALUE"""),10.0)</f>
        <v>10</v>
      </c>
    </row>
    <row r="108">
      <c r="A108" s="1"/>
      <c r="B108" s="53" t="str">
        <f>IFERROR(__xludf.DUMMYFUNCTION("""COMPUTED_VALUE"""),"Mauricio Palacios")</f>
        <v>Mauricio Palacios</v>
      </c>
      <c r="C108" s="54">
        <f>IFERROR(__xludf.DUMMYFUNCTION("""COMPUTED_VALUE"""),170.0)</f>
        <v>170</v>
      </c>
      <c r="D108" s="55">
        <f>IFERROR(__xludf.DUMMYFUNCTION("""COMPUTED_VALUE"""),16.0)</f>
        <v>16</v>
      </c>
      <c r="E108" s="54">
        <f>IFERROR(__xludf.DUMMYFUNCTION("""COMPUTED_VALUE"""),2.0)</f>
        <v>2</v>
      </c>
      <c r="F108" s="56">
        <f>IFERROR(__xludf.DUMMYFUNCTION("""COMPUTED_VALUE"""),6.0)</f>
        <v>6</v>
      </c>
      <c r="G108" s="56">
        <f>IFERROR(__xludf.DUMMYFUNCTION("""COMPUTED_VALUE"""),0.0)</f>
        <v>0</v>
      </c>
      <c r="H108" s="56">
        <f>IFERROR(__xludf.DUMMYFUNCTION("""COMPUTED_VALUE"""),7.0)</f>
        <v>7</v>
      </c>
      <c r="I108" s="56">
        <f>IFERROR(__xludf.DUMMYFUNCTION("""COMPUTED_VALUE"""),6.0)</f>
        <v>6</v>
      </c>
      <c r="J108" s="56">
        <f>IFERROR(__xludf.DUMMYFUNCTION("""COMPUTED_VALUE"""),6.0)</f>
        <v>6</v>
      </c>
      <c r="K108" s="56">
        <f>IFERROR(__xludf.DUMMYFUNCTION("""COMPUTED_VALUE"""),19.0)</f>
        <v>19</v>
      </c>
      <c r="L108" s="56">
        <f>IFERROR(__xludf.DUMMYFUNCTION("""COMPUTED_VALUE"""),2.0)</f>
        <v>2</v>
      </c>
      <c r="M108" s="56">
        <f>IFERROR(__xludf.DUMMYFUNCTION("""COMPUTED_VALUE"""),189.0)</f>
        <v>189</v>
      </c>
      <c r="N108" s="57">
        <f>IFERROR(__xludf.DUMMYFUNCTION("""COMPUTED_VALUE"""),18.0)</f>
        <v>18</v>
      </c>
    </row>
    <row r="109">
      <c r="A109" s="1"/>
      <c r="B109" s="53" t="str">
        <f>IFERROR(__xludf.DUMMYFUNCTION("""COMPUTED_VALUE"""),"Manuel Rivera")</f>
        <v>Manuel Rivera</v>
      </c>
      <c r="C109" s="54">
        <f>IFERROR(__xludf.DUMMYFUNCTION("""COMPUTED_VALUE"""),170.0)</f>
        <v>170</v>
      </c>
      <c r="D109" s="55">
        <f>IFERROR(__xludf.DUMMYFUNCTION("""COMPUTED_VALUE"""),15.0)</f>
        <v>15</v>
      </c>
      <c r="E109" s="54">
        <f>IFERROR(__xludf.DUMMYFUNCTION("""COMPUTED_VALUE"""),2.0)</f>
        <v>2</v>
      </c>
      <c r="F109" s="56">
        <f>IFERROR(__xludf.DUMMYFUNCTION("""COMPUTED_VALUE"""),6.0)</f>
        <v>6</v>
      </c>
      <c r="G109" s="56">
        <f>IFERROR(__xludf.DUMMYFUNCTION("""COMPUTED_VALUE"""),0.0)</f>
        <v>0</v>
      </c>
      <c r="H109" s="56">
        <f>IFERROR(__xludf.DUMMYFUNCTION("""COMPUTED_VALUE"""),6.0)</f>
        <v>6</v>
      </c>
      <c r="I109" s="56">
        <f>IFERROR(__xludf.DUMMYFUNCTION("""COMPUTED_VALUE"""),3.0)</f>
        <v>3</v>
      </c>
      <c r="J109" s="56">
        <f>IFERROR(__xludf.DUMMYFUNCTION("""COMPUTED_VALUE"""),6.0)</f>
        <v>6</v>
      </c>
      <c r="K109" s="56">
        <f>IFERROR(__xludf.DUMMYFUNCTION("""COMPUTED_VALUE"""),15.0)</f>
        <v>15</v>
      </c>
      <c r="L109" s="56">
        <f>IFERROR(__xludf.DUMMYFUNCTION("""COMPUTED_VALUE"""),0.0)</f>
        <v>0</v>
      </c>
      <c r="M109" s="56">
        <f>IFERROR(__xludf.DUMMYFUNCTION("""COMPUTED_VALUE"""),185.0)</f>
        <v>185</v>
      </c>
      <c r="N109" s="57">
        <f>IFERROR(__xludf.DUMMYFUNCTION("""COMPUTED_VALUE"""),15.0)</f>
        <v>15</v>
      </c>
    </row>
    <row r="110">
      <c r="A110" s="1"/>
      <c r="B110" s="53" t="str">
        <f>IFERROR(__xludf.DUMMYFUNCTION("""COMPUTED_VALUE"""),"Troy Wong")</f>
        <v>Troy Wong</v>
      </c>
      <c r="C110" s="54">
        <f>IFERROR(__xludf.DUMMYFUNCTION("""COMPUTED_VALUE"""),170.0)</f>
        <v>170</v>
      </c>
      <c r="D110" s="55">
        <f>IFERROR(__xludf.DUMMYFUNCTION("""COMPUTED_VALUE"""),8.0)</f>
        <v>8</v>
      </c>
      <c r="E110" s="54">
        <f>IFERROR(__xludf.DUMMYFUNCTION("""COMPUTED_VALUE"""),1.0)</f>
        <v>1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IFERROR(__xludf.DUMMYFUNCTION("""COMPUTED_VALUE"""),6.0)</f>
        <v>6</v>
      </c>
      <c r="I110" s="56">
        <f>IFERROR(__xludf.DUMMYFUNCTION("""COMPUTED_VALUE"""),6.0)</f>
        <v>6</v>
      </c>
      <c r="J110" s="56">
        <f>IFERROR(__xludf.DUMMYFUNCTION("""COMPUTED_VALUE"""),7.0)</f>
        <v>7</v>
      </c>
      <c r="K110" s="56">
        <f>IFERROR(__xludf.DUMMYFUNCTION("""COMPUTED_VALUE"""),19.0)</f>
        <v>19</v>
      </c>
      <c r="L110" s="56">
        <f>IFERROR(__xludf.DUMMYFUNCTION("""COMPUTED_VALUE"""),2.0)</f>
        <v>2</v>
      </c>
      <c r="M110" s="56">
        <f>IFERROR(__xludf.DUMMYFUNCTION("""COMPUTED_VALUE"""),189.0)</f>
        <v>189</v>
      </c>
      <c r="N110" s="57">
        <f>IFERROR(__xludf.DUMMYFUNCTION("""COMPUTED_VALUE"""),10.0)</f>
        <v>10</v>
      </c>
    </row>
    <row r="111">
      <c r="A111" s="1"/>
      <c r="B111" s="53" t="str">
        <f>IFERROR(__xludf.DUMMYFUNCTION("""COMPUTED_VALUE"""),"Sanjaye Elayattu")</f>
        <v>Sanjaye Elayattu</v>
      </c>
      <c r="C111" s="54">
        <f>IFERROR(__xludf.DUMMYFUNCTION("""COMPUTED_VALUE"""),170.0)</f>
        <v>170</v>
      </c>
      <c r="D111" s="55">
        <f>IFERROR(__xludf.DUMMYFUNCTION("""COMPUTED_VALUE"""),6.0)</f>
        <v>6</v>
      </c>
      <c r="E111" s="54">
        <f>IFERROR(__xludf.DUMMYFUNCTION("""COMPUTED_VALUE"""),1.0)</f>
        <v>1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IFERROR(__xludf.DUMMYFUNCTION("""COMPUTED_VALUE"""),7.0)</f>
        <v>7</v>
      </c>
      <c r="I111" s="56">
        <f>IFERROR(__xludf.DUMMYFUNCTION("""COMPUTED_VALUE"""),3.0)</f>
        <v>3</v>
      </c>
      <c r="J111" s="56">
        <f>IFERROR(__xludf.DUMMYFUNCTION("""COMPUTED_VALUE"""),7.0)</f>
        <v>7</v>
      </c>
      <c r="K111" s="56">
        <f>IFERROR(__xludf.DUMMYFUNCTION("""COMPUTED_VALUE"""),17.0)</f>
        <v>17</v>
      </c>
      <c r="L111" s="56">
        <f>IFERROR(__xludf.DUMMYFUNCTION("""COMPUTED_VALUE"""),2.0)</f>
        <v>2</v>
      </c>
      <c r="M111" s="56">
        <f>IFERROR(__xludf.DUMMYFUNCTION("""COMPUTED_VALUE"""),187.0)</f>
        <v>187</v>
      </c>
      <c r="N111" s="57">
        <f>IFERROR(__xludf.DUMMYFUNCTION("""COMPUTED_VALUE"""),8.0)</f>
        <v>8</v>
      </c>
    </row>
    <row r="112">
      <c r="A112" s="1"/>
      <c r="B112" s="48" t="str">
        <f>IFERROR(__xludf.DUMMYFUNCTION("""COMPUTED_VALUE"""),"Susanta Mishra")</f>
        <v>Susanta Mishra</v>
      </c>
      <c r="C112" s="49">
        <f>IFERROR(__xludf.DUMMYFUNCTION("""COMPUTED_VALUE"""),168.0)</f>
        <v>168</v>
      </c>
      <c r="D112" s="50">
        <f>IFERROR(__xludf.DUMMYFUNCTION("""COMPUTED_VALUE"""),8.0)</f>
        <v>8</v>
      </c>
      <c r="E112" s="49">
        <f>IFERROR(__xludf.DUMMYFUNCTION("""COMPUTED_VALUE"""),1.0)</f>
        <v>1</v>
      </c>
      <c r="F112" s="51">
        <f>IFERROR(__xludf.DUMMYFUNCTION("""COMPUTED_VALUE"""),7.0)</f>
        <v>7</v>
      </c>
      <c r="G112" s="51">
        <f>IFERROR(__xludf.DUMMYFUNCTION("""COMPUTED_VALUE"""),0.0)</f>
        <v>0</v>
      </c>
      <c r="H112" s="51">
        <f>IFERROR(__xludf.DUMMYFUNCTION("""COMPUTED_VALUE"""),6.0)</f>
        <v>6</v>
      </c>
      <c r="I112" s="51">
        <f>IFERROR(__xludf.DUMMYFUNCTION("""COMPUTED_VALUE"""),6.0)</f>
        <v>6</v>
      </c>
      <c r="J112" s="51">
        <f>IFERROR(__xludf.DUMMYFUNCTION("""COMPUTED_VALUE"""),6.0)</f>
        <v>6</v>
      </c>
      <c r="K112" s="51">
        <f>IFERROR(__xludf.DUMMYFUNCTION("""COMPUTED_VALUE"""),18.0)</f>
        <v>18</v>
      </c>
      <c r="L112" s="51">
        <f>IFERROR(__xludf.DUMMYFUNCTION("""COMPUTED_VALUE"""),3.0)</f>
        <v>3</v>
      </c>
      <c r="M112" s="51">
        <f>IFERROR(__xludf.DUMMYFUNCTION("""COMPUTED_VALUE"""),186.0)</f>
        <v>186</v>
      </c>
      <c r="N112" s="52">
        <f>IFERROR(__xludf.DUMMYFUNCTION("""COMPUTED_VALUE"""),11.0)</f>
        <v>11</v>
      </c>
    </row>
    <row r="113">
      <c r="A113" s="1"/>
      <c r="B113" s="48" t="str">
        <f>IFERROR(__xludf.DUMMYFUNCTION("""COMPUTED_VALUE"""),"Vinot Kumar Nagappan")</f>
        <v>Vinot Kumar Nagappan</v>
      </c>
      <c r="C113" s="49">
        <f>IFERROR(__xludf.DUMMYFUNCTION("""COMPUTED_VALUE"""),164.0)</f>
        <v>164</v>
      </c>
      <c r="D113" s="50">
        <f>IFERROR(__xludf.DUMMYFUNCTION("""COMPUTED_VALUE"""),8.0)</f>
        <v>8</v>
      </c>
      <c r="E113" s="49">
        <f>IFERROR(__xludf.DUMMYFUNCTION("""COMPUTED_VALUE"""),1.0)</f>
        <v>1</v>
      </c>
      <c r="F113" s="51">
        <f>IFERROR(__xludf.DUMMYFUNCTION("""COMPUTED_VALUE"""),7.0)</f>
        <v>7</v>
      </c>
      <c r="G113" s="51">
        <f>IFERROR(__xludf.DUMMYFUNCTION("""COMPUTED_VALUE"""),0.0)</f>
        <v>0</v>
      </c>
      <c r="H113" s="51">
        <f>IFERROR(__xludf.DUMMYFUNCTION("""COMPUTED_VALUE"""),4.0)</f>
        <v>4</v>
      </c>
      <c r="I113" s="51">
        <f>IFERROR(__xludf.DUMMYFUNCTION("""COMPUTED_VALUE"""),0.0)</f>
        <v>0</v>
      </c>
      <c r="J113" s="51">
        <f>IFERROR(__xludf.DUMMYFUNCTION("""COMPUTED_VALUE"""),6.0)</f>
        <v>6</v>
      </c>
      <c r="K113" s="51">
        <f>IFERROR(__xludf.DUMMYFUNCTION("""COMPUTED_VALUE"""),10.0)</f>
        <v>10</v>
      </c>
      <c r="L113" s="51">
        <f>IFERROR(__xludf.DUMMYFUNCTION("""COMPUTED_VALUE"""),1.0)</f>
        <v>1</v>
      </c>
      <c r="M113" s="51">
        <f>IFERROR(__xludf.DUMMYFUNCTION("""COMPUTED_VALUE"""),174.0)</f>
        <v>174</v>
      </c>
      <c r="N113" s="52">
        <f>IFERROR(__xludf.DUMMYFUNCTION("""COMPUTED_VALUE"""),9.0)</f>
        <v>9</v>
      </c>
    </row>
    <row r="114">
      <c r="A114" s="1"/>
      <c r="B114" s="48" t="str">
        <f>IFERROR(__xludf.DUMMYFUNCTION("""COMPUTED_VALUE"""),"Balaji Alahari")</f>
        <v>Balaji Alahari</v>
      </c>
      <c r="C114" s="49">
        <f>IFERROR(__xludf.DUMMYFUNCTION("""COMPUTED_VALUE"""),159.0)</f>
        <v>159</v>
      </c>
      <c r="D114" s="50">
        <f>IFERROR(__xludf.DUMMYFUNCTION("""COMPUTED_VALUE"""),3.0)</f>
        <v>3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IFERROR(__xludf.DUMMYFUNCTION("""COMPUTED_VALUE"""),6.0)</f>
        <v>6</v>
      </c>
      <c r="I114" s="51">
        <f>IFERROR(__xludf.DUMMYFUNCTION("""COMPUTED_VALUE"""),0.0)</f>
        <v>0</v>
      </c>
      <c r="J114" s="51">
        <f>IFERROR(__xludf.DUMMYFUNCTION("""COMPUTED_VALUE"""),0.0)</f>
        <v>0</v>
      </c>
      <c r="K114" s="51">
        <f>IFERROR(__xludf.DUMMYFUNCTION("""COMPUTED_VALUE"""),6.0)</f>
        <v>6</v>
      </c>
      <c r="L114" s="51">
        <f>IFERROR(__xludf.DUMMYFUNCTION("""COMPUTED_VALUE"""),1.0)</f>
        <v>1</v>
      </c>
      <c r="M114" s="51">
        <f>IFERROR(__xludf.DUMMYFUNCTION("""COMPUTED_VALUE"""),165.0)</f>
        <v>165</v>
      </c>
      <c r="N114" s="52">
        <f>IFERROR(__xludf.DUMMYFUNCTION("""COMPUTED_VALUE"""),4.0)</f>
        <v>4</v>
      </c>
    </row>
    <row r="115">
      <c r="A115" s="1"/>
      <c r="B115" s="48" t="str">
        <f>IFERROR(__xludf.DUMMYFUNCTION("""COMPUTED_VALUE"""),"Lauren Chang")</f>
        <v>Lauren Chang</v>
      </c>
      <c r="C115" s="49">
        <f>IFERROR(__xludf.DUMMYFUNCTION("""COMPUTED_VALUE"""),155.0)</f>
        <v>155</v>
      </c>
      <c r="D115" s="50">
        <f>IFERROR(__xludf.DUMMYFUNCTION("""COMPUTED_VALUE"""),3.0)</f>
        <v>3</v>
      </c>
      <c r="E115" s="49">
        <f>IFERROR(__xludf.DUMMYFUNCTION("""COMPUTED_VALUE"""),1.0)</f>
        <v>1</v>
      </c>
      <c r="F115" s="51">
        <f>IFERROR(__xludf.DUMMYFUNCTION("""COMPUTED_VALUE"""),7.0)</f>
        <v>7</v>
      </c>
      <c r="G115" s="51">
        <f>IFERROR(__xludf.DUMMYFUNCTION("""COMPUTED_VALUE"""),0.0)</f>
        <v>0</v>
      </c>
      <c r="H115" s="51">
        <f>IFERROR(__xludf.DUMMYFUNCTION("""COMPUTED_VALUE"""),4.0)</f>
        <v>4</v>
      </c>
      <c r="I115" s="51">
        <f>IFERROR(__xludf.DUMMYFUNCTION("""COMPUTED_VALUE"""),6.0)</f>
        <v>6</v>
      </c>
      <c r="J115" s="51">
        <f>IFERROR(__xludf.DUMMYFUNCTION("""COMPUTED_VALUE"""),0.0)</f>
        <v>0</v>
      </c>
      <c r="K115" s="51">
        <f>IFERROR(__xludf.DUMMYFUNCTION("""COMPUTED_VALUE"""),10.0)</f>
        <v>10</v>
      </c>
      <c r="L115" s="51">
        <f>IFERROR(__xludf.DUMMYFUNCTION("""COMPUTED_VALUE"""),1.0)</f>
        <v>1</v>
      </c>
      <c r="M115" s="51">
        <f>IFERROR(__xludf.DUMMYFUNCTION("""COMPUTED_VALUE"""),165.0)</f>
        <v>165</v>
      </c>
      <c r="N115" s="52">
        <f>IFERROR(__xludf.DUMMYFUNCTION("""COMPUTED_VALUE"""),4.0)</f>
        <v>4</v>
      </c>
    </row>
    <row r="116">
      <c r="A116" s="1"/>
      <c r="B116" s="53" t="str">
        <f>IFERROR(__xludf.DUMMYFUNCTION("""COMPUTED_VALUE"""),"Kevin Wang")</f>
        <v>Kevin Wang</v>
      </c>
      <c r="C116" s="54">
        <f>IFERROR(__xludf.DUMMYFUNCTION("""COMPUTED_VALUE"""),151.0)</f>
        <v>151</v>
      </c>
      <c r="D116" s="55">
        <f>IFERROR(__xludf.DUMMYFUNCTION("""COMPUTED_VALUE"""),10.0)</f>
        <v>10</v>
      </c>
      <c r="E116" s="54">
        <f>IFERROR(__xludf.DUMMYFUNCTION("""COMPUTED_VALUE"""),1.0)</f>
        <v>1</v>
      </c>
      <c r="F116" s="56">
        <f>IFERROR(__xludf.DUMMYFUNCTION("""COMPUTED_VALUE"""),8.0)</f>
        <v>8</v>
      </c>
      <c r="G116" s="56">
        <f>IFERROR(__xludf.DUMMYFUNCTION("""COMPUTED_VALUE"""),0.0)</f>
        <v>0</v>
      </c>
      <c r="H116" s="56">
        <f>IFERROR(__xludf.DUMMYFUNCTION("""COMPUTED_VALUE"""),0.0)</f>
        <v>0</v>
      </c>
      <c r="I116" s="56">
        <f>IFERROR(__xludf.DUMMYFUNCTION("""COMPUTED_VALUE"""),1.0)</f>
        <v>1</v>
      </c>
      <c r="J116" s="56">
        <f>IFERROR(__xludf.DUMMYFUNCTION("""COMPUTED_VALUE"""),0.0)</f>
        <v>0</v>
      </c>
      <c r="K116" s="56">
        <f>IFERROR(__xludf.DUMMYFUNCTION("""COMPUTED_VALUE"""),1.0)</f>
        <v>1</v>
      </c>
      <c r="L116" s="56">
        <f>IFERROR(__xludf.DUMMYFUNCTION("""COMPUTED_VALUE"""),0.0)</f>
        <v>0</v>
      </c>
      <c r="M116" s="56">
        <f>IFERROR(__xludf.DUMMYFUNCTION("""COMPUTED_VALUE"""),152.0)</f>
        <v>152</v>
      </c>
      <c r="N116" s="57">
        <f>IFERROR(__xludf.DUMMYFUNCTION("""COMPUTED_VALUE"""),10.0)</f>
        <v>10</v>
      </c>
    </row>
    <row r="117">
      <c r="A117" s="1"/>
      <c r="B117" s="53" t="str">
        <f>IFERROR(__xludf.DUMMYFUNCTION("""COMPUTED_VALUE"""),"Suleman Alidina")</f>
        <v>Suleman Alidina</v>
      </c>
      <c r="C117" s="54">
        <f>IFERROR(__xludf.DUMMYFUNCTION("""COMPUTED_VALUE"""),148.0)</f>
        <v>148</v>
      </c>
      <c r="D117" s="55">
        <f>IFERROR(__xludf.DUMMYFUNCTION("""COMPUTED_VALUE"""),2.0)</f>
        <v>2</v>
      </c>
      <c r="E117" s="54">
        <f>IFERROR(__xludf.DUMMYFUNCTION("""COMPUTED_VALUE"""),1.0)</f>
        <v>1</v>
      </c>
      <c r="F117" s="56">
        <f>IFERROR(__xludf.DUMMYFUNCTION("""COMPUTED_VALUE"""),8.0)</f>
        <v>8</v>
      </c>
      <c r="G117" s="56">
        <f>IFERROR(__xludf.DUMMYFUNCTION("""COMPUTED_VALUE"""),0.0)</f>
        <v>0</v>
      </c>
      <c r="H117" s="56">
        <f>IFERROR(__xludf.DUMMYFUNCTION("""COMPUTED_VALUE"""),6.0)</f>
        <v>6</v>
      </c>
      <c r="I117" s="56">
        <f>IFERROR(__xludf.DUMMYFUNCTION("""COMPUTED_VALUE"""),6.0)</f>
        <v>6</v>
      </c>
      <c r="J117" s="56">
        <f>IFERROR(__xludf.DUMMYFUNCTION("""COMPUTED_VALUE"""),0.0)</f>
        <v>0</v>
      </c>
      <c r="K117" s="56">
        <f>IFERROR(__xludf.DUMMYFUNCTION("""COMPUTED_VALUE"""),12.0)</f>
        <v>12</v>
      </c>
      <c r="L117" s="56">
        <f>IFERROR(__xludf.DUMMYFUNCTION("""COMPUTED_VALUE"""),2.0)</f>
        <v>2</v>
      </c>
      <c r="M117" s="56">
        <f>IFERROR(__xludf.DUMMYFUNCTION("""COMPUTED_VALUE"""),160.0)</f>
        <v>160</v>
      </c>
      <c r="N117" s="57">
        <f>IFERROR(__xludf.DUMMYFUNCTION("""COMPUTED_VALUE"""),4.0)</f>
        <v>4</v>
      </c>
    </row>
    <row r="118">
      <c r="A118" s="1"/>
      <c r="B118" s="53" t="str">
        <f>IFERROR(__xludf.DUMMYFUNCTION("""COMPUTED_VALUE"""),"Andrew Chin")</f>
        <v>Andrew Chin</v>
      </c>
      <c r="C118" s="54">
        <f>IFERROR(__xludf.DUMMYFUNCTION("""COMPUTED_VALUE"""),144.0)</f>
        <v>144</v>
      </c>
      <c r="D118" s="55">
        <f>IFERROR(__xludf.DUMMYFUNCTION("""COMPUTED_VALUE"""),0.0)</f>
        <v>0</v>
      </c>
      <c r="E118" s="54">
        <f>IFERROR(__xludf.DUMMYFUNCTION("""COMPUTED_VALUE"""),1.0)</f>
        <v>1</v>
      </c>
      <c r="F118" s="56">
        <f>IFERROR(__xludf.DUMMYFUNCTION("""COMPUTED_VALUE"""),8.0)</f>
        <v>8</v>
      </c>
      <c r="G118" s="56"/>
      <c r="H118" s="56"/>
      <c r="I118" s="65">
        <f>IFERROR(__xludf.DUMMYFUNCTION("""COMPUTED_VALUE"""),6.0)</f>
        <v>6</v>
      </c>
      <c r="J118" s="56">
        <f>IFERROR(__xludf.DUMMYFUNCTION("""COMPUTED_VALUE"""),6.0)</f>
        <v>6</v>
      </c>
      <c r="K118" s="56">
        <f>IFERROR(__xludf.DUMMYFUNCTION("""COMPUTED_VALUE"""),12.0)</f>
        <v>12</v>
      </c>
      <c r="L118" s="56">
        <f>IFERROR(__xludf.DUMMYFUNCTION("""COMPUTED_VALUE"""),2.0)</f>
        <v>2</v>
      </c>
      <c r="M118" s="56">
        <f>IFERROR(__xludf.DUMMYFUNCTION("""COMPUTED_VALUE"""),156.0)</f>
        <v>156</v>
      </c>
      <c r="N118" s="57">
        <f>IFERROR(__xludf.DUMMYFUNCTION("""COMPUTED_VALUE"""),2.0)</f>
        <v>2</v>
      </c>
    </row>
    <row r="119">
      <c r="A119" s="1"/>
      <c r="B119" s="53" t="str">
        <f>IFERROR(__xludf.DUMMYFUNCTION("""COMPUTED_VALUE"""),"Thomas Zou")</f>
        <v>Thomas Zou</v>
      </c>
      <c r="C119" s="54">
        <f>IFERROR(__xludf.DUMMYFUNCTION("""COMPUTED_VALUE"""),144.0)</f>
        <v>144</v>
      </c>
      <c r="D119" s="55">
        <f>IFERROR(__xludf.DUMMYFUNCTION("""COMPUTED_VALUE"""),0.0)</f>
        <v>0</v>
      </c>
      <c r="E119" s="54">
        <f>IFERROR(__xludf.DUMMYFUNCTION("""COMPUTED_VALUE"""),1.0)</f>
        <v>1</v>
      </c>
      <c r="F119" s="56">
        <f>IFERROR(__xludf.DUMMYFUNCTION("""COMPUTED_VALUE"""),8.0)</f>
        <v>8</v>
      </c>
      <c r="G119" s="56"/>
      <c r="H119" s="56">
        <f>IFERROR(__xludf.DUMMYFUNCTION("""COMPUTED_VALUE"""),6.0)</f>
        <v>6</v>
      </c>
      <c r="I119" s="56">
        <f>IFERROR(__xludf.DUMMYFUNCTION("""COMPUTED_VALUE"""),1.0)</f>
        <v>1</v>
      </c>
      <c r="J119" s="56">
        <f>IFERROR(__xludf.DUMMYFUNCTION("""COMPUTED_VALUE"""),6.0)</f>
        <v>6</v>
      </c>
      <c r="K119" s="56">
        <f>IFERROR(__xludf.DUMMYFUNCTION("""COMPUTED_VALUE"""),13.0)</f>
        <v>13</v>
      </c>
      <c r="L119" s="56">
        <f>IFERROR(__xludf.DUMMYFUNCTION("""COMPUTED_VALUE"""),2.0)</f>
        <v>2</v>
      </c>
      <c r="M119" s="56">
        <f>IFERROR(__xludf.DUMMYFUNCTION("""COMPUTED_VALUE"""),157.0)</f>
        <v>157</v>
      </c>
      <c r="N119" s="57">
        <f>IFERROR(__xludf.DUMMYFUNCTION("""COMPUTED_VALUE"""),2.0)</f>
        <v>2</v>
      </c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B131" s="20" t="s">
        <v>25</v>
      </c>
      <c r="C131" s="21" t="s">
        <v>8</v>
      </c>
      <c r="D131" s="21" t="s">
        <v>14</v>
      </c>
      <c r="E131" s="21" t="s">
        <v>26</v>
      </c>
      <c r="F131" s="21" t="s">
        <v>27</v>
      </c>
      <c r="G131" s="21" t="s">
        <v>28</v>
      </c>
      <c r="H131" s="21" t="s">
        <v>17</v>
      </c>
      <c r="I131" s="21" t="s">
        <v>18</v>
      </c>
      <c r="J131" s="21" t="s">
        <v>19</v>
      </c>
      <c r="K131" s="21" t="s">
        <v>8</v>
      </c>
      <c r="L131" s="21" t="s">
        <v>14</v>
      </c>
      <c r="M131" s="22" t="s">
        <v>8</v>
      </c>
      <c r="N131" s="22" t="s">
        <v>14</v>
      </c>
    </row>
    <row r="132">
      <c r="A132" s="1"/>
      <c r="B132" s="48" t="str">
        <f>IFERROR(__xludf.DUMMYFUNCTION("QUERY(B5:N65, ""Select B, C, D, E, F, G, H, I, J, K, L, M, N   where F = 0"")"),"Peter Cheng")</f>
        <v>Peter Cheng</v>
      </c>
      <c r="C132" s="49">
        <f>IFERROR(__xludf.DUMMYFUNCTION("""COMPUTED_VALUE"""),219.0)</f>
        <v>219</v>
      </c>
      <c r="D132" s="50">
        <f>IFERROR(__xludf.DUMMYFUNCTION("""COMPUTED_VALUE"""),23.0)</f>
        <v>23</v>
      </c>
      <c r="E132" s="49">
        <f>IFERROR(__xludf.DUMMYFUNCTION("""COMPUTED_VALUE"""),3.0)</f>
        <v>3</v>
      </c>
      <c r="F132" s="51">
        <f>IFERROR(__xludf.DUMMYFUNCTION("""COMPUTED_VALUE"""),0.0)</f>
        <v>0</v>
      </c>
      <c r="G132" s="51">
        <f>IFERROR(__xludf.DUMMYFUNCTION("""COMPUTED_VALUE"""),9.0)</f>
        <v>9</v>
      </c>
      <c r="H132" s="51">
        <f>IFERROR(__xludf.DUMMYFUNCTION("""COMPUTED_VALUE"""),0.0)</f>
        <v>0</v>
      </c>
      <c r="I132" s="51">
        <f>IFERROR(__xludf.DUMMYFUNCTION("""COMPUTED_VALUE"""),0.0)</f>
        <v>0</v>
      </c>
      <c r="J132" s="51">
        <f>IFERROR(__xludf.DUMMYFUNCTION("""COMPUTED_VALUE"""),0.0)</f>
        <v>0</v>
      </c>
      <c r="K132" s="51">
        <f>IFERROR(__xludf.DUMMYFUNCTION("""COMPUTED_VALUE"""),9.0)</f>
        <v>9</v>
      </c>
      <c r="L132" s="51">
        <f>IFERROR(__xludf.DUMMYFUNCTION("""COMPUTED_VALUE"""),0.0)</f>
        <v>0</v>
      </c>
      <c r="M132" s="51">
        <f>IFERROR(__xludf.DUMMYFUNCTION("""COMPUTED_VALUE"""),228.0)</f>
        <v>228</v>
      </c>
      <c r="N132" s="52">
        <f>IFERROR(__xludf.DUMMYFUNCTION("""COMPUTED_VALUE"""),23.0)</f>
        <v>23</v>
      </c>
    </row>
    <row r="133">
      <c r="A133" s="1"/>
      <c r="B133" s="48" t="str">
        <f>IFERROR(__xludf.DUMMYFUNCTION("""COMPUTED_VALUE"""),"Anish Kumar")</f>
        <v>Anish Kumar</v>
      </c>
      <c r="C133" s="49">
        <f>IFERROR(__xludf.DUMMYFUNCTION("""COMPUTED_VALUE"""),200.0)</f>
        <v>200</v>
      </c>
      <c r="D133" s="50">
        <f>IFERROR(__xludf.DUMMYFUNCTION("""COMPUTED_VALUE"""),17.0)</f>
        <v>17</v>
      </c>
      <c r="E133" s="49">
        <f>IFERROR(__xludf.DUMMYFUNCTION("""COMPUTED_VALUE"""),3.0)</f>
        <v>3</v>
      </c>
      <c r="F133" s="51">
        <f>IFERROR(__xludf.DUMMYFUNCTION("""COMPUTED_VALUE"""),0.0)</f>
        <v>0</v>
      </c>
      <c r="G133" s="51">
        <f>IFERROR(__xludf.DUMMYFUNCTION("""COMPUTED_VALUE"""),9.0)</f>
        <v>9</v>
      </c>
      <c r="H133" s="51">
        <f>IFERROR(__xludf.DUMMYFUNCTION("""COMPUTED_VALUE"""),0.0)</f>
        <v>0</v>
      </c>
      <c r="I133" s="51">
        <f>IFERROR(__xludf.DUMMYFUNCTION("""COMPUTED_VALUE"""),0.0)</f>
        <v>0</v>
      </c>
      <c r="J133" s="51">
        <f>IFERROR(__xludf.DUMMYFUNCTION("""COMPUTED_VALUE"""),0.0)</f>
        <v>0</v>
      </c>
      <c r="K133" s="51">
        <f>IFERROR(__xludf.DUMMYFUNCTION("""COMPUTED_VALUE"""),9.0)</f>
        <v>9</v>
      </c>
      <c r="L133" s="51">
        <f>IFERROR(__xludf.DUMMYFUNCTION("""COMPUTED_VALUE"""),0.0)</f>
        <v>0</v>
      </c>
      <c r="M133" s="51">
        <f>IFERROR(__xludf.DUMMYFUNCTION("""COMPUTED_VALUE"""),209.0)</f>
        <v>209</v>
      </c>
      <c r="N133" s="52">
        <f>IFERROR(__xludf.DUMMYFUNCTION("""COMPUTED_VALUE"""),17.0)</f>
        <v>17</v>
      </c>
    </row>
    <row r="134">
      <c r="A134" s="1"/>
      <c r="B134" s="48" t="str">
        <f>IFERROR(__xludf.DUMMYFUNCTION("""COMPUTED_VALUE"""),"Eric Pan")</f>
        <v>Eric Pan</v>
      </c>
      <c r="C134" s="49">
        <f>IFERROR(__xludf.DUMMYFUNCTION("""COMPUTED_VALUE"""),197.0)</f>
        <v>197</v>
      </c>
      <c r="D134" s="50">
        <f>IFERROR(__xludf.DUMMYFUNCTION("""COMPUTED_VALUE"""),16.0)</f>
        <v>16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IFERROR(__xludf.DUMMYFUNCTION("""COMPUTED_VALUE"""),206.0)</f>
        <v>206</v>
      </c>
      <c r="N134" s="52">
        <f>IFERROR(__xludf.DUMMYFUNCTION("""COMPUTED_VALUE"""),16.0)</f>
        <v>16</v>
      </c>
    </row>
    <row r="135">
      <c r="A135" s="1"/>
      <c r="B135" s="48" t="str">
        <f>IFERROR(__xludf.DUMMYFUNCTION("""COMPUTED_VALUE"""),"Ted Shen")</f>
        <v>Ted Shen</v>
      </c>
      <c r="C135" s="49">
        <f>IFERROR(__xludf.DUMMYFUNCTION("""COMPUTED_VALUE"""),194.0)</f>
        <v>194</v>
      </c>
      <c r="D135" s="50">
        <f>IFERROR(__xludf.DUMMYFUNCTION("""COMPUTED_VALUE"""),16.0)</f>
        <v>16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IFERROR(__xludf.DUMMYFUNCTION("""COMPUTED_VALUE"""),203.0)</f>
        <v>203</v>
      </c>
      <c r="N135" s="52">
        <f>IFERROR(__xludf.DUMMYFUNCTION("""COMPUTED_VALUE"""),16.0)</f>
        <v>16</v>
      </c>
    </row>
    <row r="136">
      <c r="A136" s="1"/>
      <c r="B136" s="48" t="str">
        <f>IFERROR(__xludf.DUMMYFUNCTION("""COMPUTED_VALUE"""),"Tom Le")</f>
        <v>Tom Le</v>
      </c>
      <c r="C136" s="49">
        <f>IFERROR(__xludf.DUMMYFUNCTION("""COMPUTED_VALUE"""),194.0)</f>
        <v>194</v>
      </c>
      <c r="D136" s="50">
        <f>IFERROR(__xludf.DUMMYFUNCTION("""COMPUTED_VALUE"""),13.0)</f>
        <v>13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IFERROR(__xludf.DUMMYFUNCTION("""COMPUTED_VALUE"""),203.0)</f>
        <v>203</v>
      </c>
      <c r="N136" s="52">
        <f>IFERROR(__xludf.DUMMYFUNCTION("""COMPUTED_VALUE"""),13.0)</f>
        <v>13</v>
      </c>
    </row>
    <row r="137">
      <c r="A137" s="1"/>
      <c r="B137" s="48" t="str">
        <f>IFERROR(__xludf.DUMMYFUNCTION("""COMPUTED_VALUE"""),"Sai Dilip Ponnaganti")</f>
        <v>Sai Dilip Ponnaganti</v>
      </c>
      <c r="C137" s="49">
        <f>IFERROR(__xludf.DUMMYFUNCTION("""COMPUTED_VALUE"""),190.0)</f>
        <v>190</v>
      </c>
      <c r="D137" s="50">
        <f>IFERROR(__xludf.DUMMYFUNCTION("""COMPUTED_VALUE"""),13.0)</f>
        <v>13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IFERROR(__xludf.DUMMYFUNCTION("""COMPUTED_VALUE"""),199.0)</f>
        <v>199</v>
      </c>
      <c r="N137" s="52">
        <f>IFERROR(__xludf.DUMMYFUNCTION("""COMPUTED_VALUE"""),13.0)</f>
        <v>13</v>
      </c>
    </row>
    <row r="138">
      <c r="A138" s="1"/>
      <c r="B138" s="48" t="str">
        <f>IFERROR(__xludf.DUMMYFUNCTION("""COMPUTED_VALUE"""),"Trinath Goteti")</f>
        <v>Trinath Goteti</v>
      </c>
      <c r="C138" s="49">
        <f>IFERROR(__xludf.DUMMYFUNCTION("""COMPUTED_VALUE"""),183.0)</f>
        <v>183</v>
      </c>
      <c r="D138" s="50">
        <f>IFERROR(__xludf.DUMMYFUNCTION("""COMPUTED_VALUE"""),11.0)</f>
        <v>11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IFERROR(__xludf.DUMMYFUNCTION("""COMPUTED_VALUE"""),192.0)</f>
        <v>192</v>
      </c>
      <c r="N138" s="52">
        <f>IFERROR(__xludf.DUMMYFUNCTION("""COMPUTED_VALUE"""),11.0)</f>
        <v>11</v>
      </c>
    </row>
    <row r="139">
      <c r="A139" s="1"/>
      <c r="B139" s="48" t="str">
        <f>IFERROR(__xludf.DUMMYFUNCTION("""COMPUTED_VALUE"""),"Naveen Raj")</f>
        <v>Naveen Raj</v>
      </c>
      <c r="C139" s="49">
        <f>IFERROR(__xludf.DUMMYFUNCTION("""COMPUTED_VALUE"""),177.0)</f>
        <v>177</v>
      </c>
      <c r="D139" s="50">
        <f>IFERROR(__xludf.DUMMYFUNCTION("""COMPUTED_VALUE"""),12.0)</f>
        <v>12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IFERROR(__xludf.DUMMYFUNCTION("""COMPUTED_VALUE"""),186.0)</f>
        <v>186</v>
      </c>
      <c r="N139" s="52">
        <f>IFERROR(__xludf.DUMMYFUNCTION("""COMPUTED_VALUE"""),12.0)</f>
        <v>12</v>
      </c>
    </row>
    <row r="140">
      <c r="A140" s="1"/>
      <c r="B140" s="48" t="str">
        <f>IFERROR(__xludf.DUMMYFUNCTION("""COMPUTED_VALUE"""),"Derek Fu")</f>
        <v>Derek Fu</v>
      </c>
      <c r="C140" s="49">
        <f>IFERROR(__xludf.DUMMYFUNCTION("""COMPUTED_VALUE"""),177.0)</f>
        <v>177</v>
      </c>
      <c r="D140" s="50">
        <f>IFERROR(__xludf.DUMMYFUNCTION("""COMPUTED_VALUE"""),10.0)</f>
        <v>10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IFERROR(__xludf.DUMMYFUNCTION("""COMPUTED_VALUE"""),186.0)</f>
        <v>186</v>
      </c>
      <c r="N140" s="52">
        <f>IFERROR(__xludf.DUMMYFUNCTION("""COMPUTED_VALUE"""),10.0)</f>
        <v>10</v>
      </c>
    </row>
    <row r="141">
      <c r="A141" s="1"/>
      <c r="B141" s="48" t="str">
        <f>IFERROR(__xludf.DUMMYFUNCTION("""COMPUTED_VALUE"""),"Kingsley Kuo")</f>
        <v>Kingsley Kuo</v>
      </c>
      <c r="C141" s="49">
        <f>IFERROR(__xludf.DUMMYFUNCTION("""COMPUTED_VALUE"""),172.0)</f>
        <v>172</v>
      </c>
      <c r="D141" s="50">
        <f>IFERROR(__xludf.DUMMYFUNCTION("""COMPUTED_VALUE"""),8.0)</f>
        <v>8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IFERROR(__xludf.DUMMYFUNCTION("""COMPUTED_VALUE"""),181.0)</f>
        <v>181</v>
      </c>
      <c r="N141" s="52">
        <f>IFERROR(__xludf.DUMMYFUNCTION("""COMPUTED_VALUE"""),8.0)</f>
        <v>8</v>
      </c>
    </row>
    <row r="142">
      <c r="A142" s="1"/>
      <c r="B142" s="48" t="str">
        <f>IFERROR(__xludf.DUMMYFUNCTION("""COMPUTED_VALUE"""),"Paul Sanchez")</f>
        <v>Paul Sanchez</v>
      </c>
      <c r="C142" s="49">
        <f>IFERROR(__xludf.DUMMYFUNCTION("""COMPUTED_VALUE"""),171.0)</f>
        <v>171</v>
      </c>
      <c r="D142" s="50">
        <f>IFERROR(__xludf.DUMMYFUNCTION("""COMPUTED_VALUE"""),9.0)</f>
        <v>9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IFERROR(__xludf.DUMMYFUNCTION("""COMPUTED_VALUE"""),180.0)</f>
        <v>180</v>
      </c>
      <c r="N142" s="52">
        <f>IFERROR(__xludf.DUMMYFUNCTION("""COMPUTED_VALUE"""),9.0)</f>
        <v>9</v>
      </c>
    </row>
    <row r="143">
      <c r="A143" s="1"/>
      <c r="B143" s="48" t="str">
        <f>IFERROR(__xludf.DUMMYFUNCTION("""COMPUTED_VALUE"""),"James Cole III")</f>
        <v>James Cole III</v>
      </c>
      <c r="C143" s="49">
        <f>IFERROR(__xludf.DUMMYFUNCTION("""COMPUTED_VALUE"""),166.0)</f>
        <v>166</v>
      </c>
      <c r="D143" s="50">
        <f>IFERROR(__xludf.DUMMYFUNCTION("""COMPUTED_VALUE"""),8.0)</f>
        <v>8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IFERROR(__xludf.DUMMYFUNCTION("""COMPUTED_VALUE"""),175.0)</f>
        <v>175</v>
      </c>
      <c r="N143" s="52">
        <f>IFERROR(__xludf.DUMMYFUNCTION("""COMPUTED_VALUE"""),8.0)</f>
        <v>8</v>
      </c>
    </row>
    <row r="144">
      <c r="A144" s="1"/>
      <c r="B144" s="48" t="str">
        <f>IFERROR(__xludf.DUMMYFUNCTION("""COMPUTED_VALUE"""),"Nohely Mejia")</f>
        <v>Nohely Mejia</v>
      </c>
      <c r="C144" s="49">
        <f>IFERROR(__xludf.DUMMYFUNCTION("""COMPUTED_VALUE"""),164.0)</f>
        <v>164</v>
      </c>
      <c r="D144" s="50">
        <f>IFERROR(__xludf.DUMMYFUNCTION("""COMPUTED_VALUE"""),8.0)</f>
        <v>8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IFERROR(__xludf.DUMMYFUNCTION("""COMPUTED_VALUE"""),173.0)</f>
        <v>173</v>
      </c>
      <c r="N144" s="52">
        <f>IFERROR(__xludf.DUMMYFUNCTION("""COMPUTED_VALUE"""),8.0)</f>
        <v>8</v>
      </c>
    </row>
    <row r="145">
      <c r="A145" s="1"/>
      <c r="B145" s="48" t="str">
        <f>IFERROR(__xludf.DUMMYFUNCTION("""COMPUTED_VALUE"""),"Vamsi Lolla ")</f>
        <v>Vamsi Lolla </v>
      </c>
      <c r="C145" s="49">
        <f>IFERROR(__xludf.DUMMYFUNCTION("""COMPUTED_VALUE"""),164.0)</f>
        <v>164</v>
      </c>
      <c r="D145" s="50">
        <f>IFERROR(__xludf.DUMMYFUNCTION("""COMPUTED_VALUE"""),8.0)</f>
        <v>8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IFERROR(__xludf.DUMMYFUNCTION("""COMPUTED_VALUE"""),173.0)</f>
        <v>173</v>
      </c>
      <c r="N145" s="52">
        <f>IFERROR(__xludf.DUMMYFUNCTION("""COMPUTED_VALUE"""),8.0)</f>
        <v>8</v>
      </c>
    </row>
    <row r="146">
      <c r="A146" s="1"/>
      <c r="B146" s="48" t="str">
        <f>IFERROR(__xludf.DUMMYFUNCTION("""COMPUTED_VALUE"""),"Christopher Li")</f>
        <v>Christopher Li</v>
      </c>
      <c r="C146" s="49">
        <f>IFERROR(__xludf.DUMMYFUNCTION("""COMPUTED_VALUE"""),162.0)</f>
        <v>162</v>
      </c>
      <c r="D146" s="50">
        <f>IFERROR(__xludf.DUMMYFUNCTION("""COMPUTED_VALUE"""),5.0)</f>
        <v>5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IFERROR(__xludf.DUMMYFUNCTION("""COMPUTED_VALUE"""),171.0)</f>
        <v>171</v>
      </c>
      <c r="N146" s="52">
        <f>IFERROR(__xludf.DUMMYFUNCTION("""COMPUTED_VALUE"""),5.0)</f>
        <v>5</v>
      </c>
    </row>
    <row r="147">
      <c r="A147" s="1"/>
      <c r="B147" s="48" t="str">
        <f>IFERROR(__xludf.DUMMYFUNCTION("""COMPUTED_VALUE"""),"Jimmy Awolesi")</f>
        <v>Jimmy Awolesi</v>
      </c>
      <c r="C147" s="49">
        <f>IFERROR(__xludf.DUMMYFUNCTION("""COMPUTED_VALUE"""),159.0)</f>
        <v>159</v>
      </c>
      <c r="D147" s="50">
        <f>IFERROR(__xludf.DUMMYFUNCTION("""COMPUTED_VALUE"""),11.0)</f>
        <v>11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IFERROR(__xludf.DUMMYFUNCTION("""COMPUTED_VALUE"""),168.0)</f>
        <v>168</v>
      </c>
      <c r="N147" s="52">
        <f>IFERROR(__xludf.DUMMYFUNCTION("""COMPUTED_VALUE"""),11.0)</f>
        <v>11</v>
      </c>
    </row>
    <row r="148">
      <c r="A148" s="1"/>
      <c r="B148" s="48" t="str">
        <f>IFERROR(__xludf.DUMMYFUNCTION("""COMPUTED_VALUE"""),"Pan Lee")</f>
        <v>Pan Lee</v>
      </c>
      <c r="C148" s="49">
        <f>IFERROR(__xludf.DUMMYFUNCTION("""COMPUTED_VALUE"""),158.0)</f>
        <v>158</v>
      </c>
      <c r="D148" s="50">
        <f>IFERROR(__xludf.DUMMYFUNCTION("""COMPUTED_VALUE"""),5.0)</f>
        <v>5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IFERROR(__xludf.DUMMYFUNCTION("""COMPUTED_VALUE"""),167.0)</f>
        <v>167</v>
      </c>
      <c r="N148" s="52">
        <f>IFERROR(__xludf.DUMMYFUNCTION("""COMPUTED_VALUE"""),5.0)</f>
        <v>5</v>
      </c>
    </row>
    <row r="149">
      <c r="A149" s="1"/>
      <c r="B149" s="48" t="str">
        <f>IFERROR(__xludf.DUMMYFUNCTION("""COMPUTED_VALUE"""),"Elayaraja Thangaraj ")</f>
        <v>Elayaraja Thangaraj </v>
      </c>
      <c r="C149" s="49">
        <f>IFERROR(__xludf.DUMMYFUNCTION("""COMPUTED_VALUE"""),154.0)</f>
        <v>154</v>
      </c>
      <c r="D149" s="50">
        <f>IFERROR(__xludf.DUMMYFUNCTION("""COMPUTED_VALUE"""),11.0)</f>
        <v>11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IFERROR(__xludf.DUMMYFUNCTION("""COMPUTED_VALUE"""),163.0)</f>
        <v>163</v>
      </c>
      <c r="N149" s="52">
        <f>IFERROR(__xludf.DUMMYFUNCTION("""COMPUTED_VALUE"""),11.0)</f>
        <v>11</v>
      </c>
    </row>
    <row r="150">
      <c r="A150" s="1"/>
      <c r="B150" s="48" t="str">
        <f>IFERROR(__xludf.DUMMYFUNCTION("""COMPUTED_VALUE"""),"Vilas Janardhanan")</f>
        <v>Vilas Janardhanan</v>
      </c>
      <c r="C150" s="49">
        <f>IFERROR(__xludf.DUMMYFUNCTION("""COMPUTED_VALUE"""),153.0)</f>
        <v>153</v>
      </c>
      <c r="D150" s="50">
        <f>IFERROR(__xludf.DUMMYFUNCTION("""COMPUTED_VALUE"""),7.0)</f>
        <v>7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IFERROR(__xludf.DUMMYFUNCTION("""COMPUTED_VALUE"""),162.0)</f>
        <v>162</v>
      </c>
      <c r="N150" s="52">
        <f>IFERROR(__xludf.DUMMYFUNCTION("""COMPUTED_VALUE"""),7.0)</f>
        <v>7</v>
      </c>
    </row>
    <row r="151">
      <c r="A151" s="1"/>
      <c r="B151" s="48" t="str">
        <f>IFERROR(__xludf.DUMMYFUNCTION("""COMPUTED_VALUE"""),"Piyorasa Li")</f>
        <v>Piyorasa Li</v>
      </c>
      <c r="C151" s="49">
        <f>IFERROR(__xludf.DUMMYFUNCTION("""COMPUTED_VALUE"""),153.0)</f>
        <v>153</v>
      </c>
      <c r="D151" s="50">
        <f>IFERROR(__xludf.DUMMYFUNCTION("""COMPUTED_VALUE"""),3.0)</f>
        <v>3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IFERROR(__xludf.DUMMYFUNCTION("""COMPUTED_VALUE"""),162.0)</f>
        <v>162</v>
      </c>
      <c r="N151" s="52">
        <f>IFERROR(__xludf.DUMMYFUNCTION("""COMPUTED_VALUE"""),3.0)</f>
        <v>3</v>
      </c>
    </row>
    <row r="152">
      <c r="A152" s="1"/>
      <c r="B152" s="48" t="str">
        <f>IFERROR(__xludf.DUMMYFUNCTION("""COMPUTED_VALUE"""),"Jason Kim ")</f>
        <v>Jason Kim </v>
      </c>
      <c r="C152" s="49">
        <f>IFERROR(__xludf.DUMMYFUNCTION("""COMPUTED_VALUE"""),153.0)</f>
        <v>153</v>
      </c>
      <c r="D152" s="50">
        <f>IFERROR(__xludf.DUMMYFUNCTION("""COMPUTED_VALUE"""),3.0)</f>
        <v>3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IFERROR(__xludf.DUMMYFUNCTION("""COMPUTED_VALUE"""),162.0)</f>
        <v>162</v>
      </c>
      <c r="N152" s="52">
        <f>IFERROR(__xludf.DUMMYFUNCTION("""COMPUTED_VALUE"""),3.0)</f>
        <v>3</v>
      </c>
    </row>
    <row r="153">
      <c r="A153" s="1"/>
      <c r="B153" s="48" t="str">
        <f>IFERROR(__xludf.DUMMYFUNCTION("""COMPUTED_VALUE"""),"Santosh Sundaresan ")</f>
        <v>Santosh Sundaresan </v>
      </c>
      <c r="C153" s="49">
        <f>IFERROR(__xludf.DUMMYFUNCTION("""COMPUTED_VALUE"""),151.0)</f>
        <v>151</v>
      </c>
      <c r="D153" s="50">
        <f>IFERROR(__xludf.DUMMYFUNCTION("""COMPUTED_VALUE"""),5.0)</f>
        <v>5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IFERROR(__xludf.DUMMYFUNCTION("""COMPUTED_VALUE"""),160.0)</f>
        <v>160</v>
      </c>
      <c r="N153" s="52">
        <f>IFERROR(__xludf.DUMMYFUNCTION("""COMPUTED_VALUE"""),5.0)</f>
        <v>5</v>
      </c>
    </row>
    <row r="154">
      <c r="A154" s="1"/>
      <c r="B154" s="48" t="str">
        <f>IFERROR(__xludf.DUMMYFUNCTION("""COMPUTED_VALUE"""),"Amit Patel")</f>
        <v>Amit Patel</v>
      </c>
      <c r="C154" s="49">
        <f>IFERROR(__xludf.DUMMYFUNCTION("""COMPUTED_VALUE"""),148.0)</f>
        <v>148</v>
      </c>
      <c r="D154" s="50">
        <f>IFERROR(__xludf.DUMMYFUNCTION("""COMPUTED_VALUE"""),2.0)</f>
        <v>2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IFERROR(__xludf.DUMMYFUNCTION("""COMPUTED_VALUE"""),157.0)</f>
        <v>157</v>
      </c>
      <c r="N154" s="52">
        <f>IFERROR(__xludf.DUMMYFUNCTION("""COMPUTED_VALUE"""),2.0)</f>
        <v>2</v>
      </c>
    </row>
    <row r="155">
      <c r="A155" s="1"/>
      <c r="B155" s="48" t="str">
        <f>IFERROR(__xludf.DUMMYFUNCTION("""COMPUTED_VALUE"""),"Coco Yan")</f>
        <v>Coco Yan</v>
      </c>
      <c r="C155" s="49">
        <f>IFERROR(__xludf.DUMMYFUNCTION("""COMPUTED_VALUE"""),148.0)</f>
        <v>148</v>
      </c>
      <c r="D155" s="50">
        <f>IFERROR(__xludf.DUMMYFUNCTION("""COMPUTED_VALUE"""),2.0)</f>
        <v>2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IFERROR(__xludf.DUMMYFUNCTION("""COMPUTED_VALUE"""),157.0)</f>
        <v>157</v>
      </c>
      <c r="N155" s="52">
        <f>IFERROR(__xludf.DUMMYFUNCTION("""COMPUTED_VALUE"""),2.0)</f>
        <v>2</v>
      </c>
    </row>
    <row r="156">
      <c r="A156" s="1"/>
      <c r="B156" s="48" t="str">
        <f>IFERROR(__xludf.DUMMYFUNCTION("""COMPUTED_VALUE"""),"Savay Lieu")</f>
        <v>Savay Lieu</v>
      </c>
      <c r="C156" s="49">
        <f>IFERROR(__xludf.DUMMYFUNCTION("""COMPUTED_VALUE"""),144.0)</f>
        <v>144</v>
      </c>
      <c r="D156" s="50">
        <f>IFERROR(__xludf.DUMMYFUNCTION("""COMPUTED_VALUE"""),0.0)</f>
        <v>0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IFERROR(__xludf.DUMMYFUNCTION("""COMPUTED_VALUE"""),153.0)</f>
        <v>153</v>
      </c>
      <c r="N156" s="52">
        <f>IFERROR(__xludf.DUMMYFUNCTION("""COMPUTED_VALUE"""),0.0)</f>
        <v>0</v>
      </c>
    </row>
    <row r="157">
      <c r="A157" s="1"/>
      <c r="B157" s="48" t="str">
        <f>IFERROR(__xludf.DUMMYFUNCTION("""COMPUTED_VALUE"""),"Mihir Anand")</f>
        <v>Mihir Anand</v>
      </c>
      <c r="C157" s="49">
        <f>IFERROR(__xludf.DUMMYFUNCTION("""COMPUTED_VALUE"""),144.0)</f>
        <v>144</v>
      </c>
      <c r="D157" s="50">
        <f>IFERROR(__xludf.DUMMYFUNCTION("""COMPUTED_VALUE"""),0.0)</f>
        <v>0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IFERROR(__xludf.DUMMYFUNCTION("""COMPUTED_VALUE"""),153.0)</f>
        <v>153</v>
      </c>
      <c r="N157" s="52">
        <f>IFERROR(__xludf.DUMMYFUNCTION("""COMPUTED_VALUE"""),0.0)</f>
        <v>0</v>
      </c>
    </row>
    <row r="158">
      <c r="A158" s="1"/>
      <c r="B158" s="48" t="str">
        <f>IFERROR(__xludf.DUMMYFUNCTION("""COMPUTED_VALUE"""),"Manish Anand")</f>
        <v>Manish Anand</v>
      </c>
      <c r="C158" s="49">
        <f>IFERROR(__xludf.DUMMYFUNCTION("""COMPUTED_VALUE"""),144.0)</f>
        <v>144</v>
      </c>
      <c r="D158" s="50">
        <f>IFERROR(__xludf.DUMMYFUNCTION("""COMPUTED_VALUE"""),0.0)</f>
        <v>0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IFERROR(__xludf.DUMMYFUNCTION("""COMPUTED_VALUE"""),153.0)</f>
        <v>153</v>
      </c>
      <c r="N158" s="52">
        <f>IFERROR(__xludf.DUMMYFUNCTION("""COMPUTED_VALUE"""),0.0)</f>
        <v>0</v>
      </c>
    </row>
    <row r="159">
      <c r="A159" s="1"/>
      <c r="B159" s="48" t="str">
        <f>IFERROR(__xludf.DUMMYFUNCTION("""COMPUTED_VALUE"""),"Fendi Purwadi")</f>
        <v>Fendi Purwadi</v>
      </c>
      <c r="C159" s="49">
        <f>IFERROR(__xludf.DUMMYFUNCTION("""COMPUTED_VALUE"""),144.0)</f>
        <v>144</v>
      </c>
      <c r="D159" s="50">
        <f>IFERROR(__xludf.DUMMYFUNCTION("""COMPUTED_VALUE"""),0.0)</f>
        <v>0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IFERROR(__xludf.DUMMYFUNCTION("""COMPUTED_VALUE"""),153.0)</f>
        <v>153</v>
      </c>
      <c r="N159" s="52">
        <f>IFERROR(__xludf.DUMMYFUNCTION("""COMPUTED_VALUE"""),0.0)</f>
        <v>0</v>
      </c>
    </row>
    <row r="160">
      <c r="A160" s="1"/>
      <c r="B160" s="48" t="str">
        <f>IFERROR(__xludf.DUMMYFUNCTION("""COMPUTED_VALUE"""),"Jose Ortiz")</f>
        <v>Jose Ortiz</v>
      </c>
      <c r="C160" s="49">
        <f>IFERROR(__xludf.DUMMYFUNCTION("""COMPUTED_VALUE"""),141.0)</f>
        <v>141</v>
      </c>
      <c r="D160" s="50">
        <f>IFERROR(__xludf.DUMMYFUNCTION("""COMPUTED_VALUE"""),5.0)</f>
        <v>5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IFERROR(__xludf.DUMMYFUNCTION("""COMPUTED_VALUE"""),150.0)</f>
        <v>150</v>
      </c>
      <c r="N160" s="52">
        <f>IFERROR(__xludf.DUMMYFUNCTION("""COMPUTED_VALUE"""),5.0)</f>
        <v>5</v>
      </c>
    </row>
    <row r="161">
      <c r="A161" s="1"/>
      <c r="B161" s="48"/>
      <c r="C161" s="60"/>
      <c r="D161" s="60"/>
      <c r="E161" s="60"/>
      <c r="F161" s="48"/>
      <c r="G161" s="48"/>
      <c r="H161" s="48"/>
      <c r="I161" s="48"/>
      <c r="J161" s="48"/>
      <c r="K161" s="48"/>
      <c r="L161" s="48"/>
      <c r="M161" s="48"/>
      <c r="N161" s="48"/>
    </row>
    <row r="162">
      <c r="A162" s="1"/>
      <c r="B162" s="48"/>
      <c r="C162" s="60"/>
      <c r="D162" s="60"/>
      <c r="E162" s="60"/>
      <c r="F162" s="48"/>
      <c r="G162" s="48"/>
      <c r="H162" s="48"/>
      <c r="I162" s="48"/>
      <c r="J162" s="48"/>
      <c r="K162" s="48"/>
      <c r="L162" s="48"/>
      <c r="M162" s="48"/>
      <c r="N162" s="48"/>
    </row>
    <row r="163">
      <c r="A163" s="1"/>
      <c r="B163" s="48"/>
      <c r="C163" s="49"/>
      <c r="D163" s="50"/>
      <c r="E163" s="49"/>
      <c r="F163" s="51"/>
      <c r="G163" s="51"/>
      <c r="H163" s="51"/>
      <c r="I163" s="51"/>
      <c r="J163" s="51"/>
      <c r="K163" s="51"/>
      <c r="L163" s="51"/>
      <c r="M163" s="51"/>
      <c r="N163" s="52"/>
    </row>
    <row r="164">
      <c r="A164" s="1"/>
      <c r="B164" s="48"/>
      <c r="C164" s="49"/>
      <c r="D164" s="50"/>
      <c r="E164" s="49"/>
      <c r="F164" s="51"/>
      <c r="G164" s="51"/>
      <c r="H164" s="51"/>
      <c r="I164" s="51"/>
      <c r="J164" s="51"/>
      <c r="K164" s="51"/>
      <c r="L164" s="51"/>
      <c r="M164" s="51"/>
      <c r="N164" s="52"/>
    </row>
    <row r="165">
      <c r="A165" s="1"/>
      <c r="B165" s="48"/>
      <c r="C165" s="49"/>
      <c r="D165" s="50"/>
      <c r="E165" s="49"/>
      <c r="F165" s="51"/>
      <c r="G165" s="51"/>
      <c r="H165" s="51"/>
      <c r="I165" s="51"/>
      <c r="J165" s="51"/>
      <c r="K165" s="51"/>
      <c r="L165" s="51"/>
      <c r="M165" s="51"/>
      <c r="N165" s="52"/>
    </row>
    <row r="166">
      <c r="A166" s="1"/>
      <c r="B166" s="48"/>
      <c r="C166" s="49"/>
      <c r="D166" s="50"/>
      <c r="E166" s="49"/>
      <c r="F166" s="51"/>
      <c r="G166" s="51"/>
      <c r="H166" s="51"/>
      <c r="I166" s="51"/>
      <c r="J166" s="51"/>
      <c r="K166" s="51"/>
      <c r="L166" s="51"/>
      <c r="M166" s="51"/>
      <c r="N166" s="52"/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B185" s="48"/>
      <c r="C185" s="49"/>
      <c r="D185" s="50"/>
      <c r="E185" s="49"/>
      <c r="F185" s="51"/>
      <c r="G185" s="51"/>
      <c r="H185" s="51"/>
      <c r="I185" s="51"/>
      <c r="J185" s="51"/>
      <c r="K185" s="51"/>
      <c r="L185" s="51"/>
      <c r="M185" s="51"/>
      <c r="N185" s="52"/>
    </row>
    <row r="186">
      <c r="A186" s="1"/>
      <c r="B186" s="48"/>
      <c r="C186" s="49"/>
      <c r="D186" s="50"/>
      <c r="E186" s="49"/>
      <c r="F186" s="51"/>
      <c r="G186" s="51"/>
      <c r="H186" s="51"/>
      <c r="I186" s="51"/>
      <c r="J186" s="51"/>
      <c r="K186" s="51"/>
      <c r="L186" s="51"/>
      <c r="M186" s="51"/>
      <c r="N186" s="52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6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6 B74:D84">
    <cfRule type="expression" dxfId="0" priority="3">
      <formula>E5=1</formula>
    </cfRule>
  </conditionalFormatting>
  <conditionalFormatting sqref="B5:B66 B74:D84">
    <cfRule type="expression" dxfId="2" priority="4">
      <formula>E5=2</formula>
    </cfRule>
  </conditionalFormatting>
  <conditionalFormatting sqref="B5:B66 B74:D84">
    <cfRule type="expression" dxfId="3" priority="5">
      <formula>E5=3</formula>
    </cfRule>
  </conditionalFormatting>
  <conditionalFormatting sqref="B5:B66 B74:D84">
    <cfRule type="expression" dxfId="4" priority="6">
      <formula>E5=4</formula>
    </cfRule>
  </conditionalFormatting>
  <conditionalFormatting sqref="L76">
    <cfRule type="containsText" dxfId="0" priority="7" operator="containsText" text="Good">
      <formula>NOT(ISERROR(SEARCH(("Good"),(L76))))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45220.0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16.0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34</v>
      </c>
      <c r="C5" s="27">
        <v>201.0</v>
      </c>
      <c r="D5" s="28">
        <v>21.0</v>
      </c>
      <c r="E5" s="30">
        <v>1.0</v>
      </c>
      <c r="F5" s="31">
        <v>1.0</v>
      </c>
      <c r="G5" s="27">
        <v>0.0</v>
      </c>
      <c r="H5" s="31">
        <v>6.0</v>
      </c>
      <c r="I5" s="31">
        <v>5.0</v>
      </c>
      <c r="J5" s="31">
        <v>7.0</v>
      </c>
      <c r="K5" s="32">
        <v>18.0</v>
      </c>
      <c r="L5" s="31">
        <v>2.0</v>
      </c>
      <c r="M5" s="27">
        <f t="shared" ref="M5:N5" si="1">C5+K5</f>
        <v>219</v>
      </c>
      <c r="N5" s="28">
        <f t="shared" si="1"/>
        <v>23</v>
      </c>
      <c r="O5" s="33" t="s">
        <v>37</v>
      </c>
      <c r="P5" s="33" t="s">
        <v>37</v>
      </c>
      <c r="Q5" s="31">
        <f>if(G5=13,1,0)+VLOOKUP(B5,'101423'!B$5:Q$64,16,false)</f>
        <v>1</v>
      </c>
      <c r="R5" s="31"/>
      <c r="S5" s="31">
        <f>if(G5=9,1,0)+VLOOKUP(B5,'101423'!B:S,18,false)</f>
        <v>5</v>
      </c>
    </row>
    <row r="6">
      <c r="A6" s="25">
        <f t="shared" ref="A6:A64" si="3">A5+1</f>
        <v>2</v>
      </c>
      <c r="B6" s="26" t="s">
        <v>42</v>
      </c>
      <c r="C6" s="27">
        <v>200.0</v>
      </c>
      <c r="D6" s="28">
        <v>19.0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209</v>
      </c>
      <c r="N6" s="28">
        <f t="shared" si="2"/>
        <v>19</v>
      </c>
      <c r="O6" s="33" t="s">
        <v>37</v>
      </c>
      <c r="P6" s="33" t="s">
        <v>37</v>
      </c>
      <c r="Q6" s="31">
        <f>if(G6=13,1,0)+VLOOKUP(B6,'101423'!B$5:Q$64,16,false)</f>
        <v>0</v>
      </c>
      <c r="R6" s="31"/>
      <c r="S6" s="31">
        <f>if(G6=9,1,0)+VLOOKUP(B6,'101423'!B:S,18,false)</f>
        <v>7</v>
      </c>
    </row>
    <row r="7">
      <c r="A7" s="25">
        <f t="shared" si="3"/>
        <v>3</v>
      </c>
      <c r="B7" s="26" t="s">
        <v>48</v>
      </c>
      <c r="C7" s="27">
        <v>196.0</v>
      </c>
      <c r="D7" s="28">
        <v>19.0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205</v>
      </c>
      <c r="N7" s="28">
        <f t="shared" si="4"/>
        <v>19</v>
      </c>
      <c r="O7" s="33" t="s">
        <v>37</v>
      </c>
      <c r="P7" s="33" t="s">
        <v>37</v>
      </c>
      <c r="Q7" s="31">
        <f>if(G7=13,1,0)+VLOOKUP(B7,'101423'!B$5:Q$64,16,false)</f>
        <v>0</v>
      </c>
      <c r="R7" s="31"/>
      <c r="S7" s="31">
        <f>if(G7=9,1,0)+VLOOKUP(B7,'101423'!B:S,18,false)</f>
        <v>6</v>
      </c>
    </row>
    <row r="8">
      <c r="A8" s="25">
        <f t="shared" si="3"/>
        <v>4</v>
      </c>
      <c r="B8" s="26" t="s">
        <v>49</v>
      </c>
      <c r="C8" s="27">
        <v>195.0</v>
      </c>
      <c r="D8" s="28">
        <v>17.0</v>
      </c>
      <c r="E8" s="30">
        <v>1.0</v>
      </c>
      <c r="F8" s="31">
        <v>1.0</v>
      </c>
      <c r="G8" s="27">
        <v>0.0</v>
      </c>
      <c r="H8" s="31">
        <v>6.0</v>
      </c>
      <c r="I8" s="31">
        <v>7.0</v>
      </c>
      <c r="J8" s="31">
        <v>5.0</v>
      </c>
      <c r="K8" s="32">
        <v>18.0</v>
      </c>
      <c r="L8" s="31">
        <v>2.0</v>
      </c>
      <c r="M8" s="27">
        <f t="shared" ref="M8:N8" si="5">C8+K8</f>
        <v>213</v>
      </c>
      <c r="N8" s="28">
        <f t="shared" si="5"/>
        <v>19</v>
      </c>
      <c r="O8" s="33" t="s">
        <v>37</v>
      </c>
      <c r="P8" s="33" t="s">
        <v>37</v>
      </c>
      <c r="Q8" s="31">
        <f>if(G8=13,1,0)+VLOOKUP(B8,'101423'!B$5:Q$64,16,false)</f>
        <v>1</v>
      </c>
      <c r="R8" s="31"/>
      <c r="S8" s="31">
        <f>if(G8=9,1,0)+VLOOKUP(B8,'101423'!B:S,18,false)</f>
        <v>2</v>
      </c>
    </row>
    <row r="9">
      <c r="A9" s="25">
        <f t="shared" si="3"/>
        <v>5</v>
      </c>
      <c r="B9" s="26" t="s">
        <v>54</v>
      </c>
      <c r="C9" s="27">
        <v>195.0</v>
      </c>
      <c r="D9" s="28">
        <v>17.0</v>
      </c>
      <c r="E9" s="30">
        <v>1.0</v>
      </c>
      <c r="F9" s="31">
        <v>1.0</v>
      </c>
      <c r="G9" s="27">
        <v>0.0</v>
      </c>
      <c r="H9" s="31">
        <v>1.0</v>
      </c>
      <c r="I9" s="31">
        <v>7.0</v>
      </c>
      <c r="J9" s="31">
        <v>7.0</v>
      </c>
      <c r="K9" s="32">
        <v>15.0</v>
      </c>
      <c r="L9" s="31">
        <v>2.0</v>
      </c>
      <c r="M9" s="27">
        <f t="shared" ref="M9:N9" si="6">C9+K9</f>
        <v>210</v>
      </c>
      <c r="N9" s="28">
        <f t="shared" si="6"/>
        <v>19</v>
      </c>
      <c r="O9" s="33" t="s">
        <v>37</v>
      </c>
      <c r="P9" s="33" t="s">
        <v>37</v>
      </c>
      <c r="Q9" s="31">
        <f>if(G9=13,1,0)+VLOOKUP(B9,'101423'!B$5:Q$64,16,false)</f>
        <v>0</v>
      </c>
      <c r="R9" s="31"/>
      <c r="S9" s="31">
        <f>if(G9=9,1,0)+VLOOKUP(B9,'101423'!B:S,18,false)</f>
        <v>5</v>
      </c>
    </row>
    <row r="10">
      <c r="A10" s="25">
        <f t="shared" si="3"/>
        <v>6</v>
      </c>
      <c r="B10" s="36" t="s">
        <v>67</v>
      </c>
      <c r="C10" s="27">
        <v>191.0</v>
      </c>
      <c r="D10" s="28">
        <v>17.0</v>
      </c>
      <c r="E10" s="30">
        <v>3.0</v>
      </c>
      <c r="F10" s="31">
        <v>0.0</v>
      </c>
      <c r="G10" s="27">
        <v>9.0</v>
      </c>
      <c r="H10" s="31">
        <v>0.0</v>
      </c>
      <c r="I10" s="31">
        <v>0.0</v>
      </c>
      <c r="J10" s="31">
        <v>0.0</v>
      </c>
      <c r="K10" s="32">
        <v>9.0</v>
      </c>
      <c r="L10" s="31">
        <v>0.0</v>
      </c>
      <c r="M10" s="27">
        <f t="shared" ref="M10:N10" si="7">C10+K10</f>
        <v>200</v>
      </c>
      <c r="N10" s="28">
        <f t="shared" si="7"/>
        <v>17</v>
      </c>
      <c r="O10" s="33" t="s">
        <v>37</v>
      </c>
      <c r="P10" s="33" t="s">
        <v>37</v>
      </c>
      <c r="Q10" s="31">
        <f>if(G10=13,1,0)+VLOOKUP(B10,'101423'!B$5:Q$64,16,false)</f>
        <v>0</v>
      </c>
      <c r="R10" s="31"/>
      <c r="S10" s="31">
        <f>if(G10=9,1,0)+VLOOKUP(B10,'101423'!B:S,18,false)</f>
        <v>6</v>
      </c>
    </row>
    <row r="11">
      <c r="A11" s="25">
        <f t="shared" si="3"/>
        <v>7</v>
      </c>
      <c r="B11" s="26" t="s">
        <v>72</v>
      </c>
      <c r="C11" s="27">
        <v>188.0</v>
      </c>
      <c r="D11" s="28">
        <v>16.0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197</v>
      </c>
      <c r="N11" s="28">
        <f t="shared" si="8"/>
        <v>16</v>
      </c>
      <c r="O11" s="33" t="s">
        <v>37</v>
      </c>
      <c r="P11" s="33" t="s">
        <v>37</v>
      </c>
      <c r="Q11" s="31">
        <f>if(G11=13,1,0)+VLOOKUP(B11,'101423'!B$5:Q$64,16,false)</f>
        <v>1</v>
      </c>
      <c r="R11" s="31"/>
      <c r="S11" s="31">
        <f>if(G11=9,1,0)+VLOOKUP(B11,'101423'!B:S,18,false)</f>
        <v>8</v>
      </c>
    </row>
    <row r="12">
      <c r="A12" s="25">
        <f t="shared" si="3"/>
        <v>8</v>
      </c>
      <c r="B12" s="26" t="s">
        <v>50</v>
      </c>
      <c r="C12" s="27">
        <v>188.0</v>
      </c>
      <c r="D12" s="28">
        <v>15.0</v>
      </c>
      <c r="E12" s="30">
        <v>3.0</v>
      </c>
      <c r="F12" s="31">
        <v>0.0</v>
      </c>
      <c r="G12" s="27">
        <v>9.0</v>
      </c>
      <c r="H12" s="31">
        <v>0.0</v>
      </c>
      <c r="I12" s="31">
        <v>0.0</v>
      </c>
      <c r="J12" s="31">
        <v>0.0</v>
      </c>
      <c r="K12" s="32">
        <v>9.0</v>
      </c>
      <c r="L12" s="31">
        <v>0.0</v>
      </c>
      <c r="M12" s="27">
        <f t="shared" ref="M12:N12" si="9">C12+K12</f>
        <v>197</v>
      </c>
      <c r="N12" s="28">
        <f t="shared" si="9"/>
        <v>15</v>
      </c>
      <c r="O12" s="33" t="s">
        <v>37</v>
      </c>
      <c r="P12" s="33" t="s">
        <v>37</v>
      </c>
      <c r="Q12" s="31">
        <f>if(G12=13,1,0)+VLOOKUP(B12,'101423'!B$5:Q$64,16,false)</f>
        <v>0</v>
      </c>
      <c r="R12" s="31"/>
      <c r="S12" s="31">
        <f>if(G12=9,1,0)+VLOOKUP(B12,'101423'!B:S,18,false)</f>
        <v>8</v>
      </c>
    </row>
    <row r="13">
      <c r="A13" s="25">
        <f t="shared" si="3"/>
        <v>9</v>
      </c>
      <c r="B13" s="26" t="s">
        <v>52</v>
      </c>
      <c r="C13" s="27">
        <v>187.0</v>
      </c>
      <c r="D13" s="28">
        <v>17.0</v>
      </c>
      <c r="E13" s="30">
        <v>1.0</v>
      </c>
      <c r="F13" s="31">
        <v>1.0</v>
      </c>
      <c r="G13" s="27">
        <v>0.0</v>
      </c>
      <c r="H13" s="31">
        <v>1.0</v>
      </c>
      <c r="I13" s="31">
        <v>5.0</v>
      </c>
      <c r="J13" s="31">
        <v>5.0</v>
      </c>
      <c r="K13" s="32">
        <v>11.0</v>
      </c>
      <c r="L13" s="31">
        <v>0.0</v>
      </c>
      <c r="M13" s="27">
        <f t="shared" ref="M13:N13" si="10">C13+K13</f>
        <v>198</v>
      </c>
      <c r="N13" s="28">
        <f t="shared" si="10"/>
        <v>17</v>
      </c>
      <c r="O13" s="33" t="s">
        <v>37</v>
      </c>
      <c r="P13" s="33" t="s">
        <v>37</v>
      </c>
      <c r="Q13" s="31">
        <f>if(G13=13,1,0)+VLOOKUP(B13,'101423'!B$5:Q$64,16,false)</f>
        <v>0</v>
      </c>
      <c r="R13" s="31"/>
      <c r="S13" s="31">
        <f>if(G13=9,1,0)+VLOOKUP(B13,'101423'!B:S,18,false)</f>
        <v>2</v>
      </c>
    </row>
    <row r="14">
      <c r="A14" s="25">
        <f t="shared" si="3"/>
        <v>10</v>
      </c>
      <c r="B14" s="26" t="s">
        <v>51</v>
      </c>
      <c r="C14" s="27">
        <v>187.0</v>
      </c>
      <c r="D14" s="28">
        <v>15.0</v>
      </c>
      <c r="E14" s="30">
        <v>2.0</v>
      </c>
      <c r="F14" s="31">
        <v>2.0</v>
      </c>
      <c r="G14" s="27">
        <v>0.0</v>
      </c>
      <c r="H14" s="31">
        <v>6.0</v>
      </c>
      <c r="I14" s="31">
        <v>6.0</v>
      </c>
      <c r="J14" s="31">
        <v>6.0</v>
      </c>
      <c r="K14" s="32">
        <v>18.0</v>
      </c>
      <c r="L14" s="31">
        <v>3.0</v>
      </c>
      <c r="M14" s="27">
        <f t="shared" ref="M14:N14" si="11">C14+K14</f>
        <v>205</v>
      </c>
      <c r="N14" s="28">
        <f t="shared" si="11"/>
        <v>18</v>
      </c>
      <c r="O14" s="33" t="s">
        <v>37</v>
      </c>
      <c r="P14" s="33" t="s">
        <v>37</v>
      </c>
      <c r="Q14" s="31">
        <f>if(G14=13,1,0)+VLOOKUP(B14,'101423'!B$5:Q$64,16,false)</f>
        <v>1</v>
      </c>
      <c r="R14" s="31"/>
      <c r="S14" s="31">
        <f>if(G14=9,1,0)+VLOOKUP(B14,'101423'!B:S,18,false)</f>
        <v>7</v>
      </c>
    </row>
    <row r="15">
      <c r="A15" s="25">
        <f t="shared" si="3"/>
        <v>11</v>
      </c>
      <c r="B15" s="26" t="s">
        <v>47</v>
      </c>
      <c r="C15" s="27">
        <v>186.0</v>
      </c>
      <c r="D15" s="28">
        <v>15.0</v>
      </c>
      <c r="E15" s="30">
        <v>3.0</v>
      </c>
      <c r="F15" s="31">
        <v>0.0</v>
      </c>
      <c r="G15" s="27">
        <v>9.0</v>
      </c>
      <c r="H15" s="31">
        <v>0.0</v>
      </c>
      <c r="I15" s="31">
        <v>0.0</v>
      </c>
      <c r="J15" s="31">
        <v>0.0</v>
      </c>
      <c r="K15" s="32">
        <v>9.0</v>
      </c>
      <c r="L15" s="31">
        <v>0.0</v>
      </c>
      <c r="M15" s="27">
        <f t="shared" ref="M15:N15" si="12">C15+K15</f>
        <v>195</v>
      </c>
      <c r="N15" s="28">
        <f t="shared" si="12"/>
        <v>15</v>
      </c>
      <c r="O15" s="33" t="s">
        <v>37</v>
      </c>
      <c r="P15" s="33" t="s">
        <v>37</v>
      </c>
      <c r="Q15" s="31">
        <f>if(G15=13,1,0)+VLOOKUP(B15,'101423'!B$5:Q$64,16,false)</f>
        <v>0</v>
      </c>
      <c r="R15" s="31"/>
      <c r="S15" s="31">
        <f>if(G15=9,1,0)+VLOOKUP(B15,'101423'!B:S,18,false)</f>
        <v>9</v>
      </c>
    </row>
    <row r="16">
      <c r="A16" s="25">
        <f t="shared" si="3"/>
        <v>12</v>
      </c>
      <c r="B16" s="26" t="s">
        <v>60</v>
      </c>
      <c r="C16" s="27">
        <v>185.0</v>
      </c>
      <c r="D16" s="28">
        <v>16.0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194</v>
      </c>
      <c r="N16" s="28">
        <f t="shared" si="13"/>
        <v>16</v>
      </c>
      <c r="O16" s="33" t="s">
        <v>37</v>
      </c>
      <c r="P16" s="33" t="s">
        <v>37</v>
      </c>
      <c r="Q16" s="31">
        <f>if(G16=13,1,0)+VLOOKUP(B16,'101423'!B$5:Q$64,16,false)</f>
        <v>0</v>
      </c>
      <c r="R16" s="31"/>
      <c r="S16" s="31">
        <f>if(G16=9,1,0)+VLOOKUP(B16,'101423'!B:S,18,false)</f>
        <v>6</v>
      </c>
    </row>
    <row r="17">
      <c r="A17" s="25">
        <f t="shared" si="3"/>
        <v>13</v>
      </c>
      <c r="B17" s="26" t="s">
        <v>57</v>
      </c>
      <c r="C17" s="27">
        <v>184.0</v>
      </c>
      <c r="D17" s="28">
        <v>18.0</v>
      </c>
      <c r="E17" s="30">
        <v>1.0</v>
      </c>
      <c r="F17" s="31">
        <v>2.0</v>
      </c>
      <c r="G17" s="27">
        <v>0.0</v>
      </c>
      <c r="H17" s="31">
        <v>4.0</v>
      </c>
      <c r="I17" s="31">
        <v>6.0</v>
      </c>
      <c r="J17" s="31">
        <v>3.0</v>
      </c>
      <c r="K17" s="32">
        <v>13.0</v>
      </c>
      <c r="L17" s="31">
        <v>1.0</v>
      </c>
      <c r="M17" s="27">
        <f t="shared" ref="M17:N17" si="14">C17+K17</f>
        <v>197</v>
      </c>
      <c r="N17" s="28">
        <f t="shared" si="14"/>
        <v>19</v>
      </c>
      <c r="O17" s="33" t="s">
        <v>37</v>
      </c>
      <c r="P17" s="33" t="s">
        <v>37</v>
      </c>
      <c r="Q17" s="31">
        <f>if(G17=13,1,0)+VLOOKUP(B17,'101423'!B$5:Q$64,16,false)</f>
        <v>0</v>
      </c>
      <c r="R17" s="31"/>
      <c r="S17" s="31">
        <f>if(G17=9,1,0)+VLOOKUP(B17,'101423'!B:S,18,false)</f>
        <v>5</v>
      </c>
    </row>
    <row r="18">
      <c r="A18" s="25">
        <f t="shared" si="3"/>
        <v>14</v>
      </c>
      <c r="B18" s="36" t="s">
        <v>56</v>
      </c>
      <c r="C18" s="27">
        <v>183.0</v>
      </c>
      <c r="D18" s="28">
        <v>20.0</v>
      </c>
      <c r="E18" s="30">
        <v>5.0</v>
      </c>
      <c r="F18" s="31">
        <v>0.0</v>
      </c>
      <c r="G18" s="27">
        <v>13.0</v>
      </c>
      <c r="H18" s="31">
        <v>0.0</v>
      </c>
      <c r="I18" s="31">
        <v>0.0</v>
      </c>
      <c r="J18" s="31">
        <v>0.0</v>
      </c>
      <c r="K18" s="32">
        <v>13.0</v>
      </c>
      <c r="L18" s="31">
        <v>0.0</v>
      </c>
      <c r="M18" s="27">
        <f t="shared" ref="M18:N18" si="15">C18+K18</f>
        <v>196</v>
      </c>
      <c r="N18" s="28">
        <f t="shared" si="15"/>
        <v>20</v>
      </c>
      <c r="O18" s="33" t="s">
        <v>37</v>
      </c>
      <c r="P18" s="33" t="s">
        <v>37</v>
      </c>
      <c r="Q18" s="31">
        <f>if(G18=13,1,0)+VLOOKUP(B18,'101423'!B$5:Q$64,16,false)</f>
        <v>1</v>
      </c>
      <c r="R18" s="31"/>
      <c r="S18" s="31">
        <f>if(G18=9,1,0)+VLOOKUP(B18,'101423'!B:S,18,false)</f>
        <v>2</v>
      </c>
    </row>
    <row r="19">
      <c r="A19" s="25">
        <f t="shared" si="3"/>
        <v>15</v>
      </c>
      <c r="B19" s="26" t="s">
        <v>53</v>
      </c>
      <c r="C19" s="27">
        <v>183.0</v>
      </c>
      <c r="D19" s="28">
        <v>13.0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192</v>
      </c>
      <c r="N19" s="28">
        <f t="shared" si="16"/>
        <v>13</v>
      </c>
      <c r="O19" s="33" t="s">
        <v>37</v>
      </c>
      <c r="P19" s="33" t="s">
        <v>37</v>
      </c>
      <c r="Q19" s="31">
        <f>if(G19=13,1,0)+VLOOKUP(B19,'101423'!B$5:Q$64,16,false)</f>
        <v>0</v>
      </c>
      <c r="R19" s="31"/>
      <c r="S19" s="31">
        <f>if(G19=9,1,0)+VLOOKUP(B19,'101423'!B:S,18,false)</f>
        <v>6</v>
      </c>
    </row>
    <row r="20">
      <c r="A20" s="25">
        <f t="shared" si="3"/>
        <v>16</v>
      </c>
      <c r="B20" s="26" t="s">
        <v>65</v>
      </c>
      <c r="C20" s="27">
        <v>181.0</v>
      </c>
      <c r="D20" s="28">
        <v>13.0</v>
      </c>
      <c r="E20" s="30">
        <v>3.0</v>
      </c>
      <c r="F20" s="31">
        <v>0.0</v>
      </c>
      <c r="G20" s="27">
        <v>9.0</v>
      </c>
      <c r="H20" s="31">
        <v>0.0</v>
      </c>
      <c r="I20" s="31">
        <v>0.0</v>
      </c>
      <c r="J20" s="31">
        <v>0.0</v>
      </c>
      <c r="K20" s="32">
        <v>9.0</v>
      </c>
      <c r="L20" s="31">
        <v>0.0</v>
      </c>
      <c r="M20" s="27">
        <f t="shared" ref="M20:N20" si="17">C20+K20</f>
        <v>190</v>
      </c>
      <c r="N20" s="28">
        <f t="shared" si="17"/>
        <v>13</v>
      </c>
      <c r="O20" s="33" t="s">
        <v>37</v>
      </c>
      <c r="P20" s="33" t="s">
        <v>37</v>
      </c>
      <c r="Q20" s="31">
        <f>if(G20=13,1,0)+VLOOKUP(B20,'101423'!B$5:Q$64,16,false)</f>
        <v>0</v>
      </c>
      <c r="R20" s="31"/>
      <c r="S20" s="31">
        <f>if(G20=9,1,0)+VLOOKUP(B20,'101423'!B:S,18,false)</f>
        <v>8</v>
      </c>
    </row>
    <row r="21">
      <c r="A21" s="25">
        <f t="shared" si="3"/>
        <v>17</v>
      </c>
      <c r="B21" s="26" t="s">
        <v>68</v>
      </c>
      <c r="C21" s="27">
        <v>181.0</v>
      </c>
      <c r="D21" s="28">
        <v>12.0</v>
      </c>
      <c r="E21" s="30">
        <v>1.0</v>
      </c>
      <c r="F21" s="31">
        <v>2.0</v>
      </c>
      <c r="G21" s="27">
        <v>0.0</v>
      </c>
      <c r="H21" s="31">
        <v>6.0</v>
      </c>
      <c r="I21" s="31">
        <v>4.0</v>
      </c>
      <c r="J21" s="31">
        <v>3.0</v>
      </c>
      <c r="K21" s="32">
        <v>13.0</v>
      </c>
      <c r="L21" s="31">
        <v>1.0</v>
      </c>
      <c r="M21" s="27">
        <f t="shared" ref="M21:N21" si="18">C21+K21</f>
        <v>194</v>
      </c>
      <c r="N21" s="28">
        <f t="shared" si="18"/>
        <v>13</v>
      </c>
      <c r="O21" s="33" t="s">
        <v>37</v>
      </c>
      <c r="P21" s="33" t="s">
        <v>37</v>
      </c>
      <c r="Q21" s="31">
        <f>if(G21=13,1,0)+VLOOKUP(B21,'101423'!B$5:Q$64,16,false)</f>
        <v>1</v>
      </c>
      <c r="R21" s="31"/>
      <c r="S21" s="31">
        <f>if(G21=9,1,0)+VLOOKUP(B21,'101423'!B:S,18,false)</f>
        <v>9</v>
      </c>
    </row>
    <row r="22">
      <c r="A22" s="25">
        <f t="shared" si="3"/>
        <v>18</v>
      </c>
      <c r="B22" s="26" t="s">
        <v>55</v>
      </c>
      <c r="C22" s="27">
        <v>180.0</v>
      </c>
      <c r="D22" s="28">
        <v>15.0</v>
      </c>
      <c r="E22" s="30">
        <v>1.0</v>
      </c>
      <c r="F22" s="31">
        <v>2.0</v>
      </c>
      <c r="G22" s="27">
        <v>0.0</v>
      </c>
      <c r="H22" s="31">
        <v>4.0</v>
      </c>
      <c r="I22" s="31">
        <v>4.0</v>
      </c>
      <c r="J22" s="31">
        <v>6.0</v>
      </c>
      <c r="K22" s="32">
        <v>14.0</v>
      </c>
      <c r="L22" s="31">
        <v>1.0</v>
      </c>
      <c r="M22" s="27">
        <f t="shared" ref="M22:N22" si="19">C22+K22</f>
        <v>194</v>
      </c>
      <c r="N22" s="28">
        <f t="shared" si="19"/>
        <v>16</v>
      </c>
      <c r="O22" s="33" t="s">
        <v>37</v>
      </c>
      <c r="P22" s="33" t="s">
        <v>37</v>
      </c>
      <c r="Q22" s="31">
        <f>if(G22=13,1,0)+VLOOKUP(B22,'101423'!B$5:Q$64,16,false)</f>
        <v>0</v>
      </c>
      <c r="R22" s="31"/>
      <c r="S22" s="31">
        <f>if(G22=9,1,0)+VLOOKUP(B22,'101423'!B:S,18,false)</f>
        <v>8</v>
      </c>
    </row>
    <row r="23">
      <c r="A23" s="25">
        <f t="shared" si="3"/>
        <v>19</v>
      </c>
      <c r="B23" s="36" t="s">
        <v>59</v>
      </c>
      <c r="C23" s="27">
        <v>179.0</v>
      </c>
      <c r="D23" s="28">
        <v>10.0</v>
      </c>
      <c r="E23" s="30">
        <v>1.0</v>
      </c>
      <c r="F23" s="31">
        <v>3.0</v>
      </c>
      <c r="G23" s="27">
        <v>0.0</v>
      </c>
      <c r="H23" s="31">
        <v>6.0</v>
      </c>
      <c r="I23" s="31">
        <v>2.0</v>
      </c>
      <c r="J23" s="31">
        <v>6.0</v>
      </c>
      <c r="K23" s="32">
        <v>14.0</v>
      </c>
      <c r="L23" s="31">
        <v>2.0</v>
      </c>
      <c r="M23" s="27">
        <f t="shared" ref="M23:N23" si="20">C23+K23</f>
        <v>193</v>
      </c>
      <c r="N23" s="28">
        <f t="shared" si="20"/>
        <v>12</v>
      </c>
      <c r="O23" s="33" t="s">
        <v>37</v>
      </c>
      <c r="P23" s="33" t="s">
        <v>37</v>
      </c>
      <c r="Q23" s="31">
        <f>if(G23=13,1,0)+VLOOKUP(B23,'101423'!B$5:Q$64,16,false)</f>
        <v>0</v>
      </c>
      <c r="R23" s="31"/>
      <c r="S23" s="31">
        <f>if(G23=9,1,0)+VLOOKUP(B23,'101423'!B:S,18,false)</f>
        <v>3</v>
      </c>
    </row>
    <row r="24">
      <c r="A24" s="25">
        <f t="shared" si="3"/>
        <v>20</v>
      </c>
      <c r="B24" s="26" t="s">
        <v>61</v>
      </c>
      <c r="C24" s="27">
        <v>177.0</v>
      </c>
      <c r="D24" s="28">
        <v>15.0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186</v>
      </c>
      <c r="N24" s="28">
        <f t="shared" si="21"/>
        <v>15</v>
      </c>
      <c r="O24" s="33" t="s">
        <v>37</v>
      </c>
      <c r="P24" s="33" t="s">
        <v>37</v>
      </c>
      <c r="Q24" s="31">
        <f>if(G24=13,1,0)+VLOOKUP(B24,'101423'!B$5:Q$64,16,false)</f>
        <v>0</v>
      </c>
      <c r="R24" s="31"/>
      <c r="S24" s="31">
        <f>if(G24=9,1,0)+VLOOKUP(B24,'101423'!B:S,18,false)</f>
        <v>4</v>
      </c>
    </row>
    <row r="25">
      <c r="A25" s="25">
        <f t="shared" si="3"/>
        <v>21</v>
      </c>
      <c r="B25" s="36" t="s">
        <v>62</v>
      </c>
      <c r="C25" s="27">
        <v>175.0</v>
      </c>
      <c r="D25" s="28">
        <v>12.0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184</v>
      </c>
      <c r="N25" s="28">
        <f t="shared" si="22"/>
        <v>12</v>
      </c>
      <c r="O25" s="33" t="s">
        <v>37</v>
      </c>
      <c r="P25" s="33" t="s">
        <v>37</v>
      </c>
      <c r="Q25" s="31">
        <f>if(G25=13,1,0)+VLOOKUP(B25,'101423'!B$5:Q$64,16,false)</f>
        <v>0</v>
      </c>
      <c r="R25" s="31"/>
      <c r="S25" s="31">
        <f>if(G25=9,1,0)+VLOOKUP(B25,'101423'!B:S,18,false)</f>
        <v>5</v>
      </c>
    </row>
    <row r="26">
      <c r="A26" s="25">
        <f t="shared" si="3"/>
        <v>22</v>
      </c>
      <c r="B26" s="26" t="s">
        <v>64</v>
      </c>
      <c r="C26" s="27">
        <v>174.0</v>
      </c>
      <c r="D26" s="28">
        <v>11.0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183</v>
      </c>
      <c r="N26" s="28">
        <f t="shared" si="23"/>
        <v>11</v>
      </c>
      <c r="O26" s="33" t="s">
        <v>37</v>
      </c>
      <c r="P26" s="33" t="s">
        <v>37</v>
      </c>
      <c r="Q26" s="31">
        <f>if(G26=13,1,0)+VLOOKUP(B26,'101423'!B$5:Q$64,16,false)</f>
        <v>0</v>
      </c>
      <c r="R26" s="31"/>
      <c r="S26" s="31">
        <f>if(G26=9,1,0)+VLOOKUP(B26,'101423'!B:S,18,false)</f>
        <v>11</v>
      </c>
    </row>
    <row r="27">
      <c r="A27" s="25">
        <f t="shared" si="3"/>
        <v>23</v>
      </c>
      <c r="B27" s="26" t="s">
        <v>66</v>
      </c>
      <c r="C27" s="27">
        <v>174.0</v>
      </c>
      <c r="D27" s="28">
        <v>11.0</v>
      </c>
      <c r="E27" s="30">
        <v>1.0</v>
      </c>
      <c r="F27" s="31">
        <v>3.0</v>
      </c>
      <c r="G27" s="27">
        <v>0.0</v>
      </c>
      <c r="H27" s="31">
        <v>4.0</v>
      </c>
      <c r="I27" s="31">
        <v>6.0</v>
      </c>
      <c r="J27" s="31">
        <v>6.0</v>
      </c>
      <c r="K27" s="32">
        <v>16.0</v>
      </c>
      <c r="L27" s="31">
        <v>2.0</v>
      </c>
      <c r="M27" s="27">
        <f t="shared" ref="M27:N27" si="24">C27+K27</f>
        <v>190</v>
      </c>
      <c r="N27" s="28">
        <f t="shared" si="24"/>
        <v>13</v>
      </c>
      <c r="O27" s="33" t="s">
        <v>37</v>
      </c>
      <c r="P27" s="33" t="s">
        <v>37</v>
      </c>
      <c r="Q27" s="31">
        <f>if(G27=13,1,0)+VLOOKUP(B27,'101423'!B$5:Q$64,16,false)</f>
        <v>1</v>
      </c>
      <c r="R27" s="31"/>
      <c r="S27" s="31">
        <f>if(G27=9,1,0)+VLOOKUP(B27,'101423'!B:S,18,false)</f>
        <v>5</v>
      </c>
    </row>
    <row r="28">
      <c r="A28" s="25">
        <f t="shared" si="3"/>
        <v>24</v>
      </c>
      <c r="B28" s="26" t="s">
        <v>70</v>
      </c>
      <c r="C28" s="27">
        <v>172.0</v>
      </c>
      <c r="D28" s="28">
        <v>16.0</v>
      </c>
      <c r="E28" s="30">
        <v>1.0</v>
      </c>
      <c r="F28" s="31">
        <v>3.0</v>
      </c>
      <c r="G28" s="27">
        <v>0.0</v>
      </c>
      <c r="H28" s="31">
        <v>6.0</v>
      </c>
      <c r="I28" s="31">
        <v>6.0</v>
      </c>
      <c r="J28" s="31">
        <v>2.0</v>
      </c>
      <c r="K28" s="32">
        <v>14.0</v>
      </c>
      <c r="L28" s="31">
        <v>2.0</v>
      </c>
      <c r="M28" s="27">
        <f t="shared" ref="M28:N28" si="25">C28+K28</f>
        <v>186</v>
      </c>
      <c r="N28" s="28">
        <f t="shared" si="25"/>
        <v>18</v>
      </c>
      <c r="O28" s="33" t="s">
        <v>37</v>
      </c>
      <c r="P28" s="33" t="s">
        <v>37</v>
      </c>
      <c r="Q28" s="31">
        <f>if(G28=13,1,0)+VLOOKUP(B28,'101423'!B$5:Q$64,16,false)</f>
        <v>0</v>
      </c>
      <c r="R28" s="31"/>
      <c r="S28" s="31">
        <f>if(G28=9,1,0)+VLOOKUP(B28,'101423'!B:S,18,false)</f>
        <v>5</v>
      </c>
    </row>
    <row r="29">
      <c r="A29" s="25">
        <f t="shared" si="3"/>
        <v>25</v>
      </c>
      <c r="B29" s="26" t="s">
        <v>75</v>
      </c>
      <c r="C29" s="27">
        <v>169.0</v>
      </c>
      <c r="D29" s="28">
        <v>12.0</v>
      </c>
      <c r="E29" s="30">
        <v>2.0</v>
      </c>
      <c r="F29" s="31">
        <v>3.0</v>
      </c>
      <c r="G29" s="27">
        <v>0.0</v>
      </c>
      <c r="H29" s="31">
        <v>4.0</v>
      </c>
      <c r="I29" s="31">
        <v>2.0</v>
      </c>
      <c r="J29" s="31">
        <v>2.0</v>
      </c>
      <c r="K29" s="32">
        <v>8.0</v>
      </c>
      <c r="L29" s="31">
        <v>0.0</v>
      </c>
      <c r="M29" s="27">
        <f t="shared" ref="M29:N29" si="26">C29+K29</f>
        <v>177</v>
      </c>
      <c r="N29" s="28">
        <f t="shared" si="26"/>
        <v>12</v>
      </c>
      <c r="O29" s="33" t="s">
        <v>37</v>
      </c>
      <c r="P29" s="33" t="s">
        <v>37</v>
      </c>
      <c r="Q29" s="31">
        <f>if(G29=13,1,0)+VLOOKUP(B29,'101423'!B$5:Q$64,16,false)</f>
        <v>0</v>
      </c>
      <c r="R29" s="31"/>
      <c r="S29" s="31">
        <f>if(G29=9,1,0)+VLOOKUP(B29,'101423'!B:S,18,false)</f>
        <v>3</v>
      </c>
    </row>
    <row r="30">
      <c r="A30" s="25">
        <f t="shared" si="3"/>
        <v>26</v>
      </c>
      <c r="B30" s="26" t="s">
        <v>80</v>
      </c>
      <c r="C30" s="27">
        <v>168.0</v>
      </c>
      <c r="D30" s="28">
        <v>10.0</v>
      </c>
      <c r="E30" s="30">
        <v>3.0</v>
      </c>
      <c r="F30" s="31">
        <v>0.0</v>
      </c>
      <c r="G30" s="27">
        <v>9.0</v>
      </c>
      <c r="H30" s="31">
        <v>0.0</v>
      </c>
      <c r="I30" s="31">
        <v>0.0</v>
      </c>
      <c r="J30" s="31">
        <v>0.0</v>
      </c>
      <c r="K30" s="32">
        <v>9.0</v>
      </c>
      <c r="L30" s="31">
        <v>0.0</v>
      </c>
      <c r="M30" s="27">
        <f t="shared" ref="M30:N30" si="27">C30+K30</f>
        <v>177</v>
      </c>
      <c r="N30" s="28">
        <f t="shared" si="27"/>
        <v>10</v>
      </c>
      <c r="O30" s="33" t="s">
        <v>37</v>
      </c>
      <c r="P30" s="33" t="s">
        <v>37</v>
      </c>
      <c r="Q30" s="31">
        <f>if(G30=13,1,0)+VLOOKUP(B30,'101423'!B$5:Q$64,16,false)</f>
        <v>0</v>
      </c>
      <c r="R30" s="31"/>
      <c r="S30" s="31">
        <f>if(G30=9,1,0)+VLOOKUP(B30,'101423'!B:S,18,false)</f>
        <v>12</v>
      </c>
    </row>
    <row r="31">
      <c r="A31" s="25">
        <f t="shared" si="3"/>
        <v>27</v>
      </c>
      <c r="B31" s="36" t="s">
        <v>81</v>
      </c>
      <c r="C31" s="27">
        <v>168.0</v>
      </c>
      <c r="D31" s="28">
        <v>9.0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177</v>
      </c>
      <c r="N31" s="28">
        <f t="shared" si="28"/>
        <v>9</v>
      </c>
      <c r="O31" s="33" t="s">
        <v>37</v>
      </c>
      <c r="P31" s="33" t="s">
        <v>37</v>
      </c>
      <c r="Q31" s="31">
        <f>if(G31=13,1,0)+VLOOKUP(B31,'101423'!B$5:Q$64,16,false)</f>
        <v>0</v>
      </c>
      <c r="R31" s="31"/>
      <c r="S31" s="31">
        <f>if(G31=9,1,0)+VLOOKUP(B31,'101423'!B:S,18,false)</f>
        <v>5</v>
      </c>
    </row>
    <row r="32">
      <c r="A32" s="25">
        <f t="shared" si="3"/>
        <v>28</v>
      </c>
      <c r="B32" s="26" t="s">
        <v>74</v>
      </c>
      <c r="C32" s="27">
        <v>166.0</v>
      </c>
      <c r="D32" s="28">
        <v>12.0</v>
      </c>
      <c r="E32" s="30">
        <v>2.0</v>
      </c>
      <c r="F32" s="31">
        <v>5.0</v>
      </c>
      <c r="G32" s="27">
        <v>0.0</v>
      </c>
      <c r="H32" s="31">
        <v>4.0</v>
      </c>
      <c r="I32" s="31">
        <v>3.0</v>
      </c>
      <c r="J32" s="31">
        <v>6.0</v>
      </c>
      <c r="K32" s="32">
        <v>13.0</v>
      </c>
      <c r="L32" s="31">
        <v>1.0</v>
      </c>
      <c r="M32" s="27">
        <f t="shared" ref="M32:N32" si="29">C32+K32</f>
        <v>179</v>
      </c>
      <c r="N32" s="28">
        <f t="shared" si="29"/>
        <v>13</v>
      </c>
      <c r="O32" s="33" t="s">
        <v>37</v>
      </c>
      <c r="P32" s="33" t="s">
        <v>37</v>
      </c>
      <c r="Q32" s="31">
        <f>if(G32=13,1,0)+VLOOKUP(B32,'101423'!B$5:Q$64,16,false)</f>
        <v>0</v>
      </c>
      <c r="R32" s="31"/>
      <c r="S32" s="31">
        <f>if(G32=9,1,0)+VLOOKUP(B32,'101423'!B:S,18,false)</f>
        <v>4</v>
      </c>
    </row>
    <row r="33">
      <c r="A33" s="25">
        <f t="shared" si="3"/>
        <v>29</v>
      </c>
      <c r="B33" s="26" t="s">
        <v>58</v>
      </c>
      <c r="C33" s="27">
        <v>166.0</v>
      </c>
      <c r="D33" s="28">
        <v>10.0</v>
      </c>
      <c r="E33" s="30">
        <v>1.0</v>
      </c>
      <c r="F33" s="31">
        <v>5.0</v>
      </c>
      <c r="G33" s="27">
        <v>0.0</v>
      </c>
      <c r="H33" s="31">
        <v>6.0</v>
      </c>
      <c r="I33" s="31">
        <v>6.0</v>
      </c>
      <c r="J33" s="31">
        <v>6.0</v>
      </c>
      <c r="K33" s="32">
        <v>18.0</v>
      </c>
      <c r="L33" s="31">
        <v>3.0</v>
      </c>
      <c r="M33" s="27">
        <f t="shared" ref="M33:N33" si="30">C33+K33</f>
        <v>184</v>
      </c>
      <c r="N33" s="28">
        <f t="shared" si="30"/>
        <v>13</v>
      </c>
      <c r="O33" s="33" t="s">
        <v>37</v>
      </c>
      <c r="P33" s="33" t="s">
        <v>37</v>
      </c>
      <c r="Q33" s="31">
        <f>if(G33=13,1,0)+VLOOKUP(B33,'101423'!B$5:Q$64,16,false)</f>
        <v>0</v>
      </c>
      <c r="R33" s="31"/>
      <c r="S33" s="31">
        <f>if(G33=9,1,0)+VLOOKUP(B33,'101423'!B:S,18,false)</f>
        <v>6</v>
      </c>
    </row>
    <row r="34">
      <c r="A34" s="25">
        <f t="shared" si="3"/>
        <v>30</v>
      </c>
      <c r="B34" s="36" t="s">
        <v>83</v>
      </c>
      <c r="C34" s="27">
        <v>162.0</v>
      </c>
      <c r="D34" s="28">
        <v>9.0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171</v>
      </c>
      <c r="N34" s="28">
        <f t="shared" si="31"/>
        <v>9</v>
      </c>
      <c r="O34" s="33" t="s">
        <v>37</v>
      </c>
      <c r="P34" s="33" t="s">
        <v>37</v>
      </c>
      <c r="Q34" s="31">
        <f>if(G34=13,1,0)+VLOOKUP(B34,'101423'!B$5:Q$64,16,false)</f>
        <v>0</v>
      </c>
      <c r="R34" s="31"/>
      <c r="S34" s="31">
        <f>if(G34=9,1,0)+VLOOKUP(B34,'101423'!B:S,18,false)</f>
        <v>8</v>
      </c>
    </row>
    <row r="35">
      <c r="A35" s="25">
        <f t="shared" si="3"/>
        <v>31</v>
      </c>
      <c r="B35" s="36" t="s">
        <v>77</v>
      </c>
      <c r="C35" s="27">
        <v>161.0</v>
      </c>
      <c r="D35" s="28">
        <v>8.0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170</v>
      </c>
      <c r="N35" s="28">
        <f t="shared" si="32"/>
        <v>8</v>
      </c>
      <c r="O35" s="33" t="s">
        <v>37</v>
      </c>
      <c r="P35" s="33" t="s">
        <v>37</v>
      </c>
      <c r="Q35" s="31">
        <f>if(G35=13,1,0)+VLOOKUP(B35,'101423'!B$5:Q$64,16,false)</f>
        <v>0</v>
      </c>
      <c r="R35" s="31"/>
      <c r="S35" s="31">
        <f>if(G35=9,1,0)+VLOOKUP(B35,'101423'!B:S,18,false)</f>
        <v>12</v>
      </c>
    </row>
    <row r="36">
      <c r="A36" s="25">
        <f t="shared" si="3"/>
        <v>32</v>
      </c>
      <c r="B36" s="26" t="s">
        <v>73</v>
      </c>
      <c r="C36" s="27">
        <v>161.0</v>
      </c>
      <c r="D36" s="28">
        <v>6.0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170</v>
      </c>
      <c r="N36" s="28">
        <f t="shared" si="33"/>
        <v>6</v>
      </c>
      <c r="O36" s="33" t="s">
        <v>37</v>
      </c>
      <c r="P36" s="33" t="s">
        <v>37</v>
      </c>
      <c r="Q36" s="31">
        <f>if(G36=13,1,0)+VLOOKUP(B36,'101423'!B$5:Q$64,16,false)</f>
        <v>0</v>
      </c>
      <c r="R36" s="31"/>
      <c r="S36" s="31">
        <f>if(G36=9,1,0)+VLOOKUP(B36,'101423'!B:S,18,false)</f>
        <v>11</v>
      </c>
    </row>
    <row r="37">
      <c r="A37" s="25">
        <f t="shared" si="3"/>
        <v>33</v>
      </c>
      <c r="B37" s="26" t="s">
        <v>78</v>
      </c>
      <c r="C37" s="27">
        <v>160.0</v>
      </c>
      <c r="D37" s="28">
        <v>14.0</v>
      </c>
      <c r="E37" s="30">
        <v>2.0</v>
      </c>
      <c r="F37" s="31">
        <v>5.0</v>
      </c>
      <c r="G37" s="27">
        <v>0.0</v>
      </c>
      <c r="H37" s="31">
        <v>6.0</v>
      </c>
      <c r="I37" s="31">
        <v>3.0</v>
      </c>
      <c r="J37" s="31">
        <v>1.0</v>
      </c>
      <c r="K37" s="32">
        <v>10.0</v>
      </c>
      <c r="L37" s="31">
        <v>1.0</v>
      </c>
      <c r="M37" s="27">
        <f t="shared" ref="M37:N37" si="34">C37+K37</f>
        <v>170</v>
      </c>
      <c r="N37" s="28">
        <f t="shared" si="34"/>
        <v>15</v>
      </c>
      <c r="O37" s="33" t="s">
        <v>37</v>
      </c>
      <c r="P37" s="33" t="s">
        <v>37</v>
      </c>
      <c r="Q37" s="31">
        <f>if(G37=13,1,0)+VLOOKUP(B37,'101423'!B$5:Q$64,16,false)</f>
        <v>0</v>
      </c>
      <c r="R37" s="31"/>
      <c r="S37" s="31">
        <f>if(G37=9,1,0)+VLOOKUP(B37,'101423'!B:S,18,false)</f>
        <v>5</v>
      </c>
    </row>
    <row r="38">
      <c r="A38" s="25">
        <f t="shared" si="3"/>
        <v>34</v>
      </c>
      <c r="B38" s="26" t="s">
        <v>79</v>
      </c>
      <c r="C38" s="27">
        <v>159.0</v>
      </c>
      <c r="D38" s="28">
        <v>15.0</v>
      </c>
      <c r="E38" s="30">
        <v>2.0</v>
      </c>
      <c r="F38" s="31">
        <v>5.0</v>
      </c>
      <c r="G38" s="27">
        <v>0.0</v>
      </c>
      <c r="H38" s="31">
        <v>4.0</v>
      </c>
      <c r="I38" s="31">
        <v>6.0</v>
      </c>
      <c r="J38" s="31">
        <v>1.0</v>
      </c>
      <c r="K38" s="32">
        <v>11.0</v>
      </c>
      <c r="L38" s="31">
        <v>1.0</v>
      </c>
      <c r="M38" s="27">
        <f t="shared" ref="M38:N38" si="35">C38+K38</f>
        <v>170</v>
      </c>
      <c r="N38" s="28">
        <f t="shared" si="35"/>
        <v>16</v>
      </c>
      <c r="O38" s="33" t="s">
        <v>37</v>
      </c>
      <c r="P38" s="33" t="s">
        <v>37</v>
      </c>
      <c r="Q38" s="31">
        <f>if(G38=13,1,0)+VLOOKUP(B38,'101423'!B$5:Q$64,16,false)</f>
        <v>0</v>
      </c>
      <c r="R38" s="31"/>
      <c r="S38" s="31">
        <f>if(G38=9,1,0)+VLOOKUP(B38,'101423'!B:S,18,false)</f>
        <v>2</v>
      </c>
    </row>
    <row r="39">
      <c r="A39" s="25">
        <f t="shared" si="3"/>
        <v>35</v>
      </c>
      <c r="B39" s="26" t="s">
        <v>89</v>
      </c>
      <c r="C39" s="27">
        <v>158.0</v>
      </c>
      <c r="D39" s="28">
        <v>7.0</v>
      </c>
      <c r="E39" s="30">
        <v>1.0</v>
      </c>
      <c r="F39" s="31">
        <v>6.0</v>
      </c>
      <c r="G39" s="27">
        <v>0.0</v>
      </c>
      <c r="H39" s="31">
        <v>0.0</v>
      </c>
      <c r="I39" s="31">
        <v>0.0</v>
      </c>
      <c r="J39" s="31">
        <v>6.0</v>
      </c>
      <c r="K39" s="32">
        <v>6.0</v>
      </c>
      <c r="L39" s="31">
        <v>1.0</v>
      </c>
      <c r="M39" s="27">
        <f t="shared" ref="M39:N39" si="36">C39+K39</f>
        <v>164</v>
      </c>
      <c r="N39" s="28">
        <f t="shared" si="36"/>
        <v>8</v>
      </c>
      <c r="O39" s="33" t="s">
        <v>37</v>
      </c>
      <c r="P39" s="33" t="s">
        <v>37</v>
      </c>
      <c r="Q39" s="31">
        <f>if(G39=13,1,0)+VLOOKUP(B39,'101423'!B$5:Q$64,16,false)</f>
        <v>2</v>
      </c>
      <c r="R39" s="31"/>
      <c r="S39" s="31">
        <f>if(G39=9,1,0)+VLOOKUP(B39,'101423'!B:S,18,false)</f>
        <v>4</v>
      </c>
    </row>
    <row r="40">
      <c r="A40" s="25">
        <f t="shared" si="3"/>
        <v>36</v>
      </c>
      <c r="B40" s="36" t="s">
        <v>88</v>
      </c>
      <c r="C40" s="27">
        <v>157.0</v>
      </c>
      <c r="D40" s="28">
        <v>8.0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166</v>
      </c>
      <c r="N40" s="28">
        <f t="shared" si="37"/>
        <v>8</v>
      </c>
      <c r="O40" s="33" t="s">
        <v>37</v>
      </c>
      <c r="P40" s="33" t="s">
        <v>37</v>
      </c>
      <c r="Q40" s="31">
        <f>if(G40=13,1,0)+VLOOKUP(B40,'101423'!B$5:Q$64,16,false)</f>
        <v>0</v>
      </c>
      <c r="R40" s="31"/>
      <c r="S40" s="31">
        <f>if(G40=9,1,0)+VLOOKUP(B40,'101423'!B:S,18,false)</f>
        <v>10</v>
      </c>
    </row>
    <row r="41">
      <c r="A41" s="25">
        <f t="shared" si="3"/>
        <v>37</v>
      </c>
      <c r="B41" s="26" t="s">
        <v>87</v>
      </c>
      <c r="C41" s="27">
        <v>155.0</v>
      </c>
      <c r="D41" s="28">
        <v>8.0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164</v>
      </c>
      <c r="N41" s="28">
        <f t="shared" si="38"/>
        <v>8</v>
      </c>
      <c r="O41" s="33" t="s">
        <v>37</v>
      </c>
      <c r="P41" s="33" t="s">
        <v>37</v>
      </c>
      <c r="Q41" s="31">
        <f>if(G41=13,1,0)+VLOOKUP(B41,'101423'!B$5:Q$64,16,false)</f>
        <v>1</v>
      </c>
      <c r="R41" s="31"/>
      <c r="S41" s="31">
        <f>if(G41=9,1,0)+VLOOKUP(B41,'101423'!B:S,18,false)</f>
        <v>7</v>
      </c>
    </row>
    <row r="42">
      <c r="A42" s="25">
        <f t="shared" si="3"/>
        <v>38</v>
      </c>
      <c r="B42" s="26" t="s">
        <v>86</v>
      </c>
      <c r="C42" s="27">
        <v>155.0</v>
      </c>
      <c r="D42" s="28">
        <v>8.0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164</v>
      </c>
      <c r="N42" s="28">
        <f t="shared" si="39"/>
        <v>8</v>
      </c>
      <c r="O42" s="33" t="s">
        <v>37</v>
      </c>
      <c r="P42" s="33" t="s">
        <v>37</v>
      </c>
      <c r="Q42" s="31">
        <f>if(G42=13,1,0)+VLOOKUP(B42,'101423'!B$5:Q$64,16,false)</f>
        <v>0</v>
      </c>
      <c r="R42" s="31"/>
      <c r="S42" s="31">
        <f>if(G42=9,1,0)+VLOOKUP(B42,'101423'!B:S,18,false)</f>
        <v>9</v>
      </c>
    </row>
    <row r="43">
      <c r="A43" s="25">
        <f t="shared" si="3"/>
        <v>39</v>
      </c>
      <c r="B43" s="26" t="s">
        <v>71</v>
      </c>
      <c r="C43" s="27">
        <v>155.0</v>
      </c>
      <c r="D43" s="28">
        <v>8.0</v>
      </c>
      <c r="E43" s="30">
        <v>5.0</v>
      </c>
      <c r="F43" s="31">
        <v>0.0</v>
      </c>
      <c r="G43" s="27">
        <v>13.0</v>
      </c>
      <c r="H43" s="31">
        <v>0.0</v>
      </c>
      <c r="I43" s="31">
        <v>0.0</v>
      </c>
      <c r="J43" s="31">
        <v>0.0</v>
      </c>
      <c r="K43" s="32">
        <v>13.0</v>
      </c>
      <c r="L43" s="31">
        <v>0.0</v>
      </c>
      <c r="M43" s="27">
        <f t="shared" ref="M43:N43" si="40">C43+K43</f>
        <v>168</v>
      </c>
      <c r="N43" s="28">
        <f t="shared" si="40"/>
        <v>8</v>
      </c>
      <c r="O43" s="33" t="s">
        <v>37</v>
      </c>
      <c r="P43" s="33" t="s">
        <v>37</v>
      </c>
      <c r="Q43" s="31">
        <f>if(G43=13,1,0)+VLOOKUP(B43,'101423'!B$5:Q$64,16,false)</f>
        <v>1</v>
      </c>
      <c r="R43" s="31"/>
      <c r="S43" s="31">
        <f>if(G43=9,1,0)+VLOOKUP(B43,'101423'!B:S,18,false)</f>
        <v>11</v>
      </c>
    </row>
    <row r="44">
      <c r="A44" s="25">
        <f t="shared" si="3"/>
        <v>40</v>
      </c>
      <c r="B44" s="36" t="s">
        <v>63</v>
      </c>
      <c r="C44" s="27">
        <v>154.0</v>
      </c>
      <c r="D44" s="28">
        <v>5.0</v>
      </c>
      <c r="E44" s="30">
        <v>1.0</v>
      </c>
      <c r="F44" s="31">
        <v>6.0</v>
      </c>
      <c r="G44" s="27">
        <v>0.0</v>
      </c>
      <c r="H44" s="31">
        <v>6.0</v>
      </c>
      <c r="I44" s="31">
        <v>6.0</v>
      </c>
      <c r="J44" s="31">
        <v>6.0</v>
      </c>
      <c r="K44" s="32">
        <v>18.0</v>
      </c>
      <c r="L44" s="31">
        <v>3.0</v>
      </c>
      <c r="M44" s="27">
        <f t="shared" ref="M44:N44" si="41">C44+K44</f>
        <v>172</v>
      </c>
      <c r="N44" s="28">
        <f t="shared" si="41"/>
        <v>8</v>
      </c>
      <c r="O44" s="33" t="s">
        <v>37</v>
      </c>
      <c r="P44" s="33" t="s">
        <v>37</v>
      </c>
      <c r="Q44" s="31">
        <f>if(G44=13,1,0)+VLOOKUP(B44,'101423'!B$5:Q$64,16,false)</f>
        <v>0</v>
      </c>
      <c r="R44" s="31"/>
      <c r="S44" s="31">
        <f>if(G44=9,1,0)+VLOOKUP(B44,'101423'!B:S,18,false)</f>
        <v>12</v>
      </c>
    </row>
    <row r="45">
      <c r="A45" s="25">
        <f t="shared" si="3"/>
        <v>41</v>
      </c>
      <c r="B45" s="36" t="s">
        <v>69</v>
      </c>
      <c r="C45" s="27">
        <v>153.0</v>
      </c>
      <c r="D45" s="28">
        <v>5.0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162</v>
      </c>
      <c r="N45" s="28">
        <f t="shared" si="42"/>
        <v>5</v>
      </c>
      <c r="O45" s="33" t="s">
        <v>37</v>
      </c>
      <c r="P45" s="33" t="s">
        <v>37</v>
      </c>
      <c r="Q45" s="31">
        <f>if(G45=13,1,0)+VLOOKUP(B45,'101423'!B$5:Q$64,16,false)</f>
        <v>0</v>
      </c>
      <c r="R45" s="31"/>
      <c r="S45" s="31">
        <f>if(G45=9,1,0)+VLOOKUP(B45,'101423'!B:S,18,false)</f>
        <v>14</v>
      </c>
    </row>
    <row r="46">
      <c r="A46" s="25">
        <f t="shared" si="3"/>
        <v>42</v>
      </c>
      <c r="B46" s="26" t="s">
        <v>90</v>
      </c>
      <c r="C46" s="27">
        <v>150.0</v>
      </c>
      <c r="D46" s="28">
        <v>11.0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159</v>
      </c>
      <c r="N46" s="28">
        <f t="shared" si="43"/>
        <v>11</v>
      </c>
      <c r="O46" s="33" t="s">
        <v>37</v>
      </c>
      <c r="P46" s="33" t="s">
        <v>37</v>
      </c>
      <c r="Q46" s="31">
        <f>if(G46=13,1,0)+VLOOKUP(B46,'101423'!B$5:Q$64,16,false)</f>
        <v>0</v>
      </c>
      <c r="R46" s="31"/>
      <c r="S46" s="31">
        <f>if(G46=9,1,0)+VLOOKUP(B46,'101423'!B:S,18,false)</f>
        <v>7</v>
      </c>
    </row>
    <row r="47">
      <c r="A47" s="25">
        <f t="shared" si="3"/>
        <v>43</v>
      </c>
      <c r="B47" s="26" t="s">
        <v>91</v>
      </c>
      <c r="C47" s="27">
        <v>150.0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159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if(G47=13,1,0)+VLOOKUP(B47,'101423'!B$5:Q$64,16,false)</f>
        <v>1</v>
      </c>
      <c r="R47" s="31"/>
      <c r="S47" s="31">
        <f>if(G47=9,1,0)+VLOOKUP(B47,'101423'!B:S,18,false)</f>
        <v>13</v>
      </c>
    </row>
    <row r="48">
      <c r="A48" s="25">
        <f t="shared" si="3"/>
        <v>44</v>
      </c>
      <c r="B48" s="36" t="s">
        <v>93</v>
      </c>
      <c r="C48" s="27">
        <v>149.0</v>
      </c>
      <c r="D48" s="28">
        <v>5.0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158</v>
      </c>
      <c r="N48" s="28">
        <f t="shared" si="45"/>
        <v>5</v>
      </c>
      <c r="O48" s="33" t="s">
        <v>37</v>
      </c>
      <c r="P48" s="33" t="s">
        <v>37</v>
      </c>
      <c r="Q48" s="31">
        <f>if(G48=13,1,0)+VLOOKUP(B48,'101423'!B$5:Q$64,16,false)</f>
        <v>0</v>
      </c>
      <c r="R48" s="31"/>
      <c r="S48" s="31">
        <f>if(G48=9,1,0)+VLOOKUP(B48,'101423'!B:S,18,false)</f>
        <v>14</v>
      </c>
    </row>
    <row r="49">
      <c r="A49" s="25">
        <f t="shared" si="3"/>
        <v>45</v>
      </c>
      <c r="B49" s="36" t="s">
        <v>85</v>
      </c>
      <c r="C49" s="27">
        <v>147.0</v>
      </c>
      <c r="D49" s="28">
        <v>10.0</v>
      </c>
      <c r="E49" s="30">
        <v>1.0</v>
      </c>
      <c r="F49" s="31">
        <v>6.0</v>
      </c>
      <c r="G49" s="27">
        <v>0.0</v>
      </c>
      <c r="H49" s="31">
        <v>6.0</v>
      </c>
      <c r="I49" s="31">
        <v>0.0</v>
      </c>
      <c r="J49" s="31">
        <v>1.0</v>
      </c>
      <c r="K49" s="32">
        <v>7.0</v>
      </c>
      <c r="L49" s="31">
        <v>1.0</v>
      </c>
      <c r="M49" s="27">
        <f t="shared" ref="M49:N49" si="46">C49+K49</f>
        <v>154</v>
      </c>
      <c r="N49" s="28">
        <f t="shared" si="46"/>
        <v>11</v>
      </c>
      <c r="O49" s="33" t="s">
        <v>37</v>
      </c>
      <c r="P49" s="33" t="s">
        <v>37</v>
      </c>
      <c r="Q49" s="31">
        <f>if(G49=13,1,0)+VLOOKUP(B49,'101423'!B$5:Q$64,16,false)</f>
        <v>0</v>
      </c>
      <c r="R49" s="31"/>
      <c r="S49" s="31">
        <f>if(G49=9,1,0)+VLOOKUP(B49,'101423'!B:S,18,false)</f>
        <v>7</v>
      </c>
    </row>
    <row r="50">
      <c r="A50" s="25">
        <f t="shared" si="3"/>
        <v>46</v>
      </c>
      <c r="B50" s="36" t="s">
        <v>94</v>
      </c>
      <c r="C50" s="27">
        <v>146.0</v>
      </c>
      <c r="D50" s="28">
        <v>3.0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155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if(G50=13,1,0)+VLOOKUP(B50,'101423'!B$5:Q$64,16,false)</f>
        <v>0</v>
      </c>
      <c r="R50" s="31"/>
      <c r="S50" s="31">
        <f>if(G50=9,1,0)+VLOOKUP(B50,'101423'!B:S,18,false)</f>
        <v>12</v>
      </c>
    </row>
    <row r="51">
      <c r="A51" s="25">
        <f t="shared" si="3"/>
        <v>47</v>
      </c>
      <c r="B51" s="36" t="s">
        <v>96</v>
      </c>
      <c r="C51" s="27">
        <v>144.0</v>
      </c>
      <c r="D51" s="28">
        <v>9.0</v>
      </c>
      <c r="E51" s="30">
        <v>1.0</v>
      </c>
      <c r="F51" s="31">
        <v>6.0</v>
      </c>
      <c r="G51" s="27">
        <v>0.0</v>
      </c>
      <c r="H51" s="31">
        <v>0.0</v>
      </c>
      <c r="I51" s="31">
        <v>6.0</v>
      </c>
      <c r="J51" s="31">
        <v>1.0</v>
      </c>
      <c r="K51" s="32">
        <v>7.0</v>
      </c>
      <c r="L51" s="31">
        <v>1.0</v>
      </c>
      <c r="M51" s="27">
        <f t="shared" ref="M51:N51" si="48">C51+K51</f>
        <v>151</v>
      </c>
      <c r="N51" s="28">
        <f t="shared" si="48"/>
        <v>10</v>
      </c>
      <c r="O51" s="33" t="s">
        <v>37</v>
      </c>
      <c r="P51" s="33" t="s">
        <v>37</v>
      </c>
      <c r="Q51" s="31">
        <f>if(G51=13,1,0)+VLOOKUP(B51,'101423'!B$5:Q$64,16,false)</f>
        <v>0</v>
      </c>
      <c r="R51" s="31"/>
      <c r="S51" s="31">
        <f>if(G51=9,1,0)+VLOOKUP(B51,'101423'!B:S,18,false)</f>
        <v>7</v>
      </c>
    </row>
    <row r="52">
      <c r="A52" s="25">
        <f t="shared" si="3"/>
        <v>48</v>
      </c>
      <c r="B52" s="36" t="s">
        <v>97</v>
      </c>
      <c r="C52" s="27">
        <v>144.0</v>
      </c>
      <c r="D52" s="28">
        <v>7.0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153</v>
      </c>
      <c r="N52" s="28">
        <f t="shared" si="49"/>
        <v>7</v>
      </c>
      <c r="O52" s="33" t="s">
        <v>37</v>
      </c>
      <c r="P52" s="33" t="s">
        <v>37</v>
      </c>
      <c r="Q52" s="31">
        <f>if(G52=13,1,0)+VLOOKUP(B52,'101423'!B$5:Q$64,16,false)</f>
        <v>0</v>
      </c>
      <c r="R52" s="31"/>
      <c r="S52" s="31">
        <f>if(G52=9,1,0)+VLOOKUP(B52,'101423'!B:S,18,false)</f>
        <v>10</v>
      </c>
    </row>
    <row r="53">
      <c r="A53" s="25">
        <f t="shared" si="3"/>
        <v>49</v>
      </c>
      <c r="B53" s="36" t="s">
        <v>98</v>
      </c>
      <c r="C53" s="27">
        <v>144.0</v>
      </c>
      <c r="D53" s="28">
        <v>3.0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153</v>
      </c>
      <c r="N53" s="28">
        <f t="shared" si="50"/>
        <v>3</v>
      </c>
      <c r="O53" s="33" t="s">
        <v>37</v>
      </c>
      <c r="P53" s="33" t="s">
        <v>37</v>
      </c>
      <c r="Q53" s="31">
        <f>if(G53=13,1,0)+VLOOKUP(B53,'101423'!B$5:Q$64,16,false)</f>
        <v>0</v>
      </c>
      <c r="R53" s="31"/>
      <c r="S53" s="31">
        <f>if(G53=9,1,0)+VLOOKUP(B53,'101423'!B:S,18,false)</f>
        <v>11</v>
      </c>
    </row>
    <row r="54">
      <c r="A54" s="25">
        <f t="shared" si="3"/>
        <v>50</v>
      </c>
      <c r="B54" s="36" t="s">
        <v>99</v>
      </c>
      <c r="C54" s="27">
        <v>144.0</v>
      </c>
      <c r="D54" s="28">
        <v>3.0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153</v>
      </c>
      <c r="N54" s="28">
        <f t="shared" si="51"/>
        <v>3</v>
      </c>
      <c r="O54" s="33" t="s">
        <v>37</v>
      </c>
      <c r="P54" s="33" t="s">
        <v>37</v>
      </c>
      <c r="Q54" s="31">
        <f>if(G54=13,1,0)+VLOOKUP(B54,'101423'!B$5:Q$64,16,false)</f>
        <v>0</v>
      </c>
      <c r="R54" s="31"/>
      <c r="S54" s="31">
        <f>if(G54=9,1,0)+VLOOKUP(B54,'101423'!B:S,18,false)</f>
        <v>12</v>
      </c>
    </row>
    <row r="55">
      <c r="A55" s="25">
        <f t="shared" si="3"/>
        <v>51</v>
      </c>
      <c r="B55" s="26" t="s">
        <v>95</v>
      </c>
      <c r="C55" s="27">
        <v>142.0</v>
      </c>
      <c r="D55" s="28">
        <v>5.0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151</v>
      </c>
      <c r="N55" s="28">
        <f t="shared" si="52"/>
        <v>5</v>
      </c>
      <c r="O55" s="33" t="s">
        <v>37</v>
      </c>
      <c r="P55" s="33" t="s">
        <v>37</v>
      </c>
      <c r="Q55" s="31">
        <f>if(G55=13,1,0)+VLOOKUP(B55,'101423'!B$5:Q$64,16,false)</f>
        <v>0</v>
      </c>
      <c r="R55" s="31"/>
      <c r="S55" s="31">
        <f>if(G55=9,1,0)+VLOOKUP(B55,'101423'!B:S,18,false)</f>
        <v>11</v>
      </c>
    </row>
    <row r="56">
      <c r="A56" s="25">
        <f t="shared" si="3"/>
        <v>52</v>
      </c>
      <c r="B56" s="36" t="s">
        <v>76</v>
      </c>
      <c r="C56" s="27">
        <v>139.0</v>
      </c>
      <c r="D56" s="28">
        <v>2.0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148</v>
      </c>
      <c r="N56" s="28">
        <f t="shared" si="53"/>
        <v>2</v>
      </c>
      <c r="O56" s="33" t="s">
        <v>37</v>
      </c>
      <c r="P56" s="33" t="s">
        <v>37</v>
      </c>
      <c r="Q56" s="31">
        <f>if(G56=13,1,0)+VLOOKUP(B56,'101423'!B$5:Q$64,16,false)</f>
        <v>0</v>
      </c>
      <c r="R56" s="31"/>
      <c r="S56" s="31">
        <f>if(G56=9,1,0)+VLOOKUP(B56,'101423'!B:S,18,false)</f>
        <v>15</v>
      </c>
    </row>
    <row r="57">
      <c r="A57" s="25">
        <f t="shared" si="3"/>
        <v>53</v>
      </c>
      <c r="B57" s="26" t="s">
        <v>100</v>
      </c>
      <c r="C57" s="27">
        <v>139.0</v>
      </c>
      <c r="D57" s="28">
        <v>2.0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148</v>
      </c>
      <c r="N57" s="28">
        <f t="shared" si="54"/>
        <v>2</v>
      </c>
      <c r="O57" s="33" t="s">
        <v>37</v>
      </c>
      <c r="P57" s="33" t="s">
        <v>37</v>
      </c>
      <c r="Q57" s="31">
        <f>if(G57=13,1,0)+VLOOKUP(B57,'101423'!B$5:Q$64,16,false)</f>
        <v>0</v>
      </c>
      <c r="R57" s="31"/>
      <c r="S57" s="31">
        <f>if(G57=9,1,0)+VLOOKUP(B57,'101423'!B:S,18,false)</f>
        <v>15</v>
      </c>
    </row>
    <row r="58">
      <c r="A58" s="25">
        <f t="shared" si="3"/>
        <v>54</v>
      </c>
      <c r="B58" s="36" t="s">
        <v>101</v>
      </c>
      <c r="C58" s="27">
        <v>139.0</v>
      </c>
      <c r="D58" s="28">
        <v>2.0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148</v>
      </c>
      <c r="N58" s="28">
        <f t="shared" si="55"/>
        <v>2</v>
      </c>
      <c r="O58" s="33" t="s">
        <v>37</v>
      </c>
      <c r="P58" s="33" t="s">
        <v>37</v>
      </c>
      <c r="Q58" s="31">
        <f>if(G58=13,1,0)+VLOOKUP(B58,'101423'!B$5:Q$64,16,false)</f>
        <v>0</v>
      </c>
      <c r="R58" s="31"/>
      <c r="S58" s="31">
        <f>if(G58=9,1,0)+VLOOKUP(B58,'101423'!B:S,18,false)</f>
        <v>15</v>
      </c>
    </row>
    <row r="59">
      <c r="A59" s="25">
        <f t="shared" si="3"/>
        <v>55</v>
      </c>
      <c r="B59" s="26" t="s">
        <v>103</v>
      </c>
      <c r="C59" s="27">
        <v>135.0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144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if(G59=13,1,0)+VLOOKUP(B59,'101423'!B$5:Q$64,16,false)</f>
        <v>0</v>
      </c>
      <c r="R59" s="31"/>
      <c r="S59" s="31">
        <f>if(G59=9,1,0)+VLOOKUP(B59,'101423'!B:S,18,false)</f>
        <v>16</v>
      </c>
    </row>
    <row r="60">
      <c r="A60" s="25">
        <f t="shared" si="3"/>
        <v>56</v>
      </c>
      <c r="B60" s="36" t="s">
        <v>104</v>
      </c>
      <c r="C60" s="27">
        <v>135.0</v>
      </c>
      <c r="D60" s="28">
        <v>0.0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144</v>
      </c>
      <c r="N60" s="28">
        <f t="shared" si="57"/>
        <v>0</v>
      </c>
      <c r="O60" s="33" t="s">
        <v>37</v>
      </c>
      <c r="P60" s="33" t="s">
        <v>37</v>
      </c>
      <c r="Q60" s="31">
        <f>if(G60=13,1,0)+VLOOKUP(B60,'101423'!B$5:Q$64,16,false)</f>
        <v>0</v>
      </c>
      <c r="R60" s="31"/>
      <c r="S60" s="31">
        <f>if(G60=9,1,0)+VLOOKUP(B60,'101423'!B:S,18,false)</f>
        <v>16</v>
      </c>
    </row>
    <row r="61">
      <c r="A61" s="25">
        <f t="shared" si="3"/>
        <v>57</v>
      </c>
      <c r="B61" s="26" t="s">
        <v>105</v>
      </c>
      <c r="C61" s="27">
        <v>135.0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144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if(G61=13,1,0)+VLOOKUP(B61,'101423'!B$5:Q$64,16,false)</f>
        <v>0</v>
      </c>
      <c r="R61" s="31"/>
      <c r="S61" s="31">
        <f>if(G61=9,1,0)+VLOOKUP(B61,'101423'!B:S,18,false)</f>
        <v>16</v>
      </c>
    </row>
    <row r="62">
      <c r="A62" s="25">
        <f t="shared" si="3"/>
        <v>58</v>
      </c>
      <c r="B62" s="26" t="s">
        <v>106</v>
      </c>
      <c r="C62" s="27">
        <v>135.0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144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if(G62=13,1,0)+VLOOKUP(B62,'101423'!B$5:Q$64,16,false)</f>
        <v>0</v>
      </c>
      <c r="R62" s="31"/>
      <c r="S62" s="31">
        <f>if(G62=9,1,0)+VLOOKUP(B62,'101423'!B:S,18,false)</f>
        <v>16</v>
      </c>
    </row>
    <row r="63">
      <c r="A63" s="25">
        <f t="shared" si="3"/>
        <v>59</v>
      </c>
      <c r="B63" s="36" t="s">
        <v>108</v>
      </c>
      <c r="C63" s="27">
        <v>132.0</v>
      </c>
      <c r="D63" s="28">
        <v>5.0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141</v>
      </c>
      <c r="N63" s="28">
        <f t="shared" si="60"/>
        <v>5</v>
      </c>
      <c r="O63" s="33" t="s">
        <v>37</v>
      </c>
      <c r="P63" s="33" t="s">
        <v>37</v>
      </c>
      <c r="Q63" s="31">
        <f>if(G63=13,1,0)+VLOOKUP(B63,'101423'!B$5:Q$64,16,false)</f>
        <v>0</v>
      </c>
      <c r="R63" s="31"/>
      <c r="S63" s="31">
        <f>if(G63=9,1,0)+VLOOKUP(B63,'101423'!B:S,18,false)</f>
        <v>11</v>
      </c>
    </row>
    <row r="64">
      <c r="A64" s="25">
        <f t="shared" si="3"/>
        <v>60</v>
      </c>
      <c r="B64" s="36" t="s">
        <v>109</v>
      </c>
      <c r="C64" s="27">
        <v>129.0</v>
      </c>
      <c r="D64" s="28">
        <v>1.0</v>
      </c>
      <c r="E64" s="30">
        <v>3.0</v>
      </c>
      <c r="F64" s="31">
        <v>0.0</v>
      </c>
      <c r="G64" s="27">
        <v>9.0</v>
      </c>
      <c r="H64" s="31">
        <v>0.0</v>
      </c>
      <c r="I64" s="31">
        <v>0.0</v>
      </c>
      <c r="J64" s="31">
        <v>0.0</v>
      </c>
      <c r="K64" s="32">
        <v>9.0</v>
      </c>
      <c r="L64" s="31">
        <v>0.0</v>
      </c>
      <c r="M64" s="27">
        <f t="shared" ref="M64:N64" si="61">C64+K64</f>
        <v>138</v>
      </c>
      <c r="N64" s="28">
        <f t="shared" si="61"/>
        <v>1</v>
      </c>
      <c r="O64" s="33" t="s">
        <v>37</v>
      </c>
      <c r="P64" s="33" t="s">
        <v>37</v>
      </c>
      <c r="Q64" s="31">
        <f>if(G64=13,1,0)+VLOOKUP(B64,'101423'!B$5:Q$64,16,false)</f>
        <v>0</v>
      </c>
      <c r="R64" s="31"/>
      <c r="S64" s="31">
        <f>if(G64=9,1,0)+VLOOKUP(B64,'101423'!B:S,18,false)</f>
        <v>6</v>
      </c>
    </row>
    <row r="65">
      <c r="A65" s="1"/>
      <c r="C65" s="1"/>
      <c r="D65" s="1"/>
      <c r="E65" s="1"/>
      <c r="P65" s="1"/>
    </row>
    <row r="66">
      <c r="A66" s="1"/>
      <c r="B66" s="39">
        <f>COUNTA(B5:B64)</f>
        <v>60</v>
      </c>
      <c r="C66" s="1"/>
      <c r="D66" s="1"/>
      <c r="E66" s="1"/>
      <c r="O66" s="34" t="s">
        <v>110</v>
      </c>
      <c r="P66" s="40">
        <f>COUNTA(P5:P64)</f>
        <v>60</v>
      </c>
    </row>
    <row r="67">
      <c r="A67" s="1"/>
      <c r="C67" s="1"/>
      <c r="D67" s="1"/>
      <c r="E67" s="1"/>
      <c r="O67" s="34" t="s">
        <v>111</v>
      </c>
      <c r="P67" s="40">
        <f>P68-P66</f>
        <v>0</v>
      </c>
    </row>
    <row r="68">
      <c r="A68" s="1"/>
      <c r="C68" s="1"/>
      <c r="D68" s="1"/>
      <c r="J68" s="41"/>
      <c r="K68" s="42"/>
      <c r="L68" s="43"/>
      <c r="O68" s="34" t="s">
        <v>41</v>
      </c>
      <c r="P68" s="40">
        <f>B66</f>
        <v>60</v>
      </c>
    </row>
    <row r="69">
      <c r="A69" s="1"/>
      <c r="C69" s="1"/>
      <c r="D69" s="1"/>
      <c r="E69" s="34" t="s">
        <v>112</v>
      </c>
      <c r="J69" s="41"/>
      <c r="K69" s="42"/>
      <c r="L69" s="43"/>
    </row>
    <row r="70">
      <c r="A70" s="1"/>
      <c r="C70" s="1"/>
      <c r="D70" s="1"/>
      <c r="J70" s="41"/>
      <c r="K70" s="42"/>
      <c r="L70" s="43"/>
    </row>
    <row r="71">
      <c r="A71" s="1"/>
      <c r="C71" s="1"/>
      <c r="D71" s="1"/>
      <c r="J71" s="41"/>
      <c r="K71" s="42"/>
      <c r="L71" s="43"/>
    </row>
    <row r="72">
      <c r="A72" s="1"/>
      <c r="B72" s="45" t="s">
        <v>113</v>
      </c>
      <c r="C72" s="45" t="s">
        <v>114</v>
      </c>
      <c r="D72" s="45" t="s">
        <v>115</v>
      </c>
      <c r="J72" s="41"/>
      <c r="K72" s="42"/>
      <c r="L72" s="43"/>
    </row>
    <row r="73">
      <c r="A73" s="1"/>
      <c r="B73" s="36" t="str">
        <f>IFERROR(__xludf.DUMMYFUNCTION("QUERY(B5:L64,""Select B, K, L where K &gt;= 18 order by K desc, L desc"",0)"),"Lam Bui")</f>
        <v>Lam Bui</v>
      </c>
      <c r="C73" s="46">
        <f>IFERROR(__xludf.DUMMYFUNCTION("""COMPUTED_VALUE"""),18.0)</f>
        <v>18</v>
      </c>
      <c r="D73" s="46">
        <f>IFERROR(__xludf.DUMMYFUNCTION("""COMPUTED_VALUE"""),3.0)</f>
        <v>3</v>
      </c>
      <c r="E73" s="1"/>
      <c r="K73" s="42"/>
      <c r="L73" s="43"/>
    </row>
    <row r="74">
      <c r="A74" s="1"/>
      <c r="B74" s="36" t="str">
        <f>IFERROR(__xludf.DUMMYFUNCTION("""COMPUTED_VALUE"""),"David Shin")</f>
        <v>David Shin</v>
      </c>
      <c r="C74" s="46">
        <f>IFERROR(__xludf.DUMMYFUNCTION("""COMPUTED_VALUE"""),18.0)</f>
        <v>18</v>
      </c>
      <c r="D74" s="46">
        <f>IFERROR(__xludf.DUMMYFUNCTION("""COMPUTED_VALUE"""),3.0)</f>
        <v>3</v>
      </c>
      <c r="E74" s="1"/>
      <c r="L74" s="47"/>
    </row>
    <row r="75">
      <c r="A75" s="1"/>
      <c r="B75" s="36" t="str">
        <f>IFERROR(__xludf.DUMMYFUNCTION("""COMPUTED_VALUE"""),"Kingsley Kuo")</f>
        <v>Kingsley Kuo</v>
      </c>
      <c r="C75" s="46">
        <f>IFERROR(__xludf.DUMMYFUNCTION("""COMPUTED_VALUE"""),18.0)</f>
        <v>18</v>
      </c>
      <c r="D75" s="46">
        <f>IFERROR(__xludf.DUMMYFUNCTION("""COMPUTED_VALUE"""),3.0)</f>
        <v>3</v>
      </c>
      <c r="E75" s="1"/>
    </row>
    <row r="76">
      <c r="A76" s="1"/>
      <c r="B76" s="36" t="str">
        <f>IFERROR(__xludf.DUMMYFUNCTION("""COMPUTED_VALUE"""),"Peter Cheng")</f>
        <v>Peter Cheng</v>
      </c>
      <c r="C76" s="46">
        <f>IFERROR(__xludf.DUMMYFUNCTION("""COMPUTED_VALUE"""),18.0)</f>
        <v>18</v>
      </c>
      <c r="D76" s="46">
        <f>IFERROR(__xludf.DUMMYFUNCTION("""COMPUTED_VALUE"""),2.0)</f>
        <v>2</v>
      </c>
      <c r="E76" s="1"/>
    </row>
    <row r="77">
      <c r="A77" s="1"/>
      <c r="B77" s="36" t="str">
        <f>IFERROR(__xludf.DUMMYFUNCTION("""COMPUTED_VALUE"""),"Alejandro Mejia")</f>
        <v>Alejandro Mejia</v>
      </c>
      <c r="C77" s="46">
        <f>IFERROR(__xludf.DUMMYFUNCTION("""COMPUTED_VALUE"""),18.0)</f>
        <v>18</v>
      </c>
      <c r="D77" s="46">
        <f>IFERROR(__xludf.DUMMYFUNCTION("""COMPUTED_VALUE"""),2.0)</f>
        <v>2</v>
      </c>
      <c r="E77" s="1"/>
      <c r="K77" s="34"/>
    </row>
    <row r="78">
      <c r="A78" s="1"/>
      <c r="B78" s="36"/>
      <c r="C78" s="46"/>
      <c r="D78" s="46"/>
      <c r="E78" s="1"/>
      <c r="K78" s="34"/>
    </row>
    <row r="79">
      <c r="A79" s="1"/>
      <c r="B79" s="36"/>
      <c r="C79" s="46"/>
      <c r="D79" s="46"/>
      <c r="E79" s="1"/>
      <c r="K79" s="34"/>
    </row>
    <row r="80">
      <c r="A80" s="1"/>
      <c r="B80" s="36"/>
      <c r="C80" s="46"/>
      <c r="D80" s="46"/>
      <c r="E80" s="1"/>
      <c r="K80" s="34"/>
    </row>
    <row r="81">
      <c r="A81" s="1"/>
      <c r="B81" s="36"/>
      <c r="C81" s="46"/>
      <c r="D81" s="46"/>
      <c r="E81" s="1"/>
    </row>
    <row r="82">
      <c r="A82" s="1"/>
      <c r="B82" s="36"/>
      <c r="C82" s="46"/>
      <c r="D82" s="46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B85" s="20" t="s">
        <v>25</v>
      </c>
      <c r="C85" s="21" t="s">
        <v>8</v>
      </c>
      <c r="D85" s="21" t="s">
        <v>14</v>
      </c>
      <c r="E85" s="21" t="s">
        <v>26</v>
      </c>
      <c r="F85" s="21" t="s">
        <v>27</v>
      </c>
      <c r="G85" s="21" t="s">
        <v>28</v>
      </c>
      <c r="H85" s="21" t="s">
        <v>17</v>
      </c>
      <c r="I85" s="21" t="s">
        <v>18</v>
      </c>
      <c r="J85" s="21" t="s">
        <v>19</v>
      </c>
      <c r="K85" s="21" t="s">
        <v>8</v>
      </c>
      <c r="L85" s="21" t="s">
        <v>14</v>
      </c>
      <c r="M85" s="22" t="s">
        <v>8</v>
      </c>
      <c r="N85" s="22" t="s">
        <v>14</v>
      </c>
    </row>
    <row r="86">
      <c r="A86" s="1"/>
      <c r="B86" s="48" t="str">
        <f>IFERROR(__xludf.DUMMYFUNCTION("QUERY(B5:N64, ""Select B, C, D, E, F, G, H, I, J, K, L, M, N   where F &gt;= 1"")"),"Peter Cheng")</f>
        <v>Peter Cheng</v>
      </c>
      <c r="C86" s="49">
        <f>IFERROR(__xludf.DUMMYFUNCTION("""COMPUTED_VALUE"""),201.0)</f>
        <v>201</v>
      </c>
      <c r="D86" s="50">
        <f>IFERROR(__xludf.DUMMYFUNCTION("""COMPUTED_VALUE"""),21.0)</f>
        <v>21</v>
      </c>
      <c r="E86" s="49">
        <f>IFERROR(__xludf.DUMMYFUNCTION("""COMPUTED_VALUE"""),1.0)</f>
        <v>1</v>
      </c>
      <c r="F86" s="51">
        <f>IFERROR(__xludf.DUMMYFUNCTION("""COMPUTED_VALUE"""),1.0)</f>
        <v>1</v>
      </c>
      <c r="G86" s="51">
        <f>IFERROR(__xludf.DUMMYFUNCTION("""COMPUTED_VALUE"""),0.0)</f>
        <v>0</v>
      </c>
      <c r="H86" s="51">
        <f>IFERROR(__xludf.DUMMYFUNCTION("""COMPUTED_VALUE"""),6.0)</f>
        <v>6</v>
      </c>
      <c r="I86" s="51">
        <f>IFERROR(__xludf.DUMMYFUNCTION("""COMPUTED_VALUE"""),5.0)</f>
        <v>5</v>
      </c>
      <c r="J86" s="51">
        <f>IFERROR(__xludf.DUMMYFUNCTION("""COMPUTED_VALUE"""),7.0)</f>
        <v>7</v>
      </c>
      <c r="K86" s="51">
        <f>IFERROR(__xludf.DUMMYFUNCTION("""COMPUTED_VALUE"""),18.0)</f>
        <v>18</v>
      </c>
      <c r="L86" s="51">
        <f>IFERROR(__xludf.DUMMYFUNCTION("""COMPUTED_VALUE"""),2.0)</f>
        <v>2</v>
      </c>
      <c r="M86" s="51">
        <f>IFERROR(__xludf.DUMMYFUNCTION("""COMPUTED_VALUE"""),219.0)</f>
        <v>219</v>
      </c>
      <c r="N86" s="52">
        <f>IFERROR(__xludf.DUMMYFUNCTION("""COMPUTED_VALUE"""),23.0)</f>
        <v>23</v>
      </c>
    </row>
    <row r="87">
      <c r="A87" s="1"/>
      <c r="B87" s="48" t="str">
        <f>IFERROR(__xludf.DUMMYFUNCTION("""COMPUTED_VALUE"""),"Alejandro Mejia")</f>
        <v>Alejandro Mejia</v>
      </c>
      <c r="C87" s="49">
        <f>IFERROR(__xludf.DUMMYFUNCTION("""COMPUTED_VALUE"""),195.0)</f>
        <v>195</v>
      </c>
      <c r="D87" s="50">
        <f>IFERROR(__xludf.DUMMYFUNCTION("""COMPUTED_VALUE"""),17.0)</f>
        <v>17</v>
      </c>
      <c r="E87" s="49">
        <f>IFERROR(__xludf.DUMMYFUNCTION("""COMPUTED_VALUE"""),1.0)</f>
        <v>1</v>
      </c>
      <c r="F87" s="51">
        <f>IFERROR(__xludf.DUMMYFUNCTION("""COMPUTED_VALUE"""),1.0)</f>
        <v>1</v>
      </c>
      <c r="G87" s="51">
        <f>IFERROR(__xludf.DUMMYFUNCTION("""COMPUTED_VALUE"""),0.0)</f>
        <v>0</v>
      </c>
      <c r="H87" s="51">
        <f>IFERROR(__xludf.DUMMYFUNCTION("""COMPUTED_VALUE"""),6.0)</f>
        <v>6</v>
      </c>
      <c r="I87" s="51">
        <f>IFERROR(__xludf.DUMMYFUNCTION("""COMPUTED_VALUE"""),7.0)</f>
        <v>7</v>
      </c>
      <c r="J87" s="51">
        <f>IFERROR(__xludf.DUMMYFUNCTION("""COMPUTED_VALUE"""),5.0)</f>
        <v>5</v>
      </c>
      <c r="K87" s="51">
        <f>IFERROR(__xludf.DUMMYFUNCTION("""COMPUTED_VALUE"""),18.0)</f>
        <v>18</v>
      </c>
      <c r="L87" s="51">
        <f>IFERROR(__xludf.DUMMYFUNCTION("""COMPUTED_VALUE"""),2.0)</f>
        <v>2</v>
      </c>
      <c r="M87" s="51">
        <f>IFERROR(__xludf.DUMMYFUNCTION("""COMPUTED_VALUE"""),213.0)</f>
        <v>213</v>
      </c>
      <c r="N87" s="52">
        <f>IFERROR(__xludf.DUMMYFUNCTION("""COMPUTED_VALUE"""),19.0)</f>
        <v>19</v>
      </c>
    </row>
    <row r="88">
      <c r="A88" s="1"/>
      <c r="B88" s="48" t="str">
        <f>IFERROR(__xludf.DUMMYFUNCTION("""COMPUTED_VALUE"""),"Peter Homsey")</f>
        <v>Peter Homsey</v>
      </c>
      <c r="C88" s="49">
        <f>IFERROR(__xludf.DUMMYFUNCTION("""COMPUTED_VALUE"""),195.0)</f>
        <v>195</v>
      </c>
      <c r="D88" s="50">
        <f>IFERROR(__xludf.DUMMYFUNCTION("""COMPUTED_VALUE"""),17.0)</f>
        <v>17</v>
      </c>
      <c r="E88" s="49">
        <f>IFERROR(__xludf.DUMMYFUNCTION("""COMPUTED_VALUE"""),1.0)</f>
        <v>1</v>
      </c>
      <c r="F88" s="51">
        <f>IFERROR(__xludf.DUMMYFUNCTION("""COMPUTED_VALUE"""),1.0)</f>
        <v>1</v>
      </c>
      <c r="G88" s="51">
        <f>IFERROR(__xludf.DUMMYFUNCTION("""COMPUTED_VALUE"""),0.0)</f>
        <v>0</v>
      </c>
      <c r="H88" s="51">
        <f>IFERROR(__xludf.DUMMYFUNCTION("""COMPUTED_VALUE"""),1.0)</f>
        <v>1</v>
      </c>
      <c r="I88" s="51">
        <f>IFERROR(__xludf.DUMMYFUNCTION("""COMPUTED_VALUE"""),7.0)</f>
        <v>7</v>
      </c>
      <c r="J88" s="51">
        <f>IFERROR(__xludf.DUMMYFUNCTION("""COMPUTED_VALUE"""),7.0)</f>
        <v>7</v>
      </c>
      <c r="K88" s="51">
        <f>IFERROR(__xludf.DUMMYFUNCTION("""COMPUTED_VALUE"""),15.0)</f>
        <v>15</v>
      </c>
      <c r="L88" s="51">
        <f>IFERROR(__xludf.DUMMYFUNCTION("""COMPUTED_VALUE"""),2.0)</f>
        <v>2</v>
      </c>
      <c r="M88" s="51">
        <f>IFERROR(__xludf.DUMMYFUNCTION("""COMPUTED_VALUE"""),210.0)</f>
        <v>210</v>
      </c>
      <c r="N88" s="52">
        <f>IFERROR(__xludf.DUMMYFUNCTION("""COMPUTED_VALUE"""),19.0)</f>
        <v>19</v>
      </c>
    </row>
    <row r="89">
      <c r="A89" s="1"/>
      <c r="B89" s="48" t="str">
        <f>IFERROR(__xludf.DUMMYFUNCTION("""COMPUTED_VALUE"""),"Pavan Akkimsetty")</f>
        <v>Pavan Akkimsetty</v>
      </c>
      <c r="C89" s="49">
        <f>IFERROR(__xludf.DUMMYFUNCTION("""COMPUTED_VALUE"""),187.0)</f>
        <v>187</v>
      </c>
      <c r="D89" s="50">
        <f>IFERROR(__xludf.DUMMYFUNCTION("""COMPUTED_VALUE"""),17.0)</f>
        <v>17</v>
      </c>
      <c r="E89" s="49">
        <f>IFERROR(__xludf.DUMMYFUNCTION("""COMPUTED_VALUE"""),1.0)</f>
        <v>1</v>
      </c>
      <c r="F89" s="51">
        <f>IFERROR(__xludf.DUMMYFUNCTION("""COMPUTED_VALUE"""),1.0)</f>
        <v>1</v>
      </c>
      <c r="G89" s="51">
        <f>IFERROR(__xludf.DUMMYFUNCTION("""COMPUTED_VALUE"""),0.0)</f>
        <v>0</v>
      </c>
      <c r="H89" s="51">
        <f>IFERROR(__xludf.DUMMYFUNCTION("""COMPUTED_VALUE"""),1.0)</f>
        <v>1</v>
      </c>
      <c r="I89" s="51">
        <f>IFERROR(__xludf.DUMMYFUNCTION("""COMPUTED_VALUE"""),5.0)</f>
        <v>5</v>
      </c>
      <c r="J89" s="51">
        <f>IFERROR(__xludf.DUMMYFUNCTION("""COMPUTED_VALUE"""),5.0)</f>
        <v>5</v>
      </c>
      <c r="K89" s="51">
        <f>IFERROR(__xludf.DUMMYFUNCTION("""COMPUTED_VALUE"""),11.0)</f>
        <v>11</v>
      </c>
      <c r="L89" s="51">
        <f>IFERROR(__xludf.DUMMYFUNCTION("""COMPUTED_VALUE"""),0.0)</f>
        <v>0</v>
      </c>
      <c r="M89" s="51">
        <f>IFERROR(__xludf.DUMMYFUNCTION("""COMPUTED_VALUE"""),198.0)</f>
        <v>198</v>
      </c>
      <c r="N89" s="52">
        <f>IFERROR(__xludf.DUMMYFUNCTION("""COMPUTED_VALUE"""),17.0)</f>
        <v>17</v>
      </c>
    </row>
    <row r="90">
      <c r="A90" s="1"/>
      <c r="B90" s="53" t="str">
        <f>IFERROR(__xludf.DUMMYFUNCTION("""COMPUTED_VALUE"""),"Lam Bui")</f>
        <v>Lam Bui</v>
      </c>
      <c r="C90" s="54">
        <f>IFERROR(__xludf.DUMMYFUNCTION("""COMPUTED_VALUE"""),187.0)</f>
        <v>187</v>
      </c>
      <c r="D90" s="55">
        <f>IFERROR(__xludf.DUMMYFUNCTION("""COMPUTED_VALUE"""),15.0)</f>
        <v>15</v>
      </c>
      <c r="E90" s="54">
        <f>IFERROR(__xludf.DUMMYFUNCTION("""COMPUTED_VALUE"""),2.0)</f>
        <v>2</v>
      </c>
      <c r="F90" s="56">
        <f>IFERROR(__xludf.DUMMYFUNCTION("""COMPUTED_VALUE"""),2.0)</f>
        <v>2</v>
      </c>
      <c r="G90" s="56">
        <f>IFERROR(__xludf.DUMMYFUNCTION("""COMPUTED_VALUE"""),0.0)</f>
        <v>0</v>
      </c>
      <c r="H90" s="56">
        <f>IFERROR(__xludf.DUMMYFUNCTION("""COMPUTED_VALUE"""),6.0)</f>
        <v>6</v>
      </c>
      <c r="I90" s="56">
        <f>IFERROR(__xludf.DUMMYFUNCTION("""COMPUTED_VALUE"""),6.0)</f>
        <v>6</v>
      </c>
      <c r="J90" s="56">
        <f>IFERROR(__xludf.DUMMYFUNCTION("""COMPUTED_VALUE"""),6.0)</f>
        <v>6</v>
      </c>
      <c r="K90" s="56">
        <f>IFERROR(__xludf.DUMMYFUNCTION("""COMPUTED_VALUE"""),18.0)</f>
        <v>18</v>
      </c>
      <c r="L90" s="56">
        <f>IFERROR(__xludf.DUMMYFUNCTION("""COMPUTED_VALUE"""),3.0)</f>
        <v>3</v>
      </c>
      <c r="M90" s="56">
        <f>IFERROR(__xludf.DUMMYFUNCTION("""COMPUTED_VALUE"""),205.0)</f>
        <v>205</v>
      </c>
      <c r="N90" s="57">
        <f>IFERROR(__xludf.DUMMYFUNCTION("""COMPUTED_VALUE"""),18.0)</f>
        <v>18</v>
      </c>
    </row>
    <row r="91">
      <c r="A91" s="1"/>
      <c r="B91" s="53" t="str">
        <f>IFERROR(__xludf.DUMMYFUNCTION("""COMPUTED_VALUE"""),"Joe Luzzi")</f>
        <v>Joe Luzzi</v>
      </c>
      <c r="C91" s="54">
        <f>IFERROR(__xludf.DUMMYFUNCTION("""COMPUTED_VALUE"""),184.0)</f>
        <v>184</v>
      </c>
      <c r="D91" s="55">
        <f>IFERROR(__xludf.DUMMYFUNCTION("""COMPUTED_VALUE"""),18.0)</f>
        <v>18</v>
      </c>
      <c r="E91" s="54">
        <f>IFERROR(__xludf.DUMMYFUNCTION("""COMPUTED_VALUE"""),1.0)</f>
        <v>1</v>
      </c>
      <c r="F91" s="56">
        <f>IFERROR(__xludf.DUMMYFUNCTION("""COMPUTED_VALUE"""),2.0)</f>
        <v>2</v>
      </c>
      <c r="G91" s="56">
        <f>IFERROR(__xludf.DUMMYFUNCTION("""COMPUTED_VALUE"""),0.0)</f>
        <v>0</v>
      </c>
      <c r="H91" s="56">
        <f>IFERROR(__xludf.DUMMYFUNCTION("""COMPUTED_VALUE"""),4.0)</f>
        <v>4</v>
      </c>
      <c r="I91" s="56">
        <f>IFERROR(__xludf.DUMMYFUNCTION("""COMPUTED_VALUE"""),6.0)</f>
        <v>6</v>
      </c>
      <c r="J91" s="56">
        <f>IFERROR(__xludf.DUMMYFUNCTION("""COMPUTED_VALUE"""),3.0)</f>
        <v>3</v>
      </c>
      <c r="K91" s="56">
        <f>IFERROR(__xludf.DUMMYFUNCTION("""COMPUTED_VALUE"""),13.0)</f>
        <v>13</v>
      </c>
      <c r="L91" s="56">
        <f>IFERROR(__xludf.DUMMYFUNCTION("""COMPUTED_VALUE"""),1.0)</f>
        <v>1</v>
      </c>
      <c r="M91" s="56">
        <f>IFERROR(__xludf.DUMMYFUNCTION("""COMPUTED_VALUE"""),197.0)</f>
        <v>197</v>
      </c>
      <c r="N91" s="57">
        <f>IFERROR(__xludf.DUMMYFUNCTION("""COMPUTED_VALUE"""),19.0)</f>
        <v>19</v>
      </c>
    </row>
    <row r="92">
      <c r="A92" s="1"/>
      <c r="B92" s="53" t="str">
        <f>IFERROR(__xludf.DUMMYFUNCTION("""COMPUTED_VALUE"""),"Tom Le")</f>
        <v>Tom Le</v>
      </c>
      <c r="C92" s="54">
        <f>IFERROR(__xludf.DUMMYFUNCTION("""COMPUTED_VALUE"""),181.0)</f>
        <v>181</v>
      </c>
      <c r="D92" s="55">
        <f>IFERROR(__xludf.DUMMYFUNCTION("""COMPUTED_VALUE"""),12.0)</f>
        <v>12</v>
      </c>
      <c r="E92" s="54">
        <f>IFERROR(__xludf.DUMMYFUNCTION("""COMPUTED_VALUE"""),1.0)</f>
        <v>1</v>
      </c>
      <c r="F92" s="56">
        <f>IFERROR(__xludf.DUMMYFUNCTION("""COMPUTED_VALUE"""),2.0)</f>
        <v>2</v>
      </c>
      <c r="G92" s="56">
        <f>IFERROR(__xludf.DUMMYFUNCTION("""COMPUTED_VALUE"""),0.0)</f>
        <v>0</v>
      </c>
      <c r="H92" s="56">
        <f>IFERROR(__xludf.DUMMYFUNCTION("""COMPUTED_VALUE"""),6.0)</f>
        <v>6</v>
      </c>
      <c r="I92" s="56">
        <f>IFERROR(__xludf.DUMMYFUNCTION("""COMPUTED_VALUE"""),4.0)</f>
        <v>4</v>
      </c>
      <c r="J92" s="56">
        <f>IFERROR(__xludf.DUMMYFUNCTION("""COMPUTED_VALUE"""),3.0)</f>
        <v>3</v>
      </c>
      <c r="K92" s="56">
        <f>IFERROR(__xludf.DUMMYFUNCTION("""COMPUTED_VALUE"""),13.0)</f>
        <v>13</v>
      </c>
      <c r="L92" s="56">
        <f>IFERROR(__xludf.DUMMYFUNCTION("""COMPUTED_VALUE"""),1.0)</f>
        <v>1</v>
      </c>
      <c r="M92" s="56">
        <f>IFERROR(__xludf.DUMMYFUNCTION("""COMPUTED_VALUE"""),194.0)</f>
        <v>194</v>
      </c>
      <c r="N92" s="57">
        <f>IFERROR(__xludf.DUMMYFUNCTION("""COMPUTED_VALUE"""),13.0)</f>
        <v>13</v>
      </c>
    </row>
    <row r="93">
      <c r="A93" s="1"/>
      <c r="B93" s="53" t="str">
        <f>IFERROR(__xludf.DUMMYFUNCTION("""COMPUTED_VALUE"""),"Oscar Bonilla")</f>
        <v>Oscar Bonilla</v>
      </c>
      <c r="C93" s="54">
        <f>IFERROR(__xludf.DUMMYFUNCTION("""COMPUTED_VALUE"""),180.0)</f>
        <v>180</v>
      </c>
      <c r="D93" s="55">
        <f>IFERROR(__xludf.DUMMYFUNCTION("""COMPUTED_VALUE"""),15.0)</f>
        <v>15</v>
      </c>
      <c r="E93" s="54">
        <f>IFERROR(__xludf.DUMMYFUNCTION("""COMPUTED_VALUE"""),1.0)</f>
        <v>1</v>
      </c>
      <c r="F93" s="56">
        <f>IFERROR(__xludf.DUMMYFUNCTION("""COMPUTED_VALUE"""),2.0)</f>
        <v>2</v>
      </c>
      <c r="G93" s="56">
        <f>IFERROR(__xludf.DUMMYFUNCTION("""COMPUTED_VALUE"""),0.0)</f>
        <v>0</v>
      </c>
      <c r="H93" s="56">
        <f>IFERROR(__xludf.DUMMYFUNCTION("""COMPUTED_VALUE"""),4.0)</f>
        <v>4</v>
      </c>
      <c r="I93" s="56">
        <f>IFERROR(__xludf.DUMMYFUNCTION("""COMPUTED_VALUE"""),4.0)</f>
        <v>4</v>
      </c>
      <c r="J93" s="56">
        <f>IFERROR(__xludf.DUMMYFUNCTION("""COMPUTED_VALUE"""),6.0)</f>
        <v>6</v>
      </c>
      <c r="K93" s="56">
        <f>IFERROR(__xludf.DUMMYFUNCTION("""COMPUTED_VALUE"""),14.0)</f>
        <v>14</v>
      </c>
      <c r="L93" s="56">
        <f>IFERROR(__xludf.DUMMYFUNCTION("""COMPUTED_VALUE"""),1.0)</f>
        <v>1</v>
      </c>
      <c r="M93" s="56">
        <f>IFERROR(__xludf.DUMMYFUNCTION("""COMPUTED_VALUE"""),194.0)</f>
        <v>194</v>
      </c>
      <c r="N93" s="57">
        <f>IFERROR(__xludf.DUMMYFUNCTION("""COMPUTED_VALUE"""),16.0)</f>
        <v>16</v>
      </c>
    </row>
    <row r="94">
      <c r="A94" s="1"/>
      <c r="B94" s="48" t="str">
        <f>IFERROR(__xludf.DUMMYFUNCTION("""COMPUTED_VALUE"""),"Lloyd Sagar")</f>
        <v>Lloyd Sagar</v>
      </c>
      <c r="C94" s="49">
        <f>IFERROR(__xludf.DUMMYFUNCTION("""COMPUTED_VALUE"""),179.0)</f>
        <v>179</v>
      </c>
      <c r="D94" s="50">
        <f>IFERROR(__xludf.DUMMYFUNCTION("""COMPUTED_VALUE"""),10.0)</f>
        <v>10</v>
      </c>
      <c r="E94" s="49">
        <f>IFERROR(__xludf.DUMMYFUNCTION("""COMPUTED_VALUE"""),1.0)</f>
        <v>1</v>
      </c>
      <c r="F94" s="51">
        <f>IFERROR(__xludf.DUMMYFUNCTION("""COMPUTED_VALUE"""),3.0)</f>
        <v>3</v>
      </c>
      <c r="G94" s="51">
        <f>IFERROR(__xludf.DUMMYFUNCTION("""COMPUTED_VALUE"""),0.0)</f>
        <v>0</v>
      </c>
      <c r="H94" s="51">
        <f>IFERROR(__xludf.DUMMYFUNCTION("""COMPUTED_VALUE"""),6.0)</f>
        <v>6</v>
      </c>
      <c r="I94" s="51">
        <f>IFERROR(__xludf.DUMMYFUNCTION("""COMPUTED_VALUE"""),2.0)</f>
        <v>2</v>
      </c>
      <c r="J94" s="51">
        <f>IFERROR(__xludf.DUMMYFUNCTION("""COMPUTED_VALUE"""),6.0)</f>
        <v>6</v>
      </c>
      <c r="K94" s="51">
        <f>IFERROR(__xludf.DUMMYFUNCTION("""COMPUTED_VALUE"""),14.0)</f>
        <v>14</v>
      </c>
      <c r="L94" s="51">
        <f>IFERROR(__xludf.DUMMYFUNCTION("""COMPUTED_VALUE"""),2.0)</f>
        <v>2</v>
      </c>
      <c r="M94" s="51">
        <f>IFERROR(__xludf.DUMMYFUNCTION("""COMPUTED_VALUE"""),193.0)</f>
        <v>193</v>
      </c>
      <c r="N94" s="52">
        <f>IFERROR(__xludf.DUMMYFUNCTION("""COMPUTED_VALUE"""),12.0)</f>
        <v>12</v>
      </c>
    </row>
    <row r="95">
      <c r="A95" s="1"/>
      <c r="B95" s="48" t="str">
        <f>IFERROR(__xludf.DUMMYFUNCTION("""COMPUTED_VALUE"""),"Sean Chang")</f>
        <v>Sean Chang</v>
      </c>
      <c r="C95" s="49">
        <f>IFERROR(__xludf.DUMMYFUNCTION("""COMPUTED_VALUE"""),174.0)</f>
        <v>174</v>
      </c>
      <c r="D95" s="50">
        <f>IFERROR(__xludf.DUMMYFUNCTION("""COMPUTED_VALUE"""),11.0)</f>
        <v>11</v>
      </c>
      <c r="E95" s="49">
        <f>IFERROR(__xludf.DUMMYFUNCTION("""COMPUTED_VALUE"""),1.0)</f>
        <v>1</v>
      </c>
      <c r="F95" s="51">
        <f>IFERROR(__xludf.DUMMYFUNCTION("""COMPUTED_VALUE"""),3.0)</f>
        <v>3</v>
      </c>
      <c r="G95" s="51">
        <f>IFERROR(__xludf.DUMMYFUNCTION("""COMPUTED_VALUE"""),0.0)</f>
        <v>0</v>
      </c>
      <c r="H95" s="51">
        <f>IFERROR(__xludf.DUMMYFUNCTION("""COMPUTED_VALUE"""),4.0)</f>
        <v>4</v>
      </c>
      <c r="I95" s="51">
        <f>IFERROR(__xludf.DUMMYFUNCTION("""COMPUTED_VALUE"""),6.0)</f>
        <v>6</v>
      </c>
      <c r="J95" s="51">
        <f>IFERROR(__xludf.DUMMYFUNCTION("""COMPUTED_VALUE"""),6.0)</f>
        <v>6</v>
      </c>
      <c r="K95" s="51">
        <f>IFERROR(__xludf.DUMMYFUNCTION("""COMPUTED_VALUE"""),16.0)</f>
        <v>16</v>
      </c>
      <c r="L95" s="51">
        <f>IFERROR(__xludf.DUMMYFUNCTION("""COMPUTED_VALUE"""),2.0)</f>
        <v>2</v>
      </c>
      <c r="M95" s="51">
        <f>IFERROR(__xludf.DUMMYFUNCTION("""COMPUTED_VALUE"""),190.0)</f>
        <v>190</v>
      </c>
      <c r="N95" s="52">
        <f>IFERROR(__xludf.DUMMYFUNCTION("""COMPUTED_VALUE"""),13.0)</f>
        <v>13</v>
      </c>
    </row>
    <row r="96">
      <c r="A96" s="1"/>
      <c r="B96" s="48" t="str">
        <f>IFERROR(__xludf.DUMMYFUNCTION("""COMPUTED_VALUE"""),"Rajasekar Ramasamy")</f>
        <v>Rajasekar Ramasamy</v>
      </c>
      <c r="C96" s="49">
        <f>IFERROR(__xludf.DUMMYFUNCTION("""COMPUTED_VALUE"""),172.0)</f>
        <v>172</v>
      </c>
      <c r="D96" s="50">
        <f>IFERROR(__xludf.DUMMYFUNCTION("""COMPUTED_VALUE"""),16.0)</f>
        <v>16</v>
      </c>
      <c r="E96" s="49">
        <f>IFERROR(__xludf.DUMMYFUNCTION("""COMPUTED_VALUE"""),1.0)</f>
        <v>1</v>
      </c>
      <c r="F96" s="51">
        <f>IFERROR(__xludf.DUMMYFUNCTION("""COMPUTED_VALUE"""),3.0)</f>
        <v>3</v>
      </c>
      <c r="G96" s="51">
        <f>IFERROR(__xludf.DUMMYFUNCTION("""COMPUTED_VALUE"""),0.0)</f>
        <v>0</v>
      </c>
      <c r="H96" s="51">
        <f>IFERROR(__xludf.DUMMYFUNCTION("""COMPUTED_VALUE"""),6.0)</f>
        <v>6</v>
      </c>
      <c r="I96" s="51">
        <f>IFERROR(__xludf.DUMMYFUNCTION("""COMPUTED_VALUE"""),6.0)</f>
        <v>6</v>
      </c>
      <c r="J96" s="51">
        <f>IFERROR(__xludf.DUMMYFUNCTION("""COMPUTED_VALUE"""),2.0)</f>
        <v>2</v>
      </c>
      <c r="K96" s="51">
        <f>IFERROR(__xludf.DUMMYFUNCTION("""COMPUTED_VALUE"""),14.0)</f>
        <v>14</v>
      </c>
      <c r="L96" s="51">
        <f>IFERROR(__xludf.DUMMYFUNCTION("""COMPUTED_VALUE"""),2.0)</f>
        <v>2</v>
      </c>
      <c r="M96" s="51">
        <f>IFERROR(__xludf.DUMMYFUNCTION("""COMPUTED_VALUE"""),186.0)</f>
        <v>186</v>
      </c>
      <c r="N96" s="52">
        <f>IFERROR(__xludf.DUMMYFUNCTION("""COMPUTED_VALUE"""),18.0)</f>
        <v>18</v>
      </c>
    </row>
    <row r="97">
      <c r="A97" s="1"/>
      <c r="B97" s="48" t="str">
        <f>IFERROR(__xludf.DUMMYFUNCTION("""COMPUTED_VALUE"""),"Naveen Raj")</f>
        <v>Naveen Raj</v>
      </c>
      <c r="C97" s="49">
        <f>IFERROR(__xludf.DUMMYFUNCTION("""COMPUTED_VALUE"""),169.0)</f>
        <v>169</v>
      </c>
      <c r="D97" s="50">
        <f>IFERROR(__xludf.DUMMYFUNCTION("""COMPUTED_VALUE"""),12.0)</f>
        <v>12</v>
      </c>
      <c r="E97" s="49">
        <f>IFERROR(__xludf.DUMMYFUNCTION("""COMPUTED_VALUE"""),2.0)</f>
        <v>2</v>
      </c>
      <c r="F97" s="51">
        <f>IFERROR(__xludf.DUMMYFUNCTION("""COMPUTED_VALUE"""),3.0)</f>
        <v>3</v>
      </c>
      <c r="G97" s="51">
        <f>IFERROR(__xludf.DUMMYFUNCTION("""COMPUTED_VALUE"""),0.0)</f>
        <v>0</v>
      </c>
      <c r="H97" s="51">
        <f>IFERROR(__xludf.DUMMYFUNCTION("""COMPUTED_VALUE"""),4.0)</f>
        <v>4</v>
      </c>
      <c r="I97" s="51">
        <f>IFERROR(__xludf.DUMMYFUNCTION("""COMPUTED_VALUE"""),2.0)</f>
        <v>2</v>
      </c>
      <c r="J97" s="51">
        <f>IFERROR(__xludf.DUMMYFUNCTION("""COMPUTED_VALUE"""),2.0)</f>
        <v>2</v>
      </c>
      <c r="K97" s="51">
        <f>IFERROR(__xludf.DUMMYFUNCTION("""COMPUTED_VALUE"""),8.0)</f>
        <v>8</v>
      </c>
      <c r="L97" s="51">
        <f>IFERROR(__xludf.DUMMYFUNCTION("""COMPUTED_VALUE"""),0.0)</f>
        <v>0</v>
      </c>
      <c r="M97" s="51">
        <f>IFERROR(__xludf.DUMMYFUNCTION("""COMPUTED_VALUE"""),177.0)</f>
        <v>177</v>
      </c>
      <c r="N97" s="52">
        <f>IFERROR(__xludf.DUMMYFUNCTION("""COMPUTED_VALUE"""),12.0)</f>
        <v>12</v>
      </c>
    </row>
    <row r="98">
      <c r="A98" s="1"/>
      <c r="B98" s="53" t="str">
        <f>IFERROR(__xludf.DUMMYFUNCTION("""COMPUTED_VALUE"""),"Rosie Bonilla")</f>
        <v>Rosie Bonilla</v>
      </c>
      <c r="C98" s="54">
        <f>IFERROR(__xludf.DUMMYFUNCTION("""COMPUTED_VALUE"""),166.0)</f>
        <v>166</v>
      </c>
      <c r="D98" s="55">
        <f>IFERROR(__xludf.DUMMYFUNCTION("""COMPUTED_VALUE"""),12.0)</f>
        <v>12</v>
      </c>
      <c r="E98" s="54">
        <f>IFERROR(__xludf.DUMMYFUNCTION("""COMPUTED_VALUE"""),2.0)</f>
        <v>2</v>
      </c>
      <c r="F98" s="56">
        <f>IFERROR(__xludf.DUMMYFUNCTION("""COMPUTED_VALUE"""),5.0)</f>
        <v>5</v>
      </c>
      <c r="G98" s="56">
        <f>IFERROR(__xludf.DUMMYFUNCTION("""COMPUTED_VALUE"""),0.0)</f>
        <v>0</v>
      </c>
      <c r="H98" s="56">
        <f>IFERROR(__xludf.DUMMYFUNCTION("""COMPUTED_VALUE"""),4.0)</f>
        <v>4</v>
      </c>
      <c r="I98" s="56">
        <f>IFERROR(__xludf.DUMMYFUNCTION("""COMPUTED_VALUE"""),3.0)</f>
        <v>3</v>
      </c>
      <c r="J98" s="56">
        <f>IFERROR(__xludf.DUMMYFUNCTION("""COMPUTED_VALUE"""),6.0)</f>
        <v>6</v>
      </c>
      <c r="K98" s="56">
        <f>IFERROR(__xludf.DUMMYFUNCTION("""COMPUTED_VALUE"""),13.0)</f>
        <v>13</v>
      </c>
      <c r="L98" s="56">
        <f>IFERROR(__xludf.DUMMYFUNCTION("""COMPUTED_VALUE"""),1.0)</f>
        <v>1</v>
      </c>
      <c r="M98" s="56">
        <f>IFERROR(__xludf.DUMMYFUNCTION("""COMPUTED_VALUE"""),179.0)</f>
        <v>179</v>
      </c>
      <c r="N98" s="57">
        <f>IFERROR(__xludf.DUMMYFUNCTION("""COMPUTED_VALUE"""),13.0)</f>
        <v>13</v>
      </c>
    </row>
    <row r="99">
      <c r="A99" s="1"/>
      <c r="B99" s="53" t="str">
        <f>IFERROR(__xludf.DUMMYFUNCTION("""COMPUTED_VALUE"""),"David Shin")</f>
        <v>David Shin</v>
      </c>
      <c r="C99" s="54">
        <f>IFERROR(__xludf.DUMMYFUNCTION("""COMPUTED_VALUE"""),166.0)</f>
        <v>166</v>
      </c>
      <c r="D99" s="55">
        <f>IFERROR(__xludf.DUMMYFUNCTION("""COMPUTED_VALUE"""),10.0)</f>
        <v>10</v>
      </c>
      <c r="E99" s="54">
        <f>IFERROR(__xludf.DUMMYFUNCTION("""COMPUTED_VALUE"""),1.0)</f>
        <v>1</v>
      </c>
      <c r="F99" s="56">
        <f>IFERROR(__xludf.DUMMYFUNCTION("""COMPUTED_VALUE"""),5.0)</f>
        <v>5</v>
      </c>
      <c r="G99" s="56">
        <f>IFERROR(__xludf.DUMMYFUNCTION("""COMPUTED_VALUE"""),0.0)</f>
        <v>0</v>
      </c>
      <c r="H99" s="56">
        <f>IFERROR(__xludf.DUMMYFUNCTION("""COMPUTED_VALUE"""),6.0)</f>
        <v>6</v>
      </c>
      <c r="I99" s="56">
        <f>IFERROR(__xludf.DUMMYFUNCTION("""COMPUTED_VALUE"""),6.0)</f>
        <v>6</v>
      </c>
      <c r="J99" s="56">
        <f>IFERROR(__xludf.DUMMYFUNCTION("""COMPUTED_VALUE"""),6.0)</f>
        <v>6</v>
      </c>
      <c r="K99" s="56">
        <f>IFERROR(__xludf.DUMMYFUNCTION("""COMPUTED_VALUE"""),18.0)</f>
        <v>18</v>
      </c>
      <c r="L99" s="56">
        <f>IFERROR(__xludf.DUMMYFUNCTION("""COMPUTED_VALUE"""),3.0)</f>
        <v>3</v>
      </c>
      <c r="M99" s="56">
        <f>IFERROR(__xludf.DUMMYFUNCTION("""COMPUTED_VALUE"""),184.0)</f>
        <v>184</v>
      </c>
      <c r="N99" s="57">
        <f>IFERROR(__xludf.DUMMYFUNCTION("""COMPUTED_VALUE"""),13.0)</f>
        <v>13</v>
      </c>
    </row>
    <row r="100">
      <c r="A100" s="1"/>
      <c r="B100" s="53" t="str">
        <f>IFERROR(__xludf.DUMMYFUNCTION("""COMPUTED_VALUE"""),"Manuel Rivera")</f>
        <v>Manuel Rivera</v>
      </c>
      <c r="C100" s="54">
        <f>IFERROR(__xludf.DUMMYFUNCTION("""COMPUTED_VALUE"""),160.0)</f>
        <v>160</v>
      </c>
      <c r="D100" s="55">
        <f>IFERROR(__xludf.DUMMYFUNCTION("""COMPUTED_VALUE"""),14.0)</f>
        <v>14</v>
      </c>
      <c r="E100" s="54">
        <f>IFERROR(__xludf.DUMMYFUNCTION("""COMPUTED_VALUE"""),2.0)</f>
        <v>2</v>
      </c>
      <c r="F100" s="56">
        <f>IFERROR(__xludf.DUMMYFUNCTION("""COMPUTED_VALUE"""),5.0)</f>
        <v>5</v>
      </c>
      <c r="G100" s="56">
        <f>IFERROR(__xludf.DUMMYFUNCTION("""COMPUTED_VALUE"""),0.0)</f>
        <v>0</v>
      </c>
      <c r="H100" s="56">
        <f>IFERROR(__xludf.DUMMYFUNCTION("""COMPUTED_VALUE"""),6.0)</f>
        <v>6</v>
      </c>
      <c r="I100" s="56">
        <f>IFERROR(__xludf.DUMMYFUNCTION("""COMPUTED_VALUE"""),3.0)</f>
        <v>3</v>
      </c>
      <c r="J100" s="56">
        <f>IFERROR(__xludf.DUMMYFUNCTION("""COMPUTED_VALUE"""),1.0)</f>
        <v>1</v>
      </c>
      <c r="K100" s="56">
        <f>IFERROR(__xludf.DUMMYFUNCTION("""COMPUTED_VALUE"""),10.0)</f>
        <v>10</v>
      </c>
      <c r="L100" s="56">
        <f>IFERROR(__xludf.DUMMYFUNCTION("""COMPUTED_VALUE"""),1.0)</f>
        <v>1</v>
      </c>
      <c r="M100" s="56">
        <f>IFERROR(__xludf.DUMMYFUNCTION("""COMPUTED_VALUE"""),170.0)</f>
        <v>170</v>
      </c>
      <c r="N100" s="57">
        <f>IFERROR(__xludf.DUMMYFUNCTION("""COMPUTED_VALUE"""),15.0)</f>
        <v>15</v>
      </c>
    </row>
    <row r="101">
      <c r="A101" s="1"/>
      <c r="B101" s="53" t="str">
        <f>IFERROR(__xludf.DUMMYFUNCTION("""COMPUTED_VALUE"""),"Mauricio Palacios")</f>
        <v>Mauricio Palacios</v>
      </c>
      <c r="C101" s="54">
        <f>IFERROR(__xludf.DUMMYFUNCTION("""COMPUTED_VALUE"""),159.0)</f>
        <v>159</v>
      </c>
      <c r="D101" s="55">
        <f>IFERROR(__xludf.DUMMYFUNCTION("""COMPUTED_VALUE"""),15.0)</f>
        <v>15</v>
      </c>
      <c r="E101" s="54">
        <f>IFERROR(__xludf.DUMMYFUNCTION("""COMPUTED_VALUE"""),2.0)</f>
        <v>2</v>
      </c>
      <c r="F101" s="56">
        <f>IFERROR(__xludf.DUMMYFUNCTION("""COMPUTED_VALUE"""),5.0)</f>
        <v>5</v>
      </c>
      <c r="G101" s="56">
        <f>IFERROR(__xludf.DUMMYFUNCTION("""COMPUTED_VALUE"""),0.0)</f>
        <v>0</v>
      </c>
      <c r="H101" s="56">
        <f>IFERROR(__xludf.DUMMYFUNCTION("""COMPUTED_VALUE"""),4.0)</f>
        <v>4</v>
      </c>
      <c r="I101" s="56">
        <f>IFERROR(__xludf.DUMMYFUNCTION("""COMPUTED_VALUE"""),6.0)</f>
        <v>6</v>
      </c>
      <c r="J101" s="56">
        <f>IFERROR(__xludf.DUMMYFUNCTION("""COMPUTED_VALUE"""),1.0)</f>
        <v>1</v>
      </c>
      <c r="K101" s="56">
        <f>IFERROR(__xludf.DUMMYFUNCTION("""COMPUTED_VALUE"""),11.0)</f>
        <v>11</v>
      </c>
      <c r="L101" s="56">
        <f>IFERROR(__xludf.DUMMYFUNCTION("""COMPUTED_VALUE"""),1.0)</f>
        <v>1</v>
      </c>
      <c r="M101" s="56">
        <f>IFERROR(__xludf.DUMMYFUNCTION("""COMPUTED_VALUE"""),170.0)</f>
        <v>170</v>
      </c>
      <c r="N101" s="57">
        <f>IFERROR(__xludf.DUMMYFUNCTION("""COMPUTED_VALUE"""),16.0)</f>
        <v>16</v>
      </c>
    </row>
    <row r="102">
      <c r="A102" s="1"/>
      <c r="B102" s="48" t="str">
        <f>IFERROR(__xludf.DUMMYFUNCTION("""COMPUTED_VALUE"""),"Nohely Mejia")</f>
        <v>Nohely Mejia</v>
      </c>
      <c r="C102" s="49">
        <f>IFERROR(__xludf.DUMMYFUNCTION("""COMPUTED_VALUE"""),158.0)</f>
        <v>158</v>
      </c>
      <c r="D102" s="50">
        <f>IFERROR(__xludf.DUMMYFUNCTION("""COMPUTED_VALUE"""),7.0)</f>
        <v>7</v>
      </c>
      <c r="E102" s="49">
        <f>IFERROR(__xludf.DUMMYFUNCTION("""COMPUTED_VALUE"""),1.0)</f>
        <v>1</v>
      </c>
      <c r="F102" s="51">
        <f>IFERROR(__xludf.DUMMYFUNCTION("""COMPUTED_VALUE"""),6.0)</f>
        <v>6</v>
      </c>
      <c r="G102" s="51">
        <f>IFERROR(__xludf.DUMMYFUNCTION("""COMPUTED_VALUE"""),0.0)</f>
        <v>0</v>
      </c>
      <c r="H102" s="51">
        <f>IFERROR(__xludf.DUMMYFUNCTION("""COMPUTED_VALUE"""),0.0)</f>
        <v>0</v>
      </c>
      <c r="I102" s="51">
        <f>IFERROR(__xludf.DUMMYFUNCTION("""COMPUTED_VALUE"""),0.0)</f>
        <v>0</v>
      </c>
      <c r="J102" s="51">
        <f>IFERROR(__xludf.DUMMYFUNCTION("""COMPUTED_VALUE"""),6.0)</f>
        <v>6</v>
      </c>
      <c r="K102" s="51">
        <f>IFERROR(__xludf.DUMMYFUNCTION("""COMPUTED_VALUE"""),6.0)</f>
        <v>6</v>
      </c>
      <c r="L102" s="51">
        <f>IFERROR(__xludf.DUMMYFUNCTION("""COMPUTED_VALUE"""),1.0)</f>
        <v>1</v>
      </c>
      <c r="M102" s="51">
        <f>IFERROR(__xludf.DUMMYFUNCTION("""COMPUTED_VALUE"""),164.0)</f>
        <v>164</v>
      </c>
      <c r="N102" s="52">
        <f>IFERROR(__xludf.DUMMYFUNCTION("""COMPUTED_VALUE"""),8.0)</f>
        <v>8</v>
      </c>
    </row>
    <row r="103">
      <c r="A103" s="1"/>
      <c r="B103" s="48" t="str">
        <f>IFERROR(__xludf.DUMMYFUNCTION("""COMPUTED_VALUE"""),"Kingsley Kuo")</f>
        <v>Kingsley Kuo</v>
      </c>
      <c r="C103" s="49">
        <f>IFERROR(__xludf.DUMMYFUNCTION("""COMPUTED_VALUE"""),154.0)</f>
        <v>154</v>
      </c>
      <c r="D103" s="50">
        <f>IFERROR(__xludf.DUMMYFUNCTION("""COMPUTED_VALUE"""),5.0)</f>
        <v>5</v>
      </c>
      <c r="E103" s="49">
        <f>IFERROR(__xludf.DUMMYFUNCTION("""COMPUTED_VALUE"""),1.0)</f>
        <v>1</v>
      </c>
      <c r="F103" s="51">
        <f>IFERROR(__xludf.DUMMYFUNCTION("""COMPUTED_VALUE"""),6.0)</f>
        <v>6</v>
      </c>
      <c r="G103" s="51">
        <f>IFERROR(__xludf.DUMMYFUNCTION("""COMPUTED_VALUE"""),0.0)</f>
        <v>0</v>
      </c>
      <c r="H103" s="51">
        <f>IFERROR(__xludf.DUMMYFUNCTION("""COMPUTED_VALUE"""),6.0)</f>
        <v>6</v>
      </c>
      <c r="I103" s="51">
        <f>IFERROR(__xludf.DUMMYFUNCTION("""COMPUTED_VALUE"""),6.0)</f>
        <v>6</v>
      </c>
      <c r="J103" s="51">
        <f>IFERROR(__xludf.DUMMYFUNCTION("""COMPUTED_VALUE"""),6.0)</f>
        <v>6</v>
      </c>
      <c r="K103" s="51">
        <f>IFERROR(__xludf.DUMMYFUNCTION("""COMPUTED_VALUE"""),18.0)</f>
        <v>18</v>
      </c>
      <c r="L103" s="51">
        <f>IFERROR(__xludf.DUMMYFUNCTION("""COMPUTED_VALUE"""),3.0)</f>
        <v>3</v>
      </c>
      <c r="M103" s="51">
        <f>IFERROR(__xludf.DUMMYFUNCTION("""COMPUTED_VALUE"""),172.0)</f>
        <v>172</v>
      </c>
      <c r="N103" s="52">
        <f>IFERROR(__xludf.DUMMYFUNCTION("""COMPUTED_VALUE"""),8.0)</f>
        <v>8</v>
      </c>
    </row>
    <row r="104">
      <c r="A104" s="1"/>
      <c r="B104" s="48" t="str">
        <f>IFERROR(__xludf.DUMMYFUNCTION("""COMPUTED_VALUE"""),"Elayaraja Thangaraj ")</f>
        <v>Elayaraja Thangaraj </v>
      </c>
      <c r="C104" s="49">
        <f>IFERROR(__xludf.DUMMYFUNCTION("""COMPUTED_VALUE"""),147.0)</f>
        <v>147</v>
      </c>
      <c r="D104" s="50">
        <f>IFERROR(__xludf.DUMMYFUNCTION("""COMPUTED_VALUE"""),10.0)</f>
        <v>10</v>
      </c>
      <c r="E104" s="49">
        <f>IFERROR(__xludf.DUMMYFUNCTION("""COMPUTED_VALUE"""),1.0)</f>
        <v>1</v>
      </c>
      <c r="F104" s="51">
        <f>IFERROR(__xludf.DUMMYFUNCTION("""COMPUTED_VALUE"""),6.0)</f>
        <v>6</v>
      </c>
      <c r="G104" s="51">
        <f>IFERROR(__xludf.DUMMYFUNCTION("""COMPUTED_VALUE"""),0.0)</f>
        <v>0</v>
      </c>
      <c r="H104" s="51">
        <f>IFERROR(__xludf.DUMMYFUNCTION("""COMPUTED_VALUE"""),6.0)</f>
        <v>6</v>
      </c>
      <c r="I104" s="51">
        <f>IFERROR(__xludf.DUMMYFUNCTION("""COMPUTED_VALUE"""),0.0)</f>
        <v>0</v>
      </c>
      <c r="J104" s="51">
        <f>IFERROR(__xludf.DUMMYFUNCTION("""COMPUTED_VALUE"""),1.0)</f>
        <v>1</v>
      </c>
      <c r="K104" s="51">
        <f>IFERROR(__xludf.DUMMYFUNCTION("""COMPUTED_VALUE"""),7.0)</f>
        <v>7</v>
      </c>
      <c r="L104" s="51">
        <f>IFERROR(__xludf.DUMMYFUNCTION("""COMPUTED_VALUE"""),1.0)</f>
        <v>1</v>
      </c>
      <c r="M104" s="51">
        <f>IFERROR(__xludf.DUMMYFUNCTION("""COMPUTED_VALUE"""),154.0)</f>
        <v>154</v>
      </c>
      <c r="N104" s="52">
        <f>IFERROR(__xludf.DUMMYFUNCTION("""COMPUTED_VALUE"""),11.0)</f>
        <v>11</v>
      </c>
    </row>
    <row r="105">
      <c r="A105" s="1"/>
      <c r="B105" s="48" t="str">
        <f>IFERROR(__xludf.DUMMYFUNCTION("""COMPUTED_VALUE"""),"Kevin Wang")</f>
        <v>Kevin Wang</v>
      </c>
      <c r="C105" s="49">
        <f>IFERROR(__xludf.DUMMYFUNCTION("""COMPUTED_VALUE"""),144.0)</f>
        <v>144</v>
      </c>
      <c r="D105" s="50">
        <f>IFERROR(__xludf.DUMMYFUNCTION("""COMPUTED_VALUE"""),9.0)</f>
        <v>9</v>
      </c>
      <c r="E105" s="49">
        <f>IFERROR(__xludf.DUMMYFUNCTION("""COMPUTED_VALUE"""),1.0)</f>
        <v>1</v>
      </c>
      <c r="F105" s="51">
        <f>IFERROR(__xludf.DUMMYFUNCTION("""COMPUTED_VALUE"""),6.0)</f>
        <v>6</v>
      </c>
      <c r="G105" s="51">
        <f>IFERROR(__xludf.DUMMYFUNCTION("""COMPUTED_VALUE"""),0.0)</f>
        <v>0</v>
      </c>
      <c r="H105" s="51">
        <f>IFERROR(__xludf.DUMMYFUNCTION("""COMPUTED_VALUE"""),0.0)</f>
        <v>0</v>
      </c>
      <c r="I105" s="51">
        <f>IFERROR(__xludf.DUMMYFUNCTION("""COMPUTED_VALUE"""),6.0)</f>
        <v>6</v>
      </c>
      <c r="J105" s="51">
        <f>IFERROR(__xludf.DUMMYFUNCTION("""COMPUTED_VALUE"""),1.0)</f>
        <v>1</v>
      </c>
      <c r="K105" s="51">
        <f>IFERROR(__xludf.DUMMYFUNCTION("""COMPUTED_VALUE"""),7.0)</f>
        <v>7</v>
      </c>
      <c r="L105" s="51">
        <f>IFERROR(__xludf.DUMMYFUNCTION("""COMPUTED_VALUE"""),1.0)</f>
        <v>1</v>
      </c>
      <c r="M105" s="51">
        <f>IFERROR(__xludf.DUMMYFUNCTION("""COMPUTED_VALUE"""),151.0)</f>
        <v>151</v>
      </c>
      <c r="N105" s="52">
        <f>IFERROR(__xludf.DUMMYFUNCTION("""COMPUTED_VALUE"""),10.0)</f>
        <v>10</v>
      </c>
    </row>
    <row r="106">
      <c r="A106" s="1"/>
      <c r="B106" s="53"/>
      <c r="C106" s="59"/>
      <c r="D106" s="59"/>
      <c r="E106" s="59"/>
      <c r="F106" s="53"/>
      <c r="G106" s="53"/>
      <c r="H106" s="53"/>
      <c r="I106" s="53"/>
      <c r="J106" s="53"/>
      <c r="K106" s="53"/>
      <c r="L106" s="53"/>
      <c r="M106" s="53"/>
      <c r="N106" s="53"/>
    </row>
    <row r="107">
      <c r="A107" s="1"/>
      <c r="B107" s="53"/>
      <c r="C107" s="59"/>
      <c r="D107" s="59"/>
      <c r="E107" s="59"/>
      <c r="F107" s="53"/>
      <c r="G107" s="53"/>
      <c r="H107" s="53"/>
      <c r="I107" s="53"/>
      <c r="J107" s="53"/>
      <c r="K107" s="53"/>
      <c r="L107" s="53"/>
      <c r="M107" s="53"/>
      <c r="N107" s="53"/>
    </row>
    <row r="108">
      <c r="A108" s="1"/>
      <c r="B108" s="53"/>
      <c r="C108" s="59"/>
      <c r="D108" s="59"/>
      <c r="E108" s="59"/>
      <c r="F108" s="53"/>
      <c r="G108" s="53"/>
      <c r="H108" s="53"/>
      <c r="I108" s="53"/>
      <c r="J108" s="53"/>
      <c r="K108" s="53"/>
      <c r="L108" s="53"/>
      <c r="M108" s="53"/>
      <c r="N108" s="53"/>
    </row>
    <row r="109">
      <c r="A109" s="1"/>
      <c r="B109" s="53"/>
      <c r="C109" s="59"/>
      <c r="D109" s="59"/>
      <c r="E109" s="59"/>
      <c r="F109" s="53"/>
      <c r="G109" s="53"/>
      <c r="H109" s="53"/>
      <c r="I109" s="53"/>
      <c r="J109" s="53"/>
      <c r="K109" s="53"/>
      <c r="L109" s="53"/>
      <c r="M109" s="53"/>
      <c r="N109" s="53"/>
    </row>
    <row r="110">
      <c r="A110" s="1"/>
      <c r="B110" s="48"/>
      <c r="C110" s="60"/>
      <c r="D110" s="60"/>
      <c r="E110" s="60"/>
      <c r="F110" s="48"/>
      <c r="G110" s="48"/>
      <c r="H110" s="48"/>
      <c r="I110" s="48"/>
      <c r="J110" s="48"/>
      <c r="K110" s="48"/>
      <c r="L110" s="48"/>
      <c r="M110" s="48"/>
      <c r="N110" s="48"/>
    </row>
    <row r="111">
      <c r="A111" s="1"/>
      <c r="B111" s="48"/>
      <c r="C111" s="60"/>
      <c r="D111" s="60"/>
      <c r="E111" s="60"/>
      <c r="F111" s="48"/>
      <c r="G111" s="48"/>
      <c r="H111" s="48"/>
      <c r="I111" s="48"/>
      <c r="J111" s="48"/>
      <c r="K111" s="48"/>
      <c r="L111" s="48"/>
      <c r="M111" s="48"/>
      <c r="N111" s="48"/>
    </row>
    <row r="112">
      <c r="A112" s="1"/>
      <c r="B112" s="48"/>
      <c r="C112" s="60"/>
      <c r="D112" s="60"/>
      <c r="E112" s="60"/>
      <c r="F112" s="48"/>
      <c r="G112" s="48"/>
      <c r="H112" s="48"/>
      <c r="I112" s="48"/>
      <c r="J112" s="48"/>
      <c r="K112" s="48"/>
      <c r="L112" s="48"/>
      <c r="M112" s="48"/>
      <c r="N112" s="48"/>
    </row>
    <row r="113">
      <c r="A113" s="1"/>
      <c r="B113" s="48"/>
      <c r="C113" s="60"/>
      <c r="D113" s="60"/>
      <c r="E113" s="60"/>
      <c r="F113" s="48"/>
      <c r="G113" s="48"/>
      <c r="H113" s="48"/>
      <c r="I113" s="48"/>
      <c r="J113" s="48"/>
      <c r="K113" s="48"/>
      <c r="L113" s="48"/>
      <c r="M113" s="48"/>
      <c r="N113" s="48"/>
    </row>
    <row r="114">
      <c r="A114" s="1"/>
      <c r="B114" s="53"/>
      <c r="C114" s="59"/>
      <c r="D114" s="59"/>
      <c r="E114" s="59"/>
      <c r="F114" s="53"/>
      <c r="G114" s="53"/>
      <c r="H114" s="53"/>
      <c r="I114" s="53"/>
      <c r="J114" s="53"/>
      <c r="K114" s="53"/>
      <c r="L114" s="53"/>
      <c r="M114" s="53"/>
      <c r="N114" s="53"/>
    </row>
    <row r="115">
      <c r="A115" s="1"/>
      <c r="B115" s="53"/>
      <c r="C115" s="59"/>
      <c r="D115" s="59"/>
      <c r="E115" s="59"/>
      <c r="F115" s="53"/>
      <c r="G115" s="53"/>
      <c r="H115" s="53"/>
      <c r="I115" s="53"/>
      <c r="J115" s="53"/>
      <c r="K115" s="53"/>
      <c r="L115" s="53"/>
      <c r="M115" s="53"/>
      <c r="N115" s="53"/>
    </row>
    <row r="116">
      <c r="A116" s="1"/>
      <c r="B116" s="53"/>
      <c r="C116" s="59"/>
      <c r="D116" s="59"/>
      <c r="E116" s="59"/>
      <c r="F116" s="53"/>
      <c r="G116" s="53"/>
      <c r="H116" s="53"/>
      <c r="I116" s="53"/>
      <c r="J116" s="53"/>
      <c r="K116" s="53"/>
      <c r="L116" s="53"/>
      <c r="M116" s="53"/>
      <c r="N116" s="53"/>
    </row>
    <row r="117">
      <c r="A117" s="1"/>
      <c r="B117" s="53"/>
      <c r="C117" s="59"/>
      <c r="D117" s="59"/>
      <c r="E117" s="59"/>
      <c r="F117" s="53"/>
      <c r="G117" s="53"/>
      <c r="H117" s="53"/>
      <c r="I117" s="53"/>
      <c r="J117" s="53"/>
      <c r="K117" s="53"/>
      <c r="L117" s="53"/>
      <c r="M117" s="53"/>
      <c r="N117" s="53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B129" s="20" t="s">
        <v>25</v>
      </c>
      <c r="C129" s="21" t="s">
        <v>8</v>
      </c>
      <c r="D129" s="21" t="s">
        <v>14</v>
      </c>
      <c r="E129" s="21" t="s">
        <v>26</v>
      </c>
      <c r="F129" s="21" t="s">
        <v>27</v>
      </c>
      <c r="G129" s="21" t="s">
        <v>28</v>
      </c>
      <c r="H129" s="21" t="s">
        <v>17</v>
      </c>
      <c r="I129" s="21" t="s">
        <v>18</v>
      </c>
      <c r="J129" s="21" t="s">
        <v>19</v>
      </c>
      <c r="K129" s="21" t="s">
        <v>8</v>
      </c>
      <c r="L129" s="21" t="s">
        <v>14</v>
      </c>
      <c r="M129" s="22" t="s">
        <v>8</v>
      </c>
      <c r="N129" s="22" t="s">
        <v>14</v>
      </c>
    </row>
    <row r="130">
      <c r="A130" s="1"/>
      <c r="B130" s="48" t="str">
        <f>IFERROR(__xludf.DUMMYFUNCTION("QUERY(B5:N63, ""Select B, C, D, E, F, G, H, I, J, K, L, M, N   where F = 0"")"),"Adrian Tay")</f>
        <v>Adrian Tay</v>
      </c>
      <c r="C130" s="49">
        <f>IFERROR(__xludf.DUMMYFUNCTION("""COMPUTED_VALUE"""),200.0)</f>
        <v>200</v>
      </c>
      <c r="D130" s="50">
        <f>IFERROR(__xludf.DUMMYFUNCTION("""COMPUTED_VALUE"""),19.0)</f>
        <v>19</v>
      </c>
      <c r="E130" s="49">
        <f>IFERROR(__xludf.DUMMYFUNCTION("""COMPUTED_VALUE"""),3.0)</f>
        <v>3</v>
      </c>
      <c r="F130" s="51">
        <f>IFERROR(__xludf.DUMMYFUNCTION("""COMPUTED_VALUE"""),0.0)</f>
        <v>0</v>
      </c>
      <c r="G130" s="51">
        <f>IFERROR(__xludf.DUMMYFUNCTION("""COMPUTED_VALUE"""),9.0)</f>
        <v>9</v>
      </c>
      <c r="H130" s="51">
        <f>IFERROR(__xludf.DUMMYFUNCTION("""COMPUTED_VALUE"""),0.0)</f>
        <v>0</v>
      </c>
      <c r="I130" s="51">
        <f>IFERROR(__xludf.DUMMYFUNCTION("""COMPUTED_VALUE"""),0.0)</f>
        <v>0</v>
      </c>
      <c r="J130" s="51">
        <f>IFERROR(__xludf.DUMMYFUNCTION("""COMPUTED_VALUE"""),0.0)</f>
        <v>0</v>
      </c>
      <c r="K130" s="51">
        <f>IFERROR(__xludf.DUMMYFUNCTION("""COMPUTED_VALUE"""),9.0)</f>
        <v>9</v>
      </c>
      <c r="L130" s="51">
        <f>IFERROR(__xludf.DUMMYFUNCTION("""COMPUTED_VALUE"""),0.0)</f>
        <v>0</v>
      </c>
      <c r="M130" s="51">
        <f>IFERROR(__xludf.DUMMYFUNCTION("""COMPUTED_VALUE"""),209.0)</f>
        <v>209</v>
      </c>
      <c r="N130" s="52">
        <f>IFERROR(__xludf.DUMMYFUNCTION("""COMPUTED_VALUE"""),19.0)</f>
        <v>19</v>
      </c>
    </row>
    <row r="131">
      <c r="A131" s="1"/>
      <c r="B131" s="48" t="str">
        <f>IFERROR(__xludf.DUMMYFUNCTION("""COMPUTED_VALUE"""),"Pulkit Mathur")</f>
        <v>Pulkit Mathur</v>
      </c>
      <c r="C131" s="49">
        <f>IFERROR(__xludf.DUMMYFUNCTION("""COMPUTED_VALUE"""),196.0)</f>
        <v>196</v>
      </c>
      <c r="D131" s="50">
        <f>IFERROR(__xludf.DUMMYFUNCTION("""COMPUTED_VALUE"""),19.0)</f>
        <v>19</v>
      </c>
      <c r="E131" s="49">
        <f>IFERROR(__xludf.DUMMYFUNCTION("""COMPUTED_VALUE"""),3.0)</f>
        <v>3</v>
      </c>
      <c r="F131" s="51">
        <f>IFERROR(__xludf.DUMMYFUNCTION("""COMPUTED_VALUE"""),0.0)</f>
        <v>0</v>
      </c>
      <c r="G131" s="51">
        <f>IFERROR(__xludf.DUMMYFUNCTION("""COMPUTED_VALUE"""),9.0)</f>
        <v>9</v>
      </c>
      <c r="H131" s="51">
        <f>IFERROR(__xludf.DUMMYFUNCTION("""COMPUTED_VALUE"""),0.0)</f>
        <v>0</v>
      </c>
      <c r="I131" s="51">
        <f>IFERROR(__xludf.DUMMYFUNCTION("""COMPUTED_VALUE"""),0.0)</f>
        <v>0</v>
      </c>
      <c r="J131" s="51">
        <f>IFERROR(__xludf.DUMMYFUNCTION("""COMPUTED_VALUE"""),0.0)</f>
        <v>0</v>
      </c>
      <c r="K131" s="51">
        <f>IFERROR(__xludf.DUMMYFUNCTION("""COMPUTED_VALUE"""),9.0)</f>
        <v>9</v>
      </c>
      <c r="L131" s="51">
        <f>IFERROR(__xludf.DUMMYFUNCTION("""COMPUTED_VALUE"""),0.0)</f>
        <v>0</v>
      </c>
      <c r="M131" s="51">
        <f>IFERROR(__xludf.DUMMYFUNCTION("""COMPUTED_VALUE"""),205.0)</f>
        <v>205</v>
      </c>
      <c r="N131" s="52">
        <f>IFERROR(__xludf.DUMMYFUNCTION("""COMPUTED_VALUE"""),19.0)</f>
        <v>19</v>
      </c>
    </row>
    <row r="132">
      <c r="A132" s="1"/>
      <c r="B132" s="48" t="str">
        <f>IFERROR(__xludf.DUMMYFUNCTION("""COMPUTED_VALUE"""),"Anish Kumar")</f>
        <v>Anish Kumar</v>
      </c>
      <c r="C132" s="49">
        <f>IFERROR(__xludf.DUMMYFUNCTION("""COMPUTED_VALUE"""),191.0)</f>
        <v>191</v>
      </c>
      <c r="D132" s="50">
        <f>IFERROR(__xludf.DUMMYFUNCTION("""COMPUTED_VALUE"""),17.0)</f>
        <v>17</v>
      </c>
      <c r="E132" s="49">
        <f>IFERROR(__xludf.DUMMYFUNCTION("""COMPUTED_VALUE"""),3.0)</f>
        <v>3</v>
      </c>
      <c r="F132" s="51">
        <f>IFERROR(__xludf.DUMMYFUNCTION("""COMPUTED_VALUE"""),0.0)</f>
        <v>0</v>
      </c>
      <c r="G132" s="51">
        <f>IFERROR(__xludf.DUMMYFUNCTION("""COMPUTED_VALUE"""),9.0)</f>
        <v>9</v>
      </c>
      <c r="H132" s="51">
        <f>IFERROR(__xludf.DUMMYFUNCTION("""COMPUTED_VALUE"""),0.0)</f>
        <v>0</v>
      </c>
      <c r="I132" s="51">
        <f>IFERROR(__xludf.DUMMYFUNCTION("""COMPUTED_VALUE"""),0.0)</f>
        <v>0</v>
      </c>
      <c r="J132" s="51">
        <f>IFERROR(__xludf.DUMMYFUNCTION("""COMPUTED_VALUE"""),0.0)</f>
        <v>0</v>
      </c>
      <c r="K132" s="51">
        <f>IFERROR(__xludf.DUMMYFUNCTION("""COMPUTED_VALUE"""),9.0)</f>
        <v>9</v>
      </c>
      <c r="L132" s="51">
        <f>IFERROR(__xludf.DUMMYFUNCTION("""COMPUTED_VALUE"""),0.0)</f>
        <v>0</v>
      </c>
      <c r="M132" s="51">
        <f>IFERROR(__xludf.DUMMYFUNCTION("""COMPUTED_VALUE"""),200.0)</f>
        <v>200</v>
      </c>
      <c r="N132" s="52">
        <f>IFERROR(__xludf.DUMMYFUNCTION("""COMPUTED_VALUE"""),17.0)</f>
        <v>17</v>
      </c>
    </row>
    <row r="133">
      <c r="A133" s="1"/>
      <c r="B133" s="48" t="str">
        <f>IFERROR(__xludf.DUMMYFUNCTION("""COMPUTED_VALUE"""),"Eric Pan")</f>
        <v>Eric Pan</v>
      </c>
      <c r="C133" s="49">
        <f>IFERROR(__xludf.DUMMYFUNCTION("""COMPUTED_VALUE"""),188.0)</f>
        <v>188</v>
      </c>
      <c r="D133" s="50">
        <f>IFERROR(__xludf.DUMMYFUNCTION("""COMPUTED_VALUE"""),16.0)</f>
        <v>16</v>
      </c>
      <c r="E133" s="49">
        <f>IFERROR(__xludf.DUMMYFUNCTION("""COMPUTED_VALUE"""),3.0)</f>
        <v>3</v>
      </c>
      <c r="F133" s="51">
        <f>IFERROR(__xludf.DUMMYFUNCTION("""COMPUTED_VALUE"""),0.0)</f>
        <v>0</v>
      </c>
      <c r="G133" s="51">
        <f>IFERROR(__xludf.DUMMYFUNCTION("""COMPUTED_VALUE"""),9.0)</f>
        <v>9</v>
      </c>
      <c r="H133" s="51">
        <f>IFERROR(__xludf.DUMMYFUNCTION("""COMPUTED_VALUE"""),0.0)</f>
        <v>0</v>
      </c>
      <c r="I133" s="51">
        <f>IFERROR(__xludf.DUMMYFUNCTION("""COMPUTED_VALUE"""),0.0)</f>
        <v>0</v>
      </c>
      <c r="J133" s="51">
        <f>IFERROR(__xludf.DUMMYFUNCTION("""COMPUTED_VALUE"""),0.0)</f>
        <v>0</v>
      </c>
      <c r="K133" s="51">
        <f>IFERROR(__xludf.DUMMYFUNCTION("""COMPUTED_VALUE"""),9.0)</f>
        <v>9</v>
      </c>
      <c r="L133" s="51">
        <f>IFERROR(__xludf.DUMMYFUNCTION("""COMPUTED_VALUE"""),0.0)</f>
        <v>0</v>
      </c>
      <c r="M133" s="51">
        <f>IFERROR(__xludf.DUMMYFUNCTION("""COMPUTED_VALUE"""),197.0)</f>
        <v>197</v>
      </c>
      <c r="N133" s="52">
        <f>IFERROR(__xludf.DUMMYFUNCTION("""COMPUTED_VALUE"""),16.0)</f>
        <v>16</v>
      </c>
    </row>
    <row r="134">
      <c r="A134" s="1"/>
      <c r="B134" s="48" t="str">
        <f>IFERROR(__xludf.DUMMYFUNCTION("""COMPUTED_VALUE"""),"Matthew Huang")</f>
        <v>Matthew Huang</v>
      </c>
      <c r="C134" s="49">
        <f>IFERROR(__xludf.DUMMYFUNCTION("""COMPUTED_VALUE"""),188.0)</f>
        <v>188</v>
      </c>
      <c r="D134" s="50">
        <f>IFERROR(__xludf.DUMMYFUNCTION("""COMPUTED_VALUE"""),15.0)</f>
        <v>15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IFERROR(__xludf.DUMMYFUNCTION("""COMPUTED_VALUE"""),197.0)</f>
        <v>197</v>
      </c>
      <c r="N134" s="52">
        <f>IFERROR(__xludf.DUMMYFUNCTION("""COMPUTED_VALUE"""),15.0)</f>
        <v>15</v>
      </c>
    </row>
    <row r="135">
      <c r="A135" s="1"/>
      <c r="B135" s="48" t="str">
        <f>IFERROR(__xludf.DUMMYFUNCTION("""COMPUTED_VALUE"""),"Robert Chang")</f>
        <v>Robert Chang</v>
      </c>
      <c r="C135" s="49">
        <f>IFERROR(__xludf.DUMMYFUNCTION("""COMPUTED_VALUE"""),186.0)</f>
        <v>186</v>
      </c>
      <c r="D135" s="50">
        <f>IFERROR(__xludf.DUMMYFUNCTION("""COMPUTED_VALUE"""),15.0)</f>
        <v>15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IFERROR(__xludf.DUMMYFUNCTION("""COMPUTED_VALUE"""),195.0)</f>
        <v>195</v>
      </c>
      <c r="N135" s="52">
        <f>IFERROR(__xludf.DUMMYFUNCTION("""COMPUTED_VALUE"""),15.0)</f>
        <v>15</v>
      </c>
    </row>
    <row r="136">
      <c r="A136" s="1"/>
      <c r="B136" s="48" t="str">
        <f>IFERROR(__xludf.DUMMYFUNCTION("""COMPUTED_VALUE"""),"Ted Shen")</f>
        <v>Ted Shen</v>
      </c>
      <c r="C136" s="49">
        <f>IFERROR(__xludf.DUMMYFUNCTION("""COMPUTED_VALUE"""),185.0)</f>
        <v>185</v>
      </c>
      <c r="D136" s="50">
        <f>IFERROR(__xludf.DUMMYFUNCTION("""COMPUTED_VALUE"""),16.0)</f>
        <v>16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IFERROR(__xludf.DUMMYFUNCTION("""COMPUTED_VALUE"""),194.0)</f>
        <v>194</v>
      </c>
      <c r="N136" s="52">
        <f>IFERROR(__xludf.DUMMYFUNCTION("""COMPUTED_VALUE"""),16.0)</f>
        <v>16</v>
      </c>
    </row>
    <row r="137">
      <c r="A137" s="1"/>
      <c r="B137" s="48" t="str">
        <f>IFERROR(__xludf.DUMMYFUNCTION("""COMPUTED_VALUE"""),"Chinna Ponnaganti")</f>
        <v>Chinna Ponnaganti</v>
      </c>
      <c r="C137" s="49">
        <f>IFERROR(__xludf.DUMMYFUNCTION("""COMPUTED_VALUE"""),183.0)</f>
        <v>183</v>
      </c>
      <c r="D137" s="50">
        <f>IFERROR(__xludf.DUMMYFUNCTION("""COMPUTED_VALUE"""),20.0)</f>
        <v>20</v>
      </c>
      <c r="E137" s="49">
        <f>IFERROR(__xludf.DUMMYFUNCTION("""COMPUTED_VALUE"""),5.0)</f>
        <v>5</v>
      </c>
      <c r="F137" s="51">
        <f>IFERROR(__xludf.DUMMYFUNCTION("""COMPUTED_VALUE"""),0.0)</f>
        <v>0</v>
      </c>
      <c r="G137" s="51">
        <f>IFERROR(__xludf.DUMMYFUNCTION("""COMPUTED_VALUE"""),13.0)</f>
        <v>13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IFERROR(__xludf.DUMMYFUNCTION("""COMPUTED_VALUE"""),13.0)</f>
        <v>13</v>
      </c>
      <c r="L137" s="51">
        <f>IFERROR(__xludf.DUMMYFUNCTION("""COMPUTED_VALUE"""),0.0)</f>
        <v>0</v>
      </c>
      <c r="M137" s="51">
        <f>IFERROR(__xludf.DUMMYFUNCTION("""COMPUTED_VALUE"""),196.0)</f>
        <v>196</v>
      </c>
      <c r="N137" s="52">
        <f>IFERROR(__xludf.DUMMYFUNCTION("""COMPUTED_VALUE"""),20.0)</f>
        <v>20</v>
      </c>
    </row>
    <row r="138">
      <c r="A138" s="1"/>
      <c r="B138" s="48" t="str">
        <f>IFERROR(__xludf.DUMMYFUNCTION("""COMPUTED_VALUE"""),"Erik Hoeckmann")</f>
        <v>Erik Hoeckmann</v>
      </c>
      <c r="C138" s="49">
        <f>IFERROR(__xludf.DUMMYFUNCTION("""COMPUTED_VALUE"""),183.0)</f>
        <v>183</v>
      </c>
      <c r="D138" s="50">
        <f>IFERROR(__xludf.DUMMYFUNCTION("""COMPUTED_VALUE"""),13.0)</f>
        <v>13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IFERROR(__xludf.DUMMYFUNCTION("""COMPUTED_VALUE"""),192.0)</f>
        <v>192</v>
      </c>
      <c r="N138" s="52">
        <f>IFERROR(__xludf.DUMMYFUNCTION("""COMPUTED_VALUE"""),13.0)</f>
        <v>13</v>
      </c>
    </row>
    <row r="139">
      <c r="A139" s="1"/>
      <c r="B139" s="48" t="str">
        <f>IFERROR(__xludf.DUMMYFUNCTION("""COMPUTED_VALUE"""),"Sai Dilip Ponnaganti")</f>
        <v>Sai Dilip Ponnaganti</v>
      </c>
      <c r="C139" s="49">
        <f>IFERROR(__xludf.DUMMYFUNCTION("""COMPUTED_VALUE"""),181.0)</f>
        <v>181</v>
      </c>
      <c r="D139" s="50">
        <f>IFERROR(__xludf.DUMMYFUNCTION("""COMPUTED_VALUE"""),13.0)</f>
        <v>13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IFERROR(__xludf.DUMMYFUNCTION("""COMPUTED_VALUE"""),190.0)</f>
        <v>190</v>
      </c>
      <c r="N139" s="52">
        <f>IFERROR(__xludf.DUMMYFUNCTION("""COMPUTED_VALUE"""),13.0)</f>
        <v>13</v>
      </c>
    </row>
    <row r="140">
      <c r="A140" s="1"/>
      <c r="B140" s="48" t="str">
        <f>IFERROR(__xludf.DUMMYFUNCTION("""COMPUTED_VALUE"""),"Jonathan Phan")</f>
        <v>Jonathan Phan</v>
      </c>
      <c r="C140" s="49">
        <f>IFERROR(__xludf.DUMMYFUNCTION("""COMPUTED_VALUE"""),177.0)</f>
        <v>177</v>
      </c>
      <c r="D140" s="50">
        <f>IFERROR(__xludf.DUMMYFUNCTION("""COMPUTED_VALUE"""),15.0)</f>
        <v>15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IFERROR(__xludf.DUMMYFUNCTION("""COMPUTED_VALUE"""),186.0)</f>
        <v>186</v>
      </c>
      <c r="N140" s="52">
        <f>IFERROR(__xludf.DUMMYFUNCTION("""COMPUTED_VALUE"""),15.0)</f>
        <v>15</v>
      </c>
    </row>
    <row r="141">
      <c r="A141" s="1"/>
      <c r="B141" s="48" t="str">
        <f>IFERROR(__xludf.DUMMYFUNCTION("""COMPUTED_VALUE"""),"Tony Wong")</f>
        <v>Tony Wong</v>
      </c>
      <c r="C141" s="49">
        <f>IFERROR(__xludf.DUMMYFUNCTION("""COMPUTED_VALUE"""),175.0)</f>
        <v>175</v>
      </c>
      <c r="D141" s="50">
        <f>IFERROR(__xludf.DUMMYFUNCTION("""COMPUTED_VALUE"""),12.0)</f>
        <v>12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IFERROR(__xludf.DUMMYFUNCTION("""COMPUTED_VALUE"""),184.0)</f>
        <v>184</v>
      </c>
      <c r="N141" s="52">
        <f>IFERROR(__xludf.DUMMYFUNCTION("""COMPUTED_VALUE"""),12.0)</f>
        <v>12</v>
      </c>
    </row>
    <row r="142">
      <c r="A142" s="1"/>
      <c r="B142" s="48" t="str">
        <f>IFERROR(__xludf.DUMMYFUNCTION("""COMPUTED_VALUE"""),"Trinath Goteti")</f>
        <v>Trinath Goteti</v>
      </c>
      <c r="C142" s="49">
        <f>IFERROR(__xludf.DUMMYFUNCTION("""COMPUTED_VALUE"""),174.0)</f>
        <v>174</v>
      </c>
      <c r="D142" s="50">
        <f>IFERROR(__xludf.DUMMYFUNCTION("""COMPUTED_VALUE"""),11.0)</f>
        <v>11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IFERROR(__xludf.DUMMYFUNCTION("""COMPUTED_VALUE"""),183.0)</f>
        <v>183</v>
      </c>
      <c r="N142" s="52">
        <f>IFERROR(__xludf.DUMMYFUNCTION("""COMPUTED_VALUE"""),11.0)</f>
        <v>11</v>
      </c>
    </row>
    <row r="143">
      <c r="A143" s="1"/>
      <c r="B143" s="48" t="str">
        <f>IFERROR(__xludf.DUMMYFUNCTION("""COMPUTED_VALUE"""),"Derek Fu")</f>
        <v>Derek Fu</v>
      </c>
      <c r="C143" s="49">
        <f>IFERROR(__xludf.DUMMYFUNCTION("""COMPUTED_VALUE"""),168.0)</f>
        <v>168</v>
      </c>
      <c r="D143" s="50">
        <f>IFERROR(__xludf.DUMMYFUNCTION("""COMPUTED_VALUE"""),10.0)</f>
        <v>10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IFERROR(__xludf.DUMMYFUNCTION("""COMPUTED_VALUE"""),177.0)</f>
        <v>177</v>
      </c>
      <c r="N143" s="52">
        <f>IFERROR(__xludf.DUMMYFUNCTION("""COMPUTED_VALUE"""),10.0)</f>
        <v>10</v>
      </c>
    </row>
    <row r="144">
      <c r="A144" s="1"/>
      <c r="B144" s="48" t="str">
        <f>IFERROR(__xludf.DUMMYFUNCTION("""COMPUTED_VALUE"""),"Sandy Weyant")</f>
        <v>Sandy Weyant</v>
      </c>
      <c r="C144" s="49">
        <f>IFERROR(__xludf.DUMMYFUNCTION("""COMPUTED_VALUE"""),168.0)</f>
        <v>168</v>
      </c>
      <c r="D144" s="50">
        <f>IFERROR(__xludf.DUMMYFUNCTION("""COMPUTED_VALUE"""),9.0)</f>
        <v>9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IFERROR(__xludf.DUMMYFUNCTION("""COMPUTED_VALUE"""),177.0)</f>
        <v>177</v>
      </c>
      <c r="N144" s="52">
        <f>IFERROR(__xludf.DUMMYFUNCTION("""COMPUTED_VALUE"""),9.0)</f>
        <v>9</v>
      </c>
    </row>
    <row r="145">
      <c r="A145" s="1"/>
      <c r="B145" s="48" t="str">
        <f>IFERROR(__xludf.DUMMYFUNCTION("""COMPUTED_VALUE"""),"Paul Sanchez")</f>
        <v>Paul Sanchez</v>
      </c>
      <c r="C145" s="49">
        <f>IFERROR(__xludf.DUMMYFUNCTION("""COMPUTED_VALUE"""),162.0)</f>
        <v>162</v>
      </c>
      <c r="D145" s="50">
        <f>IFERROR(__xludf.DUMMYFUNCTION("""COMPUTED_VALUE"""),9.0)</f>
        <v>9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IFERROR(__xludf.DUMMYFUNCTION("""COMPUTED_VALUE"""),171.0)</f>
        <v>171</v>
      </c>
      <c r="N145" s="52">
        <f>IFERROR(__xludf.DUMMYFUNCTION("""COMPUTED_VALUE"""),9.0)</f>
        <v>9</v>
      </c>
    </row>
    <row r="146">
      <c r="A146" s="1"/>
      <c r="B146" s="48" t="str">
        <f>IFERROR(__xludf.DUMMYFUNCTION("""COMPUTED_VALUE"""),"Troy Wong")</f>
        <v>Troy Wong</v>
      </c>
      <c r="C146" s="49">
        <f>IFERROR(__xludf.DUMMYFUNCTION("""COMPUTED_VALUE"""),161.0)</f>
        <v>161</v>
      </c>
      <c r="D146" s="50">
        <f>IFERROR(__xludf.DUMMYFUNCTION("""COMPUTED_VALUE"""),8.0)</f>
        <v>8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IFERROR(__xludf.DUMMYFUNCTION("""COMPUTED_VALUE"""),170.0)</f>
        <v>170</v>
      </c>
      <c r="N146" s="52">
        <f>IFERROR(__xludf.DUMMYFUNCTION("""COMPUTED_VALUE"""),8.0)</f>
        <v>8</v>
      </c>
    </row>
    <row r="147">
      <c r="A147" s="1"/>
      <c r="B147" s="48" t="str">
        <f>IFERROR(__xludf.DUMMYFUNCTION("""COMPUTED_VALUE"""),"Sanjaye Elayattu")</f>
        <v>Sanjaye Elayattu</v>
      </c>
      <c r="C147" s="49">
        <f>IFERROR(__xludf.DUMMYFUNCTION("""COMPUTED_VALUE"""),161.0)</f>
        <v>161</v>
      </c>
      <c r="D147" s="50">
        <f>IFERROR(__xludf.DUMMYFUNCTION("""COMPUTED_VALUE"""),6.0)</f>
        <v>6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IFERROR(__xludf.DUMMYFUNCTION("""COMPUTED_VALUE"""),170.0)</f>
        <v>170</v>
      </c>
      <c r="N147" s="52">
        <f>IFERROR(__xludf.DUMMYFUNCTION("""COMPUTED_VALUE"""),6.0)</f>
        <v>6</v>
      </c>
    </row>
    <row r="148">
      <c r="A148" s="1"/>
      <c r="B148" s="48" t="str">
        <f>IFERROR(__xludf.DUMMYFUNCTION("""COMPUTED_VALUE"""),"James Cole III")</f>
        <v>James Cole III</v>
      </c>
      <c r="C148" s="49">
        <f>IFERROR(__xludf.DUMMYFUNCTION("""COMPUTED_VALUE"""),157.0)</f>
        <v>157</v>
      </c>
      <c r="D148" s="50">
        <f>IFERROR(__xludf.DUMMYFUNCTION("""COMPUTED_VALUE"""),8.0)</f>
        <v>8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IFERROR(__xludf.DUMMYFUNCTION("""COMPUTED_VALUE"""),166.0)</f>
        <v>166</v>
      </c>
      <c r="N148" s="52">
        <f>IFERROR(__xludf.DUMMYFUNCTION("""COMPUTED_VALUE"""),8.0)</f>
        <v>8</v>
      </c>
    </row>
    <row r="149">
      <c r="A149" s="1"/>
      <c r="B149" s="48" t="str">
        <f>IFERROR(__xludf.DUMMYFUNCTION("""COMPUTED_VALUE"""),"Vamsi Lolla ")</f>
        <v>Vamsi Lolla </v>
      </c>
      <c r="C149" s="49">
        <f>IFERROR(__xludf.DUMMYFUNCTION("""COMPUTED_VALUE"""),155.0)</f>
        <v>155</v>
      </c>
      <c r="D149" s="50">
        <f>IFERROR(__xludf.DUMMYFUNCTION("""COMPUTED_VALUE"""),8.0)</f>
        <v>8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IFERROR(__xludf.DUMMYFUNCTION("""COMPUTED_VALUE"""),164.0)</f>
        <v>164</v>
      </c>
      <c r="N149" s="52">
        <f>IFERROR(__xludf.DUMMYFUNCTION("""COMPUTED_VALUE"""),8.0)</f>
        <v>8</v>
      </c>
    </row>
    <row r="150">
      <c r="A150" s="1"/>
      <c r="B150" s="48" t="str">
        <f>IFERROR(__xludf.DUMMYFUNCTION("""COMPUTED_VALUE"""),"Vinot Kumar Nagappan")</f>
        <v>Vinot Kumar Nagappan</v>
      </c>
      <c r="C150" s="49">
        <f>IFERROR(__xludf.DUMMYFUNCTION("""COMPUTED_VALUE"""),155.0)</f>
        <v>155</v>
      </c>
      <c r="D150" s="50">
        <f>IFERROR(__xludf.DUMMYFUNCTION("""COMPUTED_VALUE"""),8.0)</f>
        <v>8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IFERROR(__xludf.DUMMYFUNCTION("""COMPUTED_VALUE"""),164.0)</f>
        <v>164</v>
      </c>
      <c r="N150" s="52">
        <f>IFERROR(__xludf.DUMMYFUNCTION("""COMPUTED_VALUE"""),8.0)</f>
        <v>8</v>
      </c>
    </row>
    <row r="151">
      <c r="A151" s="1"/>
      <c r="B151" s="48" t="str">
        <f>IFERROR(__xludf.DUMMYFUNCTION("""COMPUTED_VALUE"""),"Susanta Mishra")</f>
        <v>Susanta Mishra</v>
      </c>
      <c r="C151" s="49">
        <f>IFERROR(__xludf.DUMMYFUNCTION("""COMPUTED_VALUE"""),155.0)</f>
        <v>155</v>
      </c>
      <c r="D151" s="50">
        <f>IFERROR(__xludf.DUMMYFUNCTION("""COMPUTED_VALUE"""),8.0)</f>
        <v>8</v>
      </c>
      <c r="E151" s="49">
        <f>IFERROR(__xludf.DUMMYFUNCTION("""COMPUTED_VALUE"""),5.0)</f>
        <v>5</v>
      </c>
      <c r="F151" s="51">
        <f>IFERROR(__xludf.DUMMYFUNCTION("""COMPUTED_VALUE"""),0.0)</f>
        <v>0</v>
      </c>
      <c r="G151" s="51">
        <f>IFERROR(__xludf.DUMMYFUNCTION("""COMPUTED_VALUE"""),13.0)</f>
        <v>13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IFERROR(__xludf.DUMMYFUNCTION("""COMPUTED_VALUE"""),13.0)</f>
        <v>13</v>
      </c>
      <c r="L151" s="51">
        <f>IFERROR(__xludf.DUMMYFUNCTION("""COMPUTED_VALUE"""),0.0)</f>
        <v>0</v>
      </c>
      <c r="M151" s="51">
        <f>IFERROR(__xludf.DUMMYFUNCTION("""COMPUTED_VALUE"""),168.0)</f>
        <v>168</v>
      </c>
      <c r="N151" s="52">
        <f>IFERROR(__xludf.DUMMYFUNCTION("""COMPUTED_VALUE"""),8.0)</f>
        <v>8</v>
      </c>
    </row>
    <row r="152">
      <c r="A152" s="1"/>
      <c r="B152" s="48" t="str">
        <f>IFERROR(__xludf.DUMMYFUNCTION("""COMPUTED_VALUE"""),"Christopher Li")</f>
        <v>Christopher Li</v>
      </c>
      <c r="C152" s="49">
        <f>IFERROR(__xludf.DUMMYFUNCTION("""COMPUTED_VALUE"""),153.0)</f>
        <v>153</v>
      </c>
      <c r="D152" s="50">
        <f>IFERROR(__xludf.DUMMYFUNCTION("""COMPUTED_VALUE"""),5.0)</f>
        <v>5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IFERROR(__xludf.DUMMYFUNCTION("""COMPUTED_VALUE"""),162.0)</f>
        <v>162</v>
      </c>
      <c r="N152" s="52">
        <f>IFERROR(__xludf.DUMMYFUNCTION("""COMPUTED_VALUE"""),5.0)</f>
        <v>5</v>
      </c>
    </row>
    <row r="153">
      <c r="A153" s="1"/>
      <c r="B153" s="48" t="str">
        <f>IFERROR(__xludf.DUMMYFUNCTION("""COMPUTED_VALUE"""),"Jimmy Awolesi")</f>
        <v>Jimmy Awolesi</v>
      </c>
      <c r="C153" s="49">
        <f>IFERROR(__xludf.DUMMYFUNCTION("""COMPUTED_VALUE"""),150.0)</f>
        <v>150</v>
      </c>
      <c r="D153" s="50">
        <f>IFERROR(__xludf.DUMMYFUNCTION("""COMPUTED_VALUE"""),11.0)</f>
        <v>11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IFERROR(__xludf.DUMMYFUNCTION("""COMPUTED_VALUE"""),159.0)</f>
        <v>159</v>
      </c>
      <c r="N153" s="52">
        <f>IFERROR(__xludf.DUMMYFUNCTION("""COMPUTED_VALUE"""),11.0)</f>
        <v>11</v>
      </c>
    </row>
    <row r="154">
      <c r="A154" s="1"/>
      <c r="B154" s="48" t="str">
        <f>IFERROR(__xludf.DUMMYFUNCTION("""COMPUTED_VALUE"""),"Balaji Alahari")</f>
        <v>Balaji Alahari</v>
      </c>
      <c r="C154" s="49">
        <f>IFERROR(__xludf.DUMMYFUNCTION("""COMPUTED_VALUE"""),150.0)</f>
        <v>150</v>
      </c>
      <c r="D154" s="50">
        <f>IFERROR(__xludf.DUMMYFUNCTION("""COMPUTED_VALUE"""),3.0)</f>
        <v>3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IFERROR(__xludf.DUMMYFUNCTION("""COMPUTED_VALUE"""),159.0)</f>
        <v>159</v>
      </c>
      <c r="N154" s="52">
        <f>IFERROR(__xludf.DUMMYFUNCTION("""COMPUTED_VALUE"""),3.0)</f>
        <v>3</v>
      </c>
    </row>
    <row r="155">
      <c r="A155" s="1"/>
      <c r="B155" s="48" t="str">
        <f>IFERROR(__xludf.DUMMYFUNCTION("""COMPUTED_VALUE"""),"Pan Lee")</f>
        <v>Pan Lee</v>
      </c>
      <c r="C155" s="49">
        <f>IFERROR(__xludf.DUMMYFUNCTION("""COMPUTED_VALUE"""),149.0)</f>
        <v>149</v>
      </c>
      <c r="D155" s="50">
        <f>IFERROR(__xludf.DUMMYFUNCTION("""COMPUTED_VALUE"""),5.0)</f>
        <v>5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IFERROR(__xludf.DUMMYFUNCTION("""COMPUTED_VALUE"""),158.0)</f>
        <v>158</v>
      </c>
      <c r="N155" s="52">
        <f>IFERROR(__xludf.DUMMYFUNCTION("""COMPUTED_VALUE"""),5.0)</f>
        <v>5</v>
      </c>
    </row>
    <row r="156">
      <c r="A156" s="1"/>
      <c r="B156" s="48" t="str">
        <f>IFERROR(__xludf.DUMMYFUNCTION("""COMPUTED_VALUE"""),"Lauren Chang")</f>
        <v>Lauren Chang</v>
      </c>
      <c r="C156" s="49">
        <f>IFERROR(__xludf.DUMMYFUNCTION("""COMPUTED_VALUE"""),146.0)</f>
        <v>146</v>
      </c>
      <c r="D156" s="50">
        <f>IFERROR(__xludf.DUMMYFUNCTION("""COMPUTED_VALUE"""),3.0)</f>
        <v>3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IFERROR(__xludf.DUMMYFUNCTION("""COMPUTED_VALUE"""),155.0)</f>
        <v>155</v>
      </c>
      <c r="N156" s="52">
        <f>IFERROR(__xludf.DUMMYFUNCTION("""COMPUTED_VALUE"""),3.0)</f>
        <v>3</v>
      </c>
    </row>
    <row r="157">
      <c r="A157" s="1"/>
      <c r="B157" s="48" t="str">
        <f>IFERROR(__xludf.DUMMYFUNCTION("""COMPUTED_VALUE"""),"Vilas Janardhanan")</f>
        <v>Vilas Janardhanan</v>
      </c>
      <c r="C157" s="49">
        <f>IFERROR(__xludf.DUMMYFUNCTION("""COMPUTED_VALUE"""),144.0)</f>
        <v>144</v>
      </c>
      <c r="D157" s="50">
        <f>IFERROR(__xludf.DUMMYFUNCTION("""COMPUTED_VALUE"""),7.0)</f>
        <v>7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IFERROR(__xludf.DUMMYFUNCTION("""COMPUTED_VALUE"""),153.0)</f>
        <v>153</v>
      </c>
      <c r="N157" s="52">
        <f>IFERROR(__xludf.DUMMYFUNCTION("""COMPUTED_VALUE"""),7.0)</f>
        <v>7</v>
      </c>
    </row>
    <row r="158">
      <c r="A158" s="1"/>
      <c r="B158" s="48" t="str">
        <f>IFERROR(__xludf.DUMMYFUNCTION("""COMPUTED_VALUE"""),"Piyorasa Li")</f>
        <v>Piyorasa Li</v>
      </c>
      <c r="C158" s="49">
        <f>IFERROR(__xludf.DUMMYFUNCTION("""COMPUTED_VALUE"""),144.0)</f>
        <v>144</v>
      </c>
      <c r="D158" s="50">
        <f>IFERROR(__xludf.DUMMYFUNCTION("""COMPUTED_VALUE"""),3.0)</f>
        <v>3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IFERROR(__xludf.DUMMYFUNCTION("""COMPUTED_VALUE"""),153.0)</f>
        <v>153</v>
      </c>
      <c r="N158" s="52">
        <f>IFERROR(__xludf.DUMMYFUNCTION("""COMPUTED_VALUE"""),3.0)</f>
        <v>3</v>
      </c>
    </row>
    <row r="159">
      <c r="A159" s="1"/>
      <c r="B159" s="48" t="str">
        <f>IFERROR(__xludf.DUMMYFUNCTION("""COMPUTED_VALUE"""),"Jason Kim ")</f>
        <v>Jason Kim </v>
      </c>
      <c r="C159" s="49">
        <f>IFERROR(__xludf.DUMMYFUNCTION("""COMPUTED_VALUE"""),144.0)</f>
        <v>144</v>
      </c>
      <c r="D159" s="50">
        <f>IFERROR(__xludf.DUMMYFUNCTION("""COMPUTED_VALUE"""),3.0)</f>
        <v>3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IFERROR(__xludf.DUMMYFUNCTION("""COMPUTED_VALUE"""),153.0)</f>
        <v>153</v>
      </c>
      <c r="N159" s="52">
        <f>IFERROR(__xludf.DUMMYFUNCTION("""COMPUTED_VALUE"""),3.0)</f>
        <v>3</v>
      </c>
    </row>
    <row r="160">
      <c r="A160" s="1"/>
      <c r="B160" s="48" t="str">
        <f>IFERROR(__xludf.DUMMYFUNCTION("""COMPUTED_VALUE"""),"Santosh Sundaresan ")</f>
        <v>Santosh Sundaresan </v>
      </c>
      <c r="C160" s="49">
        <f>IFERROR(__xludf.DUMMYFUNCTION("""COMPUTED_VALUE"""),142.0)</f>
        <v>142</v>
      </c>
      <c r="D160" s="50">
        <f>IFERROR(__xludf.DUMMYFUNCTION("""COMPUTED_VALUE"""),5.0)</f>
        <v>5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IFERROR(__xludf.DUMMYFUNCTION("""COMPUTED_VALUE"""),151.0)</f>
        <v>151</v>
      </c>
      <c r="N160" s="52">
        <f>IFERROR(__xludf.DUMMYFUNCTION("""COMPUTED_VALUE"""),5.0)</f>
        <v>5</v>
      </c>
    </row>
    <row r="161">
      <c r="A161" s="1"/>
      <c r="B161" s="48" t="str">
        <f>IFERROR(__xludf.DUMMYFUNCTION("""COMPUTED_VALUE"""),"Suleman Alidina")</f>
        <v>Suleman Alidina</v>
      </c>
      <c r="C161" s="49">
        <f>IFERROR(__xludf.DUMMYFUNCTION("""COMPUTED_VALUE"""),139.0)</f>
        <v>139</v>
      </c>
      <c r="D161" s="50">
        <f>IFERROR(__xludf.DUMMYFUNCTION("""COMPUTED_VALUE"""),2.0)</f>
        <v>2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IFERROR(__xludf.DUMMYFUNCTION("""COMPUTED_VALUE"""),148.0)</f>
        <v>148</v>
      </c>
      <c r="N161" s="52">
        <f>IFERROR(__xludf.DUMMYFUNCTION("""COMPUTED_VALUE"""),2.0)</f>
        <v>2</v>
      </c>
    </row>
    <row r="162">
      <c r="A162" s="1"/>
      <c r="B162" s="48" t="str">
        <f>IFERROR(__xludf.DUMMYFUNCTION("""COMPUTED_VALUE"""),"Amit Patel")</f>
        <v>Amit Patel</v>
      </c>
      <c r="C162" s="49">
        <f>IFERROR(__xludf.DUMMYFUNCTION("""COMPUTED_VALUE"""),139.0)</f>
        <v>139</v>
      </c>
      <c r="D162" s="50">
        <f>IFERROR(__xludf.DUMMYFUNCTION("""COMPUTED_VALUE"""),2.0)</f>
        <v>2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IFERROR(__xludf.DUMMYFUNCTION("""COMPUTED_VALUE"""),148.0)</f>
        <v>148</v>
      </c>
      <c r="N162" s="52">
        <f>IFERROR(__xludf.DUMMYFUNCTION("""COMPUTED_VALUE"""),2.0)</f>
        <v>2</v>
      </c>
    </row>
    <row r="163">
      <c r="A163" s="1"/>
      <c r="B163" s="48" t="str">
        <f>IFERROR(__xludf.DUMMYFUNCTION("""COMPUTED_VALUE"""),"Coco Yan")</f>
        <v>Coco Yan</v>
      </c>
      <c r="C163" s="49">
        <f>IFERROR(__xludf.DUMMYFUNCTION("""COMPUTED_VALUE"""),139.0)</f>
        <v>139</v>
      </c>
      <c r="D163" s="50">
        <f>IFERROR(__xludf.DUMMYFUNCTION("""COMPUTED_VALUE"""),2.0)</f>
        <v>2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IFERROR(__xludf.DUMMYFUNCTION("""COMPUTED_VALUE"""),148.0)</f>
        <v>148</v>
      </c>
      <c r="N163" s="52">
        <f>IFERROR(__xludf.DUMMYFUNCTION("""COMPUTED_VALUE"""),2.0)</f>
        <v>2</v>
      </c>
    </row>
    <row r="164">
      <c r="A164" s="1"/>
      <c r="B164" s="48" t="str">
        <f>IFERROR(__xludf.DUMMYFUNCTION("""COMPUTED_VALUE"""),"Savay Lieu")</f>
        <v>Savay Lieu</v>
      </c>
      <c r="C164" s="49">
        <f>IFERROR(__xludf.DUMMYFUNCTION("""COMPUTED_VALUE"""),135.0)</f>
        <v>135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IFERROR(__xludf.DUMMYFUNCTION("""COMPUTED_VALUE"""),144.0)</f>
        <v>144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IFERROR(__xludf.DUMMYFUNCTION("""COMPUTED_VALUE"""),"Mihir Anand")</f>
        <v>Mihir Anand</v>
      </c>
      <c r="C165" s="49">
        <f>IFERROR(__xludf.DUMMYFUNCTION("""COMPUTED_VALUE"""),135.0)</f>
        <v>135</v>
      </c>
      <c r="D165" s="50">
        <f>IFERROR(__xludf.DUMMYFUNCTION("""COMPUTED_VALUE"""),0.0)</f>
        <v>0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IFERROR(__xludf.DUMMYFUNCTION("""COMPUTED_VALUE"""),144.0)</f>
        <v>144</v>
      </c>
      <c r="N165" s="52">
        <f>IFERROR(__xludf.DUMMYFUNCTION("""COMPUTED_VALUE"""),0.0)</f>
        <v>0</v>
      </c>
    </row>
    <row r="166">
      <c r="A166" s="1"/>
      <c r="B166" s="48" t="str">
        <f>IFERROR(__xludf.DUMMYFUNCTION("""COMPUTED_VALUE"""),"Manish Anand")</f>
        <v>Manish Anand</v>
      </c>
      <c r="C166" s="49">
        <f>IFERROR(__xludf.DUMMYFUNCTION("""COMPUTED_VALUE"""),135.0)</f>
        <v>135</v>
      </c>
      <c r="D166" s="50">
        <f>IFERROR(__xludf.DUMMYFUNCTION("""COMPUTED_VALUE"""),0.0)</f>
        <v>0</v>
      </c>
      <c r="E166" s="49">
        <f>IFERROR(__xludf.DUMMYFUNCTION("""COMPUTED_VALUE"""),3.0)</f>
        <v>3</v>
      </c>
      <c r="F166" s="51">
        <f>IFERROR(__xludf.DUMMYFUNCTION("""COMPUTED_VALUE"""),0.0)</f>
        <v>0</v>
      </c>
      <c r="G166" s="51">
        <f>IFERROR(__xludf.DUMMYFUNCTION("""COMPUTED_VALUE"""),9.0)</f>
        <v>9</v>
      </c>
      <c r="H166" s="51">
        <f>IFERROR(__xludf.DUMMYFUNCTION("""COMPUTED_VALUE"""),0.0)</f>
        <v>0</v>
      </c>
      <c r="I166" s="51">
        <f>IFERROR(__xludf.DUMMYFUNCTION("""COMPUTED_VALUE"""),0.0)</f>
        <v>0</v>
      </c>
      <c r="J166" s="51">
        <f>IFERROR(__xludf.DUMMYFUNCTION("""COMPUTED_VALUE"""),0.0)</f>
        <v>0</v>
      </c>
      <c r="K166" s="51">
        <f>IFERROR(__xludf.DUMMYFUNCTION("""COMPUTED_VALUE"""),9.0)</f>
        <v>9</v>
      </c>
      <c r="L166" s="51">
        <f>IFERROR(__xludf.DUMMYFUNCTION("""COMPUTED_VALUE"""),0.0)</f>
        <v>0</v>
      </c>
      <c r="M166" s="51">
        <f>IFERROR(__xludf.DUMMYFUNCTION("""COMPUTED_VALUE"""),144.0)</f>
        <v>144</v>
      </c>
      <c r="N166" s="52">
        <f>IFERROR(__xludf.DUMMYFUNCTION("""COMPUTED_VALUE"""),0.0)</f>
        <v>0</v>
      </c>
    </row>
    <row r="167">
      <c r="A167" s="1"/>
      <c r="B167" s="48" t="str">
        <f>IFERROR(__xludf.DUMMYFUNCTION("""COMPUTED_VALUE"""),"Fendi Purwadi")</f>
        <v>Fendi Purwadi</v>
      </c>
      <c r="C167" s="49">
        <f>IFERROR(__xludf.DUMMYFUNCTION("""COMPUTED_VALUE"""),135.0)</f>
        <v>135</v>
      </c>
      <c r="D167" s="50">
        <f>IFERROR(__xludf.DUMMYFUNCTION("""COMPUTED_VALUE"""),0.0)</f>
        <v>0</v>
      </c>
      <c r="E167" s="49">
        <f>IFERROR(__xludf.DUMMYFUNCTION("""COMPUTED_VALUE"""),3.0)</f>
        <v>3</v>
      </c>
      <c r="F167" s="51">
        <f>IFERROR(__xludf.DUMMYFUNCTION("""COMPUTED_VALUE"""),0.0)</f>
        <v>0</v>
      </c>
      <c r="G167" s="51">
        <f>IFERROR(__xludf.DUMMYFUNCTION("""COMPUTED_VALUE"""),9.0)</f>
        <v>9</v>
      </c>
      <c r="H167" s="51">
        <f>IFERROR(__xludf.DUMMYFUNCTION("""COMPUTED_VALUE"""),0.0)</f>
        <v>0</v>
      </c>
      <c r="I167" s="51">
        <f>IFERROR(__xludf.DUMMYFUNCTION("""COMPUTED_VALUE"""),0.0)</f>
        <v>0</v>
      </c>
      <c r="J167" s="51">
        <f>IFERROR(__xludf.DUMMYFUNCTION("""COMPUTED_VALUE"""),0.0)</f>
        <v>0</v>
      </c>
      <c r="K167" s="51">
        <f>IFERROR(__xludf.DUMMYFUNCTION("""COMPUTED_VALUE"""),9.0)</f>
        <v>9</v>
      </c>
      <c r="L167" s="51">
        <f>IFERROR(__xludf.DUMMYFUNCTION("""COMPUTED_VALUE"""),0.0)</f>
        <v>0</v>
      </c>
      <c r="M167" s="51">
        <f>IFERROR(__xludf.DUMMYFUNCTION("""COMPUTED_VALUE"""),144.0)</f>
        <v>144</v>
      </c>
      <c r="N167" s="52">
        <f>IFERROR(__xludf.DUMMYFUNCTION("""COMPUTED_VALUE"""),0.0)</f>
        <v>0</v>
      </c>
    </row>
    <row r="168">
      <c r="A168" s="1"/>
      <c r="B168" s="48" t="str">
        <f>IFERROR(__xludf.DUMMYFUNCTION("""COMPUTED_VALUE"""),"Jose Ortiz")</f>
        <v>Jose Ortiz</v>
      </c>
      <c r="C168" s="49">
        <f>IFERROR(__xludf.DUMMYFUNCTION("""COMPUTED_VALUE"""),132.0)</f>
        <v>132</v>
      </c>
      <c r="D168" s="50">
        <f>IFERROR(__xludf.DUMMYFUNCTION("""COMPUTED_VALUE"""),5.0)</f>
        <v>5</v>
      </c>
      <c r="E168" s="49">
        <f>IFERROR(__xludf.DUMMYFUNCTION("""COMPUTED_VALUE"""),3.0)</f>
        <v>3</v>
      </c>
      <c r="F168" s="51">
        <f>IFERROR(__xludf.DUMMYFUNCTION("""COMPUTED_VALUE"""),0.0)</f>
        <v>0</v>
      </c>
      <c r="G168" s="51">
        <f>IFERROR(__xludf.DUMMYFUNCTION("""COMPUTED_VALUE"""),9.0)</f>
        <v>9</v>
      </c>
      <c r="H168" s="51">
        <f>IFERROR(__xludf.DUMMYFUNCTION("""COMPUTED_VALUE"""),0.0)</f>
        <v>0</v>
      </c>
      <c r="I168" s="51">
        <f>IFERROR(__xludf.DUMMYFUNCTION("""COMPUTED_VALUE"""),0.0)</f>
        <v>0</v>
      </c>
      <c r="J168" s="51">
        <f>IFERROR(__xludf.DUMMYFUNCTION("""COMPUTED_VALUE"""),0.0)</f>
        <v>0</v>
      </c>
      <c r="K168" s="51">
        <f>IFERROR(__xludf.DUMMYFUNCTION("""COMPUTED_VALUE"""),9.0)</f>
        <v>9</v>
      </c>
      <c r="L168" s="51">
        <f>IFERROR(__xludf.DUMMYFUNCTION("""COMPUTED_VALUE"""),0.0)</f>
        <v>0</v>
      </c>
      <c r="M168" s="51">
        <f>IFERROR(__xludf.DUMMYFUNCTION("""COMPUTED_VALUE"""),141.0)</f>
        <v>141</v>
      </c>
      <c r="N168" s="52">
        <f>IFERROR(__xludf.DUMMYFUNCTION("""COMPUTED_VALUE"""),5.0)</f>
        <v>5</v>
      </c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4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4 B72:D82">
    <cfRule type="expression" dxfId="0" priority="3">
      <formula>E5=1</formula>
    </cfRule>
  </conditionalFormatting>
  <conditionalFormatting sqref="B5:B64 B72:D82">
    <cfRule type="expression" dxfId="2" priority="4">
      <formula>E5=2</formula>
    </cfRule>
  </conditionalFormatting>
  <conditionalFormatting sqref="B5:B64 B72:D82">
    <cfRule type="expression" dxfId="3" priority="5">
      <formula>E5=3</formula>
    </cfRule>
  </conditionalFormatting>
  <conditionalFormatting sqref="B5:B64 B72:D82">
    <cfRule type="expression" dxfId="4" priority="6">
      <formula>E5=4</formula>
    </cfRule>
  </conditionalFormatting>
  <conditionalFormatting sqref="L74">
    <cfRule type="containsText" dxfId="0" priority="7" operator="containsText" text="Good">
      <formula>NOT(ISERROR(SEARCH(("Good"),(L74))))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45213.0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15.0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42</v>
      </c>
      <c r="C5" s="27">
        <v>191.0</v>
      </c>
      <c r="D5" s="28">
        <v>19.0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200</v>
      </c>
      <c r="N5" s="28">
        <f t="shared" si="1"/>
        <v>19</v>
      </c>
      <c r="O5" s="33" t="s">
        <v>37</v>
      </c>
      <c r="P5" s="33" t="s">
        <v>37</v>
      </c>
      <c r="Q5" s="31">
        <f>if(G5=13,1,0)+VLOOKUP(B5,'10723'!B:Q,16,false)</f>
        <v>0</v>
      </c>
      <c r="R5" s="31"/>
      <c r="S5" s="31">
        <f>if(G5=9,1,0)+VLOOKUP(B5,'10723'!B:S,18,false)</f>
        <v>6</v>
      </c>
    </row>
    <row r="6">
      <c r="A6" s="25">
        <f t="shared" ref="A6:A64" si="3">A5+1</f>
        <v>2</v>
      </c>
      <c r="B6" s="26" t="s">
        <v>34</v>
      </c>
      <c r="C6" s="27">
        <v>188.0</v>
      </c>
      <c r="D6" s="28">
        <v>19.0</v>
      </c>
      <c r="E6" s="30">
        <v>1.0</v>
      </c>
      <c r="F6" s="31">
        <v>1.0</v>
      </c>
      <c r="G6" s="27">
        <v>0.0</v>
      </c>
      <c r="H6" s="31">
        <v>6.0</v>
      </c>
      <c r="I6" s="31">
        <v>1.0</v>
      </c>
      <c r="J6" s="31">
        <v>6.0</v>
      </c>
      <c r="K6" s="32">
        <v>13.0</v>
      </c>
      <c r="L6" s="31">
        <v>2.0</v>
      </c>
      <c r="M6" s="27">
        <f t="shared" ref="M6:N6" si="2">C6+K6</f>
        <v>201</v>
      </c>
      <c r="N6" s="28">
        <f t="shared" si="2"/>
        <v>21</v>
      </c>
      <c r="O6" s="33" t="s">
        <v>37</v>
      </c>
      <c r="P6" s="33" t="s">
        <v>37</v>
      </c>
      <c r="Q6" s="31">
        <f>if(G6=13,1,0)+VLOOKUP(B6,'10723'!B$5:Q$64,16,false)</f>
        <v>1</v>
      </c>
      <c r="R6" s="31"/>
      <c r="S6" s="31">
        <f>if(G6=9,1,0)+VLOOKUP(B6,'10723'!B:S,18,false)</f>
        <v>5</v>
      </c>
    </row>
    <row r="7">
      <c r="A7" s="25">
        <f t="shared" si="3"/>
        <v>3</v>
      </c>
      <c r="B7" s="26" t="s">
        <v>49</v>
      </c>
      <c r="C7" s="27">
        <v>186.0</v>
      </c>
      <c r="D7" s="28">
        <v>17.0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195</v>
      </c>
      <c r="N7" s="28">
        <f t="shared" si="4"/>
        <v>17</v>
      </c>
      <c r="O7" s="33" t="s">
        <v>37</v>
      </c>
      <c r="P7" s="33" t="s">
        <v>37</v>
      </c>
      <c r="Q7" s="31">
        <f>if(G7=13,1,0)+VLOOKUP(B7,'10723'!B$5:Q$64,16,false)</f>
        <v>1</v>
      </c>
      <c r="R7" s="31"/>
      <c r="S7" s="31">
        <f>if(G7=9,1,0)+VLOOKUP(B7,'10723'!B:S,18,false)</f>
        <v>2</v>
      </c>
    </row>
    <row r="8">
      <c r="A8" s="25">
        <f t="shared" si="3"/>
        <v>4</v>
      </c>
      <c r="B8" s="26" t="s">
        <v>54</v>
      </c>
      <c r="C8" s="27">
        <v>186.0</v>
      </c>
      <c r="D8" s="28">
        <v>17.0</v>
      </c>
      <c r="E8" s="30">
        <v>3.0</v>
      </c>
      <c r="F8" s="31">
        <v>0.0</v>
      </c>
      <c r="G8" s="27">
        <v>9.0</v>
      </c>
      <c r="H8" s="31">
        <v>0.0</v>
      </c>
      <c r="I8" s="31">
        <v>0.0</v>
      </c>
      <c r="J8" s="31">
        <v>0.0</v>
      </c>
      <c r="K8" s="32">
        <v>9.0</v>
      </c>
      <c r="L8" s="31">
        <v>0.0</v>
      </c>
      <c r="M8" s="27">
        <f t="shared" ref="M8:N8" si="5">C8+K8</f>
        <v>195</v>
      </c>
      <c r="N8" s="28">
        <f t="shared" si="5"/>
        <v>17</v>
      </c>
      <c r="O8" s="33" t="s">
        <v>37</v>
      </c>
      <c r="P8" s="33" t="s">
        <v>37</v>
      </c>
      <c r="Q8" s="31">
        <f>if(G8=13,1,0)+VLOOKUP(B8,'10723'!B$5:Q$64,16,false)</f>
        <v>0</v>
      </c>
      <c r="R8" s="31"/>
      <c r="S8" s="31">
        <f>if(G8=9,1,0)+VLOOKUP(B8,'10723'!B:S,18,false)</f>
        <v>5</v>
      </c>
    </row>
    <row r="9">
      <c r="A9" s="25">
        <f t="shared" si="3"/>
        <v>5</v>
      </c>
      <c r="B9" s="36" t="s">
        <v>67</v>
      </c>
      <c r="C9" s="27">
        <v>182.0</v>
      </c>
      <c r="D9" s="28">
        <v>17.0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191</v>
      </c>
      <c r="N9" s="28">
        <f t="shared" si="6"/>
        <v>17</v>
      </c>
      <c r="O9" s="33" t="s">
        <v>37</v>
      </c>
      <c r="P9" s="33" t="s">
        <v>37</v>
      </c>
      <c r="Q9" s="31">
        <f>if(G9=13,1,0)+VLOOKUP(B9,'10723'!B$5:Q$64,16,false)</f>
        <v>0</v>
      </c>
      <c r="R9" s="31"/>
      <c r="S9" s="31">
        <f>if(G9=9,1,0)+VLOOKUP(B9,'10723'!B:S,18,false)</f>
        <v>5</v>
      </c>
    </row>
    <row r="10">
      <c r="A10" s="25">
        <f t="shared" si="3"/>
        <v>6</v>
      </c>
      <c r="B10" s="26" t="s">
        <v>48</v>
      </c>
      <c r="C10" s="27">
        <v>181.0</v>
      </c>
      <c r="D10" s="28">
        <v>17.0</v>
      </c>
      <c r="E10" s="30">
        <v>2.0</v>
      </c>
      <c r="F10" s="31">
        <v>1.0</v>
      </c>
      <c r="G10" s="27">
        <v>0.0</v>
      </c>
      <c r="H10" s="31">
        <v>3.0</v>
      </c>
      <c r="I10" s="31">
        <v>6.0</v>
      </c>
      <c r="J10" s="31">
        <v>6.0</v>
      </c>
      <c r="K10" s="32">
        <v>15.0</v>
      </c>
      <c r="L10" s="31">
        <v>2.0</v>
      </c>
      <c r="M10" s="27">
        <f t="shared" ref="M10:N10" si="7">C10+K10</f>
        <v>196</v>
      </c>
      <c r="N10" s="28">
        <f t="shared" si="7"/>
        <v>19</v>
      </c>
      <c r="O10" s="33" t="s">
        <v>37</v>
      </c>
      <c r="P10" s="33" t="s">
        <v>37</v>
      </c>
      <c r="Q10" s="31">
        <f>if(G10=13,1,0)+VLOOKUP(B10,'10723'!B$5:Q$64,16,false)</f>
        <v>0</v>
      </c>
      <c r="R10" s="31"/>
      <c r="S10" s="31">
        <f>if(G10=9,1,0)+VLOOKUP(B10,'10723'!B:S,18,false)</f>
        <v>5</v>
      </c>
    </row>
    <row r="11">
      <c r="A11" s="25">
        <f t="shared" si="3"/>
        <v>7</v>
      </c>
      <c r="B11" s="26" t="s">
        <v>72</v>
      </c>
      <c r="C11" s="27">
        <v>179.0</v>
      </c>
      <c r="D11" s="28">
        <v>16.0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188</v>
      </c>
      <c r="N11" s="28">
        <f t="shared" si="8"/>
        <v>16</v>
      </c>
      <c r="O11" s="33" t="s">
        <v>37</v>
      </c>
      <c r="P11" s="33" t="s">
        <v>37</v>
      </c>
      <c r="Q11" s="31">
        <f>if(G11=13,1,0)+VLOOKUP(B11,'10723'!B$5:Q$64,16,false)</f>
        <v>1</v>
      </c>
      <c r="R11" s="31"/>
      <c r="S11" s="31">
        <f>if(G11=9,1,0)+VLOOKUP(B11,'10723'!B:S,18,false)</f>
        <v>7</v>
      </c>
    </row>
    <row r="12">
      <c r="A12" s="25">
        <f t="shared" si="3"/>
        <v>8</v>
      </c>
      <c r="B12" s="26" t="s">
        <v>52</v>
      </c>
      <c r="C12" s="27">
        <v>178.0</v>
      </c>
      <c r="D12" s="28">
        <v>17.0</v>
      </c>
      <c r="E12" s="30">
        <v>3.0</v>
      </c>
      <c r="F12" s="31">
        <v>0.0</v>
      </c>
      <c r="G12" s="27">
        <v>9.0</v>
      </c>
      <c r="H12" s="31">
        <v>0.0</v>
      </c>
      <c r="I12" s="31">
        <v>0.0</v>
      </c>
      <c r="J12" s="31">
        <v>0.0</v>
      </c>
      <c r="K12" s="32">
        <v>9.0</v>
      </c>
      <c r="L12" s="31">
        <v>0.0</v>
      </c>
      <c r="M12" s="27">
        <f t="shared" ref="M12:N12" si="9">C12+K12</f>
        <v>187</v>
      </c>
      <c r="N12" s="28">
        <f t="shared" si="9"/>
        <v>17</v>
      </c>
      <c r="O12" s="33" t="s">
        <v>37</v>
      </c>
      <c r="P12" s="33" t="s">
        <v>37</v>
      </c>
      <c r="Q12" s="31">
        <f>if(G12=13,1,0)+VLOOKUP(B12,'10723'!B$5:Q$64,16,false)</f>
        <v>0</v>
      </c>
      <c r="R12" s="31"/>
      <c r="S12" s="31">
        <f>if(G12=9,1,0)+VLOOKUP(B12,'10723'!B:S,18,false)</f>
        <v>2</v>
      </c>
    </row>
    <row r="13">
      <c r="A13" s="25">
        <f t="shared" si="3"/>
        <v>9</v>
      </c>
      <c r="B13" s="26" t="s">
        <v>60</v>
      </c>
      <c r="C13" s="27">
        <v>176.0</v>
      </c>
      <c r="D13" s="28">
        <v>16.0</v>
      </c>
      <c r="E13" s="30">
        <v>3.0</v>
      </c>
      <c r="F13" s="31">
        <v>0.0</v>
      </c>
      <c r="G13" s="27">
        <v>9.0</v>
      </c>
      <c r="H13" s="31">
        <v>0.0</v>
      </c>
      <c r="I13" s="31">
        <v>0.0</v>
      </c>
      <c r="J13" s="31">
        <v>0.0</v>
      </c>
      <c r="K13" s="32">
        <v>9.0</v>
      </c>
      <c r="L13" s="31">
        <v>0.0</v>
      </c>
      <c r="M13" s="27">
        <f t="shared" ref="M13:N13" si="10">C13+K13</f>
        <v>185</v>
      </c>
      <c r="N13" s="28">
        <f t="shared" si="10"/>
        <v>16</v>
      </c>
      <c r="O13" s="33" t="s">
        <v>37</v>
      </c>
      <c r="P13" s="33" t="s">
        <v>37</v>
      </c>
      <c r="Q13" s="31">
        <f>if(G13=13,1,0)+VLOOKUP(B13,'10723'!B$5:Q$64,16,false)</f>
        <v>0</v>
      </c>
      <c r="R13" s="31"/>
      <c r="S13" s="31">
        <f>if(G13=9,1,0)+VLOOKUP(B13,'10723'!B:S,18,false)</f>
        <v>5</v>
      </c>
    </row>
    <row r="14">
      <c r="A14" s="25">
        <f t="shared" si="3"/>
        <v>10</v>
      </c>
      <c r="B14" s="26" t="s">
        <v>57</v>
      </c>
      <c r="C14" s="27">
        <v>175.0</v>
      </c>
      <c r="D14" s="28">
        <v>18.0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184</v>
      </c>
      <c r="N14" s="28">
        <f t="shared" si="11"/>
        <v>18</v>
      </c>
      <c r="O14" s="33" t="s">
        <v>37</v>
      </c>
      <c r="P14" s="33" t="s">
        <v>37</v>
      </c>
      <c r="Q14" s="31">
        <f>if(G14=13,1,0)+VLOOKUP(B14,'10723'!B$5:Q$64,16,false)</f>
        <v>0</v>
      </c>
      <c r="R14" s="31"/>
      <c r="S14" s="31">
        <f>if(G14=9,1,0)+VLOOKUP(B14,'10723'!B:S,18,false)</f>
        <v>5</v>
      </c>
    </row>
    <row r="15">
      <c r="A15" s="25">
        <f t="shared" si="3"/>
        <v>11</v>
      </c>
      <c r="B15" s="26" t="s">
        <v>53</v>
      </c>
      <c r="C15" s="27">
        <v>175.0</v>
      </c>
      <c r="D15" s="28">
        <v>13.0</v>
      </c>
      <c r="E15" s="30">
        <v>1.0</v>
      </c>
      <c r="F15" s="31">
        <v>1.0</v>
      </c>
      <c r="G15" s="27">
        <v>0.0</v>
      </c>
      <c r="H15" s="31">
        <v>3.0</v>
      </c>
      <c r="I15" s="31">
        <v>1.0</v>
      </c>
      <c r="J15" s="31">
        <v>4.0</v>
      </c>
      <c r="K15" s="32">
        <v>8.0</v>
      </c>
      <c r="L15" s="31">
        <v>0.0</v>
      </c>
      <c r="M15" s="27">
        <f t="shared" ref="M15:N15" si="12">C15+K15</f>
        <v>183</v>
      </c>
      <c r="N15" s="28">
        <f t="shared" si="12"/>
        <v>13</v>
      </c>
      <c r="O15" s="33" t="s">
        <v>37</v>
      </c>
      <c r="P15" s="33" t="s">
        <v>37</v>
      </c>
      <c r="Q15" s="31">
        <f>if(G15=13,1,0)+VLOOKUP(B15,'10723'!B$5:Q$64,16,false)</f>
        <v>0</v>
      </c>
      <c r="R15" s="31"/>
      <c r="S15" s="31">
        <f>if(G15=9,1,0)+VLOOKUP(B15,'10723'!B:S,18,false)</f>
        <v>5</v>
      </c>
    </row>
    <row r="16">
      <c r="A16" s="25">
        <f t="shared" si="3"/>
        <v>12</v>
      </c>
      <c r="B16" s="26" t="s">
        <v>50</v>
      </c>
      <c r="C16" s="27">
        <v>172.0</v>
      </c>
      <c r="D16" s="28">
        <v>13.0</v>
      </c>
      <c r="E16" s="30">
        <v>1.0</v>
      </c>
      <c r="F16" s="31">
        <v>1.0</v>
      </c>
      <c r="G16" s="27">
        <v>0.0</v>
      </c>
      <c r="H16" s="31">
        <v>6.0</v>
      </c>
      <c r="I16" s="31">
        <v>6.0</v>
      </c>
      <c r="J16" s="31">
        <v>4.0</v>
      </c>
      <c r="K16" s="32">
        <v>16.0</v>
      </c>
      <c r="L16" s="31">
        <v>2.0</v>
      </c>
      <c r="M16" s="27">
        <f t="shared" ref="M16:N16" si="13">C16+K16</f>
        <v>188</v>
      </c>
      <c r="N16" s="28">
        <f t="shared" si="13"/>
        <v>15</v>
      </c>
      <c r="O16" s="33" t="s">
        <v>37</v>
      </c>
      <c r="P16" s="33" t="s">
        <v>37</v>
      </c>
      <c r="Q16" s="31">
        <f>if(G16=13,1,0)+VLOOKUP(B16,'10723'!B$5:Q$64,16,false)</f>
        <v>0</v>
      </c>
      <c r="R16" s="31"/>
      <c r="S16" s="31">
        <f>if(G16=9,1,0)+VLOOKUP(B16,'10723'!B:S,18,false)</f>
        <v>7</v>
      </c>
    </row>
    <row r="17">
      <c r="A17" s="25">
        <f t="shared" si="3"/>
        <v>13</v>
      </c>
      <c r="B17" s="26" t="s">
        <v>51</v>
      </c>
      <c r="C17" s="27">
        <v>171.0</v>
      </c>
      <c r="D17" s="28">
        <v>13.0</v>
      </c>
      <c r="E17" s="30">
        <v>1.0</v>
      </c>
      <c r="F17" s="31">
        <v>2.0</v>
      </c>
      <c r="G17" s="27">
        <v>0.0</v>
      </c>
      <c r="H17" s="31">
        <v>4.0</v>
      </c>
      <c r="I17" s="31">
        <v>6.0</v>
      </c>
      <c r="J17" s="31">
        <v>6.0</v>
      </c>
      <c r="K17" s="32">
        <v>16.0</v>
      </c>
      <c r="L17" s="31">
        <v>2.0</v>
      </c>
      <c r="M17" s="27">
        <f t="shared" ref="M17:N17" si="14">C17+K17</f>
        <v>187</v>
      </c>
      <c r="N17" s="28">
        <f t="shared" si="14"/>
        <v>15</v>
      </c>
      <c r="O17" s="33" t="s">
        <v>37</v>
      </c>
      <c r="P17" s="33" t="s">
        <v>37</v>
      </c>
      <c r="Q17" s="31">
        <f>if(G17=13,1,0)+VLOOKUP(B17,'10723'!B$5:Q$64,16,false)</f>
        <v>1</v>
      </c>
      <c r="R17" s="31"/>
      <c r="S17" s="31">
        <f>if(G17=9,1,0)+VLOOKUP(B17,'10723'!B:S,18,false)</f>
        <v>7</v>
      </c>
    </row>
    <row r="18">
      <c r="A18" s="25">
        <f t="shared" si="3"/>
        <v>14</v>
      </c>
      <c r="B18" s="26" t="s">
        <v>47</v>
      </c>
      <c r="C18" s="27">
        <v>170.0</v>
      </c>
      <c r="D18" s="28">
        <v>13.0</v>
      </c>
      <c r="E18" s="30">
        <v>1.0</v>
      </c>
      <c r="F18" s="31">
        <v>2.0</v>
      </c>
      <c r="G18" s="27">
        <v>0.0</v>
      </c>
      <c r="H18" s="31">
        <v>6.0</v>
      </c>
      <c r="I18" s="31">
        <v>6.0</v>
      </c>
      <c r="J18" s="31">
        <v>4.0</v>
      </c>
      <c r="K18" s="32">
        <v>16.0</v>
      </c>
      <c r="L18" s="31">
        <v>2.0</v>
      </c>
      <c r="M18" s="27">
        <f t="shared" ref="M18:N18" si="15">C18+K18</f>
        <v>186</v>
      </c>
      <c r="N18" s="28">
        <f t="shared" si="15"/>
        <v>15</v>
      </c>
      <c r="O18" s="33" t="s">
        <v>37</v>
      </c>
      <c r="P18" s="33" t="s">
        <v>37</v>
      </c>
      <c r="Q18" s="31">
        <f>if(G18=13,1,0)+VLOOKUP(B18,'10723'!B$5:Q$64,16,false)</f>
        <v>0</v>
      </c>
      <c r="R18" s="31"/>
      <c r="S18" s="31">
        <f>if(G18=9,1,0)+VLOOKUP(B18,'10723'!B:S,18,false)</f>
        <v>8</v>
      </c>
    </row>
    <row r="19">
      <c r="A19" s="25">
        <f t="shared" si="3"/>
        <v>15</v>
      </c>
      <c r="B19" s="36" t="s">
        <v>56</v>
      </c>
      <c r="C19" s="27">
        <v>169.0</v>
      </c>
      <c r="D19" s="28">
        <v>18.0</v>
      </c>
      <c r="E19" s="30">
        <v>1.0</v>
      </c>
      <c r="F19" s="31">
        <v>2.0</v>
      </c>
      <c r="G19" s="27">
        <v>0.0</v>
      </c>
      <c r="H19" s="31">
        <v>6.0</v>
      </c>
      <c r="I19" s="31">
        <v>2.0</v>
      </c>
      <c r="J19" s="31">
        <v>6.0</v>
      </c>
      <c r="K19" s="32">
        <v>14.0</v>
      </c>
      <c r="L19" s="31">
        <v>2.0</v>
      </c>
      <c r="M19" s="27">
        <f t="shared" ref="M19:N19" si="16">C19+K19</f>
        <v>183</v>
      </c>
      <c r="N19" s="28">
        <f t="shared" si="16"/>
        <v>20</v>
      </c>
      <c r="O19" s="33" t="s">
        <v>37</v>
      </c>
      <c r="P19" s="33" t="s">
        <v>37</v>
      </c>
      <c r="Q19" s="31">
        <f>if(G19=13,1,0)+VLOOKUP(B19,'10723'!B$5:Q$64,16,false)</f>
        <v>0</v>
      </c>
      <c r="R19" s="31"/>
      <c r="S19" s="31">
        <f>if(G19=9,1,0)+VLOOKUP(B19,'10723'!B:S,18,false)</f>
        <v>2</v>
      </c>
    </row>
    <row r="20">
      <c r="A20" s="25">
        <f t="shared" si="3"/>
        <v>16</v>
      </c>
      <c r="B20" s="26" t="s">
        <v>61</v>
      </c>
      <c r="C20" s="27">
        <v>167.0</v>
      </c>
      <c r="D20" s="28">
        <v>15.0</v>
      </c>
      <c r="E20" s="30">
        <v>2.0</v>
      </c>
      <c r="F20" s="31">
        <v>2.0</v>
      </c>
      <c r="G20" s="27">
        <v>0.0</v>
      </c>
      <c r="H20" s="31">
        <v>4.0</v>
      </c>
      <c r="I20" s="31">
        <v>2.0</v>
      </c>
      <c r="J20" s="31">
        <v>4.0</v>
      </c>
      <c r="K20" s="32">
        <v>10.0</v>
      </c>
      <c r="L20" s="31">
        <v>0.0</v>
      </c>
      <c r="M20" s="27">
        <f t="shared" ref="M20:N20" si="17">C20+K20</f>
        <v>177</v>
      </c>
      <c r="N20" s="28">
        <f t="shared" si="17"/>
        <v>15</v>
      </c>
      <c r="O20" s="33" t="s">
        <v>37</v>
      </c>
      <c r="P20" s="33" t="s">
        <v>37</v>
      </c>
      <c r="Q20" s="31">
        <f>if(G20=13,1,0)+VLOOKUP(B20,'10723'!B$5:Q$64,16,false)</f>
        <v>0</v>
      </c>
      <c r="R20" s="31"/>
      <c r="S20" s="31">
        <f>if(G20=9,1,0)+VLOOKUP(B20,'10723'!B:S,18,false)</f>
        <v>3</v>
      </c>
    </row>
    <row r="21">
      <c r="A21" s="25">
        <f t="shared" si="3"/>
        <v>17</v>
      </c>
      <c r="B21" s="36" t="s">
        <v>59</v>
      </c>
      <c r="C21" s="27">
        <v>166.0</v>
      </c>
      <c r="D21" s="28">
        <v>10.0</v>
      </c>
      <c r="E21" s="30">
        <v>1.0</v>
      </c>
      <c r="F21" s="31">
        <v>3.0</v>
      </c>
      <c r="G21" s="27">
        <v>0.0</v>
      </c>
      <c r="H21" s="31">
        <v>6.0</v>
      </c>
      <c r="I21" s="31">
        <v>4.0</v>
      </c>
      <c r="J21" s="31">
        <v>3.0</v>
      </c>
      <c r="K21" s="32">
        <v>13.0</v>
      </c>
      <c r="L21" s="31">
        <v>0.0</v>
      </c>
      <c r="M21" s="27">
        <f t="shared" ref="M21:N21" si="18">C21+K21</f>
        <v>179</v>
      </c>
      <c r="N21" s="28">
        <f t="shared" si="18"/>
        <v>10</v>
      </c>
      <c r="O21" s="33" t="s">
        <v>37</v>
      </c>
      <c r="P21" s="33" t="s">
        <v>37</v>
      </c>
      <c r="Q21" s="31">
        <f>if(G21=13,1,0)+VLOOKUP(B21,'10723'!B$5:Q$64,16,false)</f>
        <v>0</v>
      </c>
      <c r="R21" s="31"/>
      <c r="S21" s="31">
        <f>if(G21=9,1,0)+VLOOKUP(B21,'10723'!B:S,18,false)</f>
        <v>3</v>
      </c>
    </row>
    <row r="22">
      <c r="A22" s="25">
        <f t="shared" si="3"/>
        <v>18</v>
      </c>
      <c r="B22" s="26" t="s">
        <v>65</v>
      </c>
      <c r="C22" s="27">
        <v>165.0</v>
      </c>
      <c r="D22" s="28">
        <v>11.0</v>
      </c>
      <c r="E22" s="30">
        <v>1.0</v>
      </c>
      <c r="F22" s="31">
        <v>3.0</v>
      </c>
      <c r="G22" s="27">
        <v>0.0</v>
      </c>
      <c r="H22" s="31">
        <v>7.0</v>
      </c>
      <c r="I22" s="31">
        <v>6.0</v>
      </c>
      <c r="J22" s="31">
        <v>3.0</v>
      </c>
      <c r="K22" s="32">
        <v>16.0</v>
      </c>
      <c r="L22" s="31">
        <v>2.0</v>
      </c>
      <c r="M22" s="27">
        <f t="shared" ref="M22:N22" si="19">C22+K22</f>
        <v>181</v>
      </c>
      <c r="N22" s="28">
        <f t="shared" si="19"/>
        <v>13</v>
      </c>
      <c r="O22" s="33" t="s">
        <v>37</v>
      </c>
      <c r="P22" s="33" t="s">
        <v>37</v>
      </c>
      <c r="Q22" s="31">
        <f>if(G22=13,1,0)+VLOOKUP(B22,'10723'!B$5:Q$64,16,false)</f>
        <v>0</v>
      </c>
      <c r="R22" s="31"/>
      <c r="S22" s="31">
        <f>if(G22=9,1,0)+VLOOKUP(B22,'10723'!B:S,18,false)</f>
        <v>7</v>
      </c>
    </row>
    <row r="23">
      <c r="A23" s="25">
        <f t="shared" si="3"/>
        <v>19</v>
      </c>
      <c r="B23" s="26" t="s">
        <v>64</v>
      </c>
      <c r="C23" s="27">
        <v>165.0</v>
      </c>
      <c r="D23" s="28">
        <v>11.0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174</v>
      </c>
      <c r="N23" s="28">
        <f t="shared" si="20"/>
        <v>11</v>
      </c>
      <c r="O23" s="33" t="s">
        <v>37</v>
      </c>
      <c r="P23" s="33" t="s">
        <v>37</v>
      </c>
      <c r="Q23" s="31">
        <f>if(G23=13,1,0)+VLOOKUP(B23,'10723'!B$5:Q$64,16,false)</f>
        <v>0</v>
      </c>
      <c r="R23" s="31"/>
      <c r="S23" s="31">
        <f>if(G23=9,1,0)+VLOOKUP(B23,'10723'!B:S,18,false)</f>
        <v>10</v>
      </c>
    </row>
    <row r="24">
      <c r="A24" s="25">
        <f t="shared" si="3"/>
        <v>20</v>
      </c>
      <c r="B24" s="26" t="s">
        <v>68</v>
      </c>
      <c r="C24" s="27">
        <v>164.0</v>
      </c>
      <c r="D24" s="28">
        <v>10.0</v>
      </c>
      <c r="E24" s="30">
        <v>1.0</v>
      </c>
      <c r="F24" s="31">
        <v>3.0</v>
      </c>
      <c r="G24" s="27">
        <v>0.0</v>
      </c>
      <c r="H24" s="31">
        <v>7.0</v>
      </c>
      <c r="I24" s="31">
        <v>4.0</v>
      </c>
      <c r="J24" s="31">
        <v>6.0</v>
      </c>
      <c r="K24" s="32">
        <v>17.0</v>
      </c>
      <c r="L24" s="31">
        <v>2.0</v>
      </c>
      <c r="M24" s="27">
        <f t="shared" ref="M24:N24" si="21">C24+K24</f>
        <v>181</v>
      </c>
      <c r="N24" s="28">
        <f t="shared" si="21"/>
        <v>12</v>
      </c>
      <c r="O24" s="33" t="s">
        <v>37</v>
      </c>
      <c r="P24" s="33" t="s">
        <v>37</v>
      </c>
      <c r="Q24" s="31">
        <f>if(G24=13,1,0)+VLOOKUP(B24,'10723'!B$5:Q$64,16,false)</f>
        <v>1</v>
      </c>
      <c r="R24" s="31"/>
      <c r="S24" s="31">
        <f>if(G24=9,1,0)+VLOOKUP(B24,'10723'!B:S,18,false)</f>
        <v>9</v>
      </c>
    </row>
    <row r="25">
      <c r="A25" s="25">
        <f t="shared" si="3"/>
        <v>21</v>
      </c>
      <c r="B25" s="26" t="s">
        <v>70</v>
      </c>
      <c r="C25" s="27">
        <v>163.0</v>
      </c>
      <c r="D25" s="28">
        <v>16.0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172</v>
      </c>
      <c r="N25" s="28">
        <f t="shared" si="22"/>
        <v>16</v>
      </c>
      <c r="O25" s="33" t="s">
        <v>37</v>
      </c>
      <c r="P25" s="33" t="s">
        <v>37</v>
      </c>
      <c r="Q25" s="31">
        <f>if(G25=13,1,0)+VLOOKUP(B25,'10723'!B$5:Q$64,16,false)</f>
        <v>0</v>
      </c>
      <c r="R25" s="31"/>
      <c r="S25" s="31">
        <f>if(G25=9,1,0)+VLOOKUP(B25,'10723'!B:S,18,false)</f>
        <v>5</v>
      </c>
    </row>
    <row r="26">
      <c r="A26" s="25">
        <f t="shared" si="3"/>
        <v>22</v>
      </c>
      <c r="B26" s="26" t="s">
        <v>55</v>
      </c>
      <c r="C26" s="27">
        <v>162.0</v>
      </c>
      <c r="D26" s="28">
        <v>13.0</v>
      </c>
      <c r="E26" s="30">
        <v>1.0</v>
      </c>
      <c r="F26" s="31">
        <v>3.0</v>
      </c>
      <c r="G26" s="27">
        <v>0.0</v>
      </c>
      <c r="H26" s="31">
        <v>6.0</v>
      </c>
      <c r="I26" s="31">
        <v>6.0</v>
      </c>
      <c r="J26" s="31">
        <v>6.0</v>
      </c>
      <c r="K26" s="32">
        <v>18.0</v>
      </c>
      <c r="L26" s="31">
        <v>2.0</v>
      </c>
      <c r="M26" s="27">
        <f t="shared" ref="M26:N26" si="23">C26+K26</f>
        <v>180</v>
      </c>
      <c r="N26" s="28">
        <f t="shared" si="23"/>
        <v>15</v>
      </c>
      <c r="O26" s="33" t="s">
        <v>37</v>
      </c>
      <c r="P26" s="33" t="s">
        <v>37</v>
      </c>
      <c r="Q26" s="31">
        <f>if(G26=13,1,0)+VLOOKUP(B26,'10723'!B$5:Q$64,16,false)</f>
        <v>0</v>
      </c>
      <c r="R26" s="31"/>
      <c r="S26" s="31">
        <f>if(G26=9,1,0)+VLOOKUP(B26,'10723'!B:S,18,false)</f>
        <v>8</v>
      </c>
    </row>
    <row r="27">
      <c r="A27" s="25">
        <f t="shared" si="3"/>
        <v>23</v>
      </c>
      <c r="B27" s="36" t="s">
        <v>62</v>
      </c>
      <c r="C27" s="27">
        <v>162.0</v>
      </c>
      <c r="D27" s="28">
        <v>12.0</v>
      </c>
      <c r="E27" s="30">
        <v>1.0</v>
      </c>
      <c r="F27" s="31">
        <v>5.0</v>
      </c>
      <c r="G27" s="27">
        <v>0.0</v>
      </c>
      <c r="H27" s="31">
        <v>6.0</v>
      </c>
      <c r="I27" s="31">
        <v>6.0</v>
      </c>
      <c r="J27" s="31">
        <v>1.0</v>
      </c>
      <c r="K27" s="32">
        <v>13.0</v>
      </c>
      <c r="L27" s="31">
        <v>0.0</v>
      </c>
      <c r="M27" s="27">
        <f t="shared" ref="M27:N27" si="24">C27+K27</f>
        <v>175</v>
      </c>
      <c r="N27" s="28">
        <f t="shared" si="24"/>
        <v>12</v>
      </c>
      <c r="O27" s="33" t="s">
        <v>37</v>
      </c>
      <c r="P27" s="33" t="s">
        <v>37</v>
      </c>
      <c r="Q27" s="31">
        <f>if(G27=13,1,0)+VLOOKUP(B27,'10723'!B$5:Q$64,16,false)</f>
        <v>0</v>
      </c>
      <c r="R27" s="31"/>
      <c r="S27" s="31">
        <f>if(G27=9,1,0)+VLOOKUP(B27,'10723'!B:S,18,false)</f>
        <v>4</v>
      </c>
    </row>
    <row r="28">
      <c r="A28" s="25">
        <f t="shared" si="3"/>
        <v>24</v>
      </c>
      <c r="B28" s="26" t="s">
        <v>75</v>
      </c>
      <c r="C28" s="27">
        <v>160.0</v>
      </c>
      <c r="D28" s="28">
        <v>12.0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169</v>
      </c>
      <c r="N28" s="28">
        <f t="shared" si="25"/>
        <v>12</v>
      </c>
      <c r="O28" s="33" t="s">
        <v>37</v>
      </c>
      <c r="P28" s="33" t="s">
        <v>37</v>
      </c>
      <c r="Q28" s="31">
        <f>if(G28=13,1,0)+VLOOKUP(B28,'10723'!B$5:Q$64,16,false)</f>
        <v>0</v>
      </c>
      <c r="R28" s="31"/>
      <c r="S28" s="31">
        <f>if(G28=9,1,0)+VLOOKUP(B28,'10723'!B:S,18,false)</f>
        <v>3</v>
      </c>
    </row>
    <row r="29">
      <c r="A29" s="25">
        <f t="shared" si="3"/>
        <v>25</v>
      </c>
      <c r="B29" s="26" t="s">
        <v>80</v>
      </c>
      <c r="C29" s="27">
        <v>159.0</v>
      </c>
      <c r="D29" s="28">
        <v>10.0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168</v>
      </c>
      <c r="N29" s="28">
        <f t="shared" si="26"/>
        <v>10</v>
      </c>
      <c r="O29" s="33" t="s">
        <v>37</v>
      </c>
      <c r="P29" s="33" t="s">
        <v>37</v>
      </c>
      <c r="Q29" s="31">
        <f>if(G29=13,1,0)+VLOOKUP(B29,'10723'!B$5:Q$64,16,false)</f>
        <v>0</v>
      </c>
      <c r="R29" s="31"/>
      <c r="S29" s="31">
        <f>if(G29=9,1,0)+VLOOKUP(B29,'10723'!B:S,18,false)</f>
        <v>11</v>
      </c>
    </row>
    <row r="30">
      <c r="A30" s="25">
        <f t="shared" si="3"/>
        <v>26</v>
      </c>
      <c r="B30" s="26" t="s">
        <v>66</v>
      </c>
      <c r="C30" s="27">
        <v>159.0</v>
      </c>
      <c r="D30" s="28">
        <v>9.0</v>
      </c>
      <c r="E30" s="30">
        <v>1.0</v>
      </c>
      <c r="F30" s="31">
        <v>5.0</v>
      </c>
      <c r="G30" s="27">
        <v>0.0</v>
      </c>
      <c r="H30" s="31">
        <v>7.0</v>
      </c>
      <c r="I30" s="31">
        <v>7.0</v>
      </c>
      <c r="J30" s="31">
        <v>1.0</v>
      </c>
      <c r="K30" s="32">
        <v>15.0</v>
      </c>
      <c r="L30" s="31">
        <v>2.0</v>
      </c>
      <c r="M30" s="27">
        <f t="shared" ref="M30:N30" si="27">C30+K30</f>
        <v>174</v>
      </c>
      <c r="N30" s="28">
        <f t="shared" si="27"/>
        <v>11</v>
      </c>
      <c r="O30" s="33" t="s">
        <v>37</v>
      </c>
      <c r="P30" s="33" t="s">
        <v>37</v>
      </c>
      <c r="Q30" s="31">
        <f>if(G30=13,1,0)+VLOOKUP(B30,'10723'!B$5:Q$64,16,false)</f>
        <v>1</v>
      </c>
      <c r="R30" s="31"/>
      <c r="S30" s="31">
        <f>if(G30=9,1,0)+VLOOKUP(B30,'10723'!B:S,18,false)</f>
        <v>5</v>
      </c>
    </row>
    <row r="31">
      <c r="A31" s="25">
        <f t="shared" si="3"/>
        <v>27</v>
      </c>
      <c r="B31" s="26" t="s">
        <v>58</v>
      </c>
      <c r="C31" s="27">
        <v>157.0</v>
      </c>
      <c r="D31" s="28">
        <v>10.0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166</v>
      </c>
      <c r="N31" s="28">
        <f t="shared" si="28"/>
        <v>10</v>
      </c>
      <c r="O31" s="33" t="s">
        <v>37</v>
      </c>
      <c r="P31" s="33" t="s">
        <v>37</v>
      </c>
      <c r="Q31" s="31">
        <f>if(G31=13,1,0)+VLOOKUP(B31,'10723'!B$5:Q$64,16,false)</f>
        <v>0</v>
      </c>
      <c r="R31" s="31"/>
      <c r="S31" s="31">
        <f>if(G31=9,1,0)+VLOOKUP(B31,'10723'!B:S,18,false)</f>
        <v>6</v>
      </c>
    </row>
    <row r="32">
      <c r="A32" s="25">
        <f t="shared" si="3"/>
        <v>28</v>
      </c>
      <c r="B32" s="36" t="s">
        <v>83</v>
      </c>
      <c r="C32" s="27">
        <v>153.0</v>
      </c>
      <c r="D32" s="28">
        <v>9.0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162</v>
      </c>
      <c r="N32" s="28">
        <f t="shared" si="29"/>
        <v>9</v>
      </c>
      <c r="O32" s="33" t="s">
        <v>37</v>
      </c>
      <c r="P32" s="33" t="s">
        <v>37</v>
      </c>
      <c r="Q32" s="31">
        <f>if(G32=13,1,0)+VLOOKUP(B32,'10723'!B$5:Q$64,16,false)</f>
        <v>0</v>
      </c>
      <c r="R32" s="31"/>
      <c r="S32" s="31">
        <f>if(G32=9,1,0)+VLOOKUP(B32,'10723'!B:S,18,false)</f>
        <v>7</v>
      </c>
    </row>
    <row r="33">
      <c r="A33" s="25">
        <f t="shared" si="3"/>
        <v>29</v>
      </c>
      <c r="B33" s="36" t="s">
        <v>77</v>
      </c>
      <c r="C33" s="27">
        <v>152.0</v>
      </c>
      <c r="D33" s="28">
        <v>8.0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161</v>
      </c>
      <c r="N33" s="28">
        <f t="shared" si="30"/>
        <v>8</v>
      </c>
      <c r="O33" s="33" t="s">
        <v>37</v>
      </c>
      <c r="P33" s="33" t="s">
        <v>37</v>
      </c>
      <c r="Q33" s="31">
        <f>if(G33=13,1,0)+VLOOKUP(B33,'10723'!B$5:Q$64,16,false)</f>
        <v>0</v>
      </c>
      <c r="R33" s="31"/>
      <c r="S33" s="31">
        <f>if(G33=9,1,0)+VLOOKUP(B33,'10723'!B:S,18,false)</f>
        <v>11</v>
      </c>
    </row>
    <row r="34">
      <c r="A34" s="25">
        <f t="shared" si="3"/>
        <v>30</v>
      </c>
      <c r="B34" s="26" t="s">
        <v>73</v>
      </c>
      <c r="C34" s="27">
        <v>152.0</v>
      </c>
      <c r="D34" s="28">
        <v>6.0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161</v>
      </c>
      <c r="N34" s="28">
        <f t="shared" si="31"/>
        <v>6</v>
      </c>
      <c r="O34" s="33" t="s">
        <v>37</v>
      </c>
      <c r="P34" s="33" t="s">
        <v>37</v>
      </c>
      <c r="Q34" s="31">
        <f>if(G34=13,1,0)+VLOOKUP(B34,'10723'!B$5:Q$64,16,false)</f>
        <v>0</v>
      </c>
      <c r="R34" s="31"/>
      <c r="S34" s="31">
        <f>if(G34=9,1,0)+VLOOKUP(B34,'10723'!B:S,18,false)</f>
        <v>10</v>
      </c>
    </row>
    <row r="35">
      <c r="A35" s="25">
        <f t="shared" si="3"/>
        <v>31</v>
      </c>
      <c r="B35" s="26" t="s">
        <v>79</v>
      </c>
      <c r="C35" s="27">
        <v>150.0</v>
      </c>
      <c r="D35" s="28">
        <v>15.0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159</v>
      </c>
      <c r="N35" s="28">
        <f t="shared" si="32"/>
        <v>15</v>
      </c>
      <c r="O35" s="33" t="s">
        <v>37</v>
      </c>
      <c r="P35" s="33" t="s">
        <v>37</v>
      </c>
      <c r="Q35" s="31">
        <f>if(G35=13,1,0)+VLOOKUP(B35,'10723'!B$5:Q$64,16,false)</f>
        <v>0</v>
      </c>
      <c r="R35" s="31"/>
      <c r="S35" s="31">
        <f>if(G35=9,1,0)+VLOOKUP(B35,'10723'!B:S,18,false)</f>
        <v>2</v>
      </c>
    </row>
    <row r="36">
      <c r="A36" s="25">
        <f t="shared" si="3"/>
        <v>32</v>
      </c>
      <c r="B36" s="36" t="s">
        <v>81</v>
      </c>
      <c r="C36" s="27">
        <v>149.0</v>
      </c>
      <c r="D36" s="28">
        <v>7.0</v>
      </c>
      <c r="E36" s="30">
        <v>1.0</v>
      </c>
      <c r="F36" s="31">
        <v>5.0</v>
      </c>
      <c r="G36" s="27">
        <v>0.0</v>
      </c>
      <c r="H36" s="31">
        <v>6.0</v>
      </c>
      <c r="I36" s="31">
        <v>7.0</v>
      </c>
      <c r="J36" s="31">
        <v>6.0</v>
      </c>
      <c r="K36" s="32">
        <v>19.0</v>
      </c>
      <c r="L36" s="31">
        <v>2.0</v>
      </c>
      <c r="M36" s="27">
        <f t="shared" ref="M36:N36" si="33">C36+K36</f>
        <v>168</v>
      </c>
      <c r="N36" s="28">
        <f t="shared" si="33"/>
        <v>9</v>
      </c>
      <c r="O36" s="33" t="s">
        <v>37</v>
      </c>
      <c r="P36" s="33" t="s">
        <v>37</v>
      </c>
      <c r="Q36" s="31">
        <f>if(G36=13,1,0)+VLOOKUP(B36,'10723'!B$5:Q$64,16,false)</f>
        <v>0</v>
      </c>
      <c r="R36" s="31"/>
      <c r="S36" s="31">
        <f>if(G36=9,1,0)+VLOOKUP(B36,'10723'!B:S,18,false)</f>
        <v>4</v>
      </c>
    </row>
    <row r="37">
      <c r="A37" s="25">
        <f t="shared" si="3"/>
        <v>33</v>
      </c>
      <c r="B37" s="36" t="s">
        <v>88</v>
      </c>
      <c r="C37" s="27">
        <v>148.0</v>
      </c>
      <c r="D37" s="28">
        <v>8.0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157</v>
      </c>
      <c r="N37" s="28">
        <f t="shared" si="34"/>
        <v>8</v>
      </c>
      <c r="O37" s="33" t="s">
        <v>37</v>
      </c>
      <c r="P37" s="33" t="s">
        <v>37</v>
      </c>
      <c r="Q37" s="31">
        <f>if(G37=13,1,0)+VLOOKUP(B37,'10723'!B$5:Q$64,16,false)</f>
        <v>0</v>
      </c>
      <c r="R37" s="31"/>
      <c r="S37" s="31">
        <f>if(G37=9,1,0)+VLOOKUP(B37,'10723'!B:S,18,false)</f>
        <v>9</v>
      </c>
    </row>
    <row r="38">
      <c r="A38" s="25">
        <f t="shared" si="3"/>
        <v>34</v>
      </c>
      <c r="B38" s="26" t="s">
        <v>74</v>
      </c>
      <c r="C38" s="27">
        <v>147.0</v>
      </c>
      <c r="D38" s="28">
        <v>10.0</v>
      </c>
      <c r="E38" s="30">
        <v>1.0</v>
      </c>
      <c r="F38" s="31">
        <v>5.0</v>
      </c>
      <c r="G38" s="27">
        <v>0.0</v>
      </c>
      <c r="H38" s="31">
        <v>7.0</v>
      </c>
      <c r="I38" s="31">
        <v>6.0</v>
      </c>
      <c r="J38" s="31">
        <v>6.0</v>
      </c>
      <c r="K38" s="32">
        <v>19.0</v>
      </c>
      <c r="L38" s="31">
        <v>2.0</v>
      </c>
      <c r="M38" s="27">
        <f t="shared" ref="M38:N38" si="35">C38+K38</f>
        <v>166</v>
      </c>
      <c r="N38" s="28">
        <f t="shared" si="35"/>
        <v>12</v>
      </c>
      <c r="O38" s="33" t="s">
        <v>37</v>
      </c>
      <c r="P38" s="33" t="s">
        <v>37</v>
      </c>
      <c r="Q38" s="31">
        <f>if(G38=13,1,0)+VLOOKUP(B38,'10723'!B$5:Q$64,16,false)</f>
        <v>0</v>
      </c>
      <c r="R38" s="31"/>
      <c r="S38" s="31">
        <f>if(G38=9,1,0)+VLOOKUP(B38,'10723'!B:S,18,false)</f>
        <v>4</v>
      </c>
    </row>
    <row r="39">
      <c r="A39" s="25">
        <f t="shared" si="3"/>
        <v>35</v>
      </c>
      <c r="B39" s="26" t="s">
        <v>87</v>
      </c>
      <c r="C39" s="27">
        <v>146.0</v>
      </c>
      <c r="D39" s="28">
        <v>8.0</v>
      </c>
      <c r="E39" s="30">
        <v>3.0</v>
      </c>
      <c r="F39" s="31">
        <v>0.0</v>
      </c>
      <c r="G39" s="27">
        <v>9.0</v>
      </c>
      <c r="H39" s="31">
        <v>0.0</v>
      </c>
      <c r="I39" s="31">
        <v>0.0</v>
      </c>
      <c r="J39" s="31">
        <v>0.0</v>
      </c>
      <c r="K39" s="32">
        <v>9.0</v>
      </c>
      <c r="L39" s="31">
        <v>0.0</v>
      </c>
      <c r="M39" s="27">
        <f t="shared" ref="M39:N39" si="36">C39+K39</f>
        <v>155</v>
      </c>
      <c r="N39" s="28">
        <f t="shared" si="36"/>
        <v>8</v>
      </c>
      <c r="O39" s="33" t="s">
        <v>37</v>
      </c>
      <c r="P39" s="33" t="s">
        <v>37</v>
      </c>
      <c r="Q39" s="31">
        <f>if(G39=13,1,0)+VLOOKUP(B39,'10723'!B$5:Q$64,16,false)</f>
        <v>1</v>
      </c>
      <c r="R39" s="31"/>
      <c r="S39" s="31">
        <f>if(G39=9,1,0)+VLOOKUP(B39,'10723'!B:S,18,false)</f>
        <v>6</v>
      </c>
    </row>
    <row r="40">
      <c r="A40" s="25">
        <f t="shared" si="3"/>
        <v>36</v>
      </c>
      <c r="B40" s="26" t="s">
        <v>86</v>
      </c>
      <c r="C40" s="27">
        <v>146.0</v>
      </c>
      <c r="D40" s="28">
        <v>8.0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155</v>
      </c>
      <c r="N40" s="28">
        <f t="shared" si="37"/>
        <v>8</v>
      </c>
      <c r="O40" s="33" t="s">
        <v>37</v>
      </c>
      <c r="P40" s="33" t="s">
        <v>37</v>
      </c>
      <c r="Q40" s="31">
        <f>if(G40=13,1,0)+VLOOKUP(B40,'10723'!B$5:Q$64,16,false)</f>
        <v>0</v>
      </c>
      <c r="R40" s="31"/>
      <c r="S40" s="31">
        <f>if(G40=9,1,0)+VLOOKUP(B40,'10723'!B:S,18,false)</f>
        <v>8</v>
      </c>
    </row>
    <row r="41">
      <c r="A41" s="25">
        <f t="shared" si="3"/>
        <v>37</v>
      </c>
      <c r="B41" s="26" t="s">
        <v>71</v>
      </c>
      <c r="C41" s="27">
        <v>146.0</v>
      </c>
      <c r="D41" s="28">
        <v>8.0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155</v>
      </c>
      <c r="N41" s="28">
        <f t="shared" si="38"/>
        <v>8</v>
      </c>
      <c r="O41" s="33" t="s">
        <v>37</v>
      </c>
      <c r="P41" s="33" t="s">
        <v>37</v>
      </c>
      <c r="Q41" s="31">
        <f>if(G41=13,1,0)+VLOOKUP(B41,'10723'!B$5:Q$64,16,false)</f>
        <v>0</v>
      </c>
      <c r="R41" s="31"/>
      <c r="S41" s="31">
        <f>if(G41=9,1,0)+VLOOKUP(B41,'10723'!B:S,18,false)</f>
        <v>11</v>
      </c>
    </row>
    <row r="42">
      <c r="A42" s="25">
        <f t="shared" si="3"/>
        <v>38</v>
      </c>
      <c r="B42" s="26" t="s">
        <v>89</v>
      </c>
      <c r="C42" s="27">
        <v>146.0</v>
      </c>
      <c r="D42" s="28">
        <v>7.0</v>
      </c>
      <c r="E42" s="30">
        <v>1.0</v>
      </c>
      <c r="F42" s="31">
        <v>6.0</v>
      </c>
      <c r="G42" s="27">
        <v>0.0</v>
      </c>
      <c r="H42" s="31">
        <v>4.0</v>
      </c>
      <c r="I42" s="31">
        <v>4.0</v>
      </c>
      <c r="J42" s="31">
        <v>4.0</v>
      </c>
      <c r="K42" s="32">
        <v>12.0</v>
      </c>
      <c r="L42" s="31">
        <v>0.0</v>
      </c>
      <c r="M42" s="27">
        <f t="shared" ref="M42:N42" si="39">C42+K42</f>
        <v>158</v>
      </c>
      <c r="N42" s="28">
        <f t="shared" si="39"/>
        <v>7</v>
      </c>
      <c r="O42" s="33" t="s">
        <v>37</v>
      </c>
      <c r="P42" s="33" t="s">
        <v>37</v>
      </c>
      <c r="Q42" s="31">
        <f>if(G42=13,1,0)+VLOOKUP(B42,'10723'!B$5:Q$64,16,false)</f>
        <v>2</v>
      </c>
      <c r="R42" s="31"/>
      <c r="S42" s="31">
        <f>if(G42=9,1,0)+VLOOKUP(B42,'10723'!B:S,18,false)</f>
        <v>4</v>
      </c>
    </row>
    <row r="43">
      <c r="A43" s="25">
        <f t="shared" si="3"/>
        <v>39</v>
      </c>
      <c r="B43" s="26" t="s">
        <v>78</v>
      </c>
      <c r="C43" s="27">
        <v>144.0</v>
      </c>
      <c r="D43" s="28">
        <v>12.0</v>
      </c>
      <c r="E43" s="30">
        <v>2.0</v>
      </c>
      <c r="F43" s="31">
        <v>6.0</v>
      </c>
      <c r="G43" s="27">
        <v>0.0</v>
      </c>
      <c r="H43" s="31">
        <v>6.0</v>
      </c>
      <c r="I43" s="31">
        <v>4.0</v>
      </c>
      <c r="J43" s="31">
        <v>6.0</v>
      </c>
      <c r="K43" s="32">
        <v>16.0</v>
      </c>
      <c r="L43" s="31">
        <v>2.0</v>
      </c>
      <c r="M43" s="27">
        <f t="shared" ref="M43:N43" si="40">C43+K43</f>
        <v>160</v>
      </c>
      <c r="N43" s="28">
        <f t="shared" si="40"/>
        <v>14</v>
      </c>
      <c r="O43" s="33" t="s">
        <v>37</v>
      </c>
      <c r="P43" s="33" t="s">
        <v>37</v>
      </c>
      <c r="Q43" s="31">
        <f>if(G43=13,1,0)+VLOOKUP(B43,'10723'!B$5:Q$64,16,false)</f>
        <v>0</v>
      </c>
      <c r="R43" s="31"/>
      <c r="S43" s="31">
        <f>if(G43=9,1,0)+VLOOKUP(B43,'10723'!B:S,18,false)</f>
        <v>5</v>
      </c>
    </row>
    <row r="44">
      <c r="A44" s="25">
        <f t="shared" si="3"/>
        <v>40</v>
      </c>
      <c r="B44" s="26" t="s">
        <v>90</v>
      </c>
      <c r="C44" s="27">
        <v>141.0</v>
      </c>
      <c r="D44" s="28">
        <v>11.0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150</v>
      </c>
      <c r="N44" s="28">
        <f t="shared" si="41"/>
        <v>11</v>
      </c>
      <c r="O44" s="33" t="s">
        <v>37</v>
      </c>
      <c r="P44" s="33" t="s">
        <v>37</v>
      </c>
      <c r="Q44" s="31">
        <f>if(G44=13,1,0)+VLOOKUP(B44,'10723'!B$5:Q$64,16,false)</f>
        <v>0</v>
      </c>
      <c r="R44" s="31"/>
      <c r="S44" s="31">
        <f>if(G44=9,1,0)+VLOOKUP(B44,'10723'!B:S,18,false)</f>
        <v>6</v>
      </c>
    </row>
    <row r="45">
      <c r="A45" s="25">
        <f t="shared" si="3"/>
        <v>41</v>
      </c>
      <c r="B45" s="26" t="s">
        <v>91</v>
      </c>
      <c r="C45" s="27">
        <v>141.0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150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if(G45=13,1,0)+VLOOKUP(B45,'10723'!B$5:Q$64,16,false)</f>
        <v>1</v>
      </c>
      <c r="R45" s="31"/>
      <c r="S45" s="31">
        <f>if(G45=9,1,0)+VLOOKUP(B45,'10723'!B:S,18,false)</f>
        <v>12</v>
      </c>
    </row>
    <row r="46">
      <c r="A46" s="25">
        <f t="shared" si="3"/>
        <v>42</v>
      </c>
      <c r="B46" s="36" t="s">
        <v>93</v>
      </c>
      <c r="C46" s="27">
        <v>140.0</v>
      </c>
      <c r="D46" s="28">
        <v>5.0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149</v>
      </c>
      <c r="N46" s="28">
        <f t="shared" si="43"/>
        <v>5</v>
      </c>
      <c r="O46" s="33" t="s">
        <v>37</v>
      </c>
      <c r="P46" s="33" t="s">
        <v>37</v>
      </c>
      <c r="Q46" s="31">
        <f>if(G46=13,1,0)+VLOOKUP(B46,'10723'!B$5:Q$64,16,false)</f>
        <v>0</v>
      </c>
      <c r="R46" s="31"/>
      <c r="S46" s="31">
        <f>if(G46=9,1,0)+VLOOKUP(B46,'10723'!B:S,18,false)</f>
        <v>13</v>
      </c>
    </row>
    <row r="47">
      <c r="A47" s="25">
        <f t="shared" si="3"/>
        <v>43</v>
      </c>
      <c r="B47" s="36" t="s">
        <v>63</v>
      </c>
      <c r="C47" s="27">
        <v>138.0</v>
      </c>
      <c r="D47" s="28">
        <v>3.0</v>
      </c>
      <c r="E47" s="30">
        <v>1.0</v>
      </c>
      <c r="F47" s="31">
        <v>6.0</v>
      </c>
      <c r="G47" s="27">
        <v>0.0</v>
      </c>
      <c r="H47" s="31">
        <v>6.0</v>
      </c>
      <c r="I47" s="31">
        <v>6.0</v>
      </c>
      <c r="J47" s="31">
        <v>4.0</v>
      </c>
      <c r="K47" s="32">
        <v>16.0</v>
      </c>
      <c r="L47" s="31">
        <v>2.0</v>
      </c>
      <c r="M47" s="27">
        <f t="shared" ref="M47:N47" si="44">C47+K47</f>
        <v>154</v>
      </c>
      <c r="N47" s="28">
        <f t="shared" si="44"/>
        <v>5</v>
      </c>
      <c r="O47" s="33" t="s">
        <v>37</v>
      </c>
      <c r="P47" s="33" t="s">
        <v>37</v>
      </c>
      <c r="Q47" s="31">
        <f>if(G47=13,1,0)+VLOOKUP(B47,'10723'!B$5:Q$64,16,false)</f>
        <v>0</v>
      </c>
      <c r="R47" s="31"/>
      <c r="S47" s="31">
        <f>if(G47=9,1,0)+VLOOKUP(B47,'10723'!B:S,18,false)</f>
        <v>12</v>
      </c>
    </row>
    <row r="48">
      <c r="A48" s="25">
        <f t="shared" si="3"/>
        <v>44</v>
      </c>
      <c r="B48" s="36" t="s">
        <v>94</v>
      </c>
      <c r="C48" s="27">
        <v>137.0</v>
      </c>
      <c r="D48" s="28">
        <v>3.0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146</v>
      </c>
      <c r="N48" s="28">
        <f t="shared" si="45"/>
        <v>3</v>
      </c>
      <c r="O48" s="33" t="s">
        <v>37</v>
      </c>
      <c r="P48" s="33" t="s">
        <v>37</v>
      </c>
      <c r="Q48" s="31">
        <f>if(G48=13,1,0)+VLOOKUP(B48,'10723'!B$5:Q$64,16,false)</f>
        <v>0</v>
      </c>
      <c r="R48" s="31"/>
      <c r="S48" s="31">
        <f>if(G48=9,1,0)+VLOOKUP(B48,'10723'!B:S,18,false)</f>
        <v>11</v>
      </c>
    </row>
    <row r="49">
      <c r="A49" s="25">
        <f t="shared" si="3"/>
        <v>45</v>
      </c>
      <c r="B49" s="36" t="s">
        <v>69</v>
      </c>
      <c r="C49" s="27">
        <v>137.0</v>
      </c>
      <c r="D49" s="28">
        <v>3.0</v>
      </c>
      <c r="E49" s="30">
        <v>1.0</v>
      </c>
      <c r="F49" s="31">
        <v>6.0</v>
      </c>
      <c r="G49" s="27">
        <v>0.0</v>
      </c>
      <c r="H49" s="31">
        <v>4.0</v>
      </c>
      <c r="I49" s="31">
        <v>6.0</v>
      </c>
      <c r="J49" s="31">
        <v>6.0</v>
      </c>
      <c r="K49" s="32">
        <v>16.0</v>
      </c>
      <c r="L49" s="31">
        <v>2.0</v>
      </c>
      <c r="M49" s="27">
        <f t="shared" ref="M49:N49" si="46">C49+K49</f>
        <v>153</v>
      </c>
      <c r="N49" s="28">
        <f t="shared" si="46"/>
        <v>5</v>
      </c>
      <c r="O49" s="33" t="s">
        <v>37</v>
      </c>
      <c r="P49" s="33" t="s">
        <v>37</v>
      </c>
      <c r="Q49" s="31">
        <f>if(G49=13,1,0)+VLOOKUP(B49,'10723'!B$5:Q$64,16,false)</f>
        <v>0</v>
      </c>
      <c r="R49" s="31"/>
      <c r="S49" s="31">
        <f>if(G49=9,1,0)+VLOOKUP(B49,'10723'!B:S,18,false)</f>
        <v>13</v>
      </c>
    </row>
    <row r="50">
      <c r="A50" s="25">
        <f t="shared" si="3"/>
        <v>46</v>
      </c>
      <c r="B50" s="36" t="s">
        <v>98</v>
      </c>
      <c r="C50" s="27">
        <v>135.0</v>
      </c>
      <c r="D50" s="28">
        <v>3.0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144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if(G50=13,1,0)+VLOOKUP(B50,'10723'!B$5:Q$64,16,false)</f>
        <v>0</v>
      </c>
      <c r="R50" s="31"/>
      <c r="S50" s="31">
        <f>if(G50=9,1,0)+VLOOKUP(B50,'10723'!B:S,18,false)</f>
        <v>10</v>
      </c>
    </row>
    <row r="51">
      <c r="A51" s="25">
        <f t="shared" si="3"/>
        <v>47</v>
      </c>
      <c r="B51" s="36" t="s">
        <v>99</v>
      </c>
      <c r="C51" s="27">
        <v>135.0</v>
      </c>
      <c r="D51" s="28">
        <v>3.0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144</v>
      </c>
      <c r="N51" s="28">
        <f t="shared" si="48"/>
        <v>3</v>
      </c>
      <c r="O51" s="33" t="s">
        <v>37</v>
      </c>
      <c r="P51" s="33" t="s">
        <v>37</v>
      </c>
      <c r="Q51" s="31">
        <f>if(G51=13,1,0)+VLOOKUP(B51,'10723'!B$5:Q$64,16,false)</f>
        <v>0</v>
      </c>
      <c r="R51" s="31"/>
      <c r="S51" s="31">
        <f>if(G51=9,1,0)+VLOOKUP(B51,'10723'!B:S,18,false)</f>
        <v>11</v>
      </c>
    </row>
    <row r="52">
      <c r="A52" s="25">
        <f t="shared" si="3"/>
        <v>48</v>
      </c>
      <c r="B52" s="26" t="s">
        <v>95</v>
      </c>
      <c r="C52" s="27">
        <v>133.0</v>
      </c>
      <c r="D52" s="28">
        <v>5.0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142</v>
      </c>
      <c r="N52" s="28">
        <f t="shared" si="49"/>
        <v>5</v>
      </c>
      <c r="O52" s="33" t="s">
        <v>37</v>
      </c>
      <c r="P52" s="33" t="s">
        <v>37</v>
      </c>
      <c r="Q52" s="31">
        <f>if(G52=13,1,0)+VLOOKUP(B52,'10723'!B$5:Q$64,16,false)</f>
        <v>0</v>
      </c>
      <c r="R52" s="31"/>
      <c r="S52" s="31">
        <f>if(G52=9,1,0)+VLOOKUP(B52,'10723'!B:S,18,false)</f>
        <v>10</v>
      </c>
    </row>
    <row r="53">
      <c r="A53" s="25">
        <f t="shared" si="3"/>
        <v>49</v>
      </c>
      <c r="B53" s="36" t="s">
        <v>85</v>
      </c>
      <c r="C53" s="27">
        <v>131.0</v>
      </c>
      <c r="D53" s="28">
        <v>8.0</v>
      </c>
      <c r="E53" s="30">
        <v>1.0</v>
      </c>
      <c r="F53" s="31">
        <v>7.0</v>
      </c>
      <c r="G53" s="27">
        <v>0.0</v>
      </c>
      <c r="H53" s="31">
        <v>7.0</v>
      </c>
      <c r="I53" s="31">
        <v>6.0</v>
      </c>
      <c r="J53" s="31">
        <v>3.0</v>
      </c>
      <c r="K53" s="32">
        <v>16.0</v>
      </c>
      <c r="L53" s="31">
        <v>2.0</v>
      </c>
      <c r="M53" s="27">
        <f t="shared" ref="M53:N53" si="50">C53+K53</f>
        <v>147</v>
      </c>
      <c r="N53" s="28">
        <f t="shared" si="50"/>
        <v>10</v>
      </c>
      <c r="O53" s="33" t="s">
        <v>37</v>
      </c>
      <c r="P53" s="33" t="s">
        <v>37</v>
      </c>
      <c r="Q53" s="31">
        <f>if(G53=13,1,0)+VLOOKUP(B53,'10723'!B$5:Q$64,16,false)</f>
        <v>0</v>
      </c>
      <c r="R53" s="31"/>
      <c r="S53" s="31">
        <f>if(G53=9,1,0)+VLOOKUP(B53,'10723'!B:S,18,false)</f>
        <v>7</v>
      </c>
    </row>
    <row r="54">
      <c r="A54" s="25">
        <f t="shared" si="3"/>
        <v>50</v>
      </c>
      <c r="B54" s="36" t="s">
        <v>76</v>
      </c>
      <c r="C54" s="27">
        <v>130.0</v>
      </c>
      <c r="D54" s="28">
        <v>2.0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139</v>
      </c>
      <c r="N54" s="28">
        <f t="shared" si="51"/>
        <v>2</v>
      </c>
      <c r="O54" s="33" t="s">
        <v>37</v>
      </c>
      <c r="P54" s="33" t="s">
        <v>37</v>
      </c>
      <c r="Q54" s="31">
        <f>if(G54=13,1,0)+VLOOKUP(B54,'10723'!B$5:Q$64,16,false)</f>
        <v>0</v>
      </c>
      <c r="R54" s="31"/>
      <c r="S54" s="31">
        <f>if(G54=9,1,0)+VLOOKUP(B54,'10723'!B:S,18,false)</f>
        <v>14</v>
      </c>
    </row>
    <row r="55">
      <c r="A55" s="25">
        <f t="shared" si="3"/>
        <v>51</v>
      </c>
      <c r="B55" s="26" t="s">
        <v>100</v>
      </c>
      <c r="C55" s="27">
        <v>130.0</v>
      </c>
      <c r="D55" s="28">
        <v>2.0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139</v>
      </c>
      <c r="N55" s="28">
        <f t="shared" si="52"/>
        <v>2</v>
      </c>
      <c r="O55" s="33" t="s">
        <v>37</v>
      </c>
      <c r="P55" s="33" t="s">
        <v>37</v>
      </c>
      <c r="Q55" s="31">
        <f>if(G55=13,1,0)+VLOOKUP(B55,'10723'!B$5:Q$64,16,false)</f>
        <v>0</v>
      </c>
      <c r="R55" s="31"/>
      <c r="S55" s="31">
        <f>if(G55=9,1,0)+VLOOKUP(B55,'10723'!B:S,18,false)</f>
        <v>14</v>
      </c>
    </row>
    <row r="56">
      <c r="A56" s="25">
        <f t="shared" si="3"/>
        <v>52</v>
      </c>
      <c r="B56" s="36" t="s">
        <v>101</v>
      </c>
      <c r="C56" s="27">
        <v>130.0</v>
      </c>
      <c r="D56" s="28">
        <v>2.0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139</v>
      </c>
      <c r="N56" s="28">
        <f t="shared" si="53"/>
        <v>2</v>
      </c>
      <c r="O56" s="33" t="s">
        <v>37</v>
      </c>
      <c r="P56" s="33" t="s">
        <v>37</v>
      </c>
      <c r="Q56" s="31">
        <f>if(G56=13,1,0)+VLOOKUP(B56,'10723'!B$5:Q$64,16,false)</f>
        <v>0</v>
      </c>
      <c r="R56" s="31"/>
      <c r="S56" s="31">
        <f>if(G56=9,1,0)+VLOOKUP(B56,'10723'!B:S,18,false)</f>
        <v>14</v>
      </c>
    </row>
    <row r="57">
      <c r="A57" s="25">
        <f t="shared" si="3"/>
        <v>53</v>
      </c>
      <c r="B57" s="36" t="s">
        <v>97</v>
      </c>
      <c r="C57" s="27">
        <v>128.0</v>
      </c>
      <c r="D57" s="28">
        <v>5.0</v>
      </c>
      <c r="E57" s="30">
        <v>1.0</v>
      </c>
      <c r="F57" s="31">
        <v>7.0</v>
      </c>
      <c r="G57" s="27">
        <v>0.0</v>
      </c>
      <c r="H57" s="31">
        <v>7.0</v>
      </c>
      <c r="I57" s="31">
        <v>3.0</v>
      </c>
      <c r="J57" s="31">
        <v>6.0</v>
      </c>
      <c r="K57" s="32">
        <v>16.0</v>
      </c>
      <c r="L57" s="31">
        <v>2.0</v>
      </c>
      <c r="M57" s="27">
        <f t="shared" ref="M57:N57" si="54">C57+K57</f>
        <v>144</v>
      </c>
      <c r="N57" s="28">
        <f t="shared" si="54"/>
        <v>7</v>
      </c>
      <c r="O57" s="33" t="s">
        <v>37</v>
      </c>
      <c r="P57" s="33" t="s">
        <v>37</v>
      </c>
      <c r="Q57" s="31">
        <f>if(G57=13,1,0)+VLOOKUP(B57,'10723'!B$5:Q$64,16,false)</f>
        <v>0</v>
      </c>
      <c r="R57" s="31"/>
      <c r="S57" s="31">
        <f>if(G57=9,1,0)+VLOOKUP(B57,'10723'!B:S,18,false)</f>
        <v>9</v>
      </c>
    </row>
    <row r="58">
      <c r="A58" s="25">
        <f t="shared" si="3"/>
        <v>54</v>
      </c>
      <c r="B58" s="36" t="s">
        <v>96</v>
      </c>
      <c r="C58" s="27">
        <v>127.0</v>
      </c>
      <c r="D58" s="28">
        <v>7.0</v>
      </c>
      <c r="E58" s="30">
        <v>1.0</v>
      </c>
      <c r="F58" s="31">
        <v>7.0</v>
      </c>
      <c r="G58" s="27">
        <v>0.0</v>
      </c>
      <c r="H58" s="31">
        <v>5.0</v>
      </c>
      <c r="I58" s="31">
        <v>6.0</v>
      </c>
      <c r="J58" s="31">
        <v>6.0</v>
      </c>
      <c r="K58" s="32">
        <v>17.0</v>
      </c>
      <c r="L58" s="31">
        <v>2.0</v>
      </c>
      <c r="M58" s="27">
        <f t="shared" ref="M58:N58" si="55">C58+K58</f>
        <v>144</v>
      </c>
      <c r="N58" s="28">
        <f t="shared" si="55"/>
        <v>9</v>
      </c>
      <c r="O58" s="33" t="s">
        <v>37</v>
      </c>
      <c r="P58" s="33" t="s">
        <v>37</v>
      </c>
      <c r="Q58" s="31">
        <f>if(G58=13,1,0)+VLOOKUP(B58,'10723'!B$5:Q$64,16,false)</f>
        <v>0</v>
      </c>
      <c r="R58" s="31"/>
      <c r="S58" s="31">
        <f>if(G58=9,1,0)+VLOOKUP(B58,'10723'!B:S,18,false)</f>
        <v>7</v>
      </c>
    </row>
    <row r="59">
      <c r="A59" s="25">
        <f t="shared" si="3"/>
        <v>55</v>
      </c>
      <c r="B59" s="26" t="s">
        <v>103</v>
      </c>
      <c r="C59" s="27">
        <v>126.0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135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if(G59=13,1,0)+VLOOKUP(B59,'10723'!B$5:Q$64,16,false)</f>
        <v>0</v>
      </c>
      <c r="R59" s="31"/>
      <c r="S59" s="31">
        <f>if(G59=9,1,0)+VLOOKUP(B59,'10723'!B:S,18,false)</f>
        <v>15</v>
      </c>
    </row>
    <row r="60">
      <c r="A60" s="25">
        <f t="shared" si="3"/>
        <v>56</v>
      </c>
      <c r="B60" s="36" t="s">
        <v>104</v>
      </c>
      <c r="C60" s="27">
        <v>126.0</v>
      </c>
      <c r="D60" s="28">
        <v>0.0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135</v>
      </c>
      <c r="N60" s="28">
        <f t="shared" si="57"/>
        <v>0</v>
      </c>
      <c r="O60" s="33" t="s">
        <v>37</v>
      </c>
      <c r="P60" s="33" t="s">
        <v>37</v>
      </c>
      <c r="Q60" s="31">
        <f>if(G60=13,1,0)+VLOOKUP(B60,'10723'!B$5:Q$64,16,false)</f>
        <v>0</v>
      </c>
      <c r="R60" s="31"/>
      <c r="S60" s="31">
        <f>if(G60=9,1,0)+VLOOKUP(B60,'10723'!B:S,18,false)</f>
        <v>15</v>
      </c>
    </row>
    <row r="61">
      <c r="A61" s="25">
        <f t="shared" si="3"/>
        <v>57</v>
      </c>
      <c r="B61" s="26" t="s">
        <v>105</v>
      </c>
      <c r="C61" s="27">
        <v>126.0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135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if(G61=13,1,0)+VLOOKUP(B61,'10723'!B$5:Q$64,16,false)</f>
        <v>0</v>
      </c>
      <c r="R61" s="31"/>
      <c r="S61" s="31">
        <f>if(G61=9,1,0)+VLOOKUP(B61,'10723'!B:S,18,false)</f>
        <v>15</v>
      </c>
    </row>
    <row r="62">
      <c r="A62" s="25">
        <f t="shared" si="3"/>
        <v>58</v>
      </c>
      <c r="B62" s="26" t="s">
        <v>106</v>
      </c>
      <c r="C62" s="27">
        <v>126.0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135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if(G62=13,1,0)+VLOOKUP(B62,'10723'!B$5:Q$64,16,false)</f>
        <v>0</v>
      </c>
      <c r="R62" s="31"/>
      <c r="S62" s="31">
        <f>if(G62=9,1,0)+VLOOKUP(B62,'10723'!B:S,18,false)</f>
        <v>15</v>
      </c>
    </row>
    <row r="63">
      <c r="A63" s="25">
        <f t="shared" si="3"/>
        <v>59</v>
      </c>
      <c r="B63" s="36" t="s">
        <v>108</v>
      </c>
      <c r="C63" s="27">
        <v>123.0</v>
      </c>
      <c r="D63" s="28">
        <v>5.0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132</v>
      </c>
      <c r="N63" s="28">
        <f t="shared" si="60"/>
        <v>5</v>
      </c>
      <c r="O63" s="33" t="s">
        <v>37</v>
      </c>
      <c r="P63" s="33" t="s">
        <v>37</v>
      </c>
      <c r="Q63" s="31">
        <f>if(G63=13,1,0)+VLOOKUP(B63,'10723'!B$5:Q$64,16,false)</f>
        <v>0</v>
      </c>
      <c r="R63" s="31"/>
      <c r="S63" s="31">
        <f>if(G63=9,1,0)+VLOOKUP(B63,'10723'!B:S,18,false)</f>
        <v>10</v>
      </c>
    </row>
    <row r="64">
      <c r="A64" s="25">
        <f t="shared" si="3"/>
        <v>60</v>
      </c>
      <c r="B64" s="36" t="s">
        <v>109</v>
      </c>
      <c r="C64" s="27">
        <v>118.0</v>
      </c>
      <c r="D64" s="28">
        <v>1.0</v>
      </c>
      <c r="E64" s="30">
        <v>1.0</v>
      </c>
      <c r="F64" s="31">
        <v>7.0</v>
      </c>
      <c r="G64" s="27">
        <v>0.0</v>
      </c>
      <c r="H64" s="31">
        <v>5.0</v>
      </c>
      <c r="I64" s="31">
        <v>3.0</v>
      </c>
      <c r="J64" s="31">
        <v>3.0</v>
      </c>
      <c r="K64" s="32">
        <v>11.0</v>
      </c>
      <c r="L64" s="31">
        <v>0.0</v>
      </c>
      <c r="M64" s="27">
        <f t="shared" ref="M64:N64" si="61">C64+K64</f>
        <v>129</v>
      </c>
      <c r="N64" s="28">
        <f t="shared" si="61"/>
        <v>1</v>
      </c>
      <c r="O64" s="33" t="s">
        <v>37</v>
      </c>
      <c r="P64" s="33" t="s">
        <v>37</v>
      </c>
      <c r="Q64" s="31">
        <f>if(G64=13,1,0)+VLOOKUP(B64,'10723'!B$5:Q$64,16,false)</f>
        <v>0</v>
      </c>
      <c r="R64" s="31"/>
      <c r="S64" s="31">
        <f>if(G64=9,1,0)+VLOOKUP(B64,'10723'!B:S,18,false)</f>
        <v>5</v>
      </c>
    </row>
    <row r="65">
      <c r="A65" s="1"/>
      <c r="C65" s="1"/>
      <c r="D65" s="1"/>
      <c r="E65" s="1"/>
      <c r="P65" s="1"/>
    </row>
    <row r="66">
      <c r="A66" s="1"/>
      <c r="B66" s="39">
        <f>COUNTA(B5:B64)</f>
        <v>60</v>
      </c>
      <c r="C66" s="1"/>
      <c r="D66" s="1"/>
      <c r="E66" s="1"/>
      <c r="O66" s="34" t="s">
        <v>110</v>
      </c>
      <c r="P66" s="40">
        <f>COUNTA(P5:P64)</f>
        <v>60</v>
      </c>
    </row>
    <row r="67">
      <c r="A67" s="1"/>
      <c r="C67" s="1"/>
      <c r="D67" s="1"/>
      <c r="E67" s="1"/>
      <c r="O67" s="34" t="s">
        <v>111</v>
      </c>
      <c r="P67" s="40">
        <f>P68-P66</f>
        <v>0</v>
      </c>
    </row>
    <row r="68">
      <c r="A68" s="1"/>
      <c r="C68" s="1"/>
      <c r="D68" s="1"/>
      <c r="J68" s="41"/>
      <c r="K68" s="42"/>
      <c r="L68" s="43"/>
      <c r="O68" s="34" t="s">
        <v>41</v>
      </c>
      <c r="P68" s="40">
        <f>B66</f>
        <v>60</v>
      </c>
    </row>
    <row r="69">
      <c r="A69" s="1"/>
      <c r="C69" s="1"/>
      <c r="D69" s="1"/>
      <c r="E69" s="34" t="s">
        <v>112</v>
      </c>
      <c r="J69" s="41"/>
      <c r="K69" s="42"/>
      <c r="L69" s="43"/>
    </row>
    <row r="70">
      <c r="A70" s="1"/>
      <c r="C70" s="1"/>
      <c r="D70" s="1"/>
      <c r="J70" s="41"/>
      <c r="K70" s="42"/>
      <c r="L70" s="43"/>
    </row>
    <row r="71">
      <c r="A71" s="1"/>
      <c r="C71" s="1"/>
      <c r="D71" s="1"/>
      <c r="J71" s="41"/>
      <c r="K71" s="42"/>
      <c r="L71" s="43"/>
    </row>
    <row r="72">
      <c r="A72" s="1"/>
      <c r="B72" s="45" t="s">
        <v>113</v>
      </c>
      <c r="C72" s="45" t="s">
        <v>114</v>
      </c>
      <c r="D72" s="45" t="s">
        <v>115</v>
      </c>
      <c r="J72" s="41"/>
      <c r="K72" s="42"/>
      <c r="L72" s="43"/>
    </row>
    <row r="73">
      <c r="A73" s="1"/>
      <c r="B73" s="36" t="str">
        <f>IFERROR(__xludf.DUMMYFUNCTION("QUERY(B5:L64,""Select B, K, L where K &gt;= 18 order by K desc, L desc"",0)"),"Sandy Weyant")</f>
        <v>Sandy Weyant</v>
      </c>
      <c r="C73" s="46">
        <f>IFERROR(__xludf.DUMMYFUNCTION("""COMPUTED_VALUE"""),19.0)</f>
        <v>19</v>
      </c>
      <c r="D73" s="46">
        <f>IFERROR(__xludf.DUMMYFUNCTION("""COMPUTED_VALUE"""),2.0)</f>
        <v>2</v>
      </c>
      <c r="E73" s="1"/>
      <c r="K73" s="42"/>
      <c r="L73" s="43"/>
    </row>
    <row r="74">
      <c r="A74" s="1"/>
      <c r="B74" s="36" t="str">
        <f>IFERROR(__xludf.DUMMYFUNCTION("""COMPUTED_VALUE"""),"Rosie Bonilla")</f>
        <v>Rosie Bonilla</v>
      </c>
      <c r="C74" s="46">
        <f>IFERROR(__xludf.DUMMYFUNCTION("""COMPUTED_VALUE"""),19.0)</f>
        <v>19</v>
      </c>
      <c r="D74" s="46">
        <f>IFERROR(__xludf.DUMMYFUNCTION("""COMPUTED_VALUE"""),2.0)</f>
        <v>2</v>
      </c>
      <c r="E74" s="1"/>
      <c r="L74" s="47"/>
    </row>
    <row r="75">
      <c r="A75" s="1"/>
      <c r="B75" s="36" t="str">
        <f>IFERROR(__xludf.DUMMYFUNCTION("""COMPUTED_VALUE"""),"Oscar Bonilla")</f>
        <v>Oscar Bonilla</v>
      </c>
      <c r="C75" s="46">
        <f>IFERROR(__xludf.DUMMYFUNCTION("""COMPUTED_VALUE"""),18.0)</f>
        <v>18</v>
      </c>
      <c r="D75" s="46">
        <f>IFERROR(__xludf.DUMMYFUNCTION("""COMPUTED_VALUE"""),2.0)</f>
        <v>2</v>
      </c>
      <c r="E75" s="1"/>
    </row>
    <row r="76">
      <c r="A76" s="1"/>
      <c r="B76" s="36"/>
      <c r="C76" s="36"/>
      <c r="D76" s="36"/>
      <c r="E76" s="1"/>
    </row>
    <row r="77">
      <c r="A77" s="1"/>
      <c r="B77" s="36"/>
      <c r="C77" s="46"/>
      <c r="D77" s="46"/>
      <c r="E77" s="1"/>
      <c r="K77" s="34"/>
    </row>
    <row r="78">
      <c r="A78" s="1"/>
      <c r="B78" s="36"/>
      <c r="C78" s="46"/>
      <c r="D78" s="46"/>
      <c r="E78" s="1"/>
      <c r="K78" s="34"/>
    </row>
    <row r="79">
      <c r="A79" s="1"/>
      <c r="B79" s="36"/>
      <c r="C79" s="46"/>
      <c r="D79" s="46"/>
      <c r="E79" s="1"/>
      <c r="K79" s="34"/>
    </row>
    <row r="80">
      <c r="A80" s="1"/>
      <c r="B80" s="36"/>
      <c r="C80" s="46"/>
      <c r="D80" s="46"/>
      <c r="E80" s="1"/>
      <c r="K80" s="34"/>
    </row>
    <row r="81">
      <c r="A81" s="1"/>
      <c r="B81" s="36"/>
      <c r="C81" s="46"/>
      <c r="D81" s="46"/>
      <c r="E81" s="1"/>
    </row>
    <row r="82">
      <c r="A82" s="1"/>
      <c r="B82" s="36"/>
      <c r="C82" s="46"/>
      <c r="D82" s="46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B85" s="20" t="s">
        <v>25</v>
      </c>
      <c r="C85" s="21" t="s">
        <v>8</v>
      </c>
      <c r="D85" s="21" t="s">
        <v>14</v>
      </c>
      <c r="E85" s="21" t="s">
        <v>26</v>
      </c>
      <c r="F85" s="21" t="s">
        <v>27</v>
      </c>
      <c r="G85" s="21" t="s">
        <v>28</v>
      </c>
      <c r="H85" s="21" t="s">
        <v>17</v>
      </c>
      <c r="I85" s="21" t="s">
        <v>18</v>
      </c>
      <c r="J85" s="21" t="s">
        <v>19</v>
      </c>
      <c r="K85" s="21" t="s">
        <v>8</v>
      </c>
      <c r="L85" s="21" t="s">
        <v>14</v>
      </c>
      <c r="M85" s="22" t="s">
        <v>8</v>
      </c>
      <c r="N85" s="22" t="s">
        <v>14</v>
      </c>
    </row>
    <row r="86">
      <c r="A86" s="1"/>
      <c r="B86" s="48" t="str">
        <f>IFERROR(__xludf.DUMMYFUNCTION("QUERY(B5:N64, ""Select B, C, D, E, F, G, H, I, J, K, L, M, N   where F &gt;= 1"")"),"Peter Cheng")</f>
        <v>Peter Cheng</v>
      </c>
      <c r="C86" s="49">
        <f>IFERROR(__xludf.DUMMYFUNCTION("""COMPUTED_VALUE"""),188.0)</f>
        <v>188</v>
      </c>
      <c r="D86" s="50">
        <f>IFERROR(__xludf.DUMMYFUNCTION("""COMPUTED_VALUE"""),19.0)</f>
        <v>19</v>
      </c>
      <c r="E86" s="49">
        <f>IFERROR(__xludf.DUMMYFUNCTION("""COMPUTED_VALUE"""),1.0)</f>
        <v>1</v>
      </c>
      <c r="F86" s="51">
        <f>IFERROR(__xludf.DUMMYFUNCTION("""COMPUTED_VALUE"""),1.0)</f>
        <v>1</v>
      </c>
      <c r="G86" s="51">
        <f>IFERROR(__xludf.DUMMYFUNCTION("""COMPUTED_VALUE"""),0.0)</f>
        <v>0</v>
      </c>
      <c r="H86" s="51">
        <f>IFERROR(__xludf.DUMMYFUNCTION("""COMPUTED_VALUE"""),6.0)</f>
        <v>6</v>
      </c>
      <c r="I86" s="51">
        <f>IFERROR(__xludf.DUMMYFUNCTION("""COMPUTED_VALUE"""),1.0)</f>
        <v>1</v>
      </c>
      <c r="J86" s="51">
        <f>IFERROR(__xludf.DUMMYFUNCTION("""COMPUTED_VALUE"""),6.0)</f>
        <v>6</v>
      </c>
      <c r="K86" s="51">
        <f>IFERROR(__xludf.DUMMYFUNCTION("""COMPUTED_VALUE"""),13.0)</f>
        <v>13</v>
      </c>
      <c r="L86" s="51">
        <f>IFERROR(__xludf.DUMMYFUNCTION("""COMPUTED_VALUE"""),2.0)</f>
        <v>2</v>
      </c>
      <c r="M86" s="51">
        <f>IFERROR(__xludf.DUMMYFUNCTION("""COMPUTED_VALUE"""),201.0)</f>
        <v>201</v>
      </c>
      <c r="N86" s="52">
        <f>IFERROR(__xludf.DUMMYFUNCTION("""COMPUTED_VALUE"""),21.0)</f>
        <v>21</v>
      </c>
    </row>
    <row r="87">
      <c r="A87" s="1"/>
      <c r="B87" s="48" t="str">
        <f>IFERROR(__xludf.DUMMYFUNCTION("""COMPUTED_VALUE"""),"Pulkit Mathur")</f>
        <v>Pulkit Mathur</v>
      </c>
      <c r="C87" s="49">
        <f>IFERROR(__xludf.DUMMYFUNCTION("""COMPUTED_VALUE"""),181.0)</f>
        <v>181</v>
      </c>
      <c r="D87" s="50">
        <f>IFERROR(__xludf.DUMMYFUNCTION("""COMPUTED_VALUE"""),17.0)</f>
        <v>17</v>
      </c>
      <c r="E87" s="49">
        <f>IFERROR(__xludf.DUMMYFUNCTION("""COMPUTED_VALUE"""),2.0)</f>
        <v>2</v>
      </c>
      <c r="F87" s="51">
        <f>IFERROR(__xludf.DUMMYFUNCTION("""COMPUTED_VALUE"""),1.0)</f>
        <v>1</v>
      </c>
      <c r="G87" s="51">
        <f>IFERROR(__xludf.DUMMYFUNCTION("""COMPUTED_VALUE"""),0.0)</f>
        <v>0</v>
      </c>
      <c r="H87" s="51">
        <f>IFERROR(__xludf.DUMMYFUNCTION("""COMPUTED_VALUE"""),3.0)</f>
        <v>3</v>
      </c>
      <c r="I87" s="51">
        <f>IFERROR(__xludf.DUMMYFUNCTION("""COMPUTED_VALUE"""),6.0)</f>
        <v>6</v>
      </c>
      <c r="J87" s="51">
        <f>IFERROR(__xludf.DUMMYFUNCTION("""COMPUTED_VALUE"""),6.0)</f>
        <v>6</v>
      </c>
      <c r="K87" s="51">
        <f>IFERROR(__xludf.DUMMYFUNCTION("""COMPUTED_VALUE"""),15.0)</f>
        <v>15</v>
      </c>
      <c r="L87" s="51">
        <f>IFERROR(__xludf.DUMMYFUNCTION("""COMPUTED_VALUE"""),2.0)</f>
        <v>2</v>
      </c>
      <c r="M87" s="51">
        <f>IFERROR(__xludf.DUMMYFUNCTION("""COMPUTED_VALUE"""),196.0)</f>
        <v>196</v>
      </c>
      <c r="N87" s="52">
        <f>IFERROR(__xludf.DUMMYFUNCTION("""COMPUTED_VALUE"""),19.0)</f>
        <v>19</v>
      </c>
    </row>
    <row r="88">
      <c r="A88" s="1"/>
      <c r="B88" s="48" t="str">
        <f>IFERROR(__xludf.DUMMYFUNCTION("""COMPUTED_VALUE"""),"Erik Hoeckmann")</f>
        <v>Erik Hoeckmann</v>
      </c>
      <c r="C88" s="49">
        <f>IFERROR(__xludf.DUMMYFUNCTION("""COMPUTED_VALUE"""),175.0)</f>
        <v>175</v>
      </c>
      <c r="D88" s="50">
        <f>IFERROR(__xludf.DUMMYFUNCTION("""COMPUTED_VALUE"""),13.0)</f>
        <v>13</v>
      </c>
      <c r="E88" s="49">
        <f>IFERROR(__xludf.DUMMYFUNCTION("""COMPUTED_VALUE"""),1.0)</f>
        <v>1</v>
      </c>
      <c r="F88" s="51">
        <f>IFERROR(__xludf.DUMMYFUNCTION("""COMPUTED_VALUE"""),1.0)</f>
        <v>1</v>
      </c>
      <c r="G88" s="51">
        <f>IFERROR(__xludf.DUMMYFUNCTION("""COMPUTED_VALUE"""),0.0)</f>
        <v>0</v>
      </c>
      <c r="H88" s="51">
        <f>IFERROR(__xludf.DUMMYFUNCTION("""COMPUTED_VALUE"""),3.0)</f>
        <v>3</v>
      </c>
      <c r="I88" s="51">
        <f>IFERROR(__xludf.DUMMYFUNCTION("""COMPUTED_VALUE"""),1.0)</f>
        <v>1</v>
      </c>
      <c r="J88" s="51">
        <f>IFERROR(__xludf.DUMMYFUNCTION("""COMPUTED_VALUE"""),4.0)</f>
        <v>4</v>
      </c>
      <c r="K88" s="51">
        <f>IFERROR(__xludf.DUMMYFUNCTION("""COMPUTED_VALUE"""),8.0)</f>
        <v>8</v>
      </c>
      <c r="L88" s="51">
        <f>IFERROR(__xludf.DUMMYFUNCTION("""COMPUTED_VALUE"""),0.0)</f>
        <v>0</v>
      </c>
      <c r="M88" s="51">
        <f>IFERROR(__xludf.DUMMYFUNCTION("""COMPUTED_VALUE"""),183.0)</f>
        <v>183</v>
      </c>
      <c r="N88" s="52">
        <f>IFERROR(__xludf.DUMMYFUNCTION("""COMPUTED_VALUE"""),13.0)</f>
        <v>13</v>
      </c>
    </row>
    <row r="89">
      <c r="A89" s="1"/>
      <c r="B89" s="48" t="str">
        <f>IFERROR(__xludf.DUMMYFUNCTION("""COMPUTED_VALUE"""),"Matthew Huang")</f>
        <v>Matthew Huang</v>
      </c>
      <c r="C89" s="49">
        <f>IFERROR(__xludf.DUMMYFUNCTION("""COMPUTED_VALUE"""),172.0)</f>
        <v>172</v>
      </c>
      <c r="D89" s="50">
        <f>IFERROR(__xludf.DUMMYFUNCTION("""COMPUTED_VALUE"""),13.0)</f>
        <v>13</v>
      </c>
      <c r="E89" s="49">
        <f>IFERROR(__xludf.DUMMYFUNCTION("""COMPUTED_VALUE"""),1.0)</f>
        <v>1</v>
      </c>
      <c r="F89" s="51">
        <f>IFERROR(__xludf.DUMMYFUNCTION("""COMPUTED_VALUE"""),1.0)</f>
        <v>1</v>
      </c>
      <c r="G89" s="51">
        <f>IFERROR(__xludf.DUMMYFUNCTION("""COMPUTED_VALUE"""),0.0)</f>
        <v>0</v>
      </c>
      <c r="H89" s="51">
        <f>IFERROR(__xludf.DUMMYFUNCTION("""COMPUTED_VALUE"""),6.0)</f>
        <v>6</v>
      </c>
      <c r="I89" s="51">
        <f>IFERROR(__xludf.DUMMYFUNCTION("""COMPUTED_VALUE"""),6.0)</f>
        <v>6</v>
      </c>
      <c r="J89" s="51">
        <f>IFERROR(__xludf.DUMMYFUNCTION("""COMPUTED_VALUE"""),4.0)</f>
        <v>4</v>
      </c>
      <c r="K89" s="51">
        <f>IFERROR(__xludf.DUMMYFUNCTION("""COMPUTED_VALUE"""),16.0)</f>
        <v>16</v>
      </c>
      <c r="L89" s="51">
        <f>IFERROR(__xludf.DUMMYFUNCTION("""COMPUTED_VALUE"""),2.0)</f>
        <v>2</v>
      </c>
      <c r="M89" s="51">
        <f>IFERROR(__xludf.DUMMYFUNCTION("""COMPUTED_VALUE"""),188.0)</f>
        <v>188</v>
      </c>
      <c r="N89" s="52">
        <f>IFERROR(__xludf.DUMMYFUNCTION("""COMPUTED_VALUE"""),15.0)</f>
        <v>15</v>
      </c>
    </row>
    <row r="90">
      <c r="A90" s="1"/>
      <c r="B90" s="53" t="str">
        <f>IFERROR(__xludf.DUMMYFUNCTION("""COMPUTED_VALUE"""),"Lam Bui")</f>
        <v>Lam Bui</v>
      </c>
      <c r="C90" s="54">
        <f>IFERROR(__xludf.DUMMYFUNCTION("""COMPUTED_VALUE"""),171.0)</f>
        <v>171</v>
      </c>
      <c r="D90" s="55">
        <f>IFERROR(__xludf.DUMMYFUNCTION("""COMPUTED_VALUE"""),13.0)</f>
        <v>13</v>
      </c>
      <c r="E90" s="54">
        <f>IFERROR(__xludf.DUMMYFUNCTION("""COMPUTED_VALUE"""),1.0)</f>
        <v>1</v>
      </c>
      <c r="F90" s="56">
        <f>IFERROR(__xludf.DUMMYFUNCTION("""COMPUTED_VALUE"""),2.0)</f>
        <v>2</v>
      </c>
      <c r="G90" s="56">
        <f>IFERROR(__xludf.DUMMYFUNCTION("""COMPUTED_VALUE"""),0.0)</f>
        <v>0</v>
      </c>
      <c r="H90" s="56">
        <f>IFERROR(__xludf.DUMMYFUNCTION("""COMPUTED_VALUE"""),4.0)</f>
        <v>4</v>
      </c>
      <c r="I90" s="56">
        <f>IFERROR(__xludf.DUMMYFUNCTION("""COMPUTED_VALUE"""),6.0)</f>
        <v>6</v>
      </c>
      <c r="J90" s="56">
        <f>IFERROR(__xludf.DUMMYFUNCTION("""COMPUTED_VALUE"""),6.0)</f>
        <v>6</v>
      </c>
      <c r="K90" s="56">
        <f>IFERROR(__xludf.DUMMYFUNCTION("""COMPUTED_VALUE"""),16.0)</f>
        <v>16</v>
      </c>
      <c r="L90" s="56">
        <f>IFERROR(__xludf.DUMMYFUNCTION("""COMPUTED_VALUE"""),2.0)</f>
        <v>2</v>
      </c>
      <c r="M90" s="56">
        <f>IFERROR(__xludf.DUMMYFUNCTION("""COMPUTED_VALUE"""),187.0)</f>
        <v>187</v>
      </c>
      <c r="N90" s="57">
        <f>IFERROR(__xludf.DUMMYFUNCTION("""COMPUTED_VALUE"""),15.0)</f>
        <v>15</v>
      </c>
    </row>
    <row r="91">
      <c r="A91" s="1"/>
      <c r="B91" s="53" t="str">
        <f>IFERROR(__xludf.DUMMYFUNCTION("""COMPUTED_VALUE"""),"Robert Chang")</f>
        <v>Robert Chang</v>
      </c>
      <c r="C91" s="54">
        <f>IFERROR(__xludf.DUMMYFUNCTION("""COMPUTED_VALUE"""),170.0)</f>
        <v>170</v>
      </c>
      <c r="D91" s="55">
        <f>IFERROR(__xludf.DUMMYFUNCTION("""COMPUTED_VALUE"""),13.0)</f>
        <v>13</v>
      </c>
      <c r="E91" s="54">
        <f>IFERROR(__xludf.DUMMYFUNCTION("""COMPUTED_VALUE"""),1.0)</f>
        <v>1</v>
      </c>
      <c r="F91" s="56">
        <f>IFERROR(__xludf.DUMMYFUNCTION("""COMPUTED_VALUE"""),2.0)</f>
        <v>2</v>
      </c>
      <c r="G91" s="56">
        <f>IFERROR(__xludf.DUMMYFUNCTION("""COMPUTED_VALUE"""),0.0)</f>
        <v>0</v>
      </c>
      <c r="H91" s="56">
        <f>IFERROR(__xludf.DUMMYFUNCTION("""COMPUTED_VALUE"""),6.0)</f>
        <v>6</v>
      </c>
      <c r="I91" s="56">
        <f>IFERROR(__xludf.DUMMYFUNCTION("""COMPUTED_VALUE"""),6.0)</f>
        <v>6</v>
      </c>
      <c r="J91" s="56">
        <f>IFERROR(__xludf.DUMMYFUNCTION("""COMPUTED_VALUE"""),4.0)</f>
        <v>4</v>
      </c>
      <c r="K91" s="56">
        <f>IFERROR(__xludf.DUMMYFUNCTION("""COMPUTED_VALUE"""),16.0)</f>
        <v>16</v>
      </c>
      <c r="L91" s="56">
        <f>IFERROR(__xludf.DUMMYFUNCTION("""COMPUTED_VALUE"""),2.0)</f>
        <v>2</v>
      </c>
      <c r="M91" s="56">
        <f>IFERROR(__xludf.DUMMYFUNCTION("""COMPUTED_VALUE"""),186.0)</f>
        <v>186</v>
      </c>
      <c r="N91" s="57">
        <f>IFERROR(__xludf.DUMMYFUNCTION("""COMPUTED_VALUE"""),15.0)</f>
        <v>15</v>
      </c>
    </row>
    <row r="92">
      <c r="A92" s="1"/>
      <c r="B92" s="53" t="str">
        <f>IFERROR(__xludf.DUMMYFUNCTION("""COMPUTED_VALUE"""),"Chinna Ponnaganti")</f>
        <v>Chinna Ponnaganti</v>
      </c>
      <c r="C92" s="54">
        <f>IFERROR(__xludf.DUMMYFUNCTION("""COMPUTED_VALUE"""),169.0)</f>
        <v>169</v>
      </c>
      <c r="D92" s="55">
        <f>IFERROR(__xludf.DUMMYFUNCTION("""COMPUTED_VALUE"""),18.0)</f>
        <v>18</v>
      </c>
      <c r="E92" s="54">
        <f>IFERROR(__xludf.DUMMYFUNCTION("""COMPUTED_VALUE"""),1.0)</f>
        <v>1</v>
      </c>
      <c r="F92" s="56">
        <f>IFERROR(__xludf.DUMMYFUNCTION("""COMPUTED_VALUE"""),2.0)</f>
        <v>2</v>
      </c>
      <c r="G92" s="56">
        <f>IFERROR(__xludf.DUMMYFUNCTION("""COMPUTED_VALUE"""),0.0)</f>
        <v>0</v>
      </c>
      <c r="H92" s="56">
        <f>IFERROR(__xludf.DUMMYFUNCTION("""COMPUTED_VALUE"""),6.0)</f>
        <v>6</v>
      </c>
      <c r="I92" s="56">
        <f>IFERROR(__xludf.DUMMYFUNCTION("""COMPUTED_VALUE"""),2.0)</f>
        <v>2</v>
      </c>
      <c r="J92" s="56">
        <f>IFERROR(__xludf.DUMMYFUNCTION("""COMPUTED_VALUE"""),6.0)</f>
        <v>6</v>
      </c>
      <c r="K92" s="56">
        <f>IFERROR(__xludf.DUMMYFUNCTION("""COMPUTED_VALUE"""),14.0)</f>
        <v>14</v>
      </c>
      <c r="L92" s="56">
        <f>IFERROR(__xludf.DUMMYFUNCTION("""COMPUTED_VALUE"""),2.0)</f>
        <v>2</v>
      </c>
      <c r="M92" s="56">
        <f>IFERROR(__xludf.DUMMYFUNCTION("""COMPUTED_VALUE"""),183.0)</f>
        <v>183</v>
      </c>
      <c r="N92" s="57">
        <f>IFERROR(__xludf.DUMMYFUNCTION("""COMPUTED_VALUE"""),20.0)</f>
        <v>20</v>
      </c>
    </row>
    <row r="93">
      <c r="A93" s="1"/>
      <c r="B93" s="53" t="str">
        <f>IFERROR(__xludf.DUMMYFUNCTION("""COMPUTED_VALUE"""),"Jonathan Phan")</f>
        <v>Jonathan Phan</v>
      </c>
      <c r="C93" s="54">
        <f>IFERROR(__xludf.DUMMYFUNCTION("""COMPUTED_VALUE"""),167.0)</f>
        <v>167</v>
      </c>
      <c r="D93" s="55">
        <f>IFERROR(__xludf.DUMMYFUNCTION("""COMPUTED_VALUE"""),15.0)</f>
        <v>15</v>
      </c>
      <c r="E93" s="54">
        <f>IFERROR(__xludf.DUMMYFUNCTION("""COMPUTED_VALUE"""),2.0)</f>
        <v>2</v>
      </c>
      <c r="F93" s="56">
        <f>IFERROR(__xludf.DUMMYFUNCTION("""COMPUTED_VALUE"""),2.0)</f>
        <v>2</v>
      </c>
      <c r="G93" s="56">
        <f>IFERROR(__xludf.DUMMYFUNCTION("""COMPUTED_VALUE"""),0.0)</f>
        <v>0</v>
      </c>
      <c r="H93" s="56">
        <f>IFERROR(__xludf.DUMMYFUNCTION("""COMPUTED_VALUE"""),4.0)</f>
        <v>4</v>
      </c>
      <c r="I93" s="56">
        <f>IFERROR(__xludf.DUMMYFUNCTION("""COMPUTED_VALUE"""),2.0)</f>
        <v>2</v>
      </c>
      <c r="J93" s="56">
        <f>IFERROR(__xludf.DUMMYFUNCTION("""COMPUTED_VALUE"""),4.0)</f>
        <v>4</v>
      </c>
      <c r="K93" s="56">
        <f>IFERROR(__xludf.DUMMYFUNCTION("""COMPUTED_VALUE"""),10.0)</f>
        <v>10</v>
      </c>
      <c r="L93" s="56">
        <f>IFERROR(__xludf.DUMMYFUNCTION("""COMPUTED_VALUE"""),0.0)</f>
        <v>0</v>
      </c>
      <c r="M93" s="56">
        <f>IFERROR(__xludf.DUMMYFUNCTION("""COMPUTED_VALUE"""),177.0)</f>
        <v>177</v>
      </c>
      <c r="N93" s="57">
        <f>IFERROR(__xludf.DUMMYFUNCTION("""COMPUTED_VALUE"""),15.0)</f>
        <v>15</v>
      </c>
    </row>
    <row r="94">
      <c r="A94" s="1"/>
      <c r="B94" s="48" t="str">
        <f>IFERROR(__xludf.DUMMYFUNCTION("""COMPUTED_VALUE"""),"Lloyd Sagar")</f>
        <v>Lloyd Sagar</v>
      </c>
      <c r="C94" s="49">
        <f>IFERROR(__xludf.DUMMYFUNCTION("""COMPUTED_VALUE"""),166.0)</f>
        <v>166</v>
      </c>
      <c r="D94" s="50">
        <f>IFERROR(__xludf.DUMMYFUNCTION("""COMPUTED_VALUE"""),10.0)</f>
        <v>10</v>
      </c>
      <c r="E94" s="49">
        <f>IFERROR(__xludf.DUMMYFUNCTION("""COMPUTED_VALUE"""),1.0)</f>
        <v>1</v>
      </c>
      <c r="F94" s="51">
        <f>IFERROR(__xludf.DUMMYFUNCTION("""COMPUTED_VALUE"""),3.0)</f>
        <v>3</v>
      </c>
      <c r="G94" s="51">
        <f>IFERROR(__xludf.DUMMYFUNCTION("""COMPUTED_VALUE"""),0.0)</f>
        <v>0</v>
      </c>
      <c r="H94" s="51">
        <f>IFERROR(__xludf.DUMMYFUNCTION("""COMPUTED_VALUE"""),6.0)</f>
        <v>6</v>
      </c>
      <c r="I94" s="51">
        <f>IFERROR(__xludf.DUMMYFUNCTION("""COMPUTED_VALUE"""),4.0)</f>
        <v>4</v>
      </c>
      <c r="J94" s="51">
        <f>IFERROR(__xludf.DUMMYFUNCTION("""COMPUTED_VALUE"""),3.0)</f>
        <v>3</v>
      </c>
      <c r="K94" s="51">
        <f>IFERROR(__xludf.DUMMYFUNCTION("""COMPUTED_VALUE"""),13.0)</f>
        <v>13</v>
      </c>
      <c r="L94" s="51">
        <f>IFERROR(__xludf.DUMMYFUNCTION("""COMPUTED_VALUE"""),0.0)</f>
        <v>0</v>
      </c>
      <c r="M94" s="51">
        <f>IFERROR(__xludf.DUMMYFUNCTION("""COMPUTED_VALUE"""),179.0)</f>
        <v>179</v>
      </c>
      <c r="N94" s="52">
        <f>IFERROR(__xludf.DUMMYFUNCTION("""COMPUTED_VALUE"""),10.0)</f>
        <v>10</v>
      </c>
    </row>
    <row r="95">
      <c r="A95" s="1"/>
      <c r="B95" s="48" t="str">
        <f>IFERROR(__xludf.DUMMYFUNCTION("""COMPUTED_VALUE"""),"Sai Dilip Ponnaganti")</f>
        <v>Sai Dilip Ponnaganti</v>
      </c>
      <c r="C95" s="49">
        <f>IFERROR(__xludf.DUMMYFUNCTION("""COMPUTED_VALUE"""),165.0)</f>
        <v>165</v>
      </c>
      <c r="D95" s="50">
        <f>IFERROR(__xludf.DUMMYFUNCTION("""COMPUTED_VALUE"""),11.0)</f>
        <v>11</v>
      </c>
      <c r="E95" s="49">
        <f>IFERROR(__xludf.DUMMYFUNCTION("""COMPUTED_VALUE"""),1.0)</f>
        <v>1</v>
      </c>
      <c r="F95" s="51">
        <f>IFERROR(__xludf.DUMMYFUNCTION("""COMPUTED_VALUE"""),3.0)</f>
        <v>3</v>
      </c>
      <c r="G95" s="51">
        <f>IFERROR(__xludf.DUMMYFUNCTION("""COMPUTED_VALUE"""),0.0)</f>
        <v>0</v>
      </c>
      <c r="H95" s="51">
        <f>IFERROR(__xludf.DUMMYFUNCTION("""COMPUTED_VALUE"""),7.0)</f>
        <v>7</v>
      </c>
      <c r="I95" s="51">
        <f>IFERROR(__xludf.DUMMYFUNCTION("""COMPUTED_VALUE"""),6.0)</f>
        <v>6</v>
      </c>
      <c r="J95" s="51">
        <f>IFERROR(__xludf.DUMMYFUNCTION("""COMPUTED_VALUE"""),3.0)</f>
        <v>3</v>
      </c>
      <c r="K95" s="51">
        <f>IFERROR(__xludf.DUMMYFUNCTION("""COMPUTED_VALUE"""),16.0)</f>
        <v>16</v>
      </c>
      <c r="L95" s="51">
        <f>IFERROR(__xludf.DUMMYFUNCTION("""COMPUTED_VALUE"""),2.0)</f>
        <v>2</v>
      </c>
      <c r="M95" s="51">
        <f>IFERROR(__xludf.DUMMYFUNCTION("""COMPUTED_VALUE"""),181.0)</f>
        <v>181</v>
      </c>
      <c r="N95" s="52">
        <f>IFERROR(__xludf.DUMMYFUNCTION("""COMPUTED_VALUE"""),13.0)</f>
        <v>13</v>
      </c>
    </row>
    <row r="96">
      <c r="A96" s="1"/>
      <c r="B96" s="48" t="str">
        <f>IFERROR(__xludf.DUMMYFUNCTION("""COMPUTED_VALUE"""),"Tom Le")</f>
        <v>Tom Le</v>
      </c>
      <c r="C96" s="49">
        <f>IFERROR(__xludf.DUMMYFUNCTION("""COMPUTED_VALUE"""),164.0)</f>
        <v>164</v>
      </c>
      <c r="D96" s="50">
        <f>IFERROR(__xludf.DUMMYFUNCTION("""COMPUTED_VALUE"""),10.0)</f>
        <v>10</v>
      </c>
      <c r="E96" s="49">
        <f>IFERROR(__xludf.DUMMYFUNCTION("""COMPUTED_VALUE"""),1.0)</f>
        <v>1</v>
      </c>
      <c r="F96" s="51">
        <f>IFERROR(__xludf.DUMMYFUNCTION("""COMPUTED_VALUE"""),3.0)</f>
        <v>3</v>
      </c>
      <c r="G96" s="51">
        <f>IFERROR(__xludf.DUMMYFUNCTION("""COMPUTED_VALUE"""),0.0)</f>
        <v>0</v>
      </c>
      <c r="H96" s="51">
        <f>IFERROR(__xludf.DUMMYFUNCTION("""COMPUTED_VALUE"""),7.0)</f>
        <v>7</v>
      </c>
      <c r="I96" s="51">
        <f>IFERROR(__xludf.DUMMYFUNCTION("""COMPUTED_VALUE"""),4.0)</f>
        <v>4</v>
      </c>
      <c r="J96" s="51">
        <f>IFERROR(__xludf.DUMMYFUNCTION("""COMPUTED_VALUE"""),6.0)</f>
        <v>6</v>
      </c>
      <c r="K96" s="51">
        <f>IFERROR(__xludf.DUMMYFUNCTION("""COMPUTED_VALUE"""),17.0)</f>
        <v>17</v>
      </c>
      <c r="L96" s="51">
        <f>IFERROR(__xludf.DUMMYFUNCTION("""COMPUTED_VALUE"""),2.0)</f>
        <v>2</v>
      </c>
      <c r="M96" s="51">
        <f>IFERROR(__xludf.DUMMYFUNCTION("""COMPUTED_VALUE"""),181.0)</f>
        <v>181</v>
      </c>
      <c r="N96" s="52">
        <f>IFERROR(__xludf.DUMMYFUNCTION("""COMPUTED_VALUE"""),12.0)</f>
        <v>12</v>
      </c>
    </row>
    <row r="97">
      <c r="A97" s="1"/>
      <c r="B97" s="48" t="str">
        <f>IFERROR(__xludf.DUMMYFUNCTION("""COMPUTED_VALUE"""),"Oscar Bonilla")</f>
        <v>Oscar Bonilla</v>
      </c>
      <c r="C97" s="49">
        <f>IFERROR(__xludf.DUMMYFUNCTION("""COMPUTED_VALUE"""),162.0)</f>
        <v>162</v>
      </c>
      <c r="D97" s="50">
        <f>IFERROR(__xludf.DUMMYFUNCTION("""COMPUTED_VALUE"""),13.0)</f>
        <v>13</v>
      </c>
      <c r="E97" s="49">
        <f>IFERROR(__xludf.DUMMYFUNCTION("""COMPUTED_VALUE"""),1.0)</f>
        <v>1</v>
      </c>
      <c r="F97" s="51">
        <f>IFERROR(__xludf.DUMMYFUNCTION("""COMPUTED_VALUE"""),3.0)</f>
        <v>3</v>
      </c>
      <c r="G97" s="51">
        <f>IFERROR(__xludf.DUMMYFUNCTION("""COMPUTED_VALUE"""),0.0)</f>
        <v>0</v>
      </c>
      <c r="H97" s="51">
        <f>IFERROR(__xludf.DUMMYFUNCTION("""COMPUTED_VALUE"""),6.0)</f>
        <v>6</v>
      </c>
      <c r="I97" s="51">
        <f>IFERROR(__xludf.DUMMYFUNCTION("""COMPUTED_VALUE"""),6.0)</f>
        <v>6</v>
      </c>
      <c r="J97" s="51">
        <f>IFERROR(__xludf.DUMMYFUNCTION("""COMPUTED_VALUE"""),6.0)</f>
        <v>6</v>
      </c>
      <c r="K97" s="51">
        <f>IFERROR(__xludf.DUMMYFUNCTION("""COMPUTED_VALUE"""),18.0)</f>
        <v>18</v>
      </c>
      <c r="L97" s="51">
        <f>IFERROR(__xludf.DUMMYFUNCTION("""COMPUTED_VALUE"""),2.0)</f>
        <v>2</v>
      </c>
      <c r="M97" s="51">
        <f>IFERROR(__xludf.DUMMYFUNCTION("""COMPUTED_VALUE"""),180.0)</f>
        <v>180</v>
      </c>
      <c r="N97" s="52">
        <f>IFERROR(__xludf.DUMMYFUNCTION("""COMPUTED_VALUE"""),15.0)</f>
        <v>15</v>
      </c>
    </row>
    <row r="98">
      <c r="A98" s="1"/>
      <c r="B98" s="53" t="str">
        <f>IFERROR(__xludf.DUMMYFUNCTION("""COMPUTED_VALUE"""),"Tony Wong")</f>
        <v>Tony Wong</v>
      </c>
      <c r="C98" s="54">
        <f>IFERROR(__xludf.DUMMYFUNCTION("""COMPUTED_VALUE"""),162.0)</f>
        <v>162</v>
      </c>
      <c r="D98" s="55">
        <f>IFERROR(__xludf.DUMMYFUNCTION("""COMPUTED_VALUE"""),12.0)</f>
        <v>12</v>
      </c>
      <c r="E98" s="54">
        <f>IFERROR(__xludf.DUMMYFUNCTION("""COMPUTED_VALUE"""),1.0)</f>
        <v>1</v>
      </c>
      <c r="F98" s="56">
        <f>IFERROR(__xludf.DUMMYFUNCTION("""COMPUTED_VALUE"""),5.0)</f>
        <v>5</v>
      </c>
      <c r="G98" s="56">
        <f>IFERROR(__xludf.DUMMYFUNCTION("""COMPUTED_VALUE"""),0.0)</f>
        <v>0</v>
      </c>
      <c r="H98" s="56">
        <f>IFERROR(__xludf.DUMMYFUNCTION("""COMPUTED_VALUE"""),6.0)</f>
        <v>6</v>
      </c>
      <c r="I98" s="56">
        <f>IFERROR(__xludf.DUMMYFUNCTION("""COMPUTED_VALUE"""),6.0)</f>
        <v>6</v>
      </c>
      <c r="J98" s="56">
        <f>IFERROR(__xludf.DUMMYFUNCTION("""COMPUTED_VALUE"""),1.0)</f>
        <v>1</v>
      </c>
      <c r="K98" s="56">
        <f>IFERROR(__xludf.DUMMYFUNCTION("""COMPUTED_VALUE"""),13.0)</f>
        <v>13</v>
      </c>
      <c r="L98" s="56">
        <f>IFERROR(__xludf.DUMMYFUNCTION("""COMPUTED_VALUE"""),0.0)</f>
        <v>0</v>
      </c>
      <c r="M98" s="56">
        <f>IFERROR(__xludf.DUMMYFUNCTION("""COMPUTED_VALUE"""),175.0)</f>
        <v>175</v>
      </c>
      <c r="N98" s="57">
        <f>IFERROR(__xludf.DUMMYFUNCTION("""COMPUTED_VALUE"""),12.0)</f>
        <v>12</v>
      </c>
    </row>
    <row r="99">
      <c r="A99" s="1"/>
      <c r="B99" s="53" t="str">
        <f>IFERROR(__xludf.DUMMYFUNCTION("""COMPUTED_VALUE"""),"Sean Chang")</f>
        <v>Sean Chang</v>
      </c>
      <c r="C99" s="54">
        <f>IFERROR(__xludf.DUMMYFUNCTION("""COMPUTED_VALUE"""),159.0)</f>
        <v>159</v>
      </c>
      <c r="D99" s="55">
        <f>IFERROR(__xludf.DUMMYFUNCTION("""COMPUTED_VALUE"""),9.0)</f>
        <v>9</v>
      </c>
      <c r="E99" s="54">
        <f>IFERROR(__xludf.DUMMYFUNCTION("""COMPUTED_VALUE"""),1.0)</f>
        <v>1</v>
      </c>
      <c r="F99" s="56">
        <f>IFERROR(__xludf.DUMMYFUNCTION("""COMPUTED_VALUE"""),5.0)</f>
        <v>5</v>
      </c>
      <c r="G99" s="56">
        <f>IFERROR(__xludf.DUMMYFUNCTION("""COMPUTED_VALUE"""),0.0)</f>
        <v>0</v>
      </c>
      <c r="H99" s="56">
        <f>IFERROR(__xludf.DUMMYFUNCTION("""COMPUTED_VALUE"""),7.0)</f>
        <v>7</v>
      </c>
      <c r="I99" s="56">
        <f>IFERROR(__xludf.DUMMYFUNCTION("""COMPUTED_VALUE"""),7.0)</f>
        <v>7</v>
      </c>
      <c r="J99" s="56">
        <f>IFERROR(__xludf.DUMMYFUNCTION("""COMPUTED_VALUE"""),1.0)</f>
        <v>1</v>
      </c>
      <c r="K99" s="56">
        <f>IFERROR(__xludf.DUMMYFUNCTION("""COMPUTED_VALUE"""),15.0)</f>
        <v>15</v>
      </c>
      <c r="L99" s="56">
        <f>IFERROR(__xludf.DUMMYFUNCTION("""COMPUTED_VALUE"""),2.0)</f>
        <v>2</v>
      </c>
      <c r="M99" s="56">
        <f>IFERROR(__xludf.DUMMYFUNCTION("""COMPUTED_VALUE"""),174.0)</f>
        <v>174</v>
      </c>
      <c r="N99" s="57">
        <f>IFERROR(__xludf.DUMMYFUNCTION("""COMPUTED_VALUE"""),11.0)</f>
        <v>11</v>
      </c>
    </row>
    <row r="100">
      <c r="A100" s="1"/>
      <c r="B100" s="53" t="str">
        <f>IFERROR(__xludf.DUMMYFUNCTION("""COMPUTED_VALUE"""),"Sandy Weyant")</f>
        <v>Sandy Weyant</v>
      </c>
      <c r="C100" s="54">
        <f>IFERROR(__xludf.DUMMYFUNCTION("""COMPUTED_VALUE"""),149.0)</f>
        <v>149</v>
      </c>
      <c r="D100" s="55">
        <f>IFERROR(__xludf.DUMMYFUNCTION("""COMPUTED_VALUE"""),7.0)</f>
        <v>7</v>
      </c>
      <c r="E100" s="54">
        <f>IFERROR(__xludf.DUMMYFUNCTION("""COMPUTED_VALUE"""),1.0)</f>
        <v>1</v>
      </c>
      <c r="F100" s="56">
        <f>IFERROR(__xludf.DUMMYFUNCTION("""COMPUTED_VALUE"""),5.0)</f>
        <v>5</v>
      </c>
      <c r="G100" s="56">
        <f>IFERROR(__xludf.DUMMYFUNCTION("""COMPUTED_VALUE"""),0.0)</f>
        <v>0</v>
      </c>
      <c r="H100" s="56">
        <f>IFERROR(__xludf.DUMMYFUNCTION("""COMPUTED_VALUE"""),6.0)</f>
        <v>6</v>
      </c>
      <c r="I100" s="56">
        <f>IFERROR(__xludf.DUMMYFUNCTION("""COMPUTED_VALUE"""),7.0)</f>
        <v>7</v>
      </c>
      <c r="J100" s="56">
        <f>IFERROR(__xludf.DUMMYFUNCTION("""COMPUTED_VALUE"""),6.0)</f>
        <v>6</v>
      </c>
      <c r="K100" s="56">
        <f>IFERROR(__xludf.DUMMYFUNCTION("""COMPUTED_VALUE"""),19.0)</f>
        <v>19</v>
      </c>
      <c r="L100" s="56">
        <f>IFERROR(__xludf.DUMMYFUNCTION("""COMPUTED_VALUE"""),2.0)</f>
        <v>2</v>
      </c>
      <c r="M100" s="56">
        <f>IFERROR(__xludf.DUMMYFUNCTION("""COMPUTED_VALUE"""),168.0)</f>
        <v>168</v>
      </c>
      <c r="N100" s="57">
        <f>IFERROR(__xludf.DUMMYFUNCTION("""COMPUTED_VALUE"""),9.0)</f>
        <v>9</v>
      </c>
    </row>
    <row r="101">
      <c r="A101" s="1"/>
      <c r="B101" s="53" t="str">
        <f>IFERROR(__xludf.DUMMYFUNCTION("""COMPUTED_VALUE"""),"Rosie Bonilla")</f>
        <v>Rosie Bonilla</v>
      </c>
      <c r="C101" s="54">
        <f>IFERROR(__xludf.DUMMYFUNCTION("""COMPUTED_VALUE"""),147.0)</f>
        <v>147</v>
      </c>
      <c r="D101" s="55">
        <f>IFERROR(__xludf.DUMMYFUNCTION("""COMPUTED_VALUE"""),10.0)</f>
        <v>10</v>
      </c>
      <c r="E101" s="54">
        <f>IFERROR(__xludf.DUMMYFUNCTION("""COMPUTED_VALUE"""),1.0)</f>
        <v>1</v>
      </c>
      <c r="F101" s="56">
        <f>IFERROR(__xludf.DUMMYFUNCTION("""COMPUTED_VALUE"""),5.0)</f>
        <v>5</v>
      </c>
      <c r="G101" s="56">
        <f>IFERROR(__xludf.DUMMYFUNCTION("""COMPUTED_VALUE"""),0.0)</f>
        <v>0</v>
      </c>
      <c r="H101" s="56">
        <f>IFERROR(__xludf.DUMMYFUNCTION("""COMPUTED_VALUE"""),7.0)</f>
        <v>7</v>
      </c>
      <c r="I101" s="56">
        <f>IFERROR(__xludf.DUMMYFUNCTION("""COMPUTED_VALUE"""),6.0)</f>
        <v>6</v>
      </c>
      <c r="J101" s="56">
        <f>IFERROR(__xludf.DUMMYFUNCTION("""COMPUTED_VALUE"""),6.0)</f>
        <v>6</v>
      </c>
      <c r="K101" s="56">
        <f>IFERROR(__xludf.DUMMYFUNCTION("""COMPUTED_VALUE"""),19.0)</f>
        <v>19</v>
      </c>
      <c r="L101" s="56">
        <f>IFERROR(__xludf.DUMMYFUNCTION("""COMPUTED_VALUE"""),2.0)</f>
        <v>2</v>
      </c>
      <c r="M101" s="56">
        <f>IFERROR(__xludf.DUMMYFUNCTION("""COMPUTED_VALUE"""),166.0)</f>
        <v>166</v>
      </c>
      <c r="N101" s="57">
        <f>IFERROR(__xludf.DUMMYFUNCTION("""COMPUTED_VALUE"""),12.0)</f>
        <v>12</v>
      </c>
    </row>
    <row r="102">
      <c r="A102" s="1"/>
      <c r="B102" s="48" t="str">
        <f>IFERROR(__xludf.DUMMYFUNCTION("""COMPUTED_VALUE"""),"Nohely Mejia")</f>
        <v>Nohely Mejia</v>
      </c>
      <c r="C102" s="49">
        <f>IFERROR(__xludf.DUMMYFUNCTION("""COMPUTED_VALUE"""),146.0)</f>
        <v>146</v>
      </c>
      <c r="D102" s="50">
        <f>IFERROR(__xludf.DUMMYFUNCTION("""COMPUTED_VALUE"""),7.0)</f>
        <v>7</v>
      </c>
      <c r="E102" s="49">
        <f>IFERROR(__xludf.DUMMYFUNCTION("""COMPUTED_VALUE"""),1.0)</f>
        <v>1</v>
      </c>
      <c r="F102" s="51">
        <f>IFERROR(__xludf.DUMMYFUNCTION("""COMPUTED_VALUE"""),6.0)</f>
        <v>6</v>
      </c>
      <c r="G102" s="51">
        <f>IFERROR(__xludf.DUMMYFUNCTION("""COMPUTED_VALUE"""),0.0)</f>
        <v>0</v>
      </c>
      <c r="H102" s="51">
        <f>IFERROR(__xludf.DUMMYFUNCTION("""COMPUTED_VALUE"""),4.0)</f>
        <v>4</v>
      </c>
      <c r="I102" s="51">
        <f>IFERROR(__xludf.DUMMYFUNCTION("""COMPUTED_VALUE"""),4.0)</f>
        <v>4</v>
      </c>
      <c r="J102" s="51">
        <f>IFERROR(__xludf.DUMMYFUNCTION("""COMPUTED_VALUE"""),4.0)</f>
        <v>4</v>
      </c>
      <c r="K102" s="51">
        <f>IFERROR(__xludf.DUMMYFUNCTION("""COMPUTED_VALUE"""),12.0)</f>
        <v>12</v>
      </c>
      <c r="L102" s="51">
        <f>IFERROR(__xludf.DUMMYFUNCTION("""COMPUTED_VALUE"""),0.0)</f>
        <v>0</v>
      </c>
      <c r="M102" s="51">
        <f>IFERROR(__xludf.DUMMYFUNCTION("""COMPUTED_VALUE"""),158.0)</f>
        <v>158</v>
      </c>
      <c r="N102" s="52">
        <f>IFERROR(__xludf.DUMMYFUNCTION("""COMPUTED_VALUE"""),7.0)</f>
        <v>7</v>
      </c>
    </row>
    <row r="103">
      <c r="A103" s="1"/>
      <c r="B103" s="48" t="str">
        <f>IFERROR(__xludf.DUMMYFUNCTION("""COMPUTED_VALUE"""),"Manuel Rivera")</f>
        <v>Manuel Rivera</v>
      </c>
      <c r="C103" s="49">
        <f>IFERROR(__xludf.DUMMYFUNCTION("""COMPUTED_VALUE"""),144.0)</f>
        <v>144</v>
      </c>
      <c r="D103" s="50">
        <f>IFERROR(__xludf.DUMMYFUNCTION("""COMPUTED_VALUE"""),12.0)</f>
        <v>12</v>
      </c>
      <c r="E103" s="49">
        <f>IFERROR(__xludf.DUMMYFUNCTION("""COMPUTED_VALUE"""),2.0)</f>
        <v>2</v>
      </c>
      <c r="F103" s="51">
        <f>IFERROR(__xludf.DUMMYFUNCTION("""COMPUTED_VALUE"""),6.0)</f>
        <v>6</v>
      </c>
      <c r="G103" s="51">
        <f>IFERROR(__xludf.DUMMYFUNCTION("""COMPUTED_VALUE"""),0.0)</f>
        <v>0</v>
      </c>
      <c r="H103" s="51">
        <f>IFERROR(__xludf.DUMMYFUNCTION("""COMPUTED_VALUE"""),6.0)</f>
        <v>6</v>
      </c>
      <c r="I103" s="51">
        <f>IFERROR(__xludf.DUMMYFUNCTION("""COMPUTED_VALUE"""),4.0)</f>
        <v>4</v>
      </c>
      <c r="J103" s="51">
        <f>IFERROR(__xludf.DUMMYFUNCTION("""COMPUTED_VALUE"""),6.0)</f>
        <v>6</v>
      </c>
      <c r="K103" s="51">
        <f>IFERROR(__xludf.DUMMYFUNCTION("""COMPUTED_VALUE"""),16.0)</f>
        <v>16</v>
      </c>
      <c r="L103" s="51">
        <f>IFERROR(__xludf.DUMMYFUNCTION("""COMPUTED_VALUE"""),2.0)</f>
        <v>2</v>
      </c>
      <c r="M103" s="51">
        <f>IFERROR(__xludf.DUMMYFUNCTION("""COMPUTED_VALUE"""),160.0)</f>
        <v>160</v>
      </c>
      <c r="N103" s="52">
        <f>IFERROR(__xludf.DUMMYFUNCTION("""COMPUTED_VALUE"""),14.0)</f>
        <v>14</v>
      </c>
    </row>
    <row r="104">
      <c r="A104" s="1"/>
      <c r="B104" s="48" t="str">
        <f>IFERROR(__xludf.DUMMYFUNCTION("""COMPUTED_VALUE"""),"Kingsley Kuo")</f>
        <v>Kingsley Kuo</v>
      </c>
      <c r="C104" s="49">
        <f>IFERROR(__xludf.DUMMYFUNCTION("""COMPUTED_VALUE"""),138.0)</f>
        <v>138</v>
      </c>
      <c r="D104" s="50">
        <f>IFERROR(__xludf.DUMMYFUNCTION("""COMPUTED_VALUE"""),3.0)</f>
        <v>3</v>
      </c>
      <c r="E104" s="49">
        <f>IFERROR(__xludf.DUMMYFUNCTION("""COMPUTED_VALUE"""),1.0)</f>
        <v>1</v>
      </c>
      <c r="F104" s="51">
        <f>IFERROR(__xludf.DUMMYFUNCTION("""COMPUTED_VALUE"""),6.0)</f>
        <v>6</v>
      </c>
      <c r="G104" s="51">
        <f>IFERROR(__xludf.DUMMYFUNCTION("""COMPUTED_VALUE"""),0.0)</f>
        <v>0</v>
      </c>
      <c r="H104" s="51">
        <f>IFERROR(__xludf.DUMMYFUNCTION("""COMPUTED_VALUE"""),6.0)</f>
        <v>6</v>
      </c>
      <c r="I104" s="51">
        <f>IFERROR(__xludf.DUMMYFUNCTION("""COMPUTED_VALUE"""),6.0)</f>
        <v>6</v>
      </c>
      <c r="J104" s="51">
        <f>IFERROR(__xludf.DUMMYFUNCTION("""COMPUTED_VALUE"""),4.0)</f>
        <v>4</v>
      </c>
      <c r="K104" s="51">
        <f>IFERROR(__xludf.DUMMYFUNCTION("""COMPUTED_VALUE"""),16.0)</f>
        <v>16</v>
      </c>
      <c r="L104" s="51">
        <f>IFERROR(__xludf.DUMMYFUNCTION("""COMPUTED_VALUE"""),2.0)</f>
        <v>2</v>
      </c>
      <c r="M104" s="51">
        <f>IFERROR(__xludf.DUMMYFUNCTION("""COMPUTED_VALUE"""),154.0)</f>
        <v>154</v>
      </c>
      <c r="N104" s="52">
        <f>IFERROR(__xludf.DUMMYFUNCTION("""COMPUTED_VALUE"""),5.0)</f>
        <v>5</v>
      </c>
    </row>
    <row r="105">
      <c r="A105" s="1"/>
      <c r="B105" s="48" t="str">
        <f>IFERROR(__xludf.DUMMYFUNCTION("""COMPUTED_VALUE"""),"Christopher Li")</f>
        <v>Christopher Li</v>
      </c>
      <c r="C105" s="49">
        <f>IFERROR(__xludf.DUMMYFUNCTION("""COMPUTED_VALUE"""),137.0)</f>
        <v>137</v>
      </c>
      <c r="D105" s="50">
        <f>IFERROR(__xludf.DUMMYFUNCTION("""COMPUTED_VALUE"""),3.0)</f>
        <v>3</v>
      </c>
      <c r="E105" s="49">
        <f>IFERROR(__xludf.DUMMYFUNCTION("""COMPUTED_VALUE"""),1.0)</f>
        <v>1</v>
      </c>
      <c r="F105" s="51">
        <f>IFERROR(__xludf.DUMMYFUNCTION("""COMPUTED_VALUE"""),6.0)</f>
        <v>6</v>
      </c>
      <c r="G105" s="51">
        <f>IFERROR(__xludf.DUMMYFUNCTION("""COMPUTED_VALUE"""),0.0)</f>
        <v>0</v>
      </c>
      <c r="H105" s="51">
        <f>IFERROR(__xludf.DUMMYFUNCTION("""COMPUTED_VALUE"""),4.0)</f>
        <v>4</v>
      </c>
      <c r="I105" s="51">
        <f>IFERROR(__xludf.DUMMYFUNCTION("""COMPUTED_VALUE"""),6.0)</f>
        <v>6</v>
      </c>
      <c r="J105" s="51">
        <f>IFERROR(__xludf.DUMMYFUNCTION("""COMPUTED_VALUE"""),6.0)</f>
        <v>6</v>
      </c>
      <c r="K105" s="51">
        <f>IFERROR(__xludf.DUMMYFUNCTION("""COMPUTED_VALUE"""),16.0)</f>
        <v>16</v>
      </c>
      <c r="L105" s="51">
        <f>IFERROR(__xludf.DUMMYFUNCTION("""COMPUTED_VALUE"""),2.0)</f>
        <v>2</v>
      </c>
      <c r="M105" s="51">
        <f>IFERROR(__xludf.DUMMYFUNCTION("""COMPUTED_VALUE"""),153.0)</f>
        <v>153</v>
      </c>
      <c r="N105" s="52">
        <f>IFERROR(__xludf.DUMMYFUNCTION("""COMPUTED_VALUE"""),5.0)</f>
        <v>5</v>
      </c>
    </row>
    <row r="106">
      <c r="A106" s="1"/>
      <c r="B106" s="53" t="str">
        <f>IFERROR(__xludf.DUMMYFUNCTION("""COMPUTED_VALUE"""),"Elayaraja Thangaraj ")</f>
        <v>Elayaraja Thangaraj </v>
      </c>
      <c r="C106" s="54">
        <f>IFERROR(__xludf.DUMMYFUNCTION("""COMPUTED_VALUE"""),131.0)</f>
        <v>131</v>
      </c>
      <c r="D106" s="55">
        <f>IFERROR(__xludf.DUMMYFUNCTION("""COMPUTED_VALUE"""),8.0)</f>
        <v>8</v>
      </c>
      <c r="E106" s="54">
        <f>IFERROR(__xludf.DUMMYFUNCTION("""COMPUTED_VALUE"""),1.0)</f>
        <v>1</v>
      </c>
      <c r="F106" s="56">
        <f>IFERROR(__xludf.DUMMYFUNCTION("""COMPUTED_VALUE"""),7.0)</f>
        <v>7</v>
      </c>
      <c r="G106" s="56">
        <f>IFERROR(__xludf.DUMMYFUNCTION("""COMPUTED_VALUE"""),0.0)</f>
        <v>0</v>
      </c>
      <c r="H106" s="56">
        <f>IFERROR(__xludf.DUMMYFUNCTION("""COMPUTED_VALUE"""),7.0)</f>
        <v>7</v>
      </c>
      <c r="I106" s="56">
        <f>IFERROR(__xludf.DUMMYFUNCTION("""COMPUTED_VALUE"""),6.0)</f>
        <v>6</v>
      </c>
      <c r="J106" s="56">
        <f>IFERROR(__xludf.DUMMYFUNCTION("""COMPUTED_VALUE"""),3.0)</f>
        <v>3</v>
      </c>
      <c r="K106" s="56">
        <f>IFERROR(__xludf.DUMMYFUNCTION("""COMPUTED_VALUE"""),16.0)</f>
        <v>16</v>
      </c>
      <c r="L106" s="56">
        <f>IFERROR(__xludf.DUMMYFUNCTION("""COMPUTED_VALUE"""),2.0)</f>
        <v>2</v>
      </c>
      <c r="M106" s="56">
        <f>IFERROR(__xludf.DUMMYFUNCTION("""COMPUTED_VALUE"""),147.0)</f>
        <v>147</v>
      </c>
      <c r="N106" s="57">
        <f>IFERROR(__xludf.DUMMYFUNCTION("""COMPUTED_VALUE"""),10.0)</f>
        <v>10</v>
      </c>
    </row>
    <row r="107">
      <c r="A107" s="1"/>
      <c r="B107" s="53" t="str">
        <f>IFERROR(__xludf.DUMMYFUNCTION("""COMPUTED_VALUE"""),"Vilas Janardhanan")</f>
        <v>Vilas Janardhanan</v>
      </c>
      <c r="C107" s="54">
        <f>IFERROR(__xludf.DUMMYFUNCTION("""COMPUTED_VALUE"""),128.0)</f>
        <v>128</v>
      </c>
      <c r="D107" s="55">
        <f>IFERROR(__xludf.DUMMYFUNCTION("""COMPUTED_VALUE"""),5.0)</f>
        <v>5</v>
      </c>
      <c r="E107" s="54">
        <f>IFERROR(__xludf.DUMMYFUNCTION("""COMPUTED_VALUE"""),1.0)</f>
        <v>1</v>
      </c>
      <c r="F107" s="56">
        <f>IFERROR(__xludf.DUMMYFUNCTION("""COMPUTED_VALUE"""),7.0)</f>
        <v>7</v>
      </c>
      <c r="G107" s="56">
        <f>IFERROR(__xludf.DUMMYFUNCTION("""COMPUTED_VALUE"""),0.0)</f>
        <v>0</v>
      </c>
      <c r="H107" s="56">
        <f>IFERROR(__xludf.DUMMYFUNCTION("""COMPUTED_VALUE"""),7.0)</f>
        <v>7</v>
      </c>
      <c r="I107" s="56">
        <f>IFERROR(__xludf.DUMMYFUNCTION("""COMPUTED_VALUE"""),3.0)</f>
        <v>3</v>
      </c>
      <c r="J107" s="56">
        <f>IFERROR(__xludf.DUMMYFUNCTION("""COMPUTED_VALUE"""),6.0)</f>
        <v>6</v>
      </c>
      <c r="K107" s="56">
        <f>IFERROR(__xludf.DUMMYFUNCTION("""COMPUTED_VALUE"""),16.0)</f>
        <v>16</v>
      </c>
      <c r="L107" s="56">
        <f>IFERROR(__xludf.DUMMYFUNCTION("""COMPUTED_VALUE"""),2.0)</f>
        <v>2</v>
      </c>
      <c r="M107" s="56">
        <f>IFERROR(__xludf.DUMMYFUNCTION("""COMPUTED_VALUE"""),144.0)</f>
        <v>144</v>
      </c>
      <c r="N107" s="57">
        <f>IFERROR(__xludf.DUMMYFUNCTION("""COMPUTED_VALUE"""),7.0)</f>
        <v>7</v>
      </c>
    </row>
    <row r="108">
      <c r="A108" s="1"/>
      <c r="B108" s="53" t="str">
        <f>IFERROR(__xludf.DUMMYFUNCTION("""COMPUTED_VALUE"""),"Kevin Wang")</f>
        <v>Kevin Wang</v>
      </c>
      <c r="C108" s="54">
        <f>IFERROR(__xludf.DUMMYFUNCTION("""COMPUTED_VALUE"""),127.0)</f>
        <v>127</v>
      </c>
      <c r="D108" s="55">
        <f>IFERROR(__xludf.DUMMYFUNCTION("""COMPUTED_VALUE"""),7.0)</f>
        <v>7</v>
      </c>
      <c r="E108" s="54">
        <f>IFERROR(__xludf.DUMMYFUNCTION("""COMPUTED_VALUE"""),1.0)</f>
        <v>1</v>
      </c>
      <c r="F108" s="56">
        <f>IFERROR(__xludf.DUMMYFUNCTION("""COMPUTED_VALUE"""),7.0)</f>
        <v>7</v>
      </c>
      <c r="G108" s="56">
        <f>IFERROR(__xludf.DUMMYFUNCTION("""COMPUTED_VALUE"""),0.0)</f>
        <v>0</v>
      </c>
      <c r="H108" s="56">
        <f>IFERROR(__xludf.DUMMYFUNCTION("""COMPUTED_VALUE"""),5.0)</f>
        <v>5</v>
      </c>
      <c r="I108" s="56">
        <f>IFERROR(__xludf.DUMMYFUNCTION("""COMPUTED_VALUE"""),6.0)</f>
        <v>6</v>
      </c>
      <c r="J108" s="56">
        <f>IFERROR(__xludf.DUMMYFUNCTION("""COMPUTED_VALUE"""),6.0)</f>
        <v>6</v>
      </c>
      <c r="K108" s="56">
        <f>IFERROR(__xludf.DUMMYFUNCTION("""COMPUTED_VALUE"""),17.0)</f>
        <v>17</v>
      </c>
      <c r="L108" s="56">
        <f>IFERROR(__xludf.DUMMYFUNCTION("""COMPUTED_VALUE"""),2.0)</f>
        <v>2</v>
      </c>
      <c r="M108" s="56">
        <f>IFERROR(__xludf.DUMMYFUNCTION("""COMPUTED_VALUE"""),144.0)</f>
        <v>144</v>
      </c>
      <c r="N108" s="57">
        <f>IFERROR(__xludf.DUMMYFUNCTION("""COMPUTED_VALUE"""),9.0)</f>
        <v>9</v>
      </c>
    </row>
    <row r="109">
      <c r="A109" s="1"/>
      <c r="B109" s="53" t="str">
        <f>IFERROR(__xludf.DUMMYFUNCTION("""COMPUTED_VALUE"""),"Joyce Zhu")</f>
        <v>Joyce Zhu</v>
      </c>
      <c r="C109" s="54">
        <f>IFERROR(__xludf.DUMMYFUNCTION("""COMPUTED_VALUE"""),118.0)</f>
        <v>118</v>
      </c>
      <c r="D109" s="55">
        <f>IFERROR(__xludf.DUMMYFUNCTION("""COMPUTED_VALUE"""),1.0)</f>
        <v>1</v>
      </c>
      <c r="E109" s="54">
        <f>IFERROR(__xludf.DUMMYFUNCTION("""COMPUTED_VALUE"""),1.0)</f>
        <v>1</v>
      </c>
      <c r="F109" s="56">
        <f>IFERROR(__xludf.DUMMYFUNCTION("""COMPUTED_VALUE"""),7.0)</f>
        <v>7</v>
      </c>
      <c r="G109" s="56">
        <f>IFERROR(__xludf.DUMMYFUNCTION("""COMPUTED_VALUE"""),0.0)</f>
        <v>0</v>
      </c>
      <c r="H109" s="56">
        <f>IFERROR(__xludf.DUMMYFUNCTION("""COMPUTED_VALUE"""),5.0)</f>
        <v>5</v>
      </c>
      <c r="I109" s="56">
        <f>IFERROR(__xludf.DUMMYFUNCTION("""COMPUTED_VALUE"""),3.0)</f>
        <v>3</v>
      </c>
      <c r="J109" s="56">
        <f>IFERROR(__xludf.DUMMYFUNCTION("""COMPUTED_VALUE"""),3.0)</f>
        <v>3</v>
      </c>
      <c r="K109" s="56">
        <f>IFERROR(__xludf.DUMMYFUNCTION("""COMPUTED_VALUE"""),11.0)</f>
        <v>11</v>
      </c>
      <c r="L109" s="56">
        <f>IFERROR(__xludf.DUMMYFUNCTION("""COMPUTED_VALUE"""),0.0)</f>
        <v>0</v>
      </c>
      <c r="M109" s="56">
        <f>IFERROR(__xludf.DUMMYFUNCTION("""COMPUTED_VALUE"""),129.0)</f>
        <v>129</v>
      </c>
      <c r="N109" s="57">
        <f>IFERROR(__xludf.DUMMYFUNCTION("""COMPUTED_VALUE"""),1.0)</f>
        <v>1</v>
      </c>
    </row>
    <row r="110">
      <c r="A110" s="1"/>
      <c r="B110" s="48"/>
      <c r="C110" s="60"/>
      <c r="D110" s="60"/>
      <c r="E110" s="60"/>
      <c r="F110" s="48"/>
      <c r="G110" s="48"/>
      <c r="H110" s="48"/>
      <c r="I110" s="48"/>
      <c r="J110" s="48"/>
      <c r="K110" s="48"/>
      <c r="L110" s="48"/>
      <c r="M110" s="48"/>
      <c r="N110" s="48"/>
    </row>
    <row r="111">
      <c r="A111" s="1"/>
      <c r="B111" s="48"/>
      <c r="C111" s="60"/>
      <c r="D111" s="60"/>
      <c r="E111" s="60"/>
      <c r="F111" s="48"/>
      <c r="G111" s="48"/>
      <c r="H111" s="48"/>
      <c r="I111" s="48"/>
      <c r="J111" s="48"/>
      <c r="K111" s="48"/>
      <c r="L111" s="48"/>
      <c r="M111" s="48"/>
      <c r="N111" s="48"/>
    </row>
    <row r="112">
      <c r="A112" s="1"/>
      <c r="B112" s="48"/>
      <c r="C112" s="60"/>
      <c r="D112" s="60"/>
      <c r="E112" s="60"/>
      <c r="F112" s="48"/>
      <c r="G112" s="48"/>
      <c r="H112" s="48"/>
      <c r="I112" s="48"/>
      <c r="J112" s="48"/>
      <c r="K112" s="48"/>
      <c r="L112" s="48"/>
      <c r="M112" s="48"/>
      <c r="N112" s="48"/>
    </row>
    <row r="113">
      <c r="A113" s="1"/>
      <c r="B113" s="48"/>
      <c r="C113" s="60"/>
      <c r="D113" s="60"/>
      <c r="E113" s="60"/>
      <c r="F113" s="48"/>
      <c r="G113" s="48"/>
      <c r="H113" s="48"/>
      <c r="I113" s="48"/>
      <c r="J113" s="48"/>
      <c r="K113" s="48"/>
      <c r="L113" s="48"/>
      <c r="M113" s="48"/>
      <c r="N113" s="48"/>
    </row>
    <row r="114">
      <c r="A114" s="1"/>
      <c r="B114" s="53"/>
      <c r="C114" s="59"/>
      <c r="D114" s="59"/>
      <c r="E114" s="59"/>
      <c r="F114" s="53"/>
      <c r="G114" s="53"/>
      <c r="H114" s="53"/>
      <c r="I114" s="53"/>
      <c r="J114" s="53"/>
      <c r="K114" s="53"/>
      <c r="L114" s="53"/>
      <c r="M114" s="53"/>
      <c r="N114" s="53"/>
    </row>
    <row r="115">
      <c r="A115" s="1"/>
      <c r="B115" s="53"/>
      <c r="C115" s="59"/>
      <c r="D115" s="59"/>
      <c r="E115" s="59"/>
      <c r="F115" s="53"/>
      <c r="G115" s="53"/>
      <c r="H115" s="53"/>
      <c r="I115" s="53"/>
      <c r="J115" s="53"/>
      <c r="K115" s="53"/>
      <c r="L115" s="53"/>
      <c r="M115" s="53"/>
      <c r="N115" s="53"/>
    </row>
    <row r="116">
      <c r="A116" s="1"/>
      <c r="B116" s="53"/>
      <c r="C116" s="59"/>
      <c r="D116" s="59"/>
      <c r="E116" s="59"/>
      <c r="F116" s="53"/>
      <c r="G116" s="53"/>
      <c r="H116" s="53"/>
      <c r="I116" s="53"/>
      <c r="J116" s="53"/>
      <c r="K116" s="53"/>
      <c r="L116" s="53"/>
      <c r="M116" s="53"/>
      <c r="N116" s="53"/>
    </row>
    <row r="117">
      <c r="A117" s="1"/>
      <c r="B117" s="53"/>
      <c r="C117" s="59"/>
      <c r="D117" s="59"/>
      <c r="E117" s="59"/>
      <c r="F117" s="53"/>
      <c r="G117" s="53"/>
      <c r="H117" s="53"/>
      <c r="I117" s="53"/>
      <c r="J117" s="53"/>
      <c r="K117" s="53"/>
      <c r="L117" s="53"/>
      <c r="M117" s="53"/>
      <c r="N117" s="53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B129" s="20" t="s">
        <v>25</v>
      </c>
      <c r="C129" s="21" t="s">
        <v>8</v>
      </c>
      <c r="D129" s="21" t="s">
        <v>14</v>
      </c>
      <c r="E129" s="21" t="s">
        <v>26</v>
      </c>
      <c r="F129" s="21" t="s">
        <v>27</v>
      </c>
      <c r="G129" s="21" t="s">
        <v>28</v>
      </c>
      <c r="H129" s="21" t="s">
        <v>17</v>
      </c>
      <c r="I129" s="21" t="s">
        <v>18</v>
      </c>
      <c r="J129" s="21" t="s">
        <v>19</v>
      </c>
      <c r="K129" s="21" t="s">
        <v>8</v>
      </c>
      <c r="L129" s="21" t="s">
        <v>14</v>
      </c>
      <c r="M129" s="22" t="s">
        <v>8</v>
      </c>
      <c r="N129" s="22" t="s">
        <v>14</v>
      </c>
    </row>
    <row r="130">
      <c r="A130" s="1"/>
      <c r="B130" s="48" t="str">
        <f>IFERROR(__xludf.DUMMYFUNCTION("QUERY(B5:N63, ""Select B, C, D, E, F, G, H, I, J, K, L, M, N   where F = 0"")"),"Adrian Tay")</f>
        <v>Adrian Tay</v>
      </c>
      <c r="C130" s="49">
        <f>IFERROR(__xludf.DUMMYFUNCTION("""COMPUTED_VALUE"""),191.0)</f>
        <v>191</v>
      </c>
      <c r="D130" s="50">
        <f>IFERROR(__xludf.DUMMYFUNCTION("""COMPUTED_VALUE"""),19.0)</f>
        <v>19</v>
      </c>
      <c r="E130" s="49">
        <f>IFERROR(__xludf.DUMMYFUNCTION("""COMPUTED_VALUE"""),3.0)</f>
        <v>3</v>
      </c>
      <c r="F130" s="51">
        <f>IFERROR(__xludf.DUMMYFUNCTION("""COMPUTED_VALUE"""),0.0)</f>
        <v>0</v>
      </c>
      <c r="G130" s="51">
        <f>IFERROR(__xludf.DUMMYFUNCTION("""COMPUTED_VALUE"""),9.0)</f>
        <v>9</v>
      </c>
      <c r="H130" s="51">
        <f>IFERROR(__xludf.DUMMYFUNCTION("""COMPUTED_VALUE"""),0.0)</f>
        <v>0</v>
      </c>
      <c r="I130" s="51">
        <f>IFERROR(__xludf.DUMMYFUNCTION("""COMPUTED_VALUE"""),0.0)</f>
        <v>0</v>
      </c>
      <c r="J130" s="51">
        <f>IFERROR(__xludf.DUMMYFUNCTION("""COMPUTED_VALUE"""),0.0)</f>
        <v>0</v>
      </c>
      <c r="K130" s="51">
        <f>IFERROR(__xludf.DUMMYFUNCTION("""COMPUTED_VALUE"""),9.0)</f>
        <v>9</v>
      </c>
      <c r="L130" s="51">
        <f>IFERROR(__xludf.DUMMYFUNCTION("""COMPUTED_VALUE"""),0.0)</f>
        <v>0</v>
      </c>
      <c r="M130" s="51">
        <f>IFERROR(__xludf.DUMMYFUNCTION("""COMPUTED_VALUE"""),200.0)</f>
        <v>200</v>
      </c>
      <c r="N130" s="52">
        <f>IFERROR(__xludf.DUMMYFUNCTION("""COMPUTED_VALUE"""),19.0)</f>
        <v>19</v>
      </c>
    </row>
    <row r="131">
      <c r="A131" s="1"/>
      <c r="B131" s="48" t="str">
        <f>IFERROR(__xludf.DUMMYFUNCTION("""COMPUTED_VALUE"""),"Alejandro Mejia")</f>
        <v>Alejandro Mejia</v>
      </c>
      <c r="C131" s="49">
        <f>IFERROR(__xludf.DUMMYFUNCTION("""COMPUTED_VALUE"""),186.0)</f>
        <v>186</v>
      </c>
      <c r="D131" s="50">
        <f>IFERROR(__xludf.DUMMYFUNCTION("""COMPUTED_VALUE"""),17.0)</f>
        <v>17</v>
      </c>
      <c r="E131" s="49">
        <f>IFERROR(__xludf.DUMMYFUNCTION("""COMPUTED_VALUE"""),3.0)</f>
        <v>3</v>
      </c>
      <c r="F131" s="51">
        <f>IFERROR(__xludf.DUMMYFUNCTION("""COMPUTED_VALUE"""),0.0)</f>
        <v>0</v>
      </c>
      <c r="G131" s="51">
        <f>IFERROR(__xludf.DUMMYFUNCTION("""COMPUTED_VALUE"""),9.0)</f>
        <v>9</v>
      </c>
      <c r="H131" s="51">
        <f>IFERROR(__xludf.DUMMYFUNCTION("""COMPUTED_VALUE"""),0.0)</f>
        <v>0</v>
      </c>
      <c r="I131" s="51">
        <f>IFERROR(__xludf.DUMMYFUNCTION("""COMPUTED_VALUE"""),0.0)</f>
        <v>0</v>
      </c>
      <c r="J131" s="51">
        <f>IFERROR(__xludf.DUMMYFUNCTION("""COMPUTED_VALUE"""),0.0)</f>
        <v>0</v>
      </c>
      <c r="K131" s="51">
        <f>IFERROR(__xludf.DUMMYFUNCTION("""COMPUTED_VALUE"""),9.0)</f>
        <v>9</v>
      </c>
      <c r="L131" s="51">
        <f>IFERROR(__xludf.DUMMYFUNCTION("""COMPUTED_VALUE"""),0.0)</f>
        <v>0</v>
      </c>
      <c r="M131" s="51">
        <f>IFERROR(__xludf.DUMMYFUNCTION("""COMPUTED_VALUE"""),195.0)</f>
        <v>195</v>
      </c>
      <c r="N131" s="52">
        <f>IFERROR(__xludf.DUMMYFUNCTION("""COMPUTED_VALUE"""),17.0)</f>
        <v>17</v>
      </c>
    </row>
    <row r="132">
      <c r="A132" s="1"/>
      <c r="B132" s="48" t="str">
        <f>IFERROR(__xludf.DUMMYFUNCTION("""COMPUTED_VALUE"""),"Peter Homsey")</f>
        <v>Peter Homsey</v>
      </c>
      <c r="C132" s="49">
        <f>IFERROR(__xludf.DUMMYFUNCTION("""COMPUTED_VALUE"""),186.0)</f>
        <v>186</v>
      </c>
      <c r="D132" s="50">
        <f>IFERROR(__xludf.DUMMYFUNCTION("""COMPUTED_VALUE"""),17.0)</f>
        <v>17</v>
      </c>
      <c r="E132" s="49">
        <f>IFERROR(__xludf.DUMMYFUNCTION("""COMPUTED_VALUE"""),3.0)</f>
        <v>3</v>
      </c>
      <c r="F132" s="51">
        <f>IFERROR(__xludf.DUMMYFUNCTION("""COMPUTED_VALUE"""),0.0)</f>
        <v>0</v>
      </c>
      <c r="G132" s="51">
        <f>IFERROR(__xludf.DUMMYFUNCTION("""COMPUTED_VALUE"""),9.0)</f>
        <v>9</v>
      </c>
      <c r="H132" s="51">
        <f>IFERROR(__xludf.DUMMYFUNCTION("""COMPUTED_VALUE"""),0.0)</f>
        <v>0</v>
      </c>
      <c r="I132" s="51">
        <f>IFERROR(__xludf.DUMMYFUNCTION("""COMPUTED_VALUE"""),0.0)</f>
        <v>0</v>
      </c>
      <c r="J132" s="51">
        <f>IFERROR(__xludf.DUMMYFUNCTION("""COMPUTED_VALUE"""),0.0)</f>
        <v>0</v>
      </c>
      <c r="K132" s="51">
        <f>IFERROR(__xludf.DUMMYFUNCTION("""COMPUTED_VALUE"""),9.0)</f>
        <v>9</v>
      </c>
      <c r="L132" s="51">
        <f>IFERROR(__xludf.DUMMYFUNCTION("""COMPUTED_VALUE"""),0.0)</f>
        <v>0</v>
      </c>
      <c r="M132" s="51">
        <f>IFERROR(__xludf.DUMMYFUNCTION("""COMPUTED_VALUE"""),195.0)</f>
        <v>195</v>
      </c>
      <c r="N132" s="52">
        <f>IFERROR(__xludf.DUMMYFUNCTION("""COMPUTED_VALUE"""),17.0)</f>
        <v>17</v>
      </c>
    </row>
    <row r="133">
      <c r="A133" s="1"/>
      <c r="B133" s="48" t="str">
        <f>IFERROR(__xludf.DUMMYFUNCTION("""COMPUTED_VALUE"""),"Anish Kumar")</f>
        <v>Anish Kumar</v>
      </c>
      <c r="C133" s="49">
        <f>IFERROR(__xludf.DUMMYFUNCTION("""COMPUTED_VALUE"""),182.0)</f>
        <v>182</v>
      </c>
      <c r="D133" s="50">
        <f>IFERROR(__xludf.DUMMYFUNCTION("""COMPUTED_VALUE"""),17.0)</f>
        <v>17</v>
      </c>
      <c r="E133" s="49">
        <f>IFERROR(__xludf.DUMMYFUNCTION("""COMPUTED_VALUE"""),3.0)</f>
        <v>3</v>
      </c>
      <c r="F133" s="51">
        <f>IFERROR(__xludf.DUMMYFUNCTION("""COMPUTED_VALUE"""),0.0)</f>
        <v>0</v>
      </c>
      <c r="G133" s="51">
        <f>IFERROR(__xludf.DUMMYFUNCTION("""COMPUTED_VALUE"""),9.0)</f>
        <v>9</v>
      </c>
      <c r="H133" s="51">
        <f>IFERROR(__xludf.DUMMYFUNCTION("""COMPUTED_VALUE"""),0.0)</f>
        <v>0</v>
      </c>
      <c r="I133" s="51">
        <f>IFERROR(__xludf.DUMMYFUNCTION("""COMPUTED_VALUE"""),0.0)</f>
        <v>0</v>
      </c>
      <c r="J133" s="51">
        <f>IFERROR(__xludf.DUMMYFUNCTION("""COMPUTED_VALUE"""),0.0)</f>
        <v>0</v>
      </c>
      <c r="K133" s="51">
        <f>IFERROR(__xludf.DUMMYFUNCTION("""COMPUTED_VALUE"""),9.0)</f>
        <v>9</v>
      </c>
      <c r="L133" s="51">
        <f>IFERROR(__xludf.DUMMYFUNCTION("""COMPUTED_VALUE"""),0.0)</f>
        <v>0</v>
      </c>
      <c r="M133" s="51">
        <f>IFERROR(__xludf.DUMMYFUNCTION("""COMPUTED_VALUE"""),191.0)</f>
        <v>191</v>
      </c>
      <c r="N133" s="52">
        <f>IFERROR(__xludf.DUMMYFUNCTION("""COMPUTED_VALUE"""),17.0)</f>
        <v>17</v>
      </c>
    </row>
    <row r="134">
      <c r="A134" s="1"/>
      <c r="B134" s="48" t="str">
        <f>IFERROR(__xludf.DUMMYFUNCTION("""COMPUTED_VALUE"""),"Eric Pan")</f>
        <v>Eric Pan</v>
      </c>
      <c r="C134" s="49">
        <f>IFERROR(__xludf.DUMMYFUNCTION("""COMPUTED_VALUE"""),179.0)</f>
        <v>179</v>
      </c>
      <c r="D134" s="50">
        <f>IFERROR(__xludf.DUMMYFUNCTION("""COMPUTED_VALUE"""),16.0)</f>
        <v>16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IFERROR(__xludf.DUMMYFUNCTION("""COMPUTED_VALUE"""),188.0)</f>
        <v>188</v>
      </c>
      <c r="N134" s="52">
        <f>IFERROR(__xludf.DUMMYFUNCTION("""COMPUTED_VALUE"""),16.0)</f>
        <v>16</v>
      </c>
    </row>
    <row r="135">
      <c r="A135" s="1"/>
      <c r="B135" s="48" t="str">
        <f>IFERROR(__xludf.DUMMYFUNCTION("""COMPUTED_VALUE"""),"Pavan Akkimsetty")</f>
        <v>Pavan Akkimsetty</v>
      </c>
      <c r="C135" s="49">
        <f>IFERROR(__xludf.DUMMYFUNCTION("""COMPUTED_VALUE"""),178.0)</f>
        <v>178</v>
      </c>
      <c r="D135" s="50">
        <f>IFERROR(__xludf.DUMMYFUNCTION("""COMPUTED_VALUE"""),17.0)</f>
        <v>17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IFERROR(__xludf.DUMMYFUNCTION("""COMPUTED_VALUE"""),187.0)</f>
        <v>187</v>
      </c>
      <c r="N135" s="52">
        <f>IFERROR(__xludf.DUMMYFUNCTION("""COMPUTED_VALUE"""),17.0)</f>
        <v>17</v>
      </c>
    </row>
    <row r="136">
      <c r="A136" s="1"/>
      <c r="B136" s="48" t="str">
        <f>IFERROR(__xludf.DUMMYFUNCTION("""COMPUTED_VALUE"""),"Ted Shen")</f>
        <v>Ted Shen</v>
      </c>
      <c r="C136" s="49">
        <f>IFERROR(__xludf.DUMMYFUNCTION("""COMPUTED_VALUE"""),176.0)</f>
        <v>176</v>
      </c>
      <c r="D136" s="50">
        <f>IFERROR(__xludf.DUMMYFUNCTION("""COMPUTED_VALUE"""),16.0)</f>
        <v>16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IFERROR(__xludf.DUMMYFUNCTION("""COMPUTED_VALUE"""),185.0)</f>
        <v>185</v>
      </c>
      <c r="N136" s="52">
        <f>IFERROR(__xludf.DUMMYFUNCTION("""COMPUTED_VALUE"""),16.0)</f>
        <v>16</v>
      </c>
    </row>
    <row r="137">
      <c r="A137" s="1"/>
      <c r="B137" s="48" t="str">
        <f>IFERROR(__xludf.DUMMYFUNCTION("""COMPUTED_VALUE"""),"Joe Luzzi")</f>
        <v>Joe Luzzi</v>
      </c>
      <c r="C137" s="49">
        <f>IFERROR(__xludf.DUMMYFUNCTION("""COMPUTED_VALUE"""),175.0)</f>
        <v>175</v>
      </c>
      <c r="D137" s="50">
        <f>IFERROR(__xludf.DUMMYFUNCTION("""COMPUTED_VALUE"""),18.0)</f>
        <v>18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IFERROR(__xludf.DUMMYFUNCTION("""COMPUTED_VALUE"""),184.0)</f>
        <v>184</v>
      </c>
      <c r="N137" s="52">
        <f>IFERROR(__xludf.DUMMYFUNCTION("""COMPUTED_VALUE"""),18.0)</f>
        <v>18</v>
      </c>
    </row>
    <row r="138">
      <c r="A138" s="1"/>
      <c r="B138" s="48" t="str">
        <f>IFERROR(__xludf.DUMMYFUNCTION("""COMPUTED_VALUE"""),"Trinath Goteti")</f>
        <v>Trinath Goteti</v>
      </c>
      <c r="C138" s="49">
        <f>IFERROR(__xludf.DUMMYFUNCTION("""COMPUTED_VALUE"""),165.0)</f>
        <v>165</v>
      </c>
      <c r="D138" s="50">
        <f>IFERROR(__xludf.DUMMYFUNCTION("""COMPUTED_VALUE"""),11.0)</f>
        <v>11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IFERROR(__xludf.DUMMYFUNCTION("""COMPUTED_VALUE"""),174.0)</f>
        <v>174</v>
      </c>
      <c r="N138" s="52">
        <f>IFERROR(__xludf.DUMMYFUNCTION("""COMPUTED_VALUE"""),11.0)</f>
        <v>11</v>
      </c>
    </row>
    <row r="139">
      <c r="A139" s="1"/>
      <c r="B139" s="48" t="str">
        <f>IFERROR(__xludf.DUMMYFUNCTION("""COMPUTED_VALUE"""),"Rajasekar Ramasamy")</f>
        <v>Rajasekar Ramasamy</v>
      </c>
      <c r="C139" s="49">
        <f>IFERROR(__xludf.DUMMYFUNCTION("""COMPUTED_VALUE"""),163.0)</f>
        <v>163</v>
      </c>
      <c r="D139" s="50">
        <f>IFERROR(__xludf.DUMMYFUNCTION("""COMPUTED_VALUE"""),16.0)</f>
        <v>16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IFERROR(__xludf.DUMMYFUNCTION("""COMPUTED_VALUE"""),172.0)</f>
        <v>172</v>
      </c>
      <c r="N139" s="52">
        <f>IFERROR(__xludf.DUMMYFUNCTION("""COMPUTED_VALUE"""),16.0)</f>
        <v>16</v>
      </c>
    </row>
    <row r="140">
      <c r="A140" s="1"/>
      <c r="B140" s="48" t="str">
        <f>IFERROR(__xludf.DUMMYFUNCTION("""COMPUTED_VALUE"""),"Naveen Raj")</f>
        <v>Naveen Raj</v>
      </c>
      <c r="C140" s="49">
        <f>IFERROR(__xludf.DUMMYFUNCTION("""COMPUTED_VALUE"""),160.0)</f>
        <v>160</v>
      </c>
      <c r="D140" s="50">
        <f>IFERROR(__xludf.DUMMYFUNCTION("""COMPUTED_VALUE"""),12.0)</f>
        <v>12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IFERROR(__xludf.DUMMYFUNCTION("""COMPUTED_VALUE"""),169.0)</f>
        <v>169</v>
      </c>
      <c r="N140" s="52">
        <f>IFERROR(__xludf.DUMMYFUNCTION("""COMPUTED_VALUE"""),12.0)</f>
        <v>12</v>
      </c>
    </row>
    <row r="141">
      <c r="A141" s="1"/>
      <c r="B141" s="48" t="str">
        <f>IFERROR(__xludf.DUMMYFUNCTION("""COMPUTED_VALUE"""),"Derek Fu")</f>
        <v>Derek Fu</v>
      </c>
      <c r="C141" s="49">
        <f>IFERROR(__xludf.DUMMYFUNCTION("""COMPUTED_VALUE"""),159.0)</f>
        <v>159</v>
      </c>
      <c r="D141" s="50">
        <f>IFERROR(__xludf.DUMMYFUNCTION("""COMPUTED_VALUE"""),10.0)</f>
        <v>10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IFERROR(__xludf.DUMMYFUNCTION("""COMPUTED_VALUE"""),168.0)</f>
        <v>168</v>
      </c>
      <c r="N141" s="52">
        <f>IFERROR(__xludf.DUMMYFUNCTION("""COMPUTED_VALUE"""),10.0)</f>
        <v>10</v>
      </c>
    </row>
    <row r="142">
      <c r="A142" s="1"/>
      <c r="B142" s="48" t="str">
        <f>IFERROR(__xludf.DUMMYFUNCTION("""COMPUTED_VALUE"""),"David Shin")</f>
        <v>David Shin</v>
      </c>
      <c r="C142" s="49">
        <f>IFERROR(__xludf.DUMMYFUNCTION("""COMPUTED_VALUE"""),157.0)</f>
        <v>157</v>
      </c>
      <c r="D142" s="50">
        <f>IFERROR(__xludf.DUMMYFUNCTION("""COMPUTED_VALUE"""),10.0)</f>
        <v>10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IFERROR(__xludf.DUMMYFUNCTION("""COMPUTED_VALUE"""),166.0)</f>
        <v>166</v>
      </c>
      <c r="N142" s="52">
        <f>IFERROR(__xludf.DUMMYFUNCTION("""COMPUTED_VALUE"""),10.0)</f>
        <v>10</v>
      </c>
    </row>
    <row r="143">
      <c r="A143" s="1"/>
      <c r="B143" s="48" t="str">
        <f>IFERROR(__xludf.DUMMYFUNCTION("""COMPUTED_VALUE"""),"Paul Sanchez")</f>
        <v>Paul Sanchez</v>
      </c>
      <c r="C143" s="49">
        <f>IFERROR(__xludf.DUMMYFUNCTION("""COMPUTED_VALUE"""),153.0)</f>
        <v>153</v>
      </c>
      <c r="D143" s="50">
        <f>IFERROR(__xludf.DUMMYFUNCTION("""COMPUTED_VALUE"""),9.0)</f>
        <v>9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IFERROR(__xludf.DUMMYFUNCTION("""COMPUTED_VALUE"""),162.0)</f>
        <v>162</v>
      </c>
      <c r="N143" s="52">
        <f>IFERROR(__xludf.DUMMYFUNCTION("""COMPUTED_VALUE"""),9.0)</f>
        <v>9</v>
      </c>
    </row>
    <row r="144">
      <c r="A144" s="1"/>
      <c r="B144" s="48" t="str">
        <f>IFERROR(__xludf.DUMMYFUNCTION("""COMPUTED_VALUE"""),"Troy Wong")</f>
        <v>Troy Wong</v>
      </c>
      <c r="C144" s="49">
        <f>IFERROR(__xludf.DUMMYFUNCTION("""COMPUTED_VALUE"""),152.0)</f>
        <v>152</v>
      </c>
      <c r="D144" s="50">
        <f>IFERROR(__xludf.DUMMYFUNCTION("""COMPUTED_VALUE"""),8.0)</f>
        <v>8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IFERROR(__xludf.DUMMYFUNCTION("""COMPUTED_VALUE"""),161.0)</f>
        <v>161</v>
      </c>
      <c r="N144" s="52">
        <f>IFERROR(__xludf.DUMMYFUNCTION("""COMPUTED_VALUE"""),8.0)</f>
        <v>8</v>
      </c>
    </row>
    <row r="145">
      <c r="A145" s="1"/>
      <c r="B145" s="48" t="str">
        <f>IFERROR(__xludf.DUMMYFUNCTION("""COMPUTED_VALUE"""),"Sanjaye Elayattu")</f>
        <v>Sanjaye Elayattu</v>
      </c>
      <c r="C145" s="49">
        <f>IFERROR(__xludf.DUMMYFUNCTION("""COMPUTED_VALUE"""),152.0)</f>
        <v>152</v>
      </c>
      <c r="D145" s="50">
        <f>IFERROR(__xludf.DUMMYFUNCTION("""COMPUTED_VALUE"""),6.0)</f>
        <v>6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IFERROR(__xludf.DUMMYFUNCTION("""COMPUTED_VALUE"""),161.0)</f>
        <v>161</v>
      </c>
      <c r="N145" s="52">
        <f>IFERROR(__xludf.DUMMYFUNCTION("""COMPUTED_VALUE"""),6.0)</f>
        <v>6</v>
      </c>
    </row>
    <row r="146">
      <c r="A146" s="1"/>
      <c r="B146" s="48" t="str">
        <f>IFERROR(__xludf.DUMMYFUNCTION("""COMPUTED_VALUE"""),"Mauricio Palacios")</f>
        <v>Mauricio Palacios</v>
      </c>
      <c r="C146" s="49">
        <f>IFERROR(__xludf.DUMMYFUNCTION("""COMPUTED_VALUE"""),150.0)</f>
        <v>150</v>
      </c>
      <c r="D146" s="50">
        <f>IFERROR(__xludf.DUMMYFUNCTION("""COMPUTED_VALUE"""),15.0)</f>
        <v>15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IFERROR(__xludf.DUMMYFUNCTION("""COMPUTED_VALUE"""),159.0)</f>
        <v>159</v>
      </c>
      <c r="N146" s="52">
        <f>IFERROR(__xludf.DUMMYFUNCTION("""COMPUTED_VALUE"""),15.0)</f>
        <v>15</v>
      </c>
    </row>
    <row r="147">
      <c r="A147" s="1"/>
      <c r="B147" s="48" t="str">
        <f>IFERROR(__xludf.DUMMYFUNCTION("""COMPUTED_VALUE"""),"James Cole III")</f>
        <v>James Cole III</v>
      </c>
      <c r="C147" s="49">
        <f>IFERROR(__xludf.DUMMYFUNCTION("""COMPUTED_VALUE"""),148.0)</f>
        <v>148</v>
      </c>
      <c r="D147" s="50">
        <f>IFERROR(__xludf.DUMMYFUNCTION("""COMPUTED_VALUE"""),8.0)</f>
        <v>8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IFERROR(__xludf.DUMMYFUNCTION("""COMPUTED_VALUE"""),157.0)</f>
        <v>157</v>
      </c>
      <c r="N147" s="52">
        <f>IFERROR(__xludf.DUMMYFUNCTION("""COMPUTED_VALUE"""),8.0)</f>
        <v>8</v>
      </c>
    </row>
    <row r="148">
      <c r="A148" s="1"/>
      <c r="B148" s="48" t="str">
        <f>IFERROR(__xludf.DUMMYFUNCTION("""COMPUTED_VALUE"""),"Vamsi Lolla ")</f>
        <v>Vamsi Lolla </v>
      </c>
      <c r="C148" s="49">
        <f>IFERROR(__xludf.DUMMYFUNCTION("""COMPUTED_VALUE"""),146.0)</f>
        <v>146</v>
      </c>
      <c r="D148" s="50">
        <f>IFERROR(__xludf.DUMMYFUNCTION("""COMPUTED_VALUE"""),8.0)</f>
        <v>8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IFERROR(__xludf.DUMMYFUNCTION("""COMPUTED_VALUE"""),155.0)</f>
        <v>155</v>
      </c>
      <c r="N148" s="52">
        <f>IFERROR(__xludf.DUMMYFUNCTION("""COMPUTED_VALUE"""),8.0)</f>
        <v>8</v>
      </c>
    </row>
    <row r="149">
      <c r="A149" s="1"/>
      <c r="B149" s="48" t="str">
        <f>IFERROR(__xludf.DUMMYFUNCTION("""COMPUTED_VALUE"""),"Vinot Kumar Nagappan")</f>
        <v>Vinot Kumar Nagappan</v>
      </c>
      <c r="C149" s="49">
        <f>IFERROR(__xludf.DUMMYFUNCTION("""COMPUTED_VALUE"""),146.0)</f>
        <v>146</v>
      </c>
      <c r="D149" s="50">
        <f>IFERROR(__xludf.DUMMYFUNCTION("""COMPUTED_VALUE"""),8.0)</f>
        <v>8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IFERROR(__xludf.DUMMYFUNCTION("""COMPUTED_VALUE"""),155.0)</f>
        <v>155</v>
      </c>
      <c r="N149" s="52">
        <f>IFERROR(__xludf.DUMMYFUNCTION("""COMPUTED_VALUE"""),8.0)</f>
        <v>8</v>
      </c>
    </row>
    <row r="150">
      <c r="A150" s="1"/>
      <c r="B150" s="48" t="str">
        <f>IFERROR(__xludf.DUMMYFUNCTION("""COMPUTED_VALUE"""),"Susanta Mishra")</f>
        <v>Susanta Mishra</v>
      </c>
      <c r="C150" s="49">
        <f>IFERROR(__xludf.DUMMYFUNCTION("""COMPUTED_VALUE"""),146.0)</f>
        <v>146</v>
      </c>
      <c r="D150" s="50">
        <f>IFERROR(__xludf.DUMMYFUNCTION("""COMPUTED_VALUE"""),8.0)</f>
        <v>8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IFERROR(__xludf.DUMMYFUNCTION("""COMPUTED_VALUE"""),155.0)</f>
        <v>155</v>
      </c>
      <c r="N150" s="52">
        <f>IFERROR(__xludf.DUMMYFUNCTION("""COMPUTED_VALUE"""),8.0)</f>
        <v>8</v>
      </c>
    </row>
    <row r="151">
      <c r="A151" s="1"/>
      <c r="B151" s="48" t="str">
        <f>IFERROR(__xludf.DUMMYFUNCTION("""COMPUTED_VALUE"""),"Jimmy Awolesi")</f>
        <v>Jimmy Awolesi</v>
      </c>
      <c r="C151" s="49">
        <f>IFERROR(__xludf.DUMMYFUNCTION("""COMPUTED_VALUE"""),141.0)</f>
        <v>141</v>
      </c>
      <c r="D151" s="50">
        <f>IFERROR(__xludf.DUMMYFUNCTION("""COMPUTED_VALUE"""),11.0)</f>
        <v>11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IFERROR(__xludf.DUMMYFUNCTION("""COMPUTED_VALUE"""),150.0)</f>
        <v>150</v>
      </c>
      <c r="N151" s="52">
        <f>IFERROR(__xludf.DUMMYFUNCTION("""COMPUTED_VALUE"""),11.0)</f>
        <v>11</v>
      </c>
    </row>
    <row r="152">
      <c r="A152" s="1"/>
      <c r="B152" s="48" t="str">
        <f>IFERROR(__xludf.DUMMYFUNCTION("""COMPUTED_VALUE"""),"Balaji Alahari")</f>
        <v>Balaji Alahari</v>
      </c>
      <c r="C152" s="49">
        <f>IFERROR(__xludf.DUMMYFUNCTION("""COMPUTED_VALUE"""),141.0)</f>
        <v>141</v>
      </c>
      <c r="D152" s="50">
        <f>IFERROR(__xludf.DUMMYFUNCTION("""COMPUTED_VALUE"""),3.0)</f>
        <v>3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IFERROR(__xludf.DUMMYFUNCTION("""COMPUTED_VALUE"""),150.0)</f>
        <v>150</v>
      </c>
      <c r="N152" s="52">
        <f>IFERROR(__xludf.DUMMYFUNCTION("""COMPUTED_VALUE"""),3.0)</f>
        <v>3</v>
      </c>
    </row>
    <row r="153">
      <c r="A153" s="1"/>
      <c r="B153" s="48" t="str">
        <f>IFERROR(__xludf.DUMMYFUNCTION("""COMPUTED_VALUE"""),"Pan Lee")</f>
        <v>Pan Lee</v>
      </c>
      <c r="C153" s="49">
        <f>IFERROR(__xludf.DUMMYFUNCTION("""COMPUTED_VALUE"""),140.0)</f>
        <v>140</v>
      </c>
      <c r="D153" s="50">
        <f>IFERROR(__xludf.DUMMYFUNCTION("""COMPUTED_VALUE"""),5.0)</f>
        <v>5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IFERROR(__xludf.DUMMYFUNCTION("""COMPUTED_VALUE"""),149.0)</f>
        <v>149</v>
      </c>
      <c r="N153" s="52">
        <f>IFERROR(__xludf.DUMMYFUNCTION("""COMPUTED_VALUE"""),5.0)</f>
        <v>5</v>
      </c>
    </row>
    <row r="154">
      <c r="A154" s="1"/>
      <c r="B154" s="48" t="str">
        <f>IFERROR(__xludf.DUMMYFUNCTION("""COMPUTED_VALUE"""),"Lauren Chang")</f>
        <v>Lauren Chang</v>
      </c>
      <c r="C154" s="49">
        <f>IFERROR(__xludf.DUMMYFUNCTION("""COMPUTED_VALUE"""),137.0)</f>
        <v>137</v>
      </c>
      <c r="D154" s="50">
        <f>IFERROR(__xludf.DUMMYFUNCTION("""COMPUTED_VALUE"""),3.0)</f>
        <v>3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IFERROR(__xludf.DUMMYFUNCTION("""COMPUTED_VALUE"""),146.0)</f>
        <v>146</v>
      </c>
      <c r="N154" s="52">
        <f>IFERROR(__xludf.DUMMYFUNCTION("""COMPUTED_VALUE"""),3.0)</f>
        <v>3</v>
      </c>
    </row>
    <row r="155">
      <c r="A155" s="1"/>
      <c r="B155" s="48" t="str">
        <f>IFERROR(__xludf.DUMMYFUNCTION("""COMPUTED_VALUE"""),"Piyorasa Li")</f>
        <v>Piyorasa Li</v>
      </c>
      <c r="C155" s="49">
        <f>IFERROR(__xludf.DUMMYFUNCTION("""COMPUTED_VALUE"""),135.0)</f>
        <v>135</v>
      </c>
      <c r="D155" s="50">
        <f>IFERROR(__xludf.DUMMYFUNCTION("""COMPUTED_VALUE"""),3.0)</f>
        <v>3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IFERROR(__xludf.DUMMYFUNCTION("""COMPUTED_VALUE"""),144.0)</f>
        <v>144</v>
      </c>
      <c r="N155" s="52">
        <f>IFERROR(__xludf.DUMMYFUNCTION("""COMPUTED_VALUE"""),3.0)</f>
        <v>3</v>
      </c>
    </row>
    <row r="156">
      <c r="A156" s="1"/>
      <c r="B156" s="48" t="str">
        <f>IFERROR(__xludf.DUMMYFUNCTION("""COMPUTED_VALUE"""),"Jason Kim ")</f>
        <v>Jason Kim </v>
      </c>
      <c r="C156" s="49">
        <f>IFERROR(__xludf.DUMMYFUNCTION("""COMPUTED_VALUE"""),135.0)</f>
        <v>135</v>
      </c>
      <c r="D156" s="50">
        <f>IFERROR(__xludf.DUMMYFUNCTION("""COMPUTED_VALUE"""),3.0)</f>
        <v>3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IFERROR(__xludf.DUMMYFUNCTION("""COMPUTED_VALUE"""),144.0)</f>
        <v>144</v>
      </c>
      <c r="N156" s="52">
        <f>IFERROR(__xludf.DUMMYFUNCTION("""COMPUTED_VALUE"""),3.0)</f>
        <v>3</v>
      </c>
    </row>
    <row r="157">
      <c r="A157" s="1"/>
      <c r="B157" s="48" t="str">
        <f>IFERROR(__xludf.DUMMYFUNCTION("""COMPUTED_VALUE"""),"Santosh Sundaresan ")</f>
        <v>Santosh Sundaresan </v>
      </c>
      <c r="C157" s="49">
        <f>IFERROR(__xludf.DUMMYFUNCTION("""COMPUTED_VALUE"""),133.0)</f>
        <v>133</v>
      </c>
      <c r="D157" s="50">
        <f>IFERROR(__xludf.DUMMYFUNCTION("""COMPUTED_VALUE"""),5.0)</f>
        <v>5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IFERROR(__xludf.DUMMYFUNCTION("""COMPUTED_VALUE"""),142.0)</f>
        <v>142</v>
      </c>
      <c r="N157" s="52">
        <f>IFERROR(__xludf.DUMMYFUNCTION("""COMPUTED_VALUE"""),5.0)</f>
        <v>5</v>
      </c>
    </row>
    <row r="158">
      <c r="A158" s="1"/>
      <c r="B158" s="48" t="str">
        <f>IFERROR(__xludf.DUMMYFUNCTION("""COMPUTED_VALUE"""),"Suleman Alidina")</f>
        <v>Suleman Alidina</v>
      </c>
      <c r="C158" s="49">
        <f>IFERROR(__xludf.DUMMYFUNCTION("""COMPUTED_VALUE"""),130.0)</f>
        <v>130</v>
      </c>
      <c r="D158" s="50">
        <f>IFERROR(__xludf.DUMMYFUNCTION("""COMPUTED_VALUE"""),2.0)</f>
        <v>2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IFERROR(__xludf.DUMMYFUNCTION("""COMPUTED_VALUE"""),139.0)</f>
        <v>139</v>
      </c>
      <c r="N158" s="52">
        <f>IFERROR(__xludf.DUMMYFUNCTION("""COMPUTED_VALUE"""),2.0)</f>
        <v>2</v>
      </c>
    </row>
    <row r="159">
      <c r="A159" s="1"/>
      <c r="B159" s="48" t="str">
        <f>IFERROR(__xludf.DUMMYFUNCTION("""COMPUTED_VALUE"""),"Amit Patel")</f>
        <v>Amit Patel</v>
      </c>
      <c r="C159" s="49">
        <f>IFERROR(__xludf.DUMMYFUNCTION("""COMPUTED_VALUE"""),130.0)</f>
        <v>130</v>
      </c>
      <c r="D159" s="50">
        <f>IFERROR(__xludf.DUMMYFUNCTION("""COMPUTED_VALUE"""),2.0)</f>
        <v>2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IFERROR(__xludf.DUMMYFUNCTION("""COMPUTED_VALUE"""),139.0)</f>
        <v>139</v>
      </c>
      <c r="N159" s="52">
        <f>IFERROR(__xludf.DUMMYFUNCTION("""COMPUTED_VALUE"""),2.0)</f>
        <v>2</v>
      </c>
    </row>
    <row r="160">
      <c r="A160" s="1"/>
      <c r="B160" s="48" t="str">
        <f>IFERROR(__xludf.DUMMYFUNCTION("""COMPUTED_VALUE"""),"Coco Yan")</f>
        <v>Coco Yan</v>
      </c>
      <c r="C160" s="49">
        <f>IFERROR(__xludf.DUMMYFUNCTION("""COMPUTED_VALUE"""),130.0)</f>
        <v>130</v>
      </c>
      <c r="D160" s="50">
        <f>IFERROR(__xludf.DUMMYFUNCTION("""COMPUTED_VALUE"""),2.0)</f>
        <v>2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IFERROR(__xludf.DUMMYFUNCTION("""COMPUTED_VALUE"""),139.0)</f>
        <v>139</v>
      </c>
      <c r="N160" s="52">
        <f>IFERROR(__xludf.DUMMYFUNCTION("""COMPUTED_VALUE"""),2.0)</f>
        <v>2</v>
      </c>
    </row>
    <row r="161">
      <c r="A161" s="1"/>
      <c r="B161" s="48" t="str">
        <f>IFERROR(__xludf.DUMMYFUNCTION("""COMPUTED_VALUE"""),"Savay Lieu")</f>
        <v>Savay Lieu</v>
      </c>
      <c r="C161" s="49">
        <f>IFERROR(__xludf.DUMMYFUNCTION("""COMPUTED_VALUE"""),126.0)</f>
        <v>126</v>
      </c>
      <c r="D161" s="50">
        <f>IFERROR(__xludf.DUMMYFUNCTION("""COMPUTED_VALUE"""),0.0)</f>
        <v>0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IFERROR(__xludf.DUMMYFUNCTION("""COMPUTED_VALUE"""),135.0)</f>
        <v>135</v>
      </c>
      <c r="N161" s="52">
        <f>IFERROR(__xludf.DUMMYFUNCTION("""COMPUTED_VALUE"""),0.0)</f>
        <v>0</v>
      </c>
    </row>
    <row r="162">
      <c r="A162" s="1"/>
      <c r="B162" s="48" t="str">
        <f>IFERROR(__xludf.DUMMYFUNCTION("""COMPUTED_VALUE"""),"Mihir Anand")</f>
        <v>Mihir Anand</v>
      </c>
      <c r="C162" s="49">
        <f>IFERROR(__xludf.DUMMYFUNCTION("""COMPUTED_VALUE"""),126.0)</f>
        <v>126</v>
      </c>
      <c r="D162" s="50">
        <f>IFERROR(__xludf.DUMMYFUNCTION("""COMPUTED_VALUE"""),0.0)</f>
        <v>0</v>
      </c>
      <c r="E162" s="49">
        <f>IFERROR(__xludf.DUMMYFUNCTION("""COMPUTED_VALUE"""),3.0)</f>
        <v>3</v>
      </c>
      <c r="F162" s="51">
        <f>IFERROR(__xludf.DUMMYFUNCTION("""COMPUTED_VALUE"""),0.0)</f>
        <v>0</v>
      </c>
      <c r="G162" s="51">
        <f>IFERROR(__xludf.DUMMYFUNCTION("""COMPUTED_VALUE"""),9.0)</f>
        <v>9</v>
      </c>
      <c r="H162" s="51">
        <f>IFERROR(__xludf.DUMMYFUNCTION("""COMPUTED_VALUE"""),0.0)</f>
        <v>0</v>
      </c>
      <c r="I162" s="51">
        <f>IFERROR(__xludf.DUMMYFUNCTION("""COMPUTED_VALUE"""),0.0)</f>
        <v>0</v>
      </c>
      <c r="J162" s="51">
        <f>IFERROR(__xludf.DUMMYFUNCTION("""COMPUTED_VALUE"""),0.0)</f>
        <v>0</v>
      </c>
      <c r="K162" s="51">
        <f>IFERROR(__xludf.DUMMYFUNCTION("""COMPUTED_VALUE"""),9.0)</f>
        <v>9</v>
      </c>
      <c r="L162" s="51">
        <f>IFERROR(__xludf.DUMMYFUNCTION("""COMPUTED_VALUE"""),0.0)</f>
        <v>0</v>
      </c>
      <c r="M162" s="51">
        <f>IFERROR(__xludf.DUMMYFUNCTION("""COMPUTED_VALUE"""),135.0)</f>
        <v>135</v>
      </c>
      <c r="N162" s="52">
        <f>IFERROR(__xludf.DUMMYFUNCTION("""COMPUTED_VALUE"""),0.0)</f>
        <v>0</v>
      </c>
    </row>
    <row r="163">
      <c r="A163" s="1"/>
      <c r="B163" s="48" t="str">
        <f>IFERROR(__xludf.DUMMYFUNCTION("""COMPUTED_VALUE"""),"Manish Anand")</f>
        <v>Manish Anand</v>
      </c>
      <c r="C163" s="49">
        <f>IFERROR(__xludf.DUMMYFUNCTION("""COMPUTED_VALUE"""),126.0)</f>
        <v>126</v>
      </c>
      <c r="D163" s="50">
        <f>IFERROR(__xludf.DUMMYFUNCTION("""COMPUTED_VALUE"""),0.0)</f>
        <v>0</v>
      </c>
      <c r="E163" s="49">
        <f>IFERROR(__xludf.DUMMYFUNCTION("""COMPUTED_VALUE"""),3.0)</f>
        <v>3</v>
      </c>
      <c r="F163" s="51">
        <f>IFERROR(__xludf.DUMMYFUNCTION("""COMPUTED_VALUE"""),0.0)</f>
        <v>0</v>
      </c>
      <c r="G163" s="51">
        <f>IFERROR(__xludf.DUMMYFUNCTION("""COMPUTED_VALUE"""),9.0)</f>
        <v>9</v>
      </c>
      <c r="H163" s="51">
        <f>IFERROR(__xludf.DUMMYFUNCTION("""COMPUTED_VALUE"""),0.0)</f>
        <v>0</v>
      </c>
      <c r="I163" s="51">
        <f>IFERROR(__xludf.DUMMYFUNCTION("""COMPUTED_VALUE"""),0.0)</f>
        <v>0</v>
      </c>
      <c r="J163" s="51">
        <f>IFERROR(__xludf.DUMMYFUNCTION("""COMPUTED_VALUE"""),0.0)</f>
        <v>0</v>
      </c>
      <c r="K163" s="51">
        <f>IFERROR(__xludf.DUMMYFUNCTION("""COMPUTED_VALUE"""),9.0)</f>
        <v>9</v>
      </c>
      <c r="L163" s="51">
        <f>IFERROR(__xludf.DUMMYFUNCTION("""COMPUTED_VALUE"""),0.0)</f>
        <v>0</v>
      </c>
      <c r="M163" s="51">
        <f>IFERROR(__xludf.DUMMYFUNCTION("""COMPUTED_VALUE"""),135.0)</f>
        <v>135</v>
      </c>
      <c r="N163" s="52">
        <f>IFERROR(__xludf.DUMMYFUNCTION("""COMPUTED_VALUE"""),0.0)</f>
        <v>0</v>
      </c>
    </row>
    <row r="164">
      <c r="A164" s="1"/>
      <c r="B164" s="48" t="str">
        <f>IFERROR(__xludf.DUMMYFUNCTION("""COMPUTED_VALUE"""),"Fendi Purwadi")</f>
        <v>Fendi Purwadi</v>
      </c>
      <c r="C164" s="49">
        <f>IFERROR(__xludf.DUMMYFUNCTION("""COMPUTED_VALUE"""),126.0)</f>
        <v>126</v>
      </c>
      <c r="D164" s="50">
        <f>IFERROR(__xludf.DUMMYFUNCTION("""COMPUTED_VALUE"""),0.0)</f>
        <v>0</v>
      </c>
      <c r="E164" s="49">
        <f>IFERROR(__xludf.DUMMYFUNCTION("""COMPUTED_VALUE"""),3.0)</f>
        <v>3</v>
      </c>
      <c r="F164" s="51">
        <f>IFERROR(__xludf.DUMMYFUNCTION("""COMPUTED_VALUE"""),0.0)</f>
        <v>0</v>
      </c>
      <c r="G164" s="51">
        <f>IFERROR(__xludf.DUMMYFUNCTION("""COMPUTED_VALUE"""),9.0)</f>
        <v>9</v>
      </c>
      <c r="H164" s="51">
        <f>IFERROR(__xludf.DUMMYFUNCTION("""COMPUTED_VALUE"""),0.0)</f>
        <v>0</v>
      </c>
      <c r="I164" s="51">
        <f>IFERROR(__xludf.DUMMYFUNCTION("""COMPUTED_VALUE"""),0.0)</f>
        <v>0</v>
      </c>
      <c r="J164" s="51">
        <f>IFERROR(__xludf.DUMMYFUNCTION("""COMPUTED_VALUE"""),0.0)</f>
        <v>0</v>
      </c>
      <c r="K164" s="51">
        <f>IFERROR(__xludf.DUMMYFUNCTION("""COMPUTED_VALUE"""),9.0)</f>
        <v>9</v>
      </c>
      <c r="L164" s="51">
        <f>IFERROR(__xludf.DUMMYFUNCTION("""COMPUTED_VALUE"""),0.0)</f>
        <v>0</v>
      </c>
      <c r="M164" s="51">
        <f>IFERROR(__xludf.DUMMYFUNCTION("""COMPUTED_VALUE"""),135.0)</f>
        <v>135</v>
      </c>
      <c r="N164" s="52">
        <f>IFERROR(__xludf.DUMMYFUNCTION("""COMPUTED_VALUE"""),0.0)</f>
        <v>0</v>
      </c>
    </row>
    <row r="165">
      <c r="A165" s="1"/>
      <c r="B165" s="48" t="str">
        <f>IFERROR(__xludf.DUMMYFUNCTION("""COMPUTED_VALUE"""),"Jose Ortiz")</f>
        <v>Jose Ortiz</v>
      </c>
      <c r="C165" s="49">
        <f>IFERROR(__xludf.DUMMYFUNCTION("""COMPUTED_VALUE"""),123.0)</f>
        <v>123</v>
      </c>
      <c r="D165" s="50">
        <f>IFERROR(__xludf.DUMMYFUNCTION("""COMPUTED_VALUE"""),5.0)</f>
        <v>5</v>
      </c>
      <c r="E165" s="49">
        <f>IFERROR(__xludf.DUMMYFUNCTION("""COMPUTED_VALUE"""),3.0)</f>
        <v>3</v>
      </c>
      <c r="F165" s="51">
        <f>IFERROR(__xludf.DUMMYFUNCTION("""COMPUTED_VALUE"""),0.0)</f>
        <v>0</v>
      </c>
      <c r="G165" s="51">
        <f>IFERROR(__xludf.DUMMYFUNCTION("""COMPUTED_VALUE"""),9.0)</f>
        <v>9</v>
      </c>
      <c r="H165" s="51">
        <f>IFERROR(__xludf.DUMMYFUNCTION("""COMPUTED_VALUE"""),0.0)</f>
        <v>0</v>
      </c>
      <c r="I165" s="51">
        <f>IFERROR(__xludf.DUMMYFUNCTION("""COMPUTED_VALUE"""),0.0)</f>
        <v>0</v>
      </c>
      <c r="J165" s="51">
        <f>IFERROR(__xludf.DUMMYFUNCTION("""COMPUTED_VALUE"""),0.0)</f>
        <v>0</v>
      </c>
      <c r="K165" s="51">
        <f>IFERROR(__xludf.DUMMYFUNCTION("""COMPUTED_VALUE"""),9.0)</f>
        <v>9</v>
      </c>
      <c r="L165" s="51">
        <f>IFERROR(__xludf.DUMMYFUNCTION("""COMPUTED_VALUE"""),0.0)</f>
        <v>0</v>
      </c>
      <c r="M165" s="51">
        <f>IFERROR(__xludf.DUMMYFUNCTION("""COMPUTED_VALUE"""),132.0)</f>
        <v>132</v>
      </c>
      <c r="N165" s="52">
        <f>IFERROR(__xludf.DUMMYFUNCTION("""COMPUTED_VALUE"""),5.0)</f>
        <v>5</v>
      </c>
    </row>
    <row r="166">
      <c r="A166" s="1"/>
      <c r="B166" s="48"/>
      <c r="C166" s="49"/>
      <c r="D166" s="50"/>
      <c r="E166" s="49"/>
      <c r="F166" s="51"/>
      <c r="G166" s="51"/>
      <c r="H166" s="51"/>
      <c r="I166" s="51"/>
      <c r="J166" s="51"/>
      <c r="K166" s="51"/>
      <c r="L166" s="51"/>
      <c r="M166" s="51"/>
      <c r="N166" s="52"/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4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4 B72:D82">
    <cfRule type="expression" dxfId="0" priority="3">
      <formula>E5=1</formula>
    </cfRule>
  </conditionalFormatting>
  <conditionalFormatting sqref="B5:B64 B72:D82">
    <cfRule type="expression" dxfId="2" priority="4">
      <formula>E5=2</formula>
    </cfRule>
  </conditionalFormatting>
  <conditionalFormatting sqref="B5:B64 B72:D82">
    <cfRule type="expression" dxfId="3" priority="5">
      <formula>E5=3</formula>
    </cfRule>
  </conditionalFormatting>
  <conditionalFormatting sqref="B5:B64 B72:D82">
    <cfRule type="expression" dxfId="4" priority="6">
      <formula>E5=4</formula>
    </cfRule>
  </conditionalFormatting>
  <conditionalFormatting sqref="L74">
    <cfRule type="containsText" dxfId="0" priority="7" operator="containsText" text="Good">
      <formula>NOT(ISERROR(SEARCH(("Good"),(L74))))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45206.0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14.0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49</v>
      </c>
      <c r="C5" s="27">
        <v>174.0</v>
      </c>
      <c r="D5" s="28">
        <v>16.0</v>
      </c>
      <c r="E5" s="30">
        <v>1.0</v>
      </c>
      <c r="F5" s="31">
        <v>1.0</v>
      </c>
      <c r="G5" s="27">
        <v>0.0</v>
      </c>
      <c r="H5" s="31">
        <v>4.0</v>
      </c>
      <c r="I5" s="31">
        <v>6.0</v>
      </c>
      <c r="J5" s="31">
        <v>2.0</v>
      </c>
      <c r="K5" s="32">
        <v>12.0</v>
      </c>
      <c r="L5" s="31">
        <v>1.0</v>
      </c>
      <c r="M5" s="27">
        <f t="shared" ref="M5:N5" si="1">C5+K5</f>
        <v>186</v>
      </c>
      <c r="N5" s="28">
        <f t="shared" si="1"/>
        <v>17</v>
      </c>
      <c r="O5" s="33" t="s">
        <v>37</v>
      </c>
      <c r="P5" s="33" t="s">
        <v>37</v>
      </c>
      <c r="Q5" s="31">
        <f>if(G5=13,1,0)+VLOOKUP(B5,'93023'!B:Q,16,false)</f>
        <v>1</v>
      </c>
      <c r="R5" s="31"/>
      <c r="S5" s="31">
        <f>if(G5=9,1,0)+VLOOKUP(B5,'93023'!B:S,18,false)</f>
        <v>1</v>
      </c>
    </row>
    <row r="6">
      <c r="A6" s="25">
        <f t="shared" ref="A6:A64" si="3">A5+1</f>
        <v>2</v>
      </c>
      <c r="B6" s="26" t="s">
        <v>42</v>
      </c>
      <c r="C6" s="27">
        <v>173.0</v>
      </c>
      <c r="D6" s="28">
        <v>16.0</v>
      </c>
      <c r="E6" s="30">
        <v>1.0</v>
      </c>
      <c r="F6" s="31">
        <v>1.0</v>
      </c>
      <c r="G6" s="27">
        <v>0.0</v>
      </c>
      <c r="H6" s="31">
        <v>6.0</v>
      </c>
      <c r="I6" s="31">
        <v>6.0</v>
      </c>
      <c r="J6" s="31">
        <v>6.0</v>
      </c>
      <c r="K6" s="32">
        <v>18.0</v>
      </c>
      <c r="L6" s="31">
        <v>3.0</v>
      </c>
      <c r="M6" s="27">
        <f t="shared" ref="M6:N6" si="2">C6+K6</f>
        <v>191</v>
      </c>
      <c r="N6" s="28">
        <f t="shared" si="2"/>
        <v>19</v>
      </c>
      <c r="O6" s="33" t="s">
        <v>37</v>
      </c>
      <c r="P6" s="33" t="s">
        <v>37</v>
      </c>
      <c r="Q6" s="31">
        <f>if(G6=13,1,0)+VLOOKUP(B6,'93023'!B:Q,16,false)</f>
        <v>0</v>
      </c>
      <c r="R6" s="31"/>
      <c r="S6" s="31">
        <f>if(G6=9,1,0)+VLOOKUP(B6,'93023'!B:S,18,false)</f>
        <v>5</v>
      </c>
    </row>
    <row r="7">
      <c r="A7" s="25">
        <f t="shared" si="3"/>
        <v>3</v>
      </c>
      <c r="B7" s="26" t="s">
        <v>48</v>
      </c>
      <c r="C7" s="27">
        <v>172.0</v>
      </c>
      <c r="D7" s="28">
        <v>17.0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181</v>
      </c>
      <c r="N7" s="28">
        <f t="shared" si="4"/>
        <v>17</v>
      </c>
      <c r="O7" s="33" t="s">
        <v>37</v>
      </c>
      <c r="P7" s="33" t="s">
        <v>37</v>
      </c>
      <c r="Q7" s="31">
        <f>if(G7=13,1,0)+VLOOKUP(B7,'93023'!B:Q,16,false)</f>
        <v>0</v>
      </c>
      <c r="R7" s="31"/>
      <c r="S7" s="31">
        <f>if(G7=9,1,0)+VLOOKUP(B7,'93023'!B:S,18,false)</f>
        <v>5</v>
      </c>
    </row>
    <row r="8">
      <c r="A8" s="25">
        <f t="shared" si="3"/>
        <v>4</v>
      </c>
      <c r="B8" s="26" t="s">
        <v>54</v>
      </c>
      <c r="C8" s="27">
        <v>172.0</v>
      </c>
      <c r="D8" s="28">
        <v>16.0</v>
      </c>
      <c r="E8" s="30">
        <v>1.0</v>
      </c>
      <c r="F8" s="31">
        <v>1.0</v>
      </c>
      <c r="G8" s="27">
        <v>0.0</v>
      </c>
      <c r="H8" s="31">
        <v>4.0</v>
      </c>
      <c r="I8" s="31">
        <v>4.0</v>
      </c>
      <c r="J8" s="31">
        <v>6.0</v>
      </c>
      <c r="K8" s="32">
        <v>14.0</v>
      </c>
      <c r="L8" s="31">
        <v>1.0</v>
      </c>
      <c r="M8" s="27">
        <f t="shared" ref="M8:N8" si="5">C8+K8</f>
        <v>186</v>
      </c>
      <c r="N8" s="28">
        <f t="shared" si="5"/>
        <v>17</v>
      </c>
      <c r="O8" s="33" t="s">
        <v>37</v>
      </c>
      <c r="P8" s="33" t="s">
        <v>37</v>
      </c>
      <c r="Q8" s="31">
        <f>if(G8=13,1,0)+VLOOKUP(B8,'93023'!B:Q,16,false)</f>
        <v>0</v>
      </c>
      <c r="R8" s="31"/>
      <c r="S8" s="31">
        <f>if(G8=9,1,0)+VLOOKUP(B8,'93023'!B:S,18,false)</f>
        <v>4</v>
      </c>
    </row>
    <row r="9">
      <c r="A9" s="25">
        <f t="shared" si="3"/>
        <v>5</v>
      </c>
      <c r="B9" s="26" t="s">
        <v>72</v>
      </c>
      <c r="C9" s="27">
        <v>170.0</v>
      </c>
      <c r="D9" s="28">
        <v>16.0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179</v>
      </c>
      <c r="N9" s="28">
        <f t="shared" si="6"/>
        <v>16</v>
      </c>
      <c r="O9" s="33" t="s">
        <v>37</v>
      </c>
      <c r="P9" s="33" t="s">
        <v>37</v>
      </c>
      <c r="Q9" s="31">
        <f>if(G9=13,1,0)+VLOOKUP(B9,'93023'!B:Q,16,false)</f>
        <v>1</v>
      </c>
      <c r="R9" s="31"/>
      <c r="S9" s="31">
        <f>if(G9=9,1,0)+VLOOKUP(B9,'93023'!B:S,18,false)</f>
        <v>6</v>
      </c>
    </row>
    <row r="10">
      <c r="A10" s="25">
        <f t="shared" si="3"/>
        <v>6</v>
      </c>
      <c r="B10" s="36" t="s">
        <v>67</v>
      </c>
      <c r="C10" s="27">
        <v>170.0</v>
      </c>
      <c r="D10" s="28">
        <v>16.0</v>
      </c>
      <c r="E10" s="30">
        <v>1.0</v>
      </c>
      <c r="F10" s="31">
        <v>1.0</v>
      </c>
      <c r="G10" s="27">
        <v>0.0</v>
      </c>
      <c r="H10" s="31">
        <v>6.0</v>
      </c>
      <c r="I10" s="31">
        <v>4.0</v>
      </c>
      <c r="J10" s="31">
        <v>2.0</v>
      </c>
      <c r="K10" s="32">
        <v>12.0</v>
      </c>
      <c r="L10" s="31">
        <v>1.0</v>
      </c>
      <c r="M10" s="27">
        <f t="shared" ref="M10:N10" si="7">C10+K10</f>
        <v>182</v>
      </c>
      <c r="N10" s="28">
        <f t="shared" si="7"/>
        <v>17</v>
      </c>
      <c r="O10" s="33" t="s">
        <v>37</v>
      </c>
      <c r="P10" s="33" t="s">
        <v>37</v>
      </c>
      <c r="Q10" s="31">
        <f>if(G10=13,1,0)+VLOOKUP(B10,'93023'!B:Q,16,false)</f>
        <v>0</v>
      </c>
      <c r="R10" s="31"/>
      <c r="S10" s="31">
        <f>if(G10=9,1,0)+VLOOKUP(B10,'93023'!B:S,18,false)</f>
        <v>4</v>
      </c>
    </row>
    <row r="11">
      <c r="A11" s="25">
        <f t="shared" si="3"/>
        <v>7</v>
      </c>
      <c r="B11" s="26" t="s">
        <v>34</v>
      </c>
      <c r="C11" s="27">
        <v>170.0</v>
      </c>
      <c r="D11" s="28">
        <v>16.0</v>
      </c>
      <c r="E11" s="30">
        <v>1.0</v>
      </c>
      <c r="F11" s="31">
        <v>2.0</v>
      </c>
      <c r="G11" s="27">
        <v>0.0</v>
      </c>
      <c r="H11" s="31">
        <v>6.0</v>
      </c>
      <c r="I11" s="31">
        <v>6.0</v>
      </c>
      <c r="J11" s="31">
        <v>6.0</v>
      </c>
      <c r="K11" s="32">
        <v>18.0</v>
      </c>
      <c r="L11" s="31">
        <v>3.0</v>
      </c>
      <c r="M11" s="27">
        <f t="shared" ref="M11:N11" si="8">C11+K11</f>
        <v>188</v>
      </c>
      <c r="N11" s="28">
        <f t="shared" si="8"/>
        <v>19</v>
      </c>
      <c r="O11" s="33" t="s">
        <v>37</v>
      </c>
      <c r="P11" s="33" t="s">
        <v>37</v>
      </c>
      <c r="Q11" s="31">
        <f>if(G11=13,1,0)+VLOOKUP(B11,'93023'!B:Q,16,false)</f>
        <v>1</v>
      </c>
      <c r="R11" s="31"/>
      <c r="S11" s="31">
        <f>if(G11=9,1,0)+VLOOKUP(B11,'93023'!B:S,18,false)</f>
        <v>5</v>
      </c>
    </row>
    <row r="12">
      <c r="A12" s="25">
        <f t="shared" si="3"/>
        <v>8</v>
      </c>
      <c r="B12" s="26" t="s">
        <v>52</v>
      </c>
      <c r="C12" s="27">
        <v>168.0</v>
      </c>
      <c r="D12" s="28">
        <v>16.0</v>
      </c>
      <c r="E12" s="30">
        <v>1.0</v>
      </c>
      <c r="F12" s="31">
        <v>2.0</v>
      </c>
      <c r="G12" s="27">
        <v>0.0</v>
      </c>
      <c r="H12" s="31">
        <v>4.0</v>
      </c>
      <c r="I12" s="31">
        <v>0.0</v>
      </c>
      <c r="J12" s="31">
        <v>6.0</v>
      </c>
      <c r="K12" s="32">
        <v>10.0</v>
      </c>
      <c r="L12" s="31">
        <v>1.0</v>
      </c>
      <c r="M12" s="27">
        <f t="shared" ref="M12:N12" si="9">C12+K12</f>
        <v>178</v>
      </c>
      <c r="N12" s="28">
        <f t="shared" si="9"/>
        <v>17</v>
      </c>
      <c r="O12" s="33" t="s">
        <v>37</v>
      </c>
      <c r="P12" s="33" t="s">
        <v>37</v>
      </c>
      <c r="Q12" s="31">
        <f>if(G12=13,1,0)+VLOOKUP(B12,'93023'!B:Q,16,false)</f>
        <v>0</v>
      </c>
      <c r="R12" s="31"/>
      <c r="S12" s="31">
        <f>if(G12=9,1,0)+VLOOKUP(B12,'93023'!B:S,18,false)</f>
        <v>1</v>
      </c>
    </row>
    <row r="13">
      <c r="A13" s="25">
        <f t="shared" si="3"/>
        <v>9</v>
      </c>
      <c r="B13" s="26" t="s">
        <v>60</v>
      </c>
      <c r="C13" s="27">
        <v>167.0</v>
      </c>
      <c r="D13" s="28">
        <v>16.0</v>
      </c>
      <c r="E13" s="30">
        <v>3.0</v>
      </c>
      <c r="F13" s="31">
        <v>0.0</v>
      </c>
      <c r="G13" s="27">
        <v>9.0</v>
      </c>
      <c r="H13" s="31">
        <v>0.0</v>
      </c>
      <c r="I13" s="31">
        <v>0.0</v>
      </c>
      <c r="J13" s="31">
        <v>0.0</v>
      </c>
      <c r="K13" s="32">
        <v>9.0</v>
      </c>
      <c r="L13" s="31">
        <v>0.0</v>
      </c>
      <c r="M13" s="27">
        <f t="shared" ref="M13:N13" si="10">C13+K13</f>
        <v>176</v>
      </c>
      <c r="N13" s="28">
        <f t="shared" si="10"/>
        <v>16</v>
      </c>
      <c r="O13" s="33" t="s">
        <v>37</v>
      </c>
      <c r="P13" s="33" t="s">
        <v>37</v>
      </c>
      <c r="Q13" s="31">
        <f>if(G13=13,1,0)+VLOOKUP(B13,'93023'!B:Q,16,false)</f>
        <v>0</v>
      </c>
      <c r="R13" s="31"/>
      <c r="S13" s="31">
        <f>if(G13=9,1,0)+VLOOKUP(B13,'93023'!B:S,18,false)</f>
        <v>4</v>
      </c>
    </row>
    <row r="14">
      <c r="A14" s="25">
        <f t="shared" si="3"/>
        <v>10</v>
      </c>
      <c r="B14" s="26" t="s">
        <v>57</v>
      </c>
      <c r="C14" s="27">
        <v>165.0</v>
      </c>
      <c r="D14" s="28">
        <v>17.0</v>
      </c>
      <c r="E14" s="30">
        <v>1.0</v>
      </c>
      <c r="F14" s="31">
        <v>2.0</v>
      </c>
      <c r="G14" s="27">
        <v>0.0</v>
      </c>
      <c r="H14" s="31">
        <v>4.0</v>
      </c>
      <c r="I14" s="31">
        <v>6.0</v>
      </c>
      <c r="J14" s="31">
        <v>0.0</v>
      </c>
      <c r="K14" s="32">
        <v>10.0</v>
      </c>
      <c r="L14" s="31">
        <v>1.0</v>
      </c>
      <c r="M14" s="27">
        <f t="shared" ref="M14:N14" si="11">C14+K14</f>
        <v>175</v>
      </c>
      <c r="N14" s="28">
        <f t="shared" si="11"/>
        <v>18</v>
      </c>
      <c r="O14" s="33" t="s">
        <v>37</v>
      </c>
      <c r="P14" s="33" t="s">
        <v>37</v>
      </c>
      <c r="Q14" s="31">
        <f>if(G14=13,1,0)+VLOOKUP(B14,'93023'!B:Q,16,false)</f>
        <v>0</v>
      </c>
      <c r="R14" s="31"/>
      <c r="S14" s="31">
        <f>if(G14=9,1,0)+VLOOKUP(B14,'93023'!B:S,18,false)</f>
        <v>4</v>
      </c>
    </row>
    <row r="15">
      <c r="A15" s="25">
        <f t="shared" si="3"/>
        <v>11</v>
      </c>
      <c r="B15" s="36" t="s">
        <v>56</v>
      </c>
      <c r="C15" s="27">
        <v>163.0</v>
      </c>
      <c r="D15" s="28">
        <v>17.0</v>
      </c>
      <c r="E15" s="30">
        <v>1.0</v>
      </c>
      <c r="F15" s="31">
        <v>2.0</v>
      </c>
      <c r="G15" s="27">
        <v>0.0</v>
      </c>
      <c r="H15" s="31">
        <v>6.0</v>
      </c>
      <c r="I15" s="31">
        <v>0.0</v>
      </c>
      <c r="J15" s="31">
        <v>0.0</v>
      </c>
      <c r="K15" s="32">
        <v>6.0</v>
      </c>
      <c r="L15" s="31">
        <v>1.0</v>
      </c>
      <c r="M15" s="27">
        <f t="shared" ref="M15:N15" si="12">C15+K15</f>
        <v>169</v>
      </c>
      <c r="N15" s="28">
        <f t="shared" si="12"/>
        <v>18</v>
      </c>
      <c r="O15" s="33" t="s">
        <v>37</v>
      </c>
      <c r="P15" s="33" t="s">
        <v>37</v>
      </c>
      <c r="Q15" s="31">
        <f>if(G15=13,1,0)+VLOOKUP(B15,'93023'!B:Q,16,false)</f>
        <v>0</v>
      </c>
      <c r="R15" s="31"/>
      <c r="S15" s="31">
        <f>if(G15=9,1,0)+VLOOKUP(B15,'93023'!B:S,18,false)</f>
        <v>2</v>
      </c>
    </row>
    <row r="16">
      <c r="A16" s="25">
        <f t="shared" si="3"/>
        <v>12</v>
      </c>
      <c r="B16" s="26" t="s">
        <v>50</v>
      </c>
      <c r="C16" s="27">
        <v>163.0</v>
      </c>
      <c r="D16" s="28">
        <v>13.0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172</v>
      </c>
      <c r="N16" s="28">
        <f t="shared" si="13"/>
        <v>13</v>
      </c>
      <c r="O16" s="33" t="s">
        <v>37</v>
      </c>
      <c r="P16" s="33" t="s">
        <v>37</v>
      </c>
      <c r="Q16" s="31">
        <f>if(G16=13,1,0)+VLOOKUP(B16,'93023'!B:Q,16,false)</f>
        <v>0</v>
      </c>
      <c r="R16" s="31"/>
      <c r="S16" s="31">
        <f>if(G16=9,1,0)+VLOOKUP(B16,'93023'!B:S,18,false)</f>
        <v>7</v>
      </c>
    </row>
    <row r="17">
      <c r="A17" s="25">
        <f t="shared" si="3"/>
        <v>13</v>
      </c>
      <c r="B17" s="26" t="s">
        <v>53</v>
      </c>
      <c r="C17" s="27">
        <v>163.0</v>
      </c>
      <c r="D17" s="28">
        <v>12.0</v>
      </c>
      <c r="E17" s="30">
        <v>1.0</v>
      </c>
      <c r="F17" s="31">
        <v>3.0</v>
      </c>
      <c r="G17" s="27">
        <v>0.0</v>
      </c>
      <c r="H17" s="31">
        <v>4.0</v>
      </c>
      <c r="I17" s="31">
        <v>6.0</v>
      </c>
      <c r="J17" s="31">
        <v>2.0</v>
      </c>
      <c r="K17" s="32">
        <v>12.0</v>
      </c>
      <c r="L17" s="31">
        <v>1.0</v>
      </c>
      <c r="M17" s="27">
        <f t="shared" ref="M17:N17" si="14">C17+K17</f>
        <v>175</v>
      </c>
      <c r="N17" s="28">
        <f t="shared" si="14"/>
        <v>13</v>
      </c>
      <c r="O17" s="33" t="s">
        <v>37</v>
      </c>
      <c r="P17" s="33" t="s">
        <v>37</v>
      </c>
      <c r="Q17" s="31">
        <f>if(G17=13,1,0)+VLOOKUP(B17,'93023'!B:Q,16,false)</f>
        <v>0</v>
      </c>
      <c r="R17" s="31"/>
      <c r="S17" s="31">
        <f>if(G17=9,1,0)+VLOOKUP(B17,'93023'!B:S,18,false)</f>
        <v>5</v>
      </c>
    </row>
    <row r="18">
      <c r="A18" s="25">
        <f t="shared" si="3"/>
        <v>14</v>
      </c>
      <c r="B18" s="26" t="s">
        <v>61</v>
      </c>
      <c r="C18" s="27">
        <v>158.0</v>
      </c>
      <c r="D18" s="28">
        <v>15.0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167</v>
      </c>
      <c r="N18" s="28">
        <f t="shared" si="15"/>
        <v>15</v>
      </c>
      <c r="O18" s="33" t="s">
        <v>37</v>
      </c>
      <c r="P18" s="33" t="s">
        <v>37</v>
      </c>
      <c r="Q18" s="31">
        <f>if(G18=13,1,0)+VLOOKUP(B18,'93023'!B:Q,16,false)</f>
        <v>0</v>
      </c>
      <c r="R18" s="31"/>
      <c r="S18" s="31">
        <f>if(G18=9,1,0)+VLOOKUP(B18,'93023'!B:S,18,false)</f>
        <v>3</v>
      </c>
    </row>
    <row r="19">
      <c r="A19" s="25">
        <f t="shared" si="3"/>
        <v>15</v>
      </c>
      <c r="B19" s="26" t="s">
        <v>65</v>
      </c>
      <c r="C19" s="27">
        <v>156.0</v>
      </c>
      <c r="D19" s="28">
        <v>11.0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165</v>
      </c>
      <c r="N19" s="28">
        <f t="shared" si="16"/>
        <v>11</v>
      </c>
      <c r="O19" s="33" t="s">
        <v>37</v>
      </c>
      <c r="P19" s="33" t="s">
        <v>37</v>
      </c>
      <c r="Q19" s="31">
        <f>if(G19=13,1,0)+VLOOKUP(B19,'93023'!B:Q,16,false)</f>
        <v>0</v>
      </c>
      <c r="R19" s="31"/>
      <c r="S19" s="31">
        <f>if(G19=9,1,0)+VLOOKUP(B19,'93023'!B:S,18,false)</f>
        <v>7</v>
      </c>
    </row>
    <row r="20">
      <c r="A20" s="25">
        <f t="shared" si="3"/>
        <v>16</v>
      </c>
      <c r="B20" s="36" t="s">
        <v>59</v>
      </c>
      <c r="C20" s="27">
        <v>156.0</v>
      </c>
      <c r="D20" s="28">
        <v>9.0</v>
      </c>
      <c r="E20" s="30">
        <v>1.0</v>
      </c>
      <c r="F20" s="31">
        <v>3.0</v>
      </c>
      <c r="G20" s="27">
        <v>0.0</v>
      </c>
      <c r="H20" s="31">
        <v>4.0</v>
      </c>
      <c r="I20" s="31">
        <v>0.0</v>
      </c>
      <c r="J20" s="31">
        <v>6.0</v>
      </c>
      <c r="K20" s="32">
        <v>10.0</v>
      </c>
      <c r="L20" s="31">
        <v>1.0</v>
      </c>
      <c r="M20" s="27">
        <f t="shared" ref="M20:N20" si="17">C20+K20</f>
        <v>166</v>
      </c>
      <c r="N20" s="28">
        <f t="shared" si="17"/>
        <v>10</v>
      </c>
      <c r="O20" s="33" t="s">
        <v>37</v>
      </c>
      <c r="P20" s="33" t="s">
        <v>37</v>
      </c>
      <c r="Q20" s="31">
        <f>if(G20=13,1,0)+VLOOKUP(B20,'93023'!B:Q,16,false)</f>
        <v>0</v>
      </c>
      <c r="R20" s="31"/>
      <c r="S20" s="31">
        <f>if(G20=9,1,0)+VLOOKUP(B20,'93023'!B:S,18,false)</f>
        <v>3</v>
      </c>
    </row>
    <row r="21">
      <c r="A21" s="25">
        <f t="shared" si="3"/>
        <v>17</v>
      </c>
      <c r="B21" s="26" t="s">
        <v>70</v>
      </c>
      <c r="C21" s="27">
        <v>155.0</v>
      </c>
      <c r="D21" s="28">
        <v>15.0</v>
      </c>
      <c r="E21" s="30">
        <v>1.0</v>
      </c>
      <c r="F21" s="31">
        <v>3.0</v>
      </c>
      <c r="G21" s="27">
        <v>0.0</v>
      </c>
      <c r="H21" s="31">
        <v>6.0</v>
      </c>
      <c r="I21" s="31">
        <v>0.0</v>
      </c>
      <c r="J21" s="31">
        <v>2.0</v>
      </c>
      <c r="K21" s="32">
        <v>8.0</v>
      </c>
      <c r="L21" s="31">
        <v>1.0</v>
      </c>
      <c r="M21" s="27">
        <f t="shared" ref="M21:N21" si="18">C21+K21</f>
        <v>163</v>
      </c>
      <c r="N21" s="28">
        <f t="shared" si="18"/>
        <v>16</v>
      </c>
      <c r="O21" s="33" t="s">
        <v>37</v>
      </c>
      <c r="P21" s="33" t="s">
        <v>37</v>
      </c>
      <c r="Q21" s="31">
        <f>if(G21=13,1,0)+VLOOKUP(B21,'93023'!B:Q,16,false)</f>
        <v>0</v>
      </c>
      <c r="R21" s="31"/>
      <c r="S21" s="31">
        <f>if(G21=9,1,0)+VLOOKUP(B21,'93023'!B:S,18,false)</f>
        <v>4</v>
      </c>
    </row>
    <row r="22">
      <c r="A22" s="25">
        <f t="shared" si="3"/>
        <v>18</v>
      </c>
      <c r="B22" s="26" t="s">
        <v>55</v>
      </c>
      <c r="C22" s="27">
        <v>153.0</v>
      </c>
      <c r="D22" s="28">
        <v>13.0</v>
      </c>
      <c r="E22" s="30">
        <v>3.0</v>
      </c>
      <c r="F22" s="31">
        <v>0.0</v>
      </c>
      <c r="G22" s="27">
        <v>9.0</v>
      </c>
      <c r="H22" s="31">
        <v>0.0</v>
      </c>
      <c r="I22" s="31">
        <v>0.0</v>
      </c>
      <c r="J22" s="31">
        <v>0.0</v>
      </c>
      <c r="K22" s="32">
        <v>9.0</v>
      </c>
      <c r="L22" s="31">
        <v>0.0</v>
      </c>
      <c r="M22" s="27">
        <f t="shared" ref="M22:N22" si="19">C22+K22</f>
        <v>162</v>
      </c>
      <c r="N22" s="28">
        <f t="shared" si="19"/>
        <v>13</v>
      </c>
      <c r="O22" s="33" t="s">
        <v>37</v>
      </c>
      <c r="P22" s="33" t="s">
        <v>37</v>
      </c>
      <c r="Q22" s="31">
        <f>if(G22=13,1,0)+VLOOKUP(B22,'93023'!B:Q,16,false)</f>
        <v>0</v>
      </c>
      <c r="R22" s="31"/>
      <c r="S22" s="31">
        <f>if(G22=9,1,0)+VLOOKUP(B22,'93023'!B:S,18,false)</f>
        <v>8</v>
      </c>
    </row>
    <row r="23">
      <c r="A23" s="25">
        <f t="shared" si="3"/>
        <v>19</v>
      </c>
      <c r="B23" s="36" t="s">
        <v>62</v>
      </c>
      <c r="C23" s="27">
        <v>153.0</v>
      </c>
      <c r="D23" s="28">
        <v>12.0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162</v>
      </c>
      <c r="N23" s="28">
        <f t="shared" si="20"/>
        <v>12</v>
      </c>
      <c r="O23" s="33" t="s">
        <v>37</v>
      </c>
      <c r="P23" s="33" t="s">
        <v>37</v>
      </c>
      <c r="Q23" s="31">
        <f>if(G23=13,1,0)+VLOOKUP(B23,'93023'!B:Q,16,false)</f>
        <v>0</v>
      </c>
      <c r="R23" s="31"/>
      <c r="S23" s="31">
        <f>if(G23=9,1,0)+VLOOKUP(B23,'93023'!B:S,18,false)</f>
        <v>4</v>
      </c>
    </row>
    <row r="24">
      <c r="A24" s="25">
        <f t="shared" si="3"/>
        <v>20</v>
      </c>
      <c r="B24" s="26" t="s">
        <v>51</v>
      </c>
      <c r="C24" s="27">
        <v>153.0</v>
      </c>
      <c r="D24" s="28">
        <v>10.0</v>
      </c>
      <c r="E24" s="30">
        <v>1.0</v>
      </c>
      <c r="F24" s="31">
        <v>3.0</v>
      </c>
      <c r="G24" s="27">
        <v>0.0</v>
      </c>
      <c r="H24" s="31">
        <v>6.0</v>
      </c>
      <c r="I24" s="31">
        <v>6.0</v>
      </c>
      <c r="J24" s="31">
        <v>6.0</v>
      </c>
      <c r="K24" s="32">
        <v>18.0</v>
      </c>
      <c r="L24" s="31">
        <v>3.0</v>
      </c>
      <c r="M24" s="27">
        <f t="shared" ref="M24:N24" si="21">C24+K24</f>
        <v>171</v>
      </c>
      <c r="N24" s="28">
        <f t="shared" si="21"/>
        <v>13</v>
      </c>
      <c r="O24" s="33" t="s">
        <v>37</v>
      </c>
      <c r="P24" s="33" t="s">
        <v>37</v>
      </c>
      <c r="Q24" s="31">
        <f>if(G24=13,1,0)+VLOOKUP(B24,'93023'!B:Q,16,false)</f>
        <v>1</v>
      </c>
      <c r="R24" s="31"/>
      <c r="S24" s="31">
        <f>if(G24=9,1,0)+VLOOKUP(B24,'93023'!B:S,18,false)</f>
        <v>7</v>
      </c>
    </row>
    <row r="25">
      <c r="A25" s="25">
        <f t="shared" si="3"/>
        <v>21</v>
      </c>
      <c r="B25" s="26" t="s">
        <v>47</v>
      </c>
      <c r="C25" s="27">
        <v>152.0</v>
      </c>
      <c r="D25" s="28">
        <v>10.0</v>
      </c>
      <c r="E25" s="30">
        <v>1.0</v>
      </c>
      <c r="F25" s="31">
        <v>4.0</v>
      </c>
      <c r="G25" s="27">
        <v>0.0</v>
      </c>
      <c r="H25" s="31">
        <v>6.0</v>
      </c>
      <c r="I25" s="31">
        <v>6.0</v>
      </c>
      <c r="J25" s="31">
        <v>6.0</v>
      </c>
      <c r="K25" s="32">
        <v>18.0</v>
      </c>
      <c r="L25" s="31">
        <v>3.0</v>
      </c>
      <c r="M25" s="27">
        <f t="shared" ref="M25:N25" si="22">C25+K25</f>
        <v>170</v>
      </c>
      <c r="N25" s="28">
        <f t="shared" si="22"/>
        <v>13</v>
      </c>
      <c r="O25" s="33" t="s">
        <v>37</v>
      </c>
      <c r="P25" s="33" t="s">
        <v>37</v>
      </c>
      <c r="Q25" s="31">
        <f>if(G25=13,1,0)+VLOOKUP(B25,'93023'!B:Q,16,false)</f>
        <v>0</v>
      </c>
      <c r="R25" s="31"/>
      <c r="S25" s="31">
        <f>if(G25=9,1,0)+VLOOKUP(B25,'93023'!B:S,18,false)</f>
        <v>8</v>
      </c>
    </row>
    <row r="26">
      <c r="A26" s="25">
        <f t="shared" si="3"/>
        <v>22</v>
      </c>
      <c r="B26" s="26" t="s">
        <v>64</v>
      </c>
      <c r="C26" s="27">
        <v>152.0</v>
      </c>
      <c r="D26" s="28">
        <v>10.0</v>
      </c>
      <c r="E26" s="30">
        <v>2.0</v>
      </c>
      <c r="F26" s="31">
        <v>4.0</v>
      </c>
      <c r="G26" s="27">
        <v>0.0</v>
      </c>
      <c r="H26" s="31">
        <v>3.0</v>
      </c>
      <c r="I26" s="31">
        <v>6.0</v>
      </c>
      <c r="J26" s="31">
        <v>4.0</v>
      </c>
      <c r="K26" s="32">
        <v>13.0</v>
      </c>
      <c r="L26" s="31">
        <v>1.0</v>
      </c>
      <c r="M26" s="27">
        <f t="shared" ref="M26:N26" si="23">C26+K26</f>
        <v>165</v>
      </c>
      <c r="N26" s="28">
        <f t="shared" si="23"/>
        <v>11</v>
      </c>
      <c r="O26" s="33" t="s">
        <v>37</v>
      </c>
      <c r="P26" s="33" t="s">
        <v>37</v>
      </c>
      <c r="Q26" s="31">
        <f>if(G26=13,1,0)+VLOOKUP(B26,'93023'!B:Q,16,false)</f>
        <v>0</v>
      </c>
      <c r="R26" s="31"/>
      <c r="S26" s="31">
        <f>if(G26=9,1,0)+VLOOKUP(B26,'93023'!B:S,18,false)</f>
        <v>9</v>
      </c>
    </row>
    <row r="27">
      <c r="A27" s="25">
        <f t="shared" si="3"/>
        <v>23</v>
      </c>
      <c r="B27" s="26" t="s">
        <v>75</v>
      </c>
      <c r="C27" s="27">
        <v>150.0</v>
      </c>
      <c r="D27" s="28">
        <v>11.0</v>
      </c>
      <c r="E27" s="30">
        <v>2.0</v>
      </c>
      <c r="F27" s="31">
        <v>4.0</v>
      </c>
      <c r="G27" s="27">
        <v>0.0</v>
      </c>
      <c r="H27" s="31">
        <v>3.0</v>
      </c>
      <c r="I27" s="31">
        <v>1.0</v>
      </c>
      <c r="J27" s="31">
        <v>6.0</v>
      </c>
      <c r="K27" s="32">
        <v>10.0</v>
      </c>
      <c r="L27" s="31">
        <v>1.0</v>
      </c>
      <c r="M27" s="27">
        <f t="shared" ref="M27:N27" si="24">C27+K27</f>
        <v>160</v>
      </c>
      <c r="N27" s="28">
        <f t="shared" si="24"/>
        <v>12</v>
      </c>
      <c r="O27" s="33" t="s">
        <v>37</v>
      </c>
      <c r="P27" s="33" t="s">
        <v>37</v>
      </c>
      <c r="Q27" s="31">
        <f>if(G27=13,1,0)+VLOOKUP(B27,'93023'!B:Q,16,false)</f>
        <v>0</v>
      </c>
      <c r="R27" s="31"/>
      <c r="S27" s="31">
        <f>if(G27=9,1,0)+VLOOKUP(B27,'93023'!B:S,18,false)</f>
        <v>2</v>
      </c>
    </row>
    <row r="28">
      <c r="A28" s="25">
        <f t="shared" si="3"/>
        <v>24</v>
      </c>
      <c r="B28" s="26" t="s">
        <v>80</v>
      </c>
      <c r="C28" s="27">
        <v>150.0</v>
      </c>
      <c r="D28" s="28">
        <v>10.0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159</v>
      </c>
      <c r="N28" s="28">
        <f t="shared" si="25"/>
        <v>10</v>
      </c>
      <c r="O28" s="33" t="s">
        <v>37</v>
      </c>
      <c r="P28" s="33" t="s">
        <v>37</v>
      </c>
      <c r="Q28" s="31">
        <f>if(G28=13,1,0)+VLOOKUP(B28,'93023'!B:Q,16,false)</f>
        <v>0</v>
      </c>
      <c r="R28" s="31"/>
      <c r="S28" s="31">
        <f>if(G28=9,1,0)+VLOOKUP(B28,'93023'!B:S,18,false)</f>
        <v>10</v>
      </c>
    </row>
    <row r="29">
      <c r="A29" s="25">
        <f t="shared" si="3"/>
        <v>25</v>
      </c>
      <c r="B29" s="26" t="s">
        <v>66</v>
      </c>
      <c r="C29" s="27">
        <v>150.0</v>
      </c>
      <c r="D29" s="28">
        <v>9.0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159</v>
      </c>
      <c r="N29" s="28">
        <f t="shared" si="26"/>
        <v>9</v>
      </c>
      <c r="O29" s="33" t="s">
        <v>37</v>
      </c>
      <c r="P29" s="33" t="s">
        <v>37</v>
      </c>
      <c r="Q29" s="31">
        <f>if(G29=13,1,0)+VLOOKUP(B29,'93023'!B:Q,16,false)</f>
        <v>1</v>
      </c>
      <c r="R29" s="31"/>
      <c r="S29" s="31">
        <f>if(G29=9,1,0)+VLOOKUP(B29,'93023'!B:S,18,false)</f>
        <v>5</v>
      </c>
    </row>
    <row r="30">
      <c r="A30" s="25">
        <f t="shared" si="3"/>
        <v>26</v>
      </c>
      <c r="B30" s="26" t="s">
        <v>58</v>
      </c>
      <c r="C30" s="27">
        <v>146.0</v>
      </c>
      <c r="D30" s="28">
        <v>9.0</v>
      </c>
      <c r="E30" s="30">
        <v>1.0</v>
      </c>
      <c r="F30" s="31">
        <v>4.0</v>
      </c>
      <c r="G30" s="27">
        <v>0.0</v>
      </c>
      <c r="H30" s="31">
        <v>6.0</v>
      </c>
      <c r="I30" s="31">
        <v>1.0</v>
      </c>
      <c r="J30" s="31">
        <v>4.0</v>
      </c>
      <c r="K30" s="32">
        <v>11.0</v>
      </c>
      <c r="L30" s="31">
        <v>1.0</v>
      </c>
      <c r="M30" s="27">
        <f t="shared" ref="M30:N30" si="27">C30+K30</f>
        <v>157</v>
      </c>
      <c r="N30" s="28">
        <f t="shared" si="27"/>
        <v>10</v>
      </c>
      <c r="O30" s="33" t="s">
        <v>37</v>
      </c>
      <c r="P30" s="33" t="s">
        <v>37</v>
      </c>
      <c r="Q30" s="31">
        <f>if(G30=13,1,0)+VLOOKUP(B30,'93023'!B:Q,16,false)</f>
        <v>0</v>
      </c>
      <c r="R30" s="31"/>
      <c r="S30" s="31">
        <f>if(G30=9,1,0)+VLOOKUP(B30,'93023'!B:S,18,false)</f>
        <v>5</v>
      </c>
    </row>
    <row r="31">
      <c r="A31" s="25">
        <f t="shared" si="3"/>
        <v>27</v>
      </c>
      <c r="B31" s="26" t="s">
        <v>68</v>
      </c>
      <c r="C31" s="27">
        <v>146.0</v>
      </c>
      <c r="D31" s="28">
        <v>7.0</v>
      </c>
      <c r="E31" s="30">
        <v>1.0</v>
      </c>
      <c r="F31" s="31">
        <v>5.0</v>
      </c>
      <c r="G31" s="27">
        <v>0.0</v>
      </c>
      <c r="H31" s="31">
        <v>6.0</v>
      </c>
      <c r="I31" s="31">
        <v>6.0</v>
      </c>
      <c r="J31" s="31">
        <v>6.0</v>
      </c>
      <c r="K31" s="32">
        <v>18.0</v>
      </c>
      <c r="L31" s="31">
        <v>3.0</v>
      </c>
      <c r="M31" s="27">
        <f t="shared" ref="M31:N31" si="28">C31+K31</f>
        <v>164</v>
      </c>
      <c r="N31" s="28">
        <f t="shared" si="28"/>
        <v>10</v>
      </c>
      <c r="O31" s="33" t="s">
        <v>37</v>
      </c>
      <c r="P31" s="33" t="s">
        <v>37</v>
      </c>
      <c r="Q31" s="31">
        <f>if(G31=13,1,0)+VLOOKUP(B31,'93023'!B:Q,16,false)</f>
        <v>1</v>
      </c>
      <c r="R31" s="31"/>
      <c r="S31" s="31">
        <f>if(G31=9,1,0)+VLOOKUP(B31,'93023'!B:S,18,false)</f>
        <v>9</v>
      </c>
    </row>
    <row r="32">
      <c r="A32" s="25">
        <f t="shared" si="3"/>
        <v>28</v>
      </c>
      <c r="B32" s="26" t="s">
        <v>79</v>
      </c>
      <c r="C32" s="27">
        <v>144.0</v>
      </c>
      <c r="D32" s="28">
        <v>14.0</v>
      </c>
      <c r="E32" s="30">
        <v>2.0</v>
      </c>
      <c r="F32" s="31">
        <v>5.0</v>
      </c>
      <c r="G32" s="27">
        <v>0.0</v>
      </c>
      <c r="H32" s="31">
        <v>6.0</v>
      </c>
      <c r="I32" s="31">
        <v>0.0</v>
      </c>
      <c r="J32" s="31">
        <v>0.0</v>
      </c>
      <c r="K32" s="32">
        <v>6.0</v>
      </c>
      <c r="L32" s="31">
        <v>1.0</v>
      </c>
      <c r="M32" s="27">
        <f t="shared" ref="M32:N32" si="29">C32+K32</f>
        <v>150</v>
      </c>
      <c r="N32" s="28">
        <f t="shared" si="29"/>
        <v>15</v>
      </c>
      <c r="O32" s="33" t="s">
        <v>37</v>
      </c>
      <c r="P32" s="33" t="s">
        <v>37</v>
      </c>
      <c r="Q32" s="31">
        <f>if(G32=13,1,0)+VLOOKUP(B32,'93023'!B:Q,16,false)</f>
        <v>0</v>
      </c>
      <c r="R32" s="31"/>
      <c r="S32" s="31">
        <f>if(G32=9,1,0)+VLOOKUP(B32,'93023'!B:S,18,false)</f>
        <v>1</v>
      </c>
    </row>
    <row r="33">
      <c r="A33" s="25">
        <f t="shared" si="3"/>
        <v>29</v>
      </c>
      <c r="B33" s="36" t="s">
        <v>83</v>
      </c>
      <c r="C33" s="27">
        <v>144.0</v>
      </c>
      <c r="D33" s="28">
        <v>9.0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153</v>
      </c>
      <c r="N33" s="28">
        <f t="shared" si="30"/>
        <v>9</v>
      </c>
      <c r="O33" s="33" t="s">
        <v>37</v>
      </c>
      <c r="P33" s="33" t="s">
        <v>37</v>
      </c>
      <c r="Q33" s="31">
        <f>if(G33=13,1,0)+VLOOKUP(B33,'93023'!B:Q,16,false)</f>
        <v>0</v>
      </c>
      <c r="R33" s="31"/>
      <c r="S33" s="31">
        <f>if(G33=9,1,0)+VLOOKUP(B33,'93023'!B:S,18,false)</f>
        <v>6</v>
      </c>
    </row>
    <row r="34">
      <c r="A34" s="25">
        <f t="shared" si="3"/>
        <v>30</v>
      </c>
      <c r="B34" s="36" t="s">
        <v>77</v>
      </c>
      <c r="C34" s="27">
        <v>143.0</v>
      </c>
      <c r="D34" s="28">
        <v>8.0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152</v>
      </c>
      <c r="N34" s="28">
        <f t="shared" si="31"/>
        <v>8</v>
      </c>
      <c r="O34" s="33" t="s">
        <v>37</v>
      </c>
      <c r="P34" s="33" t="s">
        <v>37</v>
      </c>
      <c r="Q34" s="31">
        <f>if(G34=13,1,0)+VLOOKUP(B34,'93023'!B:Q,16,false)</f>
        <v>0</v>
      </c>
      <c r="R34" s="31"/>
      <c r="S34" s="31">
        <f>if(G34=9,1,0)+VLOOKUP(B34,'93023'!B:S,18,false)</f>
        <v>10</v>
      </c>
    </row>
    <row r="35">
      <c r="A35" s="25">
        <f t="shared" si="3"/>
        <v>31</v>
      </c>
      <c r="B35" s="26" t="s">
        <v>73</v>
      </c>
      <c r="C35" s="27">
        <v>143.0</v>
      </c>
      <c r="D35" s="28">
        <v>6.0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152</v>
      </c>
      <c r="N35" s="28">
        <f t="shared" si="32"/>
        <v>6</v>
      </c>
      <c r="O35" s="33" t="s">
        <v>37</v>
      </c>
      <c r="P35" s="33" t="s">
        <v>37</v>
      </c>
      <c r="Q35" s="31">
        <f>if(G35=13,1,0)+VLOOKUP(B35,'93023'!B:Q,16,false)</f>
        <v>0</v>
      </c>
      <c r="R35" s="31"/>
      <c r="S35" s="31">
        <f>if(G35=9,1,0)+VLOOKUP(B35,'93023'!B:S,18,false)</f>
        <v>9</v>
      </c>
    </row>
    <row r="36">
      <c r="A36" s="25">
        <f t="shared" si="3"/>
        <v>32</v>
      </c>
      <c r="B36" s="26" t="s">
        <v>74</v>
      </c>
      <c r="C36" s="27">
        <v>141.0</v>
      </c>
      <c r="D36" s="28">
        <v>9.0</v>
      </c>
      <c r="E36" s="30">
        <v>1.0</v>
      </c>
      <c r="F36" s="31">
        <v>5.0</v>
      </c>
      <c r="G36" s="27">
        <v>0.0</v>
      </c>
      <c r="H36" s="31">
        <v>0.0</v>
      </c>
      <c r="I36" s="31">
        <v>0.0</v>
      </c>
      <c r="J36" s="31">
        <v>6.0</v>
      </c>
      <c r="K36" s="32">
        <v>6.0</v>
      </c>
      <c r="L36" s="31">
        <v>1.0</v>
      </c>
      <c r="M36" s="27">
        <f t="shared" ref="M36:N36" si="33">C36+K36</f>
        <v>147</v>
      </c>
      <c r="N36" s="28">
        <f t="shared" si="33"/>
        <v>10</v>
      </c>
      <c r="O36" s="33" t="s">
        <v>37</v>
      </c>
      <c r="P36" s="33" t="s">
        <v>37</v>
      </c>
      <c r="Q36" s="31">
        <f>if(G36=13,1,0)+VLOOKUP(B36,'93023'!B:Q,16,false)</f>
        <v>0</v>
      </c>
      <c r="R36" s="31"/>
      <c r="S36" s="31">
        <f>if(G36=9,1,0)+VLOOKUP(B36,'93023'!B:S,18,false)</f>
        <v>4</v>
      </c>
    </row>
    <row r="37">
      <c r="A37" s="25">
        <f t="shared" si="3"/>
        <v>33</v>
      </c>
      <c r="B37" s="26" t="s">
        <v>87</v>
      </c>
      <c r="C37" s="27">
        <v>140.0</v>
      </c>
      <c r="D37" s="28">
        <v>7.0</v>
      </c>
      <c r="E37" s="30">
        <v>1.0</v>
      </c>
      <c r="F37" s="31">
        <v>5.0</v>
      </c>
      <c r="G37" s="27">
        <v>0.0</v>
      </c>
      <c r="H37" s="31">
        <v>0.0</v>
      </c>
      <c r="I37" s="31">
        <v>6.0</v>
      </c>
      <c r="J37" s="31">
        <v>0.0</v>
      </c>
      <c r="K37" s="32">
        <v>6.0</v>
      </c>
      <c r="L37" s="31">
        <v>1.0</v>
      </c>
      <c r="M37" s="27">
        <f t="shared" ref="M37:N37" si="34">C37+K37</f>
        <v>146</v>
      </c>
      <c r="N37" s="28">
        <f t="shared" si="34"/>
        <v>8</v>
      </c>
      <c r="O37" s="33" t="s">
        <v>37</v>
      </c>
      <c r="P37" s="33" t="s">
        <v>37</v>
      </c>
      <c r="Q37" s="31">
        <f>if(G37=13,1,0)+VLOOKUP(B37,'93023'!B:Q,16,false)</f>
        <v>1</v>
      </c>
      <c r="R37" s="31"/>
      <c r="S37" s="31">
        <f>if(G37=9,1,0)+VLOOKUP(B37,'93023'!B:S,18,false)</f>
        <v>5</v>
      </c>
    </row>
    <row r="38">
      <c r="A38" s="25">
        <f t="shared" si="3"/>
        <v>34</v>
      </c>
      <c r="B38" s="36" t="s">
        <v>88</v>
      </c>
      <c r="C38" s="27">
        <v>139.0</v>
      </c>
      <c r="D38" s="28">
        <v>8.0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148</v>
      </c>
      <c r="N38" s="28">
        <f t="shared" si="35"/>
        <v>8</v>
      </c>
      <c r="O38" s="33" t="s">
        <v>37</v>
      </c>
      <c r="P38" s="33" t="s">
        <v>37</v>
      </c>
      <c r="Q38" s="31">
        <f>if(G38=13,1,0)+VLOOKUP(B38,'93023'!B:Q,16,false)</f>
        <v>0</v>
      </c>
      <c r="R38" s="31"/>
      <c r="S38" s="31">
        <f>if(G38=9,1,0)+VLOOKUP(B38,'93023'!B:S,18,false)</f>
        <v>8</v>
      </c>
    </row>
    <row r="39">
      <c r="A39" s="25">
        <f t="shared" si="3"/>
        <v>35</v>
      </c>
      <c r="B39" s="36" t="s">
        <v>81</v>
      </c>
      <c r="C39" s="27">
        <v>139.0</v>
      </c>
      <c r="D39" s="28">
        <v>6.0</v>
      </c>
      <c r="E39" s="30">
        <v>1.0</v>
      </c>
      <c r="F39" s="31">
        <v>6.0</v>
      </c>
      <c r="G39" s="27">
        <v>0.0</v>
      </c>
      <c r="H39" s="31">
        <v>6.0</v>
      </c>
      <c r="I39" s="31">
        <v>0.0</v>
      </c>
      <c r="J39" s="31">
        <v>4.0</v>
      </c>
      <c r="K39" s="32">
        <v>10.0</v>
      </c>
      <c r="L39" s="31">
        <v>1.0</v>
      </c>
      <c r="M39" s="27">
        <f t="shared" ref="M39:N39" si="36">C39+K39</f>
        <v>149</v>
      </c>
      <c r="N39" s="28">
        <f t="shared" si="36"/>
        <v>7</v>
      </c>
      <c r="O39" s="33" t="s">
        <v>37</v>
      </c>
      <c r="P39" s="33" t="s">
        <v>37</v>
      </c>
      <c r="Q39" s="31">
        <f>if(G39=13,1,0)+VLOOKUP(B39,'93023'!B:Q,16,false)</f>
        <v>0</v>
      </c>
      <c r="R39" s="31"/>
      <c r="S39" s="31">
        <f>if(G39=9,1,0)+VLOOKUP(B39,'93023'!B:S,18,false)</f>
        <v>4</v>
      </c>
    </row>
    <row r="40">
      <c r="A40" s="25">
        <f t="shared" si="3"/>
        <v>36</v>
      </c>
      <c r="B40" s="26" t="s">
        <v>86</v>
      </c>
      <c r="C40" s="27">
        <v>137.0</v>
      </c>
      <c r="D40" s="28">
        <v>8.0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146</v>
      </c>
      <c r="N40" s="28">
        <f t="shared" si="37"/>
        <v>8</v>
      </c>
      <c r="O40" s="33" t="s">
        <v>37</v>
      </c>
      <c r="P40" s="33" t="s">
        <v>37</v>
      </c>
      <c r="Q40" s="31">
        <f>if(G40=13,1,0)+VLOOKUP(B40,'93023'!B:Q,16,false)</f>
        <v>0</v>
      </c>
      <c r="R40" s="31"/>
      <c r="S40" s="31">
        <f>if(G40=9,1,0)+VLOOKUP(B40,'93023'!B:S,18,false)</f>
        <v>7</v>
      </c>
    </row>
    <row r="41">
      <c r="A41" s="25">
        <f t="shared" si="3"/>
        <v>37</v>
      </c>
      <c r="B41" s="26" t="s">
        <v>89</v>
      </c>
      <c r="C41" s="27">
        <v>137.0</v>
      </c>
      <c r="D41" s="28">
        <v>7.0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146</v>
      </c>
      <c r="N41" s="28">
        <f t="shared" si="38"/>
        <v>7</v>
      </c>
      <c r="O41" s="33" t="s">
        <v>37</v>
      </c>
      <c r="P41" s="33" t="s">
        <v>37</v>
      </c>
      <c r="Q41" s="31">
        <f>if(G41=13,1,0)+VLOOKUP(B41,'93023'!B:Q,16,false)</f>
        <v>2</v>
      </c>
      <c r="R41" s="31"/>
      <c r="S41" s="31">
        <f>if(G41=9,1,0)+VLOOKUP(B41,'93023'!B:S,18,false)</f>
        <v>4</v>
      </c>
    </row>
    <row r="42">
      <c r="A42" s="25">
        <f t="shared" si="3"/>
        <v>38</v>
      </c>
      <c r="B42" s="26" t="s">
        <v>78</v>
      </c>
      <c r="C42" s="27">
        <v>135.0</v>
      </c>
      <c r="D42" s="28">
        <v>12.0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144</v>
      </c>
      <c r="N42" s="28">
        <f t="shared" si="39"/>
        <v>12</v>
      </c>
      <c r="O42" s="33" t="s">
        <v>37</v>
      </c>
      <c r="P42" s="33" t="s">
        <v>37</v>
      </c>
      <c r="Q42" s="31">
        <f>if(G42=13,1,0)+VLOOKUP(B42,'93023'!B:Q,16,false)</f>
        <v>0</v>
      </c>
      <c r="R42" s="31"/>
      <c r="S42" s="31">
        <f>if(G42=9,1,0)+VLOOKUP(B42,'93023'!B:S,18,false)</f>
        <v>5</v>
      </c>
    </row>
    <row r="43">
      <c r="A43" s="25">
        <f t="shared" si="3"/>
        <v>39</v>
      </c>
      <c r="B43" s="26" t="s">
        <v>90</v>
      </c>
      <c r="C43" s="27">
        <v>133.0</v>
      </c>
      <c r="D43" s="28">
        <v>10.0</v>
      </c>
      <c r="E43" s="30">
        <v>1.0</v>
      </c>
      <c r="F43" s="31">
        <v>6.0</v>
      </c>
      <c r="G43" s="27">
        <v>0.0</v>
      </c>
      <c r="H43" s="31">
        <v>2.0</v>
      </c>
      <c r="I43" s="31">
        <v>0.0</v>
      </c>
      <c r="J43" s="31">
        <v>6.0</v>
      </c>
      <c r="K43" s="32">
        <v>8.0</v>
      </c>
      <c r="L43" s="31">
        <v>1.0</v>
      </c>
      <c r="M43" s="27">
        <f t="shared" ref="M43:N43" si="40">C43+K43</f>
        <v>141</v>
      </c>
      <c r="N43" s="28">
        <f t="shared" si="40"/>
        <v>11</v>
      </c>
      <c r="O43" s="33" t="s">
        <v>37</v>
      </c>
      <c r="P43" s="33" t="s">
        <v>37</v>
      </c>
      <c r="Q43" s="31">
        <f>if(G43=13,1,0)+VLOOKUP(B43,'93023'!B:Q,16,false)</f>
        <v>0</v>
      </c>
      <c r="R43" s="31"/>
      <c r="S43" s="31">
        <f>if(G43=9,1,0)+VLOOKUP(B43,'93023'!B:S,18,false)</f>
        <v>5</v>
      </c>
    </row>
    <row r="44">
      <c r="A44" s="25">
        <f t="shared" si="3"/>
        <v>40</v>
      </c>
      <c r="B44" s="26" t="s">
        <v>91</v>
      </c>
      <c r="C44" s="27">
        <v>132.0</v>
      </c>
      <c r="D44" s="28">
        <v>3.0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141</v>
      </c>
      <c r="N44" s="28">
        <f t="shared" si="41"/>
        <v>3</v>
      </c>
      <c r="O44" s="33" t="s">
        <v>37</v>
      </c>
      <c r="P44" s="33" t="s">
        <v>37</v>
      </c>
      <c r="Q44" s="31">
        <f>if(G44=13,1,0)+VLOOKUP(B44,'93023'!B:Q,16,false)</f>
        <v>1</v>
      </c>
      <c r="R44" s="31"/>
      <c r="S44" s="31">
        <f>if(G44=9,1,0)+VLOOKUP(B44,'93023'!B:S,18,false)</f>
        <v>11</v>
      </c>
    </row>
    <row r="45">
      <c r="A45" s="25">
        <f t="shared" si="3"/>
        <v>41</v>
      </c>
      <c r="B45" s="36" t="s">
        <v>93</v>
      </c>
      <c r="C45" s="27">
        <v>131.0</v>
      </c>
      <c r="D45" s="28">
        <v>5.0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140</v>
      </c>
      <c r="N45" s="28">
        <f t="shared" si="42"/>
        <v>5</v>
      </c>
      <c r="O45" s="33" t="s">
        <v>37</v>
      </c>
      <c r="P45" s="33" t="s">
        <v>37</v>
      </c>
      <c r="Q45" s="31">
        <f>if(G45=13,1,0)+VLOOKUP(B45,'93023'!B:Q,16,false)</f>
        <v>0</v>
      </c>
      <c r="R45" s="31"/>
      <c r="S45" s="31">
        <f>if(G45=9,1,0)+VLOOKUP(B45,'93023'!B:S,18,false)</f>
        <v>12</v>
      </c>
    </row>
    <row r="46">
      <c r="A46" s="25">
        <f t="shared" si="3"/>
        <v>42</v>
      </c>
      <c r="B46" s="26" t="s">
        <v>71</v>
      </c>
      <c r="C46" s="27">
        <v>128.0</v>
      </c>
      <c r="D46" s="28">
        <v>5.0</v>
      </c>
      <c r="E46" s="30">
        <v>1.0</v>
      </c>
      <c r="F46" s="31">
        <v>6.0</v>
      </c>
      <c r="G46" s="27">
        <v>0.0</v>
      </c>
      <c r="H46" s="31">
        <v>6.0</v>
      </c>
      <c r="I46" s="31">
        <v>6.0</v>
      </c>
      <c r="J46" s="31">
        <v>6.0</v>
      </c>
      <c r="K46" s="32">
        <v>18.0</v>
      </c>
      <c r="L46" s="31">
        <v>3.0</v>
      </c>
      <c r="M46" s="27">
        <f t="shared" ref="M46:N46" si="43">C46+K46</f>
        <v>146</v>
      </c>
      <c r="N46" s="28">
        <f t="shared" si="43"/>
        <v>8</v>
      </c>
      <c r="O46" s="33" t="s">
        <v>37</v>
      </c>
      <c r="P46" s="33" t="s">
        <v>37</v>
      </c>
      <c r="Q46" s="31">
        <f>if(G46=13,1,0)+VLOOKUP(B46,'93023'!B:Q,16,false)</f>
        <v>0</v>
      </c>
      <c r="R46" s="31"/>
      <c r="S46" s="31">
        <f>if(G46=9,1,0)+VLOOKUP(B46,'93023'!B:S,18,false)</f>
        <v>10</v>
      </c>
    </row>
    <row r="47">
      <c r="A47" s="25">
        <f t="shared" si="3"/>
        <v>43</v>
      </c>
      <c r="B47" s="36" t="s">
        <v>94</v>
      </c>
      <c r="C47" s="27">
        <v>128.0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137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if(G47=13,1,0)+VLOOKUP(B47,'93023'!B:Q,16,false)</f>
        <v>0</v>
      </c>
      <c r="R47" s="31"/>
      <c r="S47" s="31">
        <f>if(G47=9,1,0)+VLOOKUP(B47,'93023'!B:S,18,false)</f>
        <v>10</v>
      </c>
    </row>
    <row r="48">
      <c r="A48" s="25">
        <f t="shared" si="3"/>
        <v>44</v>
      </c>
      <c r="B48" s="36" t="s">
        <v>98</v>
      </c>
      <c r="C48" s="27">
        <v>126.0</v>
      </c>
      <c r="D48" s="28">
        <v>3.0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135</v>
      </c>
      <c r="N48" s="28">
        <f t="shared" si="45"/>
        <v>3</v>
      </c>
      <c r="O48" s="33" t="s">
        <v>37</v>
      </c>
      <c r="P48" s="33" t="s">
        <v>37</v>
      </c>
      <c r="Q48" s="31">
        <f>if(G48=13,1,0)+VLOOKUP(B48,'93023'!B:Q,16,false)</f>
        <v>0</v>
      </c>
      <c r="R48" s="31"/>
      <c r="S48" s="31">
        <f>if(G48=9,1,0)+VLOOKUP(B48,'93023'!B:S,18,false)</f>
        <v>9</v>
      </c>
    </row>
    <row r="49">
      <c r="A49" s="25">
        <f t="shared" si="3"/>
        <v>45</v>
      </c>
      <c r="B49" s="36" t="s">
        <v>99</v>
      </c>
      <c r="C49" s="27">
        <v>126.0</v>
      </c>
      <c r="D49" s="28">
        <v>3.0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135</v>
      </c>
      <c r="N49" s="28">
        <f t="shared" si="46"/>
        <v>3</v>
      </c>
      <c r="O49" s="33" t="s">
        <v>37</v>
      </c>
      <c r="P49" s="33" t="s">
        <v>37</v>
      </c>
      <c r="Q49" s="31">
        <f>if(G49=13,1,0)+VLOOKUP(B49,'93023'!B:Q,16,false)</f>
        <v>0</v>
      </c>
      <c r="R49" s="31"/>
      <c r="S49" s="31">
        <f>if(G49=9,1,0)+VLOOKUP(B49,'93023'!B:S,18,false)</f>
        <v>10</v>
      </c>
    </row>
    <row r="50">
      <c r="A50" s="25">
        <f t="shared" si="3"/>
        <v>46</v>
      </c>
      <c r="B50" s="36" t="s">
        <v>63</v>
      </c>
      <c r="C50" s="27">
        <v>126.0</v>
      </c>
      <c r="D50" s="28">
        <v>2.0</v>
      </c>
      <c r="E50" s="30">
        <v>1.0</v>
      </c>
      <c r="F50" s="31">
        <v>6.0</v>
      </c>
      <c r="G50" s="27">
        <v>0.0</v>
      </c>
      <c r="H50" s="31">
        <v>2.0</v>
      </c>
      <c r="I50" s="31">
        <v>6.0</v>
      </c>
      <c r="J50" s="31">
        <v>4.0</v>
      </c>
      <c r="K50" s="32">
        <v>12.0</v>
      </c>
      <c r="L50" s="31">
        <v>1.0</v>
      </c>
      <c r="M50" s="27">
        <f t="shared" ref="M50:N50" si="47">C50+K50</f>
        <v>138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if(G50=13,1,0)+VLOOKUP(B50,'93023'!B:Q,16,false)</f>
        <v>0</v>
      </c>
      <c r="R50" s="31"/>
      <c r="S50" s="31">
        <f>if(G50=9,1,0)+VLOOKUP(B50,'93023'!B:S,18,false)</f>
        <v>12</v>
      </c>
    </row>
    <row r="51">
      <c r="A51" s="25">
        <f t="shared" si="3"/>
        <v>47</v>
      </c>
      <c r="B51" s="26" t="s">
        <v>95</v>
      </c>
      <c r="C51" s="27">
        <v>121.0</v>
      </c>
      <c r="D51" s="28">
        <v>4.0</v>
      </c>
      <c r="E51" s="30">
        <v>2.0</v>
      </c>
      <c r="F51" s="31">
        <v>7.0</v>
      </c>
      <c r="G51" s="27">
        <v>0.0</v>
      </c>
      <c r="H51" s="31">
        <v>6.0</v>
      </c>
      <c r="I51" s="31">
        <v>6.0</v>
      </c>
      <c r="J51" s="31">
        <v>0.0</v>
      </c>
      <c r="K51" s="32">
        <v>12.0</v>
      </c>
      <c r="L51" s="31">
        <v>1.0</v>
      </c>
      <c r="M51" s="27">
        <f t="shared" ref="M51:N51" si="48">C51+K51</f>
        <v>133</v>
      </c>
      <c r="N51" s="28">
        <f t="shared" si="48"/>
        <v>5</v>
      </c>
      <c r="O51" s="33" t="s">
        <v>37</v>
      </c>
      <c r="P51" s="33" t="s">
        <v>37</v>
      </c>
      <c r="Q51" s="31">
        <f>if(G51=13,1,0)+VLOOKUP(B51,'93023'!B:Q,16,false)</f>
        <v>0</v>
      </c>
      <c r="R51" s="31"/>
      <c r="S51" s="31">
        <f>if(G51=9,1,0)+VLOOKUP(B51,'93023'!B:S,18,false)</f>
        <v>9</v>
      </c>
    </row>
    <row r="52">
      <c r="A52" s="25">
        <f t="shared" si="3"/>
        <v>48</v>
      </c>
      <c r="B52" s="36" t="s">
        <v>76</v>
      </c>
      <c r="C52" s="27">
        <v>121.0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130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if(G52=13,1,0)+VLOOKUP(B52,'93023'!B:Q,16,false)</f>
        <v>0</v>
      </c>
      <c r="R52" s="31"/>
      <c r="S52" s="31">
        <f>if(G52=9,1,0)+VLOOKUP(B52,'93023'!B:S,18,false)</f>
        <v>13</v>
      </c>
    </row>
    <row r="53">
      <c r="A53" s="25">
        <f t="shared" si="3"/>
        <v>49</v>
      </c>
      <c r="B53" s="26" t="s">
        <v>100</v>
      </c>
      <c r="C53" s="27">
        <v>121.0</v>
      </c>
      <c r="D53" s="28">
        <v>2.0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130</v>
      </c>
      <c r="N53" s="28">
        <f t="shared" si="50"/>
        <v>2</v>
      </c>
      <c r="O53" s="33" t="s">
        <v>37</v>
      </c>
      <c r="P53" s="33" t="s">
        <v>37</v>
      </c>
      <c r="Q53" s="31">
        <f>if(G53=13,1,0)+VLOOKUP(B53,'93023'!B:Q,16,false)</f>
        <v>0</v>
      </c>
      <c r="R53" s="31"/>
      <c r="S53" s="31">
        <f>if(G53=9,1,0)+VLOOKUP(B53,'93023'!B:S,18,false)</f>
        <v>13</v>
      </c>
    </row>
    <row r="54">
      <c r="A54" s="25">
        <f t="shared" si="3"/>
        <v>50</v>
      </c>
      <c r="B54" s="36" t="s">
        <v>101</v>
      </c>
      <c r="C54" s="27">
        <v>121.0</v>
      </c>
      <c r="D54" s="28">
        <v>2.0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130</v>
      </c>
      <c r="N54" s="28">
        <f t="shared" si="51"/>
        <v>2</v>
      </c>
      <c r="O54" s="33" t="s">
        <v>37</v>
      </c>
      <c r="P54" s="33" t="s">
        <v>37</v>
      </c>
      <c r="Q54" s="31">
        <f>if(G54=13,1,0)+VLOOKUP(B54,'93023'!B:Q,16,false)</f>
        <v>0</v>
      </c>
      <c r="R54" s="31"/>
      <c r="S54" s="31">
        <f>if(G54=9,1,0)+VLOOKUP(B54,'93023'!B:S,18,false)</f>
        <v>13</v>
      </c>
    </row>
    <row r="55">
      <c r="A55" s="25">
        <f t="shared" si="3"/>
        <v>51</v>
      </c>
      <c r="B55" s="36" t="s">
        <v>97</v>
      </c>
      <c r="C55" s="27">
        <v>119.0</v>
      </c>
      <c r="D55" s="28">
        <v>5.0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128</v>
      </c>
      <c r="N55" s="28">
        <f t="shared" si="52"/>
        <v>5</v>
      </c>
      <c r="O55" s="33" t="s">
        <v>37</v>
      </c>
      <c r="P55" s="33" t="s">
        <v>37</v>
      </c>
      <c r="Q55" s="31">
        <f>if(G55=13,1,0)+VLOOKUP(B55,'93023'!B:Q,16,false)</f>
        <v>0</v>
      </c>
      <c r="R55" s="31"/>
      <c r="S55" s="31">
        <f>if(G55=9,1,0)+VLOOKUP(B55,'93023'!B:S,18,false)</f>
        <v>9</v>
      </c>
    </row>
    <row r="56">
      <c r="A56" s="25">
        <f t="shared" si="3"/>
        <v>52</v>
      </c>
      <c r="B56" s="36" t="s">
        <v>96</v>
      </c>
      <c r="C56" s="27">
        <v>118.0</v>
      </c>
      <c r="D56" s="28">
        <v>7.0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127</v>
      </c>
      <c r="N56" s="28">
        <f t="shared" si="53"/>
        <v>7</v>
      </c>
      <c r="O56" s="33" t="s">
        <v>37</v>
      </c>
      <c r="P56" s="33" t="s">
        <v>37</v>
      </c>
      <c r="Q56" s="31">
        <f>if(G56=13,1,0)+VLOOKUP(B56,'93023'!B:Q,16,false)</f>
        <v>0</v>
      </c>
      <c r="R56" s="31"/>
      <c r="S56" s="31">
        <f>if(G56=9,1,0)+VLOOKUP(B56,'93023'!B:S,18,false)</f>
        <v>7</v>
      </c>
    </row>
    <row r="57">
      <c r="A57" s="25">
        <f t="shared" si="3"/>
        <v>53</v>
      </c>
      <c r="B57" s="36" t="s">
        <v>85</v>
      </c>
      <c r="C57" s="27">
        <v>118.0</v>
      </c>
      <c r="D57" s="28">
        <v>7.0</v>
      </c>
      <c r="E57" s="30">
        <v>1.0</v>
      </c>
      <c r="F57" s="31">
        <v>7.0</v>
      </c>
      <c r="G57" s="27">
        <v>0.0</v>
      </c>
      <c r="H57" s="31">
        <v>1.0</v>
      </c>
      <c r="I57" s="31">
        <v>6.0</v>
      </c>
      <c r="J57" s="31">
        <v>6.0</v>
      </c>
      <c r="K57" s="32">
        <v>13.0</v>
      </c>
      <c r="L57" s="31">
        <v>1.0</v>
      </c>
      <c r="M57" s="27">
        <f t="shared" ref="M57:N57" si="54">C57+K57</f>
        <v>131</v>
      </c>
      <c r="N57" s="28">
        <f t="shared" si="54"/>
        <v>8</v>
      </c>
      <c r="O57" s="33" t="s">
        <v>37</v>
      </c>
      <c r="P57" s="33" t="s">
        <v>37</v>
      </c>
      <c r="Q57" s="31">
        <f>if(G57=13,1,0)+VLOOKUP(B57,'93023'!B:Q,16,false)</f>
        <v>0</v>
      </c>
      <c r="R57" s="31"/>
      <c r="S57" s="31">
        <f>if(G57=9,1,0)+VLOOKUP(B57,'93023'!B:S,18,false)</f>
        <v>7</v>
      </c>
    </row>
    <row r="58">
      <c r="A58" s="25">
        <f t="shared" si="3"/>
        <v>54</v>
      </c>
      <c r="B58" s="36" t="s">
        <v>69</v>
      </c>
      <c r="C58" s="27">
        <v>118.0</v>
      </c>
      <c r="D58" s="28">
        <v>0.0</v>
      </c>
      <c r="E58" s="30">
        <v>1.0</v>
      </c>
      <c r="F58" s="31">
        <v>7.0</v>
      </c>
      <c r="G58" s="27">
        <v>0.0</v>
      </c>
      <c r="H58" s="31">
        <v>6.0</v>
      </c>
      <c r="I58" s="31">
        <v>7.0</v>
      </c>
      <c r="J58" s="31">
        <v>6.0</v>
      </c>
      <c r="K58" s="32">
        <v>19.0</v>
      </c>
      <c r="L58" s="31">
        <v>3.0</v>
      </c>
      <c r="M58" s="27">
        <f t="shared" ref="M58:N58" si="55">C58+K58</f>
        <v>137</v>
      </c>
      <c r="N58" s="28">
        <f t="shared" si="55"/>
        <v>3</v>
      </c>
      <c r="O58" s="33" t="s">
        <v>37</v>
      </c>
      <c r="P58" s="33" t="s">
        <v>37</v>
      </c>
      <c r="Q58" s="31"/>
      <c r="R58" s="31"/>
      <c r="S58" s="31">
        <v>13.0</v>
      </c>
    </row>
    <row r="59">
      <c r="A59" s="25">
        <f t="shared" si="3"/>
        <v>55</v>
      </c>
      <c r="B59" s="26" t="s">
        <v>103</v>
      </c>
      <c r="C59" s="27">
        <v>117.0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126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if(G59=13,1,0)+VLOOKUP(B59,'93023'!B:Q,16,false)</f>
        <v>0</v>
      </c>
      <c r="R59" s="31"/>
      <c r="S59" s="31">
        <f>if(G59=9,1,0)+VLOOKUP(B59,'93023'!B:S,18,false)</f>
        <v>14</v>
      </c>
    </row>
    <row r="60">
      <c r="A60" s="25">
        <f t="shared" si="3"/>
        <v>56</v>
      </c>
      <c r="B60" s="36" t="s">
        <v>104</v>
      </c>
      <c r="C60" s="27">
        <v>117.0</v>
      </c>
      <c r="D60" s="28">
        <v>0.0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126</v>
      </c>
      <c r="N60" s="28">
        <f t="shared" si="57"/>
        <v>0</v>
      </c>
      <c r="O60" s="33" t="s">
        <v>37</v>
      </c>
      <c r="P60" s="33" t="s">
        <v>37</v>
      </c>
      <c r="Q60" s="31">
        <f>if(G60=13,1,0)+VLOOKUP(B60,'93023'!B:Q,16,false)</f>
        <v>0</v>
      </c>
      <c r="R60" s="31"/>
      <c r="S60" s="31">
        <f>if(G60=9,1,0)+VLOOKUP(B60,'93023'!B:S,18,false)</f>
        <v>14</v>
      </c>
    </row>
    <row r="61">
      <c r="A61" s="25">
        <f t="shared" si="3"/>
        <v>57</v>
      </c>
      <c r="B61" s="26" t="s">
        <v>105</v>
      </c>
      <c r="C61" s="27">
        <v>117.0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126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if(G61=13,1,0)+VLOOKUP(B61,'93023'!B:Q,16,false)</f>
        <v>0</v>
      </c>
      <c r="R61" s="31"/>
      <c r="S61" s="31">
        <f>if(G61=9,1,0)+VLOOKUP(B61,'93023'!B:S,18,false)</f>
        <v>14</v>
      </c>
    </row>
    <row r="62">
      <c r="A62" s="25">
        <f t="shared" si="3"/>
        <v>58</v>
      </c>
      <c r="B62" s="26" t="s">
        <v>106</v>
      </c>
      <c r="C62" s="27">
        <v>117.0</v>
      </c>
      <c r="D62" s="28">
        <v>0.0</v>
      </c>
      <c r="E62" s="30">
        <v>3.0</v>
      </c>
      <c r="F62" s="31">
        <v>0.0</v>
      </c>
      <c r="G62" s="27">
        <v>9.0</v>
      </c>
      <c r="H62" s="31">
        <v>0.0</v>
      </c>
      <c r="I62" s="31">
        <v>0.0</v>
      </c>
      <c r="J62" s="31">
        <v>0.0</v>
      </c>
      <c r="K62" s="32">
        <v>9.0</v>
      </c>
      <c r="L62" s="31">
        <v>0.0</v>
      </c>
      <c r="M62" s="27">
        <f t="shared" ref="M62:N62" si="59">C62+K62</f>
        <v>126</v>
      </c>
      <c r="N62" s="28">
        <f t="shared" si="59"/>
        <v>0</v>
      </c>
      <c r="O62" s="33" t="s">
        <v>37</v>
      </c>
      <c r="P62" s="33" t="s">
        <v>37</v>
      </c>
      <c r="Q62" s="31">
        <f>if(G62=13,1,0)+VLOOKUP(B62,'93023'!B:Q,16,false)</f>
        <v>0</v>
      </c>
      <c r="R62" s="31"/>
      <c r="S62" s="31">
        <f>if(G62=9,1,0)+VLOOKUP(B62,'93023'!B:S,18,false)</f>
        <v>14</v>
      </c>
    </row>
    <row r="63">
      <c r="A63" s="25">
        <f t="shared" si="3"/>
        <v>59</v>
      </c>
      <c r="B63" s="36" t="s">
        <v>108</v>
      </c>
      <c r="C63" s="27">
        <v>114.0</v>
      </c>
      <c r="D63" s="28">
        <v>5.0</v>
      </c>
      <c r="E63" s="30">
        <v>3.0</v>
      </c>
      <c r="F63" s="31">
        <v>0.0</v>
      </c>
      <c r="G63" s="27">
        <v>9.0</v>
      </c>
      <c r="H63" s="31">
        <v>0.0</v>
      </c>
      <c r="I63" s="31">
        <v>0.0</v>
      </c>
      <c r="J63" s="31">
        <v>0.0</v>
      </c>
      <c r="K63" s="32">
        <v>9.0</v>
      </c>
      <c r="L63" s="31">
        <v>0.0</v>
      </c>
      <c r="M63" s="27">
        <f t="shared" ref="M63:N63" si="60">C63+K63</f>
        <v>123</v>
      </c>
      <c r="N63" s="28">
        <f t="shared" si="60"/>
        <v>5</v>
      </c>
      <c r="O63" s="33" t="s">
        <v>37</v>
      </c>
      <c r="P63" s="33" t="s">
        <v>37</v>
      </c>
      <c r="Q63" s="31">
        <f>if(G63=13,1,0)+VLOOKUP(B63,'93023'!B:Q,16,false)</f>
        <v>0</v>
      </c>
      <c r="R63" s="31"/>
      <c r="S63" s="31">
        <f>if(G63=9,1,0)+VLOOKUP(B63,'93023'!B:S,18,false)</f>
        <v>9</v>
      </c>
    </row>
    <row r="64">
      <c r="A64" s="25">
        <f t="shared" si="3"/>
        <v>60</v>
      </c>
      <c r="B64" s="36" t="s">
        <v>109</v>
      </c>
      <c r="C64" s="27">
        <v>110.0</v>
      </c>
      <c r="D64" s="28">
        <v>1.0</v>
      </c>
      <c r="E64" s="30">
        <v>1.0</v>
      </c>
      <c r="F64" s="31">
        <v>7.0</v>
      </c>
      <c r="G64" s="27">
        <v>0.0</v>
      </c>
      <c r="H64" s="31">
        <v>1.0</v>
      </c>
      <c r="I64" s="31">
        <v>7.0</v>
      </c>
      <c r="J64" s="31">
        <v>0.0</v>
      </c>
      <c r="K64" s="32">
        <v>8.0</v>
      </c>
      <c r="L64" s="31">
        <v>0.0</v>
      </c>
      <c r="M64" s="27">
        <f t="shared" ref="M64:N64" si="61">C64+K64</f>
        <v>118</v>
      </c>
      <c r="N64" s="28">
        <f t="shared" si="61"/>
        <v>1</v>
      </c>
      <c r="O64" s="33" t="s">
        <v>37</v>
      </c>
      <c r="P64" s="33" t="s">
        <v>37</v>
      </c>
      <c r="Q64" s="31">
        <f>if(G64=13,1,0)+VLOOKUP(B64,'93023'!B:Q,16,false)</f>
        <v>0</v>
      </c>
      <c r="R64" s="31"/>
      <c r="S64" s="31">
        <f>if(G64=9,1,0)+VLOOKUP(B64,'93023'!B:S,18,false)</f>
        <v>5</v>
      </c>
    </row>
    <row r="65">
      <c r="A65" s="1"/>
      <c r="C65" s="1"/>
      <c r="D65" s="1"/>
      <c r="E65" s="1"/>
      <c r="P65" s="1"/>
    </row>
    <row r="66">
      <c r="A66" s="1"/>
      <c r="B66" s="39">
        <f>COUNTA(B5:B64)</f>
        <v>60</v>
      </c>
      <c r="C66" s="1"/>
      <c r="D66" s="1"/>
      <c r="E66" s="1"/>
      <c r="O66" s="34" t="s">
        <v>110</v>
      </c>
      <c r="P66" s="40">
        <f>COUNTA(P5:P64)</f>
        <v>60</v>
      </c>
    </row>
    <row r="67">
      <c r="A67" s="1"/>
      <c r="C67" s="1"/>
      <c r="D67" s="1"/>
      <c r="E67" s="1"/>
      <c r="O67" s="34" t="s">
        <v>111</v>
      </c>
      <c r="P67" s="40">
        <f>P68-P66</f>
        <v>0</v>
      </c>
    </row>
    <row r="68">
      <c r="A68" s="1"/>
      <c r="C68" s="1"/>
      <c r="D68" s="1"/>
      <c r="J68" s="41"/>
      <c r="K68" s="42"/>
      <c r="L68" s="43"/>
      <c r="O68" s="34" t="s">
        <v>41</v>
      </c>
      <c r="P68" s="40">
        <f>B66</f>
        <v>60</v>
      </c>
    </row>
    <row r="69">
      <c r="A69" s="1"/>
      <c r="C69" s="1"/>
      <c r="D69" s="1"/>
      <c r="E69" s="34" t="s">
        <v>112</v>
      </c>
      <c r="J69" s="41"/>
      <c r="K69" s="42"/>
      <c r="L69" s="43"/>
    </row>
    <row r="70">
      <c r="A70" s="1"/>
      <c r="C70" s="1"/>
      <c r="D70" s="1"/>
      <c r="J70" s="41"/>
      <c r="K70" s="42"/>
      <c r="L70" s="43"/>
    </row>
    <row r="71">
      <c r="A71" s="1"/>
      <c r="C71" s="1"/>
      <c r="D71" s="1"/>
      <c r="J71" s="41"/>
      <c r="K71" s="42"/>
      <c r="L71" s="43"/>
    </row>
    <row r="72">
      <c r="A72" s="1"/>
      <c r="B72" s="45" t="s">
        <v>113</v>
      </c>
      <c r="C72" s="45" t="s">
        <v>114</v>
      </c>
      <c r="D72" s="45" t="s">
        <v>115</v>
      </c>
      <c r="J72" s="41"/>
      <c r="K72" s="42"/>
      <c r="L72" s="43"/>
    </row>
    <row r="73">
      <c r="A73" s="1"/>
      <c r="B73" s="36" t="str">
        <f>IFERROR(__xludf.DUMMYFUNCTION("QUERY(B5:L64,""Select B, K, L where K &gt;= 18 order by K desc, L desc"",0)"),"Christopher Li")</f>
        <v>Christopher Li</v>
      </c>
      <c r="C73" s="46">
        <f>IFERROR(__xludf.DUMMYFUNCTION("""COMPUTED_VALUE"""),19.0)</f>
        <v>19</v>
      </c>
      <c r="D73" s="46">
        <f>IFERROR(__xludf.DUMMYFUNCTION("""COMPUTED_VALUE"""),3.0)</f>
        <v>3</v>
      </c>
      <c r="E73" s="1"/>
      <c r="K73" s="42"/>
      <c r="L73" s="43"/>
    </row>
    <row r="74">
      <c r="A74" s="1"/>
      <c r="B74" s="36" t="str">
        <f>IFERROR(__xludf.DUMMYFUNCTION("""COMPUTED_VALUE"""),"Adrian Tay")</f>
        <v>Adrian Tay</v>
      </c>
      <c r="C74" s="46">
        <f>IFERROR(__xludf.DUMMYFUNCTION("""COMPUTED_VALUE"""),18.0)</f>
        <v>18</v>
      </c>
      <c r="D74" s="46">
        <f>IFERROR(__xludf.DUMMYFUNCTION("""COMPUTED_VALUE"""),3.0)</f>
        <v>3</v>
      </c>
      <c r="E74" s="1"/>
      <c r="L74" s="47"/>
    </row>
    <row r="75">
      <c r="A75" s="1"/>
      <c r="B75" s="36" t="str">
        <f>IFERROR(__xludf.DUMMYFUNCTION("""COMPUTED_VALUE"""),"Peter Cheng")</f>
        <v>Peter Cheng</v>
      </c>
      <c r="C75" s="46">
        <f>IFERROR(__xludf.DUMMYFUNCTION("""COMPUTED_VALUE"""),18.0)</f>
        <v>18</v>
      </c>
      <c r="D75" s="46">
        <f>IFERROR(__xludf.DUMMYFUNCTION("""COMPUTED_VALUE"""),3.0)</f>
        <v>3</v>
      </c>
      <c r="E75" s="1"/>
    </row>
    <row r="76">
      <c r="A76" s="1"/>
      <c r="B76" s="36" t="str">
        <f>IFERROR(__xludf.DUMMYFUNCTION("""COMPUTED_VALUE"""),"Lam Bui")</f>
        <v>Lam Bui</v>
      </c>
      <c r="C76" s="46">
        <f>IFERROR(__xludf.DUMMYFUNCTION("""COMPUTED_VALUE"""),18.0)</f>
        <v>18</v>
      </c>
      <c r="D76" s="46">
        <f>IFERROR(__xludf.DUMMYFUNCTION("""COMPUTED_VALUE"""),3.0)</f>
        <v>3</v>
      </c>
      <c r="E76" s="1"/>
    </row>
    <row r="77">
      <c r="A77" s="1"/>
      <c r="B77" s="36" t="str">
        <f>IFERROR(__xludf.DUMMYFUNCTION("""COMPUTED_VALUE"""),"Robert Chang")</f>
        <v>Robert Chang</v>
      </c>
      <c r="C77" s="46">
        <f>IFERROR(__xludf.DUMMYFUNCTION("""COMPUTED_VALUE"""),18.0)</f>
        <v>18</v>
      </c>
      <c r="D77" s="46">
        <f>IFERROR(__xludf.DUMMYFUNCTION("""COMPUTED_VALUE"""),3.0)</f>
        <v>3</v>
      </c>
      <c r="E77" s="1"/>
      <c r="K77" s="34"/>
    </row>
    <row r="78">
      <c r="A78" s="1"/>
      <c r="B78" s="36" t="str">
        <f>IFERROR(__xludf.DUMMYFUNCTION("""COMPUTED_VALUE"""),"Tom Le")</f>
        <v>Tom Le</v>
      </c>
      <c r="C78" s="46">
        <f>IFERROR(__xludf.DUMMYFUNCTION("""COMPUTED_VALUE"""),18.0)</f>
        <v>18</v>
      </c>
      <c r="D78" s="46">
        <f>IFERROR(__xludf.DUMMYFUNCTION("""COMPUTED_VALUE"""),3.0)</f>
        <v>3</v>
      </c>
      <c r="E78" s="1"/>
      <c r="K78" s="34"/>
    </row>
    <row r="79">
      <c r="A79" s="1"/>
      <c r="B79" s="36" t="str">
        <f>IFERROR(__xludf.DUMMYFUNCTION("""COMPUTED_VALUE"""),"Susanta Mishra")</f>
        <v>Susanta Mishra</v>
      </c>
      <c r="C79" s="46">
        <f>IFERROR(__xludf.DUMMYFUNCTION("""COMPUTED_VALUE"""),18.0)</f>
        <v>18</v>
      </c>
      <c r="D79" s="46">
        <f>IFERROR(__xludf.DUMMYFUNCTION("""COMPUTED_VALUE"""),3.0)</f>
        <v>3</v>
      </c>
      <c r="E79" s="1"/>
      <c r="K79" s="34"/>
    </row>
    <row r="80">
      <c r="A80" s="1"/>
      <c r="B80" s="36"/>
      <c r="C80" s="46"/>
      <c r="D80" s="46"/>
      <c r="E80" s="1"/>
      <c r="K80" s="34"/>
    </row>
    <row r="81">
      <c r="A81" s="1"/>
      <c r="B81" s="36"/>
      <c r="C81" s="46"/>
      <c r="D81" s="46"/>
      <c r="E81" s="1"/>
    </row>
    <row r="82">
      <c r="A82" s="1"/>
      <c r="B82" s="36"/>
      <c r="C82" s="46"/>
      <c r="D82" s="46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B85" s="20" t="s">
        <v>25</v>
      </c>
      <c r="C85" s="21" t="s">
        <v>8</v>
      </c>
      <c r="D85" s="21" t="s">
        <v>14</v>
      </c>
      <c r="E85" s="21" t="s">
        <v>26</v>
      </c>
      <c r="F85" s="21" t="s">
        <v>27</v>
      </c>
      <c r="G85" s="21" t="s">
        <v>28</v>
      </c>
      <c r="H85" s="21" t="s">
        <v>17</v>
      </c>
      <c r="I85" s="21" t="s">
        <v>18</v>
      </c>
      <c r="J85" s="21" t="s">
        <v>19</v>
      </c>
      <c r="K85" s="21" t="s">
        <v>8</v>
      </c>
      <c r="L85" s="21" t="s">
        <v>14</v>
      </c>
      <c r="M85" s="22" t="s">
        <v>8</v>
      </c>
      <c r="N85" s="22" t="s">
        <v>14</v>
      </c>
    </row>
    <row r="86">
      <c r="A86" s="1"/>
      <c r="B86" s="48" t="str">
        <f>IFERROR(__xludf.DUMMYFUNCTION("QUERY(B5:N64, ""Select B, C, D, E, F, G, H, I, J, K, L, M, N   where F &gt;= 1"")"),"Alejandro Mejia")</f>
        <v>Alejandro Mejia</v>
      </c>
      <c r="C86" s="49">
        <f>IFERROR(__xludf.DUMMYFUNCTION("""COMPUTED_VALUE"""),174.0)</f>
        <v>174</v>
      </c>
      <c r="D86" s="50">
        <f>IFERROR(__xludf.DUMMYFUNCTION("""COMPUTED_VALUE"""),16.0)</f>
        <v>16</v>
      </c>
      <c r="E86" s="49">
        <f>IFERROR(__xludf.DUMMYFUNCTION("""COMPUTED_VALUE"""),1.0)</f>
        <v>1</v>
      </c>
      <c r="F86" s="51">
        <f>IFERROR(__xludf.DUMMYFUNCTION("""COMPUTED_VALUE"""),1.0)</f>
        <v>1</v>
      </c>
      <c r="G86" s="51">
        <f>IFERROR(__xludf.DUMMYFUNCTION("""COMPUTED_VALUE"""),0.0)</f>
        <v>0</v>
      </c>
      <c r="H86" s="51">
        <f>IFERROR(__xludf.DUMMYFUNCTION("""COMPUTED_VALUE"""),4.0)</f>
        <v>4</v>
      </c>
      <c r="I86" s="51">
        <f>IFERROR(__xludf.DUMMYFUNCTION("""COMPUTED_VALUE"""),6.0)</f>
        <v>6</v>
      </c>
      <c r="J86" s="51">
        <f>IFERROR(__xludf.DUMMYFUNCTION("""COMPUTED_VALUE"""),2.0)</f>
        <v>2</v>
      </c>
      <c r="K86" s="51">
        <f>IFERROR(__xludf.DUMMYFUNCTION("""COMPUTED_VALUE"""),12.0)</f>
        <v>12</v>
      </c>
      <c r="L86" s="51">
        <f>IFERROR(__xludf.DUMMYFUNCTION("""COMPUTED_VALUE"""),1.0)</f>
        <v>1</v>
      </c>
      <c r="M86" s="51">
        <f>IFERROR(__xludf.DUMMYFUNCTION("""COMPUTED_VALUE"""),186.0)</f>
        <v>186</v>
      </c>
      <c r="N86" s="52">
        <f>IFERROR(__xludf.DUMMYFUNCTION("""COMPUTED_VALUE"""),17.0)</f>
        <v>17</v>
      </c>
    </row>
    <row r="87">
      <c r="A87" s="1"/>
      <c r="B87" s="48" t="str">
        <f>IFERROR(__xludf.DUMMYFUNCTION("""COMPUTED_VALUE"""),"Adrian Tay")</f>
        <v>Adrian Tay</v>
      </c>
      <c r="C87" s="49">
        <f>IFERROR(__xludf.DUMMYFUNCTION("""COMPUTED_VALUE"""),173.0)</f>
        <v>173</v>
      </c>
      <c r="D87" s="50">
        <f>IFERROR(__xludf.DUMMYFUNCTION("""COMPUTED_VALUE"""),16.0)</f>
        <v>16</v>
      </c>
      <c r="E87" s="49">
        <f>IFERROR(__xludf.DUMMYFUNCTION("""COMPUTED_VALUE"""),1.0)</f>
        <v>1</v>
      </c>
      <c r="F87" s="51">
        <f>IFERROR(__xludf.DUMMYFUNCTION("""COMPUTED_VALUE"""),1.0)</f>
        <v>1</v>
      </c>
      <c r="G87" s="51">
        <f>IFERROR(__xludf.DUMMYFUNCTION("""COMPUTED_VALUE"""),0.0)</f>
        <v>0</v>
      </c>
      <c r="H87" s="51">
        <f>IFERROR(__xludf.DUMMYFUNCTION("""COMPUTED_VALUE"""),6.0)</f>
        <v>6</v>
      </c>
      <c r="I87" s="51">
        <f>IFERROR(__xludf.DUMMYFUNCTION("""COMPUTED_VALUE"""),6.0)</f>
        <v>6</v>
      </c>
      <c r="J87" s="51">
        <f>IFERROR(__xludf.DUMMYFUNCTION("""COMPUTED_VALUE"""),6.0)</f>
        <v>6</v>
      </c>
      <c r="K87" s="51">
        <f>IFERROR(__xludf.DUMMYFUNCTION("""COMPUTED_VALUE"""),18.0)</f>
        <v>18</v>
      </c>
      <c r="L87" s="51">
        <f>IFERROR(__xludf.DUMMYFUNCTION("""COMPUTED_VALUE"""),3.0)</f>
        <v>3</v>
      </c>
      <c r="M87" s="51">
        <f>IFERROR(__xludf.DUMMYFUNCTION("""COMPUTED_VALUE"""),191.0)</f>
        <v>191</v>
      </c>
      <c r="N87" s="52">
        <f>IFERROR(__xludf.DUMMYFUNCTION("""COMPUTED_VALUE"""),19.0)</f>
        <v>19</v>
      </c>
    </row>
    <row r="88">
      <c r="A88" s="1"/>
      <c r="B88" s="48" t="str">
        <f>IFERROR(__xludf.DUMMYFUNCTION("""COMPUTED_VALUE"""),"Peter Homsey")</f>
        <v>Peter Homsey</v>
      </c>
      <c r="C88" s="49">
        <f>IFERROR(__xludf.DUMMYFUNCTION("""COMPUTED_VALUE"""),172.0)</f>
        <v>172</v>
      </c>
      <c r="D88" s="50">
        <f>IFERROR(__xludf.DUMMYFUNCTION("""COMPUTED_VALUE"""),16.0)</f>
        <v>16</v>
      </c>
      <c r="E88" s="49">
        <f>IFERROR(__xludf.DUMMYFUNCTION("""COMPUTED_VALUE"""),1.0)</f>
        <v>1</v>
      </c>
      <c r="F88" s="51">
        <f>IFERROR(__xludf.DUMMYFUNCTION("""COMPUTED_VALUE"""),1.0)</f>
        <v>1</v>
      </c>
      <c r="G88" s="51">
        <f>IFERROR(__xludf.DUMMYFUNCTION("""COMPUTED_VALUE"""),0.0)</f>
        <v>0</v>
      </c>
      <c r="H88" s="51">
        <f>IFERROR(__xludf.DUMMYFUNCTION("""COMPUTED_VALUE"""),4.0)</f>
        <v>4</v>
      </c>
      <c r="I88" s="51">
        <f>IFERROR(__xludf.DUMMYFUNCTION("""COMPUTED_VALUE"""),4.0)</f>
        <v>4</v>
      </c>
      <c r="J88" s="51">
        <f>IFERROR(__xludf.DUMMYFUNCTION("""COMPUTED_VALUE"""),6.0)</f>
        <v>6</v>
      </c>
      <c r="K88" s="51">
        <f>IFERROR(__xludf.DUMMYFUNCTION("""COMPUTED_VALUE"""),14.0)</f>
        <v>14</v>
      </c>
      <c r="L88" s="51">
        <f>IFERROR(__xludf.DUMMYFUNCTION("""COMPUTED_VALUE"""),1.0)</f>
        <v>1</v>
      </c>
      <c r="M88" s="51">
        <f>IFERROR(__xludf.DUMMYFUNCTION("""COMPUTED_VALUE"""),186.0)</f>
        <v>186</v>
      </c>
      <c r="N88" s="52">
        <f>IFERROR(__xludf.DUMMYFUNCTION("""COMPUTED_VALUE"""),17.0)</f>
        <v>17</v>
      </c>
    </row>
    <row r="89">
      <c r="A89" s="1"/>
      <c r="B89" s="48" t="str">
        <f>IFERROR(__xludf.DUMMYFUNCTION("""COMPUTED_VALUE"""),"Anish Kumar")</f>
        <v>Anish Kumar</v>
      </c>
      <c r="C89" s="49">
        <f>IFERROR(__xludf.DUMMYFUNCTION("""COMPUTED_VALUE"""),170.0)</f>
        <v>170</v>
      </c>
      <c r="D89" s="50">
        <f>IFERROR(__xludf.DUMMYFUNCTION("""COMPUTED_VALUE"""),16.0)</f>
        <v>16</v>
      </c>
      <c r="E89" s="49">
        <f>IFERROR(__xludf.DUMMYFUNCTION("""COMPUTED_VALUE"""),1.0)</f>
        <v>1</v>
      </c>
      <c r="F89" s="51">
        <f>IFERROR(__xludf.DUMMYFUNCTION("""COMPUTED_VALUE"""),1.0)</f>
        <v>1</v>
      </c>
      <c r="G89" s="51">
        <f>IFERROR(__xludf.DUMMYFUNCTION("""COMPUTED_VALUE"""),0.0)</f>
        <v>0</v>
      </c>
      <c r="H89" s="51">
        <f>IFERROR(__xludf.DUMMYFUNCTION("""COMPUTED_VALUE"""),6.0)</f>
        <v>6</v>
      </c>
      <c r="I89" s="51">
        <f>IFERROR(__xludf.DUMMYFUNCTION("""COMPUTED_VALUE"""),4.0)</f>
        <v>4</v>
      </c>
      <c r="J89" s="51">
        <f>IFERROR(__xludf.DUMMYFUNCTION("""COMPUTED_VALUE"""),2.0)</f>
        <v>2</v>
      </c>
      <c r="K89" s="51">
        <f>IFERROR(__xludf.DUMMYFUNCTION("""COMPUTED_VALUE"""),12.0)</f>
        <v>12</v>
      </c>
      <c r="L89" s="51">
        <f>IFERROR(__xludf.DUMMYFUNCTION("""COMPUTED_VALUE"""),1.0)</f>
        <v>1</v>
      </c>
      <c r="M89" s="51">
        <f>IFERROR(__xludf.DUMMYFUNCTION("""COMPUTED_VALUE"""),182.0)</f>
        <v>182</v>
      </c>
      <c r="N89" s="52">
        <f>IFERROR(__xludf.DUMMYFUNCTION("""COMPUTED_VALUE"""),17.0)</f>
        <v>17</v>
      </c>
    </row>
    <row r="90">
      <c r="A90" s="1"/>
      <c r="B90" s="53" t="str">
        <f>IFERROR(__xludf.DUMMYFUNCTION("""COMPUTED_VALUE"""),"Peter Cheng")</f>
        <v>Peter Cheng</v>
      </c>
      <c r="C90" s="54">
        <f>IFERROR(__xludf.DUMMYFUNCTION("""COMPUTED_VALUE"""),170.0)</f>
        <v>170</v>
      </c>
      <c r="D90" s="55">
        <f>IFERROR(__xludf.DUMMYFUNCTION("""COMPUTED_VALUE"""),16.0)</f>
        <v>16</v>
      </c>
      <c r="E90" s="54">
        <f>IFERROR(__xludf.DUMMYFUNCTION("""COMPUTED_VALUE"""),1.0)</f>
        <v>1</v>
      </c>
      <c r="F90" s="56">
        <f>IFERROR(__xludf.DUMMYFUNCTION("""COMPUTED_VALUE"""),2.0)</f>
        <v>2</v>
      </c>
      <c r="G90" s="56">
        <f>IFERROR(__xludf.DUMMYFUNCTION("""COMPUTED_VALUE"""),0.0)</f>
        <v>0</v>
      </c>
      <c r="H90" s="56">
        <f>IFERROR(__xludf.DUMMYFUNCTION("""COMPUTED_VALUE"""),6.0)</f>
        <v>6</v>
      </c>
      <c r="I90" s="56">
        <f>IFERROR(__xludf.DUMMYFUNCTION("""COMPUTED_VALUE"""),6.0)</f>
        <v>6</v>
      </c>
      <c r="J90" s="56">
        <f>IFERROR(__xludf.DUMMYFUNCTION("""COMPUTED_VALUE"""),6.0)</f>
        <v>6</v>
      </c>
      <c r="K90" s="56">
        <f>IFERROR(__xludf.DUMMYFUNCTION("""COMPUTED_VALUE"""),18.0)</f>
        <v>18</v>
      </c>
      <c r="L90" s="56">
        <f>IFERROR(__xludf.DUMMYFUNCTION("""COMPUTED_VALUE"""),3.0)</f>
        <v>3</v>
      </c>
      <c r="M90" s="56">
        <f>IFERROR(__xludf.DUMMYFUNCTION("""COMPUTED_VALUE"""),188.0)</f>
        <v>188</v>
      </c>
      <c r="N90" s="57">
        <f>IFERROR(__xludf.DUMMYFUNCTION("""COMPUTED_VALUE"""),19.0)</f>
        <v>19</v>
      </c>
    </row>
    <row r="91">
      <c r="A91" s="1"/>
      <c r="B91" s="53" t="str">
        <f>IFERROR(__xludf.DUMMYFUNCTION("""COMPUTED_VALUE"""),"Pavan Akkimsetty")</f>
        <v>Pavan Akkimsetty</v>
      </c>
      <c r="C91" s="54">
        <f>IFERROR(__xludf.DUMMYFUNCTION("""COMPUTED_VALUE"""),168.0)</f>
        <v>168</v>
      </c>
      <c r="D91" s="55">
        <f>IFERROR(__xludf.DUMMYFUNCTION("""COMPUTED_VALUE"""),16.0)</f>
        <v>16</v>
      </c>
      <c r="E91" s="54">
        <f>IFERROR(__xludf.DUMMYFUNCTION("""COMPUTED_VALUE"""),1.0)</f>
        <v>1</v>
      </c>
      <c r="F91" s="56">
        <f>IFERROR(__xludf.DUMMYFUNCTION("""COMPUTED_VALUE"""),2.0)</f>
        <v>2</v>
      </c>
      <c r="G91" s="56">
        <f>IFERROR(__xludf.DUMMYFUNCTION("""COMPUTED_VALUE"""),0.0)</f>
        <v>0</v>
      </c>
      <c r="H91" s="56">
        <f>IFERROR(__xludf.DUMMYFUNCTION("""COMPUTED_VALUE"""),4.0)</f>
        <v>4</v>
      </c>
      <c r="I91" s="56">
        <f>IFERROR(__xludf.DUMMYFUNCTION("""COMPUTED_VALUE"""),0.0)</f>
        <v>0</v>
      </c>
      <c r="J91" s="56">
        <f>IFERROR(__xludf.DUMMYFUNCTION("""COMPUTED_VALUE"""),6.0)</f>
        <v>6</v>
      </c>
      <c r="K91" s="56">
        <f>IFERROR(__xludf.DUMMYFUNCTION("""COMPUTED_VALUE"""),10.0)</f>
        <v>10</v>
      </c>
      <c r="L91" s="56">
        <f>IFERROR(__xludf.DUMMYFUNCTION("""COMPUTED_VALUE"""),1.0)</f>
        <v>1</v>
      </c>
      <c r="M91" s="56">
        <f>IFERROR(__xludf.DUMMYFUNCTION("""COMPUTED_VALUE"""),178.0)</f>
        <v>178</v>
      </c>
      <c r="N91" s="57">
        <f>IFERROR(__xludf.DUMMYFUNCTION("""COMPUTED_VALUE"""),17.0)</f>
        <v>17</v>
      </c>
    </row>
    <row r="92">
      <c r="A92" s="1"/>
      <c r="B92" s="53" t="str">
        <f>IFERROR(__xludf.DUMMYFUNCTION("""COMPUTED_VALUE"""),"Joe Luzzi")</f>
        <v>Joe Luzzi</v>
      </c>
      <c r="C92" s="54">
        <f>IFERROR(__xludf.DUMMYFUNCTION("""COMPUTED_VALUE"""),165.0)</f>
        <v>165</v>
      </c>
      <c r="D92" s="55">
        <f>IFERROR(__xludf.DUMMYFUNCTION("""COMPUTED_VALUE"""),17.0)</f>
        <v>17</v>
      </c>
      <c r="E92" s="54">
        <f>IFERROR(__xludf.DUMMYFUNCTION("""COMPUTED_VALUE"""),1.0)</f>
        <v>1</v>
      </c>
      <c r="F92" s="56">
        <f>IFERROR(__xludf.DUMMYFUNCTION("""COMPUTED_VALUE"""),2.0)</f>
        <v>2</v>
      </c>
      <c r="G92" s="56">
        <f>IFERROR(__xludf.DUMMYFUNCTION("""COMPUTED_VALUE"""),0.0)</f>
        <v>0</v>
      </c>
      <c r="H92" s="56">
        <f>IFERROR(__xludf.DUMMYFUNCTION("""COMPUTED_VALUE"""),4.0)</f>
        <v>4</v>
      </c>
      <c r="I92" s="56">
        <f>IFERROR(__xludf.DUMMYFUNCTION("""COMPUTED_VALUE"""),6.0)</f>
        <v>6</v>
      </c>
      <c r="J92" s="56">
        <f>IFERROR(__xludf.DUMMYFUNCTION("""COMPUTED_VALUE"""),0.0)</f>
        <v>0</v>
      </c>
      <c r="K92" s="56">
        <f>IFERROR(__xludf.DUMMYFUNCTION("""COMPUTED_VALUE"""),10.0)</f>
        <v>10</v>
      </c>
      <c r="L92" s="56">
        <f>IFERROR(__xludf.DUMMYFUNCTION("""COMPUTED_VALUE"""),1.0)</f>
        <v>1</v>
      </c>
      <c r="M92" s="56">
        <f>IFERROR(__xludf.DUMMYFUNCTION("""COMPUTED_VALUE"""),175.0)</f>
        <v>175</v>
      </c>
      <c r="N92" s="57">
        <f>IFERROR(__xludf.DUMMYFUNCTION("""COMPUTED_VALUE"""),18.0)</f>
        <v>18</v>
      </c>
    </row>
    <row r="93">
      <c r="A93" s="1"/>
      <c r="B93" s="53" t="str">
        <f>IFERROR(__xludf.DUMMYFUNCTION("""COMPUTED_VALUE"""),"Chinna Ponnaganti")</f>
        <v>Chinna Ponnaganti</v>
      </c>
      <c r="C93" s="54">
        <f>IFERROR(__xludf.DUMMYFUNCTION("""COMPUTED_VALUE"""),163.0)</f>
        <v>163</v>
      </c>
      <c r="D93" s="55">
        <f>IFERROR(__xludf.DUMMYFUNCTION("""COMPUTED_VALUE"""),17.0)</f>
        <v>17</v>
      </c>
      <c r="E93" s="54">
        <f>IFERROR(__xludf.DUMMYFUNCTION("""COMPUTED_VALUE"""),1.0)</f>
        <v>1</v>
      </c>
      <c r="F93" s="56">
        <f>IFERROR(__xludf.DUMMYFUNCTION("""COMPUTED_VALUE"""),2.0)</f>
        <v>2</v>
      </c>
      <c r="G93" s="56">
        <f>IFERROR(__xludf.DUMMYFUNCTION("""COMPUTED_VALUE"""),0.0)</f>
        <v>0</v>
      </c>
      <c r="H93" s="56">
        <f>IFERROR(__xludf.DUMMYFUNCTION("""COMPUTED_VALUE"""),6.0)</f>
        <v>6</v>
      </c>
      <c r="I93" s="56">
        <f>IFERROR(__xludf.DUMMYFUNCTION("""COMPUTED_VALUE"""),0.0)</f>
        <v>0</v>
      </c>
      <c r="J93" s="56">
        <f>IFERROR(__xludf.DUMMYFUNCTION("""COMPUTED_VALUE"""),0.0)</f>
        <v>0</v>
      </c>
      <c r="K93" s="56">
        <f>IFERROR(__xludf.DUMMYFUNCTION("""COMPUTED_VALUE"""),6.0)</f>
        <v>6</v>
      </c>
      <c r="L93" s="56">
        <f>IFERROR(__xludf.DUMMYFUNCTION("""COMPUTED_VALUE"""),1.0)</f>
        <v>1</v>
      </c>
      <c r="M93" s="56">
        <f>IFERROR(__xludf.DUMMYFUNCTION("""COMPUTED_VALUE"""),169.0)</f>
        <v>169</v>
      </c>
      <c r="N93" s="57">
        <f>IFERROR(__xludf.DUMMYFUNCTION("""COMPUTED_VALUE"""),18.0)</f>
        <v>18</v>
      </c>
    </row>
    <row r="94">
      <c r="A94" s="1"/>
      <c r="B94" s="48" t="str">
        <f>IFERROR(__xludf.DUMMYFUNCTION("""COMPUTED_VALUE"""),"Erik Hoeckmann")</f>
        <v>Erik Hoeckmann</v>
      </c>
      <c r="C94" s="49">
        <f>IFERROR(__xludf.DUMMYFUNCTION("""COMPUTED_VALUE"""),163.0)</f>
        <v>163</v>
      </c>
      <c r="D94" s="50">
        <f>IFERROR(__xludf.DUMMYFUNCTION("""COMPUTED_VALUE"""),12.0)</f>
        <v>12</v>
      </c>
      <c r="E94" s="49">
        <f>IFERROR(__xludf.DUMMYFUNCTION("""COMPUTED_VALUE"""),1.0)</f>
        <v>1</v>
      </c>
      <c r="F94" s="51">
        <f>IFERROR(__xludf.DUMMYFUNCTION("""COMPUTED_VALUE"""),3.0)</f>
        <v>3</v>
      </c>
      <c r="G94" s="51">
        <f>IFERROR(__xludf.DUMMYFUNCTION("""COMPUTED_VALUE"""),0.0)</f>
        <v>0</v>
      </c>
      <c r="H94" s="51">
        <f>IFERROR(__xludf.DUMMYFUNCTION("""COMPUTED_VALUE"""),4.0)</f>
        <v>4</v>
      </c>
      <c r="I94" s="51">
        <f>IFERROR(__xludf.DUMMYFUNCTION("""COMPUTED_VALUE"""),6.0)</f>
        <v>6</v>
      </c>
      <c r="J94" s="51">
        <f>IFERROR(__xludf.DUMMYFUNCTION("""COMPUTED_VALUE"""),2.0)</f>
        <v>2</v>
      </c>
      <c r="K94" s="51">
        <f>IFERROR(__xludf.DUMMYFUNCTION("""COMPUTED_VALUE"""),12.0)</f>
        <v>12</v>
      </c>
      <c r="L94" s="51">
        <f>IFERROR(__xludf.DUMMYFUNCTION("""COMPUTED_VALUE"""),1.0)</f>
        <v>1</v>
      </c>
      <c r="M94" s="51">
        <f>IFERROR(__xludf.DUMMYFUNCTION("""COMPUTED_VALUE"""),175.0)</f>
        <v>175</v>
      </c>
      <c r="N94" s="52">
        <f>IFERROR(__xludf.DUMMYFUNCTION("""COMPUTED_VALUE"""),13.0)</f>
        <v>13</v>
      </c>
    </row>
    <row r="95">
      <c r="A95" s="1"/>
      <c r="B95" s="48" t="str">
        <f>IFERROR(__xludf.DUMMYFUNCTION("""COMPUTED_VALUE"""),"Lloyd Sagar")</f>
        <v>Lloyd Sagar</v>
      </c>
      <c r="C95" s="49">
        <f>IFERROR(__xludf.DUMMYFUNCTION("""COMPUTED_VALUE"""),156.0)</f>
        <v>156</v>
      </c>
      <c r="D95" s="50">
        <f>IFERROR(__xludf.DUMMYFUNCTION("""COMPUTED_VALUE"""),9.0)</f>
        <v>9</v>
      </c>
      <c r="E95" s="49">
        <f>IFERROR(__xludf.DUMMYFUNCTION("""COMPUTED_VALUE"""),1.0)</f>
        <v>1</v>
      </c>
      <c r="F95" s="51">
        <f>IFERROR(__xludf.DUMMYFUNCTION("""COMPUTED_VALUE"""),3.0)</f>
        <v>3</v>
      </c>
      <c r="G95" s="51">
        <f>IFERROR(__xludf.DUMMYFUNCTION("""COMPUTED_VALUE"""),0.0)</f>
        <v>0</v>
      </c>
      <c r="H95" s="51">
        <f>IFERROR(__xludf.DUMMYFUNCTION("""COMPUTED_VALUE"""),4.0)</f>
        <v>4</v>
      </c>
      <c r="I95" s="51">
        <f>IFERROR(__xludf.DUMMYFUNCTION("""COMPUTED_VALUE"""),0.0)</f>
        <v>0</v>
      </c>
      <c r="J95" s="51">
        <f>IFERROR(__xludf.DUMMYFUNCTION("""COMPUTED_VALUE"""),6.0)</f>
        <v>6</v>
      </c>
      <c r="K95" s="51">
        <f>IFERROR(__xludf.DUMMYFUNCTION("""COMPUTED_VALUE"""),10.0)</f>
        <v>10</v>
      </c>
      <c r="L95" s="51">
        <f>IFERROR(__xludf.DUMMYFUNCTION("""COMPUTED_VALUE"""),1.0)</f>
        <v>1</v>
      </c>
      <c r="M95" s="51">
        <f>IFERROR(__xludf.DUMMYFUNCTION("""COMPUTED_VALUE"""),166.0)</f>
        <v>166</v>
      </c>
      <c r="N95" s="52">
        <f>IFERROR(__xludf.DUMMYFUNCTION("""COMPUTED_VALUE"""),10.0)</f>
        <v>10</v>
      </c>
    </row>
    <row r="96">
      <c r="A96" s="1"/>
      <c r="B96" s="48" t="str">
        <f>IFERROR(__xludf.DUMMYFUNCTION("""COMPUTED_VALUE"""),"Rajasekar Ramasamy")</f>
        <v>Rajasekar Ramasamy</v>
      </c>
      <c r="C96" s="49">
        <f>IFERROR(__xludf.DUMMYFUNCTION("""COMPUTED_VALUE"""),155.0)</f>
        <v>155</v>
      </c>
      <c r="D96" s="50">
        <f>IFERROR(__xludf.DUMMYFUNCTION("""COMPUTED_VALUE"""),15.0)</f>
        <v>15</v>
      </c>
      <c r="E96" s="49">
        <f>IFERROR(__xludf.DUMMYFUNCTION("""COMPUTED_VALUE"""),1.0)</f>
        <v>1</v>
      </c>
      <c r="F96" s="51">
        <f>IFERROR(__xludf.DUMMYFUNCTION("""COMPUTED_VALUE"""),3.0)</f>
        <v>3</v>
      </c>
      <c r="G96" s="51">
        <f>IFERROR(__xludf.DUMMYFUNCTION("""COMPUTED_VALUE"""),0.0)</f>
        <v>0</v>
      </c>
      <c r="H96" s="51">
        <f>IFERROR(__xludf.DUMMYFUNCTION("""COMPUTED_VALUE"""),6.0)</f>
        <v>6</v>
      </c>
      <c r="I96" s="51">
        <f>IFERROR(__xludf.DUMMYFUNCTION("""COMPUTED_VALUE"""),0.0)</f>
        <v>0</v>
      </c>
      <c r="J96" s="51">
        <f>IFERROR(__xludf.DUMMYFUNCTION("""COMPUTED_VALUE"""),2.0)</f>
        <v>2</v>
      </c>
      <c r="K96" s="51">
        <f>IFERROR(__xludf.DUMMYFUNCTION("""COMPUTED_VALUE"""),8.0)</f>
        <v>8</v>
      </c>
      <c r="L96" s="51">
        <f>IFERROR(__xludf.DUMMYFUNCTION("""COMPUTED_VALUE"""),1.0)</f>
        <v>1</v>
      </c>
      <c r="M96" s="51">
        <f>IFERROR(__xludf.DUMMYFUNCTION("""COMPUTED_VALUE"""),163.0)</f>
        <v>163</v>
      </c>
      <c r="N96" s="52">
        <f>IFERROR(__xludf.DUMMYFUNCTION("""COMPUTED_VALUE"""),16.0)</f>
        <v>16</v>
      </c>
    </row>
    <row r="97">
      <c r="A97" s="1"/>
      <c r="B97" s="48" t="str">
        <f>IFERROR(__xludf.DUMMYFUNCTION("""COMPUTED_VALUE"""),"Lam Bui")</f>
        <v>Lam Bui</v>
      </c>
      <c r="C97" s="49">
        <f>IFERROR(__xludf.DUMMYFUNCTION("""COMPUTED_VALUE"""),153.0)</f>
        <v>153</v>
      </c>
      <c r="D97" s="50">
        <f>IFERROR(__xludf.DUMMYFUNCTION("""COMPUTED_VALUE"""),10.0)</f>
        <v>10</v>
      </c>
      <c r="E97" s="49">
        <f>IFERROR(__xludf.DUMMYFUNCTION("""COMPUTED_VALUE"""),1.0)</f>
        <v>1</v>
      </c>
      <c r="F97" s="51">
        <f>IFERROR(__xludf.DUMMYFUNCTION("""COMPUTED_VALUE"""),3.0)</f>
        <v>3</v>
      </c>
      <c r="G97" s="51">
        <f>IFERROR(__xludf.DUMMYFUNCTION("""COMPUTED_VALUE"""),0.0)</f>
        <v>0</v>
      </c>
      <c r="H97" s="51">
        <f>IFERROR(__xludf.DUMMYFUNCTION("""COMPUTED_VALUE"""),6.0)</f>
        <v>6</v>
      </c>
      <c r="I97" s="51">
        <f>IFERROR(__xludf.DUMMYFUNCTION("""COMPUTED_VALUE"""),6.0)</f>
        <v>6</v>
      </c>
      <c r="J97" s="51">
        <f>IFERROR(__xludf.DUMMYFUNCTION("""COMPUTED_VALUE"""),6.0)</f>
        <v>6</v>
      </c>
      <c r="K97" s="51">
        <f>IFERROR(__xludf.DUMMYFUNCTION("""COMPUTED_VALUE"""),18.0)</f>
        <v>18</v>
      </c>
      <c r="L97" s="51">
        <f>IFERROR(__xludf.DUMMYFUNCTION("""COMPUTED_VALUE"""),3.0)</f>
        <v>3</v>
      </c>
      <c r="M97" s="51">
        <f>IFERROR(__xludf.DUMMYFUNCTION("""COMPUTED_VALUE"""),171.0)</f>
        <v>171</v>
      </c>
      <c r="N97" s="52">
        <f>IFERROR(__xludf.DUMMYFUNCTION("""COMPUTED_VALUE"""),13.0)</f>
        <v>13</v>
      </c>
    </row>
    <row r="98">
      <c r="A98" s="1"/>
      <c r="B98" s="53" t="str">
        <f>IFERROR(__xludf.DUMMYFUNCTION("""COMPUTED_VALUE"""),"Robert Chang")</f>
        <v>Robert Chang</v>
      </c>
      <c r="C98" s="54">
        <f>IFERROR(__xludf.DUMMYFUNCTION("""COMPUTED_VALUE"""),152.0)</f>
        <v>152</v>
      </c>
      <c r="D98" s="55">
        <f>IFERROR(__xludf.DUMMYFUNCTION("""COMPUTED_VALUE"""),10.0)</f>
        <v>10</v>
      </c>
      <c r="E98" s="54">
        <f>IFERROR(__xludf.DUMMYFUNCTION("""COMPUTED_VALUE"""),1.0)</f>
        <v>1</v>
      </c>
      <c r="F98" s="56">
        <f>IFERROR(__xludf.DUMMYFUNCTION("""COMPUTED_VALUE"""),4.0)</f>
        <v>4</v>
      </c>
      <c r="G98" s="56">
        <f>IFERROR(__xludf.DUMMYFUNCTION("""COMPUTED_VALUE"""),0.0)</f>
        <v>0</v>
      </c>
      <c r="H98" s="56">
        <f>IFERROR(__xludf.DUMMYFUNCTION("""COMPUTED_VALUE"""),6.0)</f>
        <v>6</v>
      </c>
      <c r="I98" s="56">
        <f>IFERROR(__xludf.DUMMYFUNCTION("""COMPUTED_VALUE"""),6.0)</f>
        <v>6</v>
      </c>
      <c r="J98" s="56">
        <f>IFERROR(__xludf.DUMMYFUNCTION("""COMPUTED_VALUE"""),6.0)</f>
        <v>6</v>
      </c>
      <c r="K98" s="56">
        <f>IFERROR(__xludf.DUMMYFUNCTION("""COMPUTED_VALUE"""),18.0)</f>
        <v>18</v>
      </c>
      <c r="L98" s="56">
        <f>IFERROR(__xludf.DUMMYFUNCTION("""COMPUTED_VALUE"""),3.0)</f>
        <v>3</v>
      </c>
      <c r="M98" s="56">
        <f>IFERROR(__xludf.DUMMYFUNCTION("""COMPUTED_VALUE"""),170.0)</f>
        <v>170</v>
      </c>
      <c r="N98" s="57">
        <f>IFERROR(__xludf.DUMMYFUNCTION("""COMPUTED_VALUE"""),13.0)</f>
        <v>13</v>
      </c>
    </row>
    <row r="99">
      <c r="A99" s="1"/>
      <c r="B99" s="53" t="str">
        <f>IFERROR(__xludf.DUMMYFUNCTION("""COMPUTED_VALUE"""),"Trinath Goteti")</f>
        <v>Trinath Goteti</v>
      </c>
      <c r="C99" s="54">
        <f>IFERROR(__xludf.DUMMYFUNCTION("""COMPUTED_VALUE"""),152.0)</f>
        <v>152</v>
      </c>
      <c r="D99" s="55">
        <f>IFERROR(__xludf.DUMMYFUNCTION("""COMPUTED_VALUE"""),10.0)</f>
        <v>10</v>
      </c>
      <c r="E99" s="54">
        <f>IFERROR(__xludf.DUMMYFUNCTION("""COMPUTED_VALUE"""),2.0)</f>
        <v>2</v>
      </c>
      <c r="F99" s="56">
        <f>IFERROR(__xludf.DUMMYFUNCTION("""COMPUTED_VALUE"""),4.0)</f>
        <v>4</v>
      </c>
      <c r="G99" s="56">
        <f>IFERROR(__xludf.DUMMYFUNCTION("""COMPUTED_VALUE"""),0.0)</f>
        <v>0</v>
      </c>
      <c r="H99" s="56">
        <f>IFERROR(__xludf.DUMMYFUNCTION("""COMPUTED_VALUE"""),3.0)</f>
        <v>3</v>
      </c>
      <c r="I99" s="56">
        <f>IFERROR(__xludf.DUMMYFUNCTION("""COMPUTED_VALUE"""),6.0)</f>
        <v>6</v>
      </c>
      <c r="J99" s="56">
        <f>IFERROR(__xludf.DUMMYFUNCTION("""COMPUTED_VALUE"""),4.0)</f>
        <v>4</v>
      </c>
      <c r="K99" s="56">
        <f>IFERROR(__xludf.DUMMYFUNCTION("""COMPUTED_VALUE"""),13.0)</f>
        <v>13</v>
      </c>
      <c r="L99" s="56">
        <f>IFERROR(__xludf.DUMMYFUNCTION("""COMPUTED_VALUE"""),1.0)</f>
        <v>1</v>
      </c>
      <c r="M99" s="56">
        <f>IFERROR(__xludf.DUMMYFUNCTION("""COMPUTED_VALUE"""),165.0)</f>
        <v>165</v>
      </c>
      <c r="N99" s="57">
        <f>IFERROR(__xludf.DUMMYFUNCTION("""COMPUTED_VALUE"""),11.0)</f>
        <v>11</v>
      </c>
    </row>
    <row r="100">
      <c r="A100" s="1"/>
      <c r="B100" s="53" t="str">
        <f>IFERROR(__xludf.DUMMYFUNCTION("""COMPUTED_VALUE"""),"Naveen Raj")</f>
        <v>Naveen Raj</v>
      </c>
      <c r="C100" s="54">
        <f>IFERROR(__xludf.DUMMYFUNCTION("""COMPUTED_VALUE"""),150.0)</f>
        <v>150</v>
      </c>
      <c r="D100" s="55">
        <f>IFERROR(__xludf.DUMMYFUNCTION("""COMPUTED_VALUE"""),11.0)</f>
        <v>11</v>
      </c>
      <c r="E100" s="54">
        <f>IFERROR(__xludf.DUMMYFUNCTION("""COMPUTED_VALUE"""),2.0)</f>
        <v>2</v>
      </c>
      <c r="F100" s="56">
        <f>IFERROR(__xludf.DUMMYFUNCTION("""COMPUTED_VALUE"""),4.0)</f>
        <v>4</v>
      </c>
      <c r="G100" s="56">
        <f>IFERROR(__xludf.DUMMYFUNCTION("""COMPUTED_VALUE"""),0.0)</f>
        <v>0</v>
      </c>
      <c r="H100" s="56">
        <f>IFERROR(__xludf.DUMMYFUNCTION("""COMPUTED_VALUE"""),3.0)</f>
        <v>3</v>
      </c>
      <c r="I100" s="56">
        <f>IFERROR(__xludf.DUMMYFUNCTION("""COMPUTED_VALUE"""),1.0)</f>
        <v>1</v>
      </c>
      <c r="J100" s="56">
        <f>IFERROR(__xludf.DUMMYFUNCTION("""COMPUTED_VALUE"""),6.0)</f>
        <v>6</v>
      </c>
      <c r="K100" s="56">
        <f>IFERROR(__xludf.DUMMYFUNCTION("""COMPUTED_VALUE"""),10.0)</f>
        <v>10</v>
      </c>
      <c r="L100" s="56">
        <f>IFERROR(__xludf.DUMMYFUNCTION("""COMPUTED_VALUE"""),1.0)</f>
        <v>1</v>
      </c>
      <c r="M100" s="56">
        <f>IFERROR(__xludf.DUMMYFUNCTION("""COMPUTED_VALUE"""),160.0)</f>
        <v>160</v>
      </c>
      <c r="N100" s="57">
        <f>IFERROR(__xludf.DUMMYFUNCTION("""COMPUTED_VALUE"""),12.0)</f>
        <v>12</v>
      </c>
    </row>
    <row r="101">
      <c r="A101" s="1"/>
      <c r="B101" s="53" t="str">
        <f>IFERROR(__xludf.DUMMYFUNCTION("""COMPUTED_VALUE"""),"David Shin")</f>
        <v>David Shin</v>
      </c>
      <c r="C101" s="54">
        <f>IFERROR(__xludf.DUMMYFUNCTION("""COMPUTED_VALUE"""),146.0)</f>
        <v>146</v>
      </c>
      <c r="D101" s="55">
        <f>IFERROR(__xludf.DUMMYFUNCTION("""COMPUTED_VALUE"""),9.0)</f>
        <v>9</v>
      </c>
      <c r="E101" s="54">
        <f>IFERROR(__xludf.DUMMYFUNCTION("""COMPUTED_VALUE"""),1.0)</f>
        <v>1</v>
      </c>
      <c r="F101" s="56">
        <f>IFERROR(__xludf.DUMMYFUNCTION("""COMPUTED_VALUE"""),4.0)</f>
        <v>4</v>
      </c>
      <c r="G101" s="56">
        <f>IFERROR(__xludf.DUMMYFUNCTION("""COMPUTED_VALUE"""),0.0)</f>
        <v>0</v>
      </c>
      <c r="H101" s="56">
        <f>IFERROR(__xludf.DUMMYFUNCTION("""COMPUTED_VALUE"""),6.0)</f>
        <v>6</v>
      </c>
      <c r="I101" s="56">
        <f>IFERROR(__xludf.DUMMYFUNCTION("""COMPUTED_VALUE"""),1.0)</f>
        <v>1</v>
      </c>
      <c r="J101" s="56">
        <f>IFERROR(__xludf.DUMMYFUNCTION("""COMPUTED_VALUE"""),4.0)</f>
        <v>4</v>
      </c>
      <c r="K101" s="56">
        <f>IFERROR(__xludf.DUMMYFUNCTION("""COMPUTED_VALUE"""),11.0)</f>
        <v>11</v>
      </c>
      <c r="L101" s="56">
        <f>IFERROR(__xludf.DUMMYFUNCTION("""COMPUTED_VALUE"""),1.0)</f>
        <v>1</v>
      </c>
      <c r="M101" s="56">
        <f>IFERROR(__xludf.DUMMYFUNCTION("""COMPUTED_VALUE"""),157.0)</f>
        <v>157</v>
      </c>
      <c r="N101" s="57">
        <f>IFERROR(__xludf.DUMMYFUNCTION("""COMPUTED_VALUE"""),10.0)</f>
        <v>10</v>
      </c>
    </row>
    <row r="102">
      <c r="A102" s="1"/>
      <c r="B102" s="48" t="str">
        <f>IFERROR(__xludf.DUMMYFUNCTION("""COMPUTED_VALUE"""),"Tom Le")</f>
        <v>Tom Le</v>
      </c>
      <c r="C102" s="49">
        <f>IFERROR(__xludf.DUMMYFUNCTION("""COMPUTED_VALUE"""),146.0)</f>
        <v>146</v>
      </c>
      <c r="D102" s="50">
        <f>IFERROR(__xludf.DUMMYFUNCTION("""COMPUTED_VALUE"""),7.0)</f>
        <v>7</v>
      </c>
      <c r="E102" s="49">
        <f>IFERROR(__xludf.DUMMYFUNCTION("""COMPUTED_VALUE"""),1.0)</f>
        <v>1</v>
      </c>
      <c r="F102" s="51">
        <f>IFERROR(__xludf.DUMMYFUNCTION("""COMPUTED_VALUE"""),5.0)</f>
        <v>5</v>
      </c>
      <c r="G102" s="51">
        <f>IFERROR(__xludf.DUMMYFUNCTION("""COMPUTED_VALUE"""),0.0)</f>
        <v>0</v>
      </c>
      <c r="H102" s="51">
        <f>IFERROR(__xludf.DUMMYFUNCTION("""COMPUTED_VALUE"""),6.0)</f>
        <v>6</v>
      </c>
      <c r="I102" s="51">
        <f>IFERROR(__xludf.DUMMYFUNCTION("""COMPUTED_VALUE"""),6.0)</f>
        <v>6</v>
      </c>
      <c r="J102" s="51">
        <f>IFERROR(__xludf.DUMMYFUNCTION("""COMPUTED_VALUE"""),6.0)</f>
        <v>6</v>
      </c>
      <c r="K102" s="51">
        <f>IFERROR(__xludf.DUMMYFUNCTION("""COMPUTED_VALUE"""),18.0)</f>
        <v>18</v>
      </c>
      <c r="L102" s="51">
        <f>IFERROR(__xludf.DUMMYFUNCTION("""COMPUTED_VALUE"""),3.0)</f>
        <v>3</v>
      </c>
      <c r="M102" s="51">
        <f>IFERROR(__xludf.DUMMYFUNCTION("""COMPUTED_VALUE"""),164.0)</f>
        <v>164</v>
      </c>
      <c r="N102" s="52">
        <f>IFERROR(__xludf.DUMMYFUNCTION("""COMPUTED_VALUE"""),10.0)</f>
        <v>10</v>
      </c>
    </row>
    <row r="103">
      <c r="A103" s="1"/>
      <c r="B103" s="48" t="str">
        <f>IFERROR(__xludf.DUMMYFUNCTION("""COMPUTED_VALUE"""),"Mauricio Palacios")</f>
        <v>Mauricio Palacios</v>
      </c>
      <c r="C103" s="49">
        <f>IFERROR(__xludf.DUMMYFUNCTION("""COMPUTED_VALUE"""),144.0)</f>
        <v>144</v>
      </c>
      <c r="D103" s="50">
        <f>IFERROR(__xludf.DUMMYFUNCTION("""COMPUTED_VALUE"""),14.0)</f>
        <v>14</v>
      </c>
      <c r="E103" s="49">
        <f>IFERROR(__xludf.DUMMYFUNCTION("""COMPUTED_VALUE"""),2.0)</f>
        <v>2</v>
      </c>
      <c r="F103" s="51">
        <f>IFERROR(__xludf.DUMMYFUNCTION("""COMPUTED_VALUE"""),5.0)</f>
        <v>5</v>
      </c>
      <c r="G103" s="51">
        <f>IFERROR(__xludf.DUMMYFUNCTION("""COMPUTED_VALUE"""),0.0)</f>
        <v>0</v>
      </c>
      <c r="H103" s="51">
        <f>IFERROR(__xludf.DUMMYFUNCTION("""COMPUTED_VALUE"""),6.0)</f>
        <v>6</v>
      </c>
      <c r="I103" s="51">
        <f>IFERROR(__xludf.DUMMYFUNCTION("""COMPUTED_VALUE"""),0.0)</f>
        <v>0</v>
      </c>
      <c r="J103" s="51">
        <f>IFERROR(__xludf.DUMMYFUNCTION("""COMPUTED_VALUE"""),0.0)</f>
        <v>0</v>
      </c>
      <c r="K103" s="51">
        <f>IFERROR(__xludf.DUMMYFUNCTION("""COMPUTED_VALUE"""),6.0)</f>
        <v>6</v>
      </c>
      <c r="L103" s="51">
        <f>IFERROR(__xludf.DUMMYFUNCTION("""COMPUTED_VALUE"""),1.0)</f>
        <v>1</v>
      </c>
      <c r="M103" s="51">
        <f>IFERROR(__xludf.DUMMYFUNCTION("""COMPUTED_VALUE"""),150.0)</f>
        <v>150</v>
      </c>
      <c r="N103" s="52">
        <f>IFERROR(__xludf.DUMMYFUNCTION("""COMPUTED_VALUE"""),15.0)</f>
        <v>15</v>
      </c>
    </row>
    <row r="104">
      <c r="A104" s="1"/>
      <c r="B104" s="48" t="str">
        <f>IFERROR(__xludf.DUMMYFUNCTION("""COMPUTED_VALUE"""),"Rosie Bonilla")</f>
        <v>Rosie Bonilla</v>
      </c>
      <c r="C104" s="49">
        <f>IFERROR(__xludf.DUMMYFUNCTION("""COMPUTED_VALUE"""),141.0)</f>
        <v>141</v>
      </c>
      <c r="D104" s="50">
        <f>IFERROR(__xludf.DUMMYFUNCTION("""COMPUTED_VALUE"""),9.0)</f>
        <v>9</v>
      </c>
      <c r="E104" s="49">
        <f>IFERROR(__xludf.DUMMYFUNCTION("""COMPUTED_VALUE"""),1.0)</f>
        <v>1</v>
      </c>
      <c r="F104" s="51">
        <f>IFERROR(__xludf.DUMMYFUNCTION("""COMPUTED_VALUE"""),5.0)</f>
        <v>5</v>
      </c>
      <c r="G104" s="51">
        <f>IFERROR(__xludf.DUMMYFUNCTION("""COMPUTED_VALUE"""),0.0)</f>
        <v>0</v>
      </c>
      <c r="H104" s="51">
        <f>IFERROR(__xludf.DUMMYFUNCTION("""COMPUTED_VALUE"""),0.0)</f>
        <v>0</v>
      </c>
      <c r="I104" s="51">
        <f>IFERROR(__xludf.DUMMYFUNCTION("""COMPUTED_VALUE"""),0.0)</f>
        <v>0</v>
      </c>
      <c r="J104" s="51">
        <f>IFERROR(__xludf.DUMMYFUNCTION("""COMPUTED_VALUE"""),6.0)</f>
        <v>6</v>
      </c>
      <c r="K104" s="51">
        <f>IFERROR(__xludf.DUMMYFUNCTION("""COMPUTED_VALUE"""),6.0)</f>
        <v>6</v>
      </c>
      <c r="L104" s="51">
        <f>IFERROR(__xludf.DUMMYFUNCTION("""COMPUTED_VALUE"""),1.0)</f>
        <v>1</v>
      </c>
      <c r="M104" s="51">
        <f>IFERROR(__xludf.DUMMYFUNCTION("""COMPUTED_VALUE"""),147.0)</f>
        <v>147</v>
      </c>
      <c r="N104" s="52">
        <f>IFERROR(__xludf.DUMMYFUNCTION("""COMPUTED_VALUE"""),10.0)</f>
        <v>10</v>
      </c>
    </row>
    <row r="105">
      <c r="A105" s="1"/>
      <c r="B105" s="48" t="str">
        <f>IFERROR(__xludf.DUMMYFUNCTION("""COMPUTED_VALUE"""),"Vamsi Lolla ")</f>
        <v>Vamsi Lolla </v>
      </c>
      <c r="C105" s="49">
        <f>IFERROR(__xludf.DUMMYFUNCTION("""COMPUTED_VALUE"""),140.0)</f>
        <v>140</v>
      </c>
      <c r="D105" s="50">
        <f>IFERROR(__xludf.DUMMYFUNCTION("""COMPUTED_VALUE"""),7.0)</f>
        <v>7</v>
      </c>
      <c r="E105" s="49">
        <f>IFERROR(__xludf.DUMMYFUNCTION("""COMPUTED_VALUE"""),1.0)</f>
        <v>1</v>
      </c>
      <c r="F105" s="51">
        <f>IFERROR(__xludf.DUMMYFUNCTION("""COMPUTED_VALUE"""),5.0)</f>
        <v>5</v>
      </c>
      <c r="G105" s="51">
        <f>IFERROR(__xludf.DUMMYFUNCTION("""COMPUTED_VALUE"""),0.0)</f>
        <v>0</v>
      </c>
      <c r="H105" s="51">
        <f>IFERROR(__xludf.DUMMYFUNCTION("""COMPUTED_VALUE"""),0.0)</f>
        <v>0</v>
      </c>
      <c r="I105" s="51">
        <f>IFERROR(__xludf.DUMMYFUNCTION("""COMPUTED_VALUE"""),6.0)</f>
        <v>6</v>
      </c>
      <c r="J105" s="51">
        <f>IFERROR(__xludf.DUMMYFUNCTION("""COMPUTED_VALUE"""),0.0)</f>
        <v>0</v>
      </c>
      <c r="K105" s="51">
        <f>IFERROR(__xludf.DUMMYFUNCTION("""COMPUTED_VALUE"""),6.0)</f>
        <v>6</v>
      </c>
      <c r="L105" s="51">
        <f>IFERROR(__xludf.DUMMYFUNCTION("""COMPUTED_VALUE"""),1.0)</f>
        <v>1</v>
      </c>
      <c r="M105" s="51">
        <f>IFERROR(__xludf.DUMMYFUNCTION("""COMPUTED_VALUE"""),146.0)</f>
        <v>146</v>
      </c>
      <c r="N105" s="52">
        <f>IFERROR(__xludf.DUMMYFUNCTION("""COMPUTED_VALUE"""),8.0)</f>
        <v>8</v>
      </c>
    </row>
    <row r="106">
      <c r="A106" s="1"/>
      <c r="B106" s="53" t="str">
        <f>IFERROR(__xludf.DUMMYFUNCTION("""COMPUTED_VALUE"""),"Sandy Weyant")</f>
        <v>Sandy Weyant</v>
      </c>
      <c r="C106" s="54">
        <f>IFERROR(__xludf.DUMMYFUNCTION("""COMPUTED_VALUE"""),139.0)</f>
        <v>139</v>
      </c>
      <c r="D106" s="55">
        <f>IFERROR(__xludf.DUMMYFUNCTION("""COMPUTED_VALUE"""),6.0)</f>
        <v>6</v>
      </c>
      <c r="E106" s="54">
        <f>IFERROR(__xludf.DUMMYFUNCTION("""COMPUTED_VALUE"""),1.0)</f>
        <v>1</v>
      </c>
      <c r="F106" s="56">
        <f>IFERROR(__xludf.DUMMYFUNCTION("""COMPUTED_VALUE"""),6.0)</f>
        <v>6</v>
      </c>
      <c r="G106" s="56">
        <f>IFERROR(__xludf.DUMMYFUNCTION("""COMPUTED_VALUE"""),0.0)</f>
        <v>0</v>
      </c>
      <c r="H106" s="56">
        <f>IFERROR(__xludf.DUMMYFUNCTION("""COMPUTED_VALUE"""),6.0)</f>
        <v>6</v>
      </c>
      <c r="I106" s="56">
        <f>IFERROR(__xludf.DUMMYFUNCTION("""COMPUTED_VALUE"""),0.0)</f>
        <v>0</v>
      </c>
      <c r="J106" s="56">
        <f>IFERROR(__xludf.DUMMYFUNCTION("""COMPUTED_VALUE"""),4.0)</f>
        <v>4</v>
      </c>
      <c r="K106" s="56">
        <f>IFERROR(__xludf.DUMMYFUNCTION("""COMPUTED_VALUE"""),10.0)</f>
        <v>10</v>
      </c>
      <c r="L106" s="56">
        <f>IFERROR(__xludf.DUMMYFUNCTION("""COMPUTED_VALUE"""),1.0)</f>
        <v>1</v>
      </c>
      <c r="M106" s="56">
        <f>IFERROR(__xludf.DUMMYFUNCTION("""COMPUTED_VALUE"""),149.0)</f>
        <v>149</v>
      </c>
      <c r="N106" s="57">
        <f>IFERROR(__xludf.DUMMYFUNCTION("""COMPUTED_VALUE"""),7.0)</f>
        <v>7</v>
      </c>
    </row>
    <row r="107">
      <c r="A107" s="1"/>
      <c r="B107" s="53" t="str">
        <f>IFERROR(__xludf.DUMMYFUNCTION("""COMPUTED_VALUE"""),"Jimmy Awolesi")</f>
        <v>Jimmy Awolesi</v>
      </c>
      <c r="C107" s="54">
        <f>IFERROR(__xludf.DUMMYFUNCTION("""COMPUTED_VALUE"""),133.0)</f>
        <v>133</v>
      </c>
      <c r="D107" s="55">
        <f>IFERROR(__xludf.DUMMYFUNCTION("""COMPUTED_VALUE"""),10.0)</f>
        <v>10</v>
      </c>
      <c r="E107" s="54">
        <f>IFERROR(__xludf.DUMMYFUNCTION("""COMPUTED_VALUE"""),1.0)</f>
        <v>1</v>
      </c>
      <c r="F107" s="56">
        <f>IFERROR(__xludf.DUMMYFUNCTION("""COMPUTED_VALUE"""),6.0)</f>
        <v>6</v>
      </c>
      <c r="G107" s="56">
        <f>IFERROR(__xludf.DUMMYFUNCTION("""COMPUTED_VALUE"""),0.0)</f>
        <v>0</v>
      </c>
      <c r="H107" s="56">
        <f>IFERROR(__xludf.DUMMYFUNCTION("""COMPUTED_VALUE"""),2.0)</f>
        <v>2</v>
      </c>
      <c r="I107" s="56">
        <f>IFERROR(__xludf.DUMMYFUNCTION("""COMPUTED_VALUE"""),0.0)</f>
        <v>0</v>
      </c>
      <c r="J107" s="56">
        <f>IFERROR(__xludf.DUMMYFUNCTION("""COMPUTED_VALUE"""),6.0)</f>
        <v>6</v>
      </c>
      <c r="K107" s="56">
        <f>IFERROR(__xludf.DUMMYFUNCTION("""COMPUTED_VALUE"""),8.0)</f>
        <v>8</v>
      </c>
      <c r="L107" s="56">
        <f>IFERROR(__xludf.DUMMYFUNCTION("""COMPUTED_VALUE"""),1.0)</f>
        <v>1</v>
      </c>
      <c r="M107" s="56">
        <f>IFERROR(__xludf.DUMMYFUNCTION("""COMPUTED_VALUE"""),141.0)</f>
        <v>141</v>
      </c>
      <c r="N107" s="57">
        <f>IFERROR(__xludf.DUMMYFUNCTION("""COMPUTED_VALUE"""),11.0)</f>
        <v>11</v>
      </c>
    </row>
    <row r="108">
      <c r="A108" s="1"/>
      <c r="B108" s="53" t="str">
        <f>IFERROR(__xludf.DUMMYFUNCTION("""COMPUTED_VALUE"""),"Susanta Mishra")</f>
        <v>Susanta Mishra</v>
      </c>
      <c r="C108" s="54">
        <f>IFERROR(__xludf.DUMMYFUNCTION("""COMPUTED_VALUE"""),128.0)</f>
        <v>128</v>
      </c>
      <c r="D108" s="55">
        <f>IFERROR(__xludf.DUMMYFUNCTION("""COMPUTED_VALUE"""),5.0)</f>
        <v>5</v>
      </c>
      <c r="E108" s="54">
        <f>IFERROR(__xludf.DUMMYFUNCTION("""COMPUTED_VALUE"""),1.0)</f>
        <v>1</v>
      </c>
      <c r="F108" s="56">
        <f>IFERROR(__xludf.DUMMYFUNCTION("""COMPUTED_VALUE"""),6.0)</f>
        <v>6</v>
      </c>
      <c r="G108" s="56">
        <f>IFERROR(__xludf.DUMMYFUNCTION("""COMPUTED_VALUE"""),0.0)</f>
        <v>0</v>
      </c>
      <c r="H108" s="56">
        <f>IFERROR(__xludf.DUMMYFUNCTION("""COMPUTED_VALUE"""),6.0)</f>
        <v>6</v>
      </c>
      <c r="I108" s="56">
        <f>IFERROR(__xludf.DUMMYFUNCTION("""COMPUTED_VALUE"""),6.0)</f>
        <v>6</v>
      </c>
      <c r="J108" s="56">
        <f>IFERROR(__xludf.DUMMYFUNCTION("""COMPUTED_VALUE"""),6.0)</f>
        <v>6</v>
      </c>
      <c r="K108" s="56">
        <f>IFERROR(__xludf.DUMMYFUNCTION("""COMPUTED_VALUE"""),18.0)</f>
        <v>18</v>
      </c>
      <c r="L108" s="56">
        <f>IFERROR(__xludf.DUMMYFUNCTION("""COMPUTED_VALUE"""),3.0)</f>
        <v>3</v>
      </c>
      <c r="M108" s="56">
        <f>IFERROR(__xludf.DUMMYFUNCTION("""COMPUTED_VALUE"""),146.0)</f>
        <v>146</v>
      </c>
      <c r="N108" s="57">
        <f>IFERROR(__xludf.DUMMYFUNCTION("""COMPUTED_VALUE"""),8.0)</f>
        <v>8</v>
      </c>
    </row>
    <row r="109">
      <c r="A109" s="1"/>
      <c r="B109" s="53" t="str">
        <f>IFERROR(__xludf.DUMMYFUNCTION("""COMPUTED_VALUE"""),"Kingsley Kuo")</f>
        <v>Kingsley Kuo</v>
      </c>
      <c r="C109" s="54">
        <f>IFERROR(__xludf.DUMMYFUNCTION("""COMPUTED_VALUE"""),126.0)</f>
        <v>126</v>
      </c>
      <c r="D109" s="55">
        <f>IFERROR(__xludf.DUMMYFUNCTION("""COMPUTED_VALUE"""),2.0)</f>
        <v>2</v>
      </c>
      <c r="E109" s="54">
        <f>IFERROR(__xludf.DUMMYFUNCTION("""COMPUTED_VALUE"""),1.0)</f>
        <v>1</v>
      </c>
      <c r="F109" s="56">
        <f>IFERROR(__xludf.DUMMYFUNCTION("""COMPUTED_VALUE"""),6.0)</f>
        <v>6</v>
      </c>
      <c r="G109" s="56">
        <f>IFERROR(__xludf.DUMMYFUNCTION("""COMPUTED_VALUE"""),0.0)</f>
        <v>0</v>
      </c>
      <c r="H109" s="56">
        <f>IFERROR(__xludf.DUMMYFUNCTION("""COMPUTED_VALUE"""),2.0)</f>
        <v>2</v>
      </c>
      <c r="I109" s="56">
        <f>IFERROR(__xludf.DUMMYFUNCTION("""COMPUTED_VALUE"""),6.0)</f>
        <v>6</v>
      </c>
      <c r="J109" s="56">
        <f>IFERROR(__xludf.DUMMYFUNCTION("""COMPUTED_VALUE"""),4.0)</f>
        <v>4</v>
      </c>
      <c r="K109" s="56">
        <f>IFERROR(__xludf.DUMMYFUNCTION("""COMPUTED_VALUE"""),12.0)</f>
        <v>12</v>
      </c>
      <c r="L109" s="56">
        <f>IFERROR(__xludf.DUMMYFUNCTION("""COMPUTED_VALUE"""),1.0)</f>
        <v>1</v>
      </c>
      <c r="M109" s="56">
        <f>IFERROR(__xludf.DUMMYFUNCTION("""COMPUTED_VALUE"""),138.0)</f>
        <v>138</v>
      </c>
      <c r="N109" s="57">
        <f>IFERROR(__xludf.DUMMYFUNCTION("""COMPUTED_VALUE"""),3.0)</f>
        <v>3</v>
      </c>
    </row>
    <row r="110">
      <c r="A110" s="1"/>
      <c r="B110" s="48" t="str">
        <f>IFERROR(__xludf.DUMMYFUNCTION("""COMPUTED_VALUE"""),"Santosh Sundaresan ")</f>
        <v>Santosh Sundaresan </v>
      </c>
      <c r="C110" s="49">
        <f>IFERROR(__xludf.DUMMYFUNCTION("""COMPUTED_VALUE"""),121.0)</f>
        <v>121</v>
      </c>
      <c r="D110" s="50">
        <f>IFERROR(__xludf.DUMMYFUNCTION("""COMPUTED_VALUE"""),4.0)</f>
        <v>4</v>
      </c>
      <c r="E110" s="49">
        <f>IFERROR(__xludf.DUMMYFUNCTION("""COMPUTED_VALUE"""),2.0)</f>
        <v>2</v>
      </c>
      <c r="F110" s="51">
        <f>IFERROR(__xludf.DUMMYFUNCTION("""COMPUTED_VALUE"""),7.0)</f>
        <v>7</v>
      </c>
      <c r="G110" s="51">
        <f>IFERROR(__xludf.DUMMYFUNCTION("""COMPUTED_VALUE"""),0.0)</f>
        <v>0</v>
      </c>
      <c r="H110" s="51">
        <f>IFERROR(__xludf.DUMMYFUNCTION("""COMPUTED_VALUE"""),6.0)</f>
        <v>6</v>
      </c>
      <c r="I110" s="51">
        <f>IFERROR(__xludf.DUMMYFUNCTION("""COMPUTED_VALUE"""),6.0)</f>
        <v>6</v>
      </c>
      <c r="J110" s="51">
        <f>IFERROR(__xludf.DUMMYFUNCTION("""COMPUTED_VALUE"""),0.0)</f>
        <v>0</v>
      </c>
      <c r="K110" s="51">
        <f>IFERROR(__xludf.DUMMYFUNCTION("""COMPUTED_VALUE"""),12.0)</f>
        <v>12</v>
      </c>
      <c r="L110" s="51">
        <f>IFERROR(__xludf.DUMMYFUNCTION("""COMPUTED_VALUE"""),1.0)</f>
        <v>1</v>
      </c>
      <c r="M110" s="51">
        <f>IFERROR(__xludf.DUMMYFUNCTION("""COMPUTED_VALUE"""),133.0)</f>
        <v>133</v>
      </c>
      <c r="N110" s="52">
        <f>IFERROR(__xludf.DUMMYFUNCTION("""COMPUTED_VALUE"""),5.0)</f>
        <v>5</v>
      </c>
    </row>
    <row r="111">
      <c r="A111" s="1"/>
      <c r="B111" s="48" t="str">
        <f>IFERROR(__xludf.DUMMYFUNCTION("""COMPUTED_VALUE"""),"Elayaraja Thangaraj ")</f>
        <v>Elayaraja Thangaraj </v>
      </c>
      <c r="C111" s="49">
        <f>IFERROR(__xludf.DUMMYFUNCTION("""COMPUTED_VALUE"""),118.0)</f>
        <v>118</v>
      </c>
      <c r="D111" s="50">
        <f>IFERROR(__xludf.DUMMYFUNCTION("""COMPUTED_VALUE"""),7.0)</f>
        <v>7</v>
      </c>
      <c r="E111" s="49">
        <f>IFERROR(__xludf.DUMMYFUNCTION("""COMPUTED_VALUE"""),1.0)</f>
        <v>1</v>
      </c>
      <c r="F111" s="51">
        <f>IFERROR(__xludf.DUMMYFUNCTION("""COMPUTED_VALUE"""),7.0)</f>
        <v>7</v>
      </c>
      <c r="G111" s="51">
        <f>IFERROR(__xludf.DUMMYFUNCTION("""COMPUTED_VALUE"""),0.0)</f>
        <v>0</v>
      </c>
      <c r="H111" s="51">
        <f>IFERROR(__xludf.DUMMYFUNCTION("""COMPUTED_VALUE"""),1.0)</f>
        <v>1</v>
      </c>
      <c r="I111" s="51">
        <f>IFERROR(__xludf.DUMMYFUNCTION("""COMPUTED_VALUE"""),6.0)</f>
        <v>6</v>
      </c>
      <c r="J111" s="51">
        <f>IFERROR(__xludf.DUMMYFUNCTION("""COMPUTED_VALUE"""),6.0)</f>
        <v>6</v>
      </c>
      <c r="K111" s="51">
        <f>IFERROR(__xludf.DUMMYFUNCTION("""COMPUTED_VALUE"""),13.0)</f>
        <v>13</v>
      </c>
      <c r="L111" s="51">
        <f>IFERROR(__xludf.DUMMYFUNCTION("""COMPUTED_VALUE"""),1.0)</f>
        <v>1</v>
      </c>
      <c r="M111" s="51">
        <f>IFERROR(__xludf.DUMMYFUNCTION("""COMPUTED_VALUE"""),131.0)</f>
        <v>131</v>
      </c>
      <c r="N111" s="52">
        <f>IFERROR(__xludf.DUMMYFUNCTION("""COMPUTED_VALUE"""),8.0)</f>
        <v>8</v>
      </c>
    </row>
    <row r="112">
      <c r="A112" s="1"/>
      <c r="B112" s="48" t="str">
        <f>IFERROR(__xludf.DUMMYFUNCTION("""COMPUTED_VALUE"""),"Christopher Li")</f>
        <v>Christopher Li</v>
      </c>
      <c r="C112" s="49">
        <f>IFERROR(__xludf.DUMMYFUNCTION("""COMPUTED_VALUE"""),118.0)</f>
        <v>118</v>
      </c>
      <c r="D112" s="50">
        <f>IFERROR(__xludf.DUMMYFUNCTION("""COMPUTED_VALUE"""),0.0)</f>
        <v>0</v>
      </c>
      <c r="E112" s="49">
        <f>IFERROR(__xludf.DUMMYFUNCTION("""COMPUTED_VALUE"""),1.0)</f>
        <v>1</v>
      </c>
      <c r="F112" s="51">
        <f>IFERROR(__xludf.DUMMYFUNCTION("""COMPUTED_VALUE"""),7.0)</f>
        <v>7</v>
      </c>
      <c r="G112" s="51">
        <f>IFERROR(__xludf.DUMMYFUNCTION("""COMPUTED_VALUE"""),0.0)</f>
        <v>0</v>
      </c>
      <c r="H112" s="51">
        <f>IFERROR(__xludf.DUMMYFUNCTION("""COMPUTED_VALUE"""),6.0)</f>
        <v>6</v>
      </c>
      <c r="I112" s="51">
        <f>IFERROR(__xludf.DUMMYFUNCTION("""COMPUTED_VALUE"""),7.0)</f>
        <v>7</v>
      </c>
      <c r="J112" s="51">
        <f>IFERROR(__xludf.DUMMYFUNCTION("""COMPUTED_VALUE"""),6.0)</f>
        <v>6</v>
      </c>
      <c r="K112" s="51">
        <f>IFERROR(__xludf.DUMMYFUNCTION("""COMPUTED_VALUE"""),19.0)</f>
        <v>19</v>
      </c>
      <c r="L112" s="51">
        <f>IFERROR(__xludf.DUMMYFUNCTION("""COMPUTED_VALUE"""),3.0)</f>
        <v>3</v>
      </c>
      <c r="M112" s="51">
        <f>IFERROR(__xludf.DUMMYFUNCTION("""COMPUTED_VALUE"""),137.0)</f>
        <v>137</v>
      </c>
      <c r="N112" s="52">
        <f>IFERROR(__xludf.DUMMYFUNCTION("""COMPUTED_VALUE"""),3.0)</f>
        <v>3</v>
      </c>
    </row>
    <row r="113">
      <c r="A113" s="1"/>
      <c r="B113" s="48" t="str">
        <f>IFERROR(__xludf.DUMMYFUNCTION("""COMPUTED_VALUE"""),"Joyce Zhu")</f>
        <v>Joyce Zhu</v>
      </c>
      <c r="C113" s="49">
        <f>IFERROR(__xludf.DUMMYFUNCTION("""COMPUTED_VALUE"""),110.0)</f>
        <v>110</v>
      </c>
      <c r="D113" s="50">
        <f>IFERROR(__xludf.DUMMYFUNCTION("""COMPUTED_VALUE"""),1.0)</f>
        <v>1</v>
      </c>
      <c r="E113" s="49">
        <f>IFERROR(__xludf.DUMMYFUNCTION("""COMPUTED_VALUE"""),1.0)</f>
        <v>1</v>
      </c>
      <c r="F113" s="51">
        <f>IFERROR(__xludf.DUMMYFUNCTION("""COMPUTED_VALUE"""),7.0)</f>
        <v>7</v>
      </c>
      <c r="G113" s="51">
        <f>IFERROR(__xludf.DUMMYFUNCTION("""COMPUTED_VALUE"""),0.0)</f>
        <v>0</v>
      </c>
      <c r="H113" s="51">
        <f>IFERROR(__xludf.DUMMYFUNCTION("""COMPUTED_VALUE"""),1.0)</f>
        <v>1</v>
      </c>
      <c r="I113" s="51">
        <f>IFERROR(__xludf.DUMMYFUNCTION("""COMPUTED_VALUE"""),7.0)</f>
        <v>7</v>
      </c>
      <c r="J113" s="51">
        <f>IFERROR(__xludf.DUMMYFUNCTION("""COMPUTED_VALUE"""),0.0)</f>
        <v>0</v>
      </c>
      <c r="K113" s="51">
        <f>IFERROR(__xludf.DUMMYFUNCTION("""COMPUTED_VALUE"""),8.0)</f>
        <v>8</v>
      </c>
      <c r="L113" s="51">
        <f>IFERROR(__xludf.DUMMYFUNCTION("""COMPUTED_VALUE"""),0.0)</f>
        <v>0</v>
      </c>
      <c r="M113" s="51">
        <f>IFERROR(__xludf.DUMMYFUNCTION("""COMPUTED_VALUE"""),118.0)</f>
        <v>118</v>
      </c>
      <c r="N113" s="52">
        <f>IFERROR(__xludf.DUMMYFUNCTION("""COMPUTED_VALUE"""),1.0)</f>
        <v>1</v>
      </c>
    </row>
    <row r="114">
      <c r="A114" s="1"/>
      <c r="B114" s="53"/>
      <c r="C114" s="59"/>
      <c r="D114" s="59"/>
      <c r="E114" s="59"/>
      <c r="F114" s="53"/>
      <c r="G114" s="53"/>
      <c r="H114" s="53"/>
      <c r="I114" s="53"/>
      <c r="J114" s="53"/>
      <c r="K114" s="53"/>
      <c r="L114" s="53"/>
      <c r="M114" s="53"/>
      <c r="N114" s="53"/>
    </row>
    <row r="115">
      <c r="A115" s="1"/>
      <c r="B115" s="53"/>
      <c r="C115" s="59"/>
      <c r="D115" s="59"/>
      <c r="E115" s="59"/>
      <c r="F115" s="53"/>
      <c r="G115" s="53"/>
      <c r="H115" s="53"/>
      <c r="I115" s="53"/>
      <c r="J115" s="53"/>
      <c r="K115" s="53"/>
      <c r="L115" s="53"/>
      <c r="M115" s="53"/>
      <c r="N115" s="53"/>
    </row>
    <row r="116">
      <c r="A116" s="1"/>
      <c r="B116" s="53"/>
      <c r="C116" s="59"/>
      <c r="D116" s="59"/>
      <c r="E116" s="59"/>
      <c r="F116" s="53"/>
      <c r="G116" s="53"/>
      <c r="H116" s="53"/>
      <c r="I116" s="53"/>
      <c r="J116" s="53"/>
      <c r="K116" s="53"/>
      <c r="L116" s="53"/>
      <c r="M116" s="53"/>
      <c r="N116" s="53"/>
    </row>
    <row r="117">
      <c r="A117" s="1"/>
      <c r="B117" s="53"/>
      <c r="C117" s="59"/>
      <c r="D117" s="59"/>
      <c r="E117" s="59"/>
      <c r="F117" s="53"/>
      <c r="G117" s="53"/>
      <c r="H117" s="53"/>
      <c r="I117" s="53"/>
      <c r="J117" s="53"/>
      <c r="K117" s="53"/>
      <c r="L117" s="53"/>
      <c r="M117" s="53"/>
      <c r="N117" s="53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B129" s="20" t="s">
        <v>25</v>
      </c>
      <c r="C129" s="21" t="s">
        <v>8</v>
      </c>
      <c r="D129" s="21" t="s">
        <v>14</v>
      </c>
      <c r="E129" s="21" t="s">
        <v>26</v>
      </c>
      <c r="F129" s="21" t="s">
        <v>27</v>
      </c>
      <c r="G129" s="21" t="s">
        <v>28</v>
      </c>
      <c r="H129" s="21" t="s">
        <v>17</v>
      </c>
      <c r="I129" s="21" t="s">
        <v>18</v>
      </c>
      <c r="J129" s="21" t="s">
        <v>19</v>
      </c>
      <c r="K129" s="21" t="s">
        <v>8</v>
      </c>
      <c r="L129" s="21" t="s">
        <v>14</v>
      </c>
      <c r="M129" s="22" t="s">
        <v>8</v>
      </c>
      <c r="N129" s="22" t="s">
        <v>14</v>
      </c>
    </row>
    <row r="130">
      <c r="A130" s="1"/>
      <c r="B130" s="48" t="str">
        <f>IFERROR(__xludf.DUMMYFUNCTION("QUERY(B5:N63, ""Select B, C, D, E, F, G, H, I, J, K, L, M, N   where F = 0"")"),"Pulkit Mathur")</f>
        <v>Pulkit Mathur</v>
      </c>
      <c r="C130" s="49">
        <f>IFERROR(__xludf.DUMMYFUNCTION("""COMPUTED_VALUE"""),172.0)</f>
        <v>172</v>
      </c>
      <c r="D130" s="50">
        <f>IFERROR(__xludf.DUMMYFUNCTION("""COMPUTED_VALUE"""),17.0)</f>
        <v>17</v>
      </c>
      <c r="E130" s="49">
        <f>IFERROR(__xludf.DUMMYFUNCTION("""COMPUTED_VALUE"""),3.0)</f>
        <v>3</v>
      </c>
      <c r="F130" s="51">
        <f>IFERROR(__xludf.DUMMYFUNCTION("""COMPUTED_VALUE"""),0.0)</f>
        <v>0</v>
      </c>
      <c r="G130" s="51">
        <f>IFERROR(__xludf.DUMMYFUNCTION("""COMPUTED_VALUE"""),9.0)</f>
        <v>9</v>
      </c>
      <c r="H130" s="51">
        <f>IFERROR(__xludf.DUMMYFUNCTION("""COMPUTED_VALUE"""),0.0)</f>
        <v>0</v>
      </c>
      <c r="I130" s="51">
        <f>IFERROR(__xludf.DUMMYFUNCTION("""COMPUTED_VALUE"""),0.0)</f>
        <v>0</v>
      </c>
      <c r="J130" s="51">
        <f>IFERROR(__xludf.DUMMYFUNCTION("""COMPUTED_VALUE"""),0.0)</f>
        <v>0</v>
      </c>
      <c r="K130" s="51">
        <f>IFERROR(__xludf.DUMMYFUNCTION("""COMPUTED_VALUE"""),9.0)</f>
        <v>9</v>
      </c>
      <c r="L130" s="51">
        <f>IFERROR(__xludf.DUMMYFUNCTION("""COMPUTED_VALUE"""),0.0)</f>
        <v>0</v>
      </c>
      <c r="M130" s="51">
        <f>IFERROR(__xludf.DUMMYFUNCTION("""COMPUTED_VALUE"""),181.0)</f>
        <v>181</v>
      </c>
      <c r="N130" s="52">
        <f>IFERROR(__xludf.DUMMYFUNCTION("""COMPUTED_VALUE"""),17.0)</f>
        <v>17</v>
      </c>
    </row>
    <row r="131">
      <c r="A131" s="1"/>
      <c r="B131" s="48" t="str">
        <f>IFERROR(__xludf.DUMMYFUNCTION("""COMPUTED_VALUE"""),"Eric Pan")</f>
        <v>Eric Pan</v>
      </c>
      <c r="C131" s="49">
        <f>IFERROR(__xludf.DUMMYFUNCTION("""COMPUTED_VALUE"""),170.0)</f>
        <v>170</v>
      </c>
      <c r="D131" s="50">
        <f>IFERROR(__xludf.DUMMYFUNCTION("""COMPUTED_VALUE"""),16.0)</f>
        <v>16</v>
      </c>
      <c r="E131" s="49">
        <f>IFERROR(__xludf.DUMMYFUNCTION("""COMPUTED_VALUE"""),3.0)</f>
        <v>3</v>
      </c>
      <c r="F131" s="51">
        <f>IFERROR(__xludf.DUMMYFUNCTION("""COMPUTED_VALUE"""),0.0)</f>
        <v>0</v>
      </c>
      <c r="G131" s="51">
        <f>IFERROR(__xludf.DUMMYFUNCTION("""COMPUTED_VALUE"""),9.0)</f>
        <v>9</v>
      </c>
      <c r="H131" s="51">
        <f>IFERROR(__xludf.DUMMYFUNCTION("""COMPUTED_VALUE"""),0.0)</f>
        <v>0</v>
      </c>
      <c r="I131" s="51">
        <f>IFERROR(__xludf.DUMMYFUNCTION("""COMPUTED_VALUE"""),0.0)</f>
        <v>0</v>
      </c>
      <c r="J131" s="51">
        <f>IFERROR(__xludf.DUMMYFUNCTION("""COMPUTED_VALUE"""),0.0)</f>
        <v>0</v>
      </c>
      <c r="K131" s="51">
        <f>IFERROR(__xludf.DUMMYFUNCTION("""COMPUTED_VALUE"""),9.0)</f>
        <v>9</v>
      </c>
      <c r="L131" s="51">
        <f>IFERROR(__xludf.DUMMYFUNCTION("""COMPUTED_VALUE"""),0.0)</f>
        <v>0</v>
      </c>
      <c r="M131" s="51">
        <f>IFERROR(__xludf.DUMMYFUNCTION("""COMPUTED_VALUE"""),179.0)</f>
        <v>179</v>
      </c>
      <c r="N131" s="52">
        <f>IFERROR(__xludf.DUMMYFUNCTION("""COMPUTED_VALUE"""),16.0)</f>
        <v>16</v>
      </c>
    </row>
    <row r="132">
      <c r="A132" s="1"/>
      <c r="B132" s="48" t="str">
        <f>IFERROR(__xludf.DUMMYFUNCTION("""COMPUTED_VALUE"""),"Ted Shen")</f>
        <v>Ted Shen</v>
      </c>
      <c r="C132" s="49">
        <f>IFERROR(__xludf.DUMMYFUNCTION("""COMPUTED_VALUE"""),167.0)</f>
        <v>167</v>
      </c>
      <c r="D132" s="50">
        <f>IFERROR(__xludf.DUMMYFUNCTION("""COMPUTED_VALUE"""),16.0)</f>
        <v>16</v>
      </c>
      <c r="E132" s="49">
        <f>IFERROR(__xludf.DUMMYFUNCTION("""COMPUTED_VALUE"""),3.0)</f>
        <v>3</v>
      </c>
      <c r="F132" s="51">
        <f>IFERROR(__xludf.DUMMYFUNCTION("""COMPUTED_VALUE"""),0.0)</f>
        <v>0</v>
      </c>
      <c r="G132" s="51">
        <f>IFERROR(__xludf.DUMMYFUNCTION("""COMPUTED_VALUE"""),9.0)</f>
        <v>9</v>
      </c>
      <c r="H132" s="51">
        <f>IFERROR(__xludf.DUMMYFUNCTION("""COMPUTED_VALUE"""),0.0)</f>
        <v>0</v>
      </c>
      <c r="I132" s="51">
        <f>IFERROR(__xludf.DUMMYFUNCTION("""COMPUTED_VALUE"""),0.0)</f>
        <v>0</v>
      </c>
      <c r="J132" s="51">
        <f>IFERROR(__xludf.DUMMYFUNCTION("""COMPUTED_VALUE"""),0.0)</f>
        <v>0</v>
      </c>
      <c r="K132" s="51">
        <f>IFERROR(__xludf.DUMMYFUNCTION("""COMPUTED_VALUE"""),9.0)</f>
        <v>9</v>
      </c>
      <c r="L132" s="51">
        <f>IFERROR(__xludf.DUMMYFUNCTION("""COMPUTED_VALUE"""),0.0)</f>
        <v>0</v>
      </c>
      <c r="M132" s="51">
        <f>IFERROR(__xludf.DUMMYFUNCTION("""COMPUTED_VALUE"""),176.0)</f>
        <v>176</v>
      </c>
      <c r="N132" s="52">
        <f>IFERROR(__xludf.DUMMYFUNCTION("""COMPUTED_VALUE"""),16.0)</f>
        <v>16</v>
      </c>
    </row>
    <row r="133">
      <c r="A133" s="1"/>
      <c r="B133" s="48" t="str">
        <f>IFERROR(__xludf.DUMMYFUNCTION("""COMPUTED_VALUE"""),"Matthew Huang")</f>
        <v>Matthew Huang</v>
      </c>
      <c r="C133" s="49">
        <f>IFERROR(__xludf.DUMMYFUNCTION("""COMPUTED_VALUE"""),163.0)</f>
        <v>163</v>
      </c>
      <c r="D133" s="50">
        <f>IFERROR(__xludf.DUMMYFUNCTION("""COMPUTED_VALUE"""),13.0)</f>
        <v>13</v>
      </c>
      <c r="E133" s="49">
        <f>IFERROR(__xludf.DUMMYFUNCTION("""COMPUTED_VALUE"""),3.0)</f>
        <v>3</v>
      </c>
      <c r="F133" s="51">
        <f>IFERROR(__xludf.DUMMYFUNCTION("""COMPUTED_VALUE"""),0.0)</f>
        <v>0</v>
      </c>
      <c r="G133" s="51">
        <f>IFERROR(__xludf.DUMMYFUNCTION("""COMPUTED_VALUE"""),9.0)</f>
        <v>9</v>
      </c>
      <c r="H133" s="51">
        <f>IFERROR(__xludf.DUMMYFUNCTION("""COMPUTED_VALUE"""),0.0)</f>
        <v>0</v>
      </c>
      <c r="I133" s="51">
        <f>IFERROR(__xludf.DUMMYFUNCTION("""COMPUTED_VALUE"""),0.0)</f>
        <v>0</v>
      </c>
      <c r="J133" s="51">
        <f>IFERROR(__xludf.DUMMYFUNCTION("""COMPUTED_VALUE"""),0.0)</f>
        <v>0</v>
      </c>
      <c r="K133" s="51">
        <f>IFERROR(__xludf.DUMMYFUNCTION("""COMPUTED_VALUE"""),9.0)</f>
        <v>9</v>
      </c>
      <c r="L133" s="51">
        <f>IFERROR(__xludf.DUMMYFUNCTION("""COMPUTED_VALUE"""),0.0)</f>
        <v>0</v>
      </c>
      <c r="M133" s="51">
        <f>IFERROR(__xludf.DUMMYFUNCTION("""COMPUTED_VALUE"""),172.0)</f>
        <v>172</v>
      </c>
      <c r="N133" s="52">
        <f>IFERROR(__xludf.DUMMYFUNCTION("""COMPUTED_VALUE"""),13.0)</f>
        <v>13</v>
      </c>
    </row>
    <row r="134">
      <c r="A134" s="1"/>
      <c r="B134" s="48" t="str">
        <f>IFERROR(__xludf.DUMMYFUNCTION("""COMPUTED_VALUE"""),"Jonathan Phan")</f>
        <v>Jonathan Phan</v>
      </c>
      <c r="C134" s="49">
        <f>IFERROR(__xludf.DUMMYFUNCTION("""COMPUTED_VALUE"""),158.0)</f>
        <v>158</v>
      </c>
      <c r="D134" s="50">
        <f>IFERROR(__xludf.DUMMYFUNCTION("""COMPUTED_VALUE"""),15.0)</f>
        <v>15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IFERROR(__xludf.DUMMYFUNCTION("""COMPUTED_VALUE"""),167.0)</f>
        <v>167</v>
      </c>
      <c r="N134" s="52">
        <f>IFERROR(__xludf.DUMMYFUNCTION("""COMPUTED_VALUE"""),15.0)</f>
        <v>15</v>
      </c>
    </row>
    <row r="135">
      <c r="A135" s="1"/>
      <c r="B135" s="48" t="str">
        <f>IFERROR(__xludf.DUMMYFUNCTION("""COMPUTED_VALUE"""),"Sai Dilip Ponnaganti")</f>
        <v>Sai Dilip Ponnaganti</v>
      </c>
      <c r="C135" s="49">
        <f>IFERROR(__xludf.DUMMYFUNCTION("""COMPUTED_VALUE"""),156.0)</f>
        <v>156</v>
      </c>
      <c r="D135" s="50">
        <f>IFERROR(__xludf.DUMMYFUNCTION("""COMPUTED_VALUE"""),11.0)</f>
        <v>11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IFERROR(__xludf.DUMMYFUNCTION("""COMPUTED_VALUE"""),165.0)</f>
        <v>165</v>
      </c>
      <c r="N135" s="52">
        <f>IFERROR(__xludf.DUMMYFUNCTION("""COMPUTED_VALUE"""),11.0)</f>
        <v>11</v>
      </c>
    </row>
    <row r="136">
      <c r="A136" s="1"/>
      <c r="B136" s="48" t="str">
        <f>IFERROR(__xludf.DUMMYFUNCTION("""COMPUTED_VALUE"""),"Oscar Bonilla")</f>
        <v>Oscar Bonilla</v>
      </c>
      <c r="C136" s="49">
        <f>IFERROR(__xludf.DUMMYFUNCTION("""COMPUTED_VALUE"""),153.0)</f>
        <v>153</v>
      </c>
      <c r="D136" s="50">
        <f>IFERROR(__xludf.DUMMYFUNCTION("""COMPUTED_VALUE"""),13.0)</f>
        <v>13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IFERROR(__xludf.DUMMYFUNCTION("""COMPUTED_VALUE"""),162.0)</f>
        <v>162</v>
      </c>
      <c r="N136" s="52">
        <f>IFERROR(__xludf.DUMMYFUNCTION("""COMPUTED_VALUE"""),13.0)</f>
        <v>13</v>
      </c>
    </row>
    <row r="137">
      <c r="A137" s="1"/>
      <c r="B137" s="48" t="str">
        <f>IFERROR(__xludf.DUMMYFUNCTION("""COMPUTED_VALUE"""),"Tony Wong")</f>
        <v>Tony Wong</v>
      </c>
      <c r="C137" s="49">
        <f>IFERROR(__xludf.DUMMYFUNCTION("""COMPUTED_VALUE"""),153.0)</f>
        <v>153</v>
      </c>
      <c r="D137" s="50">
        <f>IFERROR(__xludf.DUMMYFUNCTION("""COMPUTED_VALUE"""),12.0)</f>
        <v>12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IFERROR(__xludf.DUMMYFUNCTION("""COMPUTED_VALUE"""),162.0)</f>
        <v>162</v>
      </c>
      <c r="N137" s="52">
        <f>IFERROR(__xludf.DUMMYFUNCTION("""COMPUTED_VALUE"""),12.0)</f>
        <v>12</v>
      </c>
    </row>
    <row r="138">
      <c r="A138" s="1"/>
      <c r="B138" s="48" t="str">
        <f>IFERROR(__xludf.DUMMYFUNCTION("""COMPUTED_VALUE"""),"Derek Fu")</f>
        <v>Derek Fu</v>
      </c>
      <c r="C138" s="49">
        <f>IFERROR(__xludf.DUMMYFUNCTION("""COMPUTED_VALUE"""),150.0)</f>
        <v>150</v>
      </c>
      <c r="D138" s="50">
        <f>IFERROR(__xludf.DUMMYFUNCTION("""COMPUTED_VALUE"""),10.0)</f>
        <v>10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IFERROR(__xludf.DUMMYFUNCTION("""COMPUTED_VALUE"""),159.0)</f>
        <v>159</v>
      </c>
      <c r="N138" s="52">
        <f>IFERROR(__xludf.DUMMYFUNCTION("""COMPUTED_VALUE"""),10.0)</f>
        <v>10</v>
      </c>
    </row>
    <row r="139">
      <c r="A139" s="1"/>
      <c r="B139" s="48" t="str">
        <f>IFERROR(__xludf.DUMMYFUNCTION("""COMPUTED_VALUE"""),"Sean Chang")</f>
        <v>Sean Chang</v>
      </c>
      <c r="C139" s="49">
        <f>IFERROR(__xludf.DUMMYFUNCTION("""COMPUTED_VALUE"""),150.0)</f>
        <v>150</v>
      </c>
      <c r="D139" s="50">
        <f>IFERROR(__xludf.DUMMYFUNCTION("""COMPUTED_VALUE"""),9.0)</f>
        <v>9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IFERROR(__xludf.DUMMYFUNCTION("""COMPUTED_VALUE"""),159.0)</f>
        <v>159</v>
      </c>
      <c r="N139" s="52">
        <f>IFERROR(__xludf.DUMMYFUNCTION("""COMPUTED_VALUE"""),9.0)</f>
        <v>9</v>
      </c>
    </row>
    <row r="140">
      <c r="A140" s="1"/>
      <c r="B140" s="48" t="str">
        <f>IFERROR(__xludf.DUMMYFUNCTION("""COMPUTED_VALUE"""),"Paul Sanchez")</f>
        <v>Paul Sanchez</v>
      </c>
      <c r="C140" s="49">
        <f>IFERROR(__xludf.DUMMYFUNCTION("""COMPUTED_VALUE"""),144.0)</f>
        <v>144</v>
      </c>
      <c r="D140" s="50">
        <f>IFERROR(__xludf.DUMMYFUNCTION("""COMPUTED_VALUE"""),9.0)</f>
        <v>9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IFERROR(__xludf.DUMMYFUNCTION("""COMPUTED_VALUE"""),153.0)</f>
        <v>153</v>
      </c>
      <c r="N140" s="52">
        <f>IFERROR(__xludf.DUMMYFUNCTION("""COMPUTED_VALUE"""),9.0)</f>
        <v>9</v>
      </c>
    </row>
    <row r="141">
      <c r="A141" s="1"/>
      <c r="B141" s="48" t="str">
        <f>IFERROR(__xludf.DUMMYFUNCTION("""COMPUTED_VALUE"""),"Troy Wong")</f>
        <v>Troy Wong</v>
      </c>
      <c r="C141" s="49">
        <f>IFERROR(__xludf.DUMMYFUNCTION("""COMPUTED_VALUE"""),143.0)</f>
        <v>143</v>
      </c>
      <c r="D141" s="50">
        <f>IFERROR(__xludf.DUMMYFUNCTION("""COMPUTED_VALUE"""),8.0)</f>
        <v>8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IFERROR(__xludf.DUMMYFUNCTION("""COMPUTED_VALUE"""),152.0)</f>
        <v>152</v>
      </c>
      <c r="N141" s="52">
        <f>IFERROR(__xludf.DUMMYFUNCTION("""COMPUTED_VALUE"""),8.0)</f>
        <v>8</v>
      </c>
    </row>
    <row r="142">
      <c r="A142" s="1"/>
      <c r="B142" s="48" t="str">
        <f>IFERROR(__xludf.DUMMYFUNCTION("""COMPUTED_VALUE"""),"Sanjaye Elayattu")</f>
        <v>Sanjaye Elayattu</v>
      </c>
      <c r="C142" s="49">
        <f>IFERROR(__xludf.DUMMYFUNCTION("""COMPUTED_VALUE"""),143.0)</f>
        <v>143</v>
      </c>
      <c r="D142" s="50">
        <f>IFERROR(__xludf.DUMMYFUNCTION("""COMPUTED_VALUE"""),6.0)</f>
        <v>6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IFERROR(__xludf.DUMMYFUNCTION("""COMPUTED_VALUE"""),152.0)</f>
        <v>152</v>
      </c>
      <c r="N142" s="52">
        <f>IFERROR(__xludf.DUMMYFUNCTION("""COMPUTED_VALUE"""),6.0)</f>
        <v>6</v>
      </c>
    </row>
    <row r="143">
      <c r="A143" s="1"/>
      <c r="B143" s="48" t="str">
        <f>IFERROR(__xludf.DUMMYFUNCTION("""COMPUTED_VALUE"""),"James Cole III")</f>
        <v>James Cole III</v>
      </c>
      <c r="C143" s="49">
        <f>IFERROR(__xludf.DUMMYFUNCTION("""COMPUTED_VALUE"""),139.0)</f>
        <v>139</v>
      </c>
      <c r="D143" s="50">
        <f>IFERROR(__xludf.DUMMYFUNCTION("""COMPUTED_VALUE"""),8.0)</f>
        <v>8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IFERROR(__xludf.DUMMYFUNCTION("""COMPUTED_VALUE"""),148.0)</f>
        <v>148</v>
      </c>
      <c r="N143" s="52">
        <f>IFERROR(__xludf.DUMMYFUNCTION("""COMPUTED_VALUE"""),8.0)</f>
        <v>8</v>
      </c>
    </row>
    <row r="144">
      <c r="A144" s="1"/>
      <c r="B144" s="48" t="str">
        <f>IFERROR(__xludf.DUMMYFUNCTION("""COMPUTED_VALUE"""),"Vinot Kumar Nagappan")</f>
        <v>Vinot Kumar Nagappan</v>
      </c>
      <c r="C144" s="49">
        <f>IFERROR(__xludf.DUMMYFUNCTION("""COMPUTED_VALUE"""),137.0)</f>
        <v>137</v>
      </c>
      <c r="D144" s="50">
        <f>IFERROR(__xludf.DUMMYFUNCTION("""COMPUTED_VALUE"""),8.0)</f>
        <v>8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IFERROR(__xludf.DUMMYFUNCTION("""COMPUTED_VALUE"""),146.0)</f>
        <v>146</v>
      </c>
      <c r="N144" s="52">
        <f>IFERROR(__xludf.DUMMYFUNCTION("""COMPUTED_VALUE"""),8.0)</f>
        <v>8</v>
      </c>
    </row>
    <row r="145">
      <c r="A145" s="1"/>
      <c r="B145" s="48" t="str">
        <f>IFERROR(__xludf.DUMMYFUNCTION("""COMPUTED_VALUE"""),"Nohely Mejia")</f>
        <v>Nohely Mejia</v>
      </c>
      <c r="C145" s="49">
        <f>IFERROR(__xludf.DUMMYFUNCTION("""COMPUTED_VALUE"""),137.0)</f>
        <v>137</v>
      </c>
      <c r="D145" s="50">
        <f>IFERROR(__xludf.DUMMYFUNCTION("""COMPUTED_VALUE"""),7.0)</f>
        <v>7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IFERROR(__xludf.DUMMYFUNCTION("""COMPUTED_VALUE"""),146.0)</f>
        <v>146</v>
      </c>
      <c r="N145" s="52">
        <f>IFERROR(__xludf.DUMMYFUNCTION("""COMPUTED_VALUE"""),7.0)</f>
        <v>7</v>
      </c>
    </row>
    <row r="146">
      <c r="A146" s="1"/>
      <c r="B146" s="48" t="str">
        <f>IFERROR(__xludf.DUMMYFUNCTION("""COMPUTED_VALUE"""),"Manuel Rivera")</f>
        <v>Manuel Rivera</v>
      </c>
      <c r="C146" s="49">
        <f>IFERROR(__xludf.DUMMYFUNCTION("""COMPUTED_VALUE"""),135.0)</f>
        <v>135</v>
      </c>
      <c r="D146" s="50">
        <f>IFERROR(__xludf.DUMMYFUNCTION("""COMPUTED_VALUE"""),12.0)</f>
        <v>12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IFERROR(__xludf.DUMMYFUNCTION("""COMPUTED_VALUE"""),144.0)</f>
        <v>144</v>
      </c>
      <c r="N146" s="52">
        <f>IFERROR(__xludf.DUMMYFUNCTION("""COMPUTED_VALUE"""),12.0)</f>
        <v>12</v>
      </c>
    </row>
    <row r="147">
      <c r="A147" s="1"/>
      <c r="B147" s="48" t="str">
        <f>IFERROR(__xludf.DUMMYFUNCTION("""COMPUTED_VALUE"""),"Balaji Alahari")</f>
        <v>Balaji Alahari</v>
      </c>
      <c r="C147" s="49">
        <f>IFERROR(__xludf.DUMMYFUNCTION("""COMPUTED_VALUE"""),132.0)</f>
        <v>132</v>
      </c>
      <c r="D147" s="50">
        <f>IFERROR(__xludf.DUMMYFUNCTION("""COMPUTED_VALUE"""),3.0)</f>
        <v>3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IFERROR(__xludf.DUMMYFUNCTION("""COMPUTED_VALUE"""),141.0)</f>
        <v>141</v>
      </c>
      <c r="N147" s="52">
        <f>IFERROR(__xludf.DUMMYFUNCTION("""COMPUTED_VALUE"""),3.0)</f>
        <v>3</v>
      </c>
    </row>
    <row r="148">
      <c r="A148" s="1"/>
      <c r="B148" s="48" t="str">
        <f>IFERROR(__xludf.DUMMYFUNCTION("""COMPUTED_VALUE"""),"Pan Lee")</f>
        <v>Pan Lee</v>
      </c>
      <c r="C148" s="49">
        <f>IFERROR(__xludf.DUMMYFUNCTION("""COMPUTED_VALUE"""),131.0)</f>
        <v>131</v>
      </c>
      <c r="D148" s="50">
        <f>IFERROR(__xludf.DUMMYFUNCTION("""COMPUTED_VALUE"""),5.0)</f>
        <v>5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IFERROR(__xludf.DUMMYFUNCTION("""COMPUTED_VALUE"""),140.0)</f>
        <v>140</v>
      </c>
      <c r="N148" s="52">
        <f>IFERROR(__xludf.DUMMYFUNCTION("""COMPUTED_VALUE"""),5.0)</f>
        <v>5</v>
      </c>
    </row>
    <row r="149">
      <c r="A149" s="1"/>
      <c r="B149" s="48" t="str">
        <f>IFERROR(__xludf.DUMMYFUNCTION("""COMPUTED_VALUE"""),"Lauren Chang")</f>
        <v>Lauren Chang</v>
      </c>
      <c r="C149" s="49">
        <f>IFERROR(__xludf.DUMMYFUNCTION("""COMPUTED_VALUE"""),128.0)</f>
        <v>128</v>
      </c>
      <c r="D149" s="50">
        <f>IFERROR(__xludf.DUMMYFUNCTION("""COMPUTED_VALUE"""),3.0)</f>
        <v>3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IFERROR(__xludf.DUMMYFUNCTION("""COMPUTED_VALUE"""),137.0)</f>
        <v>137</v>
      </c>
      <c r="N149" s="52">
        <f>IFERROR(__xludf.DUMMYFUNCTION("""COMPUTED_VALUE"""),3.0)</f>
        <v>3</v>
      </c>
    </row>
    <row r="150">
      <c r="A150" s="1"/>
      <c r="B150" s="48" t="str">
        <f>IFERROR(__xludf.DUMMYFUNCTION("""COMPUTED_VALUE"""),"Piyorasa Li")</f>
        <v>Piyorasa Li</v>
      </c>
      <c r="C150" s="49">
        <f>IFERROR(__xludf.DUMMYFUNCTION("""COMPUTED_VALUE"""),126.0)</f>
        <v>126</v>
      </c>
      <c r="D150" s="50">
        <f>IFERROR(__xludf.DUMMYFUNCTION("""COMPUTED_VALUE"""),3.0)</f>
        <v>3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IFERROR(__xludf.DUMMYFUNCTION("""COMPUTED_VALUE"""),135.0)</f>
        <v>135</v>
      </c>
      <c r="N150" s="52">
        <f>IFERROR(__xludf.DUMMYFUNCTION("""COMPUTED_VALUE"""),3.0)</f>
        <v>3</v>
      </c>
    </row>
    <row r="151">
      <c r="A151" s="1"/>
      <c r="B151" s="48" t="str">
        <f>IFERROR(__xludf.DUMMYFUNCTION("""COMPUTED_VALUE"""),"Jason Kim ")</f>
        <v>Jason Kim </v>
      </c>
      <c r="C151" s="49">
        <f>IFERROR(__xludf.DUMMYFUNCTION("""COMPUTED_VALUE"""),126.0)</f>
        <v>126</v>
      </c>
      <c r="D151" s="50">
        <f>IFERROR(__xludf.DUMMYFUNCTION("""COMPUTED_VALUE"""),3.0)</f>
        <v>3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IFERROR(__xludf.DUMMYFUNCTION("""COMPUTED_VALUE"""),135.0)</f>
        <v>135</v>
      </c>
      <c r="N151" s="52">
        <f>IFERROR(__xludf.DUMMYFUNCTION("""COMPUTED_VALUE"""),3.0)</f>
        <v>3</v>
      </c>
    </row>
    <row r="152">
      <c r="A152" s="1"/>
      <c r="B152" s="48" t="str">
        <f>IFERROR(__xludf.DUMMYFUNCTION("""COMPUTED_VALUE"""),"Suleman Alidina")</f>
        <v>Suleman Alidina</v>
      </c>
      <c r="C152" s="49">
        <f>IFERROR(__xludf.DUMMYFUNCTION("""COMPUTED_VALUE"""),121.0)</f>
        <v>121</v>
      </c>
      <c r="D152" s="50">
        <f>IFERROR(__xludf.DUMMYFUNCTION("""COMPUTED_VALUE"""),2.0)</f>
        <v>2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IFERROR(__xludf.DUMMYFUNCTION("""COMPUTED_VALUE"""),130.0)</f>
        <v>130</v>
      </c>
      <c r="N152" s="52">
        <f>IFERROR(__xludf.DUMMYFUNCTION("""COMPUTED_VALUE"""),2.0)</f>
        <v>2</v>
      </c>
    </row>
    <row r="153">
      <c r="A153" s="1"/>
      <c r="B153" s="48" t="str">
        <f>IFERROR(__xludf.DUMMYFUNCTION("""COMPUTED_VALUE"""),"Amit Patel")</f>
        <v>Amit Patel</v>
      </c>
      <c r="C153" s="49">
        <f>IFERROR(__xludf.DUMMYFUNCTION("""COMPUTED_VALUE"""),121.0)</f>
        <v>121</v>
      </c>
      <c r="D153" s="50">
        <f>IFERROR(__xludf.DUMMYFUNCTION("""COMPUTED_VALUE"""),2.0)</f>
        <v>2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IFERROR(__xludf.DUMMYFUNCTION("""COMPUTED_VALUE"""),130.0)</f>
        <v>130</v>
      </c>
      <c r="N153" s="52">
        <f>IFERROR(__xludf.DUMMYFUNCTION("""COMPUTED_VALUE"""),2.0)</f>
        <v>2</v>
      </c>
    </row>
    <row r="154">
      <c r="A154" s="1"/>
      <c r="B154" s="48" t="str">
        <f>IFERROR(__xludf.DUMMYFUNCTION("""COMPUTED_VALUE"""),"Coco Yan")</f>
        <v>Coco Yan</v>
      </c>
      <c r="C154" s="49">
        <f>IFERROR(__xludf.DUMMYFUNCTION("""COMPUTED_VALUE"""),121.0)</f>
        <v>121</v>
      </c>
      <c r="D154" s="50">
        <f>IFERROR(__xludf.DUMMYFUNCTION("""COMPUTED_VALUE"""),2.0)</f>
        <v>2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IFERROR(__xludf.DUMMYFUNCTION("""COMPUTED_VALUE"""),130.0)</f>
        <v>130</v>
      </c>
      <c r="N154" s="52">
        <f>IFERROR(__xludf.DUMMYFUNCTION("""COMPUTED_VALUE"""),2.0)</f>
        <v>2</v>
      </c>
    </row>
    <row r="155">
      <c r="A155" s="1"/>
      <c r="B155" s="48" t="str">
        <f>IFERROR(__xludf.DUMMYFUNCTION("""COMPUTED_VALUE"""),"Vilas Janardhanan")</f>
        <v>Vilas Janardhanan</v>
      </c>
      <c r="C155" s="49">
        <f>IFERROR(__xludf.DUMMYFUNCTION("""COMPUTED_VALUE"""),119.0)</f>
        <v>119</v>
      </c>
      <c r="D155" s="50">
        <f>IFERROR(__xludf.DUMMYFUNCTION("""COMPUTED_VALUE"""),5.0)</f>
        <v>5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IFERROR(__xludf.DUMMYFUNCTION("""COMPUTED_VALUE"""),128.0)</f>
        <v>128</v>
      </c>
      <c r="N155" s="52">
        <f>IFERROR(__xludf.DUMMYFUNCTION("""COMPUTED_VALUE"""),5.0)</f>
        <v>5</v>
      </c>
    </row>
    <row r="156">
      <c r="A156" s="1"/>
      <c r="B156" s="48" t="str">
        <f>IFERROR(__xludf.DUMMYFUNCTION("""COMPUTED_VALUE"""),"Kevin Wang")</f>
        <v>Kevin Wang</v>
      </c>
      <c r="C156" s="49">
        <f>IFERROR(__xludf.DUMMYFUNCTION("""COMPUTED_VALUE"""),118.0)</f>
        <v>118</v>
      </c>
      <c r="D156" s="50">
        <f>IFERROR(__xludf.DUMMYFUNCTION("""COMPUTED_VALUE"""),7.0)</f>
        <v>7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IFERROR(__xludf.DUMMYFUNCTION("""COMPUTED_VALUE"""),127.0)</f>
        <v>127</v>
      </c>
      <c r="N156" s="52">
        <f>IFERROR(__xludf.DUMMYFUNCTION("""COMPUTED_VALUE"""),7.0)</f>
        <v>7</v>
      </c>
    </row>
    <row r="157">
      <c r="A157" s="1"/>
      <c r="B157" s="48" t="str">
        <f>IFERROR(__xludf.DUMMYFUNCTION("""COMPUTED_VALUE"""),"Savay Lieu")</f>
        <v>Savay Lieu</v>
      </c>
      <c r="C157" s="49">
        <f>IFERROR(__xludf.DUMMYFUNCTION("""COMPUTED_VALUE"""),117.0)</f>
        <v>117</v>
      </c>
      <c r="D157" s="50">
        <f>IFERROR(__xludf.DUMMYFUNCTION("""COMPUTED_VALUE"""),0.0)</f>
        <v>0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IFERROR(__xludf.DUMMYFUNCTION("""COMPUTED_VALUE"""),126.0)</f>
        <v>126</v>
      </c>
      <c r="N157" s="52">
        <f>IFERROR(__xludf.DUMMYFUNCTION("""COMPUTED_VALUE"""),0.0)</f>
        <v>0</v>
      </c>
    </row>
    <row r="158">
      <c r="A158" s="1"/>
      <c r="B158" s="48" t="str">
        <f>IFERROR(__xludf.DUMMYFUNCTION("""COMPUTED_VALUE"""),"Mihir Anand")</f>
        <v>Mihir Anand</v>
      </c>
      <c r="C158" s="49">
        <f>IFERROR(__xludf.DUMMYFUNCTION("""COMPUTED_VALUE"""),117.0)</f>
        <v>117</v>
      </c>
      <c r="D158" s="50">
        <f>IFERROR(__xludf.DUMMYFUNCTION("""COMPUTED_VALUE"""),0.0)</f>
        <v>0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IFERROR(__xludf.DUMMYFUNCTION("""COMPUTED_VALUE"""),126.0)</f>
        <v>126</v>
      </c>
      <c r="N158" s="52">
        <f>IFERROR(__xludf.DUMMYFUNCTION("""COMPUTED_VALUE"""),0.0)</f>
        <v>0</v>
      </c>
    </row>
    <row r="159">
      <c r="A159" s="1"/>
      <c r="B159" s="48" t="str">
        <f>IFERROR(__xludf.DUMMYFUNCTION("""COMPUTED_VALUE"""),"Manish Anand")</f>
        <v>Manish Anand</v>
      </c>
      <c r="C159" s="49">
        <f>IFERROR(__xludf.DUMMYFUNCTION("""COMPUTED_VALUE"""),117.0)</f>
        <v>117</v>
      </c>
      <c r="D159" s="50">
        <f>IFERROR(__xludf.DUMMYFUNCTION("""COMPUTED_VALUE"""),0.0)</f>
        <v>0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IFERROR(__xludf.DUMMYFUNCTION("""COMPUTED_VALUE"""),126.0)</f>
        <v>126</v>
      </c>
      <c r="N159" s="52">
        <f>IFERROR(__xludf.DUMMYFUNCTION("""COMPUTED_VALUE"""),0.0)</f>
        <v>0</v>
      </c>
    </row>
    <row r="160">
      <c r="A160" s="1"/>
      <c r="B160" s="48" t="str">
        <f>IFERROR(__xludf.DUMMYFUNCTION("""COMPUTED_VALUE"""),"Fendi Purwadi")</f>
        <v>Fendi Purwadi</v>
      </c>
      <c r="C160" s="49">
        <f>IFERROR(__xludf.DUMMYFUNCTION("""COMPUTED_VALUE"""),117.0)</f>
        <v>117</v>
      </c>
      <c r="D160" s="50">
        <f>IFERROR(__xludf.DUMMYFUNCTION("""COMPUTED_VALUE"""),0.0)</f>
        <v>0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IFERROR(__xludf.DUMMYFUNCTION("""COMPUTED_VALUE"""),126.0)</f>
        <v>126</v>
      </c>
      <c r="N160" s="52">
        <f>IFERROR(__xludf.DUMMYFUNCTION("""COMPUTED_VALUE"""),0.0)</f>
        <v>0</v>
      </c>
    </row>
    <row r="161">
      <c r="A161" s="1"/>
      <c r="B161" s="48" t="str">
        <f>IFERROR(__xludf.DUMMYFUNCTION("""COMPUTED_VALUE"""),"Jose Ortiz")</f>
        <v>Jose Ortiz</v>
      </c>
      <c r="C161" s="49">
        <f>IFERROR(__xludf.DUMMYFUNCTION("""COMPUTED_VALUE"""),114.0)</f>
        <v>114</v>
      </c>
      <c r="D161" s="50">
        <f>IFERROR(__xludf.DUMMYFUNCTION("""COMPUTED_VALUE"""),5.0)</f>
        <v>5</v>
      </c>
      <c r="E161" s="49">
        <f>IFERROR(__xludf.DUMMYFUNCTION("""COMPUTED_VALUE"""),3.0)</f>
        <v>3</v>
      </c>
      <c r="F161" s="51">
        <f>IFERROR(__xludf.DUMMYFUNCTION("""COMPUTED_VALUE"""),0.0)</f>
        <v>0</v>
      </c>
      <c r="G161" s="51">
        <f>IFERROR(__xludf.DUMMYFUNCTION("""COMPUTED_VALUE"""),9.0)</f>
        <v>9</v>
      </c>
      <c r="H161" s="51">
        <f>IFERROR(__xludf.DUMMYFUNCTION("""COMPUTED_VALUE"""),0.0)</f>
        <v>0</v>
      </c>
      <c r="I161" s="51">
        <f>IFERROR(__xludf.DUMMYFUNCTION("""COMPUTED_VALUE"""),0.0)</f>
        <v>0</v>
      </c>
      <c r="J161" s="51">
        <f>IFERROR(__xludf.DUMMYFUNCTION("""COMPUTED_VALUE"""),0.0)</f>
        <v>0</v>
      </c>
      <c r="K161" s="51">
        <f>IFERROR(__xludf.DUMMYFUNCTION("""COMPUTED_VALUE"""),9.0)</f>
        <v>9</v>
      </c>
      <c r="L161" s="51">
        <f>IFERROR(__xludf.DUMMYFUNCTION("""COMPUTED_VALUE"""),0.0)</f>
        <v>0</v>
      </c>
      <c r="M161" s="51">
        <f>IFERROR(__xludf.DUMMYFUNCTION("""COMPUTED_VALUE"""),123.0)</f>
        <v>123</v>
      </c>
      <c r="N161" s="52">
        <f>IFERROR(__xludf.DUMMYFUNCTION("""COMPUTED_VALUE"""),5.0)</f>
        <v>5</v>
      </c>
    </row>
    <row r="162">
      <c r="A162" s="1"/>
      <c r="B162" s="48"/>
      <c r="C162" s="49"/>
      <c r="D162" s="50"/>
      <c r="E162" s="49"/>
      <c r="F162" s="51"/>
      <c r="G162" s="51"/>
      <c r="H162" s="51"/>
      <c r="I162" s="51"/>
      <c r="J162" s="51"/>
      <c r="K162" s="51"/>
      <c r="L162" s="51"/>
      <c r="M162" s="51"/>
      <c r="N162" s="52"/>
    </row>
    <row r="163">
      <c r="A163" s="1"/>
      <c r="B163" s="48"/>
      <c r="C163" s="49"/>
      <c r="D163" s="50"/>
      <c r="E163" s="49"/>
      <c r="F163" s="51"/>
      <c r="G163" s="51"/>
      <c r="H163" s="51"/>
      <c r="I163" s="51"/>
      <c r="J163" s="51"/>
      <c r="K163" s="51"/>
      <c r="L163" s="51"/>
      <c r="M163" s="51"/>
      <c r="N163" s="52"/>
    </row>
    <row r="164">
      <c r="A164" s="1"/>
      <c r="B164" s="48"/>
      <c r="C164" s="49"/>
      <c r="D164" s="50"/>
      <c r="E164" s="49"/>
      <c r="F164" s="51"/>
      <c r="G164" s="51"/>
      <c r="H164" s="51"/>
      <c r="I164" s="51"/>
      <c r="J164" s="51"/>
      <c r="K164" s="51"/>
      <c r="L164" s="51"/>
      <c r="M164" s="51"/>
      <c r="N164" s="52"/>
    </row>
    <row r="165">
      <c r="A165" s="1"/>
      <c r="B165" s="48"/>
      <c r="C165" s="49"/>
      <c r="D165" s="50"/>
      <c r="E165" s="49"/>
      <c r="F165" s="51"/>
      <c r="G165" s="51"/>
      <c r="H165" s="51"/>
      <c r="I165" s="51"/>
      <c r="J165" s="51"/>
      <c r="K165" s="51"/>
      <c r="L165" s="51"/>
      <c r="M165" s="51"/>
      <c r="N165" s="52"/>
    </row>
    <row r="166">
      <c r="A166" s="1"/>
      <c r="B166" s="48"/>
      <c r="C166" s="49"/>
      <c r="D166" s="50"/>
      <c r="E166" s="49"/>
      <c r="F166" s="51"/>
      <c r="G166" s="51"/>
      <c r="H166" s="51"/>
      <c r="I166" s="51"/>
      <c r="J166" s="51"/>
      <c r="K166" s="51"/>
      <c r="L166" s="51"/>
      <c r="M166" s="51"/>
      <c r="N166" s="52"/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4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4 B72:D82">
    <cfRule type="expression" dxfId="0" priority="3">
      <formula>E5=1</formula>
    </cfRule>
  </conditionalFormatting>
  <conditionalFormatting sqref="B5:B64 B72:D82">
    <cfRule type="expression" dxfId="2" priority="4">
      <formula>E5=2</formula>
    </cfRule>
  </conditionalFormatting>
  <conditionalFormatting sqref="B5:B64 B72:D82">
    <cfRule type="expression" dxfId="3" priority="5">
      <formula>E5=3</formula>
    </cfRule>
  </conditionalFormatting>
  <conditionalFormatting sqref="B5:B64 B72:D82">
    <cfRule type="expression" dxfId="4" priority="6">
      <formula>E5=4</formula>
    </cfRule>
  </conditionalFormatting>
  <conditionalFormatting sqref="L74">
    <cfRule type="containsText" dxfId="0" priority="7" operator="containsText" text="Good">
      <formula>NOT(ISERROR(SEARCH(("Good"),(L74))))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45199.0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13.0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49</v>
      </c>
      <c r="C5" s="27">
        <v>165.0</v>
      </c>
      <c r="D5" s="28">
        <v>16.0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174</v>
      </c>
      <c r="N5" s="28">
        <f t="shared" si="1"/>
        <v>16</v>
      </c>
      <c r="O5" s="33" t="s">
        <v>37</v>
      </c>
      <c r="P5" s="33" t="s">
        <v>37</v>
      </c>
      <c r="Q5" s="31">
        <f>if(G5=13,1,0)+VLOOKUP(B5,'92323'!B$5:Q$61,16,false)</f>
        <v>1</v>
      </c>
      <c r="R5" s="31"/>
      <c r="S5" s="31">
        <f>if(G5=9,1,0)+VLOOKUP(B5,'92323'!B:S,18,false)</f>
        <v>1</v>
      </c>
    </row>
    <row r="6">
      <c r="A6" s="25">
        <f t="shared" ref="A6:A63" si="3">A5+1</f>
        <v>2</v>
      </c>
      <c r="B6" s="26" t="s">
        <v>42</v>
      </c>
      <c r="C6" s="27">
        <v>164.0</v>
      </c>
      <c r="D6" s="28">
        <v>16.0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173</v>
      </c>
      <c r="N6" s="28">
        <f t="shared" si="2"/>
        <v>16</v>
      </c>
      <c r="O6" s="33" t="s">
        <v>37</v>
      </c>
      <c r="P6" s="33" t="s">
        <v>37</v>
      </c>
      <c r="Q6" s="31">
        <f>if(G6=13,1,0)+VLOOKUP(B6,'92323'!B$5:Q$61,16,false)</f>
        <v>0</v>
      </c>
      <c r="R6" s="31"/>
      <c r="S6" s="31">
        <f>if(G6=9,1,0)+VLOOKUP(B6,'92323'!B:S,18,false)</f>
        <v>5</v>
      </c>
    </row>
    <row r="7">
      <c r="A7" s="25">
        <f t="shared" si="3"/>
        <v>3</v>
      </c>
      <c r="B7" s="26" t="s">
        <v>48</v>
      </c>
      <c r="C7" s="27">
        <v>163.0</v>
      </c>
      <c r="D7" s="28">
        <v>17.0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172</v>
      </c>
      <c r="N7" s="28">
        <f t="shared" si="4"/>
        <v>17</v>
      </c>
      <c r="O7" s="33" t="s">
        <v>37</v>
      </c>
      <c r="P7" s="33" t="s">
        <v>37</v>
      </c>
      <c r="Q7" s="31">
        <f>if(G7=13,1,0)+VLOOKUP(B7,'92323'!B$5:Q$61,16,false)</f>
        <v>0</v>
      </c>
      <c r="R7" s="31"/>
      <c r="S7" s="31">
        <f>if(G7=9,1,0)+VLOOKUP(B7,'92323'!B:S,18,false)</f>
        <v>4</v>
      </c>
    </row>
    <row r="8">
      <c r="A8" s="25">
        <f t="shared" si="3"/>
        <v>4</v>
      </c>
      <c r="B8" s="26" t="s">
        <v>72</v>
      </c>
      <c r="C8" s="27">
        <v>161.0</v>
      </c>
      <c r="D8" s="28">
        <v>16.0</v>
      </c>
      <c r="E8" s="30">
        <v>3.0</v>
      </c>
      <c r="F8" s="31">
        <v>0.0</v>
      </c>
      <c r="G8" s="27">
        <v>9.0</v>
      </c>
      <c r="H8" s="31">
        <v>0.0</v>
      </c>
      <c r="I8" s="31">
        <v>0.0</v>
      </c>
      <c r="J8" s="31">
        <v>0.0</v>
      </c>
      <c r="K8" s="32">
        <v>9.0</v>
      </c>
      <c r="L8" s="31">
        <v>0.0</v>
      </c>
      <c r="M8" s="27">
        <f t="shared" ref="M8:N8" si="5">C8+K8</f>
        <v>170</v>
      </c>
      <c r="N8" s="28">
        <f t="shared" si="5"/>
        <v>16</v>
      </c>
      <c r="O8" s="33" t="s">
        <v>37</v>
      </c>
      <c r="P8" s="33" t="s">
        <v>37</v>
      </c>
      <c r="Q8" s="31">
        <f>if(G8=13,1,0)+VLOOKUP(B8,'92323'!B$5:Q$61,16,false)</f>
        <v>1</v>
      </c>
      <c r="R8" s="31"/>
      <c r="S8" s="31">
        <f>if(G8=9,1,0)+VLOOKUP(B8,'92323'!B:S,18,false)</f>
        <v>5</v>
      </c>
    </row>
    <row r="9">
      <c r="A9" s="25">
        <f t="shared" si="3"/>
        <v>5</v>
      </c>
      <c r="B9" s="36" t="s">
        <v>67</v>
      </c>
      <c r="C9" s="27">
        <v>161.0</v>
      </c>
      <c r="D9" s="28">
        <v>16.0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170</v>
      </c>
      <c r="N9" s="28">
        <f t="shared" si="6"/>
        <v>16</v>
      </c>
      <c r="O9" s="33" t="s">
        <v>37</v>
      </c>
      <c r="P9" s="33" t="s">
        <v>37</v>
      </c>
      <c r="Q9" s="31">
        <f>if(G9=13,1,0)+VLOOKUP(B9,'92323'!B$5:Q$61,16,false)</f>
        <v>0</v>
      </c>
      <c r="R9" s="31"/>
      <c r="S9" s="31">
        <f>if(G9=9,1,0)+VLOOKUP(B9,'92323'!B:S,18,false)</f>
        <v>4</v>
      </c>
    </row>
    <row r="10">
      <c r="A10" s="25">
        <f t="shared" si="3"/>
        <v>6</v>
      </c>
      <c r="B10" s="26" t="s">
        <v>60</v>
      </c>
      <c r="C10" s="27">
        <v>159.0</v>
      </c>
      <c r="D10" s="28">
        <v>16.0</v>
      </c>
      <c r="E10" s="30">
        <v>1.0</v>
      </c>
      <c r="F10" s="31">
        <v>1.0</v>
      </c>
      <c r="G10" s="27">
        <v>0.0</v>
      </c>
      <c r="H10" s="31">
        <v>1.0</v>
      </c>
      <c r="I10" s="31">
        <v>1.0</v>
      </c>
      <c r="J10" s="31">
        <v>6.0</v>
      </c>
      <c r="K10" s="32">
        <v>8.0</v>
      </c>
      <c r="L10" s="31">
        <v>0.0</v>
      </c>
      <c r="M10" s="27">
        <f t="shared" ref="M10:N10" si="7">C10+K10</f>
        <v>167</v>
      </c>
      <c r="N10" s="28">
        <f t="shared" si="7"/>
        <v>16</v>
      </c>
      <c r="O10" s="33" t="s">
        <v>37</v>
      </c>
      <c r="P10" s="33" t="s">
        <v>37</v>
      </c>
      <c r="Q10" s="31">
        <f>if(G10=13,1,0)+VLOOKUP(B10,'92323'!B$5:Q$61,16,false)</f>
        <v>0</v>
      </c>
      <c r="R10" s="31"/>
      <c r="S10" s="31">
        <f>if(G10=9,1,0)+VLOOKUP(B10,'92323'!B:S,18,false)</f>
        <v>3</v>
      </c>
    </row>
    <row r="11">
      <c r="A11" s="25">
        <f t="shared" si="3"/>
        <v>7</v>
      </c>
      <c r="B11" s="26" t="s">
        <v>34</v>
      </c>
      <c r="C11" s="27">
        <v>156.0</v>
      </c>
      <c r="D11" s="28">
        <v>14.0</v>
      </c>
      <c r="E11" s="30">
        <v>1.0</v>
      </c>
      <c r="F11" s="31">
        <v>1.0</v>
      </c>
      <c r="G11" s="27">
        <v>0.0</v>
      </c>
      <c r="H11" s="31">
        <v>1.0</v>
      </c>
      <c r="I11" s="31">
        <v>6.0</v>
      </c>
      <c r="J11" s="31">
        <v>7.0</v>
      </c>
      <c r="K11" s="32">
        <v>14.0</v>
      </c>
      <c r="L11" s="31">
        <v>2.0</v>
      </c>
      <c r="M11" s="27">
        <f t="shared" ref="M11:N11" si="8">C11+K11</f>
        <v>170</v>
      </c>
      <c r="N11" s="28">
        <f t="shared" si="8"/>
        <v>16</v>
      </c>
      <c r="O11" s="33" t="s">
        <v>37</v>
      </c>
      <c r="P11" s="33" t="s">
        <v>37</v>
      </c>
      <c r="Q11" s="31">
        <f>if(G11=13,1,0)+VLOOKUP(B11,'92323'!B$5:Q$61,16,false)</f>
        <v>1</v>
      </c>
      <c r="R11" s="31"/>
      <c r="S11" s="31">
        <f>if(G11=9,1,0)+VLOOKUP(B11,'92323'!B:S,18,false)</f>
        <v>5</v>
      </c>
    </row>
    <row r="12">
      <c r="A12" s="25">
        <f t="shared" si="3"/>
        <v>8</v>
      </c>
      <c r="B12" s="26" t="s">
        <v>54</v>
      </c>
      <c r="C12" s="27">
        <v>154.0</v>
      </c>
      <c r="D12" s="28">
        <v>14.0</v>
      </c>
      <c r="E12" s="30">
        <v>2.0</v>
      </c>
      <c r="F12" s="31">
        <v>1.0</v>
      </c>
      <c r="G12" s="27">
        <v>0.0</v>
      </c>
      <c r="H12" s="31">
        <v>6.0</v>
      </c>
      <c r="I12" s="31">
        <v>6.0</v>
      </c>
      <c r="J12" s="31">
        <v>6.0</v>
      </c>
      <c r="K12" s="32">
        <v>18.0</v>
      </c>
      <c r="L12" s="31">
        <v>2.0</v>
      </c>
      <c r="M12" s="27">
        <f t="shared" ref="M12:N12" si="9">C12+K12</f>
        <v>172</v>
      </c>
      <c r="N12" s="28">
        <f t="shared" si="9"/>
        <v>16</v>
      </c>
      <c r="O12" s="33" t="s">
        <v>37</v>
      </c>
      <c r="P12" s="33" t="s">
        <v>37</v>
      </c>
      <c r="Q12" s="31">
        <f>if(G12=13,1,0)+VLOOKUP(B12,'92323'!B$5:Q$61,16,false)</f>
        <v>0</v>
      </c>
      <c r="R12" s="31"/>
      <c r="S12" s="31">
        <f>if(G12=9,1,0)+VLOOKUP(B12,'92323'!B:S,18,false)</f>
        <v>4</v>
      </c>
    </row>
    <row r="13">
      <c r="A13" s="25">
        <f t="shared" si="3"/>
        <v>9</v>
      </c>
      <c r="B13" s="26" t="s">
        <v>52</v>
      </c>
      <c r="C13" s="27">
        <v>154.0</v>
      </c>
      <c r="D13" s="28">
        <v>14.0</v>
      </c>
      <c r="E13" s="30">
        <v>1.0</v>
      </c>
      <c r="F13" s="31">
        <v>1.0</v>
      </c>
      <c r="G13" s="27">
        <v>0.0</v>
      </c>
      <c r="H13" s="31">
        <v>6.0</v>
      </c>
      <c r="I13" s="31">
        <v>1.0</v>
      </c>
      <c r="J13" s="31">
        <v>7.0</v>
      </c>
      <c r="K13" s="32">
        <v>14.0</v>
      </c>
      <c r="L13" s="31">
        <v>2.0</v>
      </c>
      <c r="M13" s="27">
        <f t="shared" ref="M13:N13" si="10">C13+K13</f>
        <v>168</v>
      </c>
      <c r="N13" s="28">
        <f t="shared" si="10"/>
        <v>16</v>
      </c>
      <c r="O13" s="33" t="s">
        <v>37</v>
      </c>
      <c r="P13" s="33" t="s">
        <v>37</v>
      </c>
      <c r="Q13" s="31">
        <f>if(G13=13,1,0)+VLOOKUP(B13,'92323'!B$5:Q$61,16,false)</f>
        <v>0</v>
      </c>
      <c r="R13" s="31"/>
      <c r="S13" s="31">
        <f>if(G13=9,1,0)+VLOOKUP(B13,'92323'!B:S,18,false)</f>
        <v>1</v>
      </c>
    </row>
    <row r="14">
      <c r="A14" s="25">
        <f t="shared" si="3"/>
        <v>10</v>
      </c>
      <c r="B14" s="26" t="s">
        <v>53</v>
      </c>
      <c r="C14" s="27">
        <v>154.0</v>
      </c>
      <c r="D14" s="28">
        <v>12.0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163</v>
      </c>
      <c r="N14" s="28">
        <f t="shared" si="11"/>
        <v>12</v>
      </c>
      <c r="O14" s="33" t="s">
        <v>37</v>
      </c>
      <c r="P14" s="33" t="s">
        <v>37</v>
      </c>
      <c r="Q14" s="31">
        <f>if(G14=13,1,0)+VLOOKUP(B14,'92323'!B$5:Q$61,16,false)</f>
        <v>0</v>
      </c>
      <c r="R14" s="31"/>
      <c r="S14" s="31">
        <f>if(G14=9,1,0)+VLOOKUP(B14,'92323'!B:S,18,false)</f>
        <v>5</v>
      </c>
    </row>
    <row r="15">
      <c r="A15" s="25">
        <f t="shared" si="3"/>
        <v>11</v>
      </c>
      <c r="B15" s="26" t="s">
        <v>57</v>
      </c>
      <c r="C15" s="27">
        <v>150.0</v>
      </c>
      <c r="D15" s="28">
        <v>15.0</v>
      </c>
      <c r="E15" s="30">
        <v>1.0</v>
      </c>
      <c r="F15" s="31">
        <v>2.0</v>
      </c>
      <c r="G15" s="27">
        <v>0.0</v>
      </c>
      <c r="H15" s="31">
        <v>7.0</v>
      </c>
      <c r="I15" s="31">
        <v>1.0</v>
      </c>
      <c r="J15" s="31">
        <v>7.0</v>
      </c>
      <c r="K15" s="32">
        <v>15.0</v>
      </c>
      <c r="L15" s="31">
        <v>2.0</v>
      </c>
      <c r="M15" s="27">
        <f t="shared" ref="M15:N15" si="12">C15+K15</f>
        <v>165</v>
      </c>
      <c r="N15" s="28">
        <f t="shared" si="12"/>
        <v>17</v>
      </c>
      <c r="O15" s="33" t="s">
        <v>37</v>
      </c>
      <c r="P15" s="33" t="s">
        <v>37</v>
      </c>
      <c r="Q15" s="31">
        <f>if(G15=13,1,0)+VLOOKUP(B15,'92323'!B$5:Q$61,16,false)</f>
        <v>0</v>
      </c>
      <c r="R15" s="31"/>
      <c r="S15" s="31">
        <f>if(G15=9,1,0)+VLOOKUP(B15,'92323'!B:S,18,false)</f>
        <v>4</v>
      </c>
    </row>
    <row r="16">
      <c r="A16" s="25">
        <f t="shared" si="3"/>
        <v>12</v>
      </c>
      <c r="B16" s="26" t="s">
        <v>70</v>
      </c>
      <c r="C16" s="27">
        <v>146.0</v>
      </c>
      <c r="D16" s="28">
        <v>15.0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155</v>
      </c>
      <c r="N16" s="28">
        <f t="shared" si="13"/>
        <v>15</v>
      </c>
      <c r="O16" s="33" t="s">
        <v>37</v>
      </c>
      <c r="P16" s="33" t="s">
        <v>37</v>
      </c>
      <c r="Q16" s="31">
        <f>if(G16=13,1,0)+VLOOKUP(B16,'92323'!B$5:Q$61,16,false)</f>
        <v>0</v>
      </c>
      <c r="R16" s="31"/>
      <c r="S16" s="31">
        <f>if(G16=9,1,0)+VLOOKUP(B16,'92323'!B:S,18,false)</f>
        <v>4</v>
      </c>
    </row>
    <row r="17">
      <c r="A17" s="25">
        <f t="shared" si="3"/>
        <v>13</v>
      </c>
      <c r="B17" s="36" t="s">
        <v>56</v>
      </c>
      <c r="C17" s="27">
        <v>145.0</v>
      </c>
      <c r="D17" s="28">
        <v>15.0</v>
      </c>
      <c r="E17" s="30">
        <v>1.0</v>
      </c>
      <c r="F17" s="31">
        <v>2.0</v>
      </c>
      <c r="G17" s="27">
        <v>0.0</v>
      </c>
      <c r="H17" s="31">
        <v>5.0</v>
      </c>
      <c r="I17" s="31">
        <v>6.0</v>
      </c>
      <c r="J17" s="31">
        <v>7.0</v>
      </c>
      <c r="K17" s="32">
        <v>18.0</v>
      </c>
      <c r="L17" s="31">
        <v>2.0</v>
      </c>
      <c r="M17" s="27">
        <f t="shared" ref="M17:N17" si="14">C17+K17</f>
        <v>163</v>
      </c>
      <c r="N17" s="28">
        <f t="shared" si="14"/>
        <v>17</v>
      </c>
      <c r="O17" s="33" t="s">
        <v>37</v>
      </c>
      <c r="P17" s="33" t="s">
        <v>37</v>
      </c>
      <c r="Q17" s="31">
        <f>if(G17=13,1,0)+VLOOKUP(B17,'92323'!B$5:Q$61,16,false)</f>
        <v>0</v>
      </c>
      <c r="R17" s="31"/>
      <c r="S17" s="31">
        <f>if(G17=9,1,0)+VLOOKUP(B17,'92323'!B:S,18,false)</f>
        <v>2</v>
      </c>
    </row>
    <row r="18">
      <c r="A18" s="25">
        <f t="shared" si="3"/>
        <v>14</v>
      </c>
      <c r="B18" s="26" t="s">
        <v>55</v>
      </c>
      <c r="C18" s="27">
        <v>144.0</v>
      </c>
      <c r="D18" s="28">
        <v>13.0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153</v>
      </c>
      <c r="N18" s="28">
        <f t="shared" si="15"/>
        <v>13</v>
      </c>
      <c r="O18" s="33" t="s">
        <v>37</v>
      </c>
      <c r="P18" s="33" t="s">
        <v>37</v>
      </c>
      <c r="Q18" s="31">
        <f>if(G18=13,1,0)+VLOOKUP(B18,'92323'!B$5:Q$61,16,false)</f>
        <v>0</v>
      </c>
      <c r="R18" s="31"/>
      <c r="S18" s="31">
        <f>if(G18=9,1,0)+VLOOKUP(B18,'92323'!B:S,18,false)</f>
        <v>7</v>
      </c>
    </row>
    <row r="19">
      <c r="A19" s="25">
        <f t="shared" si="3"/>
        <v>15</v>
      </c>
      <c r="B19" s="26" t="s">
        <v>50</v>
      </c>
      <c r="C19" s="27">
        <v>144.0</v>
      </c>
      <c r="D19" s="28">
        <v>11.0</v>
      </c>
      <c r="E19" s="30">
        <v>1.0</v>
      </c>
      <c r="F19" s="31">
        <v>2.0</v>
      </c>
      <c r="G19" s="27">
        <v>0.0</v>
      </c>
      <c r="H19" s="31">
        <v>7.0</v>
      </c>
      <c r="I19" s="31">
        <v>6.0</v>
      </c>
      <c r="J19" s="31">
        <v>6.0</v>
      </c>
      <c r="K19" s="32">
        <v>19.0</v>
      </c>
      <c r="L19" s="31">
        <v>2.0</v>
      </c>
      <c r="M19" s="27">
        <f t="shared" ref="M19:N19" si="16">C19+K19</f>
        <v>163</v>
      </c>
      <c r="N19" s="28">
        <f t="shared" si="16"/>
        <v>13</v>
      </c>
      <c r="O19" s="33" t="s">
        <v>37</v>
      </c>
      <c r="P19" s="33" t="s">
        <v>37</v>
      </c>
      <c r="Q19" s="31">
        <f>if(G19=13,1,0)+VLOOKUP(B19,'92323'!B$5:Q$61,16,false)</f>
        <v>0</v>
      </c>
      <c r="R19" s="31"/>
      <c r="S19" s="31">
        <f>if(G19=9,1,0)+VLOOKUP(B19,'92323'!B:S,18,false)</f>
        <v>6</v>
      </c>
    </row>
    <row r="20">
      <c r="A20" s="25">
        <f t="shared" si="3"/>
        <v>16</v>
      </c>
      <c r="B20" s="36" t="s">
        <v>59</v>
      </c>
      <c r="C20" s="27">
        <v>144.0</v>
      </c>
      <c r="D20" s="28">
        <v>9.0</v>
      </c>
      <c r="E20" s="30">
        <v>1.0</v>
      </c>
      <c r="F20" s="31">
        <v>2.0</v>
      </c>
      <c r="G20" s="27">
        <v>0.0</v>
      </c>
      <c r="H20" s="31">
        <v>5.0</v>
      </c>
      <c r="I20" s="31">
        <v>1.0</v>
      </c>
      <c r="J20" s="31">
        <v>6.0</v>
      </c>
      <c r="K20" s="32">
        <v>12.0</v>
      </c>
      <c r="L20" s="31">
        <v>0.0</v>
      </c>
      <c r="M20" s="27">
        <f t="shared" ref="M20:N20" si="17">C20+K20</f>
        <v>156</v>
      </c>
      <c r="N20" s="28">
        <f t="shared" si="17"/>
        <v>9</v>
      </c>
      <c r="O20" s="33" t="s">
        <v>37</v>
      </c>
      <c r="P20" s="33" t="s">
        <v>37</v>
      </c>
      <c r="Q20" s="31">
        <f>if(G20=13,1,0)+VLOOKUP(B20,'92323'!B$5:Q$61,16,false)</f>
        <v>0</v>
      </c>
      <c r="R20" s="31"/>
      <c r="S20" s="31">
        <f>if(G20=9,1,0)+VLOOKUP(B20,'92323'!B:S,18,false)</f>
        <v>3</v>
      </c>
    </row>
    <row r="21">
      <c r="A21" s="25">
        <f t="shared" si="3"/>
        <v>17</v>
      </c>
      <c r="B21" s="26" t="s">
        <v>47</v>
      </c>
      <c r="C21" s="27">
        <v>143.0</v>
      </c>
      <c r="D21" s="28">
        <v>10.0</v>
      </c>
      <c r="E21" s="30">
        <v>3.0</v>
      </c>
      <c r="F21" s="31">
        <v>0.0</v>
      </c>
      <c r="G21" s="27">
        <v>9.0</v>
      </c>
      <c r="H21" s="31">
        <v>0.0</v>
      </c>
      <c r="I21" s="31">
        <v>0.0</v>
      </c>
      <c r="J21" s="31">
        <v>0.0</v>
      </c>
      <c r="K21" s="32">
        <v>9.0</v>
      </c>
      <c r="L21" s="31">
        <v>0.0</v>
      </c>
      <c r="M21" s="27">
        <f t="shared" ref="M21:N21" si="18">C21+K21</f>
        <v>152</v>
      </c>
      <c r="N21" s="28">
        <f t="shared" si="18"/>
        <v>10</v>
      </c>
      <c r="O21" s="33" t="s">
        <v>37</v>
      </c>
      <c r="P21" s="33" t="s">
        <v>37</v>
      </c>
      <c r="Q21" s="31">
        <f>if(G21=13,1,0)+VLOOKUP(B21,'92323'!B$5:Q$61,16,false)</f>
        <v>0</v>
      </c>
      <c r="R21" s="31"/>
      <c r="S21" s="31">
        <f>if(G21=9,1,0)+VLOOKUP(B21,'92323'!B:S,18,false)</f>
        <v>8</v>
      </c>
    </row>
    <row r="22">
      <c r="A22" s="25">
        <f t="shared" si="3"/>
        <v>18</v>
      </c>
      <c r="B22" s="26" t="s">
        <v>61</v>
      </c>
      <c r="C22" s="27">
        <v>142.0</v>
      </c>
      <c r="D22" s="28">
        <v>13.0</v>
      </c>
      <c r="E22" s="30">
        <v>2.0</v>
      </c>
      <c r="F22" s="31">
        <v>3.0</v>
      </c>
      <c r="G22" s="27">
        <v>0.0</v>
      </c>
      <c r="H22" s="31">
        <v>6.0</v>
      </c>
      <c r="I22" s="31">
        <v>4.0</v>
      </c>
      <c r="J22" s="31">
        <v>6.0</v>
      </c>
      <c r="K22" s="32">
        <v>16.0</v>
      </c>
      <c r="L22" s="31">
        <v>2.0</v>
      </c>
      <c r="M22" s="27">
        <f t="shared" ref="M22:N22" si="19">C22+K22</f>
        <v>158</v>
      </c>
      <c r="N22" s="28">
        <f t="shared" si="19"/>
        <v>15</v>
      </c>
      <c r="O22" s="33" t="s">
        <v>37</v>
      </c>
      <c r="P22" s="33" t="s">
        <v>37</v>
      </c>
      <c r="Q22" s="31">
        <f>if(G22=13,1,0)+VLOOKUP(B22,'92323'!B$5:Q$61,16,false)</f>
        <v>0</v>
      </c>
      <c r="R22" s="31"/>
      <c r="S22" s="31">
        <f>if(G22=9,1,0)+VLOOKUP(B22,'92323'!B:S,18,false)</f>
        <v>2</v>
      </c>
    </row>
    <row r="23">
      <c r="A23" s="25">
        <f t="shared" si="3"/>
        <v>19</v>
      </c>
      <c r="B23" s="26" t="s">
        <v>75</v>
      </c>
      <c r="C23" s="27">
        <v>141.0</v>
      </c>
      <c r="D23" s="28">
        <v>11.0</v>
      </c>
      <c r="E23" s="30">
        <v>2.0</v>
      </c>
      <c r="F23" s="31">
        <v>3.0</v>
      </c>
      <c r="G23" s="27">
        <v>0.0</v>
      </c>
      <c r="H23" s="31">
        <v>2.0</v>
      </c>
      <c r="I23" s="31">
        <v>4.0</v>
      </c>
      <c r="J23" s="31">
        <v>3.0</v>
      </c>
      <c r="K23" s="32">
        <v>9.0</v>
      </c>
      <c r="L23" s="31">
        <v>0.0</v>
      </c>
      <c r="M23" s="27">
        <f t="shared" ref="M23:N23" si="20">C23+K23</f>
        <v>150</v>
      </c>
      <c r="N23" s="28">
        <f t="shared" si="20"/>
        <v>11</v>
      </c>
      <c r="O23" s="33" t="s">
        <v>37</v>
      </c>
      <c r="P23" s="33" t="s">
        <v>37</v>
      </c>
      <c r="Q23" s="31">
        <f>if(G23=13,1,0)+VLOOKUP(B23,'92323'!B$5:Q$61,16,false)</f>
        <v>0</v>
      </c>
      <c r="R23" s="31"/>
      <c r="S23" s="31">
        <f>if(G23=9,1,0)+VLOOKUP(B23,'92323'!B:S,18,false)</f>
        <v>2</v>
      </c>
    </row>
    <row r="24">
      <c r="A24" s="25">
        <f t="shared" si="3"/>
        <v>20</v>
      </c>
      <c r="B24" s="26" t="s">
        <v>80</v>
      </c>
      <c r="C24" s="27">
        <v>141.0</v>
      </c>
      <c r="D24" s="28">
        <v>10.0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150</v>
      </c>
      <c r="N24" s="28">
        <f t="shared" si="21"/>
        <v>10</v>
      </c>
      <c r="O24" s="33" t="s">
        <v>37</v>
      </c>
      <c r="P24" s="33" t="s">
        <v>37</v>
      </c>
      <c r="Q24" s="31">
        <f>if(G24=13,1,0)+VLOOKUP(B24,'92323'!B$5:Q$61,16,false)</f>
        <v>0</v>
      </c>
      <c r="R24" s="31"/>
      <c r="S24" s="31">
        <f>if(G24=9,1,0)+VLOOKUP(B24,'92323'!B:S,18,false)</f>
        <v>9</v>
      </c>
    </row>
    <row r="25">
      <c r="A25" s="25">
        <f t="shared" si="3"/>
        <v>21</v>
      </c>
      <c r="B25" s="26" t="s">
        <v>65</v>
      </c>
      <c r="C25" s="27">
        <v>141.0</v>
      </c>
      <c r="D25" s="28">
        <v>9.0</v>
      </c>
      <c r="E25" s="30">
        <v>1.0</v>
      </c>
      <c r="F25" s="31">
        <v>3.0</v>
      </c>
      <c r="G25" s="27">
        <v>0.0</v>
      </c>
      <c r="H25" s="31">
        <v>6.0</v>
      </c>
      <c r="I25" s="31">
        <v>6.0</v>
      </c>
      <c r="J25" s="31">
        <v>3.0</v>
      </c>
      <c r="K25" s="32">
        <v>15.0</v>
      </c>
      <c r="L25" s="31">
        <v>2.0</v>
      </c>
      <c r="M25" s="27">
        <f t="shared" ref="M25:N25" si="22">C25+K25</f>
        <v>156</v>
      </c>
      <c r="N25" s="28">
        <f t="shared" si="22"/>
        <v>11</v>
      </c>
      <c r="O25" s="33" t="s">
        <v>37</v>
      </c>
      <c r="P25" s="33" t="s">
        <v>37</v>
      </c>
      <c r="Q25" s="31">
        <f>if(G25=13,1,0)+VLOOKUP(B25,'92323'!B$5:Q$61,16,false)</f>
        <v>0</v>
      </c>
      <c r="R25" s="31"/>
      <c r="S25" s="31">
        <f>if(G25=9,1,0)+VLOOKUP(B25,'92323'!B:S,18,false)</f>
        <v>6</v>
      </c>
    </row>
    <row r="26">
      <c r="A26" s="25">
        <f t="shared" si="3"/>
        <v>22</v>
      </c>
      <c r="B26" s="36" t="s">
        <v>62</v>
      </c>
      <c r="C26" s="27">
        <v>139.0</v>
      </c>
      <c r="D26" s="28">
        <v>10.0</v>
      </c>
      <c r="E26" s="30">
        <v>1.0</v>
      </c>
      <c r="F26" s="31">
        <v>3.0</v>
      </c>
      <c r="G26" s="27">
        <v>0.0</v>
      </c>
      <c r="H26" s="31">
        <v>2.0</v>
      </c>
      <c r="I26" s="31">
        <v>6.0</v>
      </c>
      <c r="J26" s="31">
        <v>6.0</v>
      </c>
      <c r="K26" s="32">
        <v>14.0</v>
      </c>
      <c r="L26" s="31">
        <v>2.0</v>
      </c>
      <c r="M26" s="27">
        <f t="shared" ref="M26:N26" si="23">C26+K26</f>
        <v>153</v>
      </c>
      <c r="N26" s="28">
        <f t="shared" si="23"/>
        <v>12</v>
      </c>
      <c r="O26" s="33" t="s">
        <v>37</v>
      </c>
      <c r="P26" s="33" t="s">
        <v>37</v>
      </c>
      <c r="Q26" s="31">
        <f>if(G26=13,1,0)+VLOOKUP(B26,'92323'!B$5:Q$61,16,false)</f>
        <v>0</v>
      </c>
      <c r="R26" s="31"/>
      <c r="S26" s="31">
        <f>if(G26=9,1,0)+VLOOKUP(B26,'92323'!B:S,18,false)</f>
        <v>3</v>
      </c>
    </row>
    <row r="27">
      <c r="A27" s="25">
        <f t="shared" si="3"/>
        <v>23</v>
      </c>
      <c r="B27" s="26" t="s">
        <v>66</v>
      </c>
      <c r="C27" s="27">
        <v>139.0</v>
      </c>
      <c r="D27" s="28">
        <v>8.0</v>
      </c>
      <c r="E27" s="30">
        <v>1.0</v>
      </c>
      <c r="F27" s="31">
        <v>4.0</v>
      </c>
      <c r="G27" s="27">
        <v>0.0</v>
      </c>
      <c r="H27" s="31">
        <v>6.0</v>
      </c>
      <c r="I27" s="31">
        <v>3.0</v>
      </c>
      <c r="J27" s="31">
        <v>2.0</v>
      </c>
      <c r="K27" s="32">
        <v>11.0</v>
      </c>
      <c r="L27" s="31">
        <v>1.0</v>
      </c>
      <c r="M27" s="27">
        <f t="shared" ref="M27:N27" si="24">C27+K27</f>
        <v>150</v>
      </c>
      <c r="N27" s="28">
        <f t="shared" si="24"/>
        <v>9</v>
      </c>
      <c r="O27" s="33" t="s">
        <v>37</v>
      </c>
      <c r="P27" s="33" t="s">
        <v>37</v>
      </c>
      <c r="Q27" s="31">
        <f>if(G27=13,1,0)+VLOOKUP(B27,'92323'!B$5:Q$61,16,false)</f>
        <v>1</v>
      </c>
      <c r="R27" s="31"/>
      <c r="S27" s="31">
        <f>if(G27=9,1,0)+VLOOKUP(B27,'92323'!B:S,18,false)</f>
        <v>4</v>
      </c>
    </row>
    <row r="28">
      <c r="A28" s="25">
        <f t="shared" si="3"/>
        <v>24</v>
      </c>
      <c r="B28" s="26" t="s">
        <v>58</v>
      </c>
      <c r="C28" s="27">
        <v>137.0</v>
      </c>
      <c r="D28" s="28">
        <v>8.0</v>
      </c>
      <c r="E28" s="30">
        <v>1.0</v>
      </c>
      <c r="F28" s="31">
        <v>4.0</v>
      </c>
      <c r="G28" s="27">
        <v>0.0</v>
      </c>
      <c r="H28" s="31">
        <v>0.0</v>
      </c>
      <c r="I28" s="31">
        <v>3.0</v>
      </c>
      <c r="J28" s="31">
        <v>6.0</v>
      </c>
      <c r="K28" s="32">
        <v>9.0</v>
      </c>
      <c r="L28" s="31">
        <v>1.0</v>
      </c>
      <c r="M28" s="27">
        <f t="shared" ref="M28:N28" si="25">C28+K28</f>
        <v>146</v>
      </c>
      <c r="N28" s="28">
        <f t="shared" si="25"/>
        <v>9</v>
      </c>
      <c r="O28" s="33" t="s">
        <v>37</v>
      </c>
      <c r="P28" s="33" t="s">
        <v>37</v>
      </c>
      <c r="Q28" s="31">
        <f>if(G28=13,1,0)+VLOOKUP(B28,'92323'!B$5:Q$61,16,false)</f>
        <v>0</v>
      </c>
      <c r="R28" s="31"/>
      <c r="S28" s="31">
        <f>if(G28=9,1,0)+VLOOKUP(B28,'92323'!B:S,18,false)</f>
        <v>5</v>
      </c>
    </row>
    <row r="29">
      <c r="A29" s="25">
        <f t="shared" si="3"/>
        <v>25</v>
      </c>
      <c r="B29" s="26" t="s">
        <v>68</v>
      </c>
      <c r="C29" s="27">
        <v>137.0</v>
      </c>
      <c r="D29" s="28">
        <v>7.0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146</v>
      </c>
      <c r="N29" s="28">
        <f t="shared" si="26"/>
        <v>7</v>
      </c>
      <c r="O29" s="33" t="s">
        <v>37</v>
      </c>
      <c r="P29" s="33" t="s">
        <v>37</v>
      </c>
      <c r="Q29" s="31">
        <f>if(G29=13,1,0)+VLOOKUP(B29,'92323'!B$5:Q$61,16,false)</f>
        <v>1</v>
      </c>
      <c r="R29" s="31"/>
      <c r="S29" s="31">
        <f>if(G29=9,1,0)+VLOOKUP(B29,'92323'!B:S,18,false)</f>
        <v>9</v>
      </c>
    </row>
    <row r="30">
      <c r="A30" s="25">
        <f t="shared" si="3"/>
        <v>26</v>
      </c>
      <c r="B30" s="26" t="s">
        <v>79</v>
      </c>
      <c r="C30" s="27">
        <v>136.0</v>
      </c>
      <c r="D30" s="28">
        <v>13.0</v>
      </c>
      <c r="E30" s="30">
        <v>1.0</v>
      </c>
      <c r="F30" s="31">
        <v>4.0</v>
      </c>
      <c r="G30" s="27">
        <v>0.0</v>
      </c>
      <c r="H30" s="31">
        <v>0.0</v>
      </c>
      <c r="I30" s="31">
        <v>6.0</v>
      </c>
      <c r="J30" s="31">
        <v>2.0</v>
      </c>
      <c r="K30" s="32">
        <v>8.0</v>
      </c>
      <c r="L30" s="31">
        <v>1.0</v>
      </c>
      <c r="M30" s="27">
        <f t="shared" ref="M30:N30" si="27">C30+K30</f>
        <v>144</v>
      </c>
      <c r="N30" s="28">
        <f t="shared" si="27"/>
        <v>14</v>
      </c>
      <c r="O30" s="33" t="s">
        <v>37</v>
      </c>
      <c r="P30" s="33" t="s">
        <v>37</v>
      </c>
      <c r="Q30" s="31">
        <f>if(G30=13,1,0)+VLOOKUP(B30,'92323'!B$5:Q$61,16,false)</f>
        <v>0</v>
      </c>
      <c r="R30" s="31"/>
      <c r="S30" s="31">
        <f>if(G30=9,1,0)+VLOOKUP(B30,'92323'!B:S,18,false)</f>
        <v>1</v>
      </c>
    </row>
    <row r="31">
      <c r="A31" s="25">
        <f t="shared" si="3"/>
        <v>27</v>
      </c>
      <c r="B31" s="36" t="s">
        <v>83</v>
      </c>
      <c r="C31" s="27">
        <v>135.0</v>
      </c>
      <c r="D31" s="28">
        <v>9.0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144</v>
      </c>
      <c r="N31" s="28">
        <f t="shared" si="28"/>
        <v>9</v>
      </c>
      <c r="O31" s="33" t="s">
        <v>37</v>
      </c>
      <c r="P31" s="33" t="s">
        <v>37</v>
      </c>
      <c r="Q31" s="31">
        <f>if(G31=13,1,0)+VLOOKUP(B31,'92323'!B$5:Q$61,16,false)</f>
        <v>0</v>
      </c>
      <c r="R31" s="31"/>
      <c r="S31" s="31">
        <f>if(G31=9,1,0)+VLOOKUP(B31,'92323'!B:S,18,false)</f>
        <v>5</v>
      </c>
    </row>
    <row r="32">
      <c r="A32" s="25">
        <f t="shared" si="3"/>
        <v>28</v>
      </c>
      <c r="B32" s="26" t="s">
        <v>51</v>
      </c>
      <c r="C32" s="27">
        <v>135.0</v>
      </c>
      <c r="D32" s="28">
        <v>7.0</v>
      </c>
      <c r="E32" s="30">
        <v>1.0</v>
      </c>
      <c r="F32" s="31">
        <v>4.0</v>
      </c>
      <c r="G32" s="27">
        <v>0.0</v>
      </c>
      <c r="H32" s="31">
        <v>6.0</v>
      </c>
      <c r="I32" s="31">
        <v>6.0</v>
      </c>
      <c r="J32" s="31">
        <v>6.0</v>
      </c>
      <c r="K32" s="32">
        <v>18.0</v>
      </c>
      <c r="L32" s="31">
        <v>3.0</v>
      </c>
      <c r="M32" s="27">
        <f t="shared" ref="M32:N32" si="29">C32+K32</f>
        <v>153</v>
      </c>
      <c r="N32" s="28">
        <f t="shared" si="29"/>
        <v>10</v>
      </c>
      <c r="O32" s="33" t="s">
        <v>37</v>
      </c>
      <c r="P32" s="33" t="s">
        <v>37</v>
      </c>
      <c r="Q32" s="31">
        <f>if(G32=13,1,0)+VLOOKUP(B32,'92323'!B$5:Q$61,16,false)</f>
        <v>1</v>
      </c>
      <c r="R32" s="31"/>
      <c r="S32" s="31">
        <f>if(G32=9,1,0)+VLOOKUP(B32,'92323'!B:S,18,false)</f>
        <v>7</v>
      </c>
    </row>
    <row r="33">
      <c r="A33" s="25">
        <f t="shared" si="3"/>
        <v>29</v>
      </c>
      <c r="B33" s="36" t="s">
        <v>77</v>
      </c>
      <c r="C33" s="27">
        <v>134.0</v>
      </c>
      <c r="D33" s="28">
        <v>8.0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143</v>
      </c>
      <c r="N33" s="28">
        <f t="shared" si="30"/>
        <v>8</v>
      </c>
      <c r="O33" s="33" t="s">
        <v>37</v>
      </c>
      <c r="P33" s="33" t="s">
        <v>37</v>
      </c>
      <c r="Q33" s="31">
        <f>if(G33=13,1,0)+VLOOKUP(B33,'92323'!B$5:Q$61,16,false)</f>
        <v>0</v>
      </c>
      <c r="R33" s="31"/>
      <c r="S33" s="31">
        <f>if(G33=9,1,0)+VLOOKUP(B33,'92323'!B:S,18,false)</f>
        <v>9</v>
      </c>
    </row>
    <row r="34">
      <c r="A34" s="25">
        <f t="shared" si="3"/>
        <v>30</v>
      </c>
      <c r="B34" s="26" t="s">
        <v>73</v>
      </c>
      <c r="C34" s="27">
        <v>134.0</v>
      </c>
      <c r="D34" s="28">
        <v>6.0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143</v>
      </c>
      <c r="N34" s="28">
        <f t="shared" si="31"/>
        <v>6</v>
      </c>
      <c r="O34" s="33" t="s">
        <v>37</v>
      </c>
      <c r="P34" s="33" t="s">
        <v>37</v>
      </c>
      <c r="Q34" s="31">
        <f>if(G34=13,1,0)+VLOOKUP(B34,'92323'!B$5:Q$61,16,false)</f>
        <v>0</v>
      </c>
      <c r="R34" s="31"/>
      <c r="S34" s="31">
        <f>if(G34=9,1,0)+VLOOKUP(B34,'92323'!B:S,18,false)</f>
        <v>8</v>
      </c>
    </row>
    <row r="35">
      <c r="A35" s="25">
        <f t="shared" si="3"/>
        <v>31</v>
      </c>
      <c r="B35" s="26" t="s">
        <v>64</v>
      </c>
      <c r="C35" s="27">
        <v>133.0</v>
      </c>
      <c r="D35" s="28">
        <v>7.0</v>
      </c>
      <c r="E35" s="30">
        <v>2.0</v>
      </c>
      <c r="F35" s="31">
        <v>5.0</v>
      </c>
      <c r="G35" s="27">
        <v>0.0</v>
      </c>
      <c r="H35" s="31">
        <v>7.0</v>
      </c>
      <c r="I35" s="31">
        <v>6.0</v>
      </c>
      <c r="J35" s="31">
        <v>6.0</v>
      </c>
      <c r="K35" s="32">
        <v>19.0</v>
      </c>
      <c r="L35" s="31">
        <v>3.0</v>
      </c>
      <c r="M35" s="27">
        <f t="shared" ref="M35:N35" si="32">C35+K35</f>
        <v>152</v>
      </c>
      <c r="N35" s="28">
        <f t="shared" si="32"/>
        <v>10</v>
      </c>
      <c r="O35" s="33" t="s">
        <v>37</v>
      </c>
      <c r="P35" s="33" t="s">
        <v>37</v>
      </c>
      <c r="Q35" s="31">
        <f>if(G35=13,1,0)+VLOOKUP(B35,'92323'!B$5:Q$61,16,false)</f>
        <v>0</v>
      </c>
      <c r="R35" s="31"/>
      <c r="S35" s="31">
        <f>if(G35=9,1,0)+VLOOKUP(B35,'92323'!B:S,18,false)</f>
        <v>9</v>
      </c>
    </row>
    <row r="36">
      <c r="A36" s="25">
        <f t="shared" si="3"/>
        <v>32</v>
      </c>
      <c r="B36" s="26" t="s">
        <v>74</v>
      </c>
      <c r="C36" s="27">
        <v>132.0</v>
      </c>
      <c r="D36" s="28">
        <v>9.0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141</v>
      </c>
      <c r="N36" s="28">
        <f t="shared" si="33"/>
        <v>9</v>
      </c>
      <c r="O36" s="33" t="s">
        <v>37</v>
      </c>
      <c r="P36" s="33" t="s">
        <v>37</v>
      </c>
      <c r="Q36" s="31">
        <f>if(G36=13,1,0)+VLOOKUP(B36,'92323'!B$5:Q$61,16,false)</f>
        <v>0</v>
      </c>
      <c r="R36" s="31"/>
      <c r="S36" s="31">
        <f>if(G36=9,1,0)+VLOOKUP(B36,'92323'!B:S,18,false)</f>
        <v>4</v>
      </c>
    </row>
    <row r="37">
      <c r="A37" s="25">
        <f t="shared" si="3"/>
        <v>33</v>
      </c>
      <c r="B37" s="26" t="s">
        <v>87</v>
      </c>
      <c r="C37" s="27">
        <v>131.0</v>
      </c>
      <c r="D37" s="28">
        <v>7.0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140</v>
      </c>
      <c r="N37" s="28">
        <f t="shared" si="34"/>
        <v>7</v>
      </c>
      <c r="O37" s="33" t="s">
        <v>37</v>
      </c>
      <c r="P37" s="33" t="s">
        <v>37</v>
      </c>
      <c r="Q37" s="31">
        <f>if(G37=13,1,0)+VLOOKUP(B37,'92323'!B$5:Q$61,16,false)</f>
        <v>1</v>
      </c>
      <c r="R37" s="31"/>
      <c r="S37" s="31">
        <f>if(G37=9,1,0)+VLOOKUP(B37,'92323'!B:S,18,false)</f>
        <v>5</v>
      </c>
    </row>
    <row r="38">
      <c r="A38" s="25">
        <f t="shared" si="3"/>
        <v>34</v>
      </c>
      <c r="B38" s="36" t="s">
        <v>88</v>
      </c>
      <c r="C38" s="27">
        <v>130.0</v>
      </c>
      <c r="D38" s="28">
        <v>8.0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139</v>
      </c>
      <c r="N38" s="28">
        <f t="shared" si="35"/>
        <v>8</v>
      </c>
      <c r="O38" s="33" t="s">
        <v>37</v>
      </c>
      <c r="P38" s="33" t="s">
        <v>37</v>
      </c>
      <c r="Q38" s="31">
        <f>if(G38=13,1,0)+VLOOKUP(B38,'92323'!B$5:Q$61,16,false)</f>
        <v>0</v>
      </c>
      <c r="R38" s="31"/>
      <c r="S38" s="31">
        <f>if(G38=9,1,0)+VLOOKUP(B38,'92323'!B:S,18,false)</f>
        <v>7</v>
      </c>
    </row>
    <row r="39">
      <c r="A39" s="25">
        <f t="shared" si="3"/>
        <v>35</v>
      </c>
      <c r="B39" s="26" t="s">
        <v>89</v>
      </c>
      <c r="C39" s="27">
        <v>128.0</v>
      </c>
      <c r="D39" s="28">
        <v>7.0</v>
      </c>
      <c r="E39" s="30">
        <v>3.0</v>
      </c>
      <c r="F39" s="31">
        <v>0.0</v>
      </c>
      <c r="G39" s="27">
        <v>9.0</v>
      </c>
      <c r="H39" s="31">
        <v>0.0</v>
      </c>
      <c r="I39" s="31">
        <v>0.0</v>
      </c>
      <c r="J39" s="31">
        <v>0.0</v>
      </c>
      <c r="K39" s="32">
        <v>9.0</v>
      </c>
      <c r="L39" s="31">
        <v>0.0</v>
      </c>
      <c r="M39" s="27">
        <f t="shared" ref="M39:N39" si="36">C39+K39</f>
        <v>137</v>
      </c>
      <c r="N39" s="28">
        <f t="shared" si="36"/>
        <v>7</v>
      </c>
      <c r="O39" s="33" t="s">
        <v>37</v>
      </c>
      <c r="P39" s="33" t="s">
        <v>37</v>
      </c>
      <c r="Q39" s="31">
        <f>if(G39=13,1,0)+VLOOKUP(B39,'92323'!B$5:Q$61,16,false)</f>
        <v>2</v>
      </c>
      <c r="R39" s="31"/>
      <c r="S39" s="31">
        <f>if(G39=9,1,0)+VLOOKUP(B39,'92323'!B:S,18,false)</f>
        <v>3</v>
      </c>
    </row>
    <row r="40">
      <c r="A40" s="25">
        <f t="shared" si="3"/>
        <v>36</v>
      </c>
      <c r="B40" s="36" t="s">
        <v>81</v>
      </c>
      <c r="C40" s="27">
        <v>128.0</v>
      </c>
      <c r="D40" s="28">
        <v>5.0</v>
      </c>
      <c r="E40" s="30">
        <v>1.0</v>
      </c>
      <c r="F40" s="31">
        <v>5.0</v>
      </c>
      <c r="G40" s="27">
        <v>0.0</v>
      </c>
      <c r="H40" s="31">
        <v>5.0</v>
      </c>
      <c r="I40" s="31">
        <v>6.0</v>
      </c>
      <c r="J40" s="31">
        <v>0.0</v>
      </c>
      <c r="K40" s="32">
        <v>11.0</v>
      </c>
      <c r="L40" s="31">
        <v>1.0</v>
      </c>
      <c r="M40" s="27">
        <f t="shared" ref="M40:N40" si="37">C40+K40</f>
        <v>139</v>
      </c>
      <c r="N40" s="28">
        <f t="shared" si="37"/>
        <v>6</v>
      </c>
      <c r="O40" s="33" t="s">
        <v>37</v>
      </c>
      <c r="P40" s="33" t="s">
        <v>37</v>
      </c>
      <c r="Q40" s="31">
        <f>if(G40=13,1,0)+VLOOKUP(B40,'92323'!B$5:Q$61,16,false)</f>
        <v>0</v>
      </c>
      <c r="R40" s="31"/>
      <c r="S40" s="31">
        <f>if(G40=9,1,0)+VLOOKUP(B40,'92323'!B:S,18,false)</f>
        <v>4</v>
      </c>
    </row>
    <row r="41">
      <c r="A41" s="25">
        <f t="shared" si="3"/>
        <v>37</v>
      </c>
      <c r="B41" s="26" t="s">
        <v>78</v>
      </c>
      <c r="C41" s="27">
        <v>127.0</v>
      </c>
      <c r="D41" s="28">
        <v>11.0</v>
      </c>
      <c r="E41" s="30">
        <v>1.0</v>
      </c>
      <c r="F41" s="31">
        <v>5.0</v>
      </c>
      <c r="G41" s="27">
        <v>0.0</v>
      </c>
      <c r="H41" s="31">
        <v>7.0</v>
      </c>
      <c r="I41" s="31">
        <v>1.0</v>
      </c>
      <c r="J41" s="31">
        <v>0.0</v>
      </c>
      <c r="K41" s="32">
        <v>8.0</v>
      </c>
      <c r="L41" s="31">
        <v>1.0</v>
      </c>
      <c r="M41" s="27">
        <f t="shared" ref="M41:N41" si="38">C41+K41</f>
        <v>135</v>
      </c>
      <c r="N41" s="28">
        <f t="shared" si="38"/>
        <v>12</v>
      </c>
      <c r="O41" s="33" t="s">
        <v>37</v>
      </c>
      <c r="P41" s="33" t="s">
        <v>37</v>
      </c>
      <c r="Q41" s="31">
        <f>if(G41=13,1,0)+VLOOKUP(B41,'92323'!B$5:Q$61,16,false)</f>
        <v>0</v>
      </c>
      <c r="R41" s="31"/>
      <c r="S41" s="31">
        <f>if(G41=9,1,0)+VLOOKUP(B41,'92323'!B:S,18,false)</f>
        <v>4</v>
      </c>
    </row>
    <row r="42">
      <c r="A42" s="25">
        <f t="shared" si="3"/>
        <v>38</v>
      </c>
      <c r="B42" s="26" t="s">
        <v>86</v>
      </c>
      <c r="C42" s="27">
        <v>125.0</v>
      </c>
      <c r="D42" s="28">
        <v>7.0</v>
      </c>
      <c r="E42" s="30">
        <v>1.0</v>
      </c>
      <c r="F42" s="31">
        <v>5.0</v>
      </c>
      <c r="G42" s="27">
        <v>0.0</v>
      </c>
      <c r="H42" s="31">
        <v>5.0</v>
      </c>
      <c r="I42" s="31">
        <v>1.0</v>
      </c>
      <c r="J42" s="31">
        <v>6.0</v>
      </c>
      <c r="K42" s="32">
        <v>12.0</v>
      </c>
      <c r="L42" s="31">
        <v>1.0</v>
      </c>
      <c r="M42" s="27">
        <f t="shared" ref="M42:N42" si="39">C42+K42</f>
        <v>137</v>
      </c>
      <c r="N42" s="28">
        <f t="shared" si="39"/>
        <v>8</v>
      </c>
      <c r="O42" s="33" t="s">
        <v>37</v>
      </c>
      <c r="P42" s="33" t="s">
        <v>37</v>
      </c>
      <c r="Q42" s="31">
        <f>if(G42=13,1,0)+VLOOKUP(B42,'92323'!B$5:Q$61,16,false)</f>
        <v>0</v>
      </c>
      <c r="R42" s="31"/>
      <c r="S42" s="31">
        <f>if(G42=9,1,0)+VLOOKUP(B42,'92323'!B:S,18,false)</f>
        <v>6</v>
      </c>
    </row>
    <row r="43">
      <c r="A43" s="25">
        <f t="shared" si="3"/>
        <v>39</v>
      </c>
      <c r="B43" s="26" t="s">
        <v>90</v>
      </c>
      <c r="C43" s="27">
        <v>119.0</v>
      </c>
      <c r="D43" s="28">
        <v>8.0</v>
      </c>
      <c r="E43" s="30">
        <v>1.0</v>
      </c>
      <c r="F43" s="31">
        <v>6.0</v>
      </c>
      <c r="G43" s="27">
        <v>0.0</v>
      </c>
      <c r="H43" s="31">
        <v>2.0</v>
      </c>
      <c r="I43" s="31">
        <v>6.0</v>
      </c>
      <c r="J43" s="31">
        <v>6.0</v>
      </c>
      <c r="K43" s="32">
        <v>14.0</v>
      </c>
      <c r="L43" s="31">
        <v>2.0</v>
      </c>
      <c r="M43" s="27">
        <f t="shared" ref="M43:N43" si="40">C43+K43</f>
        <v>133</v>
      </c>
      <c r="N43" s="28">
        <f t="shared" si="40"/>
        <v>10</v>
      </c>
      <c r="O43" s="33" t="s">
        <v>37</v>
      </c>
      <c r="P43" s="33" t="s">
        <v>37</v>
      </c>
      <c r="Q43" s="31">
        <f>if(G43=13,1,0)+VLOOKUP(B43,'92323'!B$5:Q$61,16,false)</f>
        <v>0</v>
      </c>
      <c r="R43" s="31"/>
      <c r="S43" s="31">
        <f>if(G43=9,1,0)+VLOOKUP(B43,'92323'!B:S,18,false)</f>
        <v>5</v>
      </c>
    </row>
    <row r="44">
      <c r="A44" s="25">
        <f t="shared" si="3"/>
        <v>40</v>
      </c>
      <c r="B44" s="26" t="s">
        <v>71</v>
      </c>
      <c r="C44" s="27">
        <v>119.0</v>
      </c>
      <c r="D44" s="28">
        <v>5.0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128</v>
      </c>
      <c r="N44" s="28">
        <f t="shared" si="41"/>
        <v>5</v>
      </c>
      <c r="O44" s="33" t="s">
        <v>37</v>
      </c>
      <c r="P44" s="33" t="s">
        <v>37</v>
      </c>
      <c r="Q44" s="31">
        <f>if(G44=13,1,0)+VLOOKUP(B44,'92323'!B$5:Q$61,16,false)</f>
        <v>0</v>
      </c>
      <c r="R44" s="31"/>
      <c r="S44" s="31">
        <f>if(G44=9,1,0)+VLOOKUP(B44,'92323'!B:S,18,false)</f>
        <v>10</v>
      </c>
    </row>
    <row r="45">
      <c r="A45" s="25">
        <f t="shared" si="3"/>
        <v>41</v>
      </c>
      <c r="B45" s="36" t="s">
        <v>94</v>
      </c>
      <c r="C45" s="27">
        <v>119.0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128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if(G45=13,1,0)+VLOOKUP(B45,'92323'!B$5:Q$61,16,false)</f>
        <v>0</v>
      </c>
      <c r="R45" s="31"/>
      <c r="S45" s="31">
        <f>if(G45=9,1,0)+VLOOKUP(B45,'92323'!B:S,18,false)</f>
        <v>9</v>
      </c>
    </row>
    <row r="46">
      <c r="A46" s="25">
        <f t="shared" si="3"/>
        <v>42</v>
      </c>
      <c r="B46" s="26" t="s">
        <v>91</v>
      </c>
      <c r="C46" s="27">
        <v>119.0</v>
      </c>
      <c r="D46" s="28">
        <v>1.0</v>
      </c>
      <c r="E46" s="30">
        <v>1.0</v>
      </c>
      <c r="F46" s="31">
        <v>6.0</v>
      </c>
      <c r="G46" s="27">
        <v>0.0</v>
      </c>
      <c r="H46" s="31">
        <v>6.0</v>
      </c>
      <c r="I46" s="31">
        <v>1.0</v>
      </c>
      <c r="J46" s="31">
        <v>6.0</v>
      </c>
      <c r="K46" s="32">
        <v>13.0</v>
      </c>
      <c r="L46" s="31">
        <v>2.0</v>
      </c>
      <c r="M46" s="27">
        <f t="shared" ref="M46:N46" si="43">C46+K46</f>
        <v>132</v>
      </c>
      <c r="N46" s="28">
        <f t="shared" si="43"/>
        <v>3</v>
      </c>
      <c r="O46" s="33" t="s">
        <v>37</v>
      </c>
      <c r="P46" s="33" t="s">
        <v>37</v>
      </c>
      <c r="Q46" s="31">
        <f>if(G46=13,1,0)+VLOOKUP(B46,'92323'!B$5:Q$61,16,false)</f>
        <v>1</v>
      </c>
      <c r="R46" s="31"/>
      <c r="S46" s="31">
        <f>if(G46=9,1,0)+VLOOKUP(B46,'92323'!B:S,18,false)</f>
        <v>10</v>
      </c>
    </row>
    <row r="47">
      <c r="A47" s="25">
        <f t="shared" si="3"/>
        <v>43</v>
      </c>
      <c r="B47" s="36" t="s">
        <v>93</v>
      </c>
      <c r="C47" s="27">
        <v>118.0</v>
      </c>
      <c r="D47" s="28">
        <v>3.0</v>
      </c>
      <c r="E47" s="30">
        <v>2.0</v>
      </c>
      <c r="F47" s="31">
        <v>6.0</v>
      </c>
      <c r="G47" s="27">
        <v>0.0</v>
      </c>
      <c r="H47" s="31">
        <v>6.0</v>
      </c>
      <c r="I47" s="31">
        <v>6.0</v>
      </c>
      <c r="J47" s="31">
        <v>1.0</v>
      </c>
      <c r="K47" s="32">
        <v>13.0</v>
      </c>
      <c r="L47" s="31">
        <v>2.0</v>
      </c>
      <c r="M47" s="27">
        <f t="shared" ref="M47:N47" si="44">C47+K47</f>
        <v>131</v>
      </c>
      <c r="N47" s="28">
        <f t="shared" si="44"/>
        <v>5</v>
      </c>
      <c r="O47" s="33" t="s">
        <v>37</v>
      </c>
      <c r="P47" s="33" t="s">
        <v>37</v>
      </c>
      <c r="Q47" s="31">
        <f>if(G47=13,1,0)+VLOOKUP(B47,'92323'!B$5:Q$61,16,false)</f>
        <v>0</v>
      </c>
      <c r="R47" s="31"/>
      <c r="S47" s="31">
        <f>if(G47=9,1,0)+VLOOKUP(B47,'92323'!B:S,18,false)</f>
        <v>11</v>
      </c>
    </row>
    <row r="48">
      <c r="A48" s="25">
        <f t="shared" si="3"/>
        <v>44</v>
      </c>
      <c r="B48" s="36" t="s">
        <v>98</v>
      </c>
      <c r="C48" s="27">
        <v>117.0</v>
      </c>
      <c r="D48" s="28">
        <v>3.0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126</v>
      </c>
      <c r="N48" s="28">
        <f t="shared" si="45"/>
        <v>3</v>
      </c>
      <c r="O48" s="33" t="s">
        <v>37</v>
      </c>
      <c r="P48" s="33" t="s">
        <v>37</v>
      </c>
      <c r="Q48" s="31">
        <f>if(G48=13,1,0)+VLOOKUP(B48,'92323'!B$5:Q$61,16,false)</f>
        <v>0</v>
      </c>
      <c r="R48" s="31"/>
      <c r="S48" s="31">
        <f>if(G48=9,1,0)+VLOOKUP(B48,'92323'!B:S,18,false)</f>
        <v>8</v>
      </c>
    </row>
    <row r="49">
      <c r="A49" s="25">
        <f t="shared" si="3"/>
        <v>45</v>
      </c>
      <c r="B49" s="36" t="s">
        <v>99</v>
      </c>
      <c r="C49" s="27">
        <v>117.0</v>
      </c>
      <c r="D49" s="28">
        <v>3.0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126</v>
      </c>
      <c r="N49" s="28">
        <f t="shared" si="46"/>
        <v>3</v>
      </c>
      <c r="O49" s="33" t="s">
        <v>37</v>
      </c>
      <c r="P49" s="33" t="s">
        <v>37</v>
      </c>
      <c r="Q49" s="31">
        <f>if(G49=13,1,0)+VLOOKUP(B49,'92323'!B$5:Q$61,16,false)</f>
        <v>0</v>
      </c>
      <c r="R49" s="31"/>
      <c r="S49" s="31">
        <f>if(G49=9,1,0)+VLOOKUP(B49,'92323'!B:S,18,false)</f>
        <v>9</v>
      </c>
    </row>
    <row r="50">
      <c r="A50" s="25">
        <f t="shared" si="3"/>
        <v>46</v>
      </c>
      <c r="B50" s="26" t="s">
        <v>95</v>
      </c>
      <c r="C50" s="27">
        <v>112.0</v>
      </c>
      <c r="D50" s="28">
        <v>4.0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121</v>
      </c>
      <c r="N50" s="28">
        <f t="shared" si="47"/>
        <v>4</v>
      </c>
      <c r="O50" s="33" t="s">
        <v>37</v>
      </c>
      <c r="P50" s="33" t="s">
        <v>37</v>
      </c>
      <c r="Q50" s="31">
        <f>if(G50=13,1,0)+VLOOKUP(B50,'92323'!B$5:Q$61,16,false)</f>
        <v>0</v>
      </c>
      <c r="R50" s="31"/>
      <c r="S50" s="31">
        <f>if(G50=9,1,0)+VLOOKUP(B50,'92323'!B:S,18,false)</f>
        <v>9</v>
      </c>
    </row>
    <row r="51">
      <c r="A51" s="25">
        <f t="shared" si="3"/>
        <v>47</v>
      </c>
      <c r="B51" s="36" t="s">
        <v>76</v>
      </c>
      <c r="C51" s="27">
        <v>112.0</v>
      </c>
      <c r="D51" s="28">
        <v>2.0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121</v>
      </c>
      <c r="N51" s="28">
        <f t="shared" si="48"/>
        <v>2</v>
      </c>
      <c r="O51" s="33" t="s">
        <v>37</v>
      </c>
      <c r="P51" s="33" t="s">
        <v>37</v>
      </c>
      <c r="Q51" s="31">
        <f>if(G51=13,1,0)+VLOOKUP(B51,'92323'!B$5:Q$61,16,false)</f>
        <v>0</v>
      </c>
      <c r="R51" s="31"/>
      <c r="S51" s="31">
        <f>if(G51=9,1,0)+VLOOKUP(B51,'92323'!B:S,18,false)</f>
        <v>12</v>
      </c>
    </row>
    <row r="52">
      <c r="A52" s="25">
        <f t="shared" si="3"/>
        <v>48</v>
      </c>
      <c r="B52" s="26" t="s">
        <v>100</v>
      </c>
      <c r="C52" s="27">
        <v>112.0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121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if(G52=13,1,0)+VLOOKUP(B52,'92323'!B$5:Q$61,16,false)</f>
        <v>0</v>
      </c>
      <c r="R52" s="31"/>
      <c r="S52" s="31">
        <f>if(G52=9,1,0)+VLOOKUP(B52,'92323'!B:S,18,false)</f>
        <v>12</v>
      </c>
    </row>
    <row r="53">
      <c r="A53" s="25">
        <f t="shared" si="3"/>
        <v>49</v>
      </c>
      <c r="B53" s="36" t="s">
        <v>97</v>
      </c>
      <c r="C53" s="27">
        <v>110.0</v>
      </c>
      <c r="D53" s="28">
        <v>5.0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119</v>
      </c>
      <c r="N53" s="28">
        <f t="shared" si="50"/>
        <v>5</v>
      </c>
      <c r="O53" s="33" t="s">
        <v>37</v>
      </c>
      <c r="P53" s="33" t="s">
        <v>37</v>
      </c>
      <c r="Q53" s="31">
        <f>if(G53=13,1,0)+VLOOKUP(B53,'92323'!B$5:Q$61,16,false)</f>
        <v>0</v>
      </c>
      <c r="R53" s="31"/>
      <c r="S53" s="31">
        <f>if(G53=9,1,0)+VLOOKUP(B53,'92323'!B:S,18,false)</f>
        <v>8</v>
      </c>
    </row>
    <row r="54">
      <c r="A54" s="25">
        <f t="shared" si="3"/>
        <v>50</v>
      </c>
      <c r="B54" s="36" t="s">
        <v>108</v>
      </c>
      <c r="C54" s="27">
        <v>110.0</v>
      </c>
      <c r="D54" s="28">
        <v>5.0</v>
      </c>
      <c r="E54" s="30">
        <v>1.0</v>
      </c>
      <c r="F54" s="31">
        <v>6.0</v>
      </c>
      <c r="G54" s="27">
        <v>0.0</v>
      </c>
      <c r="H54" s="31">
        <v>2.0</v>
      </c>
      <c r="I54" s="31">
        <v>1.0</v>
      </c>
      <c r="J54" s="31">
        <v>1.0</v>
      </c>
      <c r="K54" s="32">
        <v>4.0</v>
      </c>
      <c r="L54" s="31">
        <v>0.0</v>
      </c>
      <c r="M54" s="27">
        <f t="shared" ref="M54:N54" si="51">C54+K54</f>
        <v>114</v>
      </c>
      <c r="N54" s="28">
        <f t="shared" si="51"/>
        <v>5</v>
      </c>
      <c r="O54" s="33" t="s">
        <v>37</v>
      </c>
      <c r="P54" s="33" t="s">
        <v>37</v>
      </c>
      <c r="Q54" s="31">
        <f>if(G54=13,1,0)+VLOOKUP(B54,'92323'!B$5:Q$61,16,false)</f>
        <v>0</v>
      </c>
      <c r="R54" s="31"/>
      <c r="S54" s="31">
        <f>if(G54=9,1,0)+VLOOKUP(B54,'92323'!B:S,18,false)</f>
        <v>8</v>
      </c>
    </row>
    <row r="55">
      <c r="A55" s="25">
        <f t="shared" si="3"/>
        <v>51</v>
      </c>
      <c r="B55" s="36" t="s">
        <v>96</v>
      </c>
      <c r="C55" s="27">
        <v>109.0</v>
      </c>
      <c r="D55" s="28">
        <v>7.0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118</v>
      </c>
      <c r="N55" s="28">
        <f t="shared" si="52"/>
        <v>7</v>
      </c>
      <c r="O55" s="33" t="s">
        <v>37</v>
      </c>
      <c r="P55" s="33" t="s">
        <v>37</v>
      </c>
      <c r="Q55" s="31">
        <f>if(G55=13,1,0)+VLOOKUP(B55,'92323'!B$5:Q$61,16,false)</f>
        <v>0</v>
      </c>
      <c r="R55" s="31"/>
      <c r="S55" s="31">
        <f>if(G55=9,1,0)+VLOOKUP(B55,'92323'!B:S,18,false)</f>
        <v>6</v>
      </c>
    </row>
    <row r="56">
      <c r="A56" s="25">
        <f t="shared" si="3"/>
        <v>52</v>
      </c>
      <c r="B56" s="36" t="s">
        <v>101</v>
      </c>
      <c r="C56" s="27">
        <v>108.0</v>
      </c>
      <c r="D56" s="28">
        <v>0.0</v>
      </c>
      <c r="E56" s="30">
        <v>1.0</v>
      </c>
      <c r="F56" s="31">
        <v>7.0</v>
      </c>
      <c r="G56" s="27">
        <v>0.0</v>
      </c>
      <c r="H56" s="31">
        <v>0.0</v>
      </c>
      <c r="I56" s="31">
        <v>7.0</v>
      </c>
      <c r="J56" s="31">
        <v>6.0</v>
      </c>
      <c r="K56" s="32">
        <v>13.0</v>
      </c>
      <c r="L56" s="31">
        <v>2.0</v>
      </c>
      <c r="M56" s="27">
        <f t="shared" ref="M56:N56" si="53">C56+K56</f>
        <v>121</v>
      </c>
      <c r="N56" s="28">
        <f t="shared" si="53"/>
        <v>2</v>
      </c>
      <c r="O56" s="33" t="s">
        <v>37</v>
      </c>
      <c r="P56" s="33" t="s">
        <v>37</v>
      </c>
      <c r="Q56" s="31"/>
      <c r="R56" s="31"/>
      <c r="S56" s="31">
        <v>12.0</v>
      </c>
    </row>
    <row r="57">
      <c r="A57" s="25">
        <f t="shared" si="3"/>
        <v>53</v>
      </c>
      <c r="B57" s="36" t="s">
        <v>63</v>
      </c>
      <c r="C57" s="27">
        <v>108.0</v>
      </c>
      <c r="D57" s="28">
        <v>0.0</v>
      </c>
      <c r="E57" s="30">
        <v>1.0</v>
      </c>
      <c r="F57" s="31">
        <v>7.0</v>
      </c>
      <c r="G57" s="27">
        <v>0.0</v>
      </c>
      <c r="H57" s="31">
        <v>6.0</v>
      </c>
      <c r="I57" s="31">
        <v>6.0</v>
      </c>
      <c r="J57" s="31">
        <v>6.0</v>
      </c>
      <c r="K57" s="32">
        <v>18.0</v>
      </c>
      <c r="L57" s="31">
        <v>2.0</v>
      </c>
      <c r="M57" s="27">
        <f t="shared" ref="M57:N57" si="54">C57+K57</f>
        <v>126</v>
      </c>
      <c r="N57" s="28">
        <f t="shared" si="54"/>
        <v>2</v>
      </c>
      <c r="O57" s="33" t="s">
        <v>37</v>
      </c>
      <c r="P57" s="33" t="s">
        <v>37</v>
      </c>
      <c r="Q57" s="31"/>
      <c r="R57" s="31"/>
      <c r="S57" s="31">
        <v>12.0</v>
      </c>
    </row>
    <row r="58">
      <c r="A58" s="25">
        <f t="shared" si="3"/>
        <v>54</v>
      </c>
      <c r="B58" s="26" t="s">
        <v>103</v>
      </c>
      <c r="C58" s="27">
        <v>108.0</v>
      </c>
      <c r="D58" s="28">
        <v>0.0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117</v>
      </c>
      <c r="N58" s="28">
        <f t="shared" si="55"/>
        <v>0</v>
      </c>
      <c r="O58" s="33" t="s">
        <v>37</v>
      </c>
      <c r="P58" s="33" t="s">
        <v>37</v>
      </c>
      <c r="Q58" s="31">
        <f>if(G58=13,1,0)+VLOOKUP(B58,'92323'!B$5:Q$61,16,false)</f>
        <v>0</v>
      </c>
      <c r="R58" s="31"/>
      <c r="S58" s="31">
        <f>if(G58=9,1,0)+VLOOKUP(B58,'92323'!B:S,18,false)</f>
        <v>13</v>
      </c>
    </row>
    <row r="59">
      <c r="A59" s="25">
        <f t="shared" si="3"/>
        <v>55</v>
      </c>
      <c r="B59" s="36" t="s">
        <v>104</v>
      </c>
      <c r="C59" s="27">
        <v>108.0</v>
      </c>
      <c r="D59" s="28">
        <v>0.0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117</v>
      </c>
      <c r="N59" s="28">
        <f t="shared" si="56"/>
        <v>0</v>
      </c>
      <c r="O59" s="33" t="s">
        <v>37</v>
      </c>
      <c r="P59" s="33" t="s">
        <v>37</v>
      </c>
      <c r="Q59" s="31">
        <f>if(G59=13,1,0)+VLOOKUP(B59,'92323'!B$5:Q$61,16,false)</f>
        <v>0</v>
      </c>
      <c r="R59" s="31"/>
      <c r="S59" s="31">
        <f>if(G59=9,1,0)+VLOOKUP(B59,'92323'!B:S,18,false)</f>
        <v>13</v>
      </c>
    </row>
    <row r="60">
      <c r="A60" s="25">
        <f t="shared" si="3"/>
        <v>56</v>
      </c>
      <c r="B60" s="26" t="s">
        <v>105</v>
      </c>
      <c r="C60" s="27">
        <v>108.0</v>
      </c>
      <c r="D60" s="28">
        <v>0.0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117</v>
      </c>
      <c r="N60" s="28">
        <f t="shared" si="57"/>
        <v>0</v>
      </c>
      <c r="O60" s="33" t="s">
        <v>37</v>
      </c>
      <c r="P60" s="33" t="s">
        <v>37</v>
      </c>
      <c r="Q60" s="31">
        <f>if(G60=13,1,0)+VLOOKUP(B60,'92323'!B$5:Q$61,16,false)</f>
        <v>0</v>
      </c>
      <c r="R60" s="31"/>
      <c r="S60" s="31">
        <f>if(G60=9,1,0)+VLOOKUP(B60,'92323'!B:S,18,false)</f>
        <v>13</v>
      </c>
    </row>
    <row r="61">
      <c r="A61" s="25">
        <f t="shared" si="3"/>
        <v>57</v>
      </c>
      <c r="B61" s="26" t="s">
        <v>106</v>
      </c>
      <c r="C61" s="27">
        <v>108.0</v>
      </c>
      <c r="D61" s="28">
        <v>0.0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117</v>
      </c>
      <c r="N61" s="28">
        <f t="shared" si="58"/>
        <v>0</v>
      </c>
      <c r="O61" s="33" t="s">
        <v>37</v>
      </c>
      <c r="P61" s="33" t="s">
        <v>37</v>
      </c>
      <c r="Q61" s="31">
        <f>if(G61=13,1,0)+VLOOKUP(B61,'92323'!B$5:Q$61,16,false)</f>
        <v>0</v>
      </c>
      <c r="R61" s="31"/>
      <c r="S61" s="31">
        <f>if(G61=9,1,0)+VLOOKUP(B61,'92323'!B:S,18,false)</f>
        <v>13</v>
      </c>
    </row>
    <row r="62">
      <c r="A62" s="25">
        <f t="shared" si="3"/>
        <v>58</v>
      </c>
      <c r="B62" s="36" t="s">
        <v>85</v>
      </c>
      <c r="C62" s="27">
        <v>105.0</v>
      </c>
      <c r="D62" s="28">
        <v>5.0</v>
      </c>
      <c r="E62" s="30">
        <v>1.0</v>
      </c>
      <c r="F62" s="31">
        <v>7.0</v>
      </c>
      <c r="G62" s="27">
        <v>0.0</v>
      </c>
      <c r="H62" s="31">
        <v>6.0</v>
      </c>
      <c r="I62" s="31">
        <v>7.0</v>
      </c>
      <c r="J62" s="31">
        <v>0.0</v>
      </c>
      <c r="K62" s="32">
        <v>13.0</v>
      </c>
      <c r="L62" s="31">
        <v>2.0</v>
      </c>
      <c r="M62" s="27">
        <f t="shared" ref="M62:N62" si="59">C62+K62</f>
        <v>118</v>
      </c>
      <c r="N62" s="28">
        <f t="shared" si="59"/>
        <v>7</v>
      </c>
      <c r="O62" s="33" t="s">
        <v>37</v>
      </c>
      <c r="P62" s="33" t="s">
        <v>37</v>
      </c>
      <c r="Q62" s="31">
        <f>if(G62=13,1,0)+VLOOKUP(B62,'92323'!B$5:Q$61,16,false)</f>
        <v>0</v>
      </c>
      <c r="R62" s="31"/>
      <c r="S62" s="31">
        <f>if(G62=9,1,0)+VLOOKUP(B62,'92323'!B:S,18,false)</f>
        <v>7</v>
      </c>
    </row>
    <row r="63">
      <c r="A63" s="25">
        <f t="shared" si="3"/>
        <v>59</v>
      </c>
      <c r="B63" s="36" t="s">
        <v>109</v>
      </c>
      <c r="C63" s="27">
        <v>104.0</v>
      </c>
      <c r="D63" s="28">
        <v>1.0</v>
      </c>
      <c r="E63" s="30">
        <v>1.0</v>
      </c>
      <c r="F63" s="31">
        <v>7.0</v>
      </c>
      <c r="G63" s="27">
        <v>0.0</v>
      </c>
      <c r="H63" s="31">
        <v>0.0</v>
      </c>
      <c r="I63" s="31">
        <v>6.0</v>
      </c>
      <c r="J63" s="31">
        <v>0.0</v>
      </c>
      <c r="K63" s="32">
        <v>6.0</v>
      </c>
      <c r="L63" s="31">
        <v>0.0</v>
      </c>
      <c r="M63" s="27">
        <f t="shared" ref="M63:N63" si="60">C63+K63</f>
        <v>110</v>
      </c>
      <c r="N63" s="28">
        <f t="shared" si="60"/>
        <v>1</v>
      </c>
      <c r="O63" s="33" t="s">
        <v>37</v>
      </c>
      <c r="P63" s="33" t="s">
        <v>37</v>
      </c>
      <c r="Q63" s="31">
        <f>if(G63=13,1,0)+VLOOKUP(B63,'92323'!B$5:Q$61,16,false)</f>
        <v>0</v>
      </c>
      <c r="R63" s="31"/>
      <c r="S63" s="31">
        <f>if(G63=9,1,0)+VLOOKUP(B63,'92323'!B:S,18,false)</f>
        <v>5</v>
      </c>
    </row>
    <row r="64">
      <c r="A64" s="1"/>
      <c r="C64" s="1"/>
      <c r="D64" s="1"/>
      <c r="E64" s="1"/>
      <c r="P64" s="1"/>
    </row>
    <row r="65">
      <c r="A65" s="1"/>
      <c r="B65" s="39">
        <f>COUNTA(B5:B63)</f>
        <v>59</v>
      </c>
      <c r="C65" s="1"/>
      <c r="D65" s="1"/>
      <c r="E65" s="1"/>
      <c r="O65" s="34" t="s">
        <v>110</v>
      </c>
      <c r="P65" s="40">
        <f>COUNTA(P5:P63)</f>
        <v>59</v>
      </c>
    </row>
    <row r="66">
      <c r="A66" s="1"/>
      <c r="C66" s="1"/>
      <c r="D66" s="1"/>
      <c r="E66" s="1"/>
      <c r="O66" s="34" t="s">
        <v>111</v>
      </c>
      <c r="P66" s="40">
        <f>P67-P65</f>
        <v>0</v>
      </c>
    </row>
    <row r="67">
      <c r="A67" s="1"/>
      <c r="C67" s="1"/>
      <c r="D67" s="1"/>
      <c r="J67" s="41"/>
      <c r="K67" s="42"/>
      <c r="L67" s="43"/>
      <c r="O67" s="34" t="s">
        <v>41</v>
      </c>
      <c r="P67" s="40">
        <f>B65</f>
        <v>59</v>
      </c>
    </row>
    <row r="68">
      <c r="A68" s="1"/>
      <c r="C68" s="1"/>
      <c r="D68" s="1"/>
      <c r="E68" s="34" t="s">
        <v>112</v>
      </c>
      <c r="J68" s="41"/>
      <c r="K68" s="42"/>
      <c r="L68" s="43"/>
    </row>
    <row r="69">
      <c r="A69" s="1"/>
      <c r="C69" s="1"/>
      <c r="D69" s="1"/>
      <c r="J69" s="41"/>
      <c r="K69" s="42"/>
      <c r="L69" s="43"/>
    </row>
    <row r="70">
      <c r="A70" s="1"/>
      <c r="C70" s="1"/>
      <c r="D70" s="1"/>
      <c r="J70" s="41"/>
      <c r="K70" s="42"/>
      <c r="L70" s="43"/>
    </row>
    <row r="71">
      <c r="A71" s="1"/>
      <c r="B71" s="45" t="s">
        <v>113</v>
      </c>
      <c r="C71" s="45" t="s">
        <v>114</v>
      </c>
      <c r="D71" s="45" t="s">
        <v>115</v>
      </c>
      <c r="J71" s="41"/>
      <c r="K71" s="42"/>
      <c r="L71" s="43"/>
    </row>
    <row r="72">
      <c r="A72" s="1"/>
      <c r="B72" s="36" t="str">
        <f>IFERROR(__xludf.DUMMYFUNCTION("QUERY(B5:L63,""Select B, K, L where K &gt;= 18 order by K desc, L desc"",0)"),"Trinath Goteti")</f>
        <v>Trinath Goteti</v>
      </c>
      <c r="C72" s="46">
        <f>IFERROR(__xludf.DUMMYFUNCTION("""COMPUTED_VALUE"""),19.0)</f>
        <v>19</v>
      </c>
      <c r="D72" s="46">
        <f>IFERROR(__xludf.DUMMYFUNCTION("""COMPUTED_VALUE"""),3.0)</f>
        <v>3</v>
      </c>
      <c r="E72" s="1"/>
      <c r="K72" s="42"/>
      <c r="L72" s="43"/>
    </row>
    <row r="73">
      <c r="A73" s="1"/>
      <c r="B73" s="36" t="str">
        <f>IFERROR(__xludf.DUMMYFUNCTION("""COMPUTED_VALUE"""),"Matthew Huang")</f>
        <v>Matthew Huang</v>
      </c>
      <c r="C73" s="46">
        <f>IFERROR(__xludf.DUMMYFUNCTION("""COMPUTED_VALUE"""),19.0)</f>
        <v>19</v>
      </c>
      <c r="D73" s="46">
        <f>IFERROR(__xludf.DUMMYFUNCTION("""COMPUTED_VALUE"""),2.0)</f>
        <v>2</v>
      </c>
      <c r="E73" s="1"/>
      <c r="L73" s="47"/>
    </row>
    <row r="74">
      <c r="A74" s="1"/>
      <c r="B74" s="36" t="str">
        <f>IFERROR(__xludf.DUMMYFUNCTION("""COMPUTED_VALUE"""),"Lam Bui")</f>
        <v>Lam Bui</v>
      </c>
      <c r="C74" s="46">
        <f>IFERROR(__xludf.DUMMYFUNCTION("""COMPUTED_VALUE"""),18.0)</f>
        <v>18</v>
      </c>
      <c r="D74" s="46">
        <f>IFERROR(__xludf.DUMMYFUNCTION("""COMPUTED_VALUE"""),3.0)</f>
        <v>3</v>
      </c>
      <c r="E74" s="1"/>
    </row>
    <row r="75">
      <c r="A75" s="1"/>
      <c r="B75" s="36" t="str">
        <f>IFERROR(__xludf.DUMMYFUNCTION("""COMPUTED_VALUE"""),"Peter Homsey")</f>
        <v>Peter Homsey</v>
      </c>
      <c r="C75" s="46">
        <f>IFERROR(__xludf.DUMMYFUNCTION("""COMPUTED_VALUE"""),18.0)</f>
        <v>18</v>
      </c>
      <c r="D75" s="46">
        <f>IFERROR(__xludf.DUMMYFUNCTION("""COMPUTED_VALUE"""),2.0)</f>
        <v>2</v>
      </c>
      <c r="E75" s="1"/>
    </row>
    <row r="76">
      <c r="A76" s="1"/>
      <c r="B76" s="36" t="str">
        <f>IFERROR(__xludf.DUMMYFUNCTION("""COMPUTED_VALUE"""),"Chinna Ponnaganti")</f>
        <v>Chinna Ponnaganti</v>
      </c>
      <c r="C76" s="46">
        <f>IFERROR(__xludf.DUMMYFUNCTION("""COMPUTED_VALUE"""),18.0)</f>
        <v>18</v>
      </c>
      <c r="D76" s="46">
        <f>IFERROR(__xludf.DUMMYFUNCTION("""COMPUTED_VALUE"""),2.0)</f>
        <v>2</v>
      </c>
      <c r="E76" s="1"/>
      <c r="K76" s="34"/>
    </row>
    <row r="77">
      <c r="A77" s="1"/>
      <c r="B77" s="36" t="str">
        <f>IFERROR(__xludf.DUMMYFUNCTION("""COMPUTED_VALUE"""),"Kingsley Kuo")</f>
        <v>Kingsley Kuo</v>
      </c>
      <c r="C77" s="46">
        <f>IFERROR(__xludf.DUMMYFUNCTION("""COMPUTED_VALUE"""),18.0)</f>
        <v>18</v>
      </c>
      <c r="D77" s="46">
        <f>IFERROR(__xludf.DUMMYFUNCTION("""COMPUTED_VALUE"""),2.0)</f>
        <v>2</v>
      </c>
      <c r="E77" s="1"/>
      <c r="K77" s="34"/>
    </row>
    <row r="78">
      <c r="A78" s="1"/>
      <c r="B78" s="36"/>
      <c r="C78" s="46"/>
      <c r="D78" s="46"/>
      <c r="E78" s="1"/>
      <c r="K78" s="34"/>
    </row>
    <row r="79">
      <c r="A79" s="1"/>
      <c r="B79" s="36"/>
      <c r="C79" s="46"/>
      <c r="D79" s="46"/>
      <c r="E79" s="1"/>
      <c r="K79" s="34"/>
    </row>
    <row r="80">
      <c r="A80" s="1"/>
      <c r="B80" s="36"/>
      <c r="C80" s="46"/>
      <c r="D80" s="46"/>
      <c r="E80" s="1"/>
    </row>
    <row r="81">
      <c r="A81" s="1"/>
      <c r="B81" s="36"/>
      <c r="C81" s="46"/>
      <c r="D81" s="46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41" t="s">
        <v>117</v>
      </c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B88" s="20" t="s">
        <v>25</v>
      </c>
      <c r="C88" s="21" t="s">
        <v>8</v>
      </c>
      <c r="D88" s="21" t="s">
        <v>14</v>
      </c>
      <c r="E88" s="21" t="s">
        <v>26</v>
      </c>
      <c r="F88" s="21" t="s">
        <v>27</v>
      </c>
      <c r="G88" s="21" t="s">
        <v>28</v>
      </c>
      <c r="H88" s="21" t="s">
        <v>17</v>
      </c>
      <c r="I88" s="21" t="s">
        <v>18</v>
      </c>
      <c r="J88" s="21" t="s">
        <v>19</v>
      </c>
      <c r="K88" s="21" t="s">
        <v>8</v>
      </c>
      <c r="L88" s="21" t="s">
        <v>14</v>
      </c>
      <c r="M88" s="22" t="s">
        <v>8</v>
      </c>
      <c r="N88" s="22" t="s">
        <v>14</v>
      </c>
    </row>
    <row r="89">
      <c r="A89" s="1"/>
      <c r="B89" s="48" t="str">
        <f>IFERROR(__xludf.DUMMYFUNCTION("QUERY(B5:N63, ""Select B, C, D, E, F, G, H, I, J, K, L, M, N   where F &gt;= 1"")"),"Ted Shen")</f>
        <v>Ted Shen</v>
      </c>
      <c r="C89" s="49">
        <f>IFERROR(__xludf.DUMMYFUNCTION("""COMPUTED_VALUE"""),159.0)</f>
        <v>159</v>
      </c>
      <c r="D89" s="50">
        <f>IFERROR(__xludf.DUMMYFUNCTION("""COMPUTED_VALUE"""),16.0)</f>
        <v>16</v>
      </c>
      <c r="E89" s="49">
        <f>IFERROR(__xludf.DUMMYFUNCTION("""COMPUTED_VALUE"""),1.0)</f>
        <v>1</v>
      </c>
      <c r="F89" s="51">
        <f>IFERROR(__xludf.DUMMYFUNCTION("""COMPUTED_VALUE"""),1.0)</f>
        <v>1</v>
      </c>
      <c r="G89" s="51">
        <f>IFERROR(__xludf.DUMMYFUNCTION("""COMPUTED_VALUE"""),0.0)</f>
        <v>0</v>
      </c>
      <c r="H89" s="51">
        <f>IFERROR(__xludf.DUMMYFUNCTION("""COMPUTED_VALUE"""),1.0)</f>
        <v>1</v>
      </c>
      <c r="I89" s="51">
        <f>IFERROR(__xludf.DUMMYFUNCTION("""COMPUTED_VALUE"""),1.0)</f>
        <v>1</v>
      </c>
      <c r="J89" s="51">
        <f>IFERROR(__xludf.DUMMYFUNCTION("""COMPUTED_VALUE"""),6.0)</f>
        <v>6</v>
      </c>
      <c r="K89" s="51">
        <f>IFERROR(__xludf.DUMMYFUNCTION("""COMPUTED_VALUE"""),8.0)</f>
        <v>8</v>
      </c>
      <c r="L89" s="51">
        <f>IFERROR(__xludf.DUMMYFUNCTION("""COMPUTED_VALUE"""),0.0)</f>
        <v>0</v>
      </c>
      <c r="M89" s="51">
        <f>IFERROR(__xludf.DUMMYFUNCTION("""COMPUTED_VALUE"""),167.0)</f>
        <v>167</v>
      </c>
      <c r="N89" s="52">
        <f>IFERROR(__xludf.DUMMYFUNCTION("""COMPUTED_VALUE"""),16.0)</f>
        <v>16</v>
      </c>
    </row>
    <row r="90">
      <c r="A90" s="1"/>
      <c r="B90" s="48" t="str">
        <f>IFERROR(__xludf.DUMMYFUNCTION("""COMPUTED_VALUE"""),"Peter Cheng")</f>
        <v>Peter Cheng</v>
      </c>
      <c r="C90" s="49">
        <f>IFERROR(__xludf.DUMMYFUNCTION("""COMPUTED_VALUE"""),156.0)</f>
        <v>156</v>
      </c>
      <c r="D90" s="50">
        <f>IFERROR(__xludf.DUMMYFUNCTION("""COMPUTED_VALUE"""),14.0)</f>
        <v>14</v>
      </c>
      <c r="E90" s="49">
        <f>IFERROR(__xludf.DUMMYFUNCTION("""COMPUTED_VALUE"""),1.0)</f>
        <v>1</v>
      </c>
      <c r="F90" s="51">
        <f>IFERROR(__xludf.DUMMYFUNCTION("""COMPUTED_VALUE"""),1.0)</f>
        <v>1</v>
      </c>
      <c r="G90" s="51">
        <f>IFERROR(__xludf.DUMMYFUNCTION("""COMPUTED_VALUE"""),0.0)</f>
        <v>0</v>
      </c>
      <c r="H90" s="51">
        <f>IFERROR(__xludf.DUMMYFUNCTION("""COMPUTED_VALUE"""),1.0)</f>
        <v>1</v>
      </c>
      <c r="I90" s="51">
        <f>IFERROR(__xludf.DUMMYFUNCTION("""COMPUTED_VALUE"""),6.0)</f>
        <v>6</v>
      </c>
      <c r="J90" s="51">
        <f>IFERROR(__xludf.DUMMYFUNCTION("""COMPUTED_VALUE"""),7.0)</f>
        <v>7</v>
      </c>
      <c r="K90" s="51">
        <f>IFERROR(__xludf.DUMMYFUNCTION("""COMPUTED_VALUE"""),14.0)</f>
        <v>14</v>
      </c>
      <c r="L90" s="51">
        <f>IFERROR(__xludf.DUMMYFUNCTION("""COMPUTED_VALUE"""),2.0)</f>
        <v>2</v>
      </c>
      <c r="M90" s="51">
        <f>IFERROR(__xludf.DUMMYFUNCTION("""COMPUTED_VALUE"""),170.0)</f>
        <v>170</v>
      </c>
      <c r="N90" s="52">
        <f>IFERROR(__xludf.DUMMYFUNCTION("""COMPUTED_VALUE"""),16.0)</f>
        <v>16</v>
      </c>
    </row>
    <row r="91">
      <c r="A91" s="1"/>
      <c r="B91" s="48" t="str">
        <f>IFERROR(__xludf.DUMMYFUNCTION("""COMPUTED_VALUE"""),"Peter Homsey")</f>
        <v>Peter Homsey</v>
      </c>
      <c r="C91" s="49">
        <f>IFERROR(__xludf.DUMMYFUNCTION("""COMPUTED_VALUE"""),154.0)</f>
        <v>154</v>
      </c>
      <c r="D91" s="50">
        <f>IFERROR(__xludf.DUMMYFUNCTION("""COMPUTED_VALUE"""),14.0)</f>
        <v>14</v>
      </c>
      <c r="E91" s="49">
        <f>IFERROR(__xludf.DUMMYFUNCTION("""COMPUTED_VALUE"""),2.0)</f>
        <v>2</v>
      </c>
      <c r="F91" s="51">
        <f>IFERROR(__xludf.DUMMYFUNCTION("""COMPUTED_VALUE"""),1.0)</f>
        <v>1</v>
      </c>
      <c r="G91" s="51">
        <f>IFERROR(__xludf.DUMMYFUNCTION("""COMPUTED_VALUE"""),0.0)</f>
        <v>0</v>
      </c>
      <c r="H91" s="51">
        <f>IFERROR(__xludf.DUMMYFUNCTION("""COMPUTED_VALUE"""),6.0)</f>
        <v>6</v>
      </c>
      <c r="I91" s="51">
        <f>IFERROR(__xludf.DUMMYFUNCTION("""COMPUTED_VALUE"""),6.0)</f>
        <v>6</v>
      </c>
      <c r="J91" s="51">
        <f>IFERROR(__xludf.DUMMYFUNCTION("""COMPUTED_VALUE"""),6.0)</f>
        <v>6</v>
      </c>
      <c r="K91" s="51">
        <f>IFERROR(__xludf.DUMMYFUNCTION("""COMPUTED_VALUE"""),18.0)</f>
        <v>18</v>
      </c>
      <c r="L91" s="51">
        <f>IFERROR(__xludf.DUMMYFUNCTION("""COMPUTED_VALUE"""),2.0)</f>
        <v>2</v>
      </c>
      <c r="M91" s="51">
        <f>IFERROR(__xludf.DUMMYFUNCTION("""COMPUTED_VALUE"""),172.0)</f>
        <v>172</v>
      </c>
      <c r="N91" s="52">
        <f>IFERROR(__xludf.DUMMYFUNCTION("""COMPUTED_VALUE"""),16.0)</f>
        <v>16</v>
      </c>
    </row>
    <row r="92">
      <c r="A92" s="1"/>
      <c r="B92" s="48" t="str">
        <f>IFERROR(__xludf.DUMMYFUNCTION("""COMPUTED_VALUE"""),"Pavan Akkimsetty")</f>
        <v>Pavan Akkimsetty</v>
      </c>
      <c r="C92" s="49">
        <f>IFERROR(__xludf.DUMMYFUNCTION("""COMPUTED_VALUE"""),154.0)</f>
        <v>154</v>
      </c>
      <c r="D92" s="50">
        <f>IFERROR(__xludf.DUMMYFUNCTION("""COMPUTED_VALUE"""),14.0)</f>
        <v>14</v>
      </c>
      <c r="E92" s="49">
        <f>IFERROR(__xludf.DUMMYFUNCTION("""COMPUTED_VALUE"""),1.0)</f>
        <v>1</v>
      </c>
      <c r="F92" s="51">
        <f>IFERROR(__xludf.DUMMYFUNCTION("""COMPUTED_VALUE"""),1.0)</f>
        <v>1</v>
      </c>
      <c r="G92" s="51">
        <f>IFERROR(__xludf.DUMMYFUNCTION("""COMPUTED_VALUE"""),0.0)</f>
        <v>0</v>
      </c>
      <c r="H92" s="51">
        <f>IFERROR(__xludf.DUMMYFUNCTION("""COMPUTED_VALUE"""),6.0)</f>
        <v>6</v>
      </c>
      <c r="I92" s="51">
        <f>IFERROR(__xludf.DUMMYFUNCTION("""COMPUTED_VALUE"""),1.0)</f>
        <v>1</v>
      </c>
      <c r="J92" s="51">
        <f>IFERROR(__xludf.DUMMYFUNCTION("""COMPUTED_VALUE"""),7.0)</f>
        <v>7</v>
      </c>
      <c r="K92" s="51">
        <f>IFERROR(__xludf.DUMMYFUNCTION("""COMPUTED_VALUE"""),14.0)</f>
        <v>14</v>
      </c>
      <c r="L92" s="51">
        <f>IFERROR(__xludf.DUMMYFUNCTION("""COMPUTED_VALUE"""),2.0)</f>
        <v>2</v>
      </c>
      <c r="M92" s="51">
        <f>IFERROR(__xludf.DUMMYFUNCTION("""COMPUTED_VALUE"""),168.0)</f>
        <v>168</v>
      </c>
      <c r="N92" s="52">
        <f>IFERROR(__xludf.DUMMYFUNCTION("""COMPUTED_VALUE"""),16.0)</f>
        <v>16</v>
      </c>
    </row>
    <row r="93">
      <c r="A93" s="1"/>
      <c r="B93" s="53" t="str">
        <f>IFERROR(__xludf.DUMMYFUNCTION("""COMPUTED_VALUE"""),"Joe Luzzi")</f>
        <v>Joe Luzzi</v>
      </c>
      <c r="C93" s="54">
        <f>IFERROR(__xludf.DUMMYFUNCTION("""COMPUTED_VALUE"""),150.0)</f>
        <v>150</v>
      </c>
      <c r="D93" s="55">
        <f>IFERROR(__xludf.DUMMYFUNCTION("""COMPUTED_VALUE"""),15.0)</f>
        <v>15</v>
      </c>
      <c r="E93" s="54">
        <f>IFERROR(__xludf.DUMMYFUNCTION("""COMPUTED_VALUE"""),1.0)</f>
        <v>1</v>
      </c>
      <c r="F93" s="56">
        <f>IFERROR(__xludf.DUMMYFUNCTION("""COMPUTED_VALUE"""),2.0)</f>
        <v>2</v>
      </c>
      <c r="G93" s="56">
        <f>IFERROR(__xludf.DUMMYFUNCTION("""COMPUTED_VALUE"""),0.0)</f>
        <v>0</v>
      </c>
      <c r="H93" s="56">
        <f>IFERROR(__xludf.DUMMYFUNCTION("""COMPUTED_VALUE"""),7.0)</f>
        <v>7</v>
      </c>
      <c r="I93" s="56">
        <f>IFERROR(__xludf.DUMMYFUNCTION("""COMPUTED_VALUE"""),1.0)</f>
        <v>1</v>
      </c>
      <c r="J93" s="56">
        <f>IFERROR(__xludf.DUMMYFUNCTION("""COMPUTED_VALUE"""),7.0)</f>
        <v>7</v>
      </c>
      <c r="K93" s="56">
        <f>IFERROR(__xludf.DUMMYFUNCTION("""COMPUTED_VALUE"""),15.0)</f>
        <v>15</v>
      </c>
      <c r="L93" s="56">
        <f>IFERROR(__xludf.DUMMYFUNCTION("""COMPUTED_VALUE"""),2.0)</f>
        <v>2</v>
      </c>
      <c r="M93" s="56">
        <f>IFERROR(__xludf.DUMMYFUNCTION("""COMPUTED_VALUE"""),165.0)</f>
        <v>165</v>
      </c>
      <c r="N93" s="57">
        <f>IFERROR(__xludf.DUMMYFUNCTION("""COMPUTED_VALUE"""),17.0)</f>
        <v>17</v>
      </c>
    </row>
    <row r="94">
      <c r="A94" s="1"/>
      <c r="B94" s="53" t="str">
        <f>IFERROR(__xludf.DUMMYFUNCTION("""COMPUTED_VALUE"""),"Chinna Ponnaganti")</f>
        <v>Chinna Ponnaganti</v>
      </c>
      <c r="C94" s="54">
        <f>IFERROR(__xludf.DUMMYFUNCTION("""COMPUTED_VALUE"""),145.0)</f>
        <v>145</v>
      </c>
      <c r="D94" s="55">
        <f>IFERROR(__xludf.DUMMYFUNCTION("""COMPUTED_VALUE"""),15.0)</f>
        <v>15</v>
      </c>
      <c r="E94" s="54">
        <f>IFERROR(__xludf.DUMMYFUNCTION("""COMPUTED_VALUE"""),1.0)</f>
        <v>1</v>
      </c>
      <c r="F94" s="56">
        <f>IFERROR(__xludf.DUMMYFUNCTION("""COMPUTED_VALUE"""),2.0)</f>
        <v>2</v>
      </c>
      <c r="G94" s="56">
        <f>IFERROR(__xludf.DUMMYFUNCTION("""COMPUTED_VALUE"""),0.0)</f>
        <v>0</v>
      </c>
      <c r="H94" s="56">
        <f>IFERROR(__xludf.DUMMYFUNCTION("""COMPUTED_VALUE"""),5.0)</f>
        <v>5</v>
      </c>
      <c r="I94" s="56">
        <f>IFERROR(__xludf.DUMMYFUNCTION("""COMPUTED_VALUE"""),6.0)</f>
        <v>6</v>
      </c>
      <c r="J94" s="56">
        <f>IFERROR(__xludf.DUMMYFUNCTION("""COMPUTED_VALUE"""),7.0)</f>
        <v>7</v>
      </c>
      <c r="K94" s="56">
        <f>IFERROR(__xludf.DUMMYFUNCTION("""COMPUTED_VALUE"""),18.0)</f>
        <v>18</v>
      </c>
      <c r="L94" s="56">
        <f>IFERROR(__xludf.DUMMYFUNCTION("""COMPUTED_VALUE"""),2.0)</f>
        <v>2</v>
      </c>
      <c r="M94" s="56">
        <f>IFERROR(__xludf.DUMMYFUNCTION("""COMPUTED_VALUE"""),163.0)</f>
        <v>163</v>
      </c>
      <c r="N94" s="57">
        <f>IFERROR(__xludf.DUMMYFUNCTION("""COMPUTED_VALUE"""),17.0)</f>
        <v>17</v>
      </c>
    </row>
    <row r="95">
      <c r="A95" s="1"/>
      <c r="B95" s="53" t="str">
        <f>IFERROR(__xludf.DUMMYFUNCTION("""COMPUTED_VALUE"""),"Matthew Huang")</f>
        <v>Matthew Huang</v>
      </c>
      <c r="C95" s="54">
        <f>IFERROR(__xludf.DUMMYFUNCTION("""COMPUTED_VALUE"""),144.0)</f>
        <v>144</v>
      </c>
      <c r="D95" s="55">
        <f>IFERROR(__xludf.DUMMYFUNCTION("""COMPUTED_VALUE"""),11.0)</f>
        <v>11</v>
      </c>
      <c r="E95" s="54">
        <f>IFERROR(__xludf.DUMMYFUNCTION("""COMPUTED_VALUE"""),1.0)</f>
        <v>1</v>
      </c>
      <c r="F95" s="56">
        <f>IFERROR(__xludf.DUMMYFUNCTION("""COMPUTED_VALUE"""),2.0)</f>
        <v>2</v>
      </c>
      <c r="G95" s="56">
        <f>IFERROR(__xludf.DUMMYFUNCTION("""COMPUTED_VALUE"""),0.0)</f>
        <v>0</v>
      </c>
      <c r="H95" s="56">
        <f>IFERROR(__xludf.DUMMYFUNCTION("""COMPUTED_VALUE"""),7.0)</f>
        <v>7</v>
      </c>
      <c r="I95" s="56">
        <f>IFERROR(__xludf.DUMMYFUNCTION("""COMPUTED_VALUE"""),6.0)</f>
        <v>6</v>
      </c>
      <c r="J95" s="56">
        <f>IFERROR(__xludf.DUMMYFUNCTION("""COMPUTED_VALUE"""),6.0)</f>
        <v>6</v>
      </c>
      <c r="K95" s="56">
        <f>IFERROR(__xludf.DUMMYFUNCTION("""COMPUTED_VALUE"""),19.0)</f>
        <v>19</v>
      </c>
      <c r="L95" s="56">
        <f>IFERROR(__xludf.DUMMYFUNCTION("""COMPUTED_VALUE"""),2.0)</f>
        <v>2</v>
      </c>
      <c r="M95" s="56">
        <f>IFERROR(__xludf.DUMMYFUNCTION("""COMPUTED_VALUE"""),163.0)</f>
        <v>163</v>
      </c>
      <c r="N95" s="57">
        <f>IFERROR(__xludf.DUMMYFUNCTION("""COMPUTED_VALUE"""),13.0)</f>
        <v>13</v>
      </c>
    </row>
    <row r="96">
      <c r="A96" s="1"/>
      <c r="B96" s="53" t="str">
        <f>IFERROR(__xludf.DUMMYFUNCTION("""COMPUTED_VALUE"""),"Lloyd Sagar")</f>
        <v>Lloyd Sagar</v>
      </c>
      <c r="C96" s="54">
        <f>IFERROR(__xludf.DUMMYFUNCTION("""COMPUTED_VALUE"""),144.0)</f>
        <v>144</v>
      </c>
      <c r="D96" s="55">
        <f>IFERROR(__xludf.DUMMYFUNCTION("""COMPUTED_VALUE"""),9.0)</f>
        <v>9</v>
      </c>
      <c r="E96" s="54">
        <f>IFERROR(__xludf.DUMMYFUNCTION("""COMPUTED_VALUE"""),1.0)</f>
        <v>1</v>
      </c>
      <c r="F96" s="56">
        <f>IFERROR(__xludf.DUMMYFUNCTION("""COMPUTED_VALUE"""),2.0)</f>
        <v>2</v>
      </c>
      <c r="G96" s="56">
        <f>IFERROR(__xludf.DUMMYFUNCTION("""COMPUTED_VALUE"""),0.0)</f>
        <v>0</v>
      </c>
      <c r="H96" s="56">
        <f>IFERROR(__xludf.DUMMYFUNCTION("""COMPUTED_VALUE"""),5.0)</f>
        <v>5</v>
      </c>
      <c r="I96" s="56">
        <f>IFERROR(__xludf.DUMMYFUNCTION("""COMPUTED_VALUE"""),1.0)</f>
        <v>1</v>
      </c>
      <c r="J96" s="56">
        <f>IFERROR(__xludf.DUMMYFUNCTION("""COMPUTED_VALUE"""),6.0)</f>
        <v>6</v>
      </c>
      <c r="K96" s="56">
        <f>IFERROR(__xludf.DUMMYFUNCTION("""COMPUTED_VALUE"""),12.0)</f>
        <v>12</v>
      </c>
      <c r="L96" s="56">
        <f>IFERROR(__xludf.DUMMYFUNCTION("""COMPUTED_VALUE"""),0.0)</f>
        <v>0</v>
      </c>
      <c r="M96" s="56">
        <f>IFERROR(__xludf.DUMMYFUNCTION("""COMPUTED_VALUE"""),156.0)</f>
        <v>156</v>
      </c>
      <c r="N96" s="57">
        <f>IFERROR(__xludf.DUMMYFUNCTION("""COMPUTED_VALUE"""),9.0)</f>
        <v>9</v>
      </c>
    </row>
    <row r="97">
      <c r="A97" s="1"/>
      <c r="B97" s="48" t="str">
        <f>IFERROR(__xludf.DUMMYFUNCTION("""COMPUTED_VALUE"""),"Jonathan Phan")</f>
        <v>Jonathan Phan</v>
      </c>
      <c r="C97" s="49">
        <f>IFERROR(__xludf.DUMMYFUNCTION("""COMPUTED_VALUE"""),142.0)</f>
        <v>142</v>
      </c>
      <c r="D97" s="50">
        <f>IFERROR(__xludf.DUMMYFUNCTION("""COMPUTED_VALUE"""),13.0)</f>
        <v>13</v>
      </c>
      <c r="E97" s="49">
        <f>IFERROR(__xludf.DUMMYFUNCTION("""COMPUTED_VALUE"""),2.0)</f>
        <v>2</v>
      </c>
      <c r="F97" s="51">
        <f>IFERROR(__xludf.DUMMYFUNCTION("""COMPUTED_VALUE"""),3.0)</f>
        <v>3</v>
      </c>
      <c r="G97" s="51">
        <f>IFERROR(__xludf.DUMMYFUNCTION("""COMPUTED_VALUE"""),0.0)</f>
        <v>0</v>
      </c>
      <c r="H97" s="51">
        <f>IFERROR(__xludf.DUMMYFUNCTION("""COMPUTED_VALUE"""),6.0)</f>
        <v>6</v>
      </c>
      <c r="I97" s="51">
        <f>IFERROR(__xludf.DUMMYFUNCTION("""COMPUTED_VALUE"""),4.0)</f>
        <v>4</v>
      </c>
      <c r="J97" s="51">
        <f>IFERROR(__xludf.DUMMYFUNCTION("""COMPUTED_VALUE"""),6.0)</f>
        <v>6</v>
      </c>
      <c r="K97" s="51">
        <f>IFERROR(__xludf.DUMMYFUNCTION("""COMPUTED_VALUE"""),16.0)</f>
        <v>16</v>
      </c>
      <c r="L97" s="51">
        <f>IFERROR(__xludf.DUMMYFUNCTION("""COMPUTED_VALUE"""),2.0)</f>
        <v>2</v>
      </c>
      <c r="M97" s="51">
        <f>IFERROR(__xludf.DUMMYFUNCTION("""COMPUTED_VALUE"""),158.0)</f>
        <v>158</v>
      </c>
      <c r="N97" s="52">
        <f>IFERROR(__xludf.DUMMYFUNCTION("""COMPUTED_VALUE"""),15.0)</f>
        <v>15</v>
      </c>
    </row>
    <row r="98">
      <c r="A98" s="1"/>
      <c r="B98" s="48" t="str">
        <f>IFERROR(__xludf.DUMMYFUNCTION("""COMPUTED_VALUE"""),"Naveen Raj")</f>
        <v>Naveen Raj</v>
      </c>
      <c r="C98" s="49">
        <f>IFERROR(__xludf.DUMMYFUNCTION("""COMPUTED_VALUE"""),141.0)</f>
        <v>141</v>
      </c>
      <c r="D98" s="50">
        <f>IFERROR(__xludf.DUMMYFUNCTION("""COMPUTED_VALUE"""),11.0)</f>
        <v>11</v>
      </c>
      <c r="E98" s="49">
        <f>IFERROR(__xludf.DUMMYFUNCTION("""COMPUTED_VALUE"""),2.0)</f>
        <v>2</v>
      </c>
      <c r="F98" s="51">
        <f>IFERROR(__xludf.DUMMYFUNCTION("""COMPUTED_VALUE"""),3.0)</f>
        <v>3</v>
      </c>
      <c r="G98" s="51">
        <f>IFERROR(__xludf.DUMMYFUNCTION("""COMPUTED_VALUE"""),0.0)</f>
        <v>0</v>
      </c>
      <c r="H98" s="51">
        <f>IFERROR(__xludf.DUMMYFUNCTION("""COMPUTED_VALUE"""),2.0)</f>
        <v>2</v>
      </c>
      <c r="I98" s="51">
        <f>IFERROR(__xludf.DUMMYFUNCTION("""COMPUTED_VALUE"""),4.0)</f>
        <v>4</v>
      </c>
      <c r="J98" s="51">
        <f>IFERROR(__xludf.DUMMYFUNCTION("""COMPUTED_VALUE"""),3.0)</f>
        <v>3</v>
      </c>
      <c r="K98" s="51">
        <f>IFERROR(__xludf.DUMMYFUNCTION("""COMPUTED_VALUE"""),9.0)</f>
        <v>9</v>
      </c>
      <c r="L98" s="51">
        <f>IFERROR(__xludf.DUMMYFUNCTION("""COMPUTED_VALUE"""),0.0)</f>
        <v>0</v>
      </c>
      <c r="M98" s="51">
        <f>IFERROR(__xludf.DUMMYFUNCTION("""COMPUTED_VALUE"""),150.0)</f>
        <v>150</v>
      </c>
      <c r="N98" s="52">
        <f>IFERROR(__xludf.DUMMYFUNCTION("""COMPUTED_VALUE"""),11.0)</f>
        <v>11</v>
      </c>
    </row>
    <row r="99">
      <c r="A99" s="1"/>
      <c r="B99" s="48" t="str">
        <f>IFERROR(__xludf.DUMMYFUNCTION("""COMPUTED_VALUE"""),"Sai Dilip Ponnaganti")</f>
        <v>Sai Dilip Ponnaganti</v>
      </c>
      <c r="C99" s="49">
        <f>IFERROR(__xludf.DUMMYFUNCTION("""COMPUTED_VALUE"""),141.0)</f>
        <v>141</v>
      </c>
      <c r="D99" s="50">
        <f>IFERROR(__xludf.DUMMYFUNCTION("""COMPUTED_VALUE"""),9.0)</f>
        <v>9</v>
      </c>
      <c r="E99" s="49">
        <f>IFERROR(__xludf.DUMMYFUNCTION("""COMPUTED_VALUE"""),1.0)</f>
        <v>1</v>
      </c>
      <c r="F99" s="51">
        <f>IFERROR(__xludf.DUMMYFUNCTION("""COMPUTED_VALUE"""),3.0)</f>
        <v>3</v>
      </c>
      <c r="G99" s="51">
        <f>IFERROR(__xludf.DUMMYFUNCTION("""COMPUTED_VALUE"""),0.0)</f>
        <v>0</v>
      </c>
      <c r="H99" s="51">
        <f>IFERROR(__xludf.DUMMYFUNCTION("""COMPUTED_VALUE"""),6.0)</f>
        <v>6</v>
      </c>
      <c r="I99" s="51">
        <f>IFERROR(__xludf.DUMMYFUNCTION("""COMPUTED_VALUE"""),6.0)</f>
        <v>6</v>
      </c>
      <c r="J99" s="51">
        <f>IFERROR(__xludf.DUMMYFUNCTION("""COMPUTED_VALUE"""),3.0)</f>
        <v>3</v>
      </c>
      <c r="K99" s="51">
        <f>IFERROR(__xludf.DUMMYFUNCTION("""COMPUTED_VALUE"""),15.0)</f>
        <v>15</v>
      </c>
      <c r="L99" s="51">
        <f>IFERROR(__xludf.DUMMYFUNCTION("""COMPUTED_VALUE"""),2.0)</f>
        <v>2</v>
      </c>
      <c r="M99" s="51">
        <f>IFERROR(__xludf.DUMMYFUNCTION("""COMPUTED_VALUE"""),156.0)</f>
        <v>156</v>
      </c>
      <c r="N99" s="52">
        <f>IFERROR(__xludf.DUMMYFUNCTION("""COMPUTED_VALUE"""),11.0)</f>
        <v>11</v>
      </c>
    </row>
    <row r="100">
      <c r="A100" s="1"/>
      <c r="B100" s="48" t="str">
        <f>IFERROR(__xludf.DUMMYFUNCTION("""COMPUTED_VALUE"""),"Tony Wong")</f>
        <v>Tony Wong</v>
      </c>
      <c r="C100" s="49">
        <f>IFERROR(__xludf.DUMMYFUNCTION("""COMPUTED_VALUE"""),139.0)</f>
        <v>139</v>
      </c>
      <c r="D100" s="50">
        <f>IFERROR(__xludf.DUMMYFUNCTION("""COMPUTED_VALUE"""),10.0)</f>
        <v>10</v>
      </c>
      <c r="E100" s="49">
        <f>IFERROR(__xludf.DUMMYFUNCTION("""COMPUTED_VALUE"""),1.0)</f>
        <v>1</v>
      </c>
      <c r="F100" s="51">
        <f>IFERROR(__xludf.DUMMYFUNCTION("""COMPUTED_VALUE"""),3.0)</f>
        <v>3</v>
      </c>
      <c r="G100" s="51">
        <f>IFERROR(__xludf.DUMMYFUNCTION("""COMPUTED_VALUE"""),0.0)</f>
        <v>0</v>
      </c>
      <c r="H100" s="51">
        <f>IFERROR(__xludf.DUMMYFUNCTION("""COMPUTED_VALUE"""),2.0)</f>
        <v>2</v>
      </c>
      <c r="I100" s="51">
        <f>IFERROR(__xludf.DUMMYFUNCTION("""COMPUTED_VALUE"""),6.0)</f>
        <v>6</v>
      </c>
      <c r="J100" s="51">
        <f>IFERROR(__xludf.DUMMYFUNCTION("""COMPUTED_VALUE"""),6.0)</f>
        <v>6</v>
      </c>
      <c r="K100" s="51">
        <f>IFERROR(__xludf.DUMMYFUNCTION("""COMPUTED_VALUE"""),14.0)</f>
        <v>14</v>
      </c>
      <c r="L100" s="51">
        <f>IFERROR(__xludf.DUMMYFUNCTION("""COMPUTED_VALUE"""),2.0)</f>
        <v>2</v>
      </c>
      <c r="M100" s="51">
        <f>IFERROR(__xludf.DUMMYFUNCTION("""COMPUTED_VALUE"""),153.0)</f>
        <v>153</v>
      </c>
      <c r="N100" s="52">
        <f>IFERROR(__xludf.DUMMYFUNCTION("""COMPUTED_VALUE"""),12.0)</f>
        <v>12</v>
      </c>
    </row>
    <row r="101">
      <c r="A101" s="1"/>
      <c r="B101" s="53" t="str">
        <f>IFERROR(__xludf.DUMMYFUNCTION("""COMPUTED_VALUE"""),"Sean Chang")</f>
        <v>Sean Chang</v>
      </c>
      <c r="C101" s="54">
        <f>IFERROR(__xludf.DUMMYFUNCTION("""COMPUTED_VALUE"""),139.0)</f>
        <v>139</v>
      </c>
      <c r="D101" s="55">
        <f>IFERROR(__xludf.DUMMYFUNCTION("""COMPUTED_VALUE"""),8.0)</f>
        <v>8</v>
      </c>
      <c r="E101" s="54">
        <f>IFERROR(__xludf.DUMMYFUNCTION("""COMPUTED_VALUE"""),1.0)</f>
        <v>1</v>
      </c>
      <c r="F101" s="56">
        <f>IFERROR(__xludf.DUMMYFUNCTION("""COMPUTED_VALUE"""),4.0)</f>
        <v>4</v>
      </c>
      <c r="G101" s="56">
        <f>IFERROR(__xludf.DUMMYFUNCTION("""COMPUTED_VALUE"""),0.0)</f>
        <v>0</v>
      </c>
      <c r="H101" s="56">
        <f>IFERROR(__xludf.DUMMYFUNCTION("""COMPUTED_VALUE"""),6.0)</f>
        <v>6</v>
      </c>
      <c r="I101" s="56">
        <f>IFERROR(__xludf.DUMMYFUNCTION("""COMPUTED_VALUE"""),3.0)</f>
        <v>3</v>
      </c>
      <c r="J101" s="56">
        <f>IFERROR(__xludf.DUMMYFUNCTION("""COMPUTED_VALUE"""),2.0)</f>
        <v>2</v>
      </c>
      <c r="K101" s="56">
        <f>IFERROR(__xludf.DUMMYFUNCTION("""COMPUTED_VALUE"""),11.0)</f>
        <v>11</v>
      </c>
      <c r="L101" s="56">
        <f>IFERROR(__xludf.DUMMYFUNCTION("""COMPUTED_VALUE"""),1.0)</f>
        <v>1</v>
      </c>
      <c r="M101" s="56">
        <f>IFERROR(__xludf.DUMMYFUNCTION("""COMPUTED_VALUE"""),150.0)</f>
        <v>150</v>
      </c>
      <c r="N101" s="57">
        <f>IFERROR(__xludf.DUMMYFUNCTION("""COMPUTED_VALUE"""),9.0)</f>
        <v>9</v>
      </c>
    </row>
    <row r="102">
      <c r="A102" s="1"/>
      <c r="B102" s="53" t="str">
        <f>IFERROR(__xludf.DUMMYFUNCTION("""COMPUTED_VALUE"""),"David Shin")</f>
        <v>David Shin</v>
      </c>
      <c r="C102" s="54">
        <f>IFERROR(__xludf.DUMMYFUNCTION("""COMPUTED_VALUE"""),137.0)</f>
        <v>137</v>
      </c>
      <c r="D102" s="55">
        <f>IFERROR(__xludf.DUMMYFUNCTION("""COMPUTED_VALUE"""),8.0)</f>
        <v>8</v>
      </c>
      <c r="E102" s="54">
        <f>IFERROR(__xludf.DUMMYFUNCTION("""COMPUTED_VALUE"""),1.0)</f>
        <v>1</v>
      </c>
      <c r="F102" s="56">
        <f>IFERROR(__xludf.DUMMYFUNCTION("""COMPUTED_VALUE"""),4.0)</f>
        <v>4</v>
      </c>
      <c r="G102" s="56">
        <f>IFERROR(__xludf.DUMMYFUNCTION("""COMPUTED_VALUE"""),0.0)</f>
        <v>0</v>
      </c>
      <c r="H102" s="56">
        <f>IFERROR(__xludf.DUMMYFUNCTION("""COMPUTED_VALUE"""),0.0)</f>
        <v>0</v>
      </c>
      <c r="I102" s="56">
        <f>IFERROR(__xludf.DUMMYFUNCTION("""COMPUTED_VALUE"""),3.0)</f>
        <v>3</v>
      </c>
      <c r="J102" s="56">
        <f>IFERROR(__xludf.DUMMYFUNCTION("""COMPUTED_VALUE"""),6.0)</f>
        <v>6</v>
      </c>
      <c r="K102" s="56">
        <f>IFERROR(__xludf.DUMMYFUNCTION("""COMPUTED_VALUE"""),9.0)</f>
        <v>9</v>
      </c>
      <c r="L102" s="56">
        <f>IFERROR(__xludf.DUMMYFUNCTION("""COMPUTED_VALUE"""),1.0)</f>
        <v>1</v>
      </c>
      <c r="M102" s="56">
        <f>IFERROR(__xludf.DUMMYFUNCTION("""COMPUTED_VALUE"""),146.0)</f>
        <v>146</v>
      </c>
      <c r="N102" s="57">
        <f>IFERROR(__xludf.DUMMYFUNCTION("""COMPUTED_VALUE"""),9.0)</f>
        <v>9</v>
      </c>
    </row>
    <row r="103">
      <c r="A103" s="1"/>
      <c r="B103" s="53" t="str">
        <f>IFERROR(__xludf.DUMMYFUNCTION("""COMPUTED_VALUE"""),"Mauricio Palacios")</f>
        <v>Mauricio Palacios</v>
      </c>
      <c r="C103" s="54">
        <f>IFERROR(__xludf.DUMMYFUNCTION("""COMPUTED_VALUE"""),136.0)</f>
        <v>136</v>
      </c>
      <c r="D103" s="55">
        <f>IFERROR(__xludf.DUMMYFUNCTION("""COMPUTED_VALUE"""),13.0)</f>
        <v>13</v>
      </c>
      <c r="E103" s="54">
        <f>IFERROR(__xludf.DUMMYFUNCTION("""COMPUTED_VALUE"""),1.0)</f>
        <v>1</v>
      </c>
      <c r="F103" s="56">
        <f>IFERROR(__xludf.DUMMYFUNCTION("""COMPUTED_VALUE"""),4.0)</f>
        <v>4</v>
      </c>
      <c r="G103" s="56">
        <f>IFERROR(__xludf.DUMMYFUNCTION("""COMPUTED_VALUE"""),0.0)</f>
        <v>0</v>
      </c>
      <c r="H103" s="56">
        <f>IFERROR(__xludf.DUMMYFUNCTION("""COMPUTED_VALUE"""),0.0)</f>
        <v>0</v>
      </c>
      <c r="I103" s="56">
        <f>IFERROR(__xludf.DUMMYFUNCTION("""COMPUTED_VALUE"""),6.0)</f>
        <v>6</v>
      </c>
      <c r="J103" s="56">
        <f>IFERROR(__xludf.DUMMYFUNCTION("""COMPUTED_VALUE"""),2.0)</f>
        <v>2</v>
      </c>
      <c r="K103" s="56">
        <f>IFERROR(__xludf.DUMMYFUNCTION("""COMPUTED_VALUE"""),8.0)</f>
        <v>8</v>
      </c>
      <c r="L103" s="56">
        <f>IFERROR(__xludf.DUMMYFUNCTION("""COMPUTED_VALUE"""),1.0)</f>
        <v>1</v>
      </c>
      <c r="M103" s="56">
        <f>IFERROR(__xludf.DUMMYFUNCTION("""COMPUTED_VALUE"""),144.0)</f>
        <v>144</v>
      </c>
      <c r="N103" s="57">
        <f>IFERROR(__xludf.DUMMYFUNCTION("""COMPUTED_VALUE"""),14.0)</f>
        <v>14</v>
      </c>
    </row>
    <row r="104">
      <c r="A104" s="1"/>
      <c r="B104" s="53" t="str">
        <f>IFERROR(__xludf.DUMMYFUNCTION("""COMPUTED_VALUE"""),"Lam Bui")</f>
        <v>Lam Bui</v>
      </c>
      <c r="C104" s="54">
        <f>IFERROR(__xludf.DUMMYFUNCTION("""COMPUTED_VALUE"""),135.0)</f>
        <v>135</v>
      </c>
      <c r="D104" s="55">
        <f>IFERROR(__xludf.DUMMYFUNCTION("""COMPUTED_VALUE"""),7.0)</f>
        <v>7</v>
      </c>
      <c r="E104" s="54">
        <f>IFERROR(__xludf.DUMMYFUNCTION("""COMPUTED_VALUE"""),1.0)</f>
        <v>1</v>
      </c>
      <c r="F104" s="56">
        <f>IFERROR(__xludf.DUMMYFUNCTION("""COMPUTED_VALUE"""),4.0)</f>
        <v>4</v>
      </c>
      <c r="G104" s="56">
        <f>IFERROR(__xludf.DUMMYFUNCTION("""COMPUTED_VALUE"""),0.0)</f>
        <v>0</v>
      </c>
      <c r="H104" s="56">
        <f>IFERROR(__xludf.DUMMYFUNCTION("""COMPUTED_VALUE"""),6.0)</f>
        <v>6</v>
      </c>
      <c r="I104" s="56">
        <f>IFERROR(__xludf.DUMMYFUNCTION("""COMPUTED_VALUE"""),6.0)</f>
        <v>6</v>
      </c>
      <c r="J104" s="56">
        <f>IFERROR(__xludf.DUMMYFUNCTION("""COMPUTED_VALUE"""),6.0)</f>
        <v>6</v>
      </c>
      <c r="K104" s="56">
        <f>IFERROR(__xludf.DUMMYFUNCTION("""COMPUTED_VALUE"""),18.0)</f>
        <v>18</v>
      </c>
      <c r="L104" s="56">
        <f>IFERROR(__xludf.DUMMYFUNCTION("""COMPUTED_VALUE"""),3.0)</f>
        <v>3</v>
      </c>
      <c r="M104" s="56">
        <f>IFERROR(__xludf.DUMMYFUNCTION("""COMPUTED_VALUE"""),153.0)</f>
        <v>153</v>
      </c>
      <c r="N104" s="57">
        <f>IFERROR(__xludf.DUMMYFUNCTION("""COMPUTED_VALUE"""),10.0)</f>
        <v>10</v>
      </c>
    </row>
    <row r="105">
      <c r="A105" s="1"/>
      <c r="B105" s="48" t="str">
        <f>IFERROR(__xludf.DUMMYFUNCTION("""COMPUTED_VALUE"""),"Trinath Goteti")</f>
        <v>Trinath Goteti</v>
      </c>
      <c r="C105" s="49">
        <f>IFERROR(__xludf.DUMMYFUNCTION("""COMPUTED_VALUE"""),133.0)</f>
        <v>133</v>
      </c>
      <c r="D105" s="50">
        <f>IFERROR(__xludf.DUMMYFUNCTION("""COMPUTED_VALUE"""),7.0)</f>
        <v>7</v>
      </c>
      <c r="E105" s="49">
        <f>IFERROR(__xludf.DUMMYFUNCTION("""COMPUTED_VALUE"""),2.0)</f>
        <v>2</v>
      </c>
      <c r="F105" s="51">
        <f>IFERROR(__xludf.DUMMYFUNCTION("""COMPUTED_VALUE"""),5.0)</f>
        <v>5</v>
      </c>
      <c r="G105" s="51">
        <f>IFERROR(__xludf.DUMMYFUNCTION("""COMPUTED_VALUE"""),0.0)</f>
        <v>0</v>
      </c>
      <c r="H105" s="51">
        <f>IFERROR(__xludf.DUMMYFUNCTION("""COMPUTED_VALUE"""),7.0)</f>
        <v>7</v>
      </c>
      <c r="I105" s="51">
        <f>IFERROR(__xludf.DUMMYFUNCTION("""COMPUTED_VALUE"""),6.0)</f>
        <v>6</v>
      </c>
      <c r="J105" s="51">
        <f>IFERROR(__xludf.DUMMYFUNCTION("""COMPUTED_VALUE"""),6.0)</f>
        <v>6</v>
      </c>
      <c r="K105" s="51">
        <f>IFERROR(__xludf.DUMMYFUNCTION("""COMPUTED_VALUE"""),19.0)</f>
        <v>19</v>
      </c>
      <c r="L105" s="51">
        <f>IFERROR(__xludf.DUMMYFUNCTION("""COMPUTED_VALUE"""),3.0)</f>
        <v>3</v>
      </c>
      <c r="M105" s="51">
        <f>IFERROR(__xludf.DUMMYFUNCTION("""COMPUTED_VALUE"""),152.0)</f>
        <v>152</v>
      </c>
      <c r="N105" s="52">
        <f>IFERROR(__xludf.DUMMYFUNCTION("""COMPUTED_VALUE"""),10.0)</f>
        <v>10</v>
      </c>
    </row>
    <row r="106">
      <c r="A106" s="1"/>
      <c r="B106" s="48" t="str">
        <f>IFERROR(__xludf.DUMMYFUNCTION("""COMPUTED_VALUE"""),"Sandy Weyant")</f>
        <v>Sandy Weyant</v>
      </c>
      <c r="C106" s="49">
        <f>IFERROR(__xludf.DUMMYFUNCTION("""COMPUTED_VALUE"""),128.0)</f>
        <v>128</v>
      </c>
      <c r="D106" s="50">
        <f>IFERROR(__xludf.DUMMYFUNCTION("""COMPUTED_VALUE"""),5.0)</f>
        <v>5</v>
      </c>
      <c r="E106" s="49">
        <f>IFERROR(__xludf.DUMMYFUNCTION("""COMPUTED_VALUE"""),1.0)</f>
        <v>1</v>
      </c>
      <c r="F106" s="51">
        <f>IFERROR(__xludf.DUMMYFUNCTION("""COMPUTED_VALUE"""),5.0)</f>
        <v>5</v>
      </c>
      <c r="G106" s="51">
        <f>IFERROR(__xludf.DUMMYFUNCTION("""COMPUTED_VALUE"""),0.0)</f>
        <v>0</v>
      </c>
      <c r="H106" s="51">
        <f>IFERROR(__xludf.DUMMYFUNCTION("""COMPUTED_VALUE"""),5.0)</f>
        <v>5</v>
      </c>
      <c r="I106" s="51">
        <f>IFERROR(__xludf.DUMMYFUNCTION("""COMPUTED_VALUE"""),6.0)</f>
        <v>6</v>
      </c>
      <c r="J106" s="51">
        <f>IFERROR(__xludf.DUMMYFUNCTION("""COMPUTED_VALUE"""),0.0)</f>
        <v>0</v>
      </c>
      <c r="K106" s="51">
        <f>IFERROR(__xludf.DUMMYFUNCTION("""COMPUTED_VALUE"""),11.0)</f>
        <v>11</v>
      </c>
      <c r="L106" s="51">
        <f>IFERROR(__xludf.DUMMYFUNCTION("""COMPUTED_VALUE"""),1.0)</f>
        <v>1</v>
      </c>
      <c r="M106" s="51">
        <f>IFERROR(__xludf.DUMMYFUNCTION("""COMPUTED_VALUE"""),139.0)</f>
        <v>139</v>
      </c>
      <c r="N106" s="52">
        <f>IFERROR(__xludf.DUMMYFUNCTION("""COMPUTED_VALUE"""),6.0)</f>
        <v>6</v>
      </c>
    </row>
    <row r="107">
      <c r="A107" s="1"/>
      <c r="B107" s="48" t="str">
        <f>IFERROR(__xludf.DUMMYFUNCTION("""COMPUTED_VALUE"""),"Manuel Rivera")</f>
        <v>Manuel Rivera</v>
      </c>
      <c r="C107" s="49">
        <f>IFERROR(__xludf.DUMMYFUNCTION("""COMPUTED_VALUE"""),127.0)</f>
        <v>127</v>
      </c>
      <c r="D107" s="50">
        <f>IFERROR(__xludf.DUMMYFUNCTION("""COMPUTED_VALUE"""),11.0)</f>
        <v>11</v>
      </c>
      <c r="E107" s="49">
        <f>IFERROR(__xludf.DUMMYFUNCTION("""COMPUTED_VALUE"""),1.0)</f>
        <v>1</v>
      </c>
      <c r="F107" s="51">
        <f>IFERROR(__xludf.DUMMYFUNCTION("""COMPUTED_VALUE"""),5.0)</f>
        <v>5</v>
      </c>
      <c r="G107" s="51">
        <f>IFERROR(__xludf.DUMMYFUNCTION("""COMPUTED_VALUE"""),0.0)</f>
        <v>0</v>
      </c>
      <c r="H107" s="51">
        <f>IFERROR(__xludf.DUMMYFUNCTION("""COMPUTED_VALUE"""),7.0)</f>
        <v>7</v>
      </c>
      <c r="I107" s="51">
        <f>IFERROR(__xludf.DUMMYFUNCTION("""COMPUTED_VALUE"""),1.0)</f>
        <v>1</v>
      </c>
      <c r="J107" s="51">
        <f>IFERROR(__xludf.DUMMYFUNCTION("""COMPUTED_VALUE"""),0.0)</f>
        <v>0</v>
      </c>
      <c r="K107" s="51">
        <f>IFERROR(__xludf.DUMMYFUNCTION("""COMPUTED_VALUE"""),8.0)</f>
        <v>8</v>
      </c>
      <c r="L107" s="51">
        <f>IFERROR(__xludf.DUMMYFUNCTION("""COMPUTED_VALUE"""),1.0)</f>
        <v>1</v>
      </c>
      <c r="M107" s="51">
        <f>IFERROR(__xludf.DUMMYFUNCTION("""COMPUTED_VALUE"""),135.0)</f>
        <v>135</v>
      </c>
      <c r="N107" s="52">
        <f>IFERROR(__xludf.DUMMYFUNCTION("""COMPUTED_VALUE"""),12.0)</f>
        <v>12</v>
      </c>
    </row>
    <row r="108">
      <c r="A108" s="1"/>
      <c r="B108" s="48" t="str">
        <f>IFERROR(__xludf.DUMMYFUNCTION("""COMPUTED_VALUE"""),"Vinot Kumar Nagappan")</f>
        <v>Vinot Kumar Nagappan</v>
      </c>
      <c r="C108" s="49">
        <f>IFERROR(__xludf.DUMMYFUNCTION("""COMPUTED_VALUE"""),125.0)</f>
        <v>125</v>
      </c>
      <c r="D108" s="50">
        <f>IFERROR(__xludf.DUMMYFUNCTION("""COMPUTED_VALUE"""),7.0)</f>
        <v>7</v>
      </c>
      <c r="E108" s="49">
        <f>IFERROR(__xludf.DUMMYFUNCTION("""COMPUTED_VALUE"""),1.0)</f>
        <v>1</v>
      </c>
      <c r="F108" s="51">
        <f>IFERROR(__xludf.DUMMYFUNCTION("""COMPUTED_VALUE"""),5.0)</f>
        <v>5</v>
      </c>
      <c r="G108" s="51">
        <f>IFERROR(__xludf.DUMMYFUNCTION("""COMPUTED_VALUE"""),0.0)</f>
        <v>0</v>
      </c>
      <c r="H108" s="51">
        <f>IFERROR(__xludf.DUMMYFUNCTION("""COMPUTED_VALUE"""),5.0)</f>
        <v>5</v>
      </c>
      <c r="I108" s="51">
        <f>IFERROR(__xludf.DUMMYFUNCTION("""COMPUTED_VALUE"""),1.0)</f>
        <v>1</v>
      </c>
      <c r="J108" s="51">
        <f>IFERROR(__xludf.DUMMYFUNCTION("""COMPUTED_VALUE"""),6.0)</f>
        <v>6</v>
      </c>
      <c r="K108" s="51">
        <f>IFERROR(__xludf.DUMMYFUNCTION("""COMPUTED_VALUE"""),12.0)</f>
        <v>12</v>
      </c>
      <c r="L108" s="51">
        <f>IFERROR(__xludf.DUMMYFUNCTION("""COMPUTED_VALUE"""),1.0)</f>
        <v>1</v>
      </c>
      <c r="M108" s="51">
        <f>IFERROR(__xludf.DUMMYFUNCTION("""COMPUTED_VALUE"""),137.0)</f>
        <v>137</v>
      </c>
      <c r="N108" s="52">
        <f>IFERROR(__xludf.DUMMYFUNCTION("""COMPUTED_VALUE"""),8.0)</f>
        <v>8</v>
      </c>
    </row>
    <row r="109">
      <c r="A109" s="1"/>
      <c r="B109" s="53" t="str">
        <f>IFERROR(__xludf.DUMMYFUNCTION("""COMPUTED_VALUE"""),"Jimmy Awolesi")</f>
        <v>Jimmy Awolesi</v>
      </c>
      <c r="C109" s="54">
        <f>IFERROR(__xludf.DUMMYFUNCTION("""COMPUTED_VALUE"""),119.0)</f>
        <v>119</v>
      </c>
      <c r="D109" s="55">
        <f>IFERROR(__xludf.DUMMYFUNCTION("""COMPUTED_VALUE"""),8.0)</f>
        <v>8</v>
      </c>
      <c r="E109" s="54">
        <f>IFERROR(__xludf.DUMMYFUNCTION("""COMPUTED_VALUE"""),1.0)</f>
        <v>1</v>
      </c>
      <c r="F109" s="56">
        <f>IFERROR(__xludf.DUMMYFUNCTION("""COMPUTED_VALUE"""),6.0)</f>
        <v>6</v>
      </c>
      <c r="G109" s="56">
        <f>IFERROR(__xludf.DUMMYFUNCTION("""COMPUTED_VALUE"""),0.0)</f>
        <v>0</v>
      </c>
      <c r="H109" s="56">
        <f>IFERROR(__xludf.DUMMYFUNCTION("""COMPUTED_VALUE"""),2.0)</f>
        <v>2</v>
      </c>
      <c r="I109" s="56">
        <f>IFERROR(__xludf.DUMMYFUNCTION("""COMPUTED_VALUE"""),6.0)</f>
        <v>6</v>
      </c>
      <c r="J109" s="56">
        <f>IFERROR(__xludf.DUMMYFUNCTION("""COMPUTED_VALUE"""),6.0)</f>
        <v>6</v>
      </c>
      <c r="K109" s="56">
        <f>IFERROR(__xludf.DUMMYFUNCTION("""COMPUTED_VALUE"""),14.0)</f>
        <v>14</v>
      </c>
      <c r="L109" s="56">
        <f>IFERROR(__xludf.DUMMYFUNCTION("""COMPUTED_VALUE"""),2.0)</f>
        <v>2</v>
      </c>
      <c r="M109" s="56">
        <f>IFERROR(__xludf.DUMMYFUNCTION("""COMPUTED_VALUE"""),133.0)</f>
        <v>133</v>
      </c>
      <c r="N109" s="57">
        <f>IFERROR(__xludf.DUMMYFUNCTION("""COMPUTED_VALUE"""),10.0)</f>
        <v>10</v>
      </c>
    </row>
    <row r="110">
      <c r="A110" s="1"/>
      <c r="B110" s="53" t="str">
        <f>IFERROR(__xludf.DUMMYFUNCTION("""COMPUTED_VALUE"""),"Balaji Alahari")</f>
        <v>Balaji Alahari</v>
      </c>
      <c r="C110" s="54">
        <f>IFERROR(__xludf.DUMMYFUNCTION("""COMPUTED_VALUE"""),119.0)</f>
        <v>119</v>
      </c>
      <c r="D110" s="55">
        <f>IFERROR(__xludf.DUMMYFUNCTION("""COMPUTED_VALUE"""),1.0)</f>
        <v>1</v>
      </c>
      <c r="E110" s="54">
        <f>IFERROR(__xludf.DUMMYFUNCTION("""COMPUTED_VALUE"""),1.0)</f>
        <v>1</v>
      </c>
      <c r="F110" s="56">
        <f>IFERROR(__xludf.DUMMYFUNCTION("""COMPUTED_VALUE"""),6.0)</f>
        <v>6</v>
      </c>
      <c r="G110" s="56">
        <f>IFERROR(__xludf.DUMMYFUNCTION("""COMPUTED_VALUE"""),0.0)</f>
        <v>0</v>
      </c>
      <c r="H110" s="56">
        <f>IFERROR(__xludf.DUMMYFUNCTION("""COMPUTED_VALUE"""),6.0)</f>
        <v>6</v>
      </c>
      <c r="I110" s="56">
        <f>IFERROR(__xludf.DUMMYFUNCTION("""COMPUTED_VALUE"""),1.0)</f>
        <v>1</v>
      </c>
      <c r="J110" s="56">
        <f>IFERROR(__xludf.DUMMYFUNCTION("""COMPUTED_VALUE"""),6.0)</f>
        <v>6</v>
      </c>
      <c r="K110" s="56">
        <f>IFERROR(__xludf.DUMMYFUNCTION("""COMPUTED_VALUE"""),13.0)</f>
        <v>13</v>
      </c>
      <c r="L110" s="56">
        <f>IFERROR(__xludf.DUMMYFUNCTION("""COMPUTED_VALUE"""),2.0)</f>
        <v>2</v>
      </c>
      <c r="M110" s="56">
        <f>IFERROR(__xludf.DUMMYFUNCTION("""COMPUTED_VALUE"""),132.0)</f>
        <v>132</v>
      </c>
      <c r="N110" s="57">
        <f>IFERROR(__xludf.DUMMYFUNCTION("""COMPUTED_VALUE"""),3.0)</f>
        <v>3</v>
      </c>
    </row>
    <row r="111">
      <c r="A111" s="1"/>
      <c r="B111" s="53" t="str">
        <f>IFERROR(__xludf.DUMMYFUNCTION("""COMPUTED_VALUE"""),"Pan Lee")</f>
        <v>Pan Lee</v>
      </c>
      <c r="C111" s="54">
        <f>IFERROR(__xludf.DUMMYFUNCTION("""COMPUTED_VALUE"""),118.0)</f>
        <v>118</v>
      </c>
      <c r="D111" s="55">
        <f>IFERROR(__xludf.DUMMYFUNCTION("""COMPUTED_VALUE"""),3.0)</f>
        <v>3</v>
      </c>
      <c r="E111" s="54">
        <f>IFERROR(__xludf.DUMMYFUNCTION("""COMPUTED_VALUE"""),2.0)</f>
        <v>2</v>
      </c>
      <c r="F111" s="56">
        <f>IFERROR(__xludf.DUMMYFUNCTION("""COMPUTED_VALUE"""),6.0)</f>
        <v>6</v>
      </c>
      <c r="G111" s="56">
        <f>IFERROR(__xludf.DUMMYFUNCTION("""COMPUTED_VALUE"""),0.0)</f>
        <v>0</v>
      </c>
      <c r="H111" s="56">
        <f>IFERROR(__xludf.DUMMYFUNCTION("""COMPUTED_VALUE"""),6.0)</f>
        <v>6</v>
      </c>
      <c r="I111" s="56">
        <f>IFERROR(__xludf.DUMMYFUNCTION("""COMPUTED_VALUE"""),6.0)</f>
        <v>6</v>
      </c>
      <c r="J111" s="56">
        <f>IFERROR(__xludf.DUMMYFUNCTION("""COMPUTED_VALUE"""),1.0)</f>
        <v>1</v>
      </c>
      <c r="K111" s="56">
        <f>IFERROR(__xludf.DUMMYFUNCTION("""COMPUTED_VALUE"""),13.0)</f>
        <v>13</v>
      </c>
      <c r="L111" s="56">
        <f>IFERROR(__xludf.DUMMYFUNCTION("""COMPUTED_VALUE"""),2.0)</f>
        <v>2</v>
      </c>
      <c r="M111" s="56">
        <f>IFERROR(__xludf.DUMMYFUNCTION("""COMPUTED_VALUE"""),131.0)</f>
        <v>131</v>
      </c>
      <c r="N111" s="57">
        <f>IFERROR(__xludf.DUMMYFUNCTION("""COMPUTED_VALUE"""),5.0)</f>
        <v>5</v>
      </c>
    </row>
    <row r="112">
      <c r="A112" s="1"/>
      <c r="B112" s="53" t="str">
        <f>IFERROR(__xludf.DUMMYFUNCTION("""COMPUTED_VALUE"""),"Jose Ortiz")</f>
        <v>Jose Ortiz</v>
      </c>
      <c r="C112" s="54">
        <f>IFERROR(__xludf.DUMMYFUNCTION("""COMPUTED_VALUE"""),110.0)</f>
        <v>110</v>
      </c>
      <c r="D112" s="55">
        <f>IFERROR(__xludf.DUMMYFUNCTION("""COMPUTED_VALUE"""),5.0)</f>
        <v>5</v>
      </c>
      <c r="E112" s="54">
        <f>IFERROR(__xludf.DUMMYFUNCTION("""COMPUTED_VALUE"""),1.0)</f>
        <v>1</v>
      </c>
      <c r="F112" s="56">
        <f>IFERROR(__xludf.DUMMYFUNCTION("""COMPUTED_VALUE"""),6.0)</f>
        <v>6</v>
      </c>
      <c r="G112" s="56">
        <f>IFERROR(__xludf.DUMMYFUNCTION("""COMPUTED_VALUE"""),0.0)</f>
        <v>0</v>
      </c>
      <c r="H112" s="56">
        <f>IFERROR(__xludf.DUMMYFUNCTION("""COMPUTED_VALUE"""),2.0)</f>
        <v>2</v>
      </c>
      <c r="I112" s="56">
        <f>IFERROR(__xludf.DUMMYFUNCTION("""COMPUTED_VALUE"""),1.0)</f>
        <v>1</v>
      </c>
      <c r="J112" s="56">
        <f>IFERROR(__xludf.DUMMYFUNCTION("""COMPUTED_VALUE"""),1.0)</f>
        <v>1</v>
      </c>
      <c r="K112" s="56">
        <f>IFERROR(__xludf.DUMMYFUNCTION("""COMPUTED_VALUE"""),4.0)</f>
        <v>4</v>
      </c>
      <c r="L112" s="56">
        <f>IFERROR(__xludf.DUMMYFUNCTION("""COMPUTED_VALUE"""),0.0)</f>
        <v>0</v>
      </c>
      <c r="M112" s="56">
        <f>IFERROR(__xludf.DUMMYFUNCTION("""COMPUTED_VALUE"""),114.0)</f>
        <v>114</v>
      </c>
      <c r="N112" s="57">
        <f>IFERROR(__xludf.DUMMYFUNCTION("""COMPUTED_VALUE"""),5.0)</f>
        <v>5</v>
      </c>
    </row>
    <row r="113">
      <c r="A113" s="1"/>
      <c r="B113" s="48" t="str">
        <f>IFERROR(__xludf.DUMMYFUNCTION("""COMPUTED_VALUE"""),"Coco Yan")</f>
        <v>Coco Yan</v>
      </c>
      <c r="C113" s="49">
        <f>IFERROR(__xludf.DUMMYFUNCTION("""COMPUTED_VALUE"""),108.0)</f>
        <v>108</v>
      </c>
      <c r="D113" s="50">
        <f>IFERROR(__xludf.DUMMYFUNCTION("""COMPUTED_VALUE"""),0.0)</f>
        <v>0</v>
      </c>
      <c r="E113" s="49">
        <f>IFERROR(__xludf.DUMMYFUNCTION("""COMPUTED_VALUE"""),1.0)</f>
        <v>1</v>
      </c>
      <c r="F113" s="51">
        <f>IFERROR(__xludf.DUMMYFUNCTION("""COMPUTED_VALUE"""),7.0)</f>
        <v>7</v>
      </c>
      <c r="G113" s="51">
        <f>IFERROR(__xludf.DUMMYFUNCTION("""COMPUTED_VALUE"""),0.0)</f>
        <v>0</v>
      </c>
      <c r="H113" s="51">
        <f>IFERROR(__xludf.DUMMYFUNCTION("""COMPUTED_VALUE"""),0.0)</f>
        <v>0</v>
      </c>
      <c r="I113" s="51">
        <f>IFERROR(__xludf.DUMMYFUNCTION("""COMPUTED_VALUE"""),7.0)</f>
        <v>7</v>
      </c>
      <c r="J113" s="51">
        <f>IFERROR(__xludf.DUMMYFUNCTION("""COMPUTED_VALUE"""),6.0)</f>
        <v>6</v>
      </c>
      <c r="K113" s="51">
        <f>IFERROR(__xludf.DUMMYFUNCTION("""COMPUTED_VALUE"""),13.0)</f>
        <v>13</v>
      </c>
      <c r="L113" s="51">
        <f>IFERROR(__xludf.DUMMYFUNCTION("""COMPUTED_VALUE"""),2.0)</f>
        <v>2</v>
      </c>
      <c r="M113" s="51">
        <f>IFERROR(__xludf.DUMMYFUNCTION("""COMPUTED_VALUE"""),121.0)</f>
        <v>121</v>
      </c>
      <c r="N113" s="52">
        <f>IFERROR(__xludf.DUMMYFUNCTION("""COMPUTED_VALUE"""),2.0)</f>
        <v>2</v>
      </c>
    </row>
    <row r="114">
      <c r="A114" s="1"/>
      <c r="B114" s="48" t="str">
        <f>IFERROR(__xludf.DUMMYFUNCTION("""COMPUTED_VALUE"""),"Kingsley Kuo")</f>
        <v>Kingsley Kuo</v>
      </c>
      <c r="C114" s="49">
        <f>IFERROR(__xludf.DUMMYFUNCTION("""COMPUTED_VALUE"""),108.0)</f>
        <v>108</v>
      </c>
      <c r="D114" s="50">
        <f>IFERROR(__xludf.DUMMYFUNCTION("""COMPUTED_VALUE"""),0.0)</f>
        <v>0</v>
      </c>
      <c r="E114" s="49">
        <f>IFERROR(__xludf.DUMMYFUNCTION("""COMPUTED_VALUE"""),1.0)</f>
        <v>1</v>
      </c>
      <c r="F114" s="51">
        <f>IFERROR(__xludf.DUMMYFUNCTION("""COMPUTED_VALUE"""),7.0)</f>
        <v>7</v>
      </c>
      <c r="G114" s="51">
        <f>IFERROR(__xludf.DUMMYFUNCTION("""COMPUTED_VALUE"""),0.0)</f>
        <v>0</v>
      </c>
      <c r="H114" s="51">
        <f>IFERROR(__xludf.DUMMYFUNCTION("""COMPUTED_VALUE"""),6.0)</f>
        <v>6</v>
      </c>
      <c r="I114" s="51">
        <f>IFERROR(__xludf.DUMMYFUNCTION("""COMPUTED_VALUE"""),6.0)</f>
        <v>6</v>
      </c>
      <c r="J114" s="51">
        <f>IFERROR(__xludf.DUMMYFUNCTION("""COMPUTED_VALUE"""),6.0)</f>
        <v>6</v>
      </c>
      <c r="K114" s="51">
        <f>IFERROR(__xludf.DUMMYFUNCTION("""COMPUTED_VALUE"""),18.0)</f>
        <v>18</v>
      </c>
      <c r="L114" s="51">
        <f>IFERROR(__xludf.DUMMYFUNCTION("""COMPUTED_VALUE"""),2.0)</f>
        <v>2</v>
      </c>
      <c r="M114" s="51">
        <f>IFERROR(__xludf.DUMMYFUNCTION("""COMPUTED_VALUE"""),126.0)</f>
        <v>126</v>
      </c>
      <c r="N114" s="52">
        <f>IFERROR(__xludf.DUMMYFUNCTION("""COMPUTED_VALUE"""),2.0)</f>
        <v>2</v>
      </c>
    </row>
    <row r="115">
      <c r="A115" s="1"/>
      <c r="B115" s="48" t="str">
        <f>IFERROR(__xludf.DUMMYFUNCTION("""COMPUTED_VALUE"""),"Elayaraja Thangaraj ")</f>
        <v>Elayaraja Thangaraj </v>
      </c>
      <c r="C115" s="49">
        <f>IFERROR(__xludf.DUMMYFUNCTION("""COMPUTED_VALUE"""),105.0)</f>
        <v>105</v>
      </c>
      <c r="D115" s="50">
        <f>IFERROR(__xludf.DUMMYFUNCTION("""COMPUTED_VALUE"""),5.0)</f>
        <v>5</v>
      </c>
      <c r="E115" s="49">
        <f>IFERROR(__xludf.DUMMYFUNCTION("""COMPUTED_VALUE"""),1.0)</f>
        <v>1</v>
      </c>
      <c r="F115" s="51">
        <f>IFERROR(__xludf.DUMMYFUNCTION("""COMPUTED_VALUE"""),7.0)</f>
        <v>7</v>
      </c>
      <c r="G115" s="51">
        <f>IFERROR(__xludf.DUMMYFUNCTION("""COMPUTED_VALUE"""),0.0)</f>
        <v>0</v>
      </c>
      <c r="H115" s="51">
        <f>IFERROR(__xludf.DUMMYFUNCTION("""COMPUTED_VALUE"""),6.0)</f>
        <v>6</v>
      </c>
      <c r="I115" s="51">
        <f>IFERROR(__xludf.DUMMYFUNCTION("""COMPUTED_VALUE"""),7.0)</f>
        <v>7</v>
      </c>
      <c r="J115" s="51">
        <f>IFERROR(__xludf.DUMMYFUNCTION("""COMPUTED_VALUE"""),0.0)</f>
        <v>0</v>
      </c>
      <c r="K115" s="51">
        <f>IFERROR(__xludf.DUMMYFUNCTION("""COMPUTED_VALUE"""),13.0)</f>
        <v>13</v>
      </c>
      <c r="L115" s="51">
        <f>IFERROR(__xludf.DUMMYFUNCTION("""COMPUTED_VALUE"""),2.0)</f>
        <v>2</v>
      </c>
      <c r="M115" s="51">
        <f>IFERROR(__xludf.DUMMYFUNCTION("""COMPUTED_VALUE"""),118.0)</f>
        <v>118</v>
      </c>
      <c r="N115" s="52">
        <f>IFERROR(__xludf.DUMMYFUNCTION("""COMPUTED_VALUE"""),7.0)</f>
        <v>7</v>
      </c>
    </row>
    <row r="116">
      <c r="A116" s="1"/>
      <c r="B116" s="48" t="str">
        <f>IFERROR(__xludf.DUMMYFUNCTION("""COMPUTED_VALUE"""),"Joyce Zhu")</f>
        <v>Joyce Zhu</v>
      </c>
      <c r="C116" s="49">
        <f>IFERROR(__xludf.DUMMYFUNCTION("""COMPUTED_VALUE"""),104.0)</f>
        <v>104</v>
      </c>
      <c r="D116" s="50">
        <f>IFERROR(__xludf.DUMMYFUNCTION("""COMPUTED_VALUE"""),1.0)</f>
        <v>1</v>
      </c>
      <c r="E116" s="49">
        <f>IFERROR(__xludf.DUMMYFUNCTION("""COMPUTED_VALUE"""),1.0)</f>
        <v>1</v>
      </c>
      <c r="F116" s="51">
        <f>IFERROR(__xludf.DUMMYFUNCTION("""COMPUTED_VALUE"""),7.0)</f>
        <v>7</v>
      </c>
      <c r="G116" s="51">
        <f>IFERROR(__xludf.DUMMYFUNCTION("""COMPUTED_VALUE"""),0.0)</f>
        <v>0</v>
      </c>
      <c r="H116" s="51">
        <f>IFERROR(__xludf.DUMMYFUNCTION("""COMPUTED_VALUE"""),0.0)</f>
        <v>0</v>
      </c>
      <c r="I116" s="51">
        <f>IFERROR(__xludf.DUMMYFUNCTION("""COMPUTED_VALUE"""),6.0)</f>
        <v>6</v>
      </c>
      <c r="J116" s="51">
        <f>IFERROR(__xludf.DUMMYFUNCTION("""COMPUTED_VALUE"""),0.0)</f>
        <v>0</v>
      </c>
      <c r="K116" s="51">
        <f>IFERROR(__xludf.DUMMYFUNCTION("""COMPUTED_VALUE"""),6.0)</f>
        <v>6</v>
      </c>
      <c r="L116" s="51">
        <f>IFERROR(__xludf.DUMMYFUNCTION("""COMPUTED_VALUE"""),0.0)</f>
        <v>0</v>
      </c>
      <c r="M116" s="51">
        <f>IFERROR(__xludf.DUMMYFUNCTION("""COMPUTED_VALUE"""),110.0)</f>
        <v>110</v>
      </c>
      <c r="N116" s="52">
        <f>IFERROR(__xludf.DUMMYFUNCTION("""COMPUTED_VALUE"""),1.0)</f>
        <v>1</v>
      </c>
    </row>
    <row r="117">
      <c r="A117" s="1"/>
      <c r="B117" s="53"/>
      <c r="C117" s="59"/>
      <c r="D117" s="59"/>
      <c r="E117" s="59"/>
      <c r="F117" s="53"/>
      <c r="G117" s="53"/>
      <c r="H117" s="53"/>
      <c r="I117" s="53"/>
      <c r="J117" s="53"/>
      <c r="K117" s="53"/>
      <c r="L117" s="53"/>
      <c r="M117" s="53"/>
      <c r="N117" s="53"/>
    </row>
    <row r="118">
      <c r="A118" s="1"/>
      <c r="B118" s="53"/>
      <c r="C118" s="59"/>
      <c r="D118" s="59"/>
      <c r="E118" s="59"/>
      <c r="F118" s="53"/>
      <c r="G118" s="53"/>
      <c r="H118" s="53"/>
      <c r="I118" s="53"/>
      <c r="J118" s="53"/>
      <c r="K118" s="53"/>
      <c r="L118" s="53"/>
      <c r="M118" s="53"/>
      <c r="N118" s="53"/>
    </row>
    <row r="119">
      <c r="A119" s="1"/>
      <c r="B119" s="53"/>
      <c r="C119" s="59"/>
      <c r="D119" s="59"/>
      <c r="E119" s="59"/>
      <c r="F119" s="53"/>
      <c r="G119" s="53"/>
      <c r="H119" s="53"/>
      <c r="I119" s="53"/>
      <c r="J119" s="53"/>
      <c r="K119" s="53"/>
      <c r="L119" s="53"/>
      <c r="M119" s="53"/>
      <c r="N119" s="53"/>
    </row>
    <row r="120">
      <c r="A120" s="1"/>
      <c r="B120" s="53"/>
      <c r="C120" s="59"/>
      <c r="D120" s="59"/>
      <c r="E120" s="59"/>
      <c r="F120" s="53"/>
      <c r="G120" s="53"/>
      <c r="H120" s="53"/>
      <c r="I120" s="53"/>
      <c r="J120" s="53"/>
      <c r="K120" s="53"/>
      <c r="L120" s="53"/>
      <c r="M120" s="53"/>
      <c r="N120" s="53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B129" s="20" t="s">
        <v>25</v>
      </c>
      <c r="C129" s="21" t="s">
        <v>8</v>
      </c>
      <c r="D129" s="21" t="s">
        <v>14</v>
      </c>
      <c r="E129" s="21" t="s">
        <v>26</v>
      </c>
      <c r="F129" s="21" t="s">
        <v>27</v>
      </c>
      <c r="G129" s="21" t="s">
        <v>28</v>
      </c>
      <c r="H129" s="21" t="s">
        <v>17</v>
      </c>
      <c r="I129" s="21" t="s">
        <v>18</v>
      </c>
      <c r="J129" s="21" t="s">
        <v>19</v>
      </c>
      <c r="K129" s="21" t="s">
        <v>8</v>
      </c>
      <c r="L129" s="21" t="s">
        <v>14</v>
      </c>
      <c r="M129" s="22" t="s">
        <v>8</v>
      </c>
      <c r="N129" s="22" t="s">
        <v>14</v>
      </c>
    </row>
    <row r="130">
      <c r="A130" s="1"/>
      <c r="B130" s="48" t="str">
        <f>IFERROR(__xludf.DUMMYFUNCTION("QUERY(B5:N63, ""Select B, C, D, E, F, G, H, I, J, K, L, M, N   where F = 0"")"),"Alejandro Mejia")</f>
        <v>Alejandro Mejia</v>
      </c>
      <c r="C130" s="49">
        <f>IFERROR(__xludf.DUMMYFUNCTION("""COMPUTED_VALUE"""),165.0)</f>
        <v>165</v>
      </c>
      <c r="D130" s="50">
        <f>IFERROR(__xludf.DUMMYFUNCTION("""COMPUTED_VALUE"""),16.0)</f>
        <v>16</v>
      </c>
      <c r="E130" s="49">
        <f>IFERROR(__xludf.DUMMYFUNCTION("""COMPUTED_VALUE"""),3.0)</f>
        <v>3</v>
      </c>
      <c r="F130" s="51">
        <f>IFERROR(__xludf.DUMMYFUNCTION("""COMPUTED_VALUE"""),0.0)</f>
        <v>0</v>
      </c>
      <c r="G130" s="51">
        <f>IFERROR(__xludf.DUMMYFUNCTION("""COMPUTED_VALUE"""),9.0)</f>
        <v>9</v>
      </c>
      <c r="H130" s="51">
        <f>IFERROR(__xludf.DUMMYFUNCTION("""COMPUTED_VALUE"""),0.0)</f>
        <v>0</v>
      </c>
      <c r="I130" s="51">
        <f>IFERROR(__xludf.DUMMYFUNCTION("""COMPUTED_VALUE"""),0.0)</f>
        <v>0</v>
      </c>
      <c r="J130" s="51">
        <f>IFERROR(__xludf.DUMMYFUNCTION("""COMPUTED_VALUE"""),0.0)</f>
        <v>0</v>
      </c>
      <c r="K130" s="51">
        <f>IFERROR(__xludf.DUMMYFUNCTION("""COMPUTED_VALUE"""),9.0)</f>
        <v>9</v>
      </c>
      <c r="L130" s="51">
        <f>IFERROR(__xludf.DUMMYFUNCTION("""COMPUTED_VALUE"""),0.0)</f>
        <v>0</v>
      </c>
      <c r="M130" s="51">
        <f>IFERROR(__xludf.DUMMYFUNCTION("""COMPUTED_VALUE"""),174.0)</f>
        <v>174</v>
      </c>
      <c r="N130" s="52">
        <f>IFERROR(__xludf.DUMMYFUNCTION("""COMPUTED_VALUE"""),16.0)</f>
        <v>16</v>
      </c>
    </row>
    <row r="131">
      <c r="A131" s="1"/>
      <c r="B131" s="48" t="str">
        <f>IFERROR(__xludf.DUMMYFUNCTION("""COMPUTED_VALUE"""),"Adrian Tay")</f>
        <v>Adrian Tay</v>
      </c>
      <c r="C131" s="49">
        <f>IFERROR(__xludf.DUMMYFUNCTION("""COMPUTED_VALUE"""),164.0)</f>
        <v>164</v>
      </c>
      <c r="D131" s="50">
        <f>IFERROR(__xludf.DUMMYFUNCTION("""COMPUTED_VALUE"""),16.0)</f>
        <v>16</v>
      </c>
      <c r="E131" s="49">
        <f>IFERROR(__xludf.DUMMYFUNCTION("""COMPUTED_VALUE"""),3.0)</f>
        <v>3</v>
      </c>
      <c r="F131" s="51">
        <f>IFERROR(__xludf.DUMMYFUNCTION("""COMPUTED_VALUE"""),0.0)</f>
        <v>0</v>
      </c>
      <c r="G131" s="51">
        <f>IFERROR(__xludf.DUMMYFUNCTION("""COMPUTED_VALUE"""),9.0)</f>
        <v>9</v>
      </c>
      <c r="H131" s="51">
        <f>IFERROR(__xludf.DUMMYFUNCTION("""COMPUTED_VALUE"""),0.0)</f>
        <v>0</v>
      </c>
      <c r="I131" s="51">
        <f>IFERROR(__xludf.DUMMYFUNCTION("""COMPUTED_VALUE"""),0.0)</f>
        <v>0</v>
      </c>
      <c r="J131" s="51">
        <f>IFERROR(__xludf.DUMMYFUNCTION("""COMPUTED_VALUE"""),0.0)</f>
        <v>0</v>
      </c>
      <c r="K131" s="51">
        <f>IFERROR(__xludf.DUMMYFUNCTION("""COMPUTED_VALUE"""),9.0)</f>
        <v>9</v>
      </c>
      <c r="L131" s="51">
        <f>IFERROR(__xludf.DUMMYFUNCTION("""COMPUTED_VALUE"""),0.0)</f>
        <v>0</v>
      </c>
      <c r="M131" s="51">
        <f>IFERROR(__xludf.DUMMYFUNCTION("""COMPUTED_VALUE"""),173.0)</f>
        <v>173</v>
      </c>
      <c r="N131" s="52">
        <f>IFERROR(__xludf.DUMMYFUNCTION("""COMPUTED_VALUE"""),16.0)</f>
        <v>16</v>
      </c>
    </row>
    <row r="132">
      <c r="A132" s="1"/>
      <c r="B132" s="48" t="str">
        <f>IFERROR(__xludf.DUMMYFUNCTION("""COMPUTED_VALUE"""),"Pulkit Mathur")</f>
        <v>Pulkit Mathur</v>
      </c>
      <c r="C132" s="49">
        <f>IFERROR(__xludf.DUMMYFUNCTION("""COMPUTED_VALUE"""),163.0)</f>
        <v>163</v>
      </c>
      <c r="D132" s="50">
        <f>IFERROR(__xludf.DUMMYFUNCTION("""COMPUTED_VALUE"""),17.0)</f>
        <v>17</v>
      </c>
      <c r="E132" s="49">
        <f>IFERROR(__xludf.DUMMYFUNCTION("""COMPUTED_VALUE"""),3.0)</f>
        <v>3</v>
      </c>
      <c r="F132" s="51">
        <f>IFERROR(__xludf.DUMMYFUNCTION("""COMPUTED_VALUE"""),0.0)</f>
        <v>0</v>
      </c>
      <c r="G132" s="51">
        <f>IFERROR(__xludf.DUMMYFUNCTION("""COMPUTED_VALUE"""),9.0)</f>
        <v>9</v>
      </c>
      <c r="H132" s="51">
        <f>IFERROR(__xludf.DUMMYFUNCTION("""COMPUTED_VALUE"""),0.0)</f>
        <v>0</v>
      </c>
      <c r="I132" s="51">
        <f>IFERROR(__xludf.DUMMYFUNCTION("""COMPUTED_VALUE"""),0.0)</f>
        <v>0</v>
      </c>
      <c r="J132" s="51">
        <f>IFERROR(__xludf.DUMMYFUNCTION("""COMPUTED_VALUE"""),0.0)</f>
        <v>0</v>
      </c>
      <c r="K132" s="51">
        <f>IFERROR(__xludf.DUMMYFUNCTION("""COMPUTED_VALUE"""),9.0)</f>
        <v>9</v>
      </c>
      <c r="L132" s="51">
        <f>IFERROR(__xludf.DUMMYFUNCTION("""COMPUTED_VALUE"""),0.0)</f>
        <v>0</v>
      </c>
      <c r="M132" s="51">
        <f>IFERROR(__xludf.DUMMYFUNCTION("""COMPUTED_VALUE"""),172.0)</f>
        <v>172</v>
      </c>
      <c r="N132" s="52">
        <f>IFERROR(__xludf.DUMMYFUNCTION("""COMPUTED_VALUE"""),17.0)</f>
        <v>17</v>
      </c>
    </row>
    <row r="133">
      <c r="A133" s="1"/>
      <c r="B133" s="48" t="str">
        <f>IFERROR(__xludf.DUMMYFUNCTION("""COMPUTED_VALUE"""),"Eric Pan")</f>
        <v>Eric Pan</v>
      </c>
      <c r="C133" s="49">
        <f>IFERROR(__xludf.DUMMYFUNCTION("""COMPUTED_VALUE"""),161.0)</f>
        <v>161</v>
      </c>
      <c r="D133" s="50">
        <f>IFERROR(__xludf.DUMMYFUNCTION("""COMPUTED_VALUE"""),16.0)</f>
        <v>16</v>
      </c>
      <c r="E133" s="49">
        <f>IFERROR(__xludf.DUMMYFUNCTION("""COMPUTED_VALUE"""),3.0)</f>
        <v>3</v>
      </c>
      <c r="F133" s="51">
        <f>IFERROR(__xludf.DUMMYFUNCTION("""COMPUTED_VALUE"""),0.0)</f>
        <v>0</v>
      </c>
      <c r="G133" s="51">
        <f>IFERROR(__xludf.DUMMYFUNCTION("""COMPUTED_VALUE"""),9.0)</f>
        <v>9</v>
      </c>
      <c r="H133" s="51">
        <f>IFERROR(__xludf.DUMMYFUNCTION("""COMPUTED_VALUE"""),0.0)</f>
        <v>0</v>
      </c>
      <c r="I133" s="51">
        <f>IFERROR(__xludf.DUMMYFUNCTION("""COMPUTED_VALUE"""),0.0)</f>
        <v>0</v>
      </c>
      <c r="J133" s="51">
        <f>IFERROR(__xludf.DUMMYFUNCTION("""COMPUTED_VALUE"""),0.0)</f>
        <v>0</v>
      </c>
      <c r="K133" s="51">
        <f>IFERROR(__xludf.DUMMYFUNCTION("""COMPUTED_VALUE"""),9.0)</f>
        <v>9</v>
      </c>
      <c r="L133" s="51">
        <f>IFERROR(__xludf.DUMMYFUNCTION("""COMPUTED_VALUE"""),0.0)</f>
        <v>0</v>
      </c>
      <c r="M133" s="51">
        <f>IFERROR(__xludf.DUMMYFUNCTION("""COMPUTED_VALUE"""),170.0)</f>
        <v>170</v>
      </c>
      <c r="N133" s="52">
        <f>IFERROR(__xludf.DUMMYFUNCTION("""COMPUTED_VALUE"""),16.0)</f>
        <v>16</v>
      </c>
    </row>
    <row r="134">
      <c r="A134" s="1"/>
      <c r="B134" s="48" t="str">
        <f>IFERROR(__xludf.DUMMYFUNCTION("""COMPUTED_VALUE"""),"Anish Kumar")</f>
        <v>Anish Kumar</v>
      </c>
      <c r="C134" s="49">
        <f>IFERROR(__xludf.DUMMYFUNCTION("""COMPUTED_VALUE"""),161.0)</f>
        <v>161</v>
      </c>
      <c r="D134" s="50">
        <f>IFERROR(__xludf.DUMMYFUNCTION("""COMPUTED_VALUE"""),16.0)</f>
        <v>16</v>
      </c>
      <c r="E134" s="49">
        <f>IFERROR(__xludf.DUMMYFUNCTION("""COMPUTED_VALUE"""),3.0)</f>
        <v>3</v>
      </c>
      <c r="F134" s="51">
        <f>IFERROR(__xludf.DUMMYFUNCTION("""COMPUTED_VALUE"""),0.0)</f>
        <v>0</v>
      </c>
      <c r="G134" s="51">
        <f>IFERROR(__xludf.DUMMYFUNCTION("""COMPUTED_VALUE"""),9.0)</f>
        <v>9</v>
      </c>
      <c r="H134" s="51">
        <f>IFERROR(__xludf.DUMMYFUNCTION("""COMPUTED_VALUE"""),0.0)</f>
        <v>0</v>
      </c>
      <c r="I134" s="51">
        <f>IFERROR(__xludf.DUMMYFUNCTION("""COMPUTED_VALUE"""),0.0)</f>
        <v>0</v>
      </c>
      <c r="J134" s="51">
        <f>IFERROR(__xludf.DUMMYFUNCTION("""COMPUTED_VALUE"""),0.0)</f>
        <v>0</v>
      </c>
      <c r="K134" s="51">
        <f>IFERROR(__xludf.DUMMYFUNCTION("""COMPUTED_VALUE"""),9.0)</f>
        <v>9</v>
      </c>
      <c r="L134" s="51">
        <f>IFERROR(__xludf.DUMMYFUNCTION("""COMPUTED_VALUE"""),0.0)</f>
        <v>0</v>
      </c>
      <c r="M134" s="51">
        <f>IFERROR(__xludf.DUMMYFUNCTION("""COMPUTED_VALUE"""),170.0)</f>
        <v>170</v>
      </c>
      <c r="N134" s="52">
        <f>IFERROR(__xludf.DUMMYFUNCTION("""COMPUTED_VALUE"""),16.0)</f>
        <v>16</v>
      </c>
    </row>
    <row r="135">
      <c r="A135" s="1"/>
      <c r="B135" s="48" t="str">
        <f>IFERROR(__xludf.DUMMYFUNCTION("""COMPUTED_VALUE"""),"Erik Hoeckmann")</f>
        <v>Erik Hoeckmann</v>
      </c>
      <c r="C135" s="49">
        <f>IFERROR(__xludf.DUMMYFUNCTION("""COMPUTED_VALUE"""),154.0)</f>
        <v>154</v>
      </c>
      <c r="D135" s="50">
        <f>IFERROR(__xludf.DUMMYFUNCTION("""COMPUTED_VALUE"""),12.0)</f>
        <v>12</v>
      </c>
      <c r="E135" s="49">
        <f>IFERROR(__xludf.DUMMYFUNCTION("""COMPUTED_VALUE"""),3.0)</f>
        <v>3</v>
      </c>
      <c r="F135" s="51">
        <f>IFERROR(__xludf.DUMMYFUNCTION("""COMPUTED_VALUE"""),0.0)</f>
        <v>0</v>
      </c>
      <c r="G135" s="51">
        <f>IFERROR(__xludf.DUMMYFUNCTION("""COMPUTED_VALUE"""),9.0)</f>
        <v>9</v>
      </c>
      <c r="H135" s="51">
        <f>IFERROR(__xludf.DUMMYFUNCTION("""COMPUTED_VALUE"""),0.0)</f>
        <v>0</v>
      </c>
      <c r="I135" s="51">
        <f>IFERROR(__xludf.DUMMYFUNCTION("""COMPUTED_VALUE"""),0.0)</f>
        <v>0</v>
      </c>
      <c r="J135" s="51">
        <f>IFERROR(__xludf.DUMMYFUNCTION("""COMPUTED_VALUE"""),0.0)</f>
        <v>0</v>
      </c>
      <c r="K135" s="51">
        <f>IFERROR(__xludf.DUMMYFUNCTION("""COMPUTED_VALUE"""),9.0)</f>
        <v>9</v>
      </c>
      <c r="L135" s="51">
        <f>IFERROR(__xludf.DUMMYFUNCTION("""COMPUTED_VALUE"""),0.0)</f>
        <v>0</v>
      </c>
      <c r="M135" s="51">
        <f>IFERROR(__xludf.DUMMYFUNCTION("""COMPUTED_VALUE"""),163.0)</f>
        <v>163</v>
      </c>
      <c r="N135" s="52">
        <f>IFERROR(__xludf.DUMMYFUNCTION("""COMPUTED_VALUE"""),12.0)</f>
        <v>12</v>
      </c>
    </row>
    <row r="136">
      <c r="A136" s="1"/>
      <c r="B136" s="48" t="str">
        <f>IFERROR(__xludf.DUMMYFUNCTION("""COMPUTED_VALUE"""),"Rajasekar Ramasamy")</f>
        <v>Rajasekar Ramasamy</v>
      </c>
      <c r="C136" s="49">
        <f>IFERROR(__xludf.DUMMYFUNCTION("""COMPUTED_VALUE"""),146.0)</f>
        <v>146</v>
      </c>
      <c r="D136" s="50">
        <f>IFERROR(__xludf.DUMMYFUNCTION("""COMPUTED_VALUE"""),15.0)</f>
        <v>15</v>
      </c>
      <c r="E136" s="49">
        <f>IFERROR(__xludf.DUMMYFUNCTION("""COMPUTED_VALUE"""),3.0)</f>
        <v>3</v>
      </c>
      <c r="F136" s="51">
        <f>IFERROR(__xludf.DUMMYFUNCTION("""COMPUTED_VALUE"""),0.0)</f>
        <v>0</v>
      </c>
      <c r="G136" s="51">
        <f>IFERROR(__xludf.DUMMYFUNCTION("""COMPUTED_VALUE"""),9.0)</f>
        <v>9</v>
      </c>
      <c r="H136" s="51">
        <f>IFERROR(__xludf.DUMMYFUNCTION("""COMPUTED_VALUE"""),0.0)</f>
        <v>0</v>
      </c>
      <c r="I136" s="51">
        <f>IFERROR(__xludf.DUMMYFUNCTION("""COMPUTED_VALUE"""),0.0)</f>
        <v>0</v>
      </c>
      <c r="J136" s="51">
        <f>IFERROR(__xludf.DUMMYFUNCTION("""COMPUTED_VALUE"""),0.0)</f>
        <v>0</v>
      </c>
      <c r="K136" s="51">
        <f>IFERROR(__xludf.DUMMYFUNCTION("""COMPUTED_VALUE"""),9.0)</f>
        <v>9</v>
      </c>
      <c r="L136" s="51">
        <f>IFERROR(__xludf.DUMMYFUNCTION("""COMPUTED_VALUE"""),0.0)</f>
        <v>0</v>
      </c>
      <c r="M136" s="51">
        <f>IFERROR(__xludf.DUMMYFUNCTION("""COMPUTED_VALUE"""),155.0)</f>
        <v>155</v>
      </c>
      <c r="N136" s="52">
        <f>IFERROR(__xludf.DUMMYFUNCTION("""COMPUTED_VALUE"""),15.0)</f>
        <v>15</v>
      </c>
    </row>
    <row r="137">
      <c r="A137" s="1"/>
      <c r="B137" s="48" t="str">
        <f>IFERROR(__xludf.DUMMYFUNCTION("""COMPUTED_VALUE"""),"Oscar Bonilla")</f>
        <v>Oscar Bonilla</v>
      </c>
      <c r="C137" s="49">
        <f>IFERROR(__xludf.DUMMYFUNCTION("""COMPUTED_VALUE"""),144.0)</f>
        <v>144</v>
      </c>
      <c r="D137" s="50">
        <f>IFERROR(__xludf.DUMMYFUNCTION("""COMPUTED_VALUE"""),13.0)</f>
        <v>13</v>
      </c>
      <c r="E137" s="49">
        <f>IFERROR(__xludf.DUMMYFUNCTION("""COMPUTED_VALUE"""),3.0)</f>
        <v>3</v>
      </c>
      <c r="F137" s="51">
        <f>IFERROR(__xludf.DUMMYFUNCTION("""COMPUTED_VALUE"""),0.0)</f>
        <v>0</v>
      </c>
      <c r="G137" s="51">
        <f>IFERROR(__xludf.DUMMYFUNCTION("""COMPUTED_VALUE"""),9.0)</f>
        <v>9</v>
      </c>
      <c r="H137" s="51">
        <f>IFERROR(__xludf.DUMMYFUNCTION("""COMPUTED_VALUE"""),0.0)</f>
        <v>0</v>
      </c>
      <c r="I137" s="51">
        <f>IFERROR(__xludf.DUMMYFUNCTION("""COMPUTED_VALUE"""),0.0)</f>
        <v>0</v>
      </c>
      <c r="J137" s="51">
        <f>IFERROR(__xludf.DUMMYFUNCTION("""COMPUTED_VALUE"""),0.0)</f>
        <v>0</v>
      </c>
      <c r="K137" s="51">
        <f>IFERROR(__xludf.DUMMYFUNCTION("""COMPUTED_VALUE"""),9.0)</f>
        <v>9</v>
      </c>
      <c r="L137" s="51">
        <f>IFERROR(__xludf.DUMMYFUNCTION("""COMPUTED_VALUE"""),0.0)</f>
        <v>0</v>
      </c>
      <c r="M137" s="51">
        <f>IFERROR(__xludf.DUMMYFUNCTION("""COMPUTED_VALUE"""),153.0)</f>
        <v>153</v>
      </c>
      <c r="N137" s="52">
        <f>IFERROR(__xludf.DUMMYFUNCTION("""COMPUTED_VALUE"""),13.0)</f>
        <v>13</v>
      </c>
    </row>
    <row r="138">
      <c r="A138" s="1"/>
      <c r="B138" s="48" t="str">
        <f>IFERROR(__xludf.DUMMYFUNCTION("""COMPUTED_VALUE"""),"Robert Chang")</f>
        <v>Robert Chang</v>
      </c>
      <c r="C138" s="49">
        <f>IFERROR(__xludf.DUMMYFUNCTION("""COMPUTED_VALUE"""),143.0)</f>
        <v>143</v>
      </c>
      <c r="D138" s="50">
        <f>IFERROR(__xludf.DUMMYFUNCTION("""COMPUTED_VALUE"""),10.0)</f>
        <v>10</v>
      </c>
      <c r="E138" s="49">
        <f>IFERROR(__xludf.DUMMYFUNCTION("""COMPUTED_VALUE"""),3.0)</f>
        <v>3</v>
      </c>
      <c r="F138" s="51">
        <f>IFERROR(__xludf.DUMMYFUNCTION("""COMPUTED_VALUE"""),0.0)</f>
        <v>0</v>
      </c>
      <c r="G138" s="51">
        <f>IFERROR(__xludf.DUMMYFUNCTION("""COMPUTED_VALUE"""),9.0)</f>
        <v>9</v>
      </c>
      <c r="H138" s="51">
        <f>IFERROR(__xludf.DUMMYFUNCTION("""COMPUTED_VALUE"""),0.0)</f>
        <v>0</v>
      </c>
      <c r="I138" s="51">
        <f>IFERROR(__xludf.DUMMYFUNCTION("""COMPUTED_VALUE"""),0.0)</f>
        <v>0</v>
      </c>
      <c r="J138" s="51">
        <f>IFERROR(__xludf.DUMMYFUNCTION("""COMPUTED_VALUE"""),0.0)</f>
        <v>0</v>
      </c>
      <c r="K138" s="51">
        <f>IFERROR(__xludf.DUMMYFUNCTION("""COMPUTED_VALUE"""),9.0)</f>
        <v>9</v>
      </c>
      <c r="L138" s="51">
        <f>IFERROR(__xludf.DUMMYFUNCTION("""COMPUTED_VALUE"""),0.0)</f>
        <v>0</v>
      </c>
      <c r="M138" s="51">
        <f>IFERROR(__xludf.DUMMYFUNCTION("""COMPUTED_VALUE"""),152.0)</f>
        <v>152</v>
      </c>
      <c r="N138" s="52">
        <f>IFERROR(__xludf.DUMMYFUNCTION("""COMPUTED_VALUE"""),10.0)</f>
        <v>10</v>
      </c>
    </row>
    <row r="139">
      <c r="A139" s="1"/>
      <c r="B139" s="48" t="str">
        <f>IFERROR(__xludf.DUMMYFUNCTION("""COMPUTED_VALUE"""),"Derek Fu")</f>
        <v>Derek Fu</v>
      </c>
      <c r="C139" s="49">
        <f>IFERROR(__xludf.DUMMYFUNCTION("""COMPUTED_VALUE"""),141.0)</f>
        <v>141</v>
      </c>
      <c r="D139" s="50">
        <f>IFERROR(__xludf.DUMMYFUNCTION("""COMPUTED_VALUE"""),10.0)</f>
        <v>10</v>
      </c>
      <c r="E139" s="49">
        <f>IFERROR(__xludf.DUMMYFUNCTION("""COMPUTED_VALUE"""),3.0)</f>
        <v>3</v>
      </c>
      <c r="F139" s="51">
        <f>IFERROR(__xludf.DUMMYFUNCTION("""COMPUTED_VALUE"""),0.0)</f>
        <v>0</v>
      </c>
      <c r="G139" s="51">
        <f>IFERROR(__xludf.DUMMYFUNCTION("""COMPUTED_VALUE"""),9.0)</f>
        <v>9</v>
      </c>
      <c r="H139" s="51">
        <f>IFERROR(__xludf.DUMMYFUNCTION("""COMPUTED_VALUE"""),0.0)</f>
        <v>0</v>
      </c>
      <c r="I139" s="51">
        <f>IFERROR(__xludf.DUMMYFUNCTION("""COMPUTED_VALUE"""),0.0)</f>
        <v>0</v>
      </c>
      <c r="J139" s="51">
        <f>IFERROR(__xludf.DUMMYFUNCTION("""COMPUTED_VALUE"""),0.0)</f>
        <v>0</v>
      </c>
      <c r="K139" s="51">
        <f>IFERROR(__xludf.DUMMYFUNCTION("""COMPUTED_VALUE"""),9.0)</f>
        <v>9</v>
      </c>
      <c r="L139" s="51">
        <f>IFERROR(__xludf.DUMMYFUNCTION("""COMPUTED_VALUE"""),0.0)</f>
        <v>0</v>
      </c>
      <c r="M139" s="51">
        <f>IFERROR(__xludf.DUMMYFUNCTION("""COMPUTED_VALUE"""),150.0)</f>
        <v>150</v>
      </c>
      <c r="N139" s="52">
        <f>IFERROR(__xludf.DUMMYFUNCTION("""COMPUTED_VALUE"""),10.0)</f>
        <v>10</v>
      </c>
    </row>
    <row r="140">
      <c r="A140" s="1"/>
      <c r="B140" s="48" t="str">
        <f>IFERROR(__xludf.DUMMYFUNCTION("""COMPUTED_VALUE"""),"Tom Le")</f>
        <v>Tom Le</v>
      </c>
      <c r="C140" s="49">
        <f>IFERROR(__xludf.DUMMYFUNCTION("""COMPUTED_VALUE"""),137.0)</f>
        <v>137</v>
      </c>
      <c r="D140" s="50">
        <f>IFERROR(__xludf.DUMMYFUNCTION("""COMPUTED_VALUE"""),7.0)</f>
        <v>7</v>
      </c>
      <c r="E140" s="49">
        <f>IFERROR(__xludf.DUMMYFUNCTION("""COMPUTED_VALUE"""),3.0)</f>
        <v>3</v>
      </c>
      <c r="F140" s="51">
        <f>IFERROR(__xludf.DUMMYFUNCTION("""COMPUTED_VALUE"""),0.0)</f>
        <v>0</v>
      </c>
      <c r="G140" s="51">
        <f>IFERROR(__xludf.DUMMYFUNCTION("""COMPUTED_VALUE"""),9.0)</f>
        <v>9</v>
      </c>
      <c r="H140" s="51">
        <f>IFERROR(__xludf.DUMMYFUNCTION("""COMPUTED_VALUE"""),0.0)</f>
        <v>0</v>
      </c>
      <c r="I140" s="51">
        <f>IFERROR(__xludf.DUMMYFUNCTION("""COMPUTED_VALUE"""),0.0)</f>
        <v>0</v>
      </c>
      <c r="J140" s="51">
        <f>IFERROR(__xludf.DUMMYFUNCTION("""COMPUTED_VALUE"""),0.0)</f>
        <v>0</v>
      </c>
      <c r="K140" s="51">
        <f>IFERROR(__xludf.DUMMYFUNCTION("""COMPUTED_VALUE"""),9.0)</f>
        <v>9</v>
      </c>
      <c r="L140" s="51">
        <f>IFERROR(__xludf.DUMMYFUNCTION("""COMPUTED_VALUE"""),0.0)</f>
        <v>0</v>
      </c>
      <c r="M140" s="51">
        <f>IFERROR(__xludf.DUMMYFUNCTION("""COMPUTED_VALUE"""),146.0)</f>
        <v>146</v>
      </c>
      <c r="N140" s="52">
        <f>IFERROR(__xludf.DUMMYFUNCTION("""COMPUTED_VALUE"""),7.0)</f>
        <v>7</v>
      </c>
    </row>
    <row r="141">
      <c r="A141" s="1"/>
      <c r="B141" s="48" t="str">
        <f>IFERROR(__xludf.DUMMYFUNCTION("""COMPUTED_VALUE"""),"Paul Sanchez")</f>
        <v>Paul Sanchez</v>
      </c>
      <c r="C141" s="49">
        <f>IFERROR(__xludf.DUMMYFUNCTION("""COMPUTED_VALUE"""),135.0)</f>
        <v>135</v>
      </c>
      <c r="D141" s="50">
        <f>IFERROR(__xludf.DUMMYFUNCTION("""COMPUTED_VALUE"""),9.0)</f>
        <v>9</v>
      </c>
      <c r="E141" s="49">
        <f>IFERROR(__xludf.DUMMYFUNCTION("""COMPUTED_VALUE"""),3.0)</f>
        <v>3</v>
      </c>
      <c r="F141" s="51">
        <f>IFERROR(__xludf.DUMMYFUNCTION("""COMPUTED_VALUE"""),0.0)</f>
        <v>0</v>
      </c>
      <c r="G141" s="51">
        <f>IFERROR(__xludf.DUMMYFUNCTION("""COMPUTED_VALUE"""),9.0)</f>
        <v>9</v>
      </c>
      <c r="H141" s="51">
        <f>IFERROR(__xludf.DUMMYFUNCTION("""COMPUTED_VALUE"""),0.0)</f>
        <v>0</v>
      </c>
      <c r="I141" s="51">
        <f>IFERROR(__xludf.DUMMYFUNCTION("""COMPUTED_VALUE"""),0.0)</f>
        <v>0</v>
      </c>
      <c r="J141" s="51">
        <f>IFERROR(__xludf.DUMMYFUNCTION("""COMPUTED_VALUE"""),0.0)</f>
        <v>0</v>
      </c>
      <c r="K141" s="51">
        <f>IFERROR(__xludf.DUMMYFUNCTION("""COMPUTED_VALUE"""),9.0)</f>
        <v>9</v>
      </c>
      <c r="L141" s="51">
        <f>IFERROR(__xludf.DUMMYFUNCTION("""COMPUTED_VALUE"""),0.0)</f>
        <v>0</v>
      </c>
      <c r="M141" s="51">
        <f>IFERROR(__xludf.DUMMYFUNCTION("""COMPUTED_VALUE"""),144.0)</f>
        <v>144</v>
      </c>
      <c r="N141" s="52">
        <f>IFERROR(__xludf.DUMMYFUNCTION("""COMPUTED_VALUE"""),9.0)</f>
        <v>9</v>
      </c>
    </row>
    <row r="142">
      <c r="A142" s="1"/>
      <c r="B142" s="48" t="str">
        <f>IFERROR(__xludf.DUMMYFUNCTION("""COMPUTED_VALUE"""),"Troy Wong")</f>
        <v>Troy Wong</v>
      </c>
      <c r="C142" s="49">
        <f>IFERROR(__xludf.DUMMYFUNCTION("""COMPUTED_VALUE"""),134.0)</f>
        <v>134</v>
      </c>
      <c r="D142" s="50">
        <f>IFERROR(__xludf.DUMMYFUNCTION("""COMPUTED_VALUE"""),8.0)</f>
        <v>8</v>
      </c>
      <c r="E142" s="49">
        <f>IFERROR(__xludf.DUMMYFUNCTION("""COMPUTED_VALUE"""),3.0)</f>
        <v>3</v>
      </c>
      <c r="F142" s="51">
        <f>IFERROR(__xludf.DUMMYFUNCTION("""COMPUTED_VALUE"""),0.0)</f>
        <v>0</v>
      </c>
      <c r="G142" s="51">
        <f>IFERROR(__xludf.DUMMYFUNCTION("""COMPUTED_VALUE"""),9.0)</f>
        <v>9</v>
      </c>
      <c r="H142" s="51">
        <f>IFERROR(__xludf.DUMMYFUNCTION("""COMPUTED_VALUE"""),0.0)</f>
        <v>0</v>
      </c>
      <c r="I142" s="51">
        <f>IFERROR(__xludf.DUMMYFUNCTION("""COMPUTED_VALUE"""),0.0)</f>
        <v>0</v>
      </c>
      <c r="J142" s="51">
        <f>IFERROR(__xludf.DUMMYFUNCTION("""COMPUTED_VALUE"""),0.0)</f>
        <v>0</v>
      </c>
      <c r="K142" s="51">
        <f>IFERROR(__xludf.DUMMYFUNCTION("""COMPUTED_VALUE"""),9.0)</f>
        <v>9</v>
      </c>
      <c r="L142" s="51">
        <f>IFERROR(__xludf.DUMMYFUNCTION("""COMPUTED_VALUE"""),0.0)</f>
        <v>0</v>
      </c>
      <c r="M142" s="51">
        <f>IFERROR(__xludf.DUMMYFUNCTION("""COMPUTED_VALUE"""),143.0)</f>
        <v>143</v>
      </c>
      <c r="N142" s="52">
        <f>IFERROR(__xludf.DUMMYFUNCTION("""COMPUTED_VALUE"""),8.0)</f>
        <v>8</v>
      </c>
    </row>
    <row r="143">
      <c r="A143" s="1"/>
      <c r="B143" s="48" t="str">
        <f>IFERROR(__xludf.DUMMYFUNCTION("""COMPUTED_VALUE"""),"Sanjaye Elayattu")</f>
        <v>Sanjaye Elayattu</v>
      </c>
      <c r="C143" s="49">
        <f>IFERROR(__xludf.DUMMYFUNCTION("""COMPUTED_VALUE"""),134.0)</f>
        <v>134</v>
      </c>
      <c r="D143" s="50">
        <f>IFERROR(__xludf.DUMMYFUNCTION("""COMPUTED_VALUE"""),6.0)</f>
        <v>6</v>
      </c>
      <c r="E143" s="49">
        <f>IFERROR(__xludf.DUMMYFUNCTION("""COMPUTED_VALUE"""),3.0)</f>
        <v>3</v>
      </c>
      <c r="F143" s="51">
        <f>IFERROR(__xludf.DUMMYFUNCTION("""COMPUTED_VALUE"""),0.0)</f>
        <v>0</v>
      </c>
      <c r="G143" s="51">
        <f>IFERROR(__xludf.DUMMYFUNCTION("""COMPUTED_VALUE"""),9.0)</f>
        <v>9</v>
      </c>
      <c r="H143" s="51">
        <f>IFERROR(__xludf.DUMMYFUNCTION("""COMPUTED_VALUE"""),0.0)</f>
        <v>0</v>
      </c>
      <c r="I143" s="51">
        <f>IFERROR(__xludf.DUMMYFUNCTION("""COMPUTED_VALUE"""),0.0)</f>
        <v>0</v>
      </c>
      <c r="J143" s="51">
        <f>IFERROR(__xludf.DUMMYFUNCTION("""COMPUTED_VALUE"""),0.0)</f>
        <v>0</v>
      </c>
      <c r="K143" s="51">
        <f>IFERROR(__xludf.DUMMYFUNCTION("""COMPUTED_VALUE"""),9.0)</f>
        <v>9</v>
      </c>
      <c r="L143" s="51">
        <f>IFERROR(__xludf.DUMMYFUNCTION("""COMPUTED_VALUE"""),0.0)</f>
        <v>0</v>
      </c>
      <c r="M143" s="51">
        <f>IFERROR(__xludf.DUMMYFUNCTION("""COMPUTED_VALUE"""),143.0)</f>
        <v>143</v>
      </c>
      <c r="N143" s="52">
        <f>IFERROR(__xludf.DUMMYFUNCTION("""COMPUTED_VALUE"""),6.0)</f>
        <v>6</v>
      </c>
    </row>
    <row r="144">
      <c r="A144" s="1"/>
      <c r="B144" s="48" t="str">
        <f>IFERROR(__xludf.DUMMYFUNCTION("""COMPUTED_VALUE"""),"Rosie Bonilla")</f>
        <v>Rosie Bonilla</v>
      </c>
      <c r="C144" s="49">
        <f>IFERROR(__xludf.DUMMYFUNCTION("""COMPUTED_VALUE"""),132.0)</f>
        <v>132</v>
      </c>
      <c r="D144" s="50">
        <f>IFERROR(__xludf.DUMMYFUNCTION("""COMPUTED_VALUE"""),9.0)</f>
        <v>9</v>
      </c>
      <c r="E144" s="49">
        <f>IFERROR(__xludf.DUMMYFUNCTION("""COMPUTED_VALUE"""),3.0)</f>
        <v>3</v>
      </c>
      <c r="F144" s="51">
        <f>IFERROR(__xludf.DUMMYFUNCTION("""COMPUTED_VALUE"""),0.0)</f>
        <v>0</v>
      </c>
      <c r="G144" s="51">
        <f>IFERROR(__xludf.DUMMYFUNCTION("""COMPUTED_VALUE"""),9.0)</f>
        <v>9</v>
      </c>
      <c r="H144" s="51">
        <f>IFERROR(__xludf.DUMMYFUNCTION("""COMPUTED_VALUE"""),0.0)</f>
        <v>0</v>
      </c>
      <c r="I144" s="51">
        <f>IFERROR(__xludf.DUMMYFUNCTION("""COMPUTED_VALUE"""),0.0)</f>
        <v>0</v>
      </c>
      <c r="J144" s="51">
        <f>IFERROR(__xludf.DUMMYFUNCTION("""COMPUTED_VALUE"""),0.0)</f>
        <v>0</v>
      </c>
      <c r="K144" s="51">
        <f>IFERROR(__xludf.DUMMYFUNCTION("""COMPUTED_VALUE"""),9.0)</f>
        <v>9</v>
      </c>
      <c r="L144" s="51">
        <f>IFERROR(__xludf.DUMMYFUNCTION("""COMPUTED_VALUE"""),0.0)</f>
        <v>0</v>
      </c>
      <c r="M144" s="51">
        <f>IFERROR(__xludf.DUMMYFUNCTION("""COMPUTED_VALUE"""),141.0)</f>
        <v>141</v>
      </c>
      <c r="N144" s="52">
        <f>IFERROR(__xludf.DUMMYFUNCTION("""COMPUTED_VALUE"""),9.0)</f>
        <v>9</v>
      </c>
    </row>
    <row r="145">
      <c r="A145" s="1"/>
      <c r="B145" s="48" t="str">
        <f>IFERROR(__xludf.DUMMYFUNCTION("""COMPUTED_VALUE"""),"Vamsi Lolla ")</f>
        <v>Vamsi Lolla </v>
      </c>
      <c r="C145" s="49">
        <f>IFERROR(__xludf.DUMMYFUNCTION("""COMPUTED_VALUE"""),131.0)</f>
        <v>131</v>
      </c>
      <c r="D145" s="50">
        <f>IFERROR(__xludf.DUMMYFUNCTION("""COMPUTED_VALUE"""),7.0)</f>
        <v>7</v>
      </c>
      <c r="E145" s="49">
        <f>IFERROR(__xludf.DUMMYFUNCTION("""COMPUTED_VALUE"""),3.0)</f>
        <v>3</v>
      </c>
      <c r="F145" s="51">
        <f>IFERROR(__xludf.DUMMYFUNCTION("""COMPUTED_VALUE"""),0.0)</f>
        <v>0</v>
      </c>
      <c r="G145" s="51">
        <f>IFERROR(__xludf.DUMMYFUNCTION("""COMPUTED_VALUE"""),9.0)</f>
        <v>9</v>
      </c>
      <c r="H145" s="51">
        <f>IFERROR(__xludf.DUMMYFUNCTION("""COMPUTED_VALUE"""),0.0)</f>
        <v>0</v>
      </c>
      <c r="I145" s="51">
        <f>IFERROR(__xludf.DUMMYFUNCTION("""COMPUTED_VALUE"""),0.0)</f>
        <v>0</v>
      </c>
      <c r="J145" s="51">
        <f>IFERROR(__xludf.DUMMYFUNCTION("""COMPUTED_VALUE"""),0.0)</f>
        <v>0</v>
      </c>
      <c r="K145" s="51">
        <f>IFERROR(__xludf.DUMMYFUNCTION("""COMPUTED_VALUE"""),9.0)</f>
        <v>9</v>
      </c>
      <c r="L145" s="51">
        <f>IFERROR(__xludf.DUMMYFUNCTION("""COMPUTED_VALUE"""),0.0)</f>
        <v>0</v>
      </c>
      <c r="M145" s="51">
        <f>IFERROR(__xludf.DUMMYFUNCTION("""COMPUTED_VALUE"""),140.0)</f>
        <v>140</v>
      </c>
      <c r="N145" s="52">
        <f>IFERROR(__xludf.DUMMYFUNCTION("""COMPUTED_VALUE"""),7.0)</f>
        <v>7</v>
      </c>
    </row>
    <row r="146">
      <c r="A146" s="1"/>
      <c r="B146" s="48" t="str">
        <f>IFERROR(__xludf.DUMMYFUNCTION("""COMPUTED_VALUE"""),"James Cole III")</f>
        <v>James Cole III</v>
      </c>
      <c r="C146" s="49">
        <f>IFERROR(__xludf.DUMMYFUNCTION("""COMPUTED_VALUE"""),130.0)</f>
        <v>130</v>
      </c>
      <c r="D146" s="50">
        <f>IFERROR(__xludf.DUMMYFUNCTION("""COMPUTED_VALUE"""),8.0)</f>
        <v>8</v>
      </c>
      <c r="E146" s="49">
        <f>IFERROR(__xludf.DUMMYFUNCTION("""COMPUTED_VALUE"""),3.0)</f>
        <v>3</v>
      </c>
      <c r="F146" s="51">
        <f>IFERROR(__xludf.DUMMYFUNCTION("""COMPUTED_VALUE"""),0.0)</f>
        <v>0</v>
      </c>
      <c r="G146" s="51">
        <f>IFERROR(__xludf.DUMMYFUNCTION("""COMPUTED_VALUE"""),9.0)</f>
        <v>9</v>
      </c>
      <c r="H146" s="51">
        <f>IFERROR(__xludf.DUMMYFUNCTION("""COMPUTED_VALUE"""),0.0)</f>
        <v>0</v>
      </c>
      <c r="I146" s="51">
        <f>IFERROR(__xludf.DUMMYFUNCTION("""COMPUTED_VALUE"""),0.0)</f>
        <v>0</v>
      </c>
      <c r="J146" s="51">
        <f>IFERROR(__xludf.DUMMYFUNCTION("""COMPUTED_VALUE"""),0.0)</f>
        <v>0</v>
      </c>
      <c r="K146" s="51">
        <f>IFERROR(__xludf.DUMMYFUNCTION("""COMPUTED_VALUE"""),9.0)</f>
        <v>9</v>
      </c>
      <c r="L146" s="51">
        <f>IFERROR(__xludf.DUMMYFUNCTION("""COMPUTED_VALUE"""),0.0)</f>
        <v>0</v>
      </c>
      <c r="M146" s="51">
        <f>IFERROR(__xludf.DUMMYFUNCTION("""COMPUTED_VALUE"""),139.0)</f>
        <v>139</v>
      </c>
      <c r="N146" s="52">
        <f>IFERROR(__xludf.DUMMYFUNCTION("""COMPUTED_VALUE"""),8.0)</f>
        <v>8</v>
      </c>
    </row>
    <row r="147">
      <c r="A147" s="1"/>
      <c r="B147" s="48" t="str">
        <f>IFERROR(__xludf.DUMMYFUNCTION("""COMPUTED_VALUE"""),"Nohely Mejia")</f>
        <v>Nohely Mejia</v>
      </c>
      <c r="C147" s="49">
        <f>IFERROR(__xludf.DUMMYFUNCTION("""COMPUTED_VALUE"""),128.0)</f>
        <v>128</v>
      </c>
      <c r="D147" s="50">
        <f>IFERROR(__xludf.DUMMYFUNCTION("""COMPUTED_VALUE"""),7.0)</f>
        <v>7</v>
      </c>
      <c r="E147" s="49">
        <f>IFERROR(__xludf.DUMMYFUNCTION("""COMPUTED_VALUE"""),3.0)</f>
        <v>3</v>
      </c>
      <c r="F147" s="51">
        <f>IFERROR(__xludf.DUMMYFUNCTION("""COMPUTED_VALUE"""),0.0)</f>
        <v>0</v>
      </c>
      <c r="G147" s="51">
        <f>IFERROR(__xludf.DUMMYFUNCTION("""COMPUTED_VALUE"""),9.0)</f>
        <v>9</v>
      </c>
      <c r="H147" s="51">
        <f>IFERROR(__xludf.DUMMYFUNCTION("""COMPUTED_VALUE"""),0.0)</f>
        <v>0</v>
      </c>
      <c r="I147" s="51">
        <f>IFERROR(__xludf.DUMMYFUNCTION("""COMPUTED_VALUE"""),0.0)</f>
        <v>0</v>
      </c>
      <c r="J147" s="51">
        <f>IFERROR(__xludf.DUMMYFUNCTION("""COMPUTED_VALUE"""),0.0)</f>
        <v>0</v>
      </c>
      <c r="K147" s="51">
        <f>IFERROR(__xludf.DUMMYFUNCTION("""COMPUTED_VALUE"""),9.0)</f>
        <v>9</v>
      </c>
      <c r="L147" s="51">
        <f>IFERROR(__xludf.DUMMYFUNCTION("""COMPUTED_VALUE"""),0.0)</f>
        <v>0</v>
      </c>
      <c r="M147" s="51">
        <f>IFERROR(__xludf.DUMMYFUNCTION("""COMPUTED_VALUE"""),137.0)</f>
        <v>137</v>
      </c>
      <c r="N147" s="52">
        <f>IFERROR(__xludf.DUMMYFUNCTION("""COMPUTED_VALUE"""),7.0)</f>
        <v>7</v>
      </c>
    </row>
    <row r="148">
      <c r="A148" s="1"/>
      <c r="B148" s="48" t="str">
        <f>IFERROR(__xludf.DUMMYFUNCTION("""COMPUTED_VALUE"""),"Susanta Mishra")</f>
        <v>Susanta Mishra</v>
      </c>
      <c r="C148" s="49">
        <f>IFERROR(__xludf.DUMMYFUNCTION("""COMPUTED_VALUE"""),119.0)</f>
        <v>119</v>
      </c>
      <c r="D148" s="50">
        <f>IFERROR(__xludf.DUMMYFUNCTION("""COMPUTED_VALUE"""),5.0)</f>
        <v>5</v>
      </c>
      <c r="E148" s="49">
        <f>IFERROR(__xludf.DUMMYFUNCTION("""COMPUTED_VALUE"""),3.0)</f>
        <v>3</v>
      </c>
      <c r="F148" s="51">
        <f>IFERROR(__xludf.DUMMYFUNCTION("""COMPUTED_VALUE"""),0.0)</f>
        <v>0</v>
      </c>
      <c r="G148" s="51">
        <f>IFERROR(__xludf.DUMMYFUNCTION("""COMPUTED_VALUE"""),9.0)</f>
        <v>9</v>
      </c>
      <c r="H148" s="51">
        <f>IFERROR(__xludf.DUMMYFUNCTION("""COMPUTED_VALUE"""),0.0)</f>
        <v>0</v>
      </c>
      <c r="I148" s="51">
        <f>IFERROR(__xludf.DUMMYFUNCTION("""COMPUTED_VALUE"""),0.0)</f>
        <v>0</v>
      </c>
      <c r="J148" s="51">
        <f>IFERROR(__xludf.DUMMYFUNCTION("""COMPUTED_VALUE"""),0.0)</f>
        <v>0</v>
      </c>
      <c r="K148" s="51">
        <f>IFERROR(__xludf.DUMMYFUNCTION("""COMPUTED_VALUE"""),9.0)</f>
        <v>9</v>
      </c>
      <c r="L148" s="51">
        <f>IFERROR(__xludf.DUMMYFUNCTION("""COMPUTED_VALUE"""),0.0)</f>
        <v>0</v>
      </c>
      <c r="M148" s="51">
        <f>IFERROR(__xludf.DUMMYFUNCTION("""COMPUTED_VALUE"""),128.0)</f>
        <v>128</v>
      </c>
      <c r="N148" s="52">
        <f>IFERROR(__xludf.DUMMYFUNCTION("""COMPUTED_VALUE"""),5.0)</f>
        <v>5</v>
      </c>
    </row>
    <row r="149">
      <c r="A149" s="1"/>
      <c r="B149" s="48" t="str">
        <f>IFERROR(__xludf.DUMMYFUNCTION("""COMPUTED_VALUE"""),"Lauren Chang")</f>
        <v>Lauren Chang</v>
      </c>
      <c r="C149" s="49">
        <f>IFERROR(__xludf.DUMMYFUNCTION("""COMPUTED_VALUE"""),119.0)</f>
        <v>119</v>
      </c>
      <c r="D149" s="50">
        <f>IFERROR(__xludf.DUMMYFUNCTION("""COMPUTED_VALUE"""),3.0)</f>
        <v>3</v>
      </c>
      <c r="E149" s="49">
        <f>IFERROR(__xludf.DUMMYFUNCTION("""COMPUTED_VALUE"""),3.0)</f>
        <v>3</v>
      </c>
      <c r="F149" s="51">
        <f>IFERROR(__xludf.DUMMYFUNCTION("""COMPUTED_VALUE"""),0.0)</f>
        <v>0</v>
      </c>
      <c r="G149" s="51">
        <f>IFERROR(__xludf.DUMMYFUNCTION("""COMPUTED_VALUE"""),9.0)</f>
        <v>9</v>
      </c>
      <c r="H149" s="51">
        <f>IFERROR(__xludf.DUMMYFUNCTION("""COMPUTED_VALUE"""),0.0)</f>
        <v>0</v>
      </c>
      <c r="I149" s="51">
        <f>IFERROR(__xludf.DUMMYFUNCTION("""COMPUTED_VALUE"""),0.0)</f>
        <v>0</v>
      </c>
      <c r="J149" s="51">
        <f>IFERROR(__xludf.DUMMYFUNCTION("""COMPUTED_VALUE"""),0.0)</f>
        <v>0</v>
      </c>
      <c r="K149" s="51">
        <f>IFERROR(__xludf.DUMMYFUNCTION("""COMPUTED_VALUE"""),9.0)</f>
        <v>9</v>
      </c>
      <c r="L149" s="51">
        <f>IFERROR(__xludf.DUMMYFUNCTION("""COMPUTED_VALUE"""),0.0)</f>
        <v>0</v>
      </c>
      <c r="M149" s="51">
        <f>IFERROR(__xludf.DUMMYFUNCTION("""COMPUTED_VALUE"""),128.0)</f>
        <v>128</v>
      </c>
      <c r="N149" s="52">
        <f>IFERROR(__xludf.DUMMYFUNCTION("""COMPUTED_VALUE"""),3.0)</f>
        <v>3</v>
      </c>
    </row>
    <row r="150">
      <c r="A150" s="1"/>
      <c r="B150" s="48" t="str">
        <f>IFERROR(__xludf.DUMMYFUNCTION("""COMPUTED_VALUE"""),"Piyorasa Li")</f>
        <v>Piyorasa Li</v>
      </c>
      <c r="C150" s="49">
        <f>IFERROR(__xludf.DUMMYFUNCTION("""COMPUTED_VALUE"""),117.0)</f>
        <v>117</v>
      </c>
      <c r="D150" s="50">
        <f>IFERROR(__xludf.DUMMYFUNCTION("""COMPUTED_VALUE"""),3.0)</f>
        <v>3</v>
      </c>
      <c r="E150" s="49">
        <f>IFERROR(__xludf.DUMMYFUNCTION("""COMPUTED_VALUE"""),3.0)</f>
        <v>3</v>
      </c>
      <c r="F150" s="51">
        <f>IFERROR(__xludf.DUMMYFUNCTION("""COMPUTED_VALUE"""),0.0)</f>
        <v>0</v>
      </c>
      <c r="G150" s="51">
        <f>IFERROR(__xludf.DUMMYFUNCTION("""COMPUTED_VALUE"""),9.0)</f>
        <v>9</v>
      </c>
      <c r="H150" s="51">
        <f>IFERROR(__xludf.DUMMYFUNCTION("""COMPUTED_VALUE"""),0.0)</f>
        <v>0</v>
      </c>
      <c r="I150" s="51">
        <f>IFERROR(__xludf.DUMMYFUNCTION("""COMPUTED_VALUE"""),0.0)</f>
        <v>0</v>
      </c>
      <c r="J150" s="51">
        <f>IFERROR(__xludf.DUMMYFUNCTION("""COMPUTED_VALUE"""),0.0)</f>
        <v>0</v>
      </c>
      <c r="K150" s="51">
        <f>IFERROR(__xludf.DUMMYFUNCTION("""COMPUTED_VALUE"""),9.0)</f>
        <v>9</v>
      </c>
      <c r="L150" s="51">
        <f>IFERROR(__xludf.DUMMYFUNCTION("""COMPUTED_VALUE"""),0.0)</f>
        <v>0</v>
      </c>
      <c r="M150" s="51">
        <f>IFERROR(__xludf.DUMMYFUNCTION("""COMPUTED_VALUE"""),126.0)</f>
        <v>126</v>
      </c>
      <c r="N150" s="52">
        <f>IFERROR(__xludf.DUMMYFUNCTION("""COMPUTED_VALUE"""),3.0)</f>
        <v>3</v>
      </c>
    </row>
    <row r="151">
      <c r="A151" s="1"/>
      <c r="B151" s="48" t="str">
        <f>IFERROR(__xludf.DUMMYFUNCTION("""COMPUTED_VALUE"""),"Jason Kim ")</f>
        <v>Jason Kim </v>
      </c>
      <c r="C151" s="49">
        <f>IFERROR(__xludf.DUMMYFUNCTION("""COMPUTED_VALUE"""),117.0)</f>
        <v>117</v>
      </c>
      <c r="D151" s="50">
        <f>IFERROR(__xludf.DUMMYFUNCTION("""COMPUTED_VALUE"""),3.0)</f>
        <v>3</v>
      </c>
      <c r="E151" s="49">
        <f>IFERROR(__xludf.DUMMYFUNCTION("""COMPUTED_VALUE"""),3.0)</f>
        <v>3</v>
      </c>
      <c r="F151" s="51">
        <f>IFERROR(__xludf.DUMMYFUNCTION("""COMPUTED_VALUE"""),0.0)</f>
        <v>0</v>
      </c>
      <c r="G151" s="51">
        <f>IFERROR(__xludf.DUMMYFUNCTION("""COMPUTED_VALUE"""),9.0)</f>
        <v>9</v>
      </c>
      <c r="H151" s="51">
        <f>IFERROR(__xludf.DUMMYFUNCTION("""COMPUTED_VALUE"""),0.0)</f>
        <v>0</v>
      </c>
      <c r="I151" s="51">
        <f>IFERROR(__xludf.DUMMYFUNCTION("""COMPUTED_VALUE"""),0.0)</f>
        <v>0</v>
      </c>
      <c r="J151" s="51">
        <f>IFERROR(__xludf.DUMMYFUNCTION("""COMPUTED_VALUE"""),0.0)</f>
        <v>0</v>
      </c>
      <c r="K151" s="51">
        <f>IFERROR(__xludf.DUMMYFUNCTION("""COMPUTED_VALUE"""),9.0)</f>
        <v>9</v>
      </c>
      <c r="L151" s="51">
        <f>IFERROR(__xludf.DUMMYFUNCTION("""COMPUTED_VALUE"""),0.0)</f>
        <v>0</v>
      </c>
      <c r="M151" s="51">
        <f>IFERROR(__xludf.DUMMYFUNCTION("""COMPUTED_VALUE"""),126.0)</f>
        <v>126</v>
      </c>
      <c r="N151" s="52">
        <f>IFERROR(__xludf.DUMMYFUNCTION("""COMPUTED_VALUE"""),3.0)</f>
        <v>3</v>
      </c>
    </row>
    <row r="152">
      <c r="A152" s="1"/>
      <c r="B152" s="48" t="str">
        <f>IFERROR(__xludf.DUMMYFUNCTION("""COMPUTED_VALUE"""),"Santosh Sundaresan ")</f>
        <v>Santosh Sundaresan </v>
      </c>
      <c r="C152" s="49">
        <f>IFERROR(__xludf.DUMMYFUNCTION("""COMPUTED_VALUE"""),112.0)</f>
        <v>112</v>
      </c>
      <c r="D152" s="50">
        <f>IFERROR(__xludf.DUMMYFUNCTION("""COMPUTED_VALUE"""),4.0)</f>
        <v>4</v>
      </c>
      <c r="E152" s="49">
        <f>IFERROR(__xludf.DUMMYFUNCTION("""COMPUTED_VALUE"""),3.0)</f>
        <v>3</v>
      </c>
      <c r="F152" s="51">
        <f>IFERROR(__xludf.DUMMYFUNCTION("""COMPUTED_VALUE"""),0.0)</f>
        <v>0</v>
      </c>
      <c r="G152" s="51">
        <f>IFERROR(__xludf.DUMMYFUNCTION("""COMPUTED_VALUE"""),9.0)</f>
        <v>9</v>
      </c>
      <c r="H152" s="51">
        <f>IFERROR(__xludf.DUMMYFUNCTION("""COMPUTED_VALUE"""),0.0)</f>
        <v>0</v>
      </c>
      <c r="I152" s="51">
        <f>IFERROR(__xludf.DUMMYFUNCTION("""COMPUTED_VALUE"""),0.0)</f>
        <v>0</v>
      </c>
      <c r="J152" s="51">
        <f>IFERROR(__xludf.DUMMYFUNCTION("""COMPUTED_VALUE"""),0.0)</f>
        <v>0</v>
      </c>
      <c r="K152" s="51">
        <f>IFERROR(__xludf.DUMMYFUNCTION("""COMPUTED_VALUE"""),9.0)</f>
        <v>9</v>
      </c>
      <c r="L152" s="51">
        <f>IFERROR(__xludf.DUMMYFUNCTION("""COMPUTED_VALUE"""),0.0)</f>
        <v>0</v>
      </c>
      <c r="M152" s="51">
        <f>IFERROR(__xludf.DUMMYFUNCTION("""COMPUTED_VALUE"""),121.0)</f>
        <v>121</v>
      </c>
      <c r="N152" s="52">
        <f>IFERROR(__xludf.DUMMYFUNCTION("""COMPUTED_VALUE"""),4.0)</f>
        <v>4</v>
      </c>
    </row>
    <row r="153">
      <c r="A153" s="1"/>
      <c r="B153" s="48" t="str">
        <f>IFERROR(__xludf.DUMMYFUNCTION("""COMPUTED_VALUE"""),"Suleman Alidina")</f>
        <v>Suleman Alidina</v>
      </c>
      <c r="C153" s="49">
        <f>IFERROR(__xludf.DUMMYFUNCTION("""COMPUTED_VALUE"""),112.0)</f>
        <v>112</v>
      </c>
      <c r="D153" s="50">
        <f>IFERROR(__xludf.DUMMYFUNCTION("""COMPUTED_VALUE"""),2.0)</f>
        <v>2</v>
      </c>
      <c r="E153" s="49">
        <f>IFERROR(__xludf.DUMMYFUNCTION("""COMPUTED_VALUE"""),3.0)</f>
        <v>3</v>
      </c>
      <c r="F153" s="51">
        <f>IFERROR(__xludf.DUMMYFUNCTION("""COMPUTED_VALUE"""),0.0)</f>
        <v>0</v>
      </c>
      <c r="G153" s="51">
        <f>IFERROR(__xludf.DUMMYFUNCTION("""COMPUTED_VALUE"""),9.0)</f>
        <v>9</v>
      </c>
      <c r="H153" s="51">
        <f>IFERROR(__xludf.DUMMYFUNCTION("""COMPUTED_VALUE"""),0.0)</f>
        <v>0</v>
      </c>
      <c r="I153" s="51">
        <f>IFERROR(__xludf.DUMMYFUNCTION("""COMPUTED_VALUE"""),0.0)</f>
        <v>0</v>
      </c>
      <c r="J153" s="51">
        <f>IFERROR(__xludf.DUMMYFUNCTION("""COMPUTED_VALUE"""),0.0)</f>
        <v>0</v>
      </c>
      <c r="K153" s="51">
        <f>IFERROR(__xludf.DUMMYFUNCTION("""COMPUTED_VALUE"""),9.0)</f>
        <v>9</v>
      </c>
      <c r="L153" s="51">
        <f>IFERROR(__xludf.DUMMYFUNCTION("""COMPUTED_VALUE"""),0.0)</f>
        <v>0</v>
      </c>
      <c r="M153" s="51">
        <f>IFERROR(__xludf.DUMMYFUNCTION("""COMPUTED_VALUE"""),121.0)</f>
        <v>121</v>
      </c>
      <c r="N153" s="52">
        <f>IFERROR(__xludf.DUMMYFUNCTION("""COMPUTED_VALUE"""),2.0)</f>
        <v>2</v>
      </c>
    </row>
    <row r="154">
      <c r="A154" s="1"/>
      <c r="B154" s="48" t="str">
        <f>IFERROR(__xludf.DUMMYFUNCTION("""COMPUTED_VALUE"""),"Amit Patel")</f>
        <v>Amit Patel</v>
      </c>
      <c r="C154" s="49">
        <f>IFERROR(__xludf.DUMMYFUNCTION("""COMPUTED_VALUE"""),112.0)</f>
        <v>112</v>
      </c>
      <c r="D154" s="50">
        <f>IFERROR(__xludf.DUMMYFUNCTION("""COMPUTED_VALUE"""),2.0)</f>
        <v>2</v>
      </c>
      <c r="E154" s="49">
        <f>IFERROR(__xludf.DUMMYFUNCTION("""COMPUTED_VALUE"""),3.0)</f>
        <v>3</v>
      </c>
      <c r="F154" s="51">
        <f>IFERROR(__xludf.DUMMYFUNCTION("""COMPUTED_VALUE"""),0.0)</f>
        <v>0</v>
      </c>
      <c r="G154" s="51">
        <f>IFERROR(__xludf.DUMMYFUNCTION("""COMPUTED_VALUE"""),9.0)</f>
        <v>9</v>
      </c>
      <c r="H154" s="51">
        <f>IFERROR(__xludf.DUMMYFUNCTION("""COMPUTED_VALUE"""),0.0)</f>
        <v>0</v>
      </c>
      <c r="I154" s="51">
        <f>IFERROR(__xludf.DUMMYFUNCTION("""COMPUTED_VALUE"""),0.0)</f>
        <v>0</v>
      </c>
      <c r="J154" s="51">
        <f>IFERROR(__xludf.DUMMYFUNCTION("""COMPUTED_VALUE"""),0.0)</f>
        <v>0</v>
      </c>
      <c r="K154" s="51">
        <f>IFERROR(__xludf.DUMMYFUNCTION("""COMPUTED_VALUE"""),9.0)</f>
        <v>9</v>
      </c>
      <c r="L154" s="51">
        <f>IFERROR(__xludf.DUMMYFUNCTION("""COMPUTED_VALUE"""),0.0)</f>
        <v>0</v>
      </c>
      <c r="M154" s="51">
        <f>IFERROR(__xludf.DUMMYFUNCTION("""COMPUTED_VALUE"""),121.0)</f>
        <v>121</v>
      </c>
      <c r="N154" s="52">
        <f>IFERROR(__xludf.DUMMYFUNCTION("""COMPUTED_VALUE"""),2.0)</f>
        <v>2</v>
      </c>
    </row>
    <row r="155">
      <c r="A155" s="1"/>
      <c r="B155" s="48" t="str">
        <f>IFERROR(__xludf.DUMMYFUNCTION("""COMPUTED_VALUE"""),"Vilas Janardhanan")</f>
        <v>Vilas Janardhanan</v>
      </c>
      <c r="C155" s="49">
        <f>IFERROR(__xludf.DUMMYFUNCTION("""COMPUTED_VALUE"""),110.0)</f>
        <v>110</v>
      </c>
      <c r="D155" s="50">
        <f>IFERROR(__xludf.DUMMYFUNCTION("""COMPUTED_VALUE"""),5.0)</f>
        <v>5</v>
      </c>
      <c r="E155" s="49">
        <f>IFERROR(__xludf.DUMMYFUNCTION("""COMPUTED_VALUE"""),3.0)</f>
        <v>3</v>
      </c>
      <c r="F155" s="51">
        <f>IFERROR(__xludf.DUMMYFUNCTION("""COMPUTED_VALUE"""),0.0)</f>
        <v>0</v>
      </c>
      <c r="G155" s="51">
        <f>IFERROR(__xludf.DUMMYFUNCTION("""COMPUTED_VALUE"""),9.0)</f>
        <v>9</v>
      </c>
      <c r="H155" s="51">
        <f>IFERROR(__xludf.DUMMYFUNCTION("""COMPUTED_VALUE"""),0.0)</f>
        <v>0</v>
      </c>
      <c r="I155" s="51">
        <f>IFERROR(__xludf.DUMMYFUNCTION("""COMPUTED_VALUE"""),0.0)</f>
        <v>0</v>
      </c>
      <c r="J155" s="51">
        <f>IFERROR(__xludf.DUMMYFUNCTION("""COMPUTED_VALUE"""),0.0)</f>
        <v>0</v>
      </c>
      <c r="K155" s="51">
        <f>IFERROR(__xludf.DUMMYFUNCTION("""COMPUTED_VALUE"""),9.0)</f>
        <v>9</v>
      </c>
      <c r="L155" s="51">
        <f>IFERROR(__xludf.DUMMYFUNCTION("""COMPUTED_VALUE"""),0.0)</f>
        <v>0</v>
      </c>
      <c r="M155" s="51">
        <f>IFERROR(__xludf.DUMMYFUNCTION("""COMPUTED_VALUE"""),119.0)</f>
        <v>119</v>
      </c>
      <c r="N155" s="52">
        <f>IFERROR(__xludf.DUMMYFUNCTION("""COMPUTED_VALUE"""),5.0)</f>
        <v>5</v>
      </c>
    </row>
    <row r="156">
      <c r="A156" s="1"/>
      <c r="B156" s="48" t="str">
        <f>IFERROR(__xludf.DUMMYFUNCTION("""COMPUTED_VALUE"""),"Kevin Wang")</f>
        <v>Kevin Wang</v>
      </c>
      <c r="C156" s="49">
        <f>IFERROR(__xludf.DUMMYFUNCTION("""COMPUTED_VALUE"""),109.0)</f>
        <v>109</v>
      </c>
      <c r="D156" s="50">
        <f>IFERROR(__xludf.DUMMYFUNCTION("""COMPUTED_VALUE"""),7.0)</f>
        <v>7</v>
      </c>
      <c r="E156" s="49">
        <f>IFERROR(__xludf.DUMMYFUNCTION("""COMPUTED_VALUE"""),3.0)</f>
        <v>3</v>
      </c>
      <c r="F156" s="51">
        <f>IFERROR(__xludf.DUMMYFUNCTION("""COMPUTED_VALUE"""),0.0)</f>
        <v>0</v>
      </c>
      <c r="G156" s="51">
        <f>IFERROR(__xludf.DUMMYFUNCTION("""COMPUTED_VALUE"""),9.0)</f>
        <v>9</v>
      </c>
      <c r="H156" s="51">
        <f>IFERROR(__xludf.DUMMYFUNCTION("""COMPUTED_VALUE"""),0.0)</f>
        <v>0</v>
      </c>
      <c r="I156" s="51">
        <f>IFERROR(__xludf.DUMMYFUNCTION("""COMPUTED_VALUE"""),0.0)</f>
        <v>0</v>
      </c>
      <c r="J156" s="51">
        <f>IFERROR(__xludf.DUMMYFUNCTION("""COMPUTED_VALUE"""),0.0)</f>
        <v>0</v>
      </c>
      <c r="K156" s="51">
        <f>IFERROR(__xludf.DUMMYFUNCTION("""COMPUTED_VALUE"""),9.0)</f>
        <v>9</v>
      </c>
      <c r="L156" s="51">
        <f>IFERROR(__xludf.DUMMYFUNCTION("""COMPUTED_VALUE"""),0.0)</f>
        <v>0</v>
      </c>
      <c r="M156" s="51">
        <f>IFERROR(__xludf.DUMMYFUNCTION("""COMPUTED_VALUE"""),118.0)</f>
        <v>118</v>
      </c>
      <c r="N156" s="52">
        <f>IFERROR(__xludf.DUMMYFUNCTION("""COMPUTED_VALUE"""),7.0)</f>
        <v>7</v>
      </c>
    </row>
    <row r="157">
      <c r="A157" s="1"/>
      <c r="B157" s="48" t="str">
        <f>IFERROR(__xludf.DUMMYFUNCTION("""COMPUTED_VALUE"""),"Savay Lieu")</f>
        <v>Savay Lieu</v>
      </c>
      <c r="C157" s="49">
        <f>IFERROR(__xludf.DUMMYFUNCTION("""COMPUTED_VALUE"""),108.0)</f>
        <v>108</v>
      </c>
      <c r="D157" s="50">
        <f>IFERROR(__xludf.DUMMYFUNCTION("""COMPUTED_VALUE"""),0.0)</f>
        <v>0</v>
      </c>
      <c r="E157" s="49">
        <f>IFERROR(__xludf.DUMMYFUNCTION("""COMPUTED_VALUE"""),3.0)</f>
        <v>3</v>
      </c>
      <c r="F157" s="51">
        <f>IFERROR(__xludf.DUMMYFUNCTION("""COMPUTED_VALUE"""),0.0)</f>
        <v>0</v>
      </c>
      <c r="G157" s="51">
        <f>IFERROR(__xludf.DUMMYFUNCTION("""COMPUTED_VALUE"""),9.0)</f>
        <v>9</v>
      </c>
      <c r="H157" s="51">
        <f>IFERROR(__xludf.DUMMYFUNCTION("""COMPUTED_VALUE"""),0.0)</f>
        <v>0</v>
      </c>
      <c r="I157" s="51">
        <f>IFERROR(__xludf.DUMMYFUNCTION("""COMPUTED_VALUE"""),0.0)</f>
        <v>0</v>
      </c>
      <c r="J157" s="51">
        <f>IFERROR(__xludf.DUMMYFUNCTION("""COMPUTED_VALUE"""),0.0)</f>
        <v>0</v>
      </c>
      <c r="K157" s="51">
        <f>IFERROR(__xludf.DUMMYFUNCTION("""COMPUTED_VALUE"""),9.0)</f>
        <v>9</v>
      </c>
      <c r="L157" s="51">
        <f>IFERROR(__xludf.DUMMYFUNCTION("""COMPUTED_VALUE"""),0.0)</f>
        <v>0</v>
      </c>
      <c r="M157" s="51">
        <f>IFERROR(__xludf.DUMMYFUNCTION("""COMPUTED_VALUE"""),117.0)</f>
        <v>117</v>
      </c>
      <c r="N157" s="52">
        <f>IFERROR(__xludf.DUMMYFUNCTION("""COMPUTED_VALUE"""),0.0)</f>
        <v>0</v>
      </c>
    </row>
    <row r="158">
      <c r="A158" s="1"/>
      <c r="B158" s="48" t="str">
        <f>IFERROR(__xludf.DUMMYFUNCTION("""COMPUTED_VALUE"""),"Mihir Anand")</f>
        <v>Mihir Anand</v>
      </c>
      <c r="C158" s="49">
        <f>IFERROR(__xludf.DUMMYFUNCTION("""COMPUTED_VALUE"""),108.0)</f>
        <v>108</v>
      </c>
      <c r="D158" s="50">
        <f>IFERROR(__xludf.DUMMYFUNCTION("""COMPUTED_VALUE"""),0.0)</f>
        <v>0</v>
      </c>
      <c r="E158" s="49">
        <f>IFERROR(__xludf.DUMMYFUNCTION("""COMPUTED_VALUE"""),3.0)</f>
        <v>3</v>
      </c>
      <c r="F158" s="51">
        <f>IFERROR(__xludf.DUMMYFUNCTION("""COMPUTED_VALUE"""),0.0)</f>
        <v>0</v>
      </c>
      <c r="G158" s="51">
        <f>IFERROR(__xludf.DUMMYFUNCTION("""COMPUTED_VALUE"""),9.0)</f>
        <v>9</v>
      </c>
      <c r="H158" s="51">
        <f>IFERROR(__xludf.DUMMYFUNCTION("""COMPUTED_VALUE"""),0.0)</f>
        <v>0</v>
      </c>
      <c r="I158" s="51">
        <f>IFERROR(__xludf.DUMMYFUNCTION("""COMPUTED_VALUE"""),0.0)</f>
        <v>0</v>
      </c>
      <c r="J158" s="51">
        <f>IFERROR(__xludf.DUMMYFUNCTION("""COMPUTED_VALUE"""),0.0)</f>
        <v>0</v>
      </c>
      <c r="K158" s="51">
        <f>IFERROR(__xludf.DUMMYFUNCTION("""COMPUTED_VALUE"""),9.0)</f>
        <v>9</v>
      </c>
      <c r="L158" s="51">
        <f>IFERROR(__xludf.DUMMYFUNCTION("""COMPUTED_VALUE"""),0.0)</f>
        <v>0</v>
      </c>
      <c r="M158" s="51">
        <f>IFERROR(__xludf.DUMMYFUNCTION("""COMPUTED_VALUE"""),117.0)</f>
        <v>117</v>
      </c>
      <c r="N158" s="52">
        <f>IFERROR(__xludf.DUMMYFUNCTION("""COMPUTED_VALUE"""),0.0)</f>
        <v>0</v>
      </c>
    </row>
    <row r="159">
      <c r="A159" s="1"/>
      <c r="B159" s="48" t="str">
        <f>IFERROR(__xludf.DUMMYFUNCTION("""COMPUTED_VALUE"""),"Manish Anand")</f>
        <v>Manish Anand</v>
      </c>
      <c r="C159" s="49">
        <f>IFERROR(__xludf.DUMMYFUNCTION("""COMPUTED_VALUE"""),108.0)</f>
        <v>108</v>
      </c>
      <c r="D159" s="50">
        <f>IFERROR(__xludf.DUMMYFUNCTION("""COMPUTED_VALUE"""),0.0)</f>
        <v>0</v>
      </c>
      <c r="E159" s="49">
        <f>IFERROR(__xludf.DUMMYFUNCTION("""COMPUTED_VALUE"""),3.0)</f>
        <v>3</v>
      </c>
      <c r="F159" s="51">
        <f>IFERROR(__xludf.DUMMYFUNCTION("""COMPUTED_VALUE"""),0.0)</f>
        <v>0</v>
      </c>
      <c r="G159" s="51">
        <f>IFERROR(__xludf.DUMMYFUNCTION("""COMPUTED_VALUE"""),9.0)</f>
        <v>9</v>
      </c>
      <c r="H159" s="51">
        <f>IFERROR(__xludf.DUMMYFUNCTION("""COMPUTED_VALUE"""),0.0)</f>
        <v>0</v>
      </c>
      <c r="I159" s="51">
        <f>IFERROR(__xludf.DUMMYFUNCTION("""COMPUTED_VALUE"""),0.0)</f>
        <v>0</v>
      </c>
      <c r="J159" s="51">
        <f>IFERROR(__xludf.DUMMYFUNCTION("""COMPUTED_VALUE"""),0.0)</f>
        <v>0</v>
      </c>
      <c r="K159" s="51">
        <f>IFERROR(__xludf.DUMMYFUNCTION("""COMPUTED_VALUE"""),9.0)</f>
        <v>9</v>
      </c>
      <c r="L159" s="51">
        <f>IFERROR(__xludf.DUMMYFUNCTION("""COMPUTED_VALUE"""),0.0)</f>
        <v>0</v>
      </c>
      <c r="M159" s="51">
        <f>IFERROR(__xludf.DUMMYFUNCTION("""COMPUTED_VALUE"""),117.0)</f>
        <v>117</v>
      </c>
      <c r="N159" s="52">
        <f>IFERROR(__xludf.DUMMYFUNCTION("""COMPUTED_VALUE"""),0.0)</f>
        <v>0</v>
      </c>
    </row>
    <row r="160">
      <c r="A160" s="1"/>
      <c r="B160" s="48" t="str">
        <f>IFERROR(__xludf.DUMMYFUNCTION("""COMPUTED_VALUE"""),"Fendi Purwadi")</f>
        <v>Fendi Purwadi</v>
      </c>
      <c r="C160" s="49">
        <f>IFERROR(__xludf.DUMMYFUNCTION("""COMPUTED_VALUE"""),108.0)</f>
        <v>108</v>
      </c>
      <c r="D160" s="50">
        <f>IFERROR(__xludf.DUMMYFUNCTION("""COMPUTED_VALUE"""),0.0)</f>
        <v>0</v>
      </c>
      <c r="E160" s="49">
        <f>IFERROR(__xludf.DUMMYFUNCTION("""COMPUTED_VALUE"""),3.0)</f>
        <v>3</v>
      </c>
      <c r="F160" s="51">
        <f>IFERROR(__xludf.DUMMYFUNCTION("""COMPUTED_VALUE"""),0.0)</f>
        <v>0</v>
      </c>
      <c r="G160" s="51">
        <f>IFERROR(__xludf.DUMMYFUNCTION("""COMPUTED_VALUE"""),9.0)</f>
        <v>9</v>
      </c>
      <c r="H160" s="51">
        <f>IFERROR(__xludf.DUMMYFUNCTION("""COMPUTED_VALUE"""),0.0)</f>
        <v>0</v>
      </c>
      <c r="I160" s="51">
        <f>IFERROR(__xludf.DUMMYFUNCTION("""COMPUTED_VALUE"""),0.0)</f>
        <v>0</v>
      </c>
      <c r="J160" s="51">
        <f>IFERROR(__xludf.DUMMYFUNCTION("""COMPUTED_VALUE"""),0.0)</f>
        <v>0</v>
      </c>
      <c r="K160" s="51">
        <f>IFERROR(__xludf.DUMMYFUNCTION("""COMPUTED_VALUE"""),9.0)</f>
        <v>9</v>
      </c>
      <c r="L160" s="51">
        <f>IFERROR(__xludf.DUMMYFUNCTION("""COMPUTED_VALUE"""),0.0)</f>
        <v>0</v>
      </c>
      <c r="M160" s="51">
        <f>IFERROR(__xludf.DUMMYFUNCTION("""COMPUTED_VALUE"""),117.0)</f>
        <v>117</v>
      </c>
      <c r="N160" s="52">
        <f>IFERROR(__xludf.DUMMYFUNCTION("""COMPUTED_VALUE"""),0.0)</f>
        <v>0</v>
      </c>
    </row>
    <row r="161">
      <c r="A161" s="1"/>
      <c r="B161" s="48"/>
      <c r="C161" s="49"/>
      <c r="D161" s="50"/>
      <c r="E161" s="49"/>
      <c r="F161" s="51"/>
      <c r="G161" s="51"/>
      <c r="H161" s="51"/>
      <c r="I161" s="51"/>
      <c r="J161" s="51"/>
      <c r="K161" s="51"/>
      <c r="L161" s="51"/>
      <c r="M161" s="51"/>
      <c r="N161" s="52"/>
    </row>
    <row r="162">
      <c r="A162" s="1"/>
      <c r="B162" s="48"/>
      <c r="C162" s="49"/>
      <c r="D162" s="50"/>
      <c r="E162" s="49"/>
      <c r="F162" s="51"/>
      <c r="G162" s="51"/>
      <c r="H162" s="51"/>
      <c r="I162" s="51"/>
      <c r="J162" s="51"/>
      <c r="K162" s="51"/>
      <c r="L162" s="51"/>
      <c r="M162" s="51"/>
      <c r="N162" s="52"/>
    </row>
    <row r="163">
      <c r="A163" s="1"/>
      <c r="B163" s="48"/>
      <c r="C163" s="49"/>
      <c r="D163" s="50"/>
      <c r="E163" s="49"/>
      <c r="F163" s="51"/>
      <c r="G163" s="51"/>
      <c r="H163" s="51"/>
      <c r="I163" s="51"/>
      <c r="J163" s="51"/>
      <c r="K163" s="51"/>
      <c r="L163" s="51"/>
      <c r="M163" s="51"/>
      <c r="N163" s="52"/>
    </row>
    <row r="164">
      <c r="A164" s="1"/>
      <c r="B164" s="48"/>
      <c r="C164" s="49"/>
      <c r="D164" s="50"/>
      <c r="E164" s="49"/>
      <c r="F164" s="51"/>
      <c r="G164" s="51"/>
      <c r="H164" s="51"/>
      <c r="I164" s="51"/>
      <c r="J164" s="51"/>
      <c r="K164" s="51"/>
      <c r="L164" s="51"/>
      <c r="M164" s="51"/>
      <c r="N164" s="52"/>
    </row>
    <row r="165">
      <c r="A165" s="1"/>
      <c r="B165" s="48"/>
      <c r="C165" s="49"/>
      <c r="D165" s="50"/>
      <c r="E165" s="49"/>
      <c r="F165" s="51"/>
      <c r="G165" s="51"/>
      <c r="H165" s="51"/>
      <c r="I165" s="51"/>
      <c r="J165" s="51"/>
      <c r="K165" s="51"/>
      <c r="L165" s="51"/>
      <c r="M165" s="51"/>
      <c r="N165" s="52"/>
    </row>
    <row r="166">
      <c r="A166" s="1"/>
      <c r="B166" s="48"/>
      <c r="C166" s="49"/>
      <c r="D166" s="50"/>
      <c r="E166" s="49"/>
      <c r="F166" s="51"/>
      <c r="G166" s="51"/>
      <c r="H166" s="51"/>
      <c r="I166" s="51"/>
      <c r="J166" s="51"/>
      <c r="K166" s="51"/>
      <c r="L166" s="51"/>
      <c r="M166" s="51"/>
      <c r="N166" s="52"/>
    </row>
    <row r="167">
      <c r="A167" s="1"/>
      <c r="B167" s="48"/>
      <c r="C167" s="49"/>
      <c r="D167" s="50"/>
      <c r="E167" s="49"/>
      <c r="F167" s="51"/>
      <c r="G167" s="51"/>
      <c r="H167" s="51"/>
      <c r="I167" s="51"/>
      <c r="J167" s="51"/>
      <c r="K167" s="51"/>
      <c r="L167" s="51"/>
      <c r="M167" s="51"/>
      <c r="N167" s="52"/>
    </row>
    <row r="168">
      <c r="A168" s="1"/>
      <c r="B168" s="48"/>
      <c r="C168" s="49"/>
      <c r="D168" s="50"/>
      <c r="E168" s="49"/>
      <c r="F168" s="51"/>
      <c r="G168" s="51"/>
      <c r="H168" s="51"/>
      <c r="I168" s="51"/>
      <c r="J168" s="51"/>
      <c r="K168" s="51"/>
      <c r="L168" s="51"/>
      <c r="M168" s="51"/>
      <c r="N168" s="52"/>
    </row>
    <row r="169">
      <c r="A169" s="1"/>
      <c r="B169" s="48"/>
      <c r="C169" s="49"/>
      <c r="D169" s="50"/>
      <c r="E169" s="49"/>
      <c r="F169" s="51"/>
      <c r="G169" s="51"/>
      <c r="H169" s="51"/>
      <c r="I169" s="51"/>
      <c r="J169" s="51"/>
      <c r="K169" s="51"/>
      <c r="L169" s="51"/>
      <c r="M169" s="51"/>
      <c r="N169" s="52"/>
    </row>
    <row r="170">
      <c r="A170" s="1"/>
      <c r="B170" s="48"/>
      <c r="C170" s="49"/>
      <c r="D170" s="50"/>
      <c r="E170" s="49"/>
      <c r="F170" s="51"/>
      <c r="G170" s="51"/>
      <c r="H170" s="51"/>
      <c r="I170" s="51"/>
      <c r="J170" s="51"/>
      <c r="K170" s="51"/>
      <c r="L170" s="51"/>
      <c r="M170" s="51"/>
      <c r="N170" s="52"/>
    </row>
    <row r="171">
      <c r="A171" s="1"/>
      <c r="B171" s="48"/>
      <c r="C171" s="49"/>
      <c r="D171" s="50"/>
      <c r="E171" s="49"/>
      <c r="F171" s="51"/>
      <c r="G171" s="51"/>
      <c r="H171" s="51"/>
      <c r="I171" s="51"/>
      <c r="J171" s="51"/>
      <c r="K171" s="51"/>
      <c r="L171" s="51"/>
      <c r="M171" s="51"/>
      <c r="N171" s="52"/>
    </row>
    <row r="172">
      <c r="A172" s="1"/>
      <c r="B172" s="48"/>
      <c r="C172" s="49"/>
      <c r="D172" s="50"/>
      <c r="E172" s="49"/>
      <c r="F172" s="51"/>
      <c r="G172" s="51"/>
      <c r="H172" s="51"/>
      <c r="I172" s="51"/>
      <c r="J172" s="51"/>
      <c r="K172" s="51"/>
      <c r="L172" s="51"/>
      <c r="M172" s="51"/>
      <c r="N172" s="52"/>
    </row>
    <row r="173">
      <c r="A173" s="1"/>
      <c r="B173" s="48"/>
      <c r="C173" s="49"/>
      <c r="D173" s="50"/>
      <c r="E173" s="49"/>
      <c r="F173" s="51"/>
      <c r="G173" s="51"/>
      <c r="H173" s="51"/>
      <c r="I173" s="51"/>
      <c r="J173" s="51"/>
      <c r="K173" s="51"/>
      <c r="L173" s="51"/>
      <c r="M173" s="51"/>
      <c r="N173" s="52"/>
    </row>
    <row r="174">
      <c r="A174" s="1"/>
      <c r="B174" s="48"/>
      <c r="C174" s="49"/>
      <c r="D174" s="50"/>
      <c r="E174" s="49"/>
      <c r="F174" s="51"/>
      <c r="G174" s="51"/>
      <c r="H174" s="51"/>
      <c r="I174" s="51"/>
      <c r="J174" s="51"/>
      <c r="K174" s="51"/>
      <c r="L174" s="51"/>
      <c r="M174" s="51"/>
      <c r="N174" s="52"/>
    </row>
    <row r="175">
      <c r="A175" s="1"/>
      <c r="B175" s="48"/>
      <c r="C175" s="49"/>
      <c r="D175" s="50"/>
      <c r="E175" s="49"/>
      <c r="F175" s="51"/>
      <c r="G175" s="51"/>
      <c r="H175" s="51"/>
      <c r="I175" s="51"/>
      <c r="J175" s="51"/>
      <c r="K175" s="51"/>
      <c r="L175" s="51"/>
      <c r="M175" s="51"/>
      <c r="N175" s="52"/>
    </row>
    <row r="176">
      <c r="A176" s="1"/>
      <c r="B176" s="48"/>
      <c r="C176" s="49"/>
      <c r="D176" s="50"/>
      <c r="E176" s="49"/>
      <c r="F176" s="51"/>
      <c r="G176" s="51"/>
      <c r="H176" s="51"/>
      <c r="I176" s="51"/>
      <c r="J176" s="51"/>
      <c r="K176" s="51"/>
      <c r="L176" s="51"/>
      <c r="M176" s="51"/>
      <c r="N176" s="52"/>
    </row>
    <row r="177">
      <c r="A177" s="1"/>
      <c r="B177" s="48"/>
      <c r="C177" s="49"/>
      <c r="D177" s="50"/>
      <c r="E177" s="49"/>
      <c r="F177" s="51"/>
      <c r="G177" s="51"/>
      <c r="H177" s="51"/>
      <c r="I177" s="51"/>
      <c r="J177" s="51"/>
      <c r="K177" s="51"/>
      <c r="L177" s="51"/>
      <c r="M177" s="51"/>
      <c r="N177" s="52"/>
    </row>
    <row r="178">
      <c r="A178" s="1"/>
      <c r="B178" s="48"/>
      <c r="C178" s="49"/>
      <c r="D178" s="50"/>
      <c r="E178" s="49"/>
      <c r="F178" s="51"/>
      <c r="G178" s="51"/>
      <c r="H178" s="51"/>
      <c r="I178" s="51"/>
      <c r="J178" s="51"/>
      <c r="K178" s="51"/>
      <c r="L178" s="51"/>
      <c r="M178" s="51"/>
      <c r="N178" s="52"/>
    </row>
    <row r="179">
      <c r="A179" s="1"/>
      <c r="B179" s="48"/>
      <c r="C179" s="49"/>
      <c r="D179" s="50"/>
      <c r="E179" s="49"/>
      <c r="F179" s="51"/>
      <c r="G179" s="51"/>
      <c r="H179" s="51"/>
      <c r="I179" s="51"/>
      <c r="J179" s="51"/>
      <c r="K179" s="51"/>
      <c r="L179" s="51"/>
      <c r="M179" s="51"/>
      <c r="N179" s="52"/>
    </row>
    <row r="180">
      <c r="A180" s="1"/>
      <c r="B180" s="48"/>
      <c r="C180" s="49"/>
      <c r="D180" s="50"/>
      <c r="E180" s="49"/>
      <c r="F180" s="51"/>
      <c r="G180" s="51"/>
      <c r="H180" s="51"/>
      <c r="I180" s="51"/>
      <c r="J180" s="51"/>
      <c r="K180" s="51"/>
      <c r="L180" s="51"/>
      <c r="M180" s="51"/>
      <c r="N180" s="52"/>
    </row>
    <row r="181">
      <c r="A181" s="1"/>
      <c r="B181" s="48"/>
      <c r="C181" s="49"/>
      <c r="D181" s="50"/>
      <c r="E181" s="49"/>
      <c r="F181" s="51"/>
      <c r="G181" s="51"/>
      <c r="H181" s="51"/>
      <c r="I181" s="51"/>
      <c r="J181" s="51"/>
      <c r="K181" s="51"/>
      <c r="L181" s="51"/>
      <c r="M181" s="51"/>
      <c r="N181" s="52"/>
    </row>
    <row r="182">
      <c r="A182" s="1"/>
      <c r="B182" s="48"/>
      <c r="C182" s="49"/>
      <c r="D182" s="50"/>
      <c r="E182" s="49"/>
      <c r="F182" s="51"/>
      <c r="G182" s="51"/>
      <c r="H182" s="51"/>
      <c r="I182" s="51"/>
      <c r="J182" s="51"/>
      <c r="K182" s="51"/>
      <c r="L182" s="51"/>
      <c r="M182" s="51"/>
      <c r="N182" s="52"/>
    </row>
    <row r="183">
      <c r="A183" s="1"/>
      <c r="B183" s="48"/>
      <c r="C183" s="49"/>
      <c r="D183" s="50"/>
      <c r="E183" s="49"/>
      <c r="F183" s="51"/>
      <c r="G183" s="51"/>
      <c r="H183" s="51"/>
      <c r="I183" s="51"/>
      <c r="J183" s="51"/>
      <c r="K183" s="51"/>
      <c r="L183" s="51"/>
      <c r="M183" s="51"/>
      <c r="N183" s="52"/>
    </row>
    <row r="184">
      <c r="A184" s="1"/>
      <c r="B184" s="48"/>
      <c r="C184" s="49"/>
      <c r="D184" s="50"/>
      <c r="E184" s="49"/>
      <c r="F184" s="51"/>
      <c r="G184" s="51"/>
      <c r="H184" s="51"/>
      <c r="I184" s="51"/>
      <c r="J184" s="51"/>
      <c r="K184" s="51"/>
      <c r="L184" s="51"/>
      <c r="M184" s="51"/>
      <c r="N184" s="52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  <row r="1020">
      <c r="A1020" s="1"/>
      <c r="C1020" s="1"/>
      <c r="D1020" s="1"/>
      <c r="E1020" s="1"/>
    </row>
    <row r="1021">
      <c r="A1021" s="1"/>
      <c r="C1021" s="1"/>
      <c r="D1021" s="1"/>
      <c r="E1021" s="1"/>
    </row>
    <row r="1022">
      <c r="A1022" s="1"/>
      <c r="C1022" s="1"/>
      <c r="D1022" s="1"/>
      <c r="E1022" s="1"/>
    </row>
    <row r="1023">
      <c r="A1023" s="1"/>
      <c r="C1023" s="1"/>
      <c r="D1023" s="1"/>
      <c r="E1023" s="1"/>
    </row>
    <row r="1024">
      <c r="A1024" s="1"/>
      <c r="C1024" s="1"/>
      <c r="D1024" s="1"/>
      <c r="E1024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3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3 B71:D81">
    <cfRule type="expression" dxfId="0" priority="3">
      <formula>E5=1</formula>
    </cfRule>
  </conditionalFormatting>
  <conditionalFormatting sqref="B5:B63 B71:D81">
    <cfRule type="expression" dxfId="2" priority="4">
      <formula>E5=2</formula>
    </cfRule>
  </conditionalFormatting>
  <conditionalFormatting sqref="B5:B63 B71:D81">
    <cfRule type="expression" dxfId="3" priority="5">
      <formula>E5=3</formula>
    </cfRule>
  </conditionalFormatting>
  <conditionalFormatting sqref="B5:B63 B71:D81">
    <cfRule type="expression" dxfId="4" priority="6">
      <formula>E5=4</formula>
    </cfRule>
  </conditionalFormatting>
  <conditionalFormatting sqref="L73">
    <cfRule type="containsText" dxfId="0" priority="7" operator="containsText" text="Good">
      <formula>NOT(ISERROR(SEARCH(("Good"),(L73))))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45192.0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12.0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72</v>
      </c>
      <c r="C5" s="27">
        <v>152.0</v>
      </c>
      <c r="D5" s="28">
        <v>16.0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161</v>
      </c>
      <c r="N5" s="28">
        <f t="shared" si="1"/>
        <v>16</v>
      </c>
      <c r="O5" s="33" t="s">
        <v>37</v>
      </c>
      <c r="P5" s="33" t="s">
        <v>37</v>
      </c>
      <c r="Q5" s="31">
        <f>if(G5=13,1,0)+VLOOKUP(B5,'91623'!B$5:Q$61,16,false)</f>
        <v>1</v>
      </c>
      <c r="R5" s="31"/>
      <c r="S5" s="31">
        <f>if(G5=9,1,0)+VLOOKUP(B5,'91623'!B:S,18,false)</f>
        <v>4</v>
      </c>
    </row>
    <row r="6">
      <c r="A6" s="25">
        <f t="shared" ref="A6:A61" si="3">A5+1</f>
        <v>2</v>
      </c>
      <c r="B6" s="36" t="s">
        <v>67</v>
      </c>
      <c r="C6" s="27">
        <v>152.0</v>
      </c>
      <c r="D6" s="28">
        <v>16.0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161</v>
      </c>
      <c r="N6" s="28">
        <f t="shared" si="2"/>
        <v>16</v>
      </c>
      <c r="O6" s="33" t="s">
        <v>37</v>
      </c>
      <c r="P6" s="33" t="s">
        <v>37</v>
      </c>
      <c r="Q6" s="31">
        <f>if(G6=13,1,0)+VLOOKUP(B6,'91623'!B$5:Q$61,16,false)</f>
        <v>0</v>
      </c>
      <c r="R6" s="31"/>
      <c r="S6" s="31">
        <f>if(G6=9,1,0)+VLOOKUP(B6,'91623'!B:S,18,false)</f>
        <v>3</v>
      </c>
    </row>
    <row r="7">
      <c r="A7" s="25">
        <f t="shared" si="3"/>
        <v>3</v>
      </c>
      <c r="B7" s="26" t="s">
        <v>42</v>
      </c>
      <c r="C7" s="27">
        <v>149.0</v>
      </c>
      <c r="D7" s="28">
        <v>14.0</v>
      </c>
      <c r="E7" s="30">
        <v>2.0</v>
      </c>
      <c r="F7" s="31">
        <v>1.0</v>
      </c>
      <c r="G7" s="27">
        <v>0.0</v>
      </c>
      <c r="H7" s="31">
        <v>6.0</v>
      </c>
      <c r="I7" s="31">
        <v>6.0</v>
      </c>
      <c r="J7" s="31">
        <v>3.0</v>
      </c>
      <c r="K7" s="32">
        <v>15.0</v>
      </c>
      <c r="L7" s="31">
        <v>2.0</v>
      </c>
      <c r="M7" s="27">
        <f t="shared" ref="M7:N7" si="4">C7+K7</f>
        <v>164</v>
      </c>
      <c r="N7" s="28">
        <f t="shared" si="4"/>
        <v>16</v>
      </c>
      <c r="O7" s="33" t="s">
        <v>37</v>
      </c>
      <c r="P7" s="33" t="s">
        <v>37</v>
      </c>
      <c r="Q7" s="31">
        <f>if(G7=13,1,0)+VLOOKUP(B7,'91623'!B$5:Q$61,16,false)</f>
        <v>0</v>
      </c>
      <c r="R7" s="31"/>
      <c r="S7" s="31">
        <f>if(G7=9,1,0)+VLOOKUP(B7,'91623'!B:S,18,false)</f>
        <v>4</v>
      </c>
    </row>
    <row r="8">
      <c r="A8" s="25">
        <f t="shared" si="3"/>
        <v>4</v>
      </c>
      <c r="B8" s="26" t="s">
        <v>49</v>
      </c>
      <c r="C8" s="27">
        <v>149.0</v>
      </c>
      <c r="D8" s="28">
        <v>14.0</v>
      </c>
      <c r="E8" s="30">
        <v>1.0</v>
      </c>
      <c r="F8" s="31">
        <v>1.0</v>
      </c>
      <c r="G8" s="27">
        <v>0.0</v>
      </c>
      <c r="H8" s="31">
        <v>6.0</v>
      </c>
      <c r="I8" s="31">
        <v>4.0</v>
      </c>
      <c r="J8" s="31">
        <v>6.0</v>
      </c>
      <c r="K8" s="32">
        <v>16.0</v>
      </c>
      <c r="L8" s="31">
        <v>2.0</v>
      </c>
      <c r="M8" s="27">
        <f t="shared" ref="M8:N8" si="5">C8+K8</f>
        <v>165</v>
      </c>
      <c r="N8" s="28">
        <f t="shared" si="5"/>
        <v>16</v>
      </c>
      <c r="O8" s="33" t="s">
        <v>37</v>
      </c>
      <c r="P8" s="33" t="s">
        <v>37</v>
      </c>
      <c r="Q8" s="31">
        <f>if(G8=13,1,0)+VLOOKUP(B8,'91623'!B$5:Q$61,16,false)</f>
        <v>1</v>
      </c>
      <c r="R8" s="31"/>
      <c r="S8" s="31">
        <f>if(G8=9,1,0)+VLOOKUP(B8,'91623'!B:S,18,false)</f>
        <v>0</v>
      </c>
    </row>
    <row r="9">
      <c r="A9" s="25">
        <f t="shared" si="3"/>
        <v>5</v>
      </c>
      <c r="B9" s="26" t="s">
        <v>48</v>
      </c>
      <c r="C9" s="27">
        <v>147.0</v>
      </c>
      <c r="D9" s="28">
        <v>15.0</v>
      </c>
      <c r="E9" s="30">
        <v>2.0</v>
      </c>
      <c r="F9" s="31">
        <v>1.0</v>
      </c>
      <c r="G9" s="27">
        <v>0.0</v>
      </c>
      <c r="H9" s="31">
        <v>4.0</v>
      </c>
      <c r="I9" s="31">
        <v>6.0</v>
      </c>
      <c r="J9" s="31">
        <v>6.0</v>
      </c>
      <c r="K9" s="32">
        <v>16.0</v>
      </c>
      <c r="L9" s="31">
        <v>2.0</v>
      </c>
      <c r="M9" s="27">
        <f t="shared" ref="M9:N9" si="6">C9+K9</f>
        <v>163</v>
      </c>
      <c r="N9" s="28">
        <f t="shared" si="6"/>
        <v>17</v>
      </c>
      <c r="O9" s="33" t="s">
        <v>37</v>
      </c>
      <c r="P9" s="33" t="s">
        <v>37</v>
      </c>
      <c r="Q9" s="31">
        <f>if(G9=13,1,0)+VLOOKUP(B9,'91623'!B$5:Q$61,16,false)</f>
        <v>0</v>
      </c>
      <c r="R9" s="31"/>
      <c r="S9" s="31">
        <f>if(G9=9,1,0)+VLOOKUP(B9,'91623'!B:S,18,false)</f>
        <v>3</v>
      </c>
    </row>
    <row r="10">
      <c r="A10" s="25">
        <f t="shared" si="3"/>
        <v>6</v>
      </c>
      <c r="B10" s="26" t="s">
        <v>34</v>
      </c>
      <c r="C10" s="27">
        <v>147.0</v>
      </c>
      <c r="D10" s="28">
        <v>14.0</v>
      </c>
      <c r="E10" s="30">
        <v>3.0</v>
      </c>
      <c r="F10" s="31">
        <v>0.0</v>
      </c>
      <c r="G10" s="27">
        <v>9.0</v>
      </c>
      <c r="H10" s="31">
        <v>0.0</v>
      </c>
      <c r="I10" s="31">
        <v>0.0</v>
      </c>
      <c r="J10" s="31">
        <v>0.0</v>
      </c>
      <c r="K10" s="32">
        <v>9.0</v>
      </c>
      <c r="L10" s="31">
        <v>0.0</v>
      </c>
      <c r="M10" s="27">
        <f t="shared" ref="M10:N10" si="7">C10+K10</f>
        <v>156</v>
      </c>
      <c r="N10" s="28">
        <f t="shared" si="7"/>
        <v>14</v>
      </c>
      <c r="O10" s="33" t="s">
        <v>37</v>
      </c>
      <c r="P10" s="33" t="s">
        <v>37</v>
      </c>
      <c r="Q10" s="31">
        <f>if(G10=13,1,0)+VLOOKUP(B10,'91623'!B$5:Q$61,16,false)</f>
        <v>1</v>
      </c>
      <c r="R10" s="31"/>
      <c r="S10" s="31">
        <f>if(G10=9,1,0)+VLOOKUP(B10,'91623'!B:S,18,false)</f>
        <v>5</v>
      </c>
    </row>
    <row r="11">
      <c r="A11" s="25">
        <f t="shared" si="3"/>
        <v>7</v>
      </c>
      <c r="B11" s="26" t="s">
        <v>54</v>
      </c>
      <c r="C11" s="27">
        <v>145.0</v>
      </c>
      <c r="D11" s="28">
        <v>14.0</v>
      </c>
      <c r="E11" s="30">
        <v>3.0</v>
      </c>
      <c r="F11" s="31">
        <v>0.0</v>
      </c>
      <c r="G11" s="27">
        <v>9.0</v>
      </c>
      <c r="H11" s="31">
        <v>0.0</v>
      </c>
      <c r="I11" s="31">
        <v>0.0</v>
      </c>
      <c r="J11" s="31">
        <v>0.0</v>
      </c>
      <c r="K11" s="32">
        <v>9.0</v>
      </c>
      <c r="L11" s="31">
        <v>0.0</v>
      </c>
      <c r="M11" s="27">
        <f t="shared" ref="M11:N11" si="8">C11+K11</f>
        <v>154</v>
      </c>
      <c r="N11" s="28">
        <f t="shared" si="8"/>
        <v>14</v>
      </c>
      <c r="O11" s="33" t="s">
        <v>37</v>
      </c>
      <c r="P11" s="33" t="s">
        <v>37</v>
      </c>
      <c r="Q11" s="31">
        <f>if(G11=13,1,0)+VLOOKUP(B11,'91623'!B$5:Q$61,16,false)</f>
        <v>0</v>
      </c>
      <c r="R11" s="31"/>
      <c r="S11" s="31">
        <f>if(G11=9,1,0)+VLOOKUP(B11,'91623'!B:S,18,false)</f>
        <v>4</v>
      </c>
    </row>
    <row r="12">
      <c r="A12" s="25">
        <f t="shared" si="3"/>
        <v>8</v>
      </c>
      <c r="B12" s="26" t="s">
        <v>52</v>
      </c>
      <c r="C12" s="27">
        <v>143.0</v>
      </c>
      <c r="D12" s="28">
        <v>14.0</v>
      </c>
      <c r="E12" s="30">
        <v>1.0</v>
      </c>
      <c r="F12" s="31">
        <v>1.0</v>
      </c>
      <c r="G12" s="27">
        <v>0.0</v>
      </c>
      <c r="H12" s="31">
        <v>4.0</v>
      </c>
      <c r="I12" s="31">
        <v>4.0</v>
      </c>
      <c r="J12" s="31">
        <v>3.0</v>
      </c>
      <c r="K12" s="32">
        <v>11.0</v>
      </c>
      <c r="L12" s="31">
        <v>0.0</v>
      </c>
      <c r="M12" s="27">
        <f t="shared" ref="M12:N12" si="9">C12+K12</f>
        <v>154</v>
      </c>
      <c r="N12" s="28">
        <f t="shared" si="9"/>
        <v>14</v>
      </c>
      <c r="O12" s="33" t="s">
        <v>37</v>
      </c>
      <c r="P12" s="33" t="s">
        <v>37</v>
      </c>
      <c r="Q12" s="31">
        <f>if(G12=13,1,0)+VLOOKUP(B12,'91623'!B$5:Q$61,16,false)</f>
        <v>0</v>
      </c>
      <c r="R12" s="31"/>
      <c r="S12" s="31">
        <f>if(G12=9,1,0)+VLOOKUP(B12,'91623'!B:S,18,false)</f>
        <v>1</v>
      </c>
    </row>
    <row r="13">
      <c r="A13" s="25">
        <f t="shared" si="3"/>
        <v>9</v>
      </c>
      <c r="B13" s="26" t="s">
        <v>60</v>
      </c>
      <c r="C13" s="27">
        <v>141.0</v>
      </c>
      <c r="D13" s="28">
        <v>13.0</v>
      </c>
      <c r="E13" s="30">
        <v>1.0</v>
      </c>
      <c r="F13" s="31">
        <v>2.0</v>
      </c>
      <c r="G13" s="27">
        <v>0.0</v>
      </c>
      <c r="H13" s="31">
        <v>6.0</v>
      </c>
      <c r="I13" s="31">
        <v>6.0</v>
      </c>
      <c r="J13" s="31">
        <v>6.0</v>
      </c>
      <c r="K13" s="32">
        <v>18.0</v>
      </c>
      <c r="L13" s="31">
        <v>3.0</v>
      </c>
      <c r="M13" s="27">
        <f t="shared" ref="M13:N13" si="10">C13+K13</f>
        <v>159</v>
      </c>
      <c r="N13" s="28">
        <f t="shared" si="10"/>
        <v>16</v>
      </c>
      <c r="O13" s="33" t="s">
        <v>37</v>
      </c>
      <c r="P13" s="33" t="s">
        <v>37</v>
      </c>
      <c r="Q13" s="31">
        <f>if(G13=13,1,0)+VLOOKUP(B13,'91623'!B$5:Q$61,16,false)</f>
        <v>0</v>
      </c>
      <c r="R13" s="31"/>
      <c r="S13" s="31">
        <f>if(G13=9,1,0)+VLOOKUP(B13,'91623'!B:S,18,false)</f>
        <v>3</v>
      </c>
    </row>
    <row r="14">
      <c r="A14" s="25">
        <f t="shared" si="3"/>
        <v>10</v>
      </c>
      <c r="B14" s="26" t="s">
        <v>53</v>
      </c>
      <c r="C14" s="27">
        <v>140.0</v>
      </c>
      <c r="D14" s="28">
        <v>11.0</v>
      </c>
      <c r="E14" s="30">
        <v>1.0</v>
      </c>
      <c r="F14" s="31">
        <v>2.0</v>
      </c>
      <c r="G14" s="27">
        <v>0.0</v>
      </c>
      <c r="H14" s="31">
        <v>4.0</v>
      </c>
      <c r="I14" s="31">
        <v>4.0</v>
      </c>
      <c r="J14" s="31">
        <v>6.0</v>
      </c>
      <c r="K14" s="32">
        <v>14.0</v>
      </c>
      <c r="L14" s="31">
        <v>1.0</v>
      </c>
      <c r="M14" s="27">
        <f t="shared" ref="M14:N14" si="11">C14+K14</f>
        <v>154</v>
      </c>
      <c r="N14" s="28">
        <f t="shared" si="11"/>
        <v>12</v>
      </c>
      <c r="O14" s="33" t="s">
        <v>37</v>
      </c>
      <c r="P14" s="33" t="s">
        <v>37</v>
      </c>
      <c r="Q14" s="31">
        <f>if(G14=13,1,0)+VLOOKUP(B14,'91623'!B$5:Q$61,16,false)</f>
        <v>0</v>
      </c>
      <c r="R14" s="31"/>
      <c r="S14" s="31">
        <f>if(G14=9,1,0)+VLOOKUP(B14,'91623'!B:S,18,false)</f>
        <v>4</v>
      </c>
    </row>
    <row r="15">
      <c r="A15" s="25">
        <f t="shared" si="3"/>
        <v>11</v>
      </c>
      <c r="B15" s="26" t="s">
        <v>57</v>
      </c>
      <c r="C15" s="27">
        <v>138.0</v>
      </c>
      <c r="D15" s="28">
        <v>14.0</v>
      </c>
      <c r="E15" s="30">
        <v>1.0</v>
      </c>
      <c r="F15" s="31">
        <v>2.0</v>
      </c>
      <c r="G15" s="27">
        <v>0.0</v>
      </c>
      <c r="H15" s="31">
        <v>4.0</v>
      </c>
      <c r="I15" s="31">
        <v>6.0</v>
      </c>
      <c r="J15" s="31">
        <v>2.0</v>
      </c>
      <c r="K15" s="32">
        <v>12.0</v>
      </c>
      <c r="L15" s="31">
        <v>1.0</v>
      </c>
      <c r="M15" s="27">
        <f t="shared" ref="M15:N15" si="12">C15+K15</f>
        <v>150</v>
      </c>
      <c r="N15" s="28">
        <f t="shared" si="12"/>
        <v>15</v>
      </c>
      <c r="O15" s="33" t="s">
        <v>37</v>
      </c>
      <c r="P15" s="33" t="s">
        <v>37</v>
      </c>
      <c r="Q15" s="31">
        <f>if(G15=13,1,0)+VLOOKUP(B15,'91623'!B$5:Q$61,16,false)</f>
        <v>0</v>
      </c>
      <c r="R15" s="31"/>
      <c r="S15" s="31">
        <f>if(G15=9,1,0)+VLOOKUP(B15,'91623'!B:S,18,false)</f>
        <v>4</v>
      </c>
    </row>
    <row r="16">
      <c r="A16" s="25">
        <f t="shared" si="3"/>
        <v>12</v>
      </c>
      <c r="B16" s="26" t="s">
        <v>70</v>
      </c>
      <c r="C16" s="27">
        <v>137.0</v>
      </c>
      <c r="D16" s="28">
        <v>15.0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146</v>
      </c>
      <c r="N16" s="28">
        <f t="shared" si="13"/>
        <v>15</v>
      </c>
      <c r="O16" s="33" t="s">
        <v>37</v>
      </c>
      <c r="P16" s="33" t="s">
        <v>37</v>
      </c>
      <c r="Q16" s="31">
        <f>if(G16=13,1,0)+VLOOKUP(B16,'91623'!B$5:Q$61,16,false)</f>
        <v>0</v>
      </c>
      <c r="R16" s="31"/>
      <c r="S16" s="31">
        <f>if(G16=9,1,0)+VLOOKUP(B16,'91623'!B:S,18,false)</f>
        <v>3</v>
      </c>
    </row>
    <row r="17">
      <c r="A17" s="25">
        <f t="shared" si="3"/>
        <v>13</v>
      </c>
      <c r="B17" s="26" t="s">
        <v>50</v>
      </c>
      <c r="C17" s="27">
        <v>135.0</v>
      </c>
      <c r="D17" s="28">
        <v>11.0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144</v>
      </c>
      <c r="N17" s="28">
        <f t="shared" si="14"/>
        <v>11</v>
      </c>
      <c r="O17" s="33" t="s">
        <v>37</v>
      </c>
      <c r="P17" s="33" t="s">
        <v>37</v>
      </c>
      <c r="Q17" s="31">
        <f>if(G17=13,1,0)+VLOOKUP(B17,'91623'!B$5:Q$61,16,false)</f>
        <v>0</v>
      </c>
      <c r="R17" s="31"/>
      <c r="S17" s="31">
        <f>if(G17=9,1,0)+VLOOKUP(B17,'91623'!B:S,18,false)</f>
        <v>6</v>
      </c>
    </row>
    <row r="18">
      <c r="A18" s="25">
        <f t="shared" si="3"/>
        <v>14</v>
      </c>
      <c r="B18" s="36" t="s">
        <v>59</v>
      </c>
      <c r="C18" s="27">
        <v>135.0</v>
      </c>
      <c r="D18" s="28">
        <v>9.0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144</v>
      </c>
      <c r="N18" s="28">
        <f t="shared" si="15"/>
        <v>9</v>
      </c>
      <c r="O18" s="33" t="s">
        <v>37</v>
      </c>
      <c r="P18" s="33" t="s">
        <v>37</v>
      </c>
      <c r="Q18" s="31">
        <f>if(G18=13,1,0)+VLOOKUP(B18,'91623'!B$5:Q$61,16,false)</f>
        <v>0</v>
      </c>
      <c r="R18" s="31"/>
      <c r="S18" s="31">
        <f>if(G18=9,1,0)+VLOOKUP(B18,'91623'!B:S,18,false)</f>
        <v>3</v>
      </c>
    </row>
    <row r="19">
      <c r="A19" s="25">
        <f t="shared" si="3"/>
        <v>15</v>
      </c>
      <c r="B19" s="26" t="s">
        <v>47</v>
      </c>
      <c r="C19" s="27">
        <v>134.0</v>
      </c>
      <c r="D19" s="28">
        <v>10.0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143</v>
      </c>
      <c r="N19" s="28">
        <f t="shared" si="16"/>
        <v>10</v>
      </c>
      <c r="O19" s="33" t="s">
        <v>37</v>
      </c>
      <c r="P19" s="33" t="s">
        <v>37</v>
      </c>
      <c r="Q19" s="31">
        <f>if(G19=13,1,0)+VLOOKUP(B19,'91623'!B$5:Q$61,16,false)</f>
        <v>0</v>
      </c>
      <c r="R19" s="31"/>
      <c r="S19" s="31">
        <f>if(G19=9,1,0)+VLOOKUP(B19,'91623'!B:S,18,false)</f>
        <v>7</v>
      </c>
    </row>
    <row r="20">
      <c r="A20" s="25">
        <f t="shared" si="3"/>
        <v>16</v>
      </c>
      <c r="B20" s="26" t="s">
        <v>56</v>
      </c>
      <c r="C20" s="27">
        <v>133.0</v>
      </c>
      <c r="D20" s="28">
        <v>14.0</v>
      </c>
      <c r="E20" s="30">
        <v>1.0</v>
      </c>
      <c r="F20" s="31">
        <v>2.0</v>
      </c>
      <c r="G20" s="27">
        <v>0.0</v>
      </c>
      <c r="H20" s="31">
        <v>6.0</v>
      </c>
      <c r="I20" s="31">
        <v>4.0</v>
      </c>
      <c r="J20" s="31">
        <v>2.0</v>
      </c>
      <c r="K20" s="32">
        <v>12.0</v>
      </c>
      <c r="L20" s="31">
        <v>1.0</v>
      </c>
      <c r="M20" s="27">
        <f t="shared" ref="M20:N20" si="17">C20+K20</f>
        <v>145</v>
      </c>
      <c r="N20" s="28">
        <f t="shared" si="17"/>
        <v>15</v>
      </c>
      <c r="O20" s="33" t="s">
        <v>37</v>
      </c>
      <c r="P20" s="33" t="s">
        <v>37</v>
      </c>
      <c r="Q20" s="31">
        <f>if(G20=13,1,0)+VLOOKUP(B20,'91623'!B$5:Q$61,16,false)</f>
        <v>0</v>
      </c>
      <c r="R20" s="31"/>
      <c r="S20" s="31">
        <f>if(G20=9,1,0)+VLOOKUP(B20,'91623'!B:S,18,false)</f>
        <v>2</v>
      </c>
    </row>
    <row r="21">
      <c r="A21" s="25">
        <f t="shared" si="3"/>
        <v>17</v>
      </c>
      <c r="B21" s="26" t="s">
        <v>61</v>
      </c>
      <c r="C21" s="27">
        <v>133.0</v>
      </c>
      <c r="D21" s="28">
        <v>13.0</v>
      </c>
      <c r="E21" s="30">
        <v>3.0</v>
      </c>
      <c r="F21" s="31">
        <v>0.0</v>
      </c>
      <c r="G21" s="27">
        <v>9.0</v>
      </c>
      <c r="H21" s="31">
        <v>0.0</v>
      </c>
      <c r="I21" s="31">
        <v>0.0</v>
      </c>
      <c r="J21" s="31">
        <v>0.0</v>
      </c>
      <c r="K21" s="32">
        <v>9.0</v>
      </c>
      <c r="L21" s="31">
        <v>0.0</v>
      </c>
      <c r="M21" s="27">
        <f t="shared" ref="M21:N21" si="18">C21+K21</f>
        <v>142</v>
      </c>
      <c r="N21" s="28">
        <f t="shared" si="18"/>
        <v>13</v>
      </c>
      <c r="O21" s="33" t="s">
        <v>37</v>
      </c>
      <c r="P21" s="33" t="s">
        <v>37</v>
      </c>
      <c r="Q21" s="31">
        <f>if(G21=13,1,0)+VLOOKUP(B21,'91623'!B$5:Q$61,16,false)</f>
        <v>0</v>
      </c>
      <c r="R21" s="31"/>
      <c r="S21" s="31">
        <f>if(G21=9,1,0)+VLOOKUP(B21,'91623'!B:S,18,false)</f>
        <v>2</v>
      </c>
    </row>
    <row r="22">
      <c r="A22" s="25">
        <f t="shared" si="3"/>
        <v>18</v>
      </c>
      <c r="B22" s="26" t="s">
        <v>80</v>
      </c>
      <c r="C22" s="27">
        <v>132.0</v>
      </c>
      <c r="D22" s="28">
        <v>10.0</v>
      </c>
      <c r="E22" s="30">
        <v>3.0</v>
      </c>
      <c r="F22" s="31">
        <v>0.0</v>
      </c>
      <c r="G22" s="27">
        <v>9.0</v>
      </c>
      <c r="H22" s="31">
        <v>0.0</v>
      </c>
      <c r="I22" s="31">
        <v>0.0</v>
      </c>
      <c r="J22" s="31">
        <v>0.0</v>
      </c>
      <c r="K22" s="32">
        <v>9.0</v>
      </c>
      <c r="L22" s="31">
        <v>0.0</v>
      </c>
      <c r="M22" s="27">
        <f t="shared" ref="M22:N22" si="19">C22+K22</f>
        <v>141</v>
      </c>
      <c r="N22" s="28">
        <f t="shared" si="19"/>
        <v>10</v>
      </c>
      <c r="O22" s="33" t="s">
        <v>37</v>
      </c>
      <c r="P22" s="33" t="s">
        <v>37</v>
      </c>
      <c r="Q22" s="31">
        <f>if(G22=13,1,0)+VLOOKUP(B22,'91623'!B$5:Q$61,16,false)</f>
        <v>0</v>
      </c>
      <c r="R22" s="31"/>
      <c r="S22" s="31">
        <f>if(G22=9,1,0)+VLOOKUP(B22,'91623'!B:S,18,false)</f>
        <v>8</v>
      </c>
    </row>
    <row r="23">
      <c r="A23" s="25">
        <f t="shared" si="3"/>
        <v>19</v>
      </c>
      <c r="B23" s="26" t="s">
        <v>65</v>
      </c>
      <c r="C23" s="27">
        <v>132.0</v>
      </c>
      <c r="D23" s="28">
        <v>9.0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141</v>
      </c>
      <c r="N23" s="28">
        <f t="shared" si="20"/>
        <v>9</v>
      </c>
      <c r="O23" s="33" t="s">
        <v>37</v>
      </c>
      <c r="P23" s="33" t="s">
        <v>37</v>
      </c>
      <c r="Q23" s="31">
        <f>if(G23=13,1,0)+VLOOKUP(B23,'91623'!B$5:Q$61,16,false)</f>
        <v>0</v>
      </c>
      <c r="R23" s="31"/>
      <c r="S23" s="31">
        <f>if(G23=9,1,0)+VLOOKUP(B23,'91623'!B:S,18,false)</f>
        <v>6</v>
      </c>
    </row>
    <row r="24">
      <c r="A24" s="25">
        <f t="shared" si="3"/>
        <v>20</v>
      </c>
      <c r="B24" s="26" t="s">
        <v>75</v>
      </c>
      <c r="C24" s="27">
        <v>130.0</v>
      </c>
      <c r="D24" s="28">
        <v>10.0</v>
      </c>
      <c r="E24" s="30">
        <v>2.0</v>
      </c>
      <c r="F24" s="31">
        <v>3.0</v>
      </c>
      <c r="G24" s="27">
        <v>0.0</v>
      </c>
      <c r="H24" s="31">
        <v>4.0</v>
      </c>
      <c r="I24" s="31">
        <v>1.0</v>
      </c>
      <c r="J24" s="31">
        <v>6.0</v>
      </c>
      <c r="K24" s="32">
        <v>11.0</v>
      </c>
      <c r="L24" s="31">
        <v>1.0</v>
      </c>
      <c r="M24" s="27">
        <f t="shared" ref="M24:N24" si="21">C24+K24</f>
        <v>141</v>
      </c>
      <c r="N24" s="28">
        <f t="shared" si="21"/>
        <v>11</v>
      </c>
      <c r="O24" s="33" t="s">
        <v>37</v>
      </c>
      <c r="P24" s="33" t="s">
        <v>37</v>
      </c>
      <c r="Q24" s="31">
        <f>if(G24=13,1,0)+VLOOKUP(B24,'91623'!B$5:Q$61,16,false)</f>
        <v>0</v>
      </c>
      <c r="R24" s="31"/>
      <c r="S24" s="31">
        <f>if(G24=9,1,0)+VLOOKUP(B24,'91623'!B:S,18,false)</f>
        <v>2</v>
      </c>
    </row>
    <row r="25">
      <c r="A25" s="25">
        <f t="shared" si="3"/>
        <v>21</v>
      </c>
      <c r="B25" s="26" t="s">
        <v>58</v>
      </c>
      <c r="C25" s="27">
        <v>128.0</v>
      </c>
      <c r="D25" s="28">
        <v>8.0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137</v>
      </c>
      <c r="N25" s="28">
        <f t="shared" si="22"/>
        <v>8</v>
      </c>
      <c r="O25" s="33" t="s">
        <v>37</v>
      </c>
      <c r="P25" s="33" t="s">
        <v>37</v>
      </c>
      <c r="Q25" s="31">
        <f>if(G25=13,1,0)+VLOOKUP(B25,'91623'!B$5:Q$61,16,false)</f>
        <v>0</v>
      </c>
      <c r="R25" s="31"/>
      <c r="S25" s="31">
        <f>if(G25=9,1,0)+VLOOKUP(B25,'91623'!B:S,18,false)</f>
        <v>5</v>
      </c>
    </row>
    <row r="26">
      <c r="A26" s="25">
        <f t="shared" si="3"/>
        <v>22</v>
      </c>
      <c r="B26" s="26" t="s">
        <v>68</v>
      </c>
      <c r="C26" s="27">
        <v>128.0</v>
      </c>
      <c r="D26" s="28">
        <v>7.0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137</v>
      </c>
      <c r="N26" s="28">
        <f t="shared" si="23"/>
        <v>7</v>
      </c>
      <c r="O26" s="33" t="s">
        <v>37</v>
      </c>
      <c r="P26" s="33" t="s">
        <v>37</v>
      </c>
      <c r="Q26" s="31">
        <f>if(G26=13,1,0)+VLOOKUP(B26,'91623'!B$5:Q$61,16,false)</f>
        <v>1</v>
      </c>
      <c r="R26" s="31"/>
      <c r="S26" s="31">
        <f>if(G26=9,1,0)+VLOOKUP(B26,'91623'!B:S,18,false)</f>
        <v>8</v>
      </c>
    </row>
    <row r="27">
      <c r="A27" s="25">
        <f t="shared" si="3"/>
        <v>23</v>
      </c>
      <c r="B27" s="26" t="s">
        <v>55</v>
      </c>
      <c r="C27" s="27">
        <v>126.0</v>
      </c>
      <c r="D27" s="28">
        <v>10.0</v>
      </c>
      <c r="E27" s="30">
        <v>1.0</v>
      </c>
      <c r="F27" s="31">
        <v>3.0</v>
      </c>
      <c r="G27" s="27">
        <v>0.0</v>
      </c>
      <c r="H27" s="31">
        <v>6.0</v>
      </c>
      <c r="I27" s="31">
        <v>6.0</v>
      </c>
      <c r="J27" s="31">
        <v>6.0</v>
      </c>
      <c r="K27" s="32">
        <v>18.0</v>
      </c>
      <c r="L27" s="31">
        <v>3.0</v>
      </c>
      <c r="M27" s="27">
        <f t="shared" ref="M27:N27" si="24">C27+K27</f>
        <v>144</v>
      </c>
      <c r="N27" s="28">
        <f t="shared" si="24"/>
        <v>13</v>
      </c>
      <c r="O27" s="33" t="s">
        <v>37</v>
      </c>
      <c r="P27" s="33" t="s">
        <v>37</v>
      </c>
      <c r="Q27" s="31">
        <f>if(G27=13,1,0)+VLOOKUP(B27,'91623'!B$5:Q$61,16,false)</f>
        <v>0</v>
      </c>
      <c r="R27" s="31"/>
      <c r="S27" s="31">
        <f>if(G27=9,1,0)+VLOOKUP(B27,'91623'!B:S,18,false)</f>
        <v>6</v>
      </c>
    </row>
    <row r="28">
      <c r="A28" s="25">
        <f t="shared" si="3"/>
        <v>24</v>
      </c>
      <c r="B28" s="36" t="s">
        <v>83</v>
      </c>
      <c r="C28" s="27">
        <v>126.0</v>
      </c>
      <c r="D28" s="28">
        <v>9.0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135</v>
      </c>
      <c r="N28" s="28">
        <f t="shared" si="25"/>
        <v>9</v>
      </c>
      <c r="O28" s="33" t="s">
        <v>37</v>
      </c>
      <c r="P28" s="33" t="s">
        <v>37</v>
      </c>
      <c r="Q28" s="31">
        <f>if(G28=13,1,0)+VLOOKUP(B28,'91623'!B$5:Q$61,16,false)</f>
        <v>0</v>
      </c>
      <c r="R28" s="31"/>
      <c r="S28" s="31">
        <f>if(G28=9,1,0)+VLOOKUP(B28,'91623'!B:S,18,false)</f>
        <v>4</v>
      </c>
    </row>
    <row r="29">
      <c r="A29" s="25">
        <f t="shared" si="3"/>
        <v>25</v>
      </c>
      <c r="B29" s="26" t="s">
        <v>51</v>
      </c>
      <c r="C29" s="27">
        <v>126.0</v>
      </c>
      <c r="D29" s="28">
        <v>7.0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135</v>
      </c>
      <c r="N29" s="28">
        <f t="shared" si="26"/>
        <v>7</v>
      </c>
      <c r="O29" s="33" t="s">
        <v>37</v>
      </c>
      <c r="P29" s="33" t="s">
        <v>37</v>
      </c>
      <c r="Q29" s="31">
        <f>if(G29=13,1,0)+VLOOKUP(B29,'91623'!B$5:Q$61,16,false)</f>
        <v>1</v>
      </c>
      <c r="R29" s="31"/>
      <c r="S29" s="31">
        <f>if(G29=9,1,0)+VLOOKUP(B29,'91623'!B:S,18,false)</f>
        <v>7</v>
      </c>
    </row>
    <row r="30">
      <c r="A30" s="25">
        <f t="shared" si="3"/>
        <v>26</v>
      </c>
      <c r="B30" s="26" t="s">
        <v>79</v>
      </c>
      <c r="C30" s="27">
        <v>125.0</v>
      </c>
      <c r="D30" s="28">
        <v>12.0</v>
      </c>
      <c r="E30" s="30">
        <v>1.0</v>
      </c>
      <c r="F30" s="31">
        <v>3.0</v>
      </c>
      <c r="G30" s="27">
        <v>0.0</v>
      </c>
      <c r="H30" s="31">
        <v>6.0</v>
      </c>
      <c r="I30" s="31">
        <v>1.0</v>
      </c>
      <c r="J30" s="31">
        <v>4.0</v>
      </c>
      <c r="K30" s="32">
        <v>11.0</v>
      </c>
      <c r="L30" s="31">
        <v>1.0</v>
      </c>
      <c r="M30" s="27">
        <f t="shared" ref="M30:N30" si="27">C30+K30</f>
        <v>136</v>
      </c>
      <c r="N30" s="28">
        <f t="shared" si="27"/>
        <v>13</v>
      </c>
      <c r="O30" s="33" t="s">
        <v>37</v>
      </c>
      <c r="P30" s="33" t="s">
        <v>37</v>
      </c>
      <c r="Q30" s="31">
        <f>if(G30=13,1,0)+VLOOKUP(B30,'91623'!B$5:Q$61,16,false)</f>
        <v>0</v>
      </c>
      <c r="R30" s="31"/>
      <c r="S30" s="31">
        <f>if(G30=9,1,0)+VLOOKUP(B30,'91623'!B:S,18,false)</f>
        <v>1</v>
      </c>
    </row>
    <row r="31">
      <c r="A31" s="25">
        <f t="shared" si="3"/>
        <v>27</v>
      </c>
      <c r="B31" s="36" t="s">
        <v>77</v>
      </c>
      <c r="C31" s="27">
        <v>125.0</v>
      </c>
      <c r="D31" s="28">
        <v>8.0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134</v>
      </c>
      <c r="N31" s="28">
        <f t="shared" si="28"/>
        <v>8</v>
      </c>
      <c r="O31" s="33" t="s">
        <v>37</v>
      </c>
      <c r="P31" s="33" t="s">
        <v>37</v>
      </c>
      <c r="Q31" s="31">
        <f>if(G31=13,1,0)+VLOOKUP(B31,'91623'!B$5:Q$61,16,false)</f>
        <v>0</v>
      </c>
      <c r="R31" s="31"/>
      <c r="S31" s="31">
        <f>if(G31=9,1,0)+VLOOKUP(B31,'91623'!B:S,18,false)</f>
        <v>8</v>
      </c>
    </row>
    <row r="32">
      <c r="A32" s="25">
        <f t="shared" si="3"/>
        <v>28</v>
      </c>
      <c r="B32" s="26" t="s">
        <v>66</v>
      </c>
      <c r="C32" s="27">
        <v>125.0</v>
      </c>
      <c r="D32" s="28">
        <v>7.0</v>
      </c>
      <c r="E32" s="30">
        <v>1.0</v>
      </c>
      <c r="F32" s="31">
        <v>3.0</v>
      </c>
      <c r="G32" s="27">
        <v>0.0</v>
      </c>
      <c r="H32" s="31">
        <v>4.0</v>
      </c>
      <c r="I32" s="31">
        <v>6.0</v>
      </c>
      <c r="J32" s="31">
        <v>4.0</v>
      </c>
      <c r="K32" s="32">
        <v>14.0</v>
      </c>
      <c r="L32" s="31">
        <v>1.0</v>
      </c>
      <c r="M32" s="27">
        <f t="shared" ref="M32:N32" si="29">C32+K32</f>
        <v>139</v>
      </c>
      <c r="N32" s="28">
        <f t="shared" si="29"/>
        <v>8</v>
      </c>
      <c r="O32" s="33" t="s">
        <v>37</v>
      </c>
      <c r="P32" s="33" t="s">
        <v>37</v>
      </c>
      <c r="Q32" s="31">
        <f>if(G32=13,1,0)+VLOOKUP(B32,'91623'!B$5:Q$61,16,false)</f>
        <v>1</v>
      </c>
      <c r="R32" s="31"/>
      <c r="S32" s="31">
        <f>if(G32=9,1,0)+VLOOKUP(B32,'91623'!B:S,18,false)</f>
        <v>4</v>
      </c>
    </row>
    <row r="33">
      <c r="A33" s="25">
        <f t="shared" si="3"/>
        <v>29</v>
      </c>
      <c r="B33" s="26" t="s">
        <v>73</v>
      </c>
      <c r="C33" s="27">
        <v>125.0</v>
      </c>
      <c r="D33" s="28">
        <v>6.0</v>
      </c>
      <c r="E33" s="30">
        <v>4.0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134</v>
      </c>
      <c r="N33" s="28">
        <f t="shared" si="30"/>
        <v>6</v>
      </c>
      <c r="O33" s="33" t="s">
        <v>37</v>
      </c>
      <c r="P33" s="33" t="s">
        <v>37</v>
      </c>
      <c r="Q33" s="31">
        <f>if(G33=13,1,0)+VLOOKUP(B33,'91623'!B$5:Q$61,16,false)</f>
        <v>0</v>
      </c>
      <c r="R33" s="31"/>
      <c r="S33" s="31">
        <f>if(G33=9,1,0)+VLOOKUP(B33,'91623'!B:S,18,false)</f>
        <v>7</v>
      </c>
    </row>
    <row r="34">
      <c r="A34" s="25">
        <f t="shared" si="3"/>
        <v>30</v>
      </c>
      <c r="B34" s="26" t="s">
        <v>74</v>
      </c>
      <c r="C34" s="27">
        <v>124.0</v>
      </c>
      <c r="D34" s="28">
        <v>8.0</v>
      </c>
      <c r="E34" s="30">
        <v>1.0</v>
      </c>
      <c r="F34" s="31">
        <v>5.0</v>
      </c>
      <c r="G34" s="27">
        <v>0.0</v>
      </c>
      <c r="H34" s="31">
        <v>6.0</v>
      </c>
      <c r="I34" s="31">
        <v>0.0</v>
      </c>
      <c r="J34" s="31">
        <v>2.0</v>
      </c>
      <c r="K34" s="32">
        <v>8.0</v>
      </c>
      <c r="L34" s="31">
        <v>1.0</v>
      </c>
      <c r="M34" s="27">
        <f t="shared" ref="M34:N34" si="31">C34+K34</f>
        <v>132</v>
      </c>
      <c r="N34" s="28">
        <f t="shared" si="31"/>
        <v>9</v>
      </c>
      <c r="O34" s="33" t="s">
        <v>37</v>
      </c>
      <c r="P34" s="33" t="s">
        <v>37</v>
      </c>
      <c r="Q34" s="31">
        <f>if(G34=13,1,0)+VLOOKUP(B34,'91623'!B$5:Q$61,16,false)</f>
        <v>0</v>
      </c>
      <c r="R34" s="31"/>
      <c r="S34" s="31">
        <f>if(G34=9,1,0)+VLOOKUP(B34,'91623'!B:S,18,false)</f>
        <v>3</v>
      </c>
    </row>
    <row r="35">
      <c r="A35" s="25">
        <f t="shared" si="3"/>
        <v>31</v>
      </c>
      <c r="B35" s="26" t="s">
        <v>64</v>
      </c>
      <c r="C35" s="27">
        <v>124.0</v>
      </c>
      <c r="D35" s="28">
        <v>7.0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133</v>
      </c>
      <c r="N35" s="28">
        <f t="shared" si="32"/>
        <v>7</v>
      </c>
      <c r="O35" s="33" t="s">
        <v>37</v>
      </c>
      <c r="P35" s="33" t="s">
        <v>37</v>
      </c>
      <c r="Q35" s="31">
        <f>if(G35=13,1,0)+VLOOKUP(B35,'91623'!B$5:Q$61,16,false)</f>
        <v>0</v>
      </c>
      <c r="R35" s="31"/>
      <c r="S35" s="31">
        <f>if(G35=9,1,0)+VLOOKUP(B35,'91623'!B:S,18,false)</f>
        <v>9</v>
      </c>
    </row>
    <row r="36">
      <c r="A36" s="25">
        <f t="shared" si="3"/>
        <v>32</v>
      </c>
      <c r="B36" s="26" t="s">
        <v>87</v>
      </c>
      <c r="C36" s="27">
        <v>122.0</v>
      </c>
      <c r="D36" s="28">
        <v>7.0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131</v>
      </c>
      <c r="N36" s="28">
        <f t="shared" si="33"/>
        <v>7</v>
      </c>
      <c r="O36" s="33" t="s">
        <v>37</v>
      </c>
      <c r="P36" s="33" t="s">
        <v>37</v>
      </c>
      <c r="Q36" s="31">
        <f>if(G36=13,1,0)+VLOOKUP(B36,'91623'!B$5:Q$61,16,false)</f>
        <v>1</v>
      </c>
      <c r="R36" s="31"/>
      <c r="S36" s="31">
        <f>if(G36=9,1,0)+VLOOKUP(B36,'91623'!B:S,18,false)</f>
        <v>4</v>
      </c>
    </row>
    <row r="37">
      <c r="A37" s="25">
        <f t="shared" si="3"/>
        <v>33</v>
      </c>
      <c r="B37" s="36" t="s">
        <v>88</v>
      </c>
      <c r="C37" s="27">
        <v>121.0</v>
      </c>
      <c r="D37" s="28">
        <v>8.0</v>
      </c>
      <c r="E37" s="30">
        <v>3.0</v>
      </c>
      <c r="F37" s="31">
        <v>0.0</v>
      </c>
      <c r="G37" s="27">
        <v>9.0</v>
      </c>
      <c r="H37" s="31">
        <v>0.0</v>
      </c>
      <c r="I37" s="31">
        <v>0.0</v>
      </c>
      <c r="J37" s="31">
        <v>0.0</v>
      </c>
      <c r="K37" s="32">
        <v>9.0</v>
      </c>
      <c r="L37" s="31">
        <v>0.0</v>
      </c>
      <c r="M37" s="27">
        <f t="shared" ref="M37:N37" si="34">C37+K37</f>
        <v>130</v>
      </c>
      <c r="N37" s="28">
        <f t="shared" si="34"/>
        <v>8</v>
      </c>
      <c r="O37" s="33" t="s">
        <v>37</v>
      </c>
      <c r="P37" s="33" t="s">
        <v>37</v>
      </c>
      <c r="Q37" s="31">
        <f>if(G37=13,1,0)+VLOOKUP(B37,'91623'!B$5:Q$61,16,false)</f>
        <v>0</v>
      </c>
      <c r="R37" s="31"/>
      <c r="S37" s="31">
        <f>if(G37=9,1,0)+VLOOKUP(B37,'91623'!B:S,18,false)</f>
        <v>6</v>
      </c>
    </row>
    <row r="38">
      <c r="A38" s="25">
        <f t="shared" si="3"/>
        <v>34</v>
      </c>
      <c r="B38" s="36" t="s">
        <v>62</v>
      </c>
      <c r="C38" s="27">
        <v>121.0</v>
      </c>
      <c r="D38" s="28">
        <v>7.0</v>
      </c>
      <c r="E38" s="30">
        <v>1.0</v>
      </c>
      <c r="F38" s="31">
        <v>5.0</v>
      </c>
      <c r="G38" s="27">
        <v>0.0</v>
      </c>
      <c r="H38" s="31">
        <v>6.0</v>
      </c>
      <c r="I38" s="31">
        <v>6.0</v>
      </c>
      <c r="J38" s="31">
        <v>6.0</v>
      </c>
      <c r="K38" s="32">
        <v>18.0</v>
      </c>
      <c r="L38" s="31">
        <v>3.0</v>
      </c>
      <c r="M38" s="27">
        <f t="shared" ref="M38:N38" si="35">C38+K38</f>
        <v>139</v>
      </c>
      <c r="N38" s="28">
        <f t="shared" si="35"/>
        <v>10</v>
      </c>
      <c r="O38" s="33" t="s">
        <v>37</v>
      </c>
      <c r="P38" s="33" t="s">
        <v>37</v>
      </c>
      <c r="Q38" s="31">
        <f>if(G38=13,1,0)+VLOOKUP(B38,'91623'!B$5:Q$61,16,false)</f>
        <v>0</v>
      </c>
      <c r="R38" s="31"/>
      <c r="S38" s="31">
        <f>if(G38=9,1,0)+VLOOKUP(B38,'91623'!B:S,18,false)</f>
        <v>3</v>
      </c>
    </row>
    <row r="39">
      <c r="A39" s="25">
        <f t="shared" si="3"/>
        <v>35</v>
      </c>
      <c r="B39" s="26" t="s">
        <v>78</v>
      </c>
      <c r="C39" s="27">
        <v>120.0</v>
      </c>
      <c r="D39" s="28">
        <v>10.0</v>
      </c>
      <c r="E39" s="30">
        <v>1.0</v>
      </c>
      <c r="F39" s="31">
        <v>5.0</v>
      </c>
      <c r="G39" s="27">
        <v>0.0</v>
      </c>
      <c r="H39" s="31">
        <v>1.0</v>
      </c>
      <c r="I39" s="31">
        <v>0.0</v>
      </c>
      <c r="J39" s="31">
        <v>6.0</v>
      </c>
      <c r="K39" s="32">
        <v>7.0</v>
      </c>
      <c r="L39" s="31">
        <v>1.0</v>
      </c>
      <c r="M39" s="27">
        <f t="shared" ref="M39:N39" si="36">C39+K39</f>
        <v>127</v>
      </c>
      <c r="N39" s="28">
        <f t="shared" si="36"/>
        <v>11</v>
      </c>
      <c r="O39" s="33" t="s">
        <v>37</v>
      </c>
      <c r="P39" s="33" t="s">
        <v>37</v>
      </c>
      <c r="Q39" s="31">
        <f>if(G39=13,1,0)+VLOOKUP(B39,'91623'!B$5:Q$61,16,false)</f>
        <v>0</v>
      </c>
      <c r="R39" s="31"/>
      <c r="S39" s="31">
        <f>if(G39=9,1,0)+VLOOKUP(B39,'91623'!B:S,18,false)</f>
        <v>4</v>
      </c>
    </row>
    <row r="40">
      <c r="A40" s="25">
        <f t="shared" si="3"/>
        <v>36</v>
      </c>
      <c r="B40" s="26" t="s">
        <v>89</v>
      </c>
      <c r="C40" s="27">
        <v>119.0</v>
      </c>
      <c r="D40" s="28">
        <v>7.0</v>
      </c>
      <c r="E40" s="30">
        <v>3.0</v>
      </c>
      <c r="F40" s="31">
        <v>0.0</v>
      </c>
      <c r="G40" s="27">
        <v>9.0</v>
      </c>
      <c r="H40" s="31">
        <v>0.0</v>
      </c>
      <c r="I40" s="31">
        <v>0.0</v>
      </c>
      <c r="J40" s="31">
        <v>0.0</v>
      </c>
      <c r="K40" s="32">
        <v>9.0</v>
      </c>
      <c r="L40" s="31">
        <v>0.0</v>
      </c>
      <c r="M40" s="27">
        <f t="shared" ref="M40:N40" si="37">C40+K40</f>
        <v>128</v>
      </c>
      <c r="N40" s="28">
        <f t="shared" si="37"/>
        <v>7</v>
      </c>
      <c r="O40" s="33" t="s">
        <v>37</v>
      </c>
      <c r="P40" s="33" t="s">
        <v>37</v>
      </c>
      <c r="Q40" s="31">
        <f>if(G40=13,1,0)+VLOOKUP(B40,'91623'!B$5:Q$61,16,false)</f>
        <v>2</v>
      </c>
      <c r="R40" s="31"/>
      <c r="S40" s="31">
        <f>if(G40=9,1,0)+VLOOKUP(B40,'91623'!B:S,18,false)</f>
        <v>2</v>
      </c>
    </row>
    <row r="41">
      <c r="A41" s="25">
        <f t="shared" si="3"/>
        <v>37</v>
      </c>
      <c r="B41" s="36" t="s">
        <v>81</v>
      </c>
      <c r="C41" s="27">
        <v>119.0</v>
      </c>
      <c r="D41" s="28">
        <v>5.0</v>
      </c>
      <c r="E41" s="30">
        <v>3.0</v>
      </c>
      <c r="F41" s="31">
        <v>0.0</v>
      </c>
      <c r="G41" s="27">
        <v>9.0</v>
      </c>
      <c r="H41" s="31">
        <v>0.0</v>
      </c>
      <c r="I41" s="31">
        <v>0.0</v>
      </c>
      <c r="J41" s="31">
        <v>0.0</v>
      </c>
      <c r="K41" s="32">
        <v>9.0</v>
      </c>
      <c r="L41" s="31">
        <v>0.0</v>
      </c>
      <c r="M41" s="27">
        <f t="shared" ref="M41:N41" si="38">C41+K41</f>
        <v>128</v>
      </c>
      <c r="N41" s="28">
        <f t="shared" si="38"/>
        <v>5</v>
      </c>
      <c r="O41" s="33" t="s">
        <v>37</v>
      </c>
      <c r="P41" s="33" t="s">
        <v>37</v>
      </c>
      <c r="Q41" s="31">
        <f>if(G41=13,1,0)+VLOOKUP(B41,'91623'!B$5:Q$61,16,false)</f>
        <v>0</v>
      </c>
      <c r="R41" s="31"/>
      <c r="S41" s="31">
        <f>if(G41=9,1,0)+VLOOKUP(B41,'91623'!B:S,18,false)</f>
        <v>4</v>
      </c>
    </row>
    <row r="42">
      <c r="A42" s="25">
        <f t="shared" si="3"/>
        <v>38</v>
      </c>
      <c r="B42" s="26" t="s">
        <v>86</v>
      </c>
      <c r="C42" s="27">
        <v>116.0</v>
      </c>
      <c r="D42" s="28">
        <v>7.0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125</v>
      </c>
      <c r="N42" s="28">
        <f t="shared" si="39"/>
        <v>7</v>
      </c>
      <c r="O42" s="33" t="s">
        <v>37</v>
      </c>
      <c r="P42" s="33" t="s">
        <v>37</v>
      </c>
      <c r="Q42" s="31">
        <f>if(G42=13,1,0)+VLOOKUP(B42,'91623'!B$5:Q$61,16,false)</f>
        <v>0</v>
      </c>
      <c r="R42" s="31"/>
      <c r="S42" s="31">
        <f>if(G42=9,1,0)+VLOOKUP(B42,'91623'!B:S,18,false)</f>
        <v>6</v>
      </c>
    </row>
    <row r="43">
      <c r="A43" s="25">
        <f t="shared" si="3"/>
        <v>39</v>
      </c>
      <c r="B43" s="26" t="s">
        <v>90</v>
      </c>
      <c r="C43" s="27">
        <v>110.0</v>
      </c>
      <c r="D43" s="28">
        <v>7.0</v>
      </c>
      <c r="E43" s="30">
        <v>1.0</v>
      </c>
      <c r="F43" s="31">
        <v>5.0</v>
      </c>
      <c r="G43" s="27">
        <v>0.0</v>
      </c>
      <c r="H43" s="31">
        <v>1.0</v>
      </c>
      <c r="I43" s="31">
        <v>6.0</v>
      </c>
      <c r="J43" s="31">
        <v>2.0</v>
      </c>
      <c r="K43" s="32">
        <v>9.0</v>
      </c>
      <c r="L43" s="31">
        <v>1.0</v>
      </c>
      <c r="M43" s="27">
        <f t="shared" ref="M43:N43" si="40">C43+K43</f>
        <v>119</v>
      </c>
      <c r="N43" s="28">
        <f t="shared" si="40"/>
        <v>8</v>
      </c>
      <c r="O43" s="33" t="s">
        <v>37</v>
      </c>
      <c r="P43" s="33" t="s">
        <v>37</v>
      </c>
      <c r="Q43" s="31">
        <f>if(G43=13,1,0)+VLOOKUP(B43,'91623'!B$5:Q$61,16,false)</f>
        <v>0</v>
      </c>
      <c r="R43" s="31"/>
      <c r="S43" s="31">
        <f>if(G43=9,1,0)+VLOOKUP(B43,'91623'!B:S,18,false)</f>
        <v>5</v>
      </c>
    </row>
    <row r="44">
      <c r="A44" s="25">
        <f t="shared" si="3"/>
        <v>40</v>
      </c>
      <c r="B44" s="26" t="s">
        <v>71</v>
      </c>
      <c r="C44" s="27">
        <v>110.0</v>
      </c>
      <c r="D44" s="28">
        <v>5.0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119</v>
      </c>
      <c r="N44" s="28">
        <f t="shared" si="41"/>
        <v>5</v>
      </c>
      <c r="O44" s="33" t="s">
        <v>37</v>
      </c>
      <c r="P44" s="33" t="s">
        <v>37</v>
      </c>
      <c r="Q44" s="31">
        <f>if(G44=13,1,0)+VLOOKUP(B44,'91623'!B$5:Q$61,16,false)</f>
        <v>0</v>
      </c>
      <c r="R44" s="31"/>
      <c r="S44" s="31">
        <f>if(G44=9,1,0)+VLOOKUP(B44,'91623'!B:S,18,false)</f>
        <v>9</v>
      </c>
    </row>
    <row r="45">
      <c r="A45" s="25">
        <f t="shared" si="3"/>
        <v>41</v>
      </c>
      <c r="B45" s="36" t="s">
        <v>94</v>
      </c>
      <c r="C45" s="27">
        <v>110.0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119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if(G45=13,1,0)+VLOOKUP(B45,'91623'!B$5:Q$61,16,false)</f>
        <v>0</v>
      </c>
      <c r="R45" s="31"/>
      <c r="S45" s="31">
        <f>if(G45=9,1,0)+VLOOKUP(B45,'91623'!B:S,18,false)</f>
        <v>8</v>
      </c>
    </row>
    <row r="46">
      <c r="A46" s="25">
        <f t="shared" si="3"/>
        <v>42</v>
      </c>
      <c r="B46" s="26" t="s">
        <v>91</v>
      </c>
      <c r="C46" s="27">
        <v>110.0</v>
      </c>
      <c r="D46" s="28">
        <v>1.0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119</v>
      </c>
      <c r="N46" s="28">
        <f t="shared" si="43"/>
        <v>1</v>
      </c>
      <c r="O46" s="33" t="s">
        <v>37</v>
      </c>
      <c r="P46" s="33" t="s">
        <v>37</v>
      </c>
      <c r="Q46" s="31">
        <f>if(G46=13,1,0)+VLOOKUP(B46,'91623'!B$5:Q$61,16,false)</f>
        <v>1</v>
      </c>
      <c r="R46" s="31"/>
      <c r="S46" s="31">
        <f>if(G46=9,1,0)+VLOOKUP(B46,'91623'!B:S,18,false)</f>
        <v>10</v>
      </c>
    </row>
    <row r="47">
      <c r="A47" s="25">
        <f t="shared" si="3"/>
        <v>43</v>
      </c>
      <c r="B47" s="36" t="s">
        <v>93</v>
      </c>
      <c r="C47" s="27">
        <v>109.0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118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if(G47=13,1,0)+VLOOKUP(B47,'91623'!B$5:Q$61,16,false)</f>
        <v>0</v>
      </c>
      <c r="R47" s="31"/>
      <c r="S47" s="31">
        <f>if(G47=9,1,0)+VLOOKUP(B47,'91623'!B:S,18,false)</f>
        <v>11</v>
      </c>
    </row>
    <row r="48">
      <c r="A48" s="25">
        <f t="shared" si="3"/>
        <v>44</v>
      </c>
      <c r="B48" s="26" t="s">
        <v>95</v>
      </c>
      <c r="C48" s="27">
        <v>108.0</v>
      </c>
      <c r="D48" s="28">
        <v>4.0</v>
      </c>
      <c r="E48" s="30">
        <v>1.0</v>
      </c>
      <c r="F48" s="31">
        <v>6.0</v>
      </c>
      <c r="G48" s="27">
        <v>0.0</v>
      </c>
      <c r="H48" s="31">
        <v>4.0</v>
      </c>
      <c r="I48" s="31">
        <v>0.0</v>
      </c>
      <c r="J48" s="31">
        <v>0.0</v>
      </c>
      <c r="K48" s="32">
        <v>4.0</v>
      </c>
      <c r="L48" s="31">
        <v>0.0</v>
      </c>
      <c r="M48" s="27">
        <f t="shared" ref="M48:N48" si="45">C48+K48</f>
        <v>112</v>
      </c>
      <c r="N48" s="28">
        <f t="shared" si="45"/>
        <v>4</v>
      </c>
      <c r="O48" s="33" t="s">
        <v>37</v>
      </c>
      <c r="P48" s="33" t="s">
        <v>37</v>
      </c>
      <c r="Q48" s="31">
        <f>if(G48=13,1,0)+VLOOKUP(B48,'91623'!B$5:Q$61,16,false)</f>
        <v>0</v>
      </c>
      <c r="R48" s="31"/>
      <c r="S48" s="31">
        <f>if(G48=9,1,0)+VLOOKUP(B48,'91623'!B:S,18,false)</f>
        <v>8</v>
      </c>
    </row>
    <row r="49">
      <c r="A49" s="25">
        <f t="shared" si="3"/>
        <v>45</v>
      </c>
      <c r="B49" s="36" t="s">
        <v>98</v>
      </c>
      <c r="C49" s="27">
        <v>108.0</v>
      </c>
      <c r="D49" s="28">
        <v>3.0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117</v>
      </c>
      <c r="N49" s="28">
        <f t="shared" si="46"/>
        <v>3</v>
      </c>
      <c r="O49" s="33" t="s">
        <v>37</v>
      </c>
      <c r="P49" s="33" t="s">
        <v>37</v>
      </c>
      <c r="Q49" s="31">
        <f>if(G49=13,1,0)+VLOOKUP(B49,'91623'!B$5:Q$61,16,false)</f>
        <v>0</v>
      </c>
      <c r="R49" s="31"/>
      <c r="S49" s="31">
        <f>if(G49=9,1,0)+VLOOKUP(B49,'91623'!B:S,18,false)</f>
        <v>7</v>
      </c>
    </row>
    <row r="50">
      <c r="A50" s="25">
        <f t="shared" si="3"/>
        <v>46</v>
      </c>
      <c r="B50" s="36" t="s">
        <v>99</v>
      </c>
      <c r="C50" s="27">
        <v>108.0</v>
      </c>
      <c r="D50" s="28">
        <v>3.0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117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if(G50=13,1,0)+VLOOKUP(B50,'91623'!B$5:Q$61,16,false)</f>
        <v>0</v>
      </c>
      <c r="R50" s="31"/>
      <c r="S50" s="31">
        <f>if(G50=9,1,0)+VLOOKUP(B50,'91623'!B:S,18,false)</f>
        <v>8</v>
      </c>
    </row>
    <row r="51">
      <c r="A51" s="25">
        <f t="shared" si="3"/>
        <v>47</v>
      </c>
      <c r="B51" s="36" t="s">
        <v>76</v>
      </c>
      <c r="C51" s="27">
        <v>103.0</v>
      </c>
      <c r="D51" s="28">
        <v>2.0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112</v>
      </c>
      <c r="N51" s="28">
        <f t="shared" si="48"/>
        <v>2</v>
      </c>
      <c r="O51" s="33" t="s">
        <v>37</v>
      </c>
      <c r="P51" s="33" t="s">
        <v>37</v>
      </c>
      <c r="Q51" s="31">
        <f>if(G51=13,1,0)+VLOOKUP(B51,'91623'!B$5:Q$61,16,false)</f>
        <v>0</v>
      </c>
      <c r="R51" s="31"/>
      <c r="S51" s="31">
        <f>if(G51=9,1,0)+VLOOKUP(B51,'91623'!B:S,18,false)</f>
        <v>11</v>
      </c>
    </row>
    <row r="52">
      <c r="A52" s="25">
        <f t="shared" si="3"/>
        <v>48</v>
      </c>
      <c r="B52" s="26" t="s">
        <v>100</v>
      </c>
      <c r="C52" s="27">
        <v>103.0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112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if(G52=13,1,0)+VLOOKUP(B52,'91623'!B$5:Q$61,16,false)</f>
        <v>0</v>
      </c>
      <c r="R52" s="31"/>
      <c r="S52" s="31">
        <f>if(G52=9,1,0)+VLOOKUP(B52,'91623'!B:S,18,false)</f>
        <v>11</v>
      </c>
    </row>
    <row r="53">
      <c r="A53" s="25">
        <f t="shared" si="3"/>
        <v>49</v>
      </c>
      <c r="B53" s="36" t="s">
        <v>97</v>
      </c>
      <c r="C53" s="27">
        <v>101.0</v>
      </c>
      <c r="D53" s="28">
        <v>5.0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110</v>
      </c>
      <c r="N53" s="28">
        <f t="shared" si="50"/>
        <v>5</v>
      </c>
      <c r="O53" s="33" t="s">
        <v>37</v>
      </c>
      <c r="P53" s="33" t="s">
        <v>37</v>
      </c>
      <c r="Q53" s="31">
        <f>if(G53=13,1,0)+VLOOKUP(B53,'91623'!B$5:Q$61,16,false)</f>
        <v>0</v>
      </c>
      <c r="R53" s="31"/>
      <c r="S53" s="31">
        <f>if(G53=9,1,0)+VLOOKUP(B53,'91623'!B:S,18,false)</f>
        <v>7</v>
      </c>
    </row>
    <row r="54">
      <c r="A54" s="25">
        <f t="shared" si="3"/>
        <v>50</v>
      </c>
      <c r="B54" s="36" t="s">
        <v>96</v>
      </c>
      <c r="C54" s="27">
        <v>100.0</v>
      </c>
      <c r="D54" s="28">
        <v>7.0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109</v>
      </c>
      <c r="N54" s="28">
        <f t="shared" si="51"/>
        <v>7</v>
      </c>
      <c r="O54" s="33" t="s">
        <v>37</v>
      </c>
      <c r="P54" s="33" t="s">
        <v>37</v>
      </c>
      <c r="Q54" s="31">
        <f>if(G54=13,1,0)+VLOOKUP(B54,'91623'!B$5:Q$61,16,false)</f>
        <v>0</v>
      </c>
      <c r="R54" s="31"/>
      <c r="S54" s="31">
        <f>if(G54=9,1,0)+VLOOKUP(B54,'91623'!B:S,18,false)</f>
        <v>5</v>
      </c>
    </row>
    <row r="55">
      <c r="A55" s="25">
        <f t="shared" si="3"/>
        <v>51</v>
      </c>
      <c r="B55" s="26" t="s">
        <v>103</v>
      </c>
      <c r="C55" s="27">
        <v>99.0</v>
      </c>
      <c r="D55" s="28">
        <v>0.0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108</v>
      </c>
      <c r="N55" s="28">
        <f t="shared" si="52"/>
        <v>0</v>
      </c>
      <c r="O55" s="33" t="s">
        <v>37</v>
      </c>
      <c r="P55" s="33" t="s">
        <v>37</v>
      </c>
      <c r="Q55" s="31">
        <f>if(G55=13,1,0)+VLOOKUP(B55,'91623'!B$5:Q$61,16,false)</f>
        <v>0</v>
      </c>
      <c r="R55" s="31"/>
      <c r="S55" s="31">
        <f>if(G55=9,1,0)+VLOOKUP(B55,'91623'!B:S,18,false)</f>
        <v>12</v>
      </c>
    </row>
    <row r="56">
      <c r="A56" s="25">
        <f t="shared" si="3"/>
        <v>52</v>
      </c>
      <c r="B56" s="36" t="s">
        <v>104</v>
      </c>
      <c r="C56" s="27">
        <v>99.0</v>
      </c>
      <c r="D56" s="28">
        <v>0.0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108</v>
      </c>
      <c r="N56" s="28">
        <f t="shared" si="53"/>
        <v>0</v>
      </c>
      <c r="O56" s="33" t="s">
        <v>37</v>
      </c>
      <c r="P56" s="33" t="s">
        <v>37</v>
      </c>
      <c r="Q56" s="31">
        <f>if(G56=13,1,0)+VLOOKUP(B56,'91623'!B$5:Q$61,16,false)</f>
        <v>0</v>
      </c>
      <c r="R56" s="31"/>
      <c r="S56" s="31">
        <f>if(G56=9,1,0)+VLOOKUP(B56,'91623'!B:S,18,false)</f>
        <v>12</v>
      </c>
    </row>
    <row r="57">
      <c r="A57" s="25">
        <f t="shared" si="3"/>
        <v>53</v>
      </c>
      <c r="B57" s="26" t="s">
        <v>105</v>
      </c>
      <c r="C57" s="27">
        <v>99.0</v>
      </c>
      <c r="D57" s="28">
        <v>0.0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108</v>
      </c>
      <c r="N57" s="28">
        <f t="shared" si="54"/>
        <v>0</v>
      </c>
      <c r="O57" s="33" t="s">
        <v>37</v>
      </c>
      <c r="P57" s="33" t="s">
        <v>37</v>
      </c>
      <c r="Q57" s="31">
        <f>if(G57=13,1,0)+VLOOKUP(B57,'91623'!B$5:Q$61,16,false)</f>
        <v>0</v>
      </c>
      <c r="R57" s="31"/>
      <c r="S57" s="31">
        <f>if(G57=9,1,0)+VLOOKUP(B57,'91623'!B:S,18,false)</f>
        <v>12</v>
      </c>
    </row>
    <row r="58">
      <c r="A58" s="25">
        <f t="shared" si="3"/>
        <v>54</v>
      </c>
      <c r="B58" s="26" t="s">
        <v>106</v>
      </c>
      <c r="C58" s="27">
        <v>99.0</v>
      </c>
      <c r="D58" s="28">
        <v>0.0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108</v>
      </c>
      <c r="N58" s="28">
        <f t="shared" si="55"/>
        <v>0</v>
      </c>
      <c r="O58" s="33" t="s">
        <v>37</v>
      </c>
      <c r="P58" s="33" t="s">
        <v>37</v>
      </c>
      <c r="Q58" s="31">
        <f>if(G58=13,1,0)+VLOOKUP(B58,'91623'!B$5:Q$61,16,false)</f>
        <v>0</v>
      </c>
      <c r="R58" s="31"/>
      <c r="S58" s="31">
        <f>if(G58=9,1,0)+VLOOKUP(B58,'91623'!B:S,18,false)</f>
        <v>12</v>
      </c>
    </row>
    <row r="59">
      <c r="A59" s="25">
        <f t="shared" si="3"/>
        <v>55</v>
      </c>
      <c r="B59" s="36" t="s">
        <v>108</v>
      </c>
      <c r="C59" s="27">
        <v>98.0</v>
      </c>
      <c r="D59" s="28">
        <v>3.0</v>
      </c>
      <c r="E59" s="30">
        <v>1.0</v>
      </c>
      <c r="F59" s="31">
        <v>6.0</v>
      </c>
      <c r="G59" s="27">
        <v>0.0</v>
      </c>
      <c r="H59" s="31">
        <v>6.0</v>
      </c>
      <c r="I59" s="31">
        <v>0.0</v>
      </c>
      <c r="J59" s="31">
        <v>6.0</v>
      </c>
      <c r="K59" s="32">
        <v>12.0</v>
      </c>
      <c r="L59" s="31">
        <v>2.0</v>
      </c>
      <c r="M59" s="27">
        <f t="shared" ref="M59:N59" si="56">C59+K59</f>
        <v>110</v>
      </c>
      <c r="N59" s="28">
        <f t="shared" si="56"/>
        <v>5</v>
      </c>
      <c r="O59" s="33" t="s">
        <v>37</v>
      </c>
      <c r="P59" s="33" t="s">
        <v>37</v>
      </c>
      <c r="Q59" s="31">
        <f>if(G59=13,1,0)+VLOOKUP(B59,'91623'!B$5:Q$61,16,false)</f>
        <v>0</v>
      </c>
      <c r="R59" s="31"/>
      <c r="S59" s="31">
        <f>if(G59=9,1,0)+VLOOKUP(B59,'91623'!B:S,18,false)</f>
        <v>8</v>
      </c>
    </row>
    <row r="60">
      <c r="A60" s="25">
        <f t="shared" si="3"/>
        <v>56</v>
      </c>
      <c r="B60" s="36" t="s">
        <v>85</v>
      </c>
      <c r="C60" s="27">
        <v>93.0</v>
      </c>
      <c r="D60" s="28">
        <v>3.0</v>
      </c>
      <c r="E60" s="30">
        <v>1.0</v>
      </c>
      <c r="F60" s="31">
        <v>6.0</v>
      </c>
      <c r="G60" s="27">
        <v>0.0</v>
      </c>
      <c r="H60" s="31">
        <v>6.0</v>
      </c>
      <c r="I60" s="31">
        <v>6.0</v>
      </c>
      <c r="J60" s="31">
        <v>0.0</v>
      </c>
      <c r="K60" s="32">
        <v>12.0</v>
      </c>
      <c r="L60" s="31">
        <v>2.0</v>
      </c>
      <c r="M60" s="27">
        <f t="shared" ref="M60:N60" si="57">C60+K60</f>
        <v>105</v>
      </c>
      <c r="N60" s="28">
        <f t="shared" si="57"/>
        <v>5</v>
      </c>
      <c r="O60" s="33" t="s">
        <v>37</v>
      </c>
      <c r="P60" s="33" t="s">
        <v>37</v>
      </c>
      <c r="Q60" s="31">
        <f>if(G60=13,1,0)+VLOOKUP(B60,'91623'!B$5:Q$61,16,false)</f>
        <v>0</v>
      </c>
      <c r="R60" s="31"/>
      <c r="S60" s="31">
        <f>if(G60=9,1,0)+VLOOKUP(B60,'91623'!B:S,18,false)</f>
        <v>7</v>
      </c>
    </row>
    <row r="61">
      <c r="A61" s="25">
        <f t="shared" si="3"/>
        <v>57</v>
      </c>
      <c r="B61" s="36" t="s">
        <v>109</v>
      </c>
      <c r="C61" s="27">
        <v>88.0</v>
      </c>
      <c r="D61" s="28">
        <v>1.0</v>
      </c>
      <c r="E61" s="30">
        <v>1.0</v>
      </c>
      <c r="F61" s="31">
        <v>6.0</v>
      </c>
      <c r="G61" s="27">
        <v>0.0</v>
      </c>
      <c r="H61" s="31">
        <v>4.0</v>
      </c>
      <c r="I61" s="31">
        <v>6.0</v>
      </c>
      <c r="J61" s="31">
        <v>6.0</v>
      </c>
      <c r="K61" s="32">
        <v>16.0</v>
      </c>
      <c r="L61" s="31">
        <v>0.0</v>
      </c>
      <c r="M61" s="27">
        <f t="shared" ref="M61:N61" si="58">C61+K61</f>
        <v>104</v>
      </c>
      <c r="N61" s="28">
        <f t="shared" si="58"/>
        <v>1</v>
      </c>
      <c r="O61" s="33" t="s">
        <v>37</v>
      </c>
      <c r="P61" s="33" t="s">
        <v>37</v>
      </c>
      <c r="Q61" s="31">
        <f>if(G61=13,1,0)+VLOOKUP(B61,'91623'!B$5:Q$61,16,false)</f>
        <v>0</v>
      </c>
      <c r="R61" s="31"/>
      <c r="S61" s="31">
        <f>if(G61=9,1,0)+VLOOKUP(B61,'91623'!B:S,18,false)</f>
        <v>5</v>
      </c>
    </row>
    <row r="62">
      <c r="A62" s="1"/>
      <c r="C62" s="1"/>
      <c r="D62" s="1"/>
      <c r="E62" s="1"/>
      <c r="P62" s="1"/>
    </row>
    <row r="63">
      <c r="A63" s="1"/>
      <c r="B63" s="39">
        <f>COUNTA(B5:B61)</f>
        <v>57</v>
      </c>
      <c r="C63" s="1"/>
      <c r="D63" s="1"/>
      <c r="E63" s="1"/>
      <c r="O63" s="34" t="s">
        <v>110</v>
      </c>
      <c r="P63" s="40">
        <f>COUNTA(P5:P61)</f>
        <v>57</v>
      </c>
    </row>
    <row r="64">
      <c r="A64" s="1"/>
      <c r="C64" s="1"/>
      <c r="D64" s="1"/>
      <c r="E64" s="1"/>
      <c r="O64" s="34" t="s">
        <v>111</v>
      </c>
      <c r="P64" s="40">
        <f>P65-P63</f>
        <v>0</v>
      </c>
    </row>
    <row r="65">
      <c r="A65" s="1"/>
      <c r="C65" s="1"/>
      <c r="D65" s="1"/>
      <c r="J65" s="41"/>
      <c r="K65" s="42"/>
      <c r="L65" s="43"/>
      <c r="O65" s="34" t="s">
        <v>41</v>
      </c>
      <c r="P65" s="40">
        <f>B63</f>
        <v>57</v>
      </c>
    </row>
    <row r="66">
      <c r="A66" s="1"/>
      <c r="C66" s="1"/>
      <c r="D66" s="1"/>
      <c r="E66" s="34" t="s">
        <v>112</v>
      </c>
      <c r="J66" s="41"/>
      <c r="K66" s="42"/>
      <c r="L66" s="43"/>
    </row>
    <row r="67">
      <c r="A67" s="1"/>
      <c r="C67" s="1"/>
      <c r="D67" s="1"/>
      <c r="J67" s="41"/>
      <c r="K67" s="42"/>
      <c r="L67" s="43"/>
    </row>
    <row r="68">
      <c r="A68" s="1"/>
      <c r="C68" s="1"/>
      <c r="D68" s="1"/>
      <c r="J68" s="41"/>
      <c r="K68" s="42"/>
      <c r="L68" s="43"/>
    </row>
    <row r="69">
      <c r="A69" s="1"/>
      <c r="B69" s="45" t="s">
        <v>113</v>
      </c>
      <c r="C69" s="45" t="s">
        <v>114</v>
      </c>
      <c r="D69" s="45" t="s">
        <v>115</v>
      </c>
      <c r="J69" s="41"/>
      <c r="K69" s="42"/>
      <c r="L69" s="43"/>
    </row>
    <row r="70">
      <c r="A70" s="1"/>
      <c r="B70" s="36" t="str">
        <f>IFERROR(__xludf.DUMMYFUNCTION("QUERY(B5:L61,""Select B, K, L where K &gt;= 18 order by K desc, L desc"",0)"),"Ted Shen")</f>
        <v>Ted Shen</v>
      </c>
      <c r="C70" s="46">
        <f>IFERROR(__xludf.DUMMYFUNCTION("""COMPUTED_VALUE"""),18.0)</f>
        <v>18</v>
      </c>
      <c r="D70" s="46">
        <f>IFERROR(__xludf.DUMMYFUNCTION("""COMPUTED_VALUE"""),3.0)</f>
        <v>3</v>
      </c>
      <c r="E70" s="1"/>
      <c r="K70" s="42"/>
      <c r="L70" s="43"/>
    </row>
    <row r="71">
      <c r="A71" s="1"/>
      <c r="B71" s="36" t="str">
        <f>IFERROR(__xludf.DUMMYFUNCTION("""COMPUTED_VALUE"""),"Oscar Bonilla")</f>
        <v>Oscar Bonilla</v>
      </c>
      <c r="C71" s="46">
        <f>IFERROR(__xludf.DUMMYFUNCTION("""COMPUTED_VALUE"""),18.0)</f>
        <v>18</v>
      </c>
      <c r="D71" s="46">
        <f>IFERROR(__xludf.DUMMYFUNCTION("""COMPUTED_VALUE"""),3.0)</f>
        <v>3</v>
      </c>
      <c r="E71" s="1"/>
      <c r="L71" s="47"/>
    </row>
    <row r="72">
      <c r="A72" s="1"/>
      <c r="B72" s="36" t="str">
        <f>IFERROR(__xludf.DUMMYFUNCTION("""COMPUTED_VALUE"""),"Tony Wong")</f>
        <v>Tony Wong</v>
      </c>
      <c r="C72" s="46">
        <f>IFERROR(__xludf.DUMMYFUNCTION("""COMPUTED_VALUE"""),18.0)</f>
        <v>18</v>
      </c>
      <c r="D72" s="46">
        <f>IFERROR(__xludf.DUMMYFUNCTION("""COMPUTED_VALUE"""),3.0)</f>
        <v>3</v>
      </c>
      <c r="E72" s="1"/>
    </row>
    <row r="73">
      <c r="A73" s="1"/>
      <c r="B73" s="36"/>
      <c r="C73" s="36"/>
      <c r="D73" s="36"/>
      <c r="E73" s="1"/>
    </row>
    <row r="74">
      <c r="A74" s="1"/>
      <c r="B74" s="36"/>
      <c r="C74" s="46"/>
      <c r="D74" s="46"/>
      <c r="E74" s="1"/>
      <c r="K74" s="34"/>
    </row>
    <row r="75">
      <c r="A75" s="1"/>
      <c r="B75" s="36"/>
      <c r="C75" s="46"/>
      <c r="D75" s="46"/>
      <c r="E75" s="1"/>
      <c r="K75" s="34"/>
    </row>
    <row r="76">
      <c r="A76" s="1"/>
      <c r="B76" s="36"/>
      <c r="C76" s="46"/>
      <c r="D76" s="46"/>
      <c r="E76" s="1"/>
      <c r="K76" s="34"/>
    </row>
    <row r="77">
      <c r="A77" s="1"/>
      <c r="B77" s="36"/>
      <c r="C77" s="46"/>
      <c r="D77" s="46"/>
      <c r="E77" s="1"/>
      <c r="K77" s="34"/>
    </row>
    <row r="78">
      <c r="A78" s="1"/>
      <c r="B78" s="36"/>
      <c r="C78" s="46"/>
      <c r="D78" s="46"/>
      <c r="E78" s="1"/>
    </row>
    <row r="79">
      <c r="A79" s="1"/>
      <c r="B79" s="36"/>
      <c r="C79" s="46"/>
      <c r="D79" s="46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1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1 B69:D79">
    <cfRule type="expression" dxfId="0" priority="3">
      <formula>E5=1</formula>
    </cfRule>
  </conditionalFormatting>
  <conditionalFormatting sqref="B5:B61 B69:D79">
    <cfRule type="expression" dxfId="2" priority="4">
      <formula>E5=2</formula>
    </cfRule>
  </conditionalFormatting>
  <conditionalFormatting sqref="B5:B61 B69:D79">
    <cfRule type="expression" dxfId="3" priority="5">
      <formula>E5=3</formula>
    </cfRule>
  </conditionalFormatting>
  <conditionalFormatting sqref="B5:B61 B69:D79">
    <cfRule type="expression" dxfId="4" priority="6">
      <formula>E5=4</formula>
    </cfRule>
  </conditionalFormatting>
  <conditionalFormatting sqref="L71">
    <cfRule type="containsText" dxfId="0" priority="7" operator="containsText" text="Good">
      <formula>NOT(ISERROR(SEARCH(("Good"),(L71))))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10.13"/>
    <col customWidth="1" min="4" max="4" width="5.75"/>
    <col customWidth="1" min="5" max="5" width="7.75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45185.0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11.0</v>
      </c>
      <c r="E2" s="1"/>
    </row>
    <row r="3" ht="27.75" customHeight="1">
      <c r="A3" s="1"/>
      <c r="C3" s="11" t="s">
        <v>15</v>
      </c>
      <c r="D3" s="12"/>
      <c r="E3" s="1"/>
      <c r="G3" s="15" t="s">
        <v>21</v>
      </c>
      <c r="H3" s="16"/>
      <c r="I3" s="16"/>
      <c r="J3" s="16"/>
      <c r="K3" s="16"/>
      <c r="L3" s="12"/>
      <c r="M3" s="17" t="s">
        <v>22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72</v>
      </c>
      <c r="C5" s="27">
        <v>143.0</v>
      </c>
      <c r="D5" s="28">
        <v>16.0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152</v>
      </c>
      <c r="N5" s="28">
        <f t="shared" si="1"/>
        <v>16</v>
      </c>
      <c r="O5" s="33" t="s">
        <v>37</v>
      </c>
      <c r="P5" s="33" t="s">
        <v>37</v>
      </c>
      <c r="Q5" s="31">
        <f>if(G5=13,1,0)+VLOOKUP(B5,'9923'!B$5:Q$61,16,false)</f>
        <v>1</v>
      </c>
      <c r="R5" s="31"/>
      <c r="S5" s="31">
        <f>if(G5=9,1,0)+VLOOKUP(B5,'9923'!B:S,18,false)</f>
        <v>3</v>
      </c>
    </row>
    <row r="6">
      <c r="A6" s="25">
        <f t="shared" ref="A6:A61" si="3">A5+1</f>
        <v>2</v>
      </c>
      <c r="B6" s="26" t="s">
        <v>42</v>
      </c>
      <c r="C6" s="27">
        <v>140.0</v>
      </c>
      <c r="D6" s="28">
        <v>14.0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149</v>
      </c>
      <c r="N6" s="28">
        <f t="shared" si="2"/>
        <v>14</v>
      </c>
      <c r="O6" s="33" t="s">
        <v>37</v>
      </c>
      <c r="P6" s="33" t="s">
        <v>37</v>
      </c>
      <c r="Q6" s="31">
        <f>if(G6=13,1,0)+VLOOKUP(B6,'9923'!B$5:Q$61,16,false)</f>
        <v>0</v>
      </c>
      <c r="R6" s="31"/>
      <c r="S6" s="31">
        <f>if(G6=9,1,0)+VLOOKUP(B6,'9923'!B:S,18,false)</f>
        <v>4</v>
      </c>
    </row>
    <row r="7">
      <c r="A7" s="25">
        <f t="shared" si="3"/>
        <v>3</v>
      </c>
      <c r="B7" s="36" t="s">
        <v>67</v>
      </c>
      <c r="C7" s="27">
        <v>139.0</v>
      </c>
      <c r="D7" s="28">
        <v>14.0</v>
      </c>
      <c r="E7" s="30">
        <v>1.0</v>
      </c>
      <c r="F7" s="31">
        <v>1.0</v>
      </c>
      <c r="G7" s="27">
        <v>0.0</v>
      </c>
      <c r="H7" s="31">
        <v>1.0</v>
      </c>
      <c r="I7" s="31">
        <v>6.0</v>
      </c>
      <c r="J7" s="31">
        <v>6.0</v>
      </c>
      <c r="K7" s="32">
        <v>13.0</v>
      </c>
      <c r="L7" s="31">
        <v>2.0</v>
      </c>
      <c r="M7" s="27">
        <f t="shared" ref="M7:N7" si="4">C7+K7</f>
        <v>152</v>
      </c>
      <c r="N7" s="28">
        <f t="shared" si="4"/>
        <v>16</v>
      </c>
      <c r="O7" s="33" t="s">
        <v>37</v>
      </c>
      <c r="P7" s="33" t="s">
        <v>37</v>
      </c>
      <c r="Q7" s="31">
        <f>if(G7=13,1,0)+VLOOKUP(B7,'9923'!B$5:Q$61,16,false)</f>
        <v>0</v>
      </c>
      <c r="R7" s="31"/>
      <c r="S7" s="31">
        <f>if(G7=9,1,0)+VLOOKUP(B7,'9923'!B:S,18,false)</f>
        <v>2</v>
      </c>
    </row>
    <row r="8">
      <c r="A8" s="25">
        <f t="shared" si="3"/>
        <v>4</v>
      </c>
      <c r="B8" s="26" t="s">
        <v>49</v>
      </c>
      <c r="C8" s="27">
        <v>137.0</v>
      </c>
      <c r="D8" s="28">
        <v>12.0</v>
      </c>
      <c r="E8" s="30">
        <v>1.0</v>
      </c>
      <c r="F8" s="31">
        <v>1.0</v>
      </c>
      <c r="G8" s="27">
        <v>0.0</v>
      </c>
      <c r="H8" s="31">
        <v>6.0</v>
      </c>
      <c r="I8" s="31">
        <v>0.0</v>
      </c>
      <c r="J8" s="31">
        <v>6.0</v>
      </c>
      <c r="K8" s="32">
        <v>12.0</v>
      </c>
      <c r="L8" s="31">
        <v>2.0</v>
      </c>
      <c r="M8" s="27">
        <f t="shared" ref="M8:N8" si="5">C8+K8</f>
        <v>149</v>
      </c>
      <c r="N8" s="28">
        <f t="shared" si="5"/>
        <v>14</v>
      </c>
      <c r="O8" s="33" t="s">
        <v>37</v>
      </c>
      <c r="P8" s="33" t="s">
        <v>37</v>
      </c>
      <c r="Q8" s="31">
        <f>if(G8=13,1,0)+VLOOKUP(B8,'9923'!B$5:Q$61,16,false)</f>
        <v>1</v>
      </c>
      <c r="R8" s="31"/>
      <c r="S8" s="31">
        <f>if(G8=9,1,0)+VLOOKUP(B8,'9923'!B:S,18,false)</f>
        <v>0</v>
      </c>
    </row>
    <row r="9">
      <c r="A9" s="25">
        <f t="shared" si="3"/>
        <v>5</v>
      </c>
      <c r="B9" s="26" t="s">
        <v>54</v>
      </c>
      <c r="C9" s="27">
        <v>136.0</v>
      </c>
      <c r="D9" s="28">
        <v>14.0</v>
      </c>
      <c r="E9" s="30">
        <v>3.0</v>
      </c>
      <c r="F9" s="31">
        <v>0.0</v>
      </c>
      <c r="G9" s="27">
        <v>9.0</v>
      </c>
      <c r="H9" s="31">
        <v>0.0</v>
      </c>
      <c r="I9" s="31">
        <v>0.0</v>
      </c>
      <c r="J9" s="31">
        <v>0.0</v>
      </c>
      <c r="K9" s="32">
        <v>9.0</v>
      </c>
      <c r="L9" s="31">
        <v>0.0</v>
      </c>
      <c r="M9" s="27">
        <f t="shared" ref="M9:N9" si="6">C9+K9</f>
        <v>145</v>
      </c>
      <c r="N9" s="28">
        <f t="shared" si="6"/>
        <v>14</v>
      </c>
      <c r="O9" s="33" t="s">
        <v>37</v>
      </c>
      <c r="P9" s="33" t="s">
        <v>37</v>
      </c>
      <c r="Q9" s="31">
        <f>if(G9=13,1,0)+VLOOKUP(B9,'9923'!B$5:Q$61,16,false)</f>
        <v>0</v>
      </c>
      <c r="R9" s="31"/>
      <c r="S9" s="31">
        <f>if(G9=9,1,0)+VLOOKUP(B9,'9923'!B:S,18,false)</f>
        <v>3</v>
      </c>
    </row>
    <row r="10">
      <c r="A10" s="25">
        <f t="shared" si="3"/>
        <v>6</v>
      </c>
      <c r="B10" s="26" t="s">
        <v>34</v>
      </c>
      <c r="C10" s="27">
        <v>134.0</v>
      </c>
      <c r="D10" s="28">
        <v>12.0</v>
      </c>
      <c r="E10" s="30">
        <v>2.0</v>
      </c>
      <c r="F10" s="31">
        <v>1.0</v>
      </c>
      <c r="G10" s="27">
        <v>0.0</v>
      </c>
      <c r="H10" s="31">
        <v>6.0</v>
      </c>
      <c r="I10" s="31">
        <v>6.0</v>
      </c>
      <c r="J10" s="31">
        <v>1.0</v>
      </c>
      <c r="K10" s="32">
        <v>13.0</v>
      </c>
      <c r="L10" s="31">
        <v>2.0</v>
      </c>
      <c r="M10" s="27">
        <f t="shared" ref="M10:N10" si="7">C10+K10</f>
        <v>147</v>
      </c>
      <c r="N10" s="28">
        <f t="shared" si="7"/>
        <v>14</v>
      </c>
      <c r="O10" s="33" t="s">
        <v>37</v>
      </c>
      <c r="P10" s="33" t="s">
        <v>37</v>
      </c>
      <c r="Q10" s="31">
        <f>if(G10=13,1,0)+VLOOKUP(B10,'9923'!B$5:Q$61,16,false)</f>
        <v>1</v>
      </c>
      <c r="R10" s="31"/>
      <c r="S10" s="31">
        <f>if(G10=9,1,0)+VLOOKUP(B10,'9923'!B:S,18,false)</f>
        <v>4</v>
      </c>
    </row>
    <row r="11">
      <c r="A11" s="25">
        <f t="shared" si="3"/>
        <v>7</v>
      </c>
      <c r="B11" s="26" t="s">
        <v>61</v>
      </c>
      <c r="C11" s="27">
        <v>131.0</v>
      </c>
      <c r="D11" s="28">
        <v>13.0</v>
      </c>
      <c r="E11" s="30">
        <v>2.0</v>
      </c>
      <c r="F11" s="31">
        <v>1.0</v>
      </c>
      <c r="G11" s="27">
        <v>0.0</v>
      </c>
      <c r="H11" s="31">
        <v>1.0</v>
      </c>
      <c r="I11" s="31">
        <v>0.0</v>
      </c>
      <c r="J11" s="31">
        <v>1.0</v>
      </c>
      <c r="K11" s="32">
        <v>2.0</v>
      </c>
      <c r="L11" s="31">
        <v>0.0</v>
      </c>
      <c r="M11" s="27">
        <f t="shared" ref="M11:N11" si="8">C11+K11</f>
        <v>133</v>
      </c>
      <c r="N11" s="28">
        <f t="shared" si="8"/>
        <v>13</v>
      </c>
      <c r="O11" s="33" t="s">
        <v>37</v>
      </c>
      <c r="P11" s="33" t="s">
        <v>37</v>
      </c>
      <c r="Q11" s="31">
        <f>if(G11=13,1,0)+VLOOKUP(B11,'9923'!B$5:Q$61,16,false)</f>
        <v>0</v>
      </c>
      <c r="R11" s="31"/>
      <c r="S11" s="31">
        <f>if(G11=9,1,0)+VLOOKUP(B11,'9923'!B:S,18,false)</f>
        <v>1</v>
      </c>
    </row>
    <row r="12">
      <c r="A12" s="25">
        <f t="shared" si="3"/>
        <v>8</v>
      </c>
      <c r="B12" s="26" t="s">
        <v>48</v>
      </c>
      <c r="C12" s="27">
        <v>131.0</v>
      </c>
      <c r="D12" s="28">
        <v>13.0</v>
      </c>
      <c r="E12" s="30">
        <v>2.0</v>
      </c>
      <c r="F12" s="31">
        <v>2.0</v>
      </c>
      <c r="G12" s="27">
        <v>0.0</v>
      </c>
      <c r="H12" s="31">
        <v>4.0</v>
      </c>
      <c r="I12" s="31">
        <v>6.0</v>
      </c>
      <c r="J12" s="31">
        <v>6.0</v>
      </c>
      <c r="K12" s="32">
        <v>16.0</v>
      </c>
      <c r="L12" s="31">
        <v>2.0</v>
      </c>
      <c r="M12" s="27">
        <f t="shared" ref="M12:N12" si="9">C12+K12</f>
        <v>147</v>
      </c>
      <c r="N12" s="28">
        <f t="shared" si="9"/>
        <v>15</v>
      </c>
      <c r="O12" s="33" t="s">
        <v>37</v>
      </c>
      <c r="P12" s="33" t="s">
        <v>37</v>
      </c>
      <c r="Q12" s="31">
        <f>if(G12=13,1,0)+VLOOKUP(B12,'9923'!B$5:Q$61,16,false)</f>
        <v>0</v>
      </c>
      <c r="R12" s="31"/>
      <c r="S12" s="31">
        <f>if(G12=9,1,0)+VLOOKUP(B12,'9923'!B:S,18,false)</f>
        <v>3</v>
      </c>
    </row>
    <row r="13">
      <c r="A13" s="25">
        <f t="shared" si="3"/>
        <v>9</v>
      </c>
      <c r="B13" s="26" t="s">
        <v>52</v>
      </c>
      <c r="C13" s="27">
        <v>129.0</v>
      </c>
      <c r="D13" s="28">
        <v>12.0</v>
      </c>
      <c r="E13" s="30">
        <v>1.0</v>
      </c>
      <c r="F13" s="31">
        <v>2.0</v>
      </c>
      <c r="G13" s="27">
        <v>0.0</v>
      </c>
      <c r="H13" s="31">
        <v>6.0</v>
      </c>
      <c r="I13" s="31">
        <v>6.0</v>
      </c>
      <c r="J13" s="31">
        <v>2.0</v>
      </c>
      <c r="K13" s="32">
        <v>14.0</v>
      </c>
      <c r="L13" s="31">
        <v>2.0</v>
      </c>
      <c r="M13" s="27">
        <f t="shared" ref="M13:N13" si="10">C13+K13</f>
        <v>143</v>
      </c>
      <c r="N13" s="28">
        <f t="shared" si="10"/>
        <v>14</v>
      </c>
      <c r="O13" s="33" t="s">
        <v>37</v>
      </c>
      <c r="P13" s="33" t="s">
        <v>37</v>
      </c>
      <c r="Q13" s="31">
        <f>if(G13=13,1,0)+VLOOKUP(B13,'9923'!B$5:Q$61,16,false)</f>
        <v>0</v>
      </c>
      <c r="R13" s="31"/>
      <c r="S13" s="31">
        <f>if(G13=9,1,0)+VLOOKUP(B13,'9923'!B:S,18,false)</f>
        <v>1</v>
      </c>
    </row>
    <row r="14">
      <c r="A14" s="25">
        <f t="shared" si="3"/>
        <v>10</v>
      </c>
      <c r="B14" s="26" t="s">
        <v>50</v>
      </c>
      <c r="C14" s="27">
        <v>126.0</v>
      </c>
      <c r="D14" s="28">
        <v>11.0</v>
      </c>
      <c r="E14" s="30">
        <v>3.0</v>
      </c>
      <c r="F14" s="31">
        <v>0.0</v>
      </c>
      <c r="G14" s="27">
        <v>9.0</v>
      </c>
      <c r="H14" s="31">
        <v>0.0</v>
      </c>
      <c r="I14" s="31">
        <v>0.0</v>
      </c>
      <c r="J14" s="31">
        <v>0.0</v>
      </c>
      <c r="K14" s="32">
        <v>9.0</v>
      </c>
      <c r="L14" s="31">
        <v>0.0</v>
      </c>
      <c r="M14" s="27">
        <f t="shared" ref="M14:N14" si="11">C14+K14</f>
        <v>135</v>
      </c>
      <c r="N14" s="28">
        <f t="shared" si="11"/>
        <v>11</v>
      </c>
      <c r="O14" s="33" t="s">
        <v>37</v>
      </c>
      <c r="P14" s="33" t="s">
        <v>37</v>
      </c>
      <c r="Q14" s="31">
        <f>if(G14=13,1,0)+VLOOKUP(B14,'9923'!B$5:Q$61,16,false)</f>
        <v>0</v>
      </c>
      <c r="R14" s="31"/>
      <c r="S14" s="31">
        <f>if(G14=9,1,0)+VLOOKUP(B14,'9923'!B:S,18,false)</f>
        <v>5</v>
      </c>
    </row>
    <row r="15">
      <c r="A15" s="25">
        <f t="shared" si="3"/>
        <v>11</v>
      </c>
      <c r="B15" s="26" t="s">
        <v>70</v>
      </c>
      <c r="C15" s="27">
        <v>125.0</v>
      </c>
      <c r="D15" s="28">
        <v>13.0</v>
      </c>
      <c r="E15" s="30">
        <v>2.0</v>
      </c>
      <c r="F15" s="31">
        <v>2.0</v>
      </c>
      <c r="G15" s="27">
        <v>0.0</v>
      </c>
      <c r="H15" s="31">
        <v>6.0</v>
      </c>
      <c r="I15" s="31">
        <v>0.0</v>
      </c>
      <c r="J15" s="31">
        <v>6.0</v>
      </c>
      <c r="K15" s="32">
        <v>12.0</v>
      </c>
      <c r="L15" s="31">
        <v>2.0</v>
      </c>
      <c r="M15" s="27">
        <f t="shared" ref="M15:N15" si="12">C15+K15</f>
        <v>137</v>
      </c>
      <c r="N15" s="28">
        <f t="shared" si="12"/>
        <v>15</v>
      </c>
      <c r="O15" s="33" t="s">
        <v>37</v>
      </c>
      <c r="P15" s="33" t="s">
        <v>37</v>
      </c>
      <c r="Q15" s="31">
        <f>if(G15=13,1,0)+VLOOKUP(B15,'9923'!B$5:Q$61,16,false)</f>
        <v>0</v>
      </c>
      <c r="R15" s="31"/>
      <c r="S15" s="31">
        <f>if(G15=9,1,0)+VLOOKUP(B15,'9923'!B:S,18,false)</f>
        <v>2</v>
      </c>
    </row>
    <row r="16">
      <c r="A16" s="25">
        <f t="shared" si="3"/>
        <v>12</v>
      </c>
      <c r="B16" s="26" t="s">
        <v>75</v>
      </c>
      <c r="C16" s="27">
        <v>124.0</v>
      </c>
      <c r="D16" s="28">
        <v>10.0</v>
      </c>
      <c r="E16" s="30">
        <v>2.0</v>
      </c>
      <c r="F16" s="31">
        <v>2.0</v>
      </c>
      <c r="G16" s="27">
        <v>0.0</v>
      </c>
      <c r="H16" s="31">
        <v>4.0</v>
      </c>
      <c r="I16" s="31">
        <v>0.0</v>
      </c>
      <c r="J16" s="31">
        <v>2.0</v>
      </c>
      <c r="K16" s="32">
        <v>6.0</v>
      </c>
      <c r="L16" s="31">
        <v>0.0</v>
      </c>
      <c r="M16" s="27">
        <f t="shared" ref="M16:N16" si="13">C16+K16</f>
        <v>130</v>
      </c>
      <c r="N16" s="28">
        <f t="shared" si="13"/>
        <v>10</v>
      </c>
      <c r="O16" s="33" t="s">
        <v>37</v>
      </c>
      <c r="P16" s="33" t="s">
        <v>37</v>
      </c>
      <c r="Q16" s="31">
        <f>if(G16=13,1,0)+VLOOKUP(B16,'9923'!B$5:Q$61,16,false)</f>
        <v>0</v>
      </c>
      <c r="R16" s="31"/>
      <c r="S16" s="31">
        <f>if(G16=9,1,0)+VLOOKUP(B16,'9923'!B:S,18,false)</f>
        <v>2</v>
      </c>
    </row>
    <row r="17">
      <c r="A17" s="25">
        <f t="shared" si="3"/>
        <v>13</v>
      </c>
      <c r="B17" s="26" t="s">
        <v>60</v>
      </c>
      <c r="C17" s="27">
        <v>123.0</v>
      </c>
      <c r="D17" s="28">
        <v>11.0</v>
      </c>
      <c r="E17" s="30">
        <v>1.0</v>
      </c>
      <c r="F17" s="31">
        <v>3.0</v>
      </c>
      <c r="G17" s="27">
        <v>0.0</v>
      </c>
      <c r="H17" s="31">
        <v>5.0</v>
      </c>
      <c r="I17" s="31">
        <v>6.0</v>
      </c>
      <c r="J17" s="31">
        <v>7.0</v>
      </c>
      <c r="K17" s="32">
        <v>18.0</v>
      </c>
      <c r="L17" s="31">
        <v>2.0</v>
      </c>
      <c r="M17" s="27">
        <f t="shared" ref="M17:N17" si="14">C17+K17</f>
        <v>141</v>
      </c>
      <c r="N17" s="28">
        <f t="shared" si="14"/>
        <v>13</v>
      </c>
      <c r="O17" s="33" t="s">
        <v>37</v>
      </c>
      <c r="P17" s="33" t="s">
        <v>37</v>
      </c>
      <c r="Q17" s="31">
        <f>if(G17=13,1,0)+VLOOKUP(B17,'9923'!B$5:Q$61,16,false)</f>
        <v>0</v>
      </c>
      <c r="R17" s="31"/>
      <c r="S17" s="31">
        <f>if(G17=9,1,0)+VLOOKUP(B17,'9923'!B:S,18,false)</f>
        <v>3</v>
      </c>
    </row>
    <row r="18">
      <c r="A18" s="25">
        <f t="shared" si="3"/>
        <v>14</v>
      </c>
      <c r="B18" s="26" t="s">
        <v>80</v>
      </c>
      <c r="C18" s="27">
        <v>123.0</v>
      </c>
      <c r="D18" s="28">
        <v>10.0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132</v>
      </c>
      <c r="N18" s="28">
        <f t="shared" si="15"/>
        <v>10</v>
      </c>
      <c r="O18" s="33" t="s">
        <v>37</v>
      </c>
      <c r="P18" s="33" t="s">
        <v>37</v>
      </c>
      <c r="Q18" s="31">
        <f>if(G18=13,1,0)+VLOOKUP(B18,'9923'!B$5:Q$61,16,false)</f>
        <v>0</v>
      </c>
      <c r="R18" s="31"/>
      <c r="S18" s="31">
        <f>if(G18=9,1,0)+VLOOKUP(B18,'9923'!B:S,18,false)</f>
        <v>7</v>
      </c>
    </row>
    <row r="19">
      <c r="A19" s="25">
        <f t="shared" si="3"/>
        <v>15</v>
      </c>
      <c r="B19" s="36" t="s">
        <v>59</v>
      </c>
      <c r="C19" s="27">
        <v>123.0</v>
      </c>
      <c r="D19" s="28">
        <v>9.0</v>
      </c>
      <c r="E19" s="30">
        <v>1.0</v>
      </c>
      <c r="F19" s="31">
        <v>3.0</v>
      </c>
      <c r="G19" s="27">
        <v>0.0</v>
      </c>
      <c r="H19" s="31">
        <v>5.0</v>
      </c>
      <c r="I19" s="31">
        <v>2.0</v>
      </c>
      <c r="J19" s="31">
        <v>5.0</v>
      </c>
      <c r="K19" s="32">
        <v>12.0</v>
      </c>
      <c r="L19" s="31">
        <v>0.0</v>
      </c>
      <c r="M19" s="27">
        <f t="shared" ref="M19:N19" si="16">C19+K19</f>
        <v>135</v>
      </c>
      <c r="N19" s="28">
        <f t="shared" si="16"/>
        <v>9</v>
      </c>
      <c r="O19" s="33" t="s">
        <v>37</v>
      </c>
      <c r="P19" s="33" t="s">
        <v>37</v>
      </c>
      <c r="Q19" s="31">
        <f>if(G19=13,1,0)+VLOOKUP(B19,'9923'!B$5:Q$61,16,false)</f>
        <v>0</v>
      </c>
      <c r="R19" s="31"/>
      <c r="S19" s="31">
        <f>if(G19=9,1,0)+VLOOKUP(B19,'9923'!B:S,18,false)</f>
        <v>2</v>
      </c>
    </row>
    <row r="20">
      <c r="A20" s="25">
        <f t="shared" si="3"/>
        <v>16</v>
      </c>
      <c r="B20" s="26" t="s">
        <v>57</v>
      </c>
      <c r="C20" s="27">
        <v>122.0</v>
      </c>
      <c r="D20" s="28">
        <v>12.0</v>
      </c>
      <c r="E20" s="30">
        <v>1.0</v>
      </c>
      <c r="F20" s="31">
        <v>3.0</v>
      </c>
      <c r="G20" s="27">
        <v>0.0</v>
      </c>
      <c r="H20" s="31">
        <v>7.0</v>
      </c>
      <c r="I20" s="31">
        <v>2.0</v>
      </c>
      <c r="J20" s="31">
        <v>7.0</v>
      </c>
      <c r="K20" s="32">
        <v>16.0</v>
      </c>
      <c r="L20" s="31">
        <v>2.0</v>
      </c>
      <c r="M20" s="27">
        <f t="shared" ref="M20:N20" si="17">C20+K20</f>
        <v>138</v>
      </c>
      <c r="N20" s="28">
        <f t="shared" si="17"/>
        <v>14</v>
      </c>
      <c r="O20" s="33" t="s">
        <v>37</v>
      </c>
      <c r="P20" s="33" t="s">
        <v>37</v>
      </c>
      <c r="Q20" s="31">
        <f>if(G20=13,1,0)+VLOOKUP(B20,'9923'!B$5:Q$61,16,false)</f>
        <v>0</v>
      </c>
      <c r="R20" s="31"/>
      <c r="S20" s="31">
        <f>if(G20=9,1,0)+VLOOKUP(B20,'9923'!B:S,18,false)</f>
        <v>4</v>
      </c>
    </row>
    <row r="21">
      <c r="A21" s="25">
        <f t="shared" si="3"/>
        <v>17</v>
      </c>
      <c r="B21" s="26" t="s">
        <v>53</v>
      </c>
      <c r="C21" s="27">
        <v>122.0</v>
      </c>
      <c r="D21" s="28">
        <v>9.0</v>
      </c>
      <c r="E21" s="30">
        <v>1.0</v>
      </c>
      <c r="F21" s="31">
        <v>3.0</v>
      </c>
      <c r="G21" s="27">
        <v>0.0</v>
      </c>
      <c r="H21" s="31">
        <v>7.0</v>
      </c>
      <c r="I21" s="31">
        <v>6.0</v>
      </c>
      <c r="J21" s="31">
        <v>5.0</v>
      </c>
      <c r="K21" s="32">
        <v>18.0</v>
      </c>
      <c r="L21" s="31">
        <v>2.0</v>
      </c>
      <c r="M21" s="27">
        <f t="shared" ref="M21:N21" si="18">C21+K21</f>
        <v>140</v>
      </c>
      <c r="N21" s="28">
        <f t="shared" si="18"/>
        <v>11</v>
      </c>
      <c r="O21" s="33" t="s">
        <v>37</v>
      </c>
      <c r="P21" s="33" t="s">
        <v>37</v>
      </c>
      <c r="Q21" s="31">
        <f>if(G21=13,1,0)+VLOOKUP(B21,'9923'!B$5:Q$61,16,false)</f>
        <v>0</v>
      </c>
      <c r="R21" s="31"/>
      <c r="S21" s="31">
        <f>if(G21=9,1,0)+VLOOKUP(B21,'9923'!B:S,18,false)</f>
        <v>4</v>
      </c>
    </row>
    <row r="22">
      <c r="A22" s="25">
        <f t="shared" si="3"/>
        <v>18</v>
      </c>
      <c r="B22" s="26" t="s">
        <v>65</v>
      </c>
      <c r="C22" s="27">
        <v>121.0</v>
      </c>
      <c r="D22" s="28">
        <v>8.0</v>
      </c>
      <c r="E22" s="30">
        <v>1.0</v>
      </c>
      <c r="F22" s="31">
        <v>4.0</v>
      </c>
      <c r="G22" s="27">
        <v>0.0</v>
      </c>
      <c r="H22" s="31">
        <v>0.0</v>
      </c>
      <c r="I22" s="31">
        <v>6.0</v>
      </c>
      <c r="J22" s="31">
        <v>5.0</v>
      </c>
      <c r="K22" s="32">
        <v>11.0</v>
      </c>
      <c r="L22" s="31">
        <v>1.0</v>
      </c>
      <c r="M22" s="27">
        <f t="shared" ref="M22:N22" si="19">C22+K22</f>
        <v>132</v>
      </c>
      <c r="N22" s="28">
        <f t="shared" si="19"/>
        <v>9</v>
      </c>
      <c r="O22" s="33" t="s">
        <v>37</v>
      </c>
      <c r="P22" s="33" t="s">
        <v>37</v>
      </c>
      <c r="Q22" s="31">
        <f>if(G22=13,1,0)+VLOOKUP(B22,'9923'!B$5:Q$61,16,false)</f>
        <v>0</v>
      </c>
      <c r="R22" s="31"/>
      <c r="S22" s="31">
        <f>if(G22=9,1,0)+VLOOKUP(B22,'9923'!B:S,18,false)</f>
        <v>5</v>
      </c>
    </row>
    <row r="23">
      <c r="A23" s="25">
        <f t="shared" si="3"/>
        <v>19</v>
      </c>
      <c r="B23" s="26" t="s">
        <v>56</v>
      </c>
      <c r="C23" s="27">
        <v>120.0</v>
      </c>
      <c r="D23" s="28">
        <v>13.0</v>
      </c>
      <c r="E23" s="30">
        <v>1.0</v>
      </c>
      <c r="F23" s="31">
        <v>4.0</v>
      </c>
      <c r="G23" s="27">
        <v>0.0</v>
      </c>
      <c r="H23" s="31">
        <v>6.0</v>
      </c>
      <c r="I23" s="31">
        <v>2.0</v>
      </c>
      <c r="J23" s="31">
        <v>5.0</v>
      </c>
      <c r="K23" s="32">
        <v>13.0</v>
      </c>
      <c r="L23" s="31">
        <v>1.0</v>
      </c>
      <c r="M23" s="27">
        <f t="shared" ref="M23:N23" si="20">C23+K23</f>
        <v>133</v>
      </c>
      <c r="N23" s="28">
        <f t="shared" si="20"/>
        <v>14</v>
      </c>
      <c r="O23" s="33" t="s">
        <v>37</v>
      </c>
      <c r="P23" s="33" t="s">
        <v>37</v>
      </c>
      <c r="Q23" s="31">
        <f>if(G23=13,1,0)+VLOOKUP(B23,'9923'!B$5:Q$61,16,false)</f>
        <v>0</v>
      </c>
      <c r="R23" s="31"/>
      <c r="S23" s="31">
        <f>if(G23=9,1,0)+VLOOKUP(B23,'9923'!B:S,18,false)</f>
        <v>2</v>
      </c>
    </row>
    <row r="24">
      <c r="A24" s="25">
        <f t="shared" si="3"/>
        <v>20</v>
      </c>
      <c r="B24" s="26" t="s">
        <v>68</v>
      </c>
      <c r="C24" s="27">
        <v>119.0</v>
      </c>
      <c r="D24" s="28">
        <v>7.0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128</v>
      </c>
      <c r="N24" s="28">
        <f t="shared" si="21"/>
        <v>7</v>
      </c>
      <c r="O24" s="33" t="s">
        <v>37</v>
      </c>
      <c r="P24" s="33" t="s">
        <v>37</v>
      </c>
      <c r="Q24" s="31">
        <f>if(G24=13,1,0)+VLOOKUP(B24,'9923'!B$5:Q$61,16,false)</f>
        <v>1</v>
      </c>
      <c r="R24" s="31"/>
      <c r="S24" s="31">
        <f>if(G24=9,1,0)+VLOOKUP(B24,'9923'!B:S,18,false)</f>
        <v>7</v>
      </c>
    </row>
    <row r="25">
      <c r="A25" s="25">
        <f t="shared" si="3"/>
        <v>21</v>
      </c>
      <c r="B25" s="36" t="s">
        <v>83</v>
      </c>
      <c r="C25" s="27">
        <v>117.0</v>
      </c>
      <c r="D25" s="28">
        <v>9.0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126</v>
      </c>
      <c r="N25" s="28">
        <f t="shared" si="22"/>
        <v>9</v>
      </c>
      <c r="O25" s="33" t="s">
        <v>37</v>
      </c>
      <c r="P25" s="33" t="s">
        <v>37</v>
      </c>
      <c r="Q25" s="31">
        <f>if(G25=13,1,0)+VLOOKUP(B25,'9923'!B$5:Q$61,16,false)</f>
        <v>0</v>
      </c>
      <c r="R25" s="31"/>
      <c r="S25" s="31">
        <f>if(G25=9,1,0)+VLOOKUP(B25,'9923'!B:S,18,false)</f>
        <v>3</v>
      </c>
    </row>
    <row r="26">
      <c r="A26" s="25">
        <f t="shared" si="3"/>
        <v>22</v>
      </c>
      <c r="B26" s="36" t="s">
        <v>77</v>
      </c>
      <c r="C26" s="27">
        <v>116.0</v>
      </c>
      <c r="D26" s="28">
        <v>8.0</v>
      </c>
      <c r="E26" s="30">
        <v>3.0</v>
      </c>
      <c r="F26" s="31">
        <v>0.0</v>
      </c>
      <c r="G26" s="27">
        <v>9.0</v>
      </c>
      <c r="H26" s="31">
        <v>0.0</v>
      </c>
      <c r="I26" s="31">
        <v>0.0</v>
      </c>
      <c r="J26" s="31">
        <v>0.0</v>
      </c>
      <c r="K26" s="32">
        <v>9.0</v>
      </c>
      <c r="L26" s="31">
        <v>0.0</v>
      </c>
      <c r="M26" s="27">
        <f t="shared" ref="M26:N26" si="23">C26+K26</f>
        <v>125</v>
      </c>
      <c r="N26" s="28">
        <f t="shared" si="23"/>
        <v>8</v>
      </c>
      <c r="O26" s="33" t="s">
        <v>37</v>
      </c>
      <c r="P26" s="33" t="s">
        <v>37</v>
      </c>
      <c r="Q26" s="31">
        <f>if(G26=13,1,0)+VLOOKUP(B26,'9923'!B$5:Q$61,16,false)</f>
        <v>0</v>
      </c>
      <c r="R26" s="31"/>
      <c r="S26" s="31">
        <f>if(G26=9,1,0)+VLOOKUP(B26,'9923'!B:S,18,false)</f>
        <v>7</v>
      </c>
    </row>
    <row r="27">
      <c r="A27" s="25">
        <f t="shared" si="3"/>
        <v>23</v>
      </c>
      <c r="B27" s="26" t="s">
        <v>73</v>
      </c>
      <c r="C27" s="27">
        <v>116.0</v>
      </c>
      <c r="D27" s="28">
        <v>6.0</v>
      </c>
      <c r="E27" s="30">
        <v>3.0</v>
      </c>
      <c r="F27" s="31">
        <v>0.0</v>
      </c>
      <c r="G27" s="27">
        <v>9.0</v>
      </c>
      <c r="H27" s="31">
        <v>0.0</v>
      </c>
      <c r="I27" s="31">
        <v>0.0</v>
      </c>
      <c r="J27" s="31">
        <v>0.0</v>
      </c>
      <c r="K27" s="32">
        <v>9.0</v>
      </c>
      <c r="L27" s="31">
        <v>0.0</v>
      </c>
      <c r="M27" s="27">
        <f t="shared" ref="M27:N27" si="24">C27+K27</f>
        <v>125</v>
      </c>
      <c r="N27" s="28">
        <f t="shared" si="24"/>
        <v>6</v>
      </c>
      <c r="O27" s="33" t="s">
        <v>37</v>
      </c>
      <c r="P27" s="33" t="s">
        <v>37</v>
      </c>
      <c r="Q27" s="31">
        <f>if(G27=13,1,0)+VLOOKUP(B27,'9923'!B$5:Q$61,16,false)</f>
        <v>0</v>
      </c>
      <c r="R27" s="31"/>
      <c r="S27" s="31">
        <f>if(G27=9,1,0)+VLOOKUP(B27,'9923'!B:S,18,false)</f>
        <v>6</v>
      </c>
    </row>
    <row r="28">
      <c r="A28" s="25">
        <f t="shared" si="3"/>
        <v>24</v>
      </c>
      <c r="B28" s="26" t="s">
        <v>66</v>
      </c>
      <c r="C28" s="27">
        <v>116.0</v>
      </c>
      <c r="D28" s="28">
        <v>6.0</v>
      </c>
      <c r="E28" s="30">
        <v>1.0</v>
      </c>
      <c r="F28" s="31">
        <v>4.0</v>
      </c>
      <c r="G28" s="27">
        <v>0.0</v>
      </c>
      <c r="H28" s="31">
        <v>0.0</v>
      </c>
      <c r="I28" s="31">
        <v>2.0</v>
      </c>
      <c r="J28" s="31">
        <v>7.0</v>
      </c>
      <c r="K28" s="32">
        <v>9.0</v>
      </c>
      <c r="L28" s="31">
        <v>1.0</v>
      </c>
      <c r="M28" s="27">
        <f t="shared" ref="M28:N28" si="25">C28+K28</f>
        <v>125</v>
      </c>
      <c r="N28" s="28">
        <f t="shared" si="25"/>
        <v>7</v>
      </c>
      <c r="O28" s="33" t="s">
        <v>37</v>
      </c>
      <c r="P28" s="33" t="s">
        <v>37</v>
      </c>
      <c r="Q28" s="31">
        <f>if(G28=13,1,0)+VLOOKUP(B28,'9923'!B$5:Q$61,16,false)</f>
        <v>1</v>
      </c>
      <c r="R28" s="31"/>
      <c r="S28" s="31">
        <f>if(G28=9,1,0)+VLOOKUP(B28,'9923'!B:S,18,false)</f>
        <v>4</v>
      </c>
    </row>
    <row r="29">
      <c r="A29" s="25">
        <f t="shared" si="3"/>
        <v>25</v>
      </c>
      <c r="B29" s="26" t="s">
        <v>47</v>
      </c>
      <c r="C29" s="27">
        <v>115.0</v>
      </c>
      <c r="D29" s="28">
        <v>7.0</v>
      </c>
      <c r="E29" s="30">
        <v>2.0</v>
      </c>
      <c r="F29" s="31">
        <v>4.0</v>
      </c>
      <c r="G29" s="27">
        <v>0.0</v>
      </c>
      <c r="H29" s="31">
        <v>6.0</v>
      </c>
      <c r="I29" s="31">
        <v>6.0</v>
      </c>
      <c r="J29" s="31">
        <v>7.0</v>
      </c>
      <c r="K29" s="32">
        <v>19.0</v>
      </c>
      <c r="L29" s="31">
        <v>3.0</v>
      </c>
      <c r="M29" s="27">
        <f t="shared" ref="M29:N29" si="26">C29+K29</f>
        <v>134</v>
      </c>
      <c r="N29" s="28">
        <f t="shared" si="26"/>
        <v>10</v>
      </c>
      <c r="O29" s="33" t="s">
        <v>37</v>
      </c>
      <c r="P29" s="33" t="s">
        <v>37</v>
      </c>
      <c r="Q29" s="31">
        <f>if(G29=13,1,0)+VLOOKUP(B29,'9923'!B$5:Q$61,16,false)</f>
        <v>0</v>
      </c>
      <c r="R29" s="31"/>
      <c r="S29" s="31">
        <f>if(G29=9,1,0)+VLOOKUP(B29,'9923'!B:S,18,false)</f>
        <v>6</v>
      </c>
    </row>
    <row r="30">
      <c r="A30" s="25">
        <f t="shared" si="3"/>
        <v>26</v>
      </c>
      <c r="B30" s="26" t="s">
        <v>64</v>
      </c>
      <c r="C30" s="27">
        <v>115.0</v>
      </c>
      <c r="D30" s="28">
        <v>7.0</v>
      </c>
      <c r="E30" s="30">
        <v>3.0</v>
      </c>
      <c r="F30" s="31">
        <v>0.0</v>
      </c>
      <c r="G30" s="27">
        <v>9.0</v>
      </c>
      <c r="H30" s="31">
        <v>0.0</v>
      </c>
      <c r="I30" s="31">
        <v>0.0</v>
      </c>
      <c r="J30" s="31">
        <v>0.0</v>
      </c>
      <c r="K30" s="32">
        <v>9.0</v>
      </c>
      <c r="L30" s="31">
        <v>0.0</v>
      </c>
      <c r="M30" s="27">
        <f t="shared" ref="M30:N30" si="27">C30+K30</f>
        <v>124</v>
      </c>
      <c r="N30" s="28">
        <f t="shared" si="27"/>
        <v>7</v>
      </c>
      <c r="O30" s="33" t="s">
        <v>37</v>
      </c>
      <c r="P30" s="33" t="s">
        <v>37</v>
      </c>
      <c r="Q30" s="31">
        <f>if(G30=13,1,0)+VLOOKUP(B30,'9923'!B$5:Q$61,16,false)</f>
        <v>0</v>
      </c>
      <c r="R30" s="31"/>
      <c r="S30" s="31">
        <f>if(G30=9,1,0)+VLOOKUP(B30,'9923'!B:S,18,false)</f>
        <v>8</v>
      </c>
    </row>
    <row r="31">
      <c r="A31" s="25">
        <f t="shared" si="3"/>
        <v>27</v>
      </c>
      <c r="B31" s="26" t="s">
        <v>58</v>
      </c>
      <c r="C31" s="27">
        <v>115.0</v>
      </c>
      <c r="D31" s="28">
        <v>7.0</v>
      </c>
      <c r="E31" s="30">
        <v>1.0</v>
      </c>
      <c r="F31" s="31">
        <v>5.0</v>
      </c>
      <c r="G31" s="27">
        <v>0.0</v>
      </c>
      <c r="H31" s="31">
        <v>3.0</v>
      </c>
      <c r="I31" s="31">
        <v>4.0</v>
      </c>
      <c r="J31" s="31">
        <v>6.0</v>
      </c>
      <c r="K31" s="32">
        <v>13.0</v>
      </c>
      <c r="L31" s="31">
        <v>1.0</v>
      </c>
      <c r="M31" s="27">
        <f t="shared" ref="M31:N31" si="28">C31+K31</f>
        <v>128</v>
      </c>
      <c r="N31" s="28">
        <f t="shared" si="28"/>
        <v>8</v>
      </c>
      <c r="O31" s="33" t="s">
        <v>37</v>
      </c>
      <c r="P31" s="33" t="s">
        <v>37</v>
      </c>
      <c r="Q31" s="31">
        <f>if(G31=13,1,0)+VLOOKUP(B31,'9923'!B$5:Q$61,16,false)</f>
        <v>0</v>
      </c>
      <c r="R31" s="31"/>
      <c r="S31" s="31">
        <f>if(G31=9,1,0)+VLOOKUP(B31,'9923'!B:S,18,false)</f>
        <v>4</v>
      </c>
    </row>
    <row r="32">
      <c r="A32" s="25">
        <f t="shared" si="3"/>
        <v>28</v>
      </c>
      <c r="B32" s="26" t="s">
        <v>51</v>
      </c>
      <c r="C32" s="27">
        <v>113.0</v>
      </c>
      <c r="D32" s="28">
        <v>7.0</v>
      </c>
      <c r="E32" s="30">
        <v>5.0</v>
      </c>
      <c r="F32" s="31">
        <v>0.0</v>
      </c>
      <c r="G32" s="27">
        <v>13.0</v>
      </c>
      <c r="H32" s="31">
        <v>0.0</v>
      </c>
      <c r="I32" s="31">
        <v>0.0</v>
      </c>
      <c r="J32" s="31">
        <v>0.0</v>
      </c>
      <c r="K32" s="32">
        <v>13.0</v>
      </c>
      <c r="L32" s="31">
        <v>0.0</v>
      </c>
      <c r="M32" s="27">
        <f t="shared" ref="M32:N32" si="29">C32+K32</f>
        <v>126</v>
      </c>
      <c r="N32" s="28">
        <f t="shared" si="29"/>
        <v>7</v>
      </c>
      <c r="O32" s="33" t="s">
        <v>37</v>
      </c>
      <c r="P32" s="33" t="s">
        <v>37</v>
      </c>
      <c r="Q32" s="31">
        <f>if(G32=13,1,0)+VLOOKUP(B32,'9923'!B$5:Q$61,16,false)</f>
        <v>1</v>
      </c>
      <c r="R32" s="31"/>
      <c r="S32" s="31">
        <f>if(G32=9,1,0)+VLOOKUP(B32,'9923'!B:S,18,false)</f>
        <v>6</v>
      </c>
    </row>
    <row r="33">
      <c r="A33" s="25">
        <f t="shared" si="3"/>
        <v>29</v>
      </c>
      <c r="B33" s="36" t="s">
        <v>88</v>
      </c>
      <c r="C33" s="27">
        <v>112.0</v>
      </c>
      <c r="D33" s="28">
        <v>8.0</v>
      </c>
      <c r="E33" s="30">
        <v>3.0</v>
      </c>
      <c r="F33" s="31">
        <v>0.0</v>
      </c>
      <c r="G33" s="27">
        <v>9.0</v>
      </c>
      <c r="H33" s="31">
        <v>0.0</v>
      </c>
      <c r="I33" s="31">
        <v>0.0</v>
      </c>
      <c r="J33" s="31">
        <v>0.0</v>
      </c>
      <c r="K33" s="32">
        <v>9.0</v>
      </c>
      <c r="L33" s="31">
        <v>0.0</v>
      </c>
      <c r="M33" s="27">
        <f t="shared" ref="M33:N33" si="30">C33+K33</f>
        <v>121</v>
      </c>
      <c r="N33" s="28">
        <f t="shared" si="30"/>
        <v>8</v>
      </c>
      <c r="O33" s="33" t="s">
        <v>37</v>
      </c>
      <c r="P33" s="33" t="s">
        <v>37</v>
      </c>
      <c r="Q33" s="31">
        <f>if(G33=13,1,0)+VLOOKUP(B33,'9923'!B$5:Q$61,16,false)</f>
        <v>0</v>
      </c>
      <c r="R33" s="31"/>
      <c r="S33" s="31">
        <f>if(G33=9,1,0)+VLOOKUP(B33,'9923'!B:S,18,false)</f>
        <v>5</v>
      </c>
    </row>
    <row r="34">
      <c r="A34" s="25">
        <f t="shared" si="3"/>
        <v>30</v>
      </c>
      <c r="B34" s="26" t="s">
        <v>74</v>
      </c>
      <c r="C34" s="27">
        <v>112.0</v>
      </c>
      <c r="D34" s="28">
        <v>7.0</v>
      </c>
      <c r="E34" s="30">
        <v>1.0</v>
      </c>
      <c r="F34" s="31">
        <v>5.0</v>
      </c>
      <c r="G34" s="27">
        <v>0.0</v>
      </c>
      <c r="H34" s="31">
        <v>6.0</v>
      </c>
      <c r="I34" s="31">
        <v>4.0</v>
      </c>
      <c r="J34" s="31">
        <v>2.0</v>
      </c>
      <c r="K34" s="32">
        <v>12.0</v>
      </c>
      <c r="L34" s="31">
        <v>1.0</v>
      </c>
      <c r="M34" s="27">
        <f t="shared" ref="M34:N34" si="31">C34+K34</f>
        <v>124</v>
      </c>
      <c r="N34" s="28">
        <f t="shared" si="31"/>
        <v>8</v>
      </c>
      <c r="O34" s="33" t="s">
        <v>37</v>
      </c>
      <c r="P34" s="33" t="s">
        <v>37</v>
      </c>
      <c r="Q34" s="31">
        <f>if(G34=13,1,0)+VLOOKUP(B34,'9923'!B$5:Q$61,16,false)</f>
        <v>0</v>
      </c>
      <c r="R34" s="31"/>
      <c r="S34" s="31">
        <f>if(G34=9,1,0)+VLOOKUP(B34,'9923'!B:S,18,false)</f>
        <v>3</v>
      </c>
    </row>
    <row r="35">
      <c r="A35" s="25">
        <f t="shared" si="3"/>
        <v>31</v>
      </c>
      <c r="B35" s="36" t="s">
        <v>62</v>
      </c>
      <c r="C35" s="27">
        <v>112.0</v>
      </c>
      <c r="D35" s="28">
        <v>7.0</v>
      </c>
      <c r="E35" s="30">
        <v>3.0</v>
      </c>
      <c r="F35" s="31">
        <v>0.0</v>
      </c>
      <c r="G35" s="27">
        <v>9.0</v>
      </c>
      <c r="H35" s="31">
        <v>0.0</v>
      </c>
      <c r="I35" s="31">
        <v>0.0</v>
      </c>
      <c r="J35" s="31">
        <v>0.0</v>
      </c>
      <c r="K35" s="32">
        <v>9.0</v>
      </c>
      <c r="L35" s="31">
        <v>0.0</v>
      </c>
      <c r="M35" s="27">
        <f t="shared" ref="M35:N35" si="32">C35+K35</f>
        <v>121</v>
      </c>
      <c r="N35" s="28">
        <f t="shared" si="32"/>
        <v>7</v>
      </c>
      <c r="O35" s="33" t="s">
        <v>37</v>
      </c>
      <c r="P35" s="33" t="s">
        <v>37</v>
      </c>
      <c r="Q35" s="31">
        <f>if(G35=13,1,0)+VLOOKUP(B35,'9923'!B$5:Q$61,16,false)</f>
        <v>0</v>
      </c>
      <c r="R35" s="31"/>
      <c r="S35" s="31">
        <f>if(G35=9,1,0)+VLOOKUP(B35,'9923'!B:S,18,false)</f>
        <v>3</v>
      </c>
    </row>
    <row r="36">
      <c r="A36" s="25">
        <f t="shared" si="3"/>
        <v>32</v>
      </c>
      <c r="B36" s="26" t="s">
        <v>78</v>
      </c>
      <c r="C36" s="27">
        <v>111.0</v>
      </c>
      <c r="D36" s="28">
        <v>10.0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120</v>
      </c>
      <c r="N36" s="28">
        <f t="shared" si="33"/>
        <v>10</v>
      </c>
      <c r="O36" s="33" t="s">
        <v>37</v>
      </c>
      <c r="P36" s="33" t="s">
        <v>37</v>
      </c>
      <c r="Q36" s="31">
        <f>if(G36=13,1,0)+VLOOKUP(B36,'9923'!B$5:Q$61,16,false)</f>
        <v>0</v>
      </c>
      <c r="R36" s="31"/>
      <c r="S36" s="31">
        <f>if(G36=9,1,0)+VLOOKUP(B36,'9923'!B:S,18,false)</f>
        <v>4</v>
      </c>
    </row>
    <row r="37">
      <c r="A37" s="25">
        <f t="shared" si="3"/>
        <v>33</v>
      </c>
      <c r="B37" s="26" t="s">
        <v>87</v>
      </c>
      <c r="C37" s="27">
        <v>111.0</v>
      </c>
      <c r="D37" s="28">
        <v>6.0</v>
      </c>
      <c r="E37" s="30">
        <v>1.0</v>
      </c>
      <c r="F37" s="31">
        <v>5.0</v>
      </c>
      <c r="G37" s="27">
        <v>0.0</v>
      </c>
      <c r="H37" s="31">
        <v>3.0</v>
      </c>
      <c r="I37" s="31">
        <v>6.0</v>
      </c>
      <c r="J37" s="31">
        <v>2.0</v>
      </c>
      <c r="K37" s="32">
        <v>11.0</v>
      </c>
      <c r="L37" s="31">
        <v>1.0</v>
      </c>
      <c r="M37" s="27">
        <f t="shared" ref="M37:N37" si="34">C37+K37</f>
        <v>122</v>
      </c>
      <c r="N37" s="28">
        <f t="shared" si="34"/>
        <v>7</v>
      </c>
      <c r="O37" s="33" t="s">
        <v>37</v>
      </c>
      <c r="P37" s="33" t="s">
        <v>37</v>
      </c>
      <c r="Q37" s="31">
        <f>if(G37=13,1,0)+VLOOKUP(B37,'9923'!B$5:Q$61,16,false)</f>
        <v>1</v>
      </c>
      <c r="R37" s="31"/>
      <c r="S37" s="31">
        <f>if(G37=9,1,0)+VLOOKUP(B37,'9923'!B:S,18,false)</f>
        <v>3</v>
      </c>
    </row>
    <row r="38">
      <c r="A38" s="25">
        <f t="shared" si="3"/>
        <v>34</v>
      </c>
      <c r="B38" s="36" t="s">
        <v>81</v>
      </c>
      <c r="C38" s="27">
        <v>110.0</v>
      </c>
      <c r="D38" s="28">
        <v>5.0</v>
      </c>
      <c r="E38" s="30">
        <v>3.0</v>
      </c>
      <c r="F38" s="31">
        <v>0.0</v>
      </c>
      <c r="G38" s="27">
        <v>9.0</v>
      </c>
      <c r="H38" s="31">
        <v>0.0</v>
      </c>
      <c r="I38" s="31">
        <v>0.0</v>
      </c>
      <c r="J38" s="31">
        <v>0.0</v>
      </c>
      <c r="K38" s="32">
        <v>9.0</v>
      </c>
      <c r="L38" s="31">
        <v>0.0</v>
      </c>
      <c r="M38" s="27">
        <f t="shared" ref="M38:N38" si="35">C38+K38</f>
        <v>119</v>
      </c>
      <c r="N38" s="28">
        <f t="shared" si="35"/>
        <v>5</v>
      </c>
      <c r="O38" s="33" t="s">
        <v>37</v>
      </c>
      <c r="P38" s="33" t="s">
        <v>37</v>
      </c>
      <c r="Q38" s="31">
        <f>if(G38=13,1,0)+VLOOKUP(B38,'9923'!B$5:Q$61,16,false)</f>
        <v>0</v>
      </c>
      <c r="R38" s="31"/>
      <c r="S38" s="31">
        <f>if(G38=9,1,0)+VLOOKUP(B38,'9923'!B:S,18,false)</f>
        <v>3</v>
      </c>
    </row>
    <row r="39">
      <c r="A39" s="25">
        <f t="shared" si="3"/>
        <v>35</v>
      </c>
      <c r="B39" s="26" t="s">
        <v>55</v>
      </c>
      <c r="C39" s="27">
        <v>108.0</v>
      </c>
      <c r="D39" s="28">
        <v>7.0</v>
      </c>
      <c r="E39" s="30">
        <v>1.0</v>
      </c>
      <c r="F39" s="31">
        <v>5.0</v>
      </c>
      <c r="G39" s="27">
        <v>0.0</v>
      </c>
      <c r="H39" s="31">
        <v>6.0</v>
      </c>
      <c r="I39" s="31">
        <v>6.0</v>
      </c>
      <c r="J39" s="31">
        <v>6.0</v>
      </c>
      <c r="K39" s="32">
        <v>18.0</v>
      </c>
      <c r="L39" s="31">
        <v>3.0</v>
      </c>
      <c r="M39" s="27">
        <f t="shared" ref="M39:N39" si="36">C39+K39</f>
        <v>126</v>
      </c>
      <c r="N39" s="28">
        <f t="shared" si="36"/>
        <v>10</v>
      </c>
      <c r="O39" s="33" t="s">
        <v>37</v>
      </c>
      <c r="P39" s="33" t="s">
        <v>37</v>
      </c>
      <c r="Q39" s="31">
        <f>if(G39=13,1,0)+VLOOKUP(B39,'9923'!B$5:Q$61,16,false)</f>
        <v>0</v>
      </c>
      <c r="R39" s="31"/>
      <c r="S39" s="31">
        <f>if(G39=9,1,0)+VLOOKUP(B39,'9923'!B:S,18,false)</f>
        <v>6</v>
      </c>
    </row>
    <row r="40">
      <c r="A40" s="25">
        <f t="shared" si="3"/>
        <v>36</v>
      </c>
      <c r="B40" s="26" t="s">
        <v>89</v>
      </c>
      <c r="C40" s="27">
        <v>108.0</v>
      </c>
      <c r="D40" s="28">
        <v>6.0</v>
      </c>
      <c r="E40" s="30">
        <v>1.0</v>
      </c>
      <c r="F40" s="31">
        <v>6.0</v>
      </c>
      <c r="G40" s="27">
        <v>0.0</v>
      </c>
      <c r="H40" s="31">
        <v>2.0</v>
      </c>
      <c r="I40" s="31">
        <v>3.0</v>
      </c>
      <c r="J40" s="31">
        <v>6.0</v>
      </c>
      <c r="K40" s="32">
        <v>11.0</v>
      </c>
      <c r="L40" s="31">
        <v>1.0</v>
      </c>
      <c r="M40" s="27">
        <f t="shared" ref="M40:N40" si="37">C40+K40</f>
        <v>119</v>
      </c>
      <c r="N40" s="28">
        <f t="shared" si="37"/>
        <v>7</v>
      </c>
      <c r="O40" s="33" t="s">
        <v>37</v>
      </c>
      <c r="P40" s="33" t="s">
        <v>37</v>
      </c>
      <c r="Q40" s="31">
        <f>if(G40=13,1,0)+VLOOKUP(B40,'9923'!B$5:Q$61,16,false)</f>
        <v>2</v>
      </c>
      <c r="R40" s="31"/>
      <c r="S40" s="31">
        <f>if(G40=9,1,0)+VLOOKUP(B40,'9923'!B:S,18,false)</f>
        <v>1</v>
      </c>
    </row>
    <row r="41">
      <c r="A41" s="25">
        <f t="shared" si="3"/>
        <v>37</v>
      </c>
      <c r="B41" s="26" t="s">
        <v>79</v>
      </c>
      <c r="C41" s="27">
        <v>107.0</v>
      </c>
      <c r="D41" s="28">
        <v>9.0</v>
      </c>
      <c r="E41" s="30">
        <v>2.0</v>
      </c>
      <c r="F41" s="31">
        <v>6.0</v>
      </c>
      <c r="G41" s="27">
        <v>0.0</v>
      </c>
      <c r="H41" s="31">
        <v>6.0</v>
      </c>
      <c r="I41" s="31">
        <v>6.0</v>
      </c>
      <c r="J41" s="31">
        <v>6.0</v>
      </c>
      <c r="K41" s="32">
        <v>18.0</v>
      </c>
      <c r="L41" s="31">
        <v>3.0</v>
      </c>
      <c r="M41" s="27">
        <f t="shared" ref="M41:N41" si="38">C41+K41</f>
        <v>125</v>
      </c>
      <c r="N41" s="28">
        <f t="shared" si="38"/>
        <v>12</v>
      </c>
      <c r="O41" s="33" t="s">
        <v>37</v>
      </c>
      <c r="P41" s="33" t="s">
        <v>37</v>
      </c>
      <c r="Q41" s="31">
        <f>if(G41=13,1,0)+VLOOKUP(B41,'9923'!B$5:Q$61,16,false)</f>
        <v>0</v>
      </c>
      <c r="R41" s="31"/>
      <c r="S41" s="31">
        <f>if(G41=9,1,0)+VLOOKUP(B41,'9923'!B:S,18,false)</f>
        <v>1</v>
      </c>
    </row>
    <row r="42">
      <c r="A42" s="25">
        <f t="shared" si="3"/>
        <v>38</v>
      </c>
      <c r="B42" s="26" t="s">
        <v>86</v>
      </c>
      <c r="C42" s="27">
        <v>107.0</v>
      </c>
      <c r="D42" s="28">
        <v>7.0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116</v>
      </c>
      <c r="N42" s="28">
        <f t="shared" si="39"/>
        <v>7</v>
      </c>
      <c r="O42" s="33" t="s">
        <v>37</v>
      </c>
      <c r="P42" s="33" t="s">
        <v>37</v>
      </c>
      <c r="Q42" s="31">
        <f>if(G42=13,1,0)+VLOOKUP(B42,'9923'!B$5:Q$61,16,false)</f>
        <v>0</v>
      </c>
      <c r="R42" s="31"/>
      <c r="S42" s="31">
        <f>if(G42=9,1,0)+VLOOKUP(B42,'9923'!B:S,18,false)</f>
        <v>5</v>
      </c>
    </row>
    <row r="43">
      <c r="A43" s="25">
        <f t="shared" si="3"/>
        <v>39</v>
      </c>
      <c r="B43" s="26" t="s">
        <v>90</v>
      </c>
      <c r="C43" s="27">
        <v>101.0</v>
      </c>
      <c r="D43" s="28">
        <v>6.0</v>
      </c>
      <c r="E43" s="30">
        <v>1.0</v>
      </c>
      <c r="F43" s="31">
        <v>6.0</v>
      </c>
      <c r="G43" s="27">
        <v>0.0</v>
      </c>
      <c r="H43" s="31">
        <v>2.0</v>
      </c>
      <c r="I43" s="31">
        <v>6.0</v>
      </c>
      <c r="J43" s="31">
        <v>1.0</v>
      </c>
      <c r="K43" s="32">
        <v>9.0</v>
      </c>
      <c r="L43" s="31">
        <v>1.0</v>
      </c>
      <c r="M43" s="27">
        <f t="shared" ref="M43:N43" si="40">C43+K43</f>
        <v>110</v>
      </c>
      <c r="N43" s="28">
        <f t="shared" si="40"/>
        <v>7</v>
      </c>
      <c r="O43" s="33" t="s">
        <v>37</v>
      </c>
      <c r="P43" s="33" t="s">
        <v>37</v>
      </c>
      <c r="Q43" s="31">
        <f>if(G43=13,1,0)+VLOOKUP(B43,'9923'!B$5:Q$61,16,false)</f>
        <v>0</v>
      </c>
      <c r="R43" s="31"/>
      <c r="S43" s="31">
        <f>if(G43=9,1,0)+VLOOKUP(B43,'9923'!B:S,18,false)</f>
        <v>5</v>
      </c>
    </row>
    <row r="44">
      <c r="A44" s="25">
        <f t="shared" si="3"/>
        <v>40</v>
      </c>
      <c r="B44" s="26" t="s">
        <v>71</v>
      </c>
      <c r="C44" s="27">
        <v>101.0</v>
      </c>
      <c r="D44" s="28">
        <v>5.0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110</v>
      </c>
      <c r="N44" s="28">
        <f t="shared" si="41"/>
        <v>5</v>
      </c>
      <c r="O44" s="33" t="s">
        <v>37</v>
      </c>
      <c r="P44" s="33" t="s">
        <v>37</v>
      </c>
      <c r="Q44" s="31">
        <f>if(G44=13,1,0)+VLOOKUP(B44,'9923'!B$5:Q$61,16,false)</f>
        <v>0</v>
      </c>
      <c r="R44" s="31"/>
      <c r="S44" s="31">
        <f>if(G44=9,1,0)+VLOOKUP(B44,'9923'!B:S,18,false)</f>
        <v>8</v>
      </c>
    </row>
    <row r="45">
      <c r="A45" s="25">
        <f t="shared" si="3"/>
        <v>41</v>
      </c>
      <c r="B45" s="36" t="s">
        <v>94</v>
      </c>
      <c r="C45" s="27">
        <v>101.0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110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if(G45=13,1,0)+VLOOKUP(B45,'9923'!B$5:Q$61,16,false)</f>
        <v>0</v>
      </c>
      <c r="R45" s="31"/>
      <c r="S45" s="31">
        <f>if(G45=9,1,0)+VLOOKUP(B45,'9923'!B:S,18,false)</f>
        <v>7</v>
      </c>
    </row>
    <row r="46">
      <c r="A46" s="25">
        <f t="shared" si="3"/>
        <v>42</v>
      </c>
      <c r="B46" s="26" t="s">
        <v>91</v>
      </c>
      <c r="C46" s="27">
        <v>101.0</v>
      </c>
      <c r="D46" s="28">
        <v>1.0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110</v>
      </c>
      <c r="N46" s="28">
        <f t="shared" si="43"/>
        <v>1</v>
      </c>
      <c r="O46" s="33" t="s">
        <v>37</v>
      </c>
      <c r="P46" s="33" t="s">
        <v>37</v>
      </c>
      <c r="Q46" s="31">
        <f>if(G46=13,1,0)+VLOOKUP(B46,'9923'!B$5:Q$61,16,false)</f>
        <v>1</v>
      </c>
      <c r="R46" s="31"/>
      <c r="S46" s="31">
        <f>if(G46=9,1,0)+VLOOKUP(B46,'9923'!B:S,18,false)</f>
        <v>9</v>
      </c>
    </row>
    <row r="47">
      <c r="A47" s="25">
        <f t="shared" si="3"/>
        <v>43</v>
      </c>
      <c r="B47" s="36" t="s">
        <v>93</v>
      </c>
      <c r="C47" s="27">
        <v>100.0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109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if(G47=13,1,0)+VLOOKUP(B47,'9923'!B$5:Q$61,16,false)</f>
        <v>0</v>
      </c>
      <c r="R47" s="31"/>
      <c r="S47" s="31">
        <f>if(G47=9,1,0)+VLOOKUP(B47,'9923'!B:S,18,false)</f>
        <v>10</v>
      </c>
    </row>
    <row r="48">
      <c r="A48" s="25">
        <f t="shared" si="3"/>
        <v>44</v>
      </c>
      <c r="B48" s="36" t="s">
        <v>98</v>
      </c>
      <c r="C48" s="27">
        <v>99.0</v>
      </c>
      <c r="D48" s="28">
        <v>3.0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108</v>
      </c>
      <c r="N48" s="28">
        <f t="shared" si="45"/>
        <v>3</v>
      </c>
      <c r="O48" s="33" t="s">
        <v>37</v>
      </c>
      <c r="P48" s="33" t="s">
        <v>37</v>
      </c>
      <c r="Q48" s="31">
        <f>if(G48=13,1,0)+VLOOKUP(B48,'9923'!B$5:Q$61,16,false)</f>
        <v>0</v>
      </c>
      <c r="R48" s="31"/>
      <c r="S48" s="31">
        <f>if(G48=9,1,0)+VLOOKUP(B48,'9923'!B:S,18,false)</f>
        <v>6</v>
      </c>
    </row>
    <row r="49">
      <c r="A49" s="25">
        <f t="shared" si="3"/>
        <v>45</v>
      </c>
      <c r="B49" s="36" t="s">
        <v>99</v>
      </c>
      <c r="C49" s="27">
        <v>99.0</v>
      </c>
      <c r="D49" s="28">
        <v>3.0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108</v>
      </c>
      <c r="N49" s="28">
        <f t="shared" si="46"/>
        <v>3</v>
      </c>
      <c r="O49" s="33" t="s">
        <v>37</v>
      </c>
      <c r="P49" s="33" t="s">
        <v>37</v>
      </c>
      <c r="Q49" s="31">
        <f>if(G49=13,1,0)+VLOOKUP(B49,'9923'!B$5:Q$61,16,false)</f>
        <v>0</v>
      </c>
      <c r="R49" s="31"/>
      <c r="S49" s="31">
        <f>if(G49=9,1,0)+VLOOKUP(B49,'9923'!B:S,18,false)</f>
        <v>7</v>
      </c>
    </row>
    <row r="50">
      <c r="A50" s="25">
        <f t="shared" si="3"/>
        <v>46</v>
      </c>
      <c r="B50" s="26" t="s">
        <v>95</v>
      </c>
      <c r="C50" s="27">
        <v>98.0</v>
      </c>
      <c r="D50" s="28">
        <v>3.0</v>
      </c>
      <c r="E50" s="30">
        <v>1.0</v>
      </c>
      <c r="F50" s="31">
        <v>6.0</v>
      </c>
      <c r="G50" s="27">
        <v>0.0</v>
      </c>
      <c r="H50" s="31">
        <v>6.0</v>
      </c>
      <c r="I50" s="31">
        <v>3.0</v>
      </c>
      <c r="J50" s="31">
        <v>1.0</v>
      </c>
      <c r="K50" s="32">
        <v>10.0</v>
      </c>
      <c r="L50" s="31">
        <v>1.0</v>
      </c>
      <c r="M50" s="27">
        <f t="shared" ref="M50:N50" si="47">C50+K50</f>
        <v>108</v>
      </c>
      <c r="N50" s="28">
        <f t="shared" si="47"/>
        <v>4</v>
      </c>
      <c r="O50" s="33" t="s">
        <v>37</v>
      </c>
      <c r="P50" s="33" t="s">
        <v>37</v>
      </c>
      <c r="Q50" s="31">
        <f>if(G50=13,1,0)+VLOOKUP(B50,'9923'!B$5:Q$61,16,false)</f>
        <v>0</v>
      </c>
      <c r="R50" s="31"/>
      <c r="S50" s="31">
        <f>if(G50=9,1,0)+VLOOKUP(B50,'9923'!B:S,18,false)</f>
        <v>8</v>
      </c>
    </row>
    <row r="51">
      <c r="A51" s="25">
        <f t="shared" si="3"/>
        <v>47</v>
      </c>
      <c r="B51" s="36" t="s">
        <v>76</v>
      </c>
      <c r="C51" s="27">
        <v>94.0</v>
      </c>
      <c r="D51" s="28">
        <v>2.0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103</v>
      </c>
      <c r="N51" s="28">
        <f t="shared" si="48"/>
        <v>2</v>
      </c>
      <c r="O51" s="33" t="s">
        <v>37</v>
      </c>
      <c r="P51" s="33" t="s">
        <v>37</v>
      </c>
      <c r="Q51" s="31">
        <f>if(G51=13,1,0)+VLOOKUP(B51,'9923'!B$5:Q$61,16,false)</f>
        <v>0</v>
      </c>
      <c r="R51" s="31"/>
      <c r="S51" s="31">
        <f>if(G51=9,1,0)+VLOOKUP(B51,'9923'!B:S,18,false)</f>
        <v>10</v>
      </c>
    </row>
    <row r="52">
      <c r="A52" s="25">
        <f t="shared" si="3"/>
        <v>48</v>
      </c>
      <c r="B52" s="26" t="s">
        <v>100</v>
      </c>
      <c r="C52" s="27">
        <v>94.0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103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if(G52=13,1,0)+VLOOKUP(B52,'9923'!B$5:Q$61,16,false)</f>
        <v>0</v>
      </c>
      <c r="R52" s="31"/>
      <c r="S52" s="31">
        <f>if(G52=9,1,0)+VLOOKUP(B52,'9923'!B:S,18,false)</f>
        <v>10</v>
      </c>
    </row>
    <row r="53">
      <c r="A53" s="25">
        <f t="shared" si="3"/>
        <v>49</v>
      </c>
      <c r="B53" s="36" t="s">
        <v>97</v>
      </c>
      <c r="C53" s="27">
        <v>92.0</v>
      </c>
      <c r="D53" s="28">
        <v>5.0</v>
      </c>
      <c r="E53" s="30">
        <v>3.0</v>
      </c>
      <c r="F53" s="31">
        <v>0.0</v>
      </c>
      <c r="G53" s="27">
        <v>9.0</v>
      </c>
      <c r="H53" s="31">
        <v>0.0</v>
      </c>
      <c r="I53" s="31">
        <v>0.0</v>
      </c>
      <c r="J53" s="31">
        <v>0.0</v>
      </c>
      <c r="K53" s="32">
        <v>9.0</v>
      </c>
      <c r="L53" s="31">
        <v>0.0</v>
      </c>
      <c r="M53" s="27">
        <f t="shared" ref="M53:N53" si="50">C53+K53</f>
        <v>101</v>
      </c>
      <c r="N53" s="28">
        <f t="shared" si="50"/>
        <v>5</v>
      </c>
      <c r="O53" s="33" t="s">
        <v>37</v>
      </c>
      <c r="P53" s="33" t="s">
        <v>37</v>
      </c>
      <c r="Q53" s="31">
        <f>if(G53=13,1,0)+VLOOKUP(B53,'9923'!B$5:Q$61,16,false)</f>
        <v>0</v>
      </c>
      <c r="R53" s="31"/>
      <c r="S53" s="31">
        <f>if(G53=9,1,0)+VLOOKUP(B53,'9923'!B:S,18,false)</f>
        <v>6</v>
      </c>
    </row>
    <row r="54">
      <c r="A54" s="25">
        <f t="shared" si="3"/>
        <v>50</v>
      </c>
      <c r="B54" s="36" t="s">
        <v>96</v>
      </c>
      <c r="C54" s="27">
        <v>91.0</v>
      </c>
      <c r="D54" s="28">
        <v>7.0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100</v>
      </c>
      <c r="N54" s="28">
        <f t="shared" si="51"/>
        <v>7</v>
      </c>
      <c r="O54" s="33" t="s">
        <v>37</v>
      </c>
      <c r="P54" s="33" t="s">
        <v>37</v>
      </c>
      <c r="Q54" s="31">
        <f>if(G54=13,1,0)+VLOOKUP(B54,'9923'!B$5:Q$61,16,false)</f>
        <v>0</v>
      </c>
      <c r="R54" s="31"/>
      <c r="S54" s="31">
        <f>if(G54=9,1,0)+VLOOKUP(B54,'9923'!B:S,18,false)</f>
        <v>4</v>
      </c>
    </row>
    <row r="55">
      <c r="A55" s="25">
        <f t="shared" si="3"/>
        <v>51</v>
      </c>
      <c r="B55" s="26" t="s">
        <v>103</v>
      </c>
      <c r="C55" s="27">
        <v>90.0</v>
      </c>
      <c r="D55" s="28">
        <v>0.0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99</v>
      </c>
      <c r="N55" s="28">
        <f t="shared" si="52"/>
        <v>0</v>
      </c>
      <c r="O55" s="33" t="s">
        <v>37</v>
      </c>
      <c r="P55" s="33" t="s">
        <v>37</v>
      </c>
      <c r="Q55" s="31">
        <f>if(G55=13,1,0)+VLOOKUP(B55,'9923'!B$5:Q$61,16,false)</f>
        <v>0</v>
      </c>
      <c r="R55" s="31"/>
      <c r="S55" s="31">
        <f>if(G55=9,1,0)+VLOOKUP(B55,'9923'!B:S,18,false)</f>
        <v>11</v>
      </c>
    </row>
    <row r="56">
      <c r="A56" s="25">
        <f t="shared" si="3"/>
        <v>52</v>
      </c>
      <c r="B56" s="36" t="s">
        <v>104</v>
      </c>
      <c r="C56" s="27">
        <v>90.0</v>
      </c>
      <c r="D56" s="28">
        <v>0.0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99</v>
      </c>
      <c r="N56" s="28">
        <f t="shared" si="53"/>
        <v>0</v>
      </c>
      <c r="O56" s="33" t="s">
        <v>37</v>
      </c>
      <c r="P56" s="33" t="s">
        <v>37</v>
      </c>
      <c r="Q56" s="31">
        <f>if(G56=13,1,0)+VLOOKUP(B56,'9923'!B$5:Q$61,16,false)</f>
        <v>0</v>
      </c>
      <c r="R56" s="31"/>
      <c r="S56" s="31">
        <f>if(G56=9,1,0)+VLOOKUP(B56,'9923'!B:S,18,false)</f>
        <v>11</v>
      </c>
    </row>
    <row r="57">
      <c r="A57" s="25">
        <f t="shared" si="3"/>
        <v>53</v>
      </c>
      <c r="B57" s="26" t="s">
        <v>105</v>
      </c>
      <c r="C57" s="27">
        <v>90.0</v>
      </c>
      <c r="D57" s="28">
        <v>0.0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99</v>
      </c>
      <c r="N57" s="28">
        <f t="shared" si="54"/>
        <v>0</v>
      </c>
      <c r="O57" s="33" t="s">
        <v>37</v>
      </c>
      <c r="P57" s="33" t="s">
        <v>37</v>
      </c>
      <c r="Q57" s="31">
        <f>if(G57=13,1,0)+VLOOKUP(B57,'9923'!B$5:Q$61,16,false)</f>
        <v>0</v>
      </c>
      <c r="R57" s="31"/>
      <c r="S57" s="31">
        <f>if(G57=9,1,0)+VLOOKUP(B57,'9923'!B:S,18,false)</f>
        <v>11</v>
      </c>
    </row>
    <row r="58">
      <c r="A58" s="25">
        <f t="shared" si="3"/>
        <v>54</v>
      </c>
      <c r="B58" s="26" t="s">
        <v>106</v>
      </c>
      <c r="C58" s="27">
        <v>90.0</v>
      </c>
      <c r="D58" s="28">
        <v>0.0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99</v>
      </c>
      <c r="N58" s="28">
        <f t="shared" si="55"/>
        <v>0</v>
      </c>
      <c r="O58" s="33" t="s">
        <v>37</v>
      </c>
      <c r="P58" s="33" t="s">
        <v>37</v>
      </c>
      <c r="Q58" s="31">
        <f>if(G58=13,1,0)+VLOOKUP(B58,'9923'!B$5:Q$61,16,false)</f>
        <v>0</v>
      </c>
      <c r="R58" s="31"/>
      <c r="S58" s="31">
        <f>if(G58=9,1,0)+VLOOKUP(B58,'9923'!B:S,18,false)</f>
        <v>11</v>
      </c>
    </row>
    <row r="59">
      <c r="A59" s="25">
        <f t="shared" si="3"/>
        <v>55</v>
      </c>
      <c r="B59" s="36" t="s">
        <v>108</v>
      </c>
      <c r="C59" s="27">
        <v>89.0</v>
      </c>
      <c r="D59" s="28">
        <v>3.0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98</v>
      </c>
      <c r="N59" s="28">
        <f t="shared" si="56"/>
        <v>3</v>
      </c>
      <c r="O59" s="33" t="s">
        <v>37</v>
      </c>
      <c r="P59" s="33" t="s">
        <v>37</v>
      </c>
      <c r="Q59" s="31">
        <f>if(G59=13,1,0)+VLOOKUP(B59,'9923'!B$5:Q$61,16,false)</f>
        <v>0</v>
      </c>
      <c r="R59" s="31"/>
      <c r="S59" s="31">
        <f>if(G59=9,1,0)+VLOOKUP(B59,'9923'!B:S,18,false)</f>
        <v>8</v>
      </c>
    </row>
    <row r="60">
      <c r="A60" s="25">
        <f t="shared" si="3"/>
        <v>56</v>
      </c>
      <c r="B60" s="36" t="s">
        <v>85</v>
      </c>
      <c r="C60" s="27">
        <v>84.0</v>
      </c>
      <c r="D60" s="28">
        <v>3.0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93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if(G60=13,1,0)+VLOOKUP(B60,'9923'!B$5:Q$61,16,false)</f>
        <v>0</v>
      </c>
      <c r="R60" s="31"/>
      <c r="S60" s="31">
        <f>if(G60=9,1,0)+VLOOKUP(B60,'9923'!B:S,18,false)</f>
        <v>7</v>
      </c>
    </row>
    <row r="61">
      <c r="A61" s="25">
        <f t="shared" si="3"/>
        <v>57</v>
      </c>
      <c r="B61" s="36" t="s">
        <v>109</v>
      </c>
      <c r="C61" s="27">
        <v>79.0</v>
      </c>
      <c r="D61" s="28">
        <v>1.0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88</v>
      </c>
      <c r="N61" s="28">
        <f t="shared" si="58"/>
        <v>1</v>
      </c>
      <c r="O61" s="33" t="s">
        <v>37</v>
      </c>
      <c r="P61" s="33" t="s">
        <v>37</v>
      </c>
      <c r="Q61" s="31">
        <f>if(G61=13,1,0)+VLOOKUP(B61,'82623'!B$5:Q$61,16,false)</f>
        <v>0</v>
      </c>
      <c r="R61" s="31"/>
      <c r="S61" s="31">
        <f>if(G61=9,1,0)+VLOOKUP(B61,'9923'!B:S,18,false)</f>
        <v>5</v>
      </c>
    </row>
    <row r="62">
      <c r="A62" s="1"/>
      <c r="C62" s="1"/>
      <c r="D62" s="1"/>
      <c r="E62" s="1"/>
      <c r="P62" s="1"/>
    </row>
    <row r="63">
      <c r="A63" s="1"/>
      <c r="B63" s="39">
        <f>COUNTA(B5:B61)</f>
        <v>57</v>
      </c>
      <c r="C63" s="1"/>
      <c r="D63" s="1"/>
      <c r="E63" s="1"/>
      <c r="O63" s="34" t="s">
        <v>110</v>
      </c>
      <c r="P63" s="40">
        <f>COUNTA(P5:P61)</f>
        <v>57</v>
      </c>
    </row>
    <row r="64">
      <c r="A64" s="1"/>
      <c r="C64" s="1"/>
      <c r="D64" s="1"/>
      <c r="E64" s="1"/>
      <c r="O64" s="34" t="s">
        <v>111</v>
      </c>
      <c r="P64" s="40">
        <f>P65-P63</f>
        <v>0</v>
      </c>
    </row>
    <row r="65">
      <c r="A65" s="1"/>
      <c r="C65" s="1"/>
      <c r="D65" s="1"/>
      <c r="J65" s="41"/>
      <c r="K65" s="42"/>
      <c r="L65" s="43"/>
      <c r="O65" s="34" t="s">
        <v>41</v>
      </c>
      <c r="P65" s="40">
        <f>B63</f>
        <v>57</v>
      </c>
    </row>
    <row r="66">
      <c r="A66" s="1"/>
      <c r="C66" s="1"/>
      <c r="D66" s="1"/>
      <c r="E66" s="34" t="s">
        <v>112</v>
      </c>
      <c r="J66" s="41"/>
      <c r="K66" s="42"/>
      <c r="L66" s="43"/>
    </row>
    <row r="67">
      <c r="A67" s="1"/>
      <c r="C67" s="1"/>
      <c r="D67" s="1"/>
      <c r="J67" s="41"/>
      <c r="K67" s="42"/>
      <c r="L67" s="43"/>
    </row>
    <row r="68">
      <c r="A68" s="1"/>
      <c r="C68" s="1"/>
      <c r="D68" s="1"/>
      <c r="J68" s="41"/>
      <c r="K68" s="42"/>
      <c r="L68" s="43"/>
    </row>
    <row r="69">
      <c r="A69" s="1"/>
      <c r="B69" s="45" t="s">
        <v>113</v>
      </c>
      <c r="C69" s="45" t="s">
        <v>114</v>
      </c>
      <c r="D69" s="45" t="s">
        <v>115</v>
      </c>
      <c r="J69" s="41"/>
      <c r="K69" s="42"/>
      <c r="L69" s="43"/>
    </row>
    <row r="70">
      <c r="A70" s="1"/>
      <c r="B70" s="36" t="str">
        <f>IFERROR(__xludf.DUMMYFUNCTION("QUERY(B5:L61,""Select B, K, L where K &gt;= 18 order by K desc, L desc"",0)"),"Robert Chang")</f>
        <v>Robert Chang</v>
      </c>
      <c r="C70" s="46">
        <f>IFERROR(__xludf.DUMMYFUNCTION("""COMPUTED_VALUE"""),19.0)</f>
        <v>19</v>
      </c>
      <c r="D70" s="46">
        <f>IFERROR(__xludf.DUMMYFUNCTION("""COMPUTED_VALUE"""),3.0)</f>
        <v>3</v>
      </c>
      <c r="E70" s="1"/>
      <c r="K70" s="42"/>
      <c r="L70" s="43"/>
    </row>
    <row r="71">
      <c r="A71" s="1"/>
      <c r="B71" s="36" t="str">
        <f>IFERROR(__xludf.DUMMYFUNCTION("""COMPUTED_VALUE"""),"Oscar Bonilla")</f>
        <v>Oscar Bonilla</v>
      </c>
      <c r="C71" s="46">
        <f>IFERROR(__xludf.DUMMYFUNCTION("""COMPUTED_VALUE"""),18.0)</f>
        <v>18</v>
      </c>
      <c r="D71" s="46">
        <f>IFERROR(__xludf.DUMMYFUNCTION("""COMPUTED_VALUE"""),3.0)</f>
        <v>3</v>
      </c>
      <c r="E71" s="1"/>
      <c r="L71" s="47"/>
    </row>
    <row r="72">
      <c r="A72" s="1"/>
      <c r="B72" s="36" t="str">
        <f>IFERROR(__xludf.DUMMYFUNCTION("""COMPUTED_VALUE"""),"Mauricio Palacios")</f>
        <v>Mauricio Palacios</v>
      </c>
      <c r="C72" s="46">
        <f>IFERROR(__xludf.DUMMYFUNCTION("""COMPUTED_VALUE"""),18.0)</f>
        <v>18</v>
      </c>
      <c r="D72" s="46">
        <f>IFERROR(__xludf.DUMMYFUNCTION("""COMPUTED_VALUE"""),3.0)</f>
        <v>3</v>
      </c>
      <c r="E72" s="1"/>
    </row>
    <row r="73">
      <c r="A73" s="1"/>
      <c r="B73" s="36" t="str">
        <f>IFERROR(__xludf.DUMMYFUNCTION("""COMPUTED_VALUE"""),"Ted Shen")</f>
        <v>Ted Shen</v>
      </c>
      <c r="C73" s="46">
        <f>IFERROR(__xludf.DUMMYFUNCTION("""COMPUTED_VALUE"""),18.0)</f>
        <v>18</v>
      </c>
      <c r="D73" s="46">
        <f>IFERROR(__xludf.DUMMYFUNCTION("""COMPUTED_VALUE"""),2.0)</f>
        <v>2</v>
      </c>
      <c r="E73" s="1"/>
    </row>
    <row r="74">
      <c r="A74" s="1"/>
      <c r="B74" s="36" t="str">
        <f>IFERROR(__xludf.DUMMYFUNCTION("""COMPUTED_VALUE"""),"Erik Hoeckmann")</f>
        <v>Erik Hoeckmann</v>
      </c>
      <c r="C74" s="46">
        <f>IFERROR(__xludf.DUMMYFUNCTION("""COMPUTED_VALUE"""),18.0)</f>
        <v>18</v>
      </c>
      <c r="D74" s="46">
        <f>IFERROR(__xludf.DUMMYFUNCTION("""COMPUTED_VALUE"""),2.0)</f>
        <v>2</v>
      </c>
      <c r="E74" s="1"/>
      <c r="K74" s="34"/>
    </row>
    <row r="75">
      <c r="A75" s="1"/>
      <c r="B75" s="36"/>
      <c r="C75" s="46"/>
      <c r="D75" s="46"/>
      <c r="E75" s="1"/>
      <c r="K75" s="34"/>
    </row>
    <row r="76">
      <c r="A76" s="1"/>
      <c r="B76" s="36"/>
      <c r="C76" s="46"/>
      <c r="D76" s="46"/>
      <c r="E76" s="1"/>
      <c r="K76" s="34"/>
    </row>
    <row r="77">
      <c r="A77" s="1"/>
      <c r="B77" s="36"/>
      <c r="C77" s="46"/>
      <c r="D77" s="46"/>
      <c r="E77" s="1"/>
      <c r="K77" s="34"/>
    </row>
    <row r="78">
      <c r="A78" s="1"/>
      <c r="B78" s="36"/>
      <c r="C78" s="46"/>
      <c r="D78" s="46"/>
      <c r="E78" s="1"/>
    </row>
    <row r="79">
      <c r="A79" s="1"/>
      <c r="B79" s="36"/>
      <c r="C79" s="46"/>
      <c r="D79" s="46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7">
    <mergeCell ref="C1:E1"/>
    <mergeCell ref="H1:J1"/>
    <mergeCell ref="K1:L1"/>
    <mergeCell ref="B2:C2"/>
    <mergeCell ref="C3:D3"/>
    <mergeCell ref="G3:L3"/>
    <mergeCell ref="M3:N3"/>
  </mergeCells>
  <conditionalFormatting sqref="K5:K61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1 B69:D79">
    <cfRule type="expression" dxfId="0" priority="3">
      <formula>E5=1</formula>
    </cfRule>
  </conditionalFormatting>
  <conditionalFormatting sqref="B5:B61 B69:D79">
    <cfRule type="expression" dxfId="2" priority="4">
      <formula>E5=2</formula>
    </cfRule>
  </conditionalFormatting>
  <conditionalFormatting sqref="B5:B61 B69:D79">
    <cfRule type="expression" dxfId="3" priority="5">
      <formula>E5=3</formula>
    </cfRule>
  </conditionalFormatting>
  <conditionalFormatting sqref="B5:B61 B69:D79">
    <cfRule type="expression" dxfId="4" priority="6">
      <formula>E5=4</formula>
    </cfRule>
  </conditionalFormatting>
  <conditionalFormatting sqref="L71">
    <cfRule type="containsText" dxfId="0" priority="7" operator="containsText" text="Good">
      <formula>NOT(ISERROR(SEARCH(("Good"),(L71))))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24.38"/>
    <col customWidth="1" min="4" max="4" width="5.75"/>
    <col customWidth="1" min="5" max="5" width="7.75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75"/>
    <col customWidth="1" min="18" max="18" width="8.0"/>
    <col customWidth="1" min="19" max="19" width="8.75"/>
  </cols>
  <sheetData>
    <row r="1">
      <c r="A1" s="1"/>
      <c r="B1" s="2" t="s">
        <v>1</v>
      </c>
      <c r="C1" s="3">
        <v>45178.0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10.0</v>
      </c>
      <c r="E2" s="1"/>
    </row>
    <row r="3" ht="27.75" customHeight="1">
      <c r="A3" s="1"/>
      <c r="C3" s="1"/>
      <c r="D3" s="1"/>
      <c r="E3" s="1"/>
      <c r="M3" s="66" t="s">
        <v>118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72</v>
      </c>
      <c r="C5" s="27">
        <v>130.0</v>
      </c>
      <c r="D5" s="28">
        <v>14.0</v>
      </c>
      <c r="E5" s="30">
        <v>2.0</v>
      </c>
      <c r="F5" s="31">
        <v>1.0</v>
      </c>
      <c r="G5" s="27">
        <v>0.0</v>
      </c>
      <c r="H5" s="31">
        <v>0.0</v>
      </c>
      <c r="I5" s="31">
        <v>7.0</v>
      </c>
      <c r="J5" s="31">
        <v>6.0</v>
      </c>
      <c r="K5" s="32">
        <v>13.0</v>
      </c>
      <c r="L5" s="31">
        <v>2.0</v>
      </c>
      <c r="M5" s="27">
        <f t="shared" ref="M5:N5" si="1">C5+K5</f>
        <v>143</v>
      </c>
      <c r="N5" s="28">
        <f t="shared" si="1"/>
        <v>16</v>
      </c>
      <c r="O5" s="33" t="s">
        <v>37</v>
      </c>
      <c r="P5" s="33" t="s">
        <v>37</v>
      </c>
      <c r="Q5" s="31">
        <f>if(G5=13,1,0)+VLOOKUP(B5,'82623'!B$5:Q$61,16,false)</f>
        <v>1</v>
      </c>
      <c r="R5" s="31"/>
      <c r="S5" s="31">
        <f>if(G5=9,1,0)+VLOOKUP(B5,'82623'!B:S,18,false)</f>
        <v>2</v>
      </c>
    </row>
    <row r="6">
      <c r="A6" s="25">
        <f t="shared" ref="A6:A61" si="3">A5+1</f>
        <v>2</v>
      </c>
      <c r="B6" s="36" t="s">
        <v>67</v>
      </c>
      <c r="C6" s="27">
        <v>130.0</v>
      </c>
      <c r="D6" s="28">
        <v>14.0</v>
      </c>
      <c r="E6" s="30">
        <v>3.0</v>
      </c>
      <c r="F6" s="31">
        <v>0.0</v>
      </c>
      <c r="G6" s="27">
        <v>9.0</v>
      </c>
      <c r="H6" s="31">
        <v>0.0</v>
      </c>
      <c r="I6" s="31">
        <v>0.0</v>
      </c>
      <c r="J6" s="31">
        <v>0.0</v>
      </c>
      <c r="K6" s="32">
        <v>9.0</v>
      </c>
      <c r="L6" s="31">
        <v>0.0</v>
      </c>
      <c r="M6" s="27">
        <f t="shared" ref="M6:N6" si="2">C6+K6</f>
        <v>139</v>
      </c>
      <c r="N6" s="28">
        <f t="shared" si="2"/>
        <v>14</v>
      </c>
      <c r="O6" s="33" t="s">
        <v>37</v>
      </c>
      <c r="P6" s="33" t="s">
        <v>37</v>
      </c>
      <c r="Q6" s="31">
        <f>if(G6=13,1,0)+VLOOKUP(B6,'82623'!B$5:Q$61,16,false)</f>
        <v>0</v>
      </c>
      <c r="R6" s="31"/>
      <c r="S6" s="31">
        <f>if(G6=9,1,0)+VLOOKUP(B6,'82623'!B:S,18,false)</f>
        <v>2</v>
      </c>
    </row>
    <row r="7">
      <c r="A7" s="25">
        <f t="shared" si="3"/>
        <v>3</v>
      </c>
      <c r="B7" s="26" t="s">
        <v>49</v>
      </c>
      <c r="C7" s="27">
        <v>124.0</v>
      </c>
      <c r="D7" s="28">
        <v>12.0</v>
      </c>
      <c r="E7" s="30">
        <v>5.0</v>
      </c>
      <c r="F7" s="31">
        <v>0.0</v>
      </c>
      <c r="G7" s="27">
        <v>13.0</v>
      </c>
      <c r="H7" s="31">
        <v>0.0</v>
      </c>
      <c r="I7" s="31">
        <v>0.0</v>
      </c>
      <c r="J7" s="31">
        <v>0.0</v>
      </c>
      <c r="K7" s="32">
        <v>13.0</v>
      </c>
      <c r="L7" s="31">
        <v>0.0</v>
      </c>
      <c r="M7" s="27">
        <f t="shared" ref="M7:N7" si="4">C7+K7</f>
        <v>137</v>
      </c>
      <c r="N7" s="28">
        <f t="shared" si="4"/>
        <v>12</v>
      </c>
      <c r="O7" s="33" t="s">
        <v>37</v>
      </c>
      <c r="P7" s="33" t="s">
        <v>37</v>
      </c>
      <c r="Q7" s="31">
        <f>if(G7=13,1,0)+VLOOKUP(B7,'82623'!B$5:Q$61,16,false)</f>
        <v>1</v>
      </c>
      <c r="R7" s="31"/>
      <c r="S7" s="31">
        <f>if(G7=9,1,0)+VLOOKUP(B7,'82623'!B:S,18,false)</f>
        <v>0</v>
      </c>
    </row>
    <row r="8">
      <c r="A8" s="25">
        <f t="shared" si="3"/>
        <v>4</v>
      </c>
      <c r="B8" s="26" t="s">
        <v>42</v>
      </c>
      <c r="C8" s="27">
        <v>123.0</v>
      </c>
      <c r="D8" s="28">
        <v>12.0</v>
      </c>
      <c r="E8" s="30">
        <v>2.0</v>
      </c>
      <c r="F8" s="31">
        <v>1.0</v>
      </c>
      <c r="G8" s="27">
        <v>0.0</v>
      </c>
      <c r="H8" s="31">
        <v>6.0</v>
      </c>
      <c r="I8" s="31">
        <v>5.0</v>
      </c>
      <c r="J8" s="31">
        <v>6.0</v>
      </c>
      <c r="K8" s="32">
        <v>17.0</v>
      </c>
      <c r="L8" s="31">
        <v>2.0</v>
      </c>
      <c r="M8" s="27">
        <f t="shared" ref="M8:N8" si="5">C8+K8</f>
        <v>140</v>
      </c>
      <c r="N8" s="28">
        <f t="shared" si="5"/>
        <v>14</v>
      </c>
      <c r="O8" s="33" t="s">
        <v>37</v>
      </c>
      <c r="P8" s="33" t="s">
        <v>37</v>
      </c>
      <c r="Q8" s="31">
        <f>if(G8=13,1,0)+VLOOKUP(B8,'82623'!B$5:Q$61,16,false)</f>
        <v>0</v>
      </c>
      <c r="R8" s="31"/>
      <c r="S8" s="31">
        <f>if(G8=9,1,0)+VLOOKUP(B8,'82623'!B:S,18,false)</f>
        <v>3</v>
      </c>
    </row>
    <row r="9">
      <c r="A9" s="25">
        <f t="shared" si="3"/>
        <v>5</v>
      </c>
      <c r="B9" s="26" t="s">
        <v>54</v>
      </c>
      <c r="C9" s="27">
        <v>121.0</v>
      </c>
      <c r="D9" s="28">
        <v>12.0</v>
      </c>
      <c r="E9" s="30">
        <v>1.0</v>
      </c>
      <c r="F9" s="31">
        <v>1.0</v>
      </c>
      <c r="G9" s="27">
        <v>0.0</v>
      </c>
      <c r="H9" s="31">
        <v>6.0</v>
      </c>
      <c r="I9" s="31">
        <v>7.0</v>
      </c>
      <c r="J9" s="31">
        <v>2.0</v>
      </c>
      <c r="K9" s="32">
        <v>15.0</v>
      </c>
      <c r="L9" s="31">
        <v>2.0</v>
      </c>
      <c r="M9" s="27">
        <f t="shared" ref="M9:N9" si="6">C9+K9</f>
        <v>136</v>
      </c>
      <c r="N9" s="28">
        <f t="shared" si="6"/>
        <v>14</v>
      </c>
      <c r="O9" s="33" t="s">
        <v>37</v>
      </c>
      <c r="P9" s="33" t="s">
        <v>37</v>
      </c>
      <c r="Q9" s="31">
        <f>if(G9=13,1,0)+VLOOKUP(B9,'82623'!B$5:Q$61,16,false)</f>
        <v>0</v>
      </c>
      <c r="R9" s="31"/>
      <c r="S9" s="31">
        <f>if(G9=9,1,0)+VLOOKUP(B9,'82623'!B:S,18,false)</f>
        <v>2</v>
      </c>
    </row>
    <row r="10">
      <c r="A10" s="25">
        <f t="shared" si="3"/>
        <v>6</v>
      </c>
      <c r="B10" s="26" t="s">
        <v>52</v>
      </c>
      <c r="C10" s="27">
        <v>120.0</v>
      </c>
      <c r="D10" s="28">
        <v>12.0</v>
      </c>
      <c r="E10" s="30">
        <v>3.0</v>
      </c>
      <c r="F10" s="31">
        <v>0.0</v>
      </c>
      <c r="G10" s="27">
        <v>9.0</v>
      </c>
      <c r="H10" s="31">
        <v>0.0</v>
      </c>
      <c r="I10" s="31">
        <v>0.0</v>
      </c>
      <c r="J10" s="31">
        <v>0.0</v>
      </c>
      <c r="K10" s="32">
        <v>9.0</v>
      </c>
      <c r="L10" s="31">
        <v>0.0</v>
      </c>
      <c r="M10" s="27">
        <f t="shared" ref="M10:N10" si="7">C10+K10</f>
        <v>129</v>
      </c>
      <c r="N10" s="28">
        <f t="shared" si="7"/>
        <v>12</v>
      </c>
      <c r="O10" s="33" t="s">
        <v>37</v>
      </c>
      <c r="P10" s="33" t="s">
        <v>37</v>
      </c>
      <c r="Q10" s="31">
        <f>if(G10=13,1,0)+VLOOKUP(B10,'82623'!B$5:Q$61,16,false)</f>
        <v>0</v>
      </c>
      <c r="R10" s="31"/>
      <c r="S10" s="31">
        <f>if(G10=9,1,0)+VLOOKUP(B10,'82623'!B:S,18,false)</f>
        <v>1</v>
      </c>
    </row>
    <row r="11">
      <c r="A11" s="25">
        <f t="shared" si="3"/>
        <v>7</v>
      </c>
      <c r="B11" s="26" t="s">
        <v>70</v>
      </c>
      <c r="C11" s="27">
        <v>118.0</v>
      </c>
      <c r="D11" s="28">
        <v>13.0</v>
      </c>
      <c r="E11" s="30">
        <v>1.0</v>
      </c>
      <c r="F11" s="31">
        <v>1.0</v>
      </c>
      <c r="G11" s="27">
        <v>0.0</v>
      </c>
      <c r="H11" s="31">
        <v>0.0</v>
      </c>
      <c r="I11" s="31">
        <v>5.0</v>
      </c>
      <c r="J11" s="31">
        <v>2.0</v>
      </c>
      <c r="K11" s="32">
        <v>7.0</v>
      </c>
      <c r="L11" s="31">
        <v>0.0</v>
      </c>
      <c r="M11" s="27">
        <f t="shared" ref="M11:N11" si="8">C11+K11</f>
        <v>125</v>
      </c>
      <c r="N11" s="28">
        <f t="shared" si="8"/>
        <v>13</v>
      </c>
      <c r="O11" s="33" t="s">
        <v>37</v>
      </c>
      <c r="P11" s="33" t="s">
        <v>37</v>
      </c>
      <c r="Q11" s="31">
        <f>if(G11=13,1,0)+VLOOKUP(B11,'82623'!B$5:Q$61,16,false)</f>
        <v>0</v>
      </c>
      <c r="R11" s="31"/>
      <c r="S11" s="31">
        <f>if(G11=9,1,0)+VLOOKUP(B11,'82623'!B:S,18,false)</f>
        <v>2</v>
      </c>
    </row>
    <row r="12">
      <c r="A12" s="25">
        <f t="shared" si="3"/>
        <v>8</v>
      </c>
      <c r="B12" s="26" t="s">
        <v>61</v>
      </c>
      <c r="C12" s="27">
        <v>118.0</v>
      </c>
      <c r="D12" s="28">
        <v>11.0</v>
      </c>
      <c r="E12" s="30">
        <v>2.0</v>
      </c>
      <c r="F12" s="31">
        <v>2.0</v>
      </c>
      <c r="G12" s="27">
        <v>0.0</v>
      </c>
      <c r="H12" s="31">
        <v>1.0</v>
      </c>
      <c r="I12" s="31">
        <v>6.0</v>
      </c>
      <c r="J12" s="31">
        <v>6.0</v>
      </c>
      <c r="K12" s="32">
        <v>13.0</v>
      </c>
      <c r="L12" s="31">
        <v>2.0</v>
      </c>
      <c r="M12" s="27">
        <f t="shared" ref="M12:N12" si="9">C12+K12</f>
        <v>131</v>
      </c>
      <c r="N12" s="28">
        <f t="shared" si="9"/>
        <v>13</v>
      </c>
      <c r="O12" s="33" t="s">
        <v>37</v>
      </c>
      <c r="P12" s="33" t="s">
        <v>37</v>
      </c>
      <c r="Q12" s="31">
        <f>if(G12=13,1,0)+VLOOKUP(B12,'82623'!B$5:Q$61,16,false)</f>
        <v>0</v>
      </c>
      <c r="R12" s="31"/>
      <c r="S12" s="31">
        <f>if(G12=9,1,0)+VLOOKUP(B12,'82623'!B:S,18,false)</f>
        <v>1</v>
      </c>
    </row>
    <row r="13">
      <c r="A13" s="25">
        <f t="shared" si="3"/>
        <v>9</v>
      </c>
      <c r="B13" s="26" t="s">
        <v>34</v>
      </c>
      <c r="C13" s="27">
        <v>118.0</v>
      </c>
      <c r="D13" s="28">
        <v>10.0</v>
      </c>
      <c r="E13" s="30">
        <v>1.0</v>
      </c>
      <c r="F13" s="31">
        <v>2.0</v>
      </c>
      <c r="G13" s="27">
        <v>0.0</v>
      </c>
      <c r="H13" s="31">
        <v>6.0</v>
      </c>
      <c r="I13" s="31">
        <v>6.0</v>
      </c>
      <c r="J13" s="31">
        <v>4.0</v>
      </c>
      <c r="K13" s="32">
        <v>16.0</v>
      </c>
      <c r="L13" s="31">
        <v>2.0</v>
      </c>
      <c r="M13" s="27">
        <f t="shared" ref="M13:N13" si="10">C13+K13</f>
        <v>134</v>
      </c>
      <c r="N13" s="28">
        <f t="shared" si="10"/>
        <v>12</v>
      </c>
      <c r="O13" s="33" t="s">
        <v>37</v>
      </c>
      <c r="P13" s="33" t="s">
        <v>37</v>
      </c>
      <c r="Q13" s="31">
        <f>if(G13=13,1,0)+VLOOKUP(B13,'82623'!B$5:Q$61,16,false)</f>
        <v>1</v>
      </c>
      <c r="R13" s="31"/>
      <c r="S13" s="31">
        <f>if(G13=9,1,0)+VLOOKUP(B13,'82623'!B:S,18,false)</f>
        <v>4</v>
      </c>
    </row>
    <row r="14">
      <c r="A14" s="25">
        <f t="shared" si="3"/>
        <v>10</v>
      </c>
      <c r="B14" s="26" t="s">
        <v>48</v>
      </c>
      <c r="C14" s="27">
        <v>115.0</v>
      </c>
      <c r="D14" s="28">
        <v>11.0</v>
      </c>
      <c r="E14" s="30">
        <v>2.0</v>
      </c>
      <c r="F14" s="31">
        <v>2.0</v>
      </c>
      <c r="G14" s="27">
        <v>0.0</v>
      </c>
      <c r="H14" s="31">
        <v>6.0</v>
      </c>
      <c r="I14" s="31">
        <v>4.0</v>
      </c>
      <c r="J14" s="31">
        <v>6.0</v>
      </c>
      <c r="K14" s="32">
        <v>16.0</v>
      </c>
      <c r="L14" s="31">
        <v>2.0</v>
      </c>
      <c r="M14" s="27">
        <f t="shared" ref="M14:N14" si="11">C14+K14</f>
        <v>131</v>
      </c>
      <c r="N14" s="28">
        <f t="shared" si="11"/>
        <v>13</v>
      </c>
      <c r="O14" s="33" t="s">
        <v>37</v>
      </c>
      <c r="P14" s="33" t="s">
        <v>37</v>
      </c>
      <c r="Q14" s="31">
        <f>if(G14=13,1,0)+VLOOKUP(B14,'82623'!B$5:Q$61,16,false)</f>
        <v>0</v>
      </c>
      <c r="R14" s="31"/>
      <c r="S14" s="31">
        <f>if(G14=9,1,0)+VLOOKUP(B14,'82623'!B:S,18,false)</f>
        <v>3</v>
      </c>
    </row>
    <row r="15">
      <c r="A15" s="25">
        <f t="shared" si="3"/>
        <v>11</v>
      </c>
      <c r="B15" s="26" t="s">
        <v>75</v>
      </c>
      <c r="C15" s="27">
        <v>115.0</v>
      </c>
      <c r="D15" s="28">
        <v>10.0</v>
      </c>
      <c r="E15" s="30">
        <v>2.0</v>
      </c>
      <c r="F15" s="31">
        <v>2.0</v>
      </c>
      <c r="G15" s="27">
        <v>0.0</v>
      </c>
      <c r="H15" s="31">
        <v>1.0</v>
      </c>
      <c r="I15" s="31">
        <v>4.0</v>
      </c>
      <c r="J15" s="31">
        <v>4.0</v>
      </c>
      <c r="K15" s="32">
        <v>9.0</v>
      </c>
      <c r="L15" s="31">
        <v>0.0</v>
      </c>
      <c r="M15" s="27">
        <f t="shared" ref="M15:N15" si="12">C15+K15</f>
        <v>124</v>
      </c>
      <c r="N15" s="28">
        <f t="shared" si="12"/>
        <v>10</v>
      </c>
      <c r="O15" s="33" t="s">
        <v>37</v>
      </c>
      <c r="P15" s="33" t="s">
        <v>37</v>
      </c>
      <c r="Q15" s="31">
        <f>if(G15=13,1,0)+VLOOKUP(B15,'82623'!B$5:Q$61,16,false)</f>
        <v>0</v>
      </c>
      <c r="R15" s="31"/>
      <c r="S15" s="31">
        <f>if(G15=9,1,0)+VLOOKUP(B15,'82623'!B:S,18,false)</f>
        <v>2</v>
      </c>
    </row>
    <row r="16">
      <c r="A16" s="25">
        <f t="shared" si="3"/>
        <v>12</v>
      </c>
      <c r="B16" s="26" t="s">
        <v>80</v>
      </c>
      <c r="C16" s="27">
        <v>114.0</v>
      </c>
      <c r="D16" s="28">
        <v>10.0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123</v>
      </c>
      <c r="N16" s="28">
        <f t="shared" si="13"/>
        <v>10</v>
      </c>
      <c r="O16" s="33" t="s">
        <v>37</v>
      </c>
      <c r="P16" s="33" t="s">
        <v>37</v>
      </c>
      <c r="Q16" s="31">
        <f>if(G16=13,1,0)+VLOOKUP(B16,'82623'!B$5:Q$61,16,false)</f>
        <v>0</v>
      </c>
      <c r="R16" s="31"/>
      <c r="S16" s="31">
        <f>if(G16=9,1,0)+VLOOKUP(B16,'82623'!B:S,18,false)</f>
        <v>6</v>
      </c>
    </row>
    <row r="17">
      <c r="A17" s="25">
        <f t="shared" si="3"/>
        <v>13</v>
      </c>
      <c r="B17" s="26" t="s">
        <v>56</v>
      </c>
      <c r="C17" s="27">
        <v>111.0</v>
      </c>
      <c r="D17" s="28">
        <v>13.0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120</v>
      </c>
      <c r="N17" s="28">
        <f t="shared" si="14"/>
        <v>13</v>
      </c>
      <c r="O17" s="33" t="s">
        <v>37</v>
      </c>
      <c r="P17" s="33" t="s">
        <v>37</v>
      </c>
      <c r="Q17" s="31">
        <f>if(G17=13,1,0)+VLOOKUP(B17,'82623'!B$5:Q$61,16,false)</f>
        <v>0</v>
      </c>
      <c r="R17" s="31"/>
      <c r="S17" s="31">
        <f>if(G17=9,1,0)+VLOOKUP(B17,'82623'!B:S,18,false)</f>
        <v>2</v>
      </c>
    </row>
    <row r="18">
      <c r="A18" s="25">
        <f t="shared" si="3"/>
        <v>14</v>
      </c>
      <c r="B18" s="26" t="s">
        <v>68</v>
      </c>
      <c r="C18" s="27">
        <v>110.0</v>
      </c>
      <c r="D18" s="28">
        <v>7.0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119</v>
      </c>
      <c r="N18" s="28">
        <f t="shared" si="15"/>
        <v>7</v>
      </c>
      <c r="O18" s="33" t="s">
        <v>37</v>
      </c>
      <c r="P18" s="33" t="s">
        <v>37</v>
      </c>
      <c r="Q18" s="31">
        <f>if(G18=13,1,0)+VLOOKUP(B18,'82623'!B$5:Q$61,16,false)</f>
        <v>1</v>
      </c>
      <c r="R18" s="31"/>
      <c r="S18" s="31">
        <f>if(G18=9,1,0)+VLOOKUP(B18,'82623'!B:S,18,false)</f>
        <v>6</v>
      </c>
    </row>
    <row r="19">
      <c r="A19" s="25">
        <f t="shared" si="3"/>
        <v>15</v>
      </c>
      <c r="B19" s="36" t="s">
        <v>59</v>
      </c>
      <c r="C19" s="27">
        <v>109.0</v>
      </c>
      <c r="D19" s="28">
        <v>7.0</v>
      </c>
      <c r="E19" s="30">
        <v>1.0</v>
      </c>
      <c r="F19" s="31">
        <v>3.0</v>
      </c>
      <c r="G19" s="27">
        <v>0.0</v>
      </c>
      <c r="H19" s="31">
        <v>7.0</v>
      </c>
      <c r="I19" s="31">
        <v>1.0</v>
      </c>
      <c r="J19" s="31">
        <v>6.0</v>
      </c>
      <c r="K19" s="32">
        <v>14.0</v>
      </c>
      <c r="L19" s="31">
        <v>2.0</v>
      </c>
      <c r="M19" s="27">
        <f t="shared" ref="M19:N19" si="16">C19+K19</f>
        <v>123</v>
      </c>
      <c r="N19" s="28">
        <f t="shared" si="16"/>
        <v>9</v>
      </c>
      <c r="O19" s="33" t="s">
        <v>37</v>
      </c>
      <c r="P19" s="33" t="s">
        <v>37</v>
      </c>
      <c r="Q19" s="31">
        <f>if(G19=13,1,0)+VLOOKUP(B19,'82623'!B$5:Q$61,16,false)</f>
        <v>0</v>
      </c>
      <c r="R19" s="31"/>
      <c r="S19" s="31">
        <f>if(G19=9,1,0)+VLOOKUP(B19,'82623'!B:S,18,false)</f>
        <v>2</v>
      </c>
    </row>
    <row r="20">
      <c r="A20" s="25">
        <f t="shared" si="3"/>
        <v>16</v>
      </c>
      <c r="B20" s="26" t="s">
        <v>60</v>
      </c>
      <c r="C20" s="27">
        <v>108.0</v>
      </c>
      <c r="D20" s="28">
        <v>9.0</v>
      </c>
      <c r="E20" s="30">
        <v>1.0</v>
      </c>
      <c r="F20" s="31">
        <v>3.0</v>
      </c>
      <c r="G20" s="27">
        <v>0.0</v>
      </c>
      <c r="H20" s="31">
        <v>7.0</v>
      </c>
      <c r="I20" s="31">
        <v>6.0</v>
      </c>
      <c r="J20" s="31">
        <v>2.0</v>
      </c>
      <c r="K20" s="32">
        <v>15.0</v>
      </c>
      <c r="L20" s="31">
        <v>2.0</v>
      </c>
      <c r="M20" s="27">
        <f t="shared" ref="M20:N20" si="17">C20+K20</f>
        <v>123</v>
      </c>
      <c r="N20" s="28">
        <f t="shared" si="17"/>
        <v>11</v>
      </c>
      <c r="O20" s="33" t="s">
        <v>37</v>
      </c>
      <c r="P20" s="33" t="s">
        <v>37</v>
      </c>
      <c r="Q20" s="31">
        <f>if(G20=13,1,0)+VLOOKUP(B20,'82623'!B$5:Q$61,16,false)</f>
        <v>0</v>
      </c>
      <c r="R20" s="31"/>
      <c r="S20" s="31">
        <f>if(G20=9,1,0)+VLOOKUP(B20,'82623'!B:S,18,false)</f>
        <v>3</v>
      </c>
    </row>
    <row r="21">
      <c r="A21" s="25">
        <f t="shared" si="3"/>
        <v>17</v>
      </c>
      <c r="B21" s="26" t="s">
        <v>50</v>
      </c>
      <c r="C21" s="27">
        <v>108.0</v>
      </c>
      <c r="D21" s="28">
        <v>9.0</v>
      </c>
      <c r="E21" s="30">
        <v>1.0</v>
      </c>
      <c r="F21" s="31">
        <v>3.0</v>
      </c>
      <c r="G21" s="27">
        <v>0.0</v>
      </c>
      <c r="H21" s="31">
        <v>6.0</v>
      </c>
      <c r="I21" s="31">
        <v>6.0</v>
      </c>
      <c r="J21" s="31">
        <v>6.0</v>
      </c>
      <c r="K21" s="32">
        <v>18.0</v>
      </c>
      <c r="L21" s="31">
        <v>2.0</v>
      </c>
      <c r="M21" s="27">
        <f t="shared" ref="M21:N21" si="18">C21+K21</f>
        <v>126</v>
      </c>
      <c r="N21" s="28">
        <f t="shared" si="18"/>
        <v>11</v>
      </c>
      <c r="O21" s="33" t="s">
        <v>37</v>
      </c>
      <c r="P21" s="33" t="s">
        <v>37</v>
      </c>
      <c r="Q21" s="31">
        <f>if(G21=13,1,0)+VLOOKUP(B21,'82623'!B$5:Q$61,16,false)</f>
        <v>0</v>
      </c>
      <c r="R21" s="31"/>
      <c r="S21" s="31">
        <f>if(G21=9,1,0)+VLOOKUP(B21,'82623'!B:S,18,false)</f>
        <v>4</v>
      </c>
    </row>
    <row r="22">
      <c r="A22" s="25">
        <f t="shared" si="3"/>
        <v>18</v>
      </c>
      <c r="B22" s="36" t="s">
        <v>83</v>
      </c>
      <c r="C22" s="27">
        <v>108.0</v>
      </c>
      <c r="D22" s="28">
        <v>9.0</v>
      </c>
      <c r="E22" s="30">
        <v>1.0</v>
      </c>
      <c r="F22" s="31">
        <v>3.0</v>
      </c>
      <c r="G22" s="27">
        <v>0.0</v>
      </c>
      <c r="H22" s="31">
        <v>6.0</v>
      </c>
      <c r="I22" s="31">
        <v>1.0</v>
      </c>
      <c r="J22" s="31">
        <v>2.0</v>
      </c>
      <c r="K22" s="32">
        <v>9.0</v>
      </c>
      <c r="L22" s="31">
        <v>0.0</v>
      </c>
      <c r="M22" s="27">
        <f t="shared" ref="M22:N22" si="19">C22+K22</f>
        <v>117</v>
      </c>
      <c r="N22" s="28">
        <f t="shared" si="19"/>
        <v>9</v>
      </c>
      <c r="O22" s="33" t="s">
        <v>37</v>
      </c>
      <c r="P22" s="33" t="s">
        <v>37</v>
      </c>
      <c r="Q22" s="31">
        <f>if(G22=13,1,0)+VLOOKUP(B22,'82623'!B$5:Q$61,16,false)</f>
        <v>0</v>
      </c>
      <c r="R22" s="31"/>
      <c r="S22" s="31">
        <f>if(G22=9,1,0)+VLOOKUP(B22,'82623'!B:S,18,false)</f>
        <v>2</v>
      </c>
    </row>
    <row r="23">
      <c r="A23" s="25">
        <f t="shared" si="3"/>
        <v>19</v>
      </c>
      <c r="B23" s="36" t="s">
        <v>77</v>
      </c>
      <c r="C23" s="27">
        <v>107.0</v>
      </c>
      <c r="D23" s="28">
        <v>8.0</v>
      </c>
      <c r="E23" s="30">
        <v>3.0</v>
      </c>
      <c r="F23" s="31">
        <v>0.0</v>
      </c>
      <c r="G23" s="27">
        <v>9.0</v>
      </c>
      <c r="H23" s="31">
        <v>0.0</v>
      </c>
      <c r="I23" s="31">
        <v>0.0</v>
      </c>
      <c r="J23" s="31">
        <v>0.0</v>
      </c>
      <c r="K23" s="32">
        <v>9.0</v>
      </c>
      <c r="L23" s="31">
        <v>0.0</v>
      </c>
      <c r="M23" s="27">
        <f t="shared" ref="M23:N23" si="20">C23+K23</f>
        <v>116</v>
      </c>
      <c r="N23" s="28">
        <f t="shared" si="20"/>
        <v>8</v>
      </c>
      <c r="O23" s="33" t="s">
        <v>37</v>
      </c>
      <c r="P23" s="33" t="s">
        <v>37</v>
      </c>
      <c r="Q23" s="31">
        <f>if(G23=13,1,0)+VLOOKUP(B23,'82623'!B$5:Q$61,16,false)</f>
        <v>0</v>
      </c>
      <c r="R23" s="31"/>
      <c r="S23" s="31">
        <f>if(G23=9,1,0)+VLOOKUP(B23,'82623'!B:S,18,false)</f>
        <v>6</v>
      </c>
    </row>
    <row r="24">
      <c r="A24" s="25">
        <f t="shared" si="3"/>
        <v>20</v>
      </c>
      <c r="B24" s="26" t="s">
        <v>65</v>
      </c>
      <c r="C24" s="27">
        <v>107.0</v>
      </c>
      <c r="D24" s="28">
        <v>7.0</v>
      </c>
      <c r="E24" s="30">
        <v>1.0</v>
      </c>
      <c r="F24" s="31">
        <v>4.0</v>
      </c>
      <c r="G24" s="27">
        <v>0.0</v>
      </c>
      <c r="H24" s="31">
        <v>2.0</v>
      </c>
      <c r="I24" s="31">
        <v>5.0</v>
      </c>
      <c r="J24" s="31">
        <v>7.0</v>
      </c>
      <c r="K24" s="32">
        <v>14.0</v>
      </c>
      <c r="L24" s="31">
        <v>1.0</v>
      </c>
      <c r="M24" s="27">
        <f t="shared" ref="M24:N24" si="21">C24+K24</f>
        <v>121</v>
      </c>
      <c r="N24" s="28">
        <f t="shared" si="21"/>
        <v>8</v>
      </c>
      <c r="O24" s="33" t="s">
        <v>37</v>
      </c>
      <c r="P24" s="33" t="s">
        <v>37</v>
      </c>
      <c r="Q24" s="31">
        <f>if(G24=13,1,0)+VLOOKUP(B24,'82623'!B$5:Q$61,16,false)</f>
        <v>0</v>
      </c>
      <c r="R24" s="31"/>
      <c r="S24" s="31">
        <f>if(G24=9,1,0)+VLOOKUP(B24,'82623'!B:S,18,false)</f>
        <v>5</v>
      </c>
    </row>
    <row r="25">
      <c r="A25" s="25">
        <f t="shared" si="3"/>
        <v>21</v>
      </c>
      <c r="B25" s="26" t="s">
        <v>73</v>
      </c>
      <c r="C25" s="27">
        <v>107.0</v>
      </c>
      <c r="D25" s="28">
        <v>6.0</v>
      </c>
      <c r="E25" s="30">
        <v>3.0</v>
      </c>
      <c r="F25" s="31">
        <v>0.0</v>
      </c>
      <c r="G25" s="27">
        <v>9.0</v>
      </c>
      <c r="H25" s="31">
        <v>0.0</v>
      </c>
      <c r="I25" s="31">
        <v>0.0</v>
      </c>
      <c r="J25" s="31">
        <v>0.0</v>
      </c>
      <c r="K25" s="32">
        <v>9.0</v>
      </c>
      <c r="L25" s="31">
        <v>0.0</v>
      </c>
      <c r="M25" s="27">
        <f t="shared" ref="M25:N25" si="22">C25+K25</f>
        <v>116</v>
      </c>
      <c r="N25" s="28">
        <f t="shared" si="22"/>
        <v>6</v>
      </c>
      <c r="O25" s="33" t="s">
        <v>37</v>
      </c>
      <c r="P25" s="33" t="s">
        <v>37</v>
      </c>
      <c r="Q25" s="31">
        <f>if(G25=13,1,0)+VLOOKUP(B25,'82623'!B$5:Q$61,16,false)</f>
        <v>0</v>
      </c>
      <c r="R25" s="31"/>
      <c r="S25" s="31">
        <f>if(G25=9,1,0)+VLOOKUP(B25,'82623'!B:S,18,false)</f>
        <v>5</v>
      </c>
    </row>
    <row r="26">
      <c r="A26" s="25">
        <f t="shared" si="3"/>
        <v>22</v>
      </c>
      <c r="B26" s="26" t="s">
        <v>53</v>
      </c>
      <c r="C26" s="27">
        <v>106.0</v>
      </c>
      <c r="D26" s="28">
        <v>8.0</v>
      </c>
      <c r="E26" s="30">
        <v>1.0</v>
      </c>
      <c r="F26" s="31">
        <v>4.0</v>
      </c>
      <c r="G26" s="27">
        <v>0.0</v>
      </c>
      <c r="H26" s="31">
        <v>6.0</v>
      </c>
      <c r="I26" s="31">
        <v>5.0</v>
      </c>
      <c r="J26" s="31">
        <v>5.0</v>
      </c>
      <c r="K26" s="32">
        <v>16.0</v>
      </c>
      <c r="L26" s="31">
        <v>1.0</v>
      </c>
      <c r="M26" s="27">
        <f t="shared" ref="M26:N26" si="23">C26+K26</f>
        <v>122</v>
      </c>
      <c r="N26" s="28">
        <f t="shared" si="23"/>
        <v>9</v>
      </c>
      <c r="O26" s="33" t="s">
        <v>37</v>
      </c>
      <c r="P26" s="33" t="s">
        <v>37</v>
      </c>
      <c r="Q26" s="31">
        <f>if(G26=13,1,0)+VLOOKUP(B26,'82623'!B$5:Q$61,16,false)</f>
        <v>0</v>
      </c>
      <c r="R26" s="31"/>
      <c r="S26" s="31">
        <f>if(G26=9,1,0)+VLOOKUP(B26,'82623'!B:S,18,false)</f>
        <v>4</v>
      </c>
    </row>
    <row r="27">
      <c r="A27" s="25">
        <f t="shared" si="3"/>
        <v>23</v>
      </c>
      <c r="B27" s="26" t="s">
        <v>47</v>
      </c>
      <c r="C27" s="27">
        <v>106.0</v>
      </c>
      <c r="D27" s="28">
        <v>7.0</v>
      </c>
      <c r="E27" s="30">
        <v>3.0</v>
      </c>
      <c r="F27" s="31">
        <v>0.0</v>
      </c>
      <c r="G27" s="27">
        <v>9.0</v>
      </c>
      <c r="H27" s="31">
        <v>0.0</v>
      </c>
      <c r="I27" s="31">
        <v>0.0</v>
      </c>
      <c r="J27" s="31">
        <v>0.0</v>
      </c>
      <c r="K27" s="32">
        <v>9.0</v>
      </c>
      <c r="L27" s="31">
        <v>0.0</v>
      </c>
      <c r="M27" s="27">
        <f t="shared" ref="M27:N27" si="24">C27+K27</f>
        <v>115</v>
      </c>
      <c r="N27" s="28">
        <f t="shared" si="24"/>
        <v>7</v>
      </c>
      <c r="O27" s="33" t="s">
        <v>37</v>
      </c>
      <c r="P27" s="33" t="s">
        <v>37</v>
      </c>
      <c r="Q27" s="31">
        <f>if(G27=13,1,0)+VLOOKUP(B27,'82623'!B$5:Q$61,16,false)</f>
        <v>0</v>
      </c>
      <c r="R27" s="31"/>
      <c r="S27" s="31">
        <f>if(G27=9,1,0)+VLOOKUP(B27,'82623'!B:S,18,false)</f>
        <v>6</v>
      </c>
    </row>
    <row r="28">
      <c r="A28" s="25">
        <f t="shared" si="3"/>
        <v>24</v>
      </c>
      <c r="B28" s="26" t="s">
        <v>51</v>
      </c>
      <c r="C28" s="27">
        <v>104.0</v>
      </c>
      <c r="D28" s="28">
        <v>7.0</v>
      </c>
      <c r="E28" s="30">
        <v>4.0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113</v>
      </c>
      <c r="N28" s="28">
        <f t="shared" si="25"/>
        <v>7</v>
      </c>
      <c r="O28" s="33" t="s">
        <v>37</v>
      </c>
      <c r="P28" s="33" t="s">
        <v>37</v>
      </c>
      <c r="Q28" s="31">
        <f>if(G28=13,1,0)+VLOOKUP(B28,'82623'!B$5:Q$61,16,false)</f>
        <v>0</v>
      </c>
      <c r="R28" s="31"/>
      <c r="S28" s="31">
        <f>if(G28=9,1,0)+VLOOKUP(B28,'82623'!B:S,18,false)</f>
        <v>6</v>
      </c>
    </row>
    <row r="29">
      <c r="A29" s="25">
        <f t="shared" si="3"/>
        <v>25</v>
      </c>
      <c r="B29" s="36" t="s">
        <v>88</v>
      </c>
      <c r="C29" s="27">
        <v>103.0</v>
      </c>
      <c r="D29" s="28">
        <v>8.0</v>
      </c>
      <c r="E29" s="30">
        <v>3.0</v>
      </c>
      <c r="F29" s="31">
        <v>0.0</v>
      </c>
      <c r="G29" s="27">
        <v>9.0</v>
      </c>
      <c r="H29" s="31">
        <v>0.0</v>
      </c>
      <c r="I29" s="31">
        <v>0.0</v>
      </c>
      <c r="J29" s="31">
        <v>0.0</v>
      </c>
      <c r="K29" s="32">
        <v>9.0</v>
      </c>
      <c r="L29" s="31">
        <v>0.0</v>
      </c>
      <c r="M29" s="27">
        <f t="shared" ref="M29:N29" si="26">C29+K29</f>
        <v>112</v>
      </c>
      <c r="N29" s="28">
        <f t="shared" si="26"/>
        <v>8</v>
      </c>
      <c r="O29" s="33" t="s">
        <v>37</v>
      </c>
      <c r="P29" s="33" t="s">
        <v>37</v>
      </c>
      <c r="Q29" s="31">
        <f>if(G29=13,1,0)+VLOOKUP(B29,'82623'!B$5:Q$61,16,false)</f>
        <v>0</v>
      </c>
      <c r="R29" s="31"/>
      <c r="S29" s="31">
        <f>if(G29=9,1,0)+VLOOKUP(B29,'82623'!B:S,18,false)</f>
        <v>4</v>
      </c>
    </row>
    <row r="30">
      <c r="A30" s="25">
        <f t="shared" si="3"/>
        <v>26</v>
      </c>
      <c r="B30" s="26" t="s">
        <v>74</v>
      </c>
      <c r="C30" s="27">
        <v>103.0</v>
      </c>
      <c r="D30" s="28">
        <v>7.0</v>
      </c>
      <c r="E30" s="30">
        <v>3.0</v>
      </c>
      <c r="F30" s="31">
        <v>0.0</v>
      </c>
      <c r="G30" s="27">
        <v>9.0</v>
      </c>
      <c r="H30" s="31">
        <v>0.0</v>
      </c>
      <c r="I30" s="31">
        <v>0.0</v>
      </c>
      <c r="J30" s="31">
        <v>0.0</v>
      </c>
      <c r="K30" s="32">
        <v>9.0</v>
      </c>
      <c r="L30" s="31">
        <v>0.0</v>
      </c>
      <c r="M30" s="27">
        <f t="shared" ref="M30:N30" si="27">C30+K30</f>
        <v>112</v>
      </c>
      <c r="N30" s="28">
        <f t="shared" si="27"/>
        <v>7</v>
      </c>
      <c r="O30" s="33" t="s">
        <v>37</v>
      </c>
      <c r="P30" s="33" t="s">
        <v>37</v>
      </c>
      <c r="Q30" s="31">
        <f>if(G30=13,1,0)+VLOOKUP(B30,'82623'!B$5:Q$61,16,false)</f>
        <v>0</v>
      </c>
      <c r="R30" s="31"/>
      <c r="S30" s="31">
        <f>if(G30=9,1,0)+VLOOKUP(B30,'82623'!B:S,18,false)</f>
        <v>3</v>
      </c>
    </row>
    <row r="31">
      <c r="A31" s="25">
        <f t="shared" si="3"/>
        <v>27</v>
      </c>
      <c r="B31" s="36" t="s">
        <v>62</v>
      </c>
      <c r="C31" s="27">
        <v>103.0</v>
      </c>
      <c r="D31" s="28">
        <v>7.0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112</v>
      </c>
      <c r="N31" s="28">
        <f t="shared" si="28"/>
        <v>7</v>
      </c>
      <c r="O31" s="33" t="s">
        <v>37</v>
      </c>
      <c r="P31" s="33" t="s">
        <v>37</v>
      </c>
      <c r="Q31" s="31">
        <f>if(G31=13,1,0)+VLOOKUP(B31,'82623'!B$5:Q$61,16,false)</f>
        <v>0</v>
      </c>
      <c r="R31" s="31"/>
      <c r="S31" s="31">
        <f>if(G31=9,1,0)+VLOOKUP(B31,'82623'!B:S,18,false)</f>
        <v>2</v>
      </c>
    </row>
    <row r="32">
      <c r="A32" s="25">
        <f t="shared" si="3"/>
        <v>28</v>
      </c>
      <c r="B32" s="26" t="s">
        <v>57</v>
      </c>
      <c r="C32" s="27">
        <v>102.0</v>
      </c>
      <c r="D32" s="28">
        <v>9.0</v>
      </c>
      <c r="E32" s="30">
        <v>1.0</v>
      </c>
      <c r="F32" s="31">
        <v>4.0</v>
      </c>
      <c r="G32" s="27">
        <v>0.0</v>
      </c>
      <c r="H32" s="31">
        <v>6.0</v>
      </c>
      <c r="I32" s="31">
        <v>7.0</v>
      </c>
      <c r="J32" s="31">
        <v>7.0</v>
      </c>
      <c r="K32" s="32">
        <v>20.0</v>
      </c>
      <c r="L32" s="31">
        <v>3.0</v>
      </c>
      <c r="M32" s="27">
        <f t="shared" ref="M32:N32" si="29">C32+K32</f>
        <v>122</v>
      </c>
      <c r="N32" s="28">
        <f t="shared" si="29"/>
        <v>12</v>
      </c>
      <c r="O32" s="33" t="s">
        <v>37</v>
      </c>
      <c r="P32" s="33" t="s">
        <v>37</v>
      </c>
      <c r="Q32" s="31">
        <f>if(G32=13,1,0)+VLOOKUP(B32,'82623'!B$5:Q$61,16,false)</f>
        <v>0</v>
      </c>
      <c r="R32" s="31"/>
      <c r="S32" s="31">
        <f>if(G32=9,1,0)+VLOOKUP(B32,'82623'!B:S,18,false)</f>
        <v>4</v>
      </c>
    </row>
    <row r="33">
      <c r="A33" s="25">
        <f t="shared" si="3"/>
        <v>29</v>
      </c>
      <c r="B33" s="26" t="s">
        <v>64</v>
      </c>
      <c r="C33" s="27">
        <v>101.0</v>
      </c>
      <c r="D33" s="28">
        <v>6.0</v>
      </c>
      <c r="E33" s="30">
        <v>2.0</v>
      </c>
      <c r="F33" s="31">
        <v>4.0</v>
      </c>
      <c r="G33" s="27">
        <v>0.0</v>
      </c>
      <c r="H33" s="31">
        <v>2.0</v>
      </c>
      <c r="I33" s="31">
        <v>7.0</v>
      </c>
      <c r="J33" s="31">
        <v>5.0</v>
      </c>
      <c r="K33" s="32">
        <v>14.0</v>
      </c>
      <c r="L33" s="31">
        <v>1.0</v>
      </c>
      <c r="M33" s="27">
        <f t="shared" ref="M33:N33" si="30">C33+K33</f>
        <v>115</v>
      </c>
      <c r="N33" s="28">
        <f t="shared" si="30"/>
        <v>7</v>
      </c>
      <c r="O33" s="33" t="s">
        <v>37</v>
      </c>
      <c r="P33" s="33" t="s">
        <v>37</v>
      </c>
      <c r="Q33" s="31">
        <f>if(G33=13,1,0)+VLOOKUP(B33,'82623'!B$5:Q$61,16,false)</f>
        <v>0</v>
      </c>
      <c r="R33" s="31"/>
      <c r="S33" s="31">
        <f>if(G33=9,1,0)+VLOOKUP(B33,'82623'!B:S,18,false)</f>
        <v>7</v>
      </c>
    </row>
    <row r="34">
      <c r="A34" s="25">
        <f t="shared" si="3"/>
        <v>30</v>
      </c>
      <c r="B34" s="36" t="s">
        <v>81</v>
      </c>
      <c r="C34" s="27">
        <v>101.0</v>
      </c>
      <c r="D34" s="28">
        <v>5.0</v>
      </c>
      <c r="E34" s="30">
        <v>3.0</v>
      </c>
      <c r="F34" s="31">
        <v>0.0</v>
      </c>
      <c r="G34" s="27">
        <v>9.0</v>
      </c>
      <c r="H34" s="31">
        <v>0.0</v>
      </c>
      <c r="I34" s="31">
        <v>0.0</v>
      </c>
      <c r="J34" s="31">
        <v>0.0</v>
      </c>
      <c r="K34" s="32">
        <v>9.0</v>
      </c>
      <c r="L34" s="31">
        <v>0.0</v>
      </c>
      <c r="M34" s="27">
        <f t="shared" ref="M34:N34" si="31">C34+K34</f>
        <v>110</v>
      </c>
      <c r="N34" s="28">
        <f t="shared" si="31"/>
        <v>5</v>
      </c>
      <c r="O34" s="33" t="s">
        <v>37</v>
      </c>
      <c r="P34" s="33" t="s">
        <v>37</v>
      </c>
      <c r="Q34" s="31">
        <f>if(G34=13,1,0)+VLOOKUP(B34,'82623'!B$5:Q$61,16,false)</f>
        <v>0</v>
      </c>
      <c r="R34" s="31"/>
      <c r="S34" s="31">
        <f>if(G34=9,1,0)+VLOOKUP(B34,'82623'!B:S,18,false)</f>
        <v>2</v>
      </c>
    </row>
    <row r="35">
      <c r="A35" s="25">
        <f t="shared" si="3"/>
        <v>31</v>
      </c>
      <c r="B35" s="26" t="s">
        <v>66</v>
      </c>
      <c r="C35" s="27">
        <v>101.0</v>
      </c>
      <c r="D35" s="28">
        <v>4.0</v>
      </c>
      <c r="E35" s="30">
        <v>1.0</v>
      </c>
      <c r="F35" s="31">
        <v>5.0</v>
      </c>
      <c r="G35" s="27">
        <v>0.0</v>
      </c>
      <c r="H35" s="31">
        <v>6.0</v>
      </c>
      <c r="I35" s="31">
        <v>3.0</v>
      </c>
      <c r="J35" s="31">
        <v>6.0</v>
      </c>
      <c r="K35" s="32">
        <v>15.0</v>
      </c>
      <c r="L35" s="31">
        <v>2.0</v>
      </c>
      <c r="M35" s="27">
        <f t="shared" ref="M35:N35" si="32">C35+K35</f>
        <v>116</v>
      </c>
      <c r="N35" s="28">
        <f t="shared" si="32"/>
        <v>6</v>
      </c>
      <c r="O35" s="33" t="s">
        <v>37</v>
      </c>
      <c r="P35" s="33" t="s">
        <v>37</v>
      </c>
      <c r="Q35" s="31">
        <f>if(G35=13,1,0)+VLOOKUP(B35,'82623'!B$5:Q$61,16,false)</f>
        <v>1</v>
      </c>
      <c r="R35" s="31"/>
      <c r="S35" s="31">
        <f>if(G35=9,1,0)+VLOOKUP(B35,'82623'!B:S,18,false)</f>
        <v>4</v>
      </c>
    </row>
    <row r="36">
      <c r="A36" s="25">
        <f t="shared" si="3"/>
        <v>32</v>
      </c>
      <c r="B36" s="26" t="s">
        <v>55</v>
      </c>
      <c r="C36" s="27">
        <v>99.0</v>
      </c>
      <c r="D36" s="28">
        <v>7.0</v>
      </c>
      <c r="E36" s="30">
        <v>3.0</v>
      </c>
      <c r="F36" s="31">
        <v>0.0</v>
      </c>
      <c r="G36" s="27">
        <v>9.0</v>
      </c>
      <c r="H36" s="31">
        <v>0.0</v>
      </c>
      <c r="I36" s="31">
        <v>0.0</v>
      </c>
      <c r="J36" s="31">
        <v>0.0</v>
      </c>
      <c r="K36" s="32">
        <v>9.0</v>
      </c>
      <c r="L36" s="31">
        <v>0.0</v>
      </c>
      <c r="M36" s="27">
        <f t="shared" ref="M36:N36" si="33">C36+K36</f>
        <v>108</v>
      </c>
      <c r="N36" s="28">
        <f t="shared" si="33"/>
        <v>7</v>
      </c>
      <c r="O36" s="33" t="s">
        <v>37</v>
      </c>
      <c r="P36" s="33" t="s">
        <v>37</v>
      </c>
      <c r="Q36" s="31">
        <f>if(G36=13,1,0)+VLOOKUP(B36,'82623'!B$5:Q$61,16,false)</f>
        <v>0</v>
      </c>
      <c r="R36" s="31"/>
      <c r="S36" s="31">
        <f>if(G36=9,1,0)+VLOOKUP(B36,'82623'!B:S,18,false)</f>
        <v>6</v>
      </c>
    </row>
    <row r="37">
      <c r="A37" s="25">
        <f t="shared" si="3"/>
        <v>33</v>
      </c>
      <c r="B37" s="26" t="s">
        <v>58</v>
      </c>
      <c r="C37" s="27">
        <v>99.0</v>
      </c>
      <c r="D37" s="28">
        <v>5.0</v>
      </c>
      <c r="E37" s="30">
        <v>2.0</v>
      </c>
      <c r="F37" s="31">
        <v>5.0</v>
      </c>
      <c r="G37" s="27">
        <v>0.0</v>
      </c>
      <c r="H37" s="31">
        <v>6.0</v>
      </c>
      <c r="I37" s="31">
        <v>6.0</v>
      </c>
      <c r="J37" s="31">
        <v>4.0</v>
      </c>
      <c r="K37" s="32">
        <v>16.0</v>
      </c>
      <c r="L37" s="31">
        <v>2.0</v>
      </c>
      <c r="M37" s="27">
        <f t="shared" ref="M37:N37" si="34">C37+K37</f>
        <v>115</v>
      </c>
      <c r="N37" s="28">
        <f t="shared" si="34"/>
        <v>7</v>
      </c>
      <c r="O37" s="33" t="s">
        <v>37</v>
      </c>
      <c r="P37" s="33" t="s">
        <v>37</v>
      </c>
      <c r="Q37" s="31">
        <f>if(G37=13,1,0)+VLOOKUP(B37,'82623'!B$5:Q$61,16,false)</f>
        <v>0</v>
      </c>
      <c r="R37" s="31"/>
      <c r="S37" s="31">
        <f>if(G37=9,1,0)+VLOOKUP(B37,'82623'!B:S,18,false)</f>
        <v>4</v>
      </c>
    </row>
    <row r="38">
      <c r="A38" s="25">
        <f t="shared" si="3"/>
        <v>34</v>
      </c>
      <c r="B38" s="26" t="s">
        <v>86</v>
      </c>
      <c r="C38" s="27">
        <v>98.0</v>
      </c>
      <c r="D38" s="28">
        <v>7.0</v>
      </c>
      <c r="E38" s="30">
        <v>1.0</v>
      </c>
      <c r="F38" s="31">
        <v>5.0</v>
      </c>
      <c r="G38" s="27">
        <v>0.0</v>
      </c>
      <c r="H38" s="31">
        <v>2.0</v>
      </c>
      <c r="I38" s="31">
        <v>3.0</v>
      </c>
      <c r="J38" s="31">
        <v>4.0</v>
      </c>
      <c r="K38" s="32">
        <v>9.0</v>
      </c>
      <c r="L38" s="31">
        <v>0.0</v>
      </c>
      <c r="M38" s="27">
        <f t="shared" ref="M38:N38" si="35">C38+K38</f>
        <v>107</v>
      </c>
      <c r="N38" s="28">
        <f t="shared" si="35"/>
        <v>7</v>
      </c>
      <c r="O38" s="33" t="s">
        <v>37</v>
      </c>
      <c r="P38" s="33" t="s">
        <v>37</v>
      </c>
      <c r="Q38" s="31">
        <f>if(G38=13,1,0)+VLOOKUP(B38,'82623'!B$5:Q$61,16,false)</f>
        <v>0</v>
      </c>
      <c r="R38" s="31"/>
      <c r="S38" s="31">
        <f>if(G38=9,1,0)+VLOOKUP(B38,'82623'!B:S,18,false)</f>
        <v>4</v>
      </c>
    </row>
    <row r="39">
      <c r="A39" s="25">
        <f t="shared" si="3"/>
        <v>35</v>
      </c>
      <c r="B39" s="26" t="s">
        <v>78</v>
      </c>
      <c r="C39" s="27">
        <v>97.0</v>
      </c>
      <c r="D39" s="28">
        <v>8.0</v>
      </c>
      <c r="E39" s="30">
        <v>1.0</v>
      </c>
      <c r="F39" s="31">
        <v>5.0</v>
      </c>
      <c r="G39" s="27">
        <v>0.0</v>
      </c>
      <c r="H39" s="31">
        <v>2.0</v>
      </c>
      <c r="I39" s="31">
        <v>6.0</v>
      </c>
      <c r="J39" s="31">
        <v>6.0</v>
      </c>
      <c r="K39" s="32">
        <v>14.0</v>
      </c>
      <c r="L39" s="31">
        <v>2.0</v>
      </c>
      <c r="M39" s="27">
        <f t="shared" ref="M39:N39" si="36">C39+K39</f>
        <v>111</v>
      </c>
      <c r="N39" s="28">
        <f t="shared" si="36"/>
        <v>10</v>
      </c>
      <c r="O39" s="33" t="s">
        <v>37</v>
      </c>
      <c r="P39" s="33" t="s">
        <v>37</v>
      </c>
      <c r="Q39" s="31">
        <f>if(G39=13,1,0)+VLOOKUP(B39,'82623'!B$5:Q$61,16,false)</f>
        <v>0</v>
      </c>
      <c r="R39" s="31"/>
      <c r="S39" s="31">
        <f>if(G39=9,1,0)+VLOOKUP(B39,'82623'!B:S,18,false)</f>
        <v>3</v>
      </c>
    </row>
    <row r="40">
      <c r="A40" s="25">
        <f t="shared" si="3"/>
        <v>36</v>
      </c>
      <c r="B40" s="26" t="s">
        <v>87</v>
      </c>
      <c r="C40" s="27">
        <v>96.0</v>
      </c>
      <c r="D40" s="28">
        <v>4.0</v>
      </c>
      <c r="E40" s="30">
        <v>1.0</v>
      </c>
      <c r="F40" s="31">
        <v>6.0</v>
      </c>
      <c r="G40" s="27">
        <v>0.0</v>
      </c>
      <c r="H40" s="31">
        <v>3.0</v>
      </c>
      <c r="I40" s="31">
        <v>6.0</v>
      </c>
      <c r="J40" s="31">
        <v>6.0</v>
      </c>
      <c r="K40" s="32">
        <v>15.0</v>
      </c>
      <c r="L40" s="31">
        <v>2.0</v>
      </c>
      <c r="M40" s="27">
        <f t="shared" ref="M40:N40" si="37">C40+K40</f>
        <v>111</v>
      </c>
      <c r="N40" s="28">
        <f t="shared" si="37"/>
        <v>6</v>
      </c>
      <c r="O40" s="33" t="s">
        <v>37</v>
      </c>
      <c r="P40" s="33" t="s">
        <v>37</v>
      </c>
      <c r="Q40" s="31">
        <f>if(G40=13,1,0)+VLOOKUP(B40,'82623'!B$5:Q$61,16,false)</f>
        <v>1</v>
      </c>
      <c r="R40" s="31"/>
      <c r="S40" s="31">
        <f>if(G40=9,1,0)+VLOOKUP(B40,'82623'!B:S,18,false)</f>
        <v>3</v>
      </c>
    </row>
    <row r="41">
      <c r="A41" s="25">
        <f t="shared" si="3"/>
        <v>37</v>
      </c>
      <c r="B41" s="26" t="s">
        <v>89</v>
      </c>
      <c r="C41" s="27">
        <v>95.0</v>
      </c>
      <c r="D41" s="28">
        <v>6.0</v>
      </c>
      <c r="E41" s="30">
        <v>5.0</v>
      </c>
      <c r="F41" s="31">
        <v>0.0</v>
      </c>
      <c r="G41" s="27">
        <v>13.0</v>
      </c>
      <c r="H41" s="31">
        <v>0.0</v>
      </c>
      <c r="I41" s="31">
        <v>0.0</v>
      </c>
      <c r="J41" s="31">
        <v>0.0</v>
      </c>
      <c r="K41" s="32">
        <v>13.0</v>
      </c>
      <c r="L41" s="31">
        <v>0.0</v>
      </c>
      <c r="M41" s="27">
        <f t="shared" ref="M41:N41" si="38">C41+K41</f>
        <v>108</v>
      </c>
      <c r="N41" s="28">
        <f t="shared" si="38"/>
        <v>6</v>
      </c>
      <c r="O41" s="33" t="s">
        <v>37</v>
      </c>
      <c r="P41" s="33" t="s">
        <v>37</v>
      </c>
      <c r="Q41" s="31">
        <f>if(G41=13,1,0)+VLOOKUP(B41,'82623'!B$5:Q$61,16,false)</f>
        <v>2</v>
      </c>
      <c r="R41" s="31"/>
      <c r="S41" s="31">
        <f>if(G41=9,1,0)+VLOOKUP(B41,'82623'!B:S,18,false)</f>
        <v>1</v>
      </c>
    </row>
    <row r="42">
      <c r="A42" s="25">
        <f t="shared" si="3"/>
        <v>38</v>
      </c>
      <c r="B42" s="26" t="s">
        <v>79</v>
      </c>
      <c r="C42" s="27">
        <v>93.0</v>
      </c>
      <c r="D42" s="28">
        <v>7.0</v>
      </c>
      <c r="E42" s="30">
        <v>1.0</v>
      </c>
      <c r="F42" s="31">
        <v>6.0</v>
      </c>
      <c r="G42" s="27">
        <v>0.0</v>
      </c>
      <c r="H42" s="31">
        <v>6.0</v>
      </c>
      <c r="I42" s="31">
        <v>2.0</v>
      </c>
      <c r="J42" s="31">
        <v>6.0</v>
      </c>
      <c r="K42" s="32">
        <v>14.0</v>
      </c>
      <c r="L42" s="31">
        <v>2.0</v>
      </c>
      <c r="M42" s="27">
        <f t="shared" ref="M42:N42" si="39">C42+K42</f>
        <v>107</v>
      </c>
      <c r="N42" s="28">
        <f t="shared" si="39"/>
        <v>9</v>
      </c>
      <c r="O42" s="33" t="s">
        <v>37</v>
      </c>
      <c r="P42" s="33" t="s">
        <v>37</v>
      </c>
      <c r="Q42" s="31">
        <f>if(G42=13,1,0)+VLOOKUP(B42,'82623'!B$5:Q$61,16,false)</f>
        <v>0</v>
      </c>
      <c r="R42" s="31"/>
      <c r="S42" s="31">
        <f>if(G42=9,1,0)+VLOOKUP(B42,'82623'!B:S,18,false)</f>
        <v>1</v>
      </c>
    </row>
    <row r="43">
      <c r="A43" s="25">
        <f t="shared" si="3"/>
        <v>39</v>
      </c>
      <c r="B43" s="26" t="s">
        <v>90</v>
      </c>
      <c r="C43" s="27">
        <v>92.0</v>
      </c>
      <c r="D43" s="28">
        <v>6.0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101</v>
      </c>
      <c r="N43" s="28">
        <f t="shared" si="40"/>
        <v>6</v>
      </c>
      <c r="O43" s="33" t="s">
        <v>37</v>
      </c>
      <c r="P43" s="33" t="s">
        <v>37</v>
      </c>
      <c r="Q43" s="31">
        <f>if(G43=13,1,0)+VLOOKUP(B43,'82623'!B$5:Q$61,16,false)</f>
        <v>0</v>
      </c>
      <c r="R43" s="31"/>
      <c r="S43" s="31">
        <f>if(G43=9,1,0)+VLOOKUP(B43,'82623'!B:S,18,false)</f>
        <v>5</v>
      </c>
    </row>
    <row r="44">
      <c r="A44" s="25">
        <f t="shared" si="3"/>
        <v>40</v>
      </c>
      <c r="B44" s="26" t="s">
        <v>71</v>
      </c>
      <c r="C44" s="27">
        <v>92.0</v>
      </c>
      <c r="D44" s="28">
        <v>5.0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101</v>
      </c>
      <c r="N44" s="28">
        <f t="shared" si="41"/>
        <v>5</v>
      </c>
      <c r="O44" s="33" t="s">
        <v>37</v>
      </c>
      <c r="P44" s="33" t="s">
        <v>37</v>
      </c>
      <c r="Q44" s="31">
        <f>if(G44=13,1,0)+VLOOKUP(B44,'82623'!B$5:Q$61,16,false)</f>
        <v>0</v>
      </c>
      <c r="R44" s="31"/>
      <c r="S44" s="31">
        <f>if(G44=9,1,0)+VLOOKUP(B44,'82623'!B:S,18,false)</f>
        <v>7</v>
      </c>
    </row>
    <row r="45">
      <c r="A45" s="25">
        <f t="shared" si="3"/>
        <v>41</v>
      </c>
      <c r="B45" s="36" t="s">
        <v>94</v>
      </c>
      <c r="C45" s="27">
        <v>92.0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101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if(G45=13,1,0)+VLOOKUP(B45,'82623'!B$5:Q$61,16,false)</f>
        <v>0</v>
      </c>
      <c r="R45" s="31"/>
      <c r="S45" s="31">
        <f>if(G45=9,1,0)+VLOOKUP(B45,'82623'!B:S,18,false)</f>
        <v>6</v>
      </c>
    </row>
    <row r="46">
      <c r="A46" s="25">
        <f t="shared" si="3"/>
        <v>42</v>
      </c>
      <c r="B46" s="26" t="s">
        <v>91</v>
      </c>
      <c r="C46" s="27">
        <v>92.0</v>
      </c>
      <c r="D46" s="28">
        <v>1.0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101</v>
      </c>
      <c r="N46" s="28">
        <f t="shared" si="43"/>
        <v>1</v>
      </c>
      <c r="O46" s="33" t="s">
        <v>37</v>
      </c>
      <c r="P46" s="33" t="s">
        <v>37</v>
      </c>
      <c r="Q46" s="31">
        <f>if(G46=13,1,0)+VLOOKUP(B46,'82623'!B$5:Q$61,16,false)</f>
        <v>1</v>
      </c>
      <c r="R46" s="31"/>
      <c r="S46" s="31">
        <f>if(G46=9,1,0)+VLOOKUP(B46,'82623'!B:S,18,false)</f>
        <v>8</v>
      </c>
    </row>
    <row r="47">
      <c r="A47" s="25">
        <f t="shared" si="3"/>
        <v>43</v>
      </c>
      <c r="B47" s="36" t="s">
        <v>93</v>
      </c>
      <c r="C47" s="27">
        <v>91.0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100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if(G47=13,1,0)+VLOOKUP(B47,'82623'!B$5:Q$61,16,false)</f>
        <v>0</v>
      </c>
      <c r="R47" s="31"/>
      <c r="S47" s="31">
        <f>if(G47=9,1,0)+VLOOKUP(B47,'82623'!B:S,18,false)</f>
        <v>9</v>
      </c>
    </row>
    <row r="48">
      <c r="A48" s="25">
        <f t="shared" si="3"/>
        <v>44</v>
      </c>
      <c r="B48" s="36" t="s">
        <v>98</v>
      </c>
      <c r="C48" s="27">
        <v>90.0</v>
      </c>
      <c r="D48" s="28">
        <v>3.0</v>
      </c>
      <c r="E48" s="30">
        <v>3.0</v>
      </c>
      <c r="F48" s="31">
        <v>0.0</v>
      </c>
      <c r="G48" s="27">
        <v>9.0</v>
      </c>
      <c r="H48" s="31">
        <v>0.0</v>
      </c>
      <c r="I48" s="31">
        <v>0.0</v>
      </c>
      <c r="J48" s="31">
        <v>0.0</v>
      </c>
      <c r="K48" s="32">
        <v>9.0</v>
      </c>
      <c r="L48" s="31">
        <v>0.0</v>
      </c>
      <c r="M48" s="27">
        <f t="shared" ref="M48:N48" si="45">C48+K48</f>
        <v>99</v>
      </c>
      <c r="N48" s="28">
        <f t="shared" si="45"/>
        <v>3</v>
      </c>
      <c r="O48" s="33" t="s">
        <v>37</v>
      </c>
      <c r="P48" s="33" t="s">
        <v>37</v>
      </c>
      <c r="Q48" s="31">
        <f>if(G48=13,1,0)+VLOOKUP(B48,'82623'!B$5:Q$61,16,false)</f>
        <v>0</v>
      </c>
      <c r="R48" s="31"/>
      <c r="S48" s="31">
        <f>if(G48=9,1,0)+VLOOKUP(B48,'82623'!B:S,18,false)</f>
        <v>5</v>
      </c>
    </row>
    <row r="49">
      <c r="A49" s="25">
        <f t="shared" si="3"/>
        <v>45</v>
      </c>
      <c r="B49" s="36" t="s">
        <v>99</v>
      </c>
      <c r="C49" s="27">
        <v>90.0</v>
      </c>
      <c r="D49" s="28">
        <v>3.0</v>
      </c>
      <c r="E49" s="30">
        <v>3.0</v>
      </c>
      <c r="F49" s="31">
        <v>0.0</v>
      </c>
      <c r="G49" s="27">
        <v>9.0</v>
      </c>
      <c r="H49" s="31">
        <v>0.0</v>
      </c>
      <c r="I49" s="31">
        <v>0.0</v>
      </c>
      <c r="J49" s="31">
        <v>0.0</v>
      </c>
      <c r="K49" s="32">
        <v>9.0</v>
      </c>
      <c r="L49" s="31">
        <v>0.0</v>
      </c>
      <c r="M49" s="27">
        <f t="shared" ref="M49:N49" si="46">C49+K49</f>
        <v>99</v>
      </c>
      <c r="N49" s="28">
        <f t="shared" si="46"/>
        <v>3</v>
      </c>
      <c r="O49" s="33" t="s">
        <v>37</v>
      </c>
      <c r="P49" s="33" t="s">
        <v>37</v>
      </c>
      <c r="Q49" s="31">
        <f>if(G49=13,1,0)+VLOOKUP(B49,'82623'!B$5:Q$61,16,false)</f>
        <v>0</v>
      </c>
      <c r="R49" s="31"/>
      <c r="S49" s="31">
        <f>if(G49=9,1,0)+VLOOKUP(B49,'82623'!B:S,18,false)</f>
        <v>6</v>
      </c>
    </row>
    <row r="50">
      <c r="A50" s="25">
        <f t="shared" si="3"/>
        <v>46</v>
      </c>
      <c r="B50" s="26" t="s">
        <v>95</v>
      </c>
      <c r="C50" s="27">
        <v>89.0</v>
      </c>
      <c r="D50" s="28">
        <v>3.0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98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if(G50=13,1,0)+VLOOKUP(B50,'82623'!B$5:Q$61,16,false)</f>
        <v>0</v>
      </c>
      <c r="R50" s="31"/>
      <c r="S50" s="31">
        <f>if(G50=9,1,0)+VLOOKUP(B50,'82623'!B:S,18,false)</f>
        <v>8</v>
      </c>
    </row>
    <row r="51">
      <c r="A51" s="25">
        <f t="shared" si="3"/>
        <v>47</v>
      </c>
      <c r="B51" s="36" t="s">
        <v>76</v>
      </c>
      <c r="C51" s="27">
        <v>85.0</v>
      </c>
      <c r="D51" s="28">
        <v>2.0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94</v>
      </c>
      <c r="N51" s="28">
        <f t="shared" si="48"/>
        <v>2</v>
      </c>
      <c r="O51" s="33" t="s">
        <v>37</v>
      </c>
      <c r="P51" s="33" t="s">
        <v>37</v>
      </c>
      <c r="Q51" s="31">
        <f>if(G51=13,1,0)+VLOOKUP(B51,'82623'!B$5:Q$61,16,false)</f>
        <v>0</v>
      </c>
      <c r="R51" s="31"/>
      <c r="S51" s="31">
        <f>if(G51=9,1,0)+VLOOKUP(B51,'82623'!B:S,18,false)</f>
        <v>9</v>
      </c>
    </row>
    <row r="52">
      <c r="A52" s="25">
        <f t="shared" si="3"/>
        <v>48</v>
      </c>
      <c r="B52" s="26" t="s">
        <v>100</v>
      </c>
      <c r="C52" s="27">
        <v>85.0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94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if(G52=13,1,0)+VLOOKUP(B52,'82623'!B$5:Q$61,16,false)</f>
        <v>0</v>
      </c>
      <c r="R52" s="31"/>
      <c r="S52" s="31">
        <f>if(G52=9,1,0)+VLOOKUP(B52,'82623'!B:S,18,false)</f>
        <v>9</v>
      </c>
    </row>
    <row r="53">
      <c r="A53" s="25">
        <f t="shared" si="3"/>
        <v>49</v>
      </c>
      <c r="B53" s="36" t="s">
        <v>96</v>
      </c>
      <c r="C53" s="27">
        <v>84.0</v>
      </c>
      <c r="D53" s="28">
        <v>7.0</v>
      </c>
      <c r="E53" s="30">
        <v>1.0</v>
      </c>
      <c r="F53" s="31">
        <v>6.0</v>
      </c>
      <c r="G53" s="27">
        <v>0.0</v>
      </c>
      <c r="H53" s="31">
        <v>3.0</v>
      </c>
      <c r="I53" s="31">
        <v>2.0</v>
      </c>
      <c r="J53" s="31">
        <v>2.0</v>
      </c>
      <c r="K53" s="32">
        <v>7.0</v>
      </c>
      <c r="L53" s="31">
        <v>0.0</v>
      </c>
      <c r="M53" s="27">
        <f t="shared" ref="M53:N53" si="50">C53+K53</f>
        <v>91</v>
      </c>
      <c r="N53" s="28">
        <f t="shared" si="50"/>
        <v>7</v>
      </c>
      <c r="O53" s="33" t="s">
        <v>37</v>
      </c>
      <c r="P53" s="33" t="s">
        <v>37</v>
      </c>
      <c r="Q53" s="31">
        <f>if(G53=13,1,0)+VLOOKUP(B53,'82623'!B$5:Q$61,16,false)</f>
        <v>0</v>
      </c>
      <c r="R53" s="31"/>
      <c r="S53" s="31">
        <f>if(G53=9,1,0)+VLOOKUP(B53,'82623'!B:S,18,false)</f>
        <v>3</v>
      </c>
    </row>
    <row r="54">
      <c r="A54" s="25">
        <f t="shared" si="3"/>
        <v>50</v>
      </c>
      <c r="B54" s="26" t="s">
        <v>103</v>
      </c>
      <c r="C54" s="27">
        <v>81.0</v>
      </c>
      <c r="D54" s="28">
        <v>0.0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90</v>
      </c>
      <c r="N54" s="28">
        <f t="shared" si="51"/>
        <v>0</v>
      </c>
      <c r="O54" s="33" t="s">
        <v>37</v>
      </c>
      <c r="P54" s="33" t="s">
        <v>37</v>
      </c>
      <c r="Q54" s="31">
        <f>if(G54=13,1,0)+VLOOKUP(B54,'82623'!B$5:Q$61,16,false)</f>
        <v>0</v>
      </c>
      <c r="R54" s="31"/>
      <c r="S54" s="31">
        <f>if(G54=9,1,0)+VLOOKUP(B54,'82623'!B:S,18,false)</f>
        <v>10</v>
      </c>
    </row>
    <row r="55">
      <c r="A55" s="25">
        <f t="shared" si="3"/>
        <v>51</v>
      </c>
      <c r="B55" s="36" t="s">
        <v>104</v>
      </c>
      <c r="C55" s="27">
        <v>81.0</v>
      </c>
      <c r="D55" s="28">
        <v>0.0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90</v>
      </c>
      <c r="N55" s="28">
        <f t="shared" si="52"/>
        <v>0</v>
      </c>
      <c r="O55" s="33" t="s">
        <v>37</v>
      </c>
      <c r="P55" s="33" t="s">
        <v>37</v>
      </c>
      <c r="Q55" s="31">
        <f>if(G55=13,1,0)+VLOOKUP(B55,'82623'!B$5:Q$61,16,false)</f>
        <v>0</v>
      </c>
      <c r="R55" s="31"/>
      <c r="S55" s="31">
        <f>if(G55=9,1,0)+VLOOKUP(B55,'82623'!B:S,18,false)</f>
        <v>10</v>
      </c>
    </row>
    <row r="56">
      <c r="A56" s="25">
        <f t="shared" si="3"/>
        <v>52</v>
      </c>
      <c r="B56" s="26" t="s">
        <v>105</v>
      </c>
      <c r="C56" s="27">
        <v>81.0</v>
      </c>
      <c r="D56" s="28">
        <v>0.0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90</v>
      </c>
      <c r="N56" s="28">
        <f t="shared" si="53"/>
        <v>0</v>
      </c>
      <c r="O56" s="33" t="s">
        <v>37</v>
      </c>
      <c r="P56" s="33" t="s">
        <v>37</v>
      </c>
      <c r="Q56" s="31">
        <f>if(G56=13,1,0)+VLOOKUP(B56,'82623'!B$5:Q$61,16,false)</f>
        <v>0</v>
      </c>
      <c r="R56" s="31"/>
      <c r="S56" s="31">
        <f>if(G56=9,1,0)+VLOOKUP(B56,'82623'!B:S,18,false)</f>
        <v>10</v>
      </c>
    </row>
    <row r="57">
      <c r="A57" s="25">
        <f t="shared" si="3"/>
        <v>53</v>
      </c>
      <c r="B57" s="26" t="s">
        <v>106</v>
      </c>
      <c r="C57" s="27">
        <v>81.0</v>
      </c>
      <c r="D57" s="28">
        <v>0.0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90</v>
      </c>
      <c r="N57" s="28">
        <f t="shared" si="54"/>
        <v>0</v>
      </c>
      <c r="O57" s="33" t="s">
        <v>37</v>
      </c>
      <c r="P57" s="33" t="s">
        <v>37</v>
      </c>
      <c r="Q57" s="31">
        <f>if(G57=13,1,0)+VLOOKUP(B57,'82623'!B$5:Q$61,16,false)</f>
        <v>0</v>
      </c>
      <c r="R57" s="31"/>
      <c r="S57" s="31">
        <f>if(G57=9,1,0)+VLOOKUP(B57,'82623'!B:S,18,false)</f>
        <v>10</v>
      </c>
    </row>
    <row r="58">
      <c r="A58" s="25">
        <f t="shared" si="3"/>
        <v>54</v>
      </c>
      <c r="B58" s="36" t="s">
        <v>108</v>
      </c>
      <c r="C58" s="27">
        <v>80.0</v>
      </c>
      <c r="D58" s="28">
        <v>3.0</v>
      </c>
      <c r="E58" s="30">
        <v>3.0</v>
      </c>
      <c r="F58" s="31">
        <v>0.0</v>
      </c>
      <c r="G58" s="27">
        <v>9.0</v>
      </c>
      <c r="H58" s="31">
        <v>0.0</v>
      </c>
      <c r="I58" s="31">
        <v>0.0</v>
      </c>
      <c r="J58" s="31">
        <v>0.0</v>
      </c>
      <c r="K58" s="32">
        <v>9.0</v>
      </c>
      <c r="L58" s="31">
        <v>0.0</v>
      </c>
      <c r="M58" s="27">
        <f t="shared" ref="M58:N58" si="55">C58+K58</f>
        <v>89</v>
      </c>
      <c r="N58" s="28">
        <f t="shared" si="55"/>
        <v>3</v>
      </c>
      <c r="O58" s="33" t="s">
        <v>37</v>
      </c>
      <c r="P58" s="33" t="s">
        <v>37</v>
      </c>
      <c r="Q58" s="31">
        <f>if(G58=13,1,0)+VLOOKUP(B58,'82623'!B$5:Q$61,16,false)</f>
        <v>0</v>
      </c>
      <c r="R58" s="31"/>
      <c r="S58" s="31">
        <f>if(G58=9,1,0)+VLOOKUP(B58,'82623'!B:S,18,false)</f>
        <v>7</v>
      </c>
    </row>
    <row r="59">
      <c r="A59" s="25">
        <f t="shared" si="3"/>
        <v>55</v>
      </c>
      <c r="B59" s="36" t="s">
        <v>97</v>
      </c>
      <c r="C59" s="27">
        <v>78.0</v>
      </c>
      <c r="D59" s="28">
        <v>3.0</v>
      </c>
      <c r="E59" s="30">
        <v>1.0</v>
      </c>
      <c r="F59" s="31">
        <v>6.0</v>
      </c>
      <c r="G59" s="27">
        <v>0.0</v>
      </c>
      <c r="H59" s="31">
        <v>6.0</v>
      </c>
      <c r="I59" s="31">
        <v>6.0</v>
      </c>
      <c r="J59" s="31">
        <v>2.0</v>
      </c>
      <c r="K59" s="32">
        <v>14.0</v>
      </c>
      <c r="L59" s="31">
        <v>2.0</v>
      </c>
      <c r="M59" s="27">
        <f t="shared" ref="M59:N59" si="56">C59+K59</f>
        <v>92</v>
      </c>
      <c r="N59" s="28">
        <f t="shared" si="56"/>
        <v>5</v>
      </c>
      <c r="O59" s="33" t="s">
        <v>37</v>
      </c>
      <c r="P59" s="33" t="s">
        <v>37</v>
      </c>
      <c r="Q59" s="31">
        <f>if(G59=13,1,0)+VLOOKUP(B59,'82623'!B$5:Q$61,16,false)</f>
        <v>0</v>
      </c>
      <c r="R59" s="31"/>
      <c r="S59" s="31">
        <f>if(G59=9,1,0)+VLOOKUP(B59,'82623'!B:S,18,false)</f>
        <v>5</v>
      </c>
    </row>
    <row r="60">
      <c r="A60" s="25">
        <f t="shared" si="3"/>
        <v>56</v>
      </c>
      <c r="B60" s="36" t="s">
        <v>85</v>
      </c>
      <c r="C60" s="27">
        <v>75.0</v>
      </c>
      <c r="D60" s="28">
        <v>3.0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84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if(G60=13,1,0)+VLOOKUP(B60,'82623'!B$5:Q$61,16,false)</f>
        <v>0</v>
      </c>
      <c r="R60" s="31"/>
      <c r="S60" s="31">
        <f>if(G60=9,1,0)+VLOOKUP(B60,'82623'!B:S,18,false)</f>
        <v>6</v>
      </c>
    </row>
    <row r="61">
      <c r="A61" s="25">
        <f t="shared" si="3"/>
        <v>57</v>
      </c>
      <c r="B61" s="36" t="s">
        <v>109</v>
      </c>
      <c r="C61" s="27">
        <v>70.0</v>
      </c>
      <c r="D61" s="28">
        <v>1.0</v>
      </c>
      <c r="E61" s="30">
        <v>3.0</v>
      </c>
      <c r="F61" s="31">
        <v>0.0</v>
      </c>
      <c r="G61" s="27">
        <v>9.0</v>
      </c>
      <c r="H61" s="31">
        <v>0.0</v>
      </c>
      <c r="I61" s="31">
        <v>0.0</v>
      </c>
      <c r="J61" s="31">
        <v>0.0</v>
      </c>
      <c r="K61" s="32">
        <v>9.0</v>
      </c>
      <c r="L61" s="31">
        <v>0.0</v>
      </c>
      <c r="M61" s="27">
        <f t="shared" ref="M61:N61" si="58">C61+K61</f>
        <v>79</v>
      </c>
      <c r="N61" s="28">
        <f t="shared" si="58"/>
        <v>1</v>
      </c>
      <c r="O61" s="33" t="s">
        <v>37</v>
      </c>
      <c r="P61" s="33" t="s">
        <v>37</v>
      </c>
      <c r="Q61" s="31">
        <f>if(G61=13,1,0)+VLOOKUP(B61,'82623'!B$5:Q$61,16,false)</f>
        <v>0</v>
      </c>
      <c r="R61" s="31"/>
      <c r="S61" s="31">
        <f>if(G61=9,1,0)+VLOOKUP(B61,'82623'!B:S,18,false)</f>
        <v>4</v>
      </c>
    </row>
    <row r="62">
      <c r="A62" s="1"/>
      <c r="C62" s="1"/>
      <c r="D62" s="1"/>
      <c r="E62" s="1"/>
      <c r="P62" s="1"/>
    </row>
    <row r="63">
      <c r="A63" s="1"/>
      <c r="B63" s="39">
        <f>COUNTA(B5:B61)</f>
        <v>57</v>
      </c>
      <c r="C63" s="1"/>
      <c r="D63" s="1"/>
      <c r="E63" s="1"/>
      <c r="O63" s="34" t="s">
        <v>110</v>
      </c>
      <c r="P63" s="40">
        <f>COUNTA(P5:P61)</f>
        <v>57</v>
      </c>
    </row>
    <row r="64">
      <c r="A64" s="1"/>
      <c r="C64" s="1"/>
      <c r="D64" s="1"/>
      <c r="E64" s="1"/>
      <c r="O64" s="34" t="s">
        <v>111</v>
      </c>
      <c r="P64" s="40">
        <f>P65-P63</f>
        <v>0</v>
      </c>
    </row>
    <row r="65">
      <c r="A65" s="1"/>
      <c r="C65" s="1"/>
      <c r="D65" s="1"/>
      <c r="J65" s="41"/>
      <c r="K65" s="42"/>
      <c r="L65" s="43"/>
      <c r="O65" s="34" t="s">
        <v>41</v>
      </c>
      <c r="P65" s="40">
        <f>B63</f>
        <v>57</v>
      </c>
    </row>
    <row r="66">
      <c r="A66" s="1"/>
      <c r="C66" s="1"/>
      <c r="D66" s="1"/>
      <c r="E66" s="34" t="s">
        <v>112</v>
      </c>
      <c r="J66" s="41"/>
      <c r="K66" s="42"/>
      <c r="L66" s="43"/>
    </row>
    <row r="67">
      <c r="A67" s="1"/>
      <c r="C67" s="1"/>
      <c r="D67" s="1"/>
      <c r="J67" s="41"/>
      <c r="K67" s="42"/>
      <c r="L67" s="43"/>
    </row>
    <row r="68">
      <c r="A68" s="1"/>
      <c r="C68" s="1"/>
      <c r="D68" s="1"/>
      <c r="J68" s="41"/>
      <c r="K68" s="42"/>
      <c r="L68" s="43"/>
    </row>
    <row r="69">
      <c r="A69" s="1"/>
      <c r="B69" s="45" t="s">
        <v>113</v>
      </c>
      <c r="C69" s="45" t="s">
        <v>114</v>
      </c>
      <c r="D69" s="45" t="s">
        <v>115</v>
      </c>
      <c r="J69" s="41"/>
      <c r="K69" s="42"/>
      <c r="L69" s="43"/>
    </row>
    <row r="70">
      <c r="A70" s="1"/>
      <c r="B70" s="36" t="str">
        <f>IFERROR(__xludf.DUMMYFUNCTION("QUERY(B5:L61,""Select B, K, L where K &gt;= 18 order by K desc, L desc"",0)"),"Joe Luzzi")</f>
        <v>Joe Luzzi</v>
      </c>
      <c r="C70" s="46">
        <f>IFERROR(__xludf.DUMMYFUNCTION("""COMPUTED_VALUE"""),20.0)</f>
        <v>20</v>
      </c>
      <c r="D70" s="46">
        <f>IFERROR(__xludf.DUMMYFUNCTION("""COMPUTED_VALUE"""),3.0)</f>
        <v>3</v>
      </c>
      <c r="E70" s="1"/>
      <c r="K70" s="42"/>
      <c r="L70" s="43"/>
    </row>
    <row r="71">
      <c r="A71" s="1"/>
      <c r="B71" s="36" t="str">
        <f>IFERROR(__xludf.DUMMYFUNCTION("""COMPUTED_VALUE"""),"Matthew Huang")</f>
        <v>Matthew Huang</v>
      </c>
      <c r="C71" s="46">
        <f>IFERROR(__xludf.DUMMYFUNCTION("""COMPUTED_VALUE"""),18.0)</f>
        <v>18</v>
      </c>
      <c r="D71" s="46">
        <f>IFERROR(__xludf.DUMMYFUNCTION("""COMPUTED_VALUE"""),2.0)</f>
        <v>2</v>
      </c>
      <c r="E71" s="1"/>
      <c r="L71" s="47"/>
    </row>
    <row r="72">
      <c r="A72" s="1"/>
      <c r="B72" s="36"/>
      <c r="C72" s="36"/>
      <c r="D72" s="36"/>
      <c r="E72" s="1"/>
    </row>
    <row r="73">
      <c r="A73" s="1"/>
      <c r="B73" s="36"/>
      <c r="C73" s="36"/>
      <c r="D73" s="36"/>
      <c r="E73" s="1"/>
    </row>
    <row r="74">
      <c r="A74" s="1"/>
      <c r="B74" s="36"/>
      <c r="C74" s="46"/>
      <c r="D74" s="46"/>
      <c r="E74" s="1"/>
      <c r="K74" s="34"/>
    </row>
    <row r="75">
      <c r="A75" s="1"/>
      <c r="B75" s="36"/>
      <c r="C75" s="46"/>
      <c r="D75" s="46"/>
      <c r="E75" s="1"/>
      <c r="K75" s="34"/>
    </row>
    <row r="76">
      <c r="A76" s="1"/>
      <c r="B76" s="36"/>
      <c r="C76" s="46"/>
      <c r="D76" s="46"/>
      <c r="E76" s="1"/>
      <c r="K76" s="34"/>
    </row>
    <row r="77">
      <c r="A77" s="1"/>
      <c r="B77" s="36"/>
      <c r="C77" s="46"/>
      <c r="D77" s="46"/>
      <c r="E77" s="1"/>
      <c r="K77" s="34"/>
    </row>
    <row r="78">
      <c r="A78" s="1"/>
      <c r="B78" s="36"/>
      <c r="C78" s="46"/>
      <c r="D78" s="46"/>
      <c r="E78" s="1"/>
    </row>
    <row r="79">
      <c r="A79" s="1"/>
      <c r="B79" s="36"/>
      <c r="C79" s="46"/>
      <c r="D79" s="46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E1"/>
    <mergeCell ref="H1:J1"/>
    <mergeCell ref="K1:L1"/>
    <mergeCell ref="B2:C2"/>
    <mergeCell ref="M3:N3"/>
  </mergeCells>
  <conditionalFormatting sqref="K5:K61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1 B69:D79">
    <cfRule type="expression" dxfId="0" priority="3">
      <formula>E5=1</formula>
    </cfRule>
  </conditionalFormatting>
  <conditionalFormatting sqref="B5:B61 B69:D79">
    <cfRule type="expression" dxfId="2" priority="4">
      <formula>E5=2</formula>
    </cfRule>
  </conditionalFormatting>
  <conditionalFormatting sqref="B5:B61 B69:D79">
    <cfRule type="expression" dxfId="3" priority="5">
      <formula>E5=3</formula>
    </cfRule>
  </conditionalFormatting>
  <conditionalFormatting sqref="B5:B61 B69:D79">
    <cfRule type="expression" dxfId="4" priority="6">
      <formula>E5=4</formula>
    </cfRule>
  </conditionalFormatting>
  <conditionalFormatting sqref="L71">
    <cfRule type="containsText" dxfId="0" priority="7" operator="containsText" text="Good">
      <formula>NOT(ISERROR(SEARCH(("Good"),(L71))))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3" width="8.63"/>
    <col customWidth="1" min="4" max="4" width="5.75"/>
    <col customWidth="1" min="5" max="5" width="7.75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7" width="6.13"/>
    <col customWidth="1" min="18" max="18" width="8.0"/>
    <col customWidth="1" min="19" max="19" width="8.75"/>
  </cols>
  <sheetData>
    <row r="1">
      <c r="A1" s="1"/>
      <c r="B1" s="2" t="s">
        <v>1</v>
      </c>
      <c r="C1" s="3">
        <v>45164.0</v>
      </c>
      <c r="F1" s="5"/>
      <c r="G1" s="5"/>
      <c r="H1" s="5"/>
      <c r="K1" s="5"/>
      <c r="M1" s="5"/>
    </row>
    <row r="2">
      <c r="A2" s="1"/>
      <c r="B2" s="8" t="s">
        <v>6</v>
      </c>
      <c r="D2" s="9">
        <v>9.0</v>
      </c>
      <c r="E2" s="1"/>
    </row>
    <row r="3" ht="27.75" customHeight="1">
      <c r="A3" s="1"/>
      <c r="C3" s="1"/>
      <c r="D3" s="1"/>
      <c r="E3" s="1"/>
      <c r="M3" s="66" t="s">
        <v>118</v>
      </c>
      <c r="N3" s="12"/>
      <c r="P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27</v>
      </c>
      <c r="G4" s="21" t="s">
        <v>28</v>
      </c>
      <c r="H4" s="21" t="s">
        <v>17</v>
      </c>
      <c r="I4" s="21" t="s">
        <v>18</v>
      </c>
      <c r="J4" s="21" t="s">
        <v>19</v>
      </c>
      <c r="K4" s="21" t="s">
        <v>8</v>
      </c>
      <c r="L4" s="21" t="s">
        <v>14</v>
      </c>
      <c r="M4" s="22" t="s">
        <v>8</v>
      </c>
      <c r="N4" s="22" t="s">
        <v>14</v>
      </c>
      <c r="O4" s="21" t="s">
        <v>29</v>
      </c>
      <c r="P4" s="21" t="s">
        <v>30</v>
      </c>
      <c r="Q4" s="21" t="s">
        <v>31</v>
      </c>
      <c r="R4" s="21" t="s">
        <v>32</v>
      </c>
      <c r="S4" s="21" t="s">
        <v>33</v>
      </c>
    </row>
    <row r="5">
      <c r="A5" s="25">
        <v>1.0</v>
      </c>
      <c r="B5" s="26" t="s">
        <v>72</v>
      </c>
      <c r="C5" s="27">
        <v>121.0</v>
      </c>
      <c r="D5" s="28">
        <v>14.0</v>
      </c>
      <c r="E5" s="30">
        <v>3.0</v>
      </c>
      <c r="F5" s="31">
        <v>0.0</v>
      </c>
      <c r="G5" s="27">
        <v>9.0</v>
      </c>
      <c r="H5" s="31">
        <v>0.0</v>
      </c>
      <c r="I5" s="31">
        <v>0.0</v>
      </c>
      <c r="J5" s="31">
        <v>0.0</v>
      </c>
      <c r="K5" s="32">
        <v>9.0</v>
      </c>
      <c r="L5" s="31">
        <v>0.0</v>
      </c>
      <c r="M5" s="27">
        <f t="shared" ref="M5:N5" si="1">C5+K5</f>
        <v>130</v>
      </c>
      <c r="N5" s="28">
        <f t="shared" si="1"/>
        <v>14</v>
      </c>
      <c r="O5" s="33" t="s">
        <v>37</v>
      </c>
      <c r="P5" s="33" t="s">
        <v>37</v>
      </c>
      <c r="Q5" s="31">
        <f>if(G5=13,1,0)+VLOOKUP(B5,'81923'!B$5:P$61,15,false)</f>
        <v>1</v>
      </c>
      <c r="R5" s="31"/>
      <c r="S5" s="31">
        <f>if(G5=9,1,0)+VLOOKUP(B5,'81923'!B:R,17,false)</f>
        <v>2</v>
      </c>
    </row>
    <row r="6">
      <c r="A6" s="25">
        <f t="shared" ref="A6:A61" si="3">A5+1</f>
        <v>2</v>
      </c>
      <c r="B6" s="36" t="s">
        <v>67</v>
      </c>
      <c r="C6" s="27">
        <v>114.0</v>
      </c>
      <c r="D6" s="28">
        <v>12.0</v>
      </c>
      <c r="E6" s="30">
        <v>1.0</v>
      </c>
      <c r="F6" s="31">
        <v>1.0</v>
      </c>
      <c r="G6" s="27">
        <v>0.0</v>
      </c>
      <c r="H6" s="31">
        <v>4.0</v>
      </c>
      <c r="I6" s="31">
        <v>6.0</v>
      </c>
      <c r="J6" s="31">
        <v>6.0</v>
      </c>
      <c r="K6" s="32">
        <v>16.0</v>
      </c>
      <c r="L6" s="31">
        <v>2.0</v>
      </c>
      <c r="M6" s="27">
        <f t="shared" ref="M6:N6" si="2">C6+K6</f>
        <v>130</v>
      </c>
      <c r="N6" s="28">
        <f t="shared" si="2"/>
        <v>14</v>
      </c>
      <c r="O6" s="33" t="s">
        <v>37</v>
      </c>
      <c r="P6" s="33" t="s">
        <v>37</v>
      </c>
      <c r="Q6" s="31">
        <f>if(G6=13,1,0)+VLOOKUP(B6,'81923'!B$5:P$61,15,false)</f>
        <v>0</v>
      </c>
      <c r="R6" s="31"/>
      <c r="S6" s="31">
        <f>if(G6=9,1,0)+VLOOKUP(B6,'81923'!B:R,17,false)</f>
        <v>1</v>
      </c>
    </row>
    <row r="7">
      <c r="A7" s="25">
        <f t="shared" si="3"/>
        <v>3</v>
      </c>
      <c r="B7" s="26" t="s">
        <v>42</v>
      </c>
      <c r="C7" s="27">
        <v>114.0</v>
      </c>
      <c r="D7" s="28">
        <v>12.0</v>
      </c>
      <c r="E7" s="30">
        <v>3.0</v>
      </c>
      <c r="F7" s="31">
        <v>0.0</v>
      </c>
      <c r="G7" s="27">
        <v>9.0</v>
      </c>
      <c r="H7" s="31">
        <v>0.0</v>
      </c>
      <c r="I7" s="31">
        <v>0.0</v>
      </c>
      <c r="J7" s="31">
        <v>0.0</v>
      </c>
      <c r="K7" s="32">
        <v>9.0</v>
      </c>
      <c r="L7" s="31">
        <v>0.0</v>
      </c>
      <c r="M7" s="27">
        <f t="shared" ref="M7:N7" si="4">C7+K7</f>
        <v>123</v>
      </c>
      <c r="N7" s="28">
        <f t="shared" si="4"/>
        <v>12</v>
      </c>
      <c r="O7" s="33" t="s">
        <v>37</v>
      </c>
      <c r="P7" s="33" t="s">
        <v>37</v>
      </c>
      <c r="Q7" s="31">
        <f>if(G7=13,1,0)+VLOOKUP(B7,'81923'!B$5:P$61,15,false)</f>
        <v>0</v>
      </c>
      <c r="R7" s="31"/>
      <c r="S7" s="31">
        <f>if(G7=9,1,0)+VLOOKUP(B7,'81923'!B:R,17,false)</f>
        <v>3</v>
      </c>
    </row>
    <row r="8">
      <c r="A8" s="25">
        <f t="shared" si="3"/>
        <v>4</v>
      </c>
      <c r="B8" s="26" t="s">
        <v>49</v>
      </c>
      <c r="C8" s="27">
        <v>109.0</v>
      </c>
      <c r="D8" s="28">
        <v>10.0</v>
      </c>
      <c r="E8" s="30">
        <v>1.0</v>
      </c>
      <c r="F8" s="31">
        <v>1.0</v>
      </c>
      <c r="G8" s="27">
        <v>0.0</v>
      </c>
      <c r="H8" s="31">
        <v>6.0</v>
      </c>
      <c r="I8" s="31">
        <v>6.0</v>
      </c>
      <c r="J8" s="31">
        <v>3.0</v>
      </c>
      <c r="K8" s="32">
        <v>15.0</v>
      </c>
      <c r="L8" s="31">
        <v>2.0</v>
      </c>
      <c r="M8" s="27">
        <f t="shared" ref="M8:N8" si="5">C8+K8</f>
        <v>124</v>
      </c>
      <c r="N8" s="28">
        <f t="shared" si="5"/>
        <v>12</v>
      </c>
      <c r="O8" s="33" t="s">
        <v>37</v>
      </c>
      <c r="P8" s="33" t="s">
        <v>37</v>
      </c>
      <c r="Q8" s="31">
        <f>if(G8=13,1,0)+VLOOKUP(B8,'81923'!B$5:P$61,15,false)</f>
        <v>0</v>
      </c>
      <c r="R8" s="31"/>
      <c r="S8" s="31">
        <f>if(G8=9,1,0)+VLOOKUP(B8,'81923'!B:R,17,false)</f>
        <v>0</v>
      </c>
    </row>
    <row r="9">
      <c r="A9" s="25">
        <f t="shared" si="3"/>
        <v>5</v>
      </c>
      <c r="B9" s="26" t="s">
        <v>75</v>
      </c>
      <c r="C9" s="27">
        <v>108.0</v>
      </c>
      <c r="D9" s="28">
        <v>10.0</v>
      </c>
      <c r="E9" s="30">
        <v>2.0</v>
      </c>
      <c r="F9" s="31">
        <v>1.0</v>
      </c>
      <c r="G9" s="27">
        <v>0.0</v>
      </c>
      <c r="H9" s="31">
        <v>4.0</v>
      </c>
      <c r="I9" s="31">
        <v>0.0</v>
      </c>
      <c r="J9" s="31">
        <v>3.0</v>
      </c>
      <c r="K9" s="32">
        <v>7.0</v>
      </c>
      <c r="L9" s="31">
        <v>0.0</v>
      </c>
      <c r="M9" s="27">
        <f t="shared" ref="M9:N9" si="6">C9+K9</f>
        <v>115</v>
      </c>
      <c r="N9" s="28">
        <f t="shared" si="6"/>
        <v>10</v>
      </c>
      <c r="O9" s="33" t="s">
        <v>37</v>
      </c>
      <c r="P9" s="33" t="s">
        <v>37</v>
      </c>
      <c r="Q9" s="31">
        <f>if(G9=13,1,0)+VLOOKUP(B9,'81923'!B$5:P$61,15,false)</f>
        <v>0</v>
      </c>
      <c r="R9" s="31"/>
      <c r="S9" s="31">
        <f>if(G9=9,1,0)+VLOOKUP(B9,'81923'!B:R,17,false)</f>
        <v>2</v>
      </c>
    </row>
    <row r="10">
      <c r="A10" s="25">
        <f t="shared" si="3"/>
        <v>6</v>
      </c>
      <c r="B10" s="26" t="s">
        <v>70</v>
      </c>
      <c r="C10" s="27">
        <v>106.0</v>
      </c>
      <c r="D10" s="28">
        <v>11.0</v>
      </c>
      <c r="E10" s="30">
        <v>1.0</v>
      </c>
      <c r="F10" s="31">
        <v>1.0</v>
      </c>
      <c r="G10" s="27">
        <v>0.0</v>
      </c>
      <c r="H10" s="31">
        <v>6.0</v>
      </c>
      <c r="I10" s="31">
        <v>0.0</v>
      </c>
      <c r="J10" s="31">
        <v>6.0</v>
      </c>
      <c r="K10" s="32">
        <v>12.0</v>
      </c>
      <c r="L10" s="31">
        <v>2.0</v>
      </c>
      <c r="M10" s="27">
        <f t="shared" ref="M10:N10" si="7">C10+K10</f>
        <v>118</v>
      </c>
      <c r="N10" s="28">
        <f t="shared" si="7"/>
        <v>13</v>
      </c>
      <c r="O10" s="33" t="s">
        <v>37</v>
      </c>
      <c r="P10" s="33" t="s">
        <v>37</v>
      </c>
      <c r="Q10" s="31">
        <f>if(G10=13,1,0)+VLOOKUP(B10,'81923'!B$5:P$61,15,false)</f>
        <v>0</v>
      </c>
      <c r="R10" s="31"/>
      <c r="S10" s="31">
        <f>if(G10=9,1,0)+VLOOKUP(B10,'81923'!B:R,17,false)</f>
        <v>2</v>
      </c>
    </row>
    <row r="11">
      <c r="A11" s="25">
        <f t="shared" si="3"/>
        <v>7</v>
      </c>
      <c r="B11" s="26" t="s">
        <v>61</v>
      </c>
      <c r="C11" s="27">
        <v>105.0</v>
      </c>
      <c r="D11" s="28">
        <v>11.0</v>
      </c>
      <c r="E11" s="30">
        <v>1.0</v>
      </c>
      <c r="F11" s="31">
        <v>2.0</v>
      </c>
      <c r="G11" s="27">
        <v>0.0</v>
      </c>
      <c r="H11" s="31">
        <v>4.0</v>
      </c>
      <c r="I11" s="31">
        <v>6.0</v>
      </c>
      <c r="J11" s="31">
        <v>3.0</v>
      </c>
      <c r="K11" s="32">
        <v>13.0</v>
      </c>
      <c r="L11" s="31">
        <v>0.0</v>
      </c>
      <c r="M11" s="27">
        <f t="shared" ref="M11:N11" si="8">C11+K11</f>
        <v>118</v>
      </c>
      <c r="N11" s="28">
        <f t="shared" si="8"/>
        <v>11</v>
      </c>
      <c r="O11" s="33" t="s">
        <v>37</v>
      </c>
      <c r="P11" s="33" t="s">
        <v>37</v>
      </c>
      <c r="Q11" s="31">
        <f>if(G11=13,1,0)+VLOOKUP(B11,'81923'!B$5:P$61,15,false)</f>
        <v>0</v>
      </c>
      <c r="R11" s="31"/>
      <c r="S11" s="31">
        <f>if(G11=9,1,0)+VLOOKUP(B11,'81923'!B:R,17,false)</f>
        <v>1</v>
      </c>
    </row>
    <row r="12">
      <c r="A12" s="25">
        <f t="shared" si="3"/>
        <v>8</v>
      </c>
      <c r="B12" s="26" t="s">
        <v>80</v>
      </c>
      <c r="C12" s="27">
        <v>105.0</v>
      </c>
      <c r="D12" s="28">
        <v>10.0</v>
      </c>
      <c r="E12" s="30">
        <v>3.0</v>
      </c>
      <c r="F12" s="31">
        <v>0.0</v>
      </c>
      <c r="G12" s="27">
        <v>9.0</v>
      </c>
      <c r="H12" s="31">
        <v>0.0</v>
      </c>
      <c r="I12" s="31">
        <v>0.0</v>
      </c>
      <c r="J12" s="31">
        <v>0.0</v>
      </c>
      <c r="K12" s="32">
        <v>9.0</v>
      </c>
      <c r="L12" s="31">
        <v>0.0</v>
      </c>
      <c r="M12" s="27">
        <f t="shared" ref="M12:N12" si="9">C12+K12</f>
        <v>114</v>
      </c>
      <c r="N12" s="28">
        <f t="shared" si="9"/>
        <v>10</v>
      </c>
      <c r="O12" s="33" t="s">
        <v>37</v>
      </c>
      <c r="P12" s="33" t="s">
        <v>37</v>
      </c>
      <c r="Q12" s="31">
        <f>if(G12=13,1,0)+VLOOKUP(B12,'81923'!B$5:P$61,15,false)</f>
        <v>0</v>
      </c>
      <c r="R12" s="31"/>
      <c r="S12" s="31">
        <f>if(G12=9,1,0)+VLOOKUP(B12,'81923'!B:R,17,false)</f>
        <v>5</v>
      </c>
    </row>
    <row r="13">
      <c r="A13" s="25">
        <f t="shared" si="3"/>
        <v>9</v>
      </c>
      <c r="B13" s="26" t="s">
        <v>34</v>
      </c>
      <c r="C13" s="27">
        <v>105.0</v>
      </c>
      <c r="D13" s="28">
        <v>10.0</v>
      </c>
      <c r="E13" s="30">
        <v>5.0</v>
      </c>
      <c r="F13" s="31">
        <v>0.0</v>
      </c>
      <c r="G13" s="27">
        <v>13.0</v>
      </c>
      <c r="H13" s="31">
        <v>0.0</v>
      </c>
      <c r="I13" s="31">
        <v>0.0</v>
      </c>
      <c r="J13" s="31">
        <v>0.0</v>
      </c>
      <c r="K13" s="32">
        <v>13.0</v>
      </c>
      <c r="L13" s="31">
        <v>0.0</v>
      </c>
      <c r="M13" s="27">
        <f t="shared" ref="M13:N13" si="10">C13+K13</f>
        <v>118</v>
      </c>
      <c r="N13" s="28">
        <f t="shared" si="10"/>
        <v>10</v>
      </c>
      <c r="O13" s="33" t="s">
        <v>37</v>
      </c>
      <c r="P13" s="33" t="s">
        <v>37</v>
      </c>
      <c r="Q13" s="31">
        <f>if(G13=13,1,0)+VLOOKUP(B13,'81923'!B$5:P$61,15,false)</f>
        <v>1</v>
      </c>
      <c r="R13" s="31"/>
      <c r="S13" s="31">
        <f>if(G13=9,1,0)+VLOOKUP(B13,'81923'!B:R,17,false)</f>
        <v>4</v>
      </c>
    </row>
    <row r="14">
      <c r="A14" s="25">
        <f t="shared" si="3"/>
        <v>10</v>
      </c>
      <c r="B14" s="26" t="s">
        <v>54</v>
      </c>
      <c r="C14" s="27">
        <v>105.0</v>
      </c>
      <c r="D14" s="28">
        <v>10.0</v>
      </c>
      <c r="E14" s="30">
        <v>1.0</v>
      </c>
      <c r="F14" s="31">
        <v>2.0</v>
      </c>
      <c r="G14" s="27">
        <v>0.0</v>
      </c>
      <c r="H14" s="31">
        <v>6.0</v>
      </c>
      <c r="I14" s="31">
        <v>7.0</v>
      </c>
      <c r="J14" s="31">
        <v>3.0</v>
      </c>
      <c r="K14" s="32">
        <v>16.0</v>
      </c>
      <c r="L14" s="31">
        <v>2.0</v>
      </c>
      <c r="M14" s="27">
        <f t="shared" ref="M14:N14" si="11">C14+K14</f>
        <v>121</v>
      </c>
      <c r="N14" s="28">
        <f t="shared" si="11"/>
        <v>12</v>
      </c>
      <c r="O14" s="33" t="s">
        <v>37</v>
      </c>
      <c r="P14" s="33" t="s">
        <v>37</v>
      </c>
      <c r="Q14" s="31">
        <f>if(G14=13,1,0)+VLOOKUP(B14,'81923'!B$5:P$61,15,false)</f>
        <v>0</v>
      </c>
      <c r="R14" s="31"/>
      <c r="S14" s="31">
        <f>if(G14=9,1,0)+VLOOKUP(B14,'81923'!B:R,17,false)</f>
        <v>2</v>
      </c>
    </row>
    <row r="15">
      <c r="A15" s="25">
        <f t="shared" si="3"/>
        <v>11</v>
      </c>
      <c r="B15" s="26" t="s">
        <v>52</v>
      </c>
      <c r="C15" s="27">
        <v>103.0</v>
      </c>
      <c r="D15" s="28">
        <v>10.0</v>
      </c>
      <c r="E15" s="30">
        <v>1.0</v>
      </c>
      <c r="F15" s="31">
        <v>2.0</v>
      </c>
      <c r="G15" s="27">
        <v>0.0</v>
      </c>
      <c r="H15" s="31">
        <v>4.0</v>
      </c>
      <c r="I15" s="31">
        <v>7.0</v>
      </c>
      <c r="J15" s="31">
        <v>6.0</v>
      </c>
      <c r="K15" s="32">
        <v>17.0</v>
      </c>
      <c r="L15" s="31">
        <v>2.0</v>
      </c>
      <c r="M15" s="27">
        <f t="shared" ref="M15:N15" si="12">C15+K15</f>
        <v>120</v>
      </c>
      <c r="N15" s="28">
        <f t="shared" si="12"/>
        <v>12</v>
      </c>
      <c r="O15" s="33" t="s">
        <v>37</v>
      </c>
      <c r="P15" s="33" t="s">
        <v>37</v>
      </c>
      <c r="Q15" s="31">
        <f>if(G15=13,1,0)+VLOOKUP(B15,'81923'!B$5:P$61,15,false)</f>
        <v>0</v>
      </c>
      <c r="R15" s="31"/>
      <c r="S15" s="31">
        <f>if(G15=9,1,0)+VLOOKUP(B15,'81923'!B:R,17,false)</f>
        <v>0</v>
      </c>
    </row>
    <row r="16">
      <c r="A16" s="25">
        <f t="shared" si="3"/>
        <v>12</v>
      </c>
      <c r="B16" s="26" t="s">
        <v>68</v>
      </c>
      <c r="C16" s="27">
        <v>101.0</v>
      </c>
      <c r="D16" s="28">
        <v>7.0</v>
      </c>
      <c r="E16" s="30">
        <v>3.0</v>
      </c>
      <c r="F16" s="31">
        <v>0.0</v>
      </c>
      <c r="G16" s="27">
        <v>9.0</v>
      </c>
      <c r="H16" s="31">
        <v>0.0</v>
      </c>
      <c r="I16" s="31">
        <v>0.0</v>
      </c>
      <c r="J16" s="31">
        <v>0.0</v>
      </c>
      <c r="K16" s="32">
        <v>9.0</v>
      </c>
      <c r="L16" s="31">
        <v>0.0</v>
      </c>
      <c r="M16" s="27">
        <f t="shared" ref="M16:N16" si="13">C16+K16</f>
        <v>110</v>
      </c>
      <c r="N16" s="28">
        <f t="shared" si="13"/>
        <v>7</v>
      </c>
      <c r="O16" s="33" t="s">
        <v>37</v>
      </c>
      <c r="P16" s="33" t="s">
        <v>37</v>
      </c>
      <c r="Q16" s="31">
        <f>if(G16=13,1,0)+VLOOKUP(B16,'81923'!B$5:P$61,15,false)</f>
        <v>1</v>
      </c>
      <c r="R16" s="31"/>
      <c r="S16" s="31">
        <f>if(G16=9,1,0)+VLOOKUP(B16,'81923'!B:R,17,false)</f>
        <v>5</v>
      </c>
    </row>
    <row r="17">
      <c r="A17" s="25">
        <f t="shared" si="3"/>
        <v>13</v>
      </c>
      <c r="B17" s="26" t="s">
        <v>60</v>
      </c>
      <c r="C17" s="27">
        <v>99.0</v>
      </c>
      <c r="D17" s="28">
        <v>9.0</v>
      </c>
      <c r="E17" s="30">
        <v>3.0</v>
      </c>
      <c r="F17" s="31">
        <v>0.0</v>
      </c>
      <c r="G17" s="27">
        <v>9.0</v>
      </c>
      <c r="H17" s="31">
        <v>0.0</v>
      </c>
      <c r="I17" s="31">
        <v>0.0</v>
      </c>
      <c r="J17" s="31">
        <v>0.0</v>
      </c>
      <c r="K17" s="32">
        <v>9.0</v>
      </c>
      <c r="L17" s="31">
        <v>0.0</v>
      </c>
      <c r="M17" s="27">
        <f t="shared" ref="M17:N17" si="14">C17+K17</f>
        <v>108</v>
      </c>
      <c r="N17" s="28">
        <f t="shared" si="14"/>
        <v>9</v>
      </c>
      <c r="O17" s="33" t="s">
        <v>37</v>
      </c>
      <c r="P17" s="33" t="s">
        <v>37</v>
      </c>
      <c r="Q17" s="31">
        <f>if(G17=13,1,0)+VLOOKUP(B17,'81923'!B$5:P$61,15,false)</f>
        <v>0</v>
      </c>
      <c r="R17" s="31"/>
      <c r="S17" s="31">
        <f>if(G17=9,1,0)+VLOOKUP(B17,'81923'!B:R,17,false)</f>
        <v>3</v>
      </c>
    </row>
    <row r="18">
      <c r="A18" s="25">
        <f t="shared" si="3"/>
        <v>14</v>
      </c>
      <c r="B18" s="26" t="s">
        <v>50</v>
      </c>
      <c r="C18" s="27">
        <v>99.0</v>
      </c>
      <c r="D18" s="28">
        <v>9.0</v>
      </c>
      <c r="E18" s="30">
        <v>3.0</v>
      </c>
      <c r="F18" s="31">
        <v>0.0</v>
      </c>
      <c r="G18" s="27">
        <v>9.0</v>
      </c>
      <c r="H18" s="31">
        <v>0.0</v>
      </c>
      <c r="I18" s="31">
        <v>0.0</v>
      </c>
      <c r="J18" s="31">
        <v>0.0</v>
      </c>
      <c r="K18" s="32">
        <v>9.0</v>
      </c>
      <c r="L18" s="31">
        <v>0.0</v>
      </c>
      <c r="M18" s="27">
        <f t="shared" ref="M18:N18" si="15">C18+K18</f>
        <v>108</v>
      </c>
      <c r="N18" s="28">
        <f t="shared" si="15"/>
        <v>9</v>
      </c>
      <c r="O18" s="33" t="s">
        <v>37</v>
      </c>
      <c r="P18" s="33" t="s">
        <v>37</v>
      </c>
      <c r="Q18" s="31">
        <f>if(G18=13,1,0)+VLOOKUP(B18,'81923'!B$5:P$61,15,false)</f>
        <v>0</v>
      </c>
      <c r="R18" s="31"/>
      <c r="S18" s="31">
        <f>if(G18=9,1,0)+VLOOKUP(B18,'81923'!B:R,17,false)</f>
        <v>4</v>
      </c>
    </row>
    <row r="19">
      <c r="A19" s="25">
        <f t="shared" si="3"/>
        <v>15</v>
      </c>
      <c r="B19" s="36" t="s">
        <v>77</v>
      </c>
      <c r="C19" s="27">
        <v>98.0</v>
      </c>
      <c r="D19" s="28">
        <v>8.0</v>
      </c>
      <c r="E19" s="30">
        <v>3.0</v>
      </c>
      <c r="F19" s="31">
        <v>0.0</v>
      </c>
      <c r="G19" s="27">
        <v>9.0</v>
      </c>
      <c r="H19" s="31">
        <v>0.0</v>
      </c>
      <c r="I19" s="31">
        <v>0.0</v>
      </c>
      <c r="J19" s="31">
        <v>0.0</v>
      </c>
      <c r="K19" s="32">
        <v>9.0</v>
      </c>
      <c r="L19" s="31">
        <v>0.0</v>
      </c>
      <c r="M19" s="27">
        <f t="shared" ref="M19:N19" si="16">C19+K19</f>
        <v>107</v>
      </c>
      <c r="N19" s="28">
        <f t="shared" si="16"/>
        <v>8</v>
      </c>
      <c r="O19" s="33" t="s">
        <v>37</v>
      </c>
      <c r="P19" s="33" t="s">
        <v>37</v>
      </c>
      <c r="Q19" s="31">
        <f>if(G19=13,1,0)+VLOOKUP(B19,'81923'!B$5:P$61,15,false)</f>
        <v>0</v>
      </c>
      <c r="R19" s="31"/>
      <c r="S19" s="31">
        <f>if(G19=9,1,0)+VLOOKUP(B19,'81923'!B:R,17,false)</f>
        <v>5</v>
      </c>
    </row>
    <row r="20">
      <c r="A20" s="25">
        <f t="shared" si="3"/>
        <v>16</v>
      </c>
      <c r="B20" s="26" t="s">
        <v>65</v>
      </c>
      <c r="C20" s="27">
        <v>98.0</v>
      </c>
      <c r="D20" s="28">
        <v>7.0</v>
      </c>
      <c r="E20" s="30">
        <v>3.0</v>
      </c>
      <c r="F20" s="31">
        <v>0.0</v>
      </c>
      <c r="G20" s="27">
        <v>9.0</v>
      </c>
      <c r="H20" s="31">
        <v>0.0</v>
      </c>
      <c r="I20" s="31">
        <v>0.0</v>
      </c>
      <c r="J20" s="31">
        <v>0.0</v>
      </c>
      <c r="K20" s="32">
        <v>9.0</v>
      </c>
      <c r="L20" s="31">
        <v>0.0</v>
      </c>
      <c r="M20" s="27">
        <f t="shared" ref="M20:N20" si="17">C20+K20</f>
        <v>107</v>
      </c>
      <c r="N20" s="28">
        <f t="shared" si="17"/>
        <v>7</v>
      </c>
      <c r="O20" s="33" t="s">
        <v>37</v>
      </c>
      <c r="P20" s="33" t="s">
        <v>37</v>
      </c>
      <c r="Q20" s="31">
        <f>if(G20=13,1,0)+VLOOKUP(B20,'81923'!B$5:P$61,15,false)</f>
        <v>0</v>
      </c>
      <c r="R20" s="31"/>
      <c r="S20" s="31">
        <f>if(G20=9,1,0)+VLOOKUP(B20,'81923'!B:R,17,false)</f>
        <v>5</v>
      </c>
    </row>
    <row r="21">
      <c r="A21" s="25">
        <f t="shared" si="3"/>
        <v>17</v>
      </c>
      <c r="B21" s="26" t="s">
        <v>48</v>
      </c>
      <c r="C21" s="27">
        <v>97.0</v>
      </c>
      <c r="D21" s="28">
        <v>9.0</v>
      </c>
      <c r="E21" s="30">
        <v>1.0</v>
      </c>
      <c r="F21" s="31">
        <v>2.0</v>
      </c>
      <c r="G21" s="27">
        <v>0.0</v>
      </c>
      <c r="H21" s="31">
        <v>6.0</v>
      </c>
      <c r="I21" s="31">
        <v>6.0</v>
      </c>
      <c r="J21" s="31">
        <v>6.0</v>
      </c>
      <c r="K21" s="32">
        <v>18.0</v>
      </c>
      <c r="L21" s="31">
        <v>2.0</v>
      </c>
      <c r="M21" s="27">
        <f t="shared" ref="M21:N21" si="18">C21+K21</f>
        <v>115</v>
      </c>
      <c r="N21" s="28">
        <f t="shared" si="18"/>
        <v>11</v>
      </c>
      <c r="O21" s="33" t="s">
        <v>37</v>
      </c>
      <c r="P21" s="33" t="s">
        <v>37</v>
      </c>
      <c r="Q21" s="31">
        <f>if(G21=13,1,0)+VLOOKUP(B21,'81923'!B$5:P$61,15,false)</f>
        <v>0</v>
      </c>
      <c r="R21" s="31"/>
      <c r="S21" s="31">
        <f>if(G21=9,1,0)+VLOOKUP(B21,'81923'!B:R,17,false)</f>
        <v>3</v>
      </c>
    </row>
    <row r="22">
      <c r="A22" s="25">
        <f t="shared" si="3"/>
        <v>18</v>
      </c>
      <c r="B22" s="36" t="s">
        <v>59</v>
      </c>
      <c r="C22" s="27">
        <v>95.0</v>
      </c>
      <c r="D22" s="28">
        <v>6.0</v>
      </c>
      <c r="E22" s="30">
        <v>1.0</v>
      </c>
      <c r="F22" s="31">
        <v>3.0</v>
      </c>
      <c r="G22" s="27">
        <v>0.0</v>
      </c>
      <c r="H22" s="31">
        <v>6.0</v>
      </c>
      <c r="I22" s="31">
        <v>2.0</v>
      </c>
      <c r="J22" s="31">
        <v>6.0</v>
      </c>
      <c r="K22" s="32">
        <v>14.0</v>
      </c>
      <c r="L22" s="31">
        <v>1.0</v>
      </c>
      <c r="M22" s="27">
        <f t="shared" ref="M22:N22" si="19">C22+K22</f>
        <v>109</v>
      </c>
      <c r="N22" s="28">
        <f t="shared" si="19"/>
        <v>7</v>
      </c>
      <c r="O22" s="33" t="s">
        <v>37</v>
      </c>
      <c r="P22" s="33" t="s">
        <v>37</v>
      </c>
      <c r="Q22" s="31">
        <f>if(G22=13,1,0)+VLOOKUP(B22,'81923'!B$5:P$61,15,false)</f>
        <v>0</v>
      </c>
      <c r="R22" s="31"/>
      <c r="S22" s="31">
        <f>if(G22=9,1,0)+VLOOKUP(B22,'81923'!B:R,17,false)</f>
        <v>2</v>
      </c>
    </row>
    <row r="23">
      <c r="A23" s="25">
        <f t="shared" si="3"/>
        <v>19</v>
      </c>
      <c r="B23" s="36" t="s">
        <v>83</v>
      </c>
      <c r="C23" s="27">
        <v>94.0</v>
      </c>
      <c r="D23" s="28">
        <v>8.0</v>
      </c>
      <c r="E23" s="30">
        <v>1.0</v>
      </c>
      <c r="F23" s="31">
        <v>3.0</v>
      </c>
      <c r="G23" s="27">
        <v>0.0</v>
      </c>
      <c r="H23" s="31">
        <v>2.0</v>
      </c>
      <c r="I23" s="31">
        <v>6.0</v>
      </c>
      <c r="J23" s="31">
        <v>6.0</v>
      </c>
      <c r="K23" s="32">
        <v>14.0</v>
      </c>
      <c r="L23" s="31">
        <v>1.0</v>
      </c>
      <c r="M23" s="27">
        <f t="shared" ref="M23:N23" si="20">C23+K23</f>
        <v>108</v>
      </c>
      <c r="N23" s="28">
        <f t="shared" si="20"/>
        <v>9</v>
      </c>
      <c r="O23" s="33" t="s">
        <v>37</v>
      </c>
      <c r="P23" s="33" t="s">
        <v>37</v>
      </c>
      <c r="Q23" s="31">
        <f>if(G23=13,1,0)+VLOOKUP(B23,'81923'!B$5:P$61,15,false)</f>
        <v>0</v>
      </c>
      <c r="R23" s="31"/>
      <c r="S23" s="31">
        <f>if(G23=9,1,0)+VLOOKUP(B23,'81923'!B:R,17,false)</f>
        <v>2</v>
      </c>
    </row>
    <row r="24">
      <c r="A24" s="25">
        <f t="shared" si="3"/>
        <v>20</v>
      </c>
      <c r="B24" s="36" t="s">
        <v>88</v>
      </c>
      <c r="C24" s="27">
        <v>94.0</v>
      </c>
      <c r="D24" s="28">
        <v>8.0</v>
      </c>
      <c r="E24" s="30">
        <v>3.0</v>
      </c>
      <c r="F24" s="31">
        <v>0.0</v>
      </c>
      <c r="G24" s="27">
        <v>9.0</v>
      </c>
      <c r="H24" s="31">
        <v>0.0</v>
      </c>
      <c r="I24" s="31">
        <v>0.0</v>
      </c>
      <c r="J24" s="31">
        <v>0.0</v>
      </c>
      <c r="K24" s="32">
        <v>9.0</v>
      </c>
      <c r="L24" s="31">
        <v>0.0</v>
      </c>
      <c r="M24" s="27">
        <f t="shared" ref="M24:N24" si="21">C24+K24</f>
        <v>103</v>
      </c>
      <c r="N24" s="28">
        <f t="shared" si="21"/>
        <v>8</v>
      </c>
      <c r="O24" s="33" t="s">
        <v>37</v>
      </c>
      <c r="P24" s="33" t="s">
        <v>37</v>
      </c>
      <c r="Q24" s="31">
        <f>if(G24=13,1,0)+VLOOKUP(B24,'81923'!B$5:P$61,15,false)</f>
        <v>0</v>
      </c>
      <c r="R24" s="31"/>
      <c r="S24" s="31">
        <f>if(G24=9,1,0)+VLOOKUP(B24,'81923'!B:R,17,false)</f>
        <v>3</v>
      </c>
    </row>
    <row r="25">
      <c r="A25" s="25">
        <f t="shared" si="3"/>
        <v>21</v>
      </c>
      <c r="B25" s="26" t="s">
        <v>56</v>
      </c>
      <c r="C25" s="27">
        <v>92.0</v>
      </c>
      <c r="D25" s="28">
        <v>10.0</v>
      </c>
      <c r="E25" s="30">
        <v>1.0</v>
      </c>
      <c r="F25" s="31">
        <v>3.0</v>
      </c>
      <c r="G25" s="27">
        <v>0.0</v>
      </c>
      <c r="H25" s="31">
        <v>6.0</v>
      </c>
      <c r="I25" s="31">
        <v>6.0</v>
      </c>
      <c r="J25" s="31">
        <v>7.0</v>
      </c>
      <c r="K25" s="32">
        <v>19.0</v>
      </c>
      <c r="L25" s="31">
        <v>3.0</v>
      </c>
      <c r="M25" s="27">
        <f t="shared" ref="M25:N25" si="22">C25+K25</f>
        <v>111</v>
      </c>
      <c r="N25" s="28">
        <f t="shared" si="22"/>
        <v>13</v>
      </c>
      <c r="O25" s="33" t="s">
        <v>37</v>
      </c>
      <c r="P25" s="33" t="s">
        <v>37</v>
      </c>
      <c r="Q25" s="31">
        <f>if(G25=13,1,0)+VLOOKUP(B25,'81923'!B$5:P$61,15,false)</f>
        <v>0</v>
      </c>
      <c r="R25" s="31"/>
      <c r="S25" s="31">
        <f>if(G25=9,1,0)+VLOOKUP(B25,'81923'!B:R,17,false)</f>
        <v>1</v>
      </c>
    </row>
    <row r="26">
      <c r="A26" s="25">
        <f t="shared" si="3"/>
        <v>22</v>
      </c>
      <c r="B26" s="26" t="s">
        <v>74</v>
      </c>
      <c r="C26" s="27">
        <v>92.0</v>
      </c>
      <c r="D26" s="28">
        <v>6.0</v>
      </c>
      <c r="E26" s="30">
        <v>1.0</v>
      </c>
      <c r="F26" s="31">
        <v>3.0</v>
      </c>
      <c r="G26" s="27">
        <v>0.0</v>
      </c>
      <c r="H26" s="31">
        <v>2.0</v>
      </c>
      <c r="I26" s="31">
        <v>2.0</v>
      </c>
      <c r="J26" s="31">
        <v>7.0</v>
      </c>
      <c r="K26" s="32">
        <v>11.0</v>
      </c>
      <c r="L26" s="31">
        <v>1.0</v>
      </c>
      <c r="M26" s="27">
        <f t="shared" ref="M26:N26" si="23">C26+K26</f>
        <v>103</v>
      </c>
      <c r="N26" s="28">
        <f t="shared" si="23"/>
        <v>7</v>
      </c>
      <c r="O26" s="33" t="s">
        <v>37</v>
      </c>
      <c r="P26" s="33" t="s">
        <v>37</v>
      </c>
      <c r="Q26" s="31">
        <f>if(G26=13,1,0)+VLOOKUP(B26,'81923'!B$5:P$61,15,false)</f>
        <v>0</v>
      </c>
      <c r="R26" s="31"/>
      <c r="S26" s="31">
        <f>if(G26=9,1,0)+VLOOKUP(B26,'81923'!B:R,17,false)</f>
        <v>2</v>
      </c>
    </row>
    <row r="27">
      <c r="A27" s="25">
        <f t="shared" si="3"/>
        <v>23</v>
      </c>
      <c r="B27" s="26" t="s">
        <v>53</v>
      </c>
      <c r="C27" s="27">
        <v>92.0</v>
      </c>
      <c r="D27" s="28">
        <v>6.0</v>
      </c>
      <c r="E27" s="30">
        <v>1.0</v>
      </c>
      <c r="F27" s="31">
        <v>4.0</v>
      </c>
      <c r="G27" s="27">
        <v>0.0</v>
      </c>
      <c r="H27" s="31">
        <v>6.0</v>
      </c>
      <c r="I27" s="31">
        <v>2.0</v>
      </c>
      <c r="J27" s="31">
        <v>6.0</v>
      </c>
      <c r="K27" s="32">
        <v>14.0</v>
      </c>
      <c r="L27" s="31">
        <v>2.0</v>
      </c>
      <c r="M27" s="27">
        <f t="shared" ref="M27:N27" si="24">C27+K27</f>
        <v>106</v>
      </c>
      <c r="N27" s="28">
        <f t="shared" si="24"/>
        <v>8</v>
      </c>
      <c r="O27" s="33" t="s">
        <v>37</v>
      </c>
      <c r="P27" s="33" t="s">
        <v>37</v>
      </c>
      <c r="Q27" s="31">
        <f>if(G27=13,1,0)+VLOOKUP(B27,'81923'!B$5:P$61,15,false)</f>
        <v>0</v>
      </c>
      <c r="R27" s="31"/>
      <c r="S27" s="31">
        <f>if(G27=9,1,0)+VLOOKUP(B27,'81923'!B:R,17,false)</f>
        <v>4</v>
      </c>
    </row>
    <row r="28">
      <c r="A28" s="25">
        <f t="shared" si="3"/>
        <v>24</v>
      </c>
      <c r="B28" s="26" t="s">
        <v>64</v>
      </c>
      <c r="C28" s="27">
        <v>92.0</v>
      </c>
      <c r="D28" s="28">
        <v>6.0</v>
      </c>
      <c r="E28" s="30">
        <v>3.0</v>
      </c>
      <c r="F28" s="31">
        <v>0.0</v>
      </c>
      <c r="G28" s="27">
        <v>9.0</v>
      </c>
      <c r="H28" s="31">
        <v>0.0</v>
      </c>
      <c r="I28" s="31">
        <v>0.0</v>
      </c>
      <c r="J28" s="31">
        <v>0.0</v>
      </c>
      <c r="K28" s="32">
        <v>9.0</v>
      </c>
      <c r="L28" s="31">
        <v>0.0</v>
      </c>
      <c r="M28" s="27">
        <f t="shared" ref="M28:N28" si="25">C28+K28</f>
        <v>101</v>
      </c>
      <c r="N28" s="28">
        <f t="shared" si="25"/>
        <v>6</v>
      </c>
      <c r="O28" s="33" t="s">
        <v>37</v>
      </c>
      <c r="P28" s="33" t="s">
        <v>37</v>
      </c>
      <c r="Q28" s="31">
        <f>if(G28=13,1,0)+VLOOKUP(B28,'81923'!B$5:P$61,15,false)</f>
        <v>0</v>
      </c>
      <c r="R28" s="31"/>
      <c r="S28" s="31">
        <f>if(G28=9,1,0)+VLOOKUP(B28,'81923'!B:R,17,false)</f>
        <v>7</v>
      </c>
    </row>
    <row r="29">
      <c r="A29" s="25">
        <f t="shared" si="3"/>
        <v>25</v>
      </c>
      <c r="B29" s="26" t="s">
        <v>47</v>
      </c>
      <c r="C29" s="27">
        <v>91.0</v>
      </c>
      <c r="D29" s="28">
        <v>5.0</v>
      </c>
      <c r="E29" s="30">
        <v>2.0</v>
      </c>
      <c r="F29" s="31">
        <v>4.0</v>
      </c>
      <c r="G29" s="27">
        <v>0.0</v>
      </c>
      <c r="H29" s="31">
        <v>6.0</v>
      </c>
      <c r="I29" s="31">
        <v>6.0</v>
      </c>
      <c r="J29" s="31">
        <v>3.0</v>
      </c>
      <c r="K29" s="32">
        <v>15.0</v>
      </c>
      <c r="L29" s="31">
        <v>2.0</v>
      </c>
      <c r="M29" s="27">
        <f t="shared" ref="M29:N29" si="26">C29+K29</f>
        <v>106</v>
      </c>
      <c r="N29" s="28">
        <f t="shared" si="26"/>
        <v>7</v>
      </c>
      <c r="O29" s="33" t="s">
        <v>37</v>
      </c>
      <c r="P29" s="33" t="s">
        <v>37</v>
      </c>
      <c r="Q29" s="31">
        <f>if(G29=13,1,0)+VLOOKUP(B29,'81923'!B$5:P$61,15,false)</f>
        <v>0</v>
      </c>
      <c r="R29" s="31"/>
      <c r="S29" s="31">
        <f>if(G29=9,1,0)+VLOOKUP(B29,'81923'!B:R,17,false)</f>
        <v>5</v>
      </c>
    </row>
    <row r="30">
      <c r="A30" s="25">
        <f t="shared" si="3"/>
        <v>26</v>
      </c>
      <c r="B30" s="26" t="s">
        <v>78</v>
      </c>
      <c r="C30" s="27">
        <v>90.0</v>
      </c>
      <c r="D30" s="28">
        <v>8.0</v>
      </c>
      <c r="E30" s="30">
        <v>2.0</v>
      </c>
      <c r="F30" s="31">
        <v>4.0</v>
      </c>
      <c r="G30" s="27">
        <v>0.0</v>
      </c>
      <c r="H30" s="31">
        <v>2.0</v>
      </c>
      <c r="I30" s="31">
        <v>2.0</v>
      </c>
      <c r="J30" s="31">
        <v>3.0</v>
      </c>
      <c r="K30" s="32">
        <v>7.0</v>
      </c>
      <c r="L30" s="31">
        <v>0.0</v>
      </c>
      <c r="M30" s="27">
        <f t="shared" ref="M30:N30" si="27">C30+K30</f>
        <v>97</v>
      </c>
      <c r="N30" s="28">
        <f t="shared" si="27"/>
        <v>8</v>
      </c>
      <c r="O30" s="33" t="s">
        <v>37</v>
      </c>
      <c r="P30" s="33" t="s">
        <v>37</v>
      </c>
      <c r="Q30" s="31">
        <f>if(G30=13,1,0)+VLOOKUP(B30,'81923'!B$5:P$61,15,false)</f>
        <v>0</v>
      </c>
      <c r="R30" s="31"/>
      <c r="S30" s="31">
        <f>if(G30=9,1,0)+VLOOKUP(B30,'81923'!B:R,17,false)</f>
        <v>3</v>
      </c>
    </row>
    <row r="31">
      <c r="A31" s="25">
        <f t="shared" si="3"/>
        <v>27</v>
      </c>
      <c r="B31" s="26" t="s">
        <v>55</v>
      </c>
      <c r="C31" s="27">
        <v>90.0</v>
      </c>
      <c r="D31" s="28">
        <v>7.0</v>
      </c>
      <c r="E31" s="30">
        <v>3.0</v>
      </c>
      <c r="F31" s="31">
        <v>0.0</v>
      </c>
      <c r="G31" s="27">
        <v>9.0</v>
      </c>
      <c r="H31" s="31">
        <v>0.0</v>
      </c>
      <c r="I31" s="31">
        <v>0.0</v>
      </c>
      <c r="J31" s="31">
        <v>0.0</v>
      </c>
      <c r="K31" s="32">
        <v>9.0</v>
      </c>
      <c r="L31" s="31">
        <v>0.0</v>
      </c>
      <c r="M31" s="27">
        <f t="shared" ref="M31:N31" si="28">C31+K31</f>
        <v>99</v>
      </c>
      <c r="N31" s="28">
        <f t="shared" si="28"/>
        <v>7</v>
      </c>
      <c r="O31" s="33" t="s">
        <v>37</v>
      </c>
      <c r="P31" s="33" t="s">
        <v>37</v>
      </c>
      <c r="Q31" s="31">
        <f>if(G31=13,1,0)+VLOOKUP(B31,'81923'!B$5:P$61,15,false)</f>
        <v>0</v>
      </c>
      <c r="R31" s="31"/>
      <c r="S31" s="31">
        <f>if(G31=9,1,0)+VLOOKUP(B31,'81923'!B:R,17,false)</f>
        <v>5</v>
      </c>
    </row>
    <row r="32">
      <c r="A32" s="25">
        <f t="shared" si="3"/>
        <v>28</v>
      </c>
      <c r="B32" s="26" t="s">
        <v>58</v>
      </c>
      <c r="C32" s="27">
        <v>90.0</v>
      </c>
      <c r="D32" s="28">
        <v>5.0</v>
      </c>
      <c r="E32" s="30">
        <v>3.0</v>
      </c>
      <c r="F32" s="31">
        <v>0.0</v>
      </c>
      <c r="G32" s="27">
        <v>9.0</v>
      </c>
      <c r="H32" s="31">
        <v>0.0</v>
      </c>
      <c r="I32" s="31">
        <v>0.0</v>
      </c>
      <c r="J32" s="31">
        <v>0.0</v>
      </c>
      <c r="K32" s="32">
        <v>9.0</v>
      </c>
      <c r="L32" s="31">
        <v>0.0</v>
      </c>
      <c r="M32" s="27">
        <f t="shared" ref="M32:N32" si="29">C32+K32</f>
        <v>99</v>
      </c>
      <c r="N32" s="28">
        <f t="shared" si="29"/>
        <v>5</v>
      </c>
      <c r="O32" s="33" t="s">
        <v>37</v>
      </c>
      <c r="P32" s="33" t="s">
        <v>37</v>
      </c>
      <c r="Q32" s="31">
        <f>if(G32=13,1,0)+VLOOKUP(B32,'81923'!B$5:P$61,15,false)</f>
        <v>0</v>
      </c>
      <c r="R32" s="31"/>
      <c r="S32" s="31">
        <f>if(G32=9,1,0)+VLOOKUP(B32,'81923'!B:R,17,false)</f>
        <v>4</v>
      </c>
    </row>
    <row r="33">
      <c r="A33" s="25">
        <f t="shared" si="3"/>
        <v>29</v>
      </c>
      <c r="B33" s="26" t="s">
        <v>51</v>
      </c>
      <c r="C33" s="27">
        <v>90.0</v>
      </c>
      <c r="D33" s="28">
        <v>5.0</v>
      </c>
      <c r="E33" s="30">
        <v>1.0</v>
      </c>
      <c r="F33" s="31">
        <v>4.0</v>
      </c>
      <c r="G33" s="27">
        <v>0.0</v>
      </c>
      <c r="H33" s="31">
        <v>2.0</v>
      </c>
      <c r="I33" s="31">
        <v>6.0</v>
      </c>
      <c r="J33" s="31">
        <v>6.0</v>
      </c>
      <c r="K33" s="32">
        <v>14.0</v>
      </c>
      <c r="L33" s="31">
        <v>2.0</v>
      </c>
      <c r="M33" s="27">
        <f t="shared" ref="M33:N33" si="30">C33+K33</f>
        <v>104</v>
      </c>
      <c r="N33" s="28">
        <f t="shared" si="30"/>
        <v>7</v>
      </c>
      <c r="O33" s="33" t="s">
        <v>37</v>
      </c>
      <c r="P33" s="33" t="s">
        <v>37</v>
      </c>
      <c r="Q33" s="31">
        <f>if(G33=13,1,0)+VLOOKUP(B33,'81923'!B$5:P$61,15,false)</f>
        <v>0</v>
      </c>
      <c r="R33" s="31"/>
      <c r="S33" s="31">
        <f>if(G33=9,1,0)+VLOOKUP(B33,'81923'!B:R,17,false)</f>
        <v>5</v>
      </c>
    </row>
    <row r="34">
      <c r="A34" s="25">
        <f t="shared" si="3"/>
        <v>30</v>
      </c>
      <c r="B34" s="36" t="s">
        <v>62</v>
      </c>
      <c r="C34" s="27">
        <v>89.0</v>
      </c>
      <c r="D34" s="28">
        <v>6.0</v>
      </c>
      <c r="E34" s="30">
        <v>2.0</v>
      </c>
      <c r="F34" s="31">
        <v>5.0</v>
      </c>
      <c r="G34" s="27">
        <v>0.0</v>
      </c>
      <c r="H34" s="31">
        <v>6.0</v>
      </c>
      <c r="I34" s="31">
        <v>2.0</v>
      </c>
      <c r="J34" s="31">
        <v>6.0</v>
      </c>
      <c r="K34" s="32">
        <v>14.0</v>
      </c>
      <c r="L34" s="31">
        <v>1.0</v>
      </c>
      <c r="M34" s="27">
        <f t="shared" ref="M34:N34" si="31">C34+K34</f>
        <v>103</v>
      </c>
      <c r="N34" s="28">
        <f t="shared" si="31"/>
        <v>7</v>
      </c>
      <c r="O34" s="33" t="s">
        <v>37</v>
      </c>
      <c r="P34" s="33" t="s">
        <v>37</v>
      </c>
      <c r="Q34" s="31">
        <f>if(G34=13,1,0)+VLOOKUP(B34,'81923'!B$5:P$61,15,false)</f>
        <v>0</v>
      </c>
      <c r="R34" s="31"/>
      <c r="S34" s="31">
        <f>if(G34=9,1,0)+VLOOKUP(B34,'81923'!B:R,17,false)</f>
        <v>1</v>
      </c>
    </row>
    <row r="35">
      <c r="A35" s="25">
        <f t="shared" si="3"/>
        <v>31</v>
      </c>
      <c r="B35" s="36" t="s">
        <v>81</v>
      </c>
      <c r="C35" s="27">
        <v>88.0</v>
      </c>
      <c r="D35" s="28">
        <v>4.0</v>
      </c>
      <c r="E35" s="30">
        <v>1.0</v>
      </c>
      <c r="F35" s="31">
        <v>5.0</v>
      </c>
      <c r="G35" s="27">
        <v>0.0</v>
      </c>
      <c r="H35" s="31">
        <v>7.0</v>
      </c>
      <c r="I35" s="31">
        <v>2.0</v>
      </c>
      <c r="J35" s="31">
        <v>4.0</v>
      </c>
      <c r="K35" s="32">
        <v>13.0</v>
      </c>
      <c r="L35" s="31">
        <v>1.0</v>
      </c>
      <c r="M35" s="27">
        <f t="shared" ref="M35:N35" si="32">C35+K35</f>
        <v>101</v>
      </c>
      <c r="N35" s="28">
        <f t="shared" si="32"/>
        <v>5</v>
      </c>
      <c r="O35" s="33" t="s">
        <v>37</v>
      </c>
      <c r="P35" s="33" t="s">
        <v>37</v>
      </c>
      <c r="Q35" s="31">
        <f>if(G35=13,1,0)+VLOOKUP(B35,'81923'!B$5:P$61,15,false)</f>
        <v>0</v>
      </c>
      <c r="R35" s="31"/>
      <c r="S35" s="31">
        <f>if(G35=9,1,0)+VLOOKUP(B35,'81923'!B:R,17,false)</f>
        <v>1</v>
      </c>
    </row>
    <row r="36">
      <c r="A36" s="25">
        <f t="shared" si="3"/>
        <v>32</v>
      </c>
      <c r="B36" s="26" t="s">
        <v>73</v>
      </c>
      <c r="C36" s="27">
        <v>88.0</v>
      </c>
      <c r="D36" s="28">
        <v>3.0</v>
      </c>
      <c r="E36" s="30">
        <v>1.0</v>
      </c>
      <c r="F36" s="31">
        <v>5.0</v>
      </c>
      <c r="G36" s="27">
        <v>0.0</v>
      </c>
      <c r="H36" s="31">
        <v>7.0</v>
      </c>
      <c r="I36" s="31">
        <v>6.0</v>
      </c>
      <c r="J36" s="31">
        <v>6.0</v>
      </c>
      <c r="K36" s="32">
        <v>19.0</v>
      </c>
      <c r="L36" s="31">
        <v>3.0</v>
      </c>
      <c r="M36" s="27">
        <f t="shared" ref="M36:N36" si="33">C36+K36</f>
        <v>107</v>
      </c>
      <c r="N36" s="28">
        <f t="shared" si="33"/>
        <v>6</v>
      </c>
      <c r="O36" s="33" t="s">
        <v>37</v>
      </c>
      <c r="P36" s="33" t="s">
        <v>37</v>
      </c>
      <c r="Q36" s="31">
        <f>if(G36=13,1,0)+VLOOKUP(B36,'81923'!B$5:P$61,15,false)</f>
        <v>0</v>
      </c>
      <c r="R36" s="31"/>
      <c r="S36" s="31">
        <f>if(G36=9,1,0)+VLOOKUP(B36,'81923'!B:R,17,false)</f>
        <v>4</v>
      </c>
    </row>
    <row r="37">
      <c r="A37" s="25">
        <f t="shared" si="3"/>
        <v>33</v>
      </c>
      <c r="B37" s="26" t="s">
        <v>66</v>
      </c>
      <c r="C37" s="27">
        <v>85.0</v>
      </c>
      <c r="D37" s="28">
        <v>3.0</v>
      </c>
      <c r="E37" s="30">
        <v>2.0</v>
      </c>
      <c r="F37" s="31">
        <v>5.0</v>
      </c>
      <c r="G37" s="27">
        <v>0.0</v>
      </c>
      <c r="H37" s="31">
        <v>6.0</v>
      </c>
      <c r="I37" s="31">
        <v>6.0</v>
      </c>
      <c r="J37" s="31">
        <v>4.0</v>
      </c>
      <c r="K37" s="32">
        <v>16.0</v>
      </c>
      <c r="L37" s="31">
        <v>1.0</v>
      </c>
      <c r="M37" s="27">
        <f t="shared" ref="M37:N37" si="34">C37+K37</f>
        <v>101</v>
      </c>
      <c r="N37" s="28">
        <f t="shared" si="34"/>
        <v>4</v>
      </c>
      <c r="O37" s="33" t="s">
        <v>37</v>
      </c>
      <c r="P37" s="33" t="s">
        <v>37</v>
      </c>
      <c r="Q37" s="31">
        <f>if(G37=13,1,0)+VLOOKUP(B37,'81923'!B$5:P$61,15,false)</f>
        <v>1</v>
      </c>
      <c r="R37" s="31"/>
      <c r="S37" s="31">
        <f>if(G37=9,1,0)+VLOOKUP(B37,'81923'!B:R,17,false)</f>
        <v>4</v>
      </c>
    </row>
    <row r="38">
      <c r="A38" s="25">
        <f t="shared" si="3"/>
        <v>34</v>
      </c>
      <c r="B38" s="26" t="s">
        <v>87</v>
      </c>
      <c r="C38" s="27">
        <v>85.0</v>
      </c>
      <c r="D38" s="28">
        <v>3.0</v>
      </c>
      <c r="E38" s="30">
        <v>1.0</v>
      </c>
      <c r="F38" s="31">
        <v>6.0</v>
      </c>
      <c r="G38" s="27">
        <v>0.0</v>
      </c>
      <c r="H38" s="31">
        <v>2.0</v>
      </c>
      <c r="I38" s="31">
        <v>3.0</v>
      </c>
      <c r="J38" s="31">
        <v>6.0</v>
      </c>
      <c r="K38" s="32">
        <v>11.0</v>
      </c>
      <c r="L38" s="31">
        <v>1.0</v>
      </c>
      <c r="M38" s="27">
        <f t="shared" ref="M38:N38" si="35">C38+K38</f>
        <v>96</v>
      </c>
      <c r="N38" s="28">
        <f t="shared" si="35"/>
        <v>4</v>
      </c>
      <c r="O38" s="33" t="s">
        <v>37</v>
      </c>
      <c r="P38" s="33" t="s">
        <v>37</v>
      </c>
      <c r="Q38" s="31">
        <f>if(G38=13,1,0)+VLOOKUP(B38,'81923'!B$5:P$61,15,false)</f>
        <v>1</v>
      </c>
      <c r="R38" s="31"/>
      <c r="S38" s="31">
        <f>if(G38=9,1,0)+VLOOKUP(B38,'81923'!B:R,17,false)</f>
        <v>3</v>
      </c>
    </row>
    <row r="39">
      <c r="A39" s="25">
        <f t="shared" si="3"/>
        <v>35</v>
      </c>
      <c r="B39" s="26" t="s">
        <v>79</v>
      </c>
      <c r="C39" s="27">
        <v>84.0</v>
      </c>
      <c r="D39" s="28">
        <v>7.0</v>
      </c>
      <c r="E39" s="30">
        <v>3.0</v>
      </c>
      <c r="F39" s="31">
        <v>0.0</v>
      </c>
      <c r="G39" s="27">
        <v>9.0</v>
      </c>
      <c r="H39" s="31">
        <v>0.0</v>
      </c>
      <c r="I39" s="31">
        <v>0.0</v>
      </c>
      <c r="J39" s="31">
        <v>0.0</v>
      </c>
      <c r="K39" s="32">
        <v>9.0</v>
      </c>
      <c r="L39" s="31">
        <v>0.0</v>
      </c>
      <c r="M39" s="27">
        <f t="shared" ref="M39:N39" si="36">C39+K39</f>
        <v>93</v>
      </c>
      <c r="N39" s="28">
        <f t="shared" si="36"/>
        <v>7</v>
      </c>
      <c r="O39" s="33" t="s">
        <v>37</v>
      </c>
      <c r="P39" s="33" t="s">
        <v>37</v>
      </c>
      <c r="Q39" s="31">
        <f>if(G39=13,1,0)+VLOOKUP(B39,'81923'!B$5:P$61,15,false)</f>
        <v>0</v>
      </c>
      <c r="R39" s="31"/>
      <c r="S39" s="31">
        <f>if(G39=9,1,0)+VLOOKUP(B39,'81923'!B:R,17,false)</f>
        <v>1</v>
      </c>
    </row>
    <row r="40">
      <c r="A40" s="25">
        <f t="shared" si="3"/>
        <v>36</v>
      </c>
      <c r="B40" s="26" t="s">
        <v>57</v>
      </c>
      <c r="C40" s="27">
        <v>84.0</v>
      </c>
      <c r="D40" s="28">
        <v>6.0</v>
      </c>
      <c r="E40" s="30">
        <v>1.0</v>
      </c>
      <c r="F40" s="31">
        <v>6.0</v>
      </c>
      <c r="G40" s="27">
        <v>0.0</v>
      </c>
      <c r="H40" s="31">
        <v>6.0</v>
      </c>
      <c r="I40" s="31">
        <v>6.0</v>
      </c>
      <c r="J40" s="31">
        <v>6.0</v>
      </c>
      <c r="K40" s="32">
        <v>18.0</v>
      </c>
      <c r="L40" s="31">
        <v>3.0</v>
      </c>
      <c r="M40" s="27">
        <f t="shared" ref="M40:N40" si="37">C40+K40</f>
        <v>102</v>
      </c>
      <c r="N40" s="28">
        <f t="shared" si="37"/>
        <v>9</v>
      </c>
      <c r="O40" s="33" t="s">
        <v>37</v>
      </c>
      <c r="P40" s="33" t="s">
        <v>37</v>
      </c>
      <c r="Q40" s="31">
        <f>if(G40=13,1,0)+VLOOKUP(B40,'81923'!B$5:P$61,15,false)</f>
        <v>0</v>
      </c>
      <c r="R40" s="31"/>
      <c r="S40" s="31">
        <f>if(G40=9,1,0)+VLOOKUP(B40,'81923'!B:R,17,false)</f>
        <v>4</v>
      </c>
    </row>
    <row r="41">
      <c r="A41" s="25">
        <f t="shared" si="3"/>
        <v>37</v>
      </c>
      <c r="B41" s="26" t="s">
        <v>89</v>
      </c>
      <c r="C41" s="27">
        <v>84.0</v>
      </c>
      <c r="D41" s="28">
        <v>5.0</v>
      </c>
      <c r="E41" s="30">
        <v>1.0</v>
      </c>
      <c r="F41" s="31">
        <v>6.0</v>
      </c>
      <c r="G41" s="27">
        <v>0.0</v>
      </c>
      <c r="H41" s="31">
        <v>2.0</v>
      </c>
      <c r="I41" s="31">
        <v>6.0</v>
      </c>
      <c r="J41" s="31">
        <v>3.0</v>
      </c>
      <c r="K41" s="32">
        <v>11.0</v>
      </c>
      <c r="L41" s="31">
        <v>1.0</v>
      </c>
      <c r="M41" s="27">
        <f t="shared" ref="M41:N41" si="38">C41+K41</f>
        <v>95</v>
      </c>
      <c r="N41" s="28">
        <f t="shared" si="38"/>
        <v>6</v>
      </c>
      <c r="O41" s="33" t="s">
        <v>37</v>
      </c>
      <c r="P41" s="33" t="s">
        <v>37</v>
      </c>
      <c r="Q41" s="31">
        <f>if(G41=13,1,0)+VLOOKUP(B41,'81923'!B$5:P$61,15,false)</f>
        <v>1</v>
      </c>
      <c r="R41" s="31"/>
      <c r="S41" s="31">
        <f>if(G41=9,1,0)+VLOOKUP(B41,'81923'!B:R,17,false)</f>
        <v>1</v>
      </c>
    </row>
    <row r="42">
      <c r="A42" s="25">
        <f t="shared" si="3"/>
        <v>38</v>
      </c>
      <c r="B42" s="26" t="s">
        <v>71</v>
      </c>
      <c r="C42" s="27">
        <v>83.0</v>
      </c>
      <c r="D42" s="28">
        <v>5.0</v>
      </c>
      <c r="E42" s="30">
        <v>3.0</v>
      </c>
      <c r="F42" s="31">
        <v>0.0</v>
      </c>
      <c r="G42" s="27">
        <v>9.0</v>
      </c>
      <c r="H42" s="31">
        <v>0.0</v>
      </c>
      <c r="I42" s="31">
        <v>0.0</v>
      </c>
      <c r="J42" s="31">
        <v>0.0</v>
      </c>
      <c r="K42" s="32">
        <v>9.0</v>
      </c>
      <c r="L42" s="31">
        <v>0.0</v>
      </c>
      <c r="M42" s="27">
        <f t="shared" ref="M42:N42" si="39">C42+K42</f>
        <v>92</v>
      </c>
      <c r="N42" s="28">
        <f t="shared" si="39"/>
        <v>5</v>
      </c>
      <c r="O42" s="33" t="s">
        <v>37</v>
      </c>
      <c r="P42" s="33" t="s">
        <v>37</v>
      </c>
      <c r="Q42" s="31">
        <f>if(G42=13,1,0)+VLOOKUP(B42,'81923'!B$5:P$61,15,false)</f>
        <v>0</v>
      </c>
      <c r="R42" s="31"/>
      <c r="S42" s="31">
        <f>if(G42=9,1,0)+VLOOKUP(B42,'81923'!B:R,17,false)</f>
        <v>6</v>
      </c>
    </row>
    <row r="43">
      <c r="A43" s="25">
        <f t="shared" si="3"/>
        <v>39</v>
      </c>
      <c r="B43" s="36" t="s">
        <v>94</v>
      </c>
      <c r="C43" s="27">
        <v>83.0</v>
      </c>
      <c r="D43" s="28">
        <v>3.0</v>
      </c>
      <c r="E43" s="30">
        <v>3.0</v>
      </c>
      <c r="F43" s="31">
        <v>0.0</v>
      </c>
      <c r="G43" s="27">
        <v>9.0</v>
      </c>
      <c r="H43" s="31">
        <v>0.0</v>
      </c>
      <c r="I43" s="31">
        <v>0.0</v>
      </c>
      <c r="J43" s="31">
        <v>0.0</v>
      </c>
      <c r="K43" s="32">
        <v>9.0</v>
      </c>
      <c r="L43" s="31">
        <v>0.0</v>
      </c>
      <c r="M43" s="27">
        <f t="shared" ref="M43:N43" si="40">C43+K43</f>
        <v>92</v>
      </c>
      <c r="N43" s="28">
        <f t="shared" si="40"/>
        <v>3</v>
      </c>
      <c r="O43" s="33" t="s">
        <v>37</v>
      </c>
      <c r="P43" s="33" t="s">
        <v>37</v>
      </c>
      <c r="Q43" s="31">
        <f>if(G43=13,1,0)+VLOOKUP(B43,'81923'!B$5:P$61,15,false)</f>
        <v>0</v>
      </c>
      <c r="R43" s="31"/>
      <c r="S43" s="31">
        <f>if(G43=9,1,0)+VLOOKUP(B43,'81923'!B:R,17,false)</f>
        <v>5</v>
      </c>
    </row>
    <row r="44">
      <c r="A44" s="25">
        <f t="shared" si="3"/>
        <v>40</v>
      </c>
      <c r="B44" s="26" t="s">
        <v>91</v>
      </c>
      <c r="C44" s="27">
        <v>83.0</v>
      </c>
      <c r="D44" s="28">
        <v>1.0</v>
      </c>
      <c r="E44" s="30">
        <v>3.0</v>
      </c>
      <c r="F44" s="31">
        <v>0.0</v>
      </c>
      <c r="G44" s="27">
        <v>9.0</v>
      </c>
      <c r="H44" s="31">
        <v>0.0</v>
      </c>
      <c r="I44" s="31">
        <v>0.0</v>
      </c>
      <c r="J44" s="31">
        <v>0.0</v>
      </c>
      <c r="K44" s="32">
        <v>9.0</v>
      </c>
      <c r="L44" s="31">
        <v>0.0</v>
      </c>
      <c r="M44" s="27">
        <f t="shared" ref="M44:N44" si="41">C44+K44</f>
        <v>92</v>
      </c>
      <c r="N44" s="28">
        <f t="shared" si="41"/>
        <v>1</v>
      </c>
      <c r="O44" s="33" t="s">
        <v>37</v>
      </c>
      <c r="P44" s="33" t="s">
        <v>37</v>
      </c>
      <c r="Q44" s="31">
        <f>if(G44=13,1,0)+VLOOKUP(B44,'81923'!B$5:P$61,15,false)</f>
        <v>1</v>
      </c>
      <c r="R44" s="31"/>
      <c r="S44" s="31">
        <f>if(G44=9,1,0)+VLOOKUP(B44,'81923'!B:R,17,false)</f>
        <v>7</v>
      </c>
    </row>
    <row r="45">
      <c r="A45" s="25">
        <f t="shared" si="3"/>
        <v>41</v>
      </c>
      <c r="B45" s="36" t="s">
        <v>93</v>
      </c>
      <c r="C45" s="27">
        <v>82.0</v>
      </c>
      <c r="D45" s="28">
        <v>3.0</v>
      </c>
      <c r="E45" s="30">
        <v>3.0</v>
      </c>
      <c r="F45" s="31">
        <v>0.0</v>
      </c>
      <c r="G45" s="27">
        <v>9.0</v>
      </c>
      <c r="H45" s="31">
        <v>0.0</v>
      </c>
      <c r="I45" s="31">
        <v>0.0</v>
      </c>
      <c r="J45" s="31">
        <v>0.0</v>
      </c>
      <c r="K45" s="32">
        <v>9.0</v>
      </c>
      <c r="L45" s="31">
        <v>0.0</v>
      </c>
      <c r="M45" s="27">
        <f t="shared" ref="M45:N45" si="42">C45+K45</f>
        <v>91</v>
      </c>
      <c r="N45" s="28">
        <f t="shared" si="42"/>
        <v>3</v>
      </c>
      <c r="O45" s="33" t="s">
        <v>37</v>
      </c>
      <c r="P45" s="33" t="s">
        <v>37</v>
      </c>
      <c r="Q45" s="31">
        <f>if(G45=13,1,0)+VLOOKUP(B45,'81923'!B$5:P$61,15,false)</f>
        <v>0</v>
      </c>
      <c r="R45" s="31"/>
      <c r="S45" s="31">
        <f>if(G45=9,1,0)+VLOOKUP(B45,'81923'!B:R,17,false)</f>
        <v>8</v>
      </c>
    </row>
    <row r="46">
      <c r="A46" s="25">
        <f t="shared" si="3"/>
        <v>42</v>
      </c>
      <c r="B46" s="36" t="s">
        <v>98</v>
      </c>
      <c r="C46" s="27">
        <v>81.0</v>
      </c>
      <c r="D46" s="28">
        <v>3.0</v>
      </c>
      <c r="E46" s="30">
        <v>3.0</v>
      </c>
      <c r="F46" s="31">
        <v>0.0</v>
      </c>
      <c r="G46" s="27">
        <v>9.0</v>
      </c>
      <c r="H46" s="31">
        <v>0.0</v>
      </c>
      <c r="I46" s="31">
        <v>0.0</v>
      </c>
      <c r="J46" s="31">
        <v>0.0</v>
      </c>
      <c r="K46" s="32">
        <v>9.0</v>
      </c>
      <c r="L46" s="31">
        <v>0.0</v>
      </c>
      <c r="M46" s="27">
        <f t="shared" ref="M46:N46" si="43">C46+K46</f>
        <v>90</v>
      </c>
      <c r="N46" s="28">
        <f t="shared" si="43"/>
        <v>3</v>
      </c>
      <c r="O46" s="33" t="s">
        <v>37</v>
      </c>
      <c r="P46" s="33" t="s">
        <v>37</v>
      </c>
      <c r="Q46" s="31">
        <f>if(G46=13,1,0)+VLOOKUP(B46,'81923'!B$5:P$61,15,false)</f>
        <v>0</v>
      </c>
      <c r="R46" s="31"/>
      <c r="S46" s="31">
        <f>if(G46=9,1,0)+VLOOKUP(B46,'81923'!B:R,17,false)</f>
        <v>4</v>
      </c>
    </row>
    <row r="47">
      <c r="A47" s="25">
        <f t="shared" si="3"/>
        <v>43</v>
      </c>
      <c r="B47" s="36" t="s">
        <v>99</v>
      </c>
      <c r="C47" s="27">
        <v>81.0</v>
      </c>
      <c r="D47" s="28">
        <v>3.0</v>
      </c>
      <c r="E47" s="30">
        <v>3.0</v>
      </c>
      <c r="F47" s="31">
        <v>0.0</v>
      </c>
      <c r="G47" s="27">
        <v>9.0</v>
      </c>
      <c r="H47" s="31">
        <v>0.0</v>
      </c>
      <c r="I47" s="31">
        <v>0.0</v>
      </c>
      <c r="J47" s="31">
        <v>0.0</v>
      </c>
      <c r="K47" s="32">
        <v>9.0</v>
      </c>
      <c r="L47" s="31">
        <v>0.0</v>
      </c>
      <c r="M47" s="27">
        <f t="shared" ref="M47:N47" si="44">C47+K47</f>
        <v>90</v>
      </c>
      <c r="N47" s="28">
        <f t="shared" si="44"/>
        <v>3</v>
      </c>
      <c r="O47" s="33" t="s">
        <v>37</v>
      </c>
      <c r="P47" s="33" t="s">
        <v>37</v>
      </c>
      <c r="Q47" s="31">
        <f>if(G47=13,1,0)+VLOOKUP(B47,'81923'!B$5:P$61,15,false)</f>
        <v>0</v>
      </c>
      <c r="R47" s="31"/>
      <c r="S47" s="31">
        <f>if(G47=9,1,0)+VLOOKUP(B47,'81923'!B:R,17,false)</f>
        <v>5</v>
      </c>
    </row>
    <row r="48">
      <c r="A48" s="25">
        <f t="shared" si="3"/>
        <v>44</v>
      </c>
      <c r="B48" s="26" t="s">
        <v>90</v>
      </c>
      <c r="C48" s="27">
        <v>80.0</v>
      </c>
      <c r="D48" s="28">
        <v>5.0</v>
      </c>
      <c r="E48" s="30">
        <v>1.0</v>
      </c>
      <c r="F48" s="31">
        <v>6.0</v>
      </c>
      <c r="G48" s="27">
        <v>0.0</v>
      </c>
      <c r="H48" s="31">
        <v>6.0</v>
      </c>
      <c r="I48" s="31">
        <v>3.0</v>
      </c>
      <c r="J48" s="31">
        <v>3.0</v>
      </c>
      <c r="K48" s="32">
        <v>12.0</v>
      </c>
      <c r="L48" s="31">
        <v>1.0</v>
      </c>
      <c r="M48" s="27">
        <f t="shared" ref="M48:N48" si="45">C48+K48</f>
        <v>92</v>
      </c>
      <c r="N48" s="28">
        <f t="shared" si="45"/>
        <v>6</v>
      </c>
      <c r="O48" s="33" t="s">
        <v>37</v>
      </c>
      <c r="P48" s="33" t="s">
        <v>37</v>
      </c>
      <c r="Q48" s="31">
        <f>if(G48=13,1,0)+VLOOKUP(B48,'81923'!B$5:P$61,15,false)</f>
        <v>0</v>
      </c>
      <c r="R48" s="31"/>
      <c r="S48" s="31">
        <f>if(G48=9,1,0)+VLOOKUP(B48,'81923'!B:R,17,false)</f>
        <v>4</v>
      </c>
    </row>
    <row r="49">
      <c r="A49" s="25">
        <f t="shared" si="3"/>
        <v>45</v>
      </c>
      <c r="B49" s="26" t="s">
        <v>86</v>
      </c>
      <c r="C49" s="27">
        <v>80.0</v>
      </c>
      <c r="D49" s="28">
        <v>4.0</v>
      </c>
      <c r="E49" s="30">
        <v>1.0</v>
      </c>
      <c r="F49" s="31">
        <v>7.0</v>
      </c>
      <c r="G49" s="27">
        <v>0.0</v>
      </c>
      <c r="H49" s="31">
        <v>6.0</v>
      </c>
      <c r="I49" s="31">
        <v>6.0</v>
      </c>
      <c r="J49" s="31">
        <v>6.0</v>
      </c>
      <c r="K49" s="32">
        <v>18.0</v>
      </c>
      <c r="L49" s="31">
        <v>3.0</v>
      </c>
      <c r="M49" s="27">
        <f t="shared" ref="M49:N49" si="46">C49+K49</f>
        <v>98</v>
      </c>
      <c r="N49" s="28">
        <f t="shared" si="46"/>
        <v>7</v>
      </c>
      <c r="O49" s="33" t="s">
        <v>37</v>
      </c>
      <c r="P49" s="33" t="s">
        <v>37</v>
      </c>
      <c r="Q49" s="31">
        <f>if(G49=13,1,0)+VLOOKUP(B49,'81923'!B$5:P$61,15,false)</f>
        <v>0</v>
      </c>
      <c r="R49" s="31"/>
      <c r="S49" s="31">
        <f>if(G49=9,1,0)+VLOOKUP(B49,'81923'!B:R,17,false)</f>
        <v>4</v>
      </c>
    </row>
    <row r="50">
      <c r="A50" s="25">
        <f t="shared" si="3"/>
        <v>46</v>
      </c>
      <c r="B50" s="26" t="s">
        <v>95</v>
      </c>
      <c r="C50" s="27">
        <v>80.0</v>
      </c>
      <c r="D50" s="28">
        <v>3.0</v>
      </c>
      <c r="E50" s="30">
        <v>3.0</v>
      </c>
      <c r="F50" s="31">
        <v>0.0</v>
      </c>
      <c r="G50" s="27">
        <v>9.0</v>
      </c>
      <c r="H50" s="31">
        <v>0.0</v>
      </c>
      <c r="I50" s="31">
        <v>0.0</v>
      </c>
      <c r="J50" s="31">
        <v>0.0</v>
      </c>
      <c r="K50" s="32">
        <v>9.0</v>
      </c>
      <c r="L50" s="31">
        <v>0.0</v>
      </c>
      <c r="M50" s="27">
        <f t="shared" ref="M50:N50" si="47">C50+K50</f>
        <v>89</v>
      </c>
      <c r="N50" s="28">
        <f t="shared" si="47"/>
        <v>3</v>
      </c>
      <c r="O50" s="33" t="s">
        <v>37</v>
      </c>
      <c r="P50" s="33" t="s">
        <v>37</v>
      </c>
      <c r="Q50" s="31">
        <f>if(G50=13,1,0)+VLOOKUP(B50,'81923'!B$5:P$61,15,false)</f>
        <v>0</v>
      </c>
      <c r="R50" s="31"/>
      <c r="S50" s="31">
        <f>if(G50=9,1,0)+VLOOKUP(B50,'81923'!B:R,17,false)</f>
        <v>7</v>
      </c>
    </row>
    <row r="51">
      <c r="A51" s="25">
        <f t="shared" si="3"/>
        <v>47</v>
      </c>
      <c r="B51" s="36" t="s">
        <v>76</v>
      </c>
      <c r="C51" s="27">
        <v>76.0</v>
      </c>
      <c r="D51" s="28">
        <v>2.0</v>
      </c>
      <c r="E51" s="30">
        <v>3.0</v>
      </c>
      <c r="F51" s="31">
        <v>0.0</v>
      </c>
      <c r="G51" s="27">
        <v>9.0</v>
      </c>
      <c r="H51" s="31">
        <v>0.0</v>
      </c>
      <c r="I51" s="31">
        <v>0.0</v>
      </c>
      <c r="J51" s="31">
        <v>0.0</v>
      </c>
      <c r="K51" s="32">
        <v>9.0</v>
      </c>
      <c r="L51" s="31">
        <v>0.0</v>
      </c>
      <c r="M51" s="27">
        <f t="shared" ref="M51:N51" si="48">C51+K51</f>
        <v>85</v>
      </c>
      <c r="N51" s="28">
        <f t="shared" si="48"/>
        <v>2</v>
      </c>
      <c r="O51" s="33" t="s">
        <v>37</v>
      </c>
      <c r="P51" s="33" t="s">
        <v>37</v>
      </c>
      <c r="Q51" s="31">
        <f>if(G51=13,1,0)+VLOOKUP(B51,'81923'!B$5:P$61,15,false)</f>
        <v>0</v>
      </c>
      <c r="R51" s="31"/>
      <c r="S51" s="31">
        <f>if(G51=9,1,0)+VLOOKUP(B51,'81923'!B:R,17,false)</f>
        <v>8</v>
      </c>
    </row>
    <row r="52">
      <c r="A52" s="25">
        <f t="shared" si="3"/>
        <v>48</v>
      </c>
      <c r="B52" s="26" t="s">
        <v>100</v>
      </c>
      <c r="C52" s="27">
        <v>76.0</v>
      </c>
      <c r="D52" s="28">
        <v>2.0</v>
      </c>
      <c r="E52" s="30">
        <v>3.0</v>
      </c>
      <c r="F52" s="31">
        <v>0.0</v>
      </c>
      <c r="G52" s="27">
        <v>9.0</v>
      </c>
      <c r="H52" s="31">
        <v>0.0</v>
      </c>
      <c r="I52" s="31">
        <v>0.0</v>
      </c>
      <c r="J52" s="31">
        <v>0.0</v>
      </c>
      <c r="K52" s="32">
        <v>9.0</v>
      </c>
      <c r="L52" s="31">
        <v>0.0</v>
      </c>
      <c r="M52" s="27">
        <f t="shared" ref="M52:N52" si="49">C52+K52</f>
        <v>85</v>
      </c>
      <c r="N52" s="28">
        <f t="shared" si="49"/>
        <v>2</v>
      </c>
      <c r="O52" s="33" t="s">
        <v>37</v>
      </c>
      <c r="P52" s="33" t="s">
        <v>37</v>
      </c>
      <c r="Q52" s="31">
        <f>if(G52=13,1,0)+VLOOKUP(B52,'81923'!B$5:P$61,15,false)</f>
        <v>0</v>
      </c>
      <c r="R52" s="31"/>
      <c r="S52" s="31">
        <f>if(G52=9,1,0)+VLOOKUP(B52,'81923'!B:R,17,false)</f>
        <v>8</v>
      </c>
    </row>
    <row r="53">
      <c r="A53" s="25">
        <f t="shared" si="3"/>
        <v>49</v>
      </c>
      <c r="B53" s="36" t="s">
        <v>96</v>
      </c>
      <c r="C53" s="27">
        <v>74.0</v>
      </c>
      <c r="D53" s="28">
        <v>6.0</v>
      </c>
      <c r="E53" s="30">
        <v>1.0</v>
      </c>
      <c r="F53" s="31">
        <v>7.0</v>
      </c>
      <c r="G53" s="27">
        <v>0.0</v>
      </c>
      <c r="H53" s="31">
        <v>2.0</v>
      </c>
      <c r="I53" s="31">
        <v>6.0</v>
      </c>
      <c r="J53" s="31">
        <v>2.0</v>
      </c>
      <c r="K53" s="32">
        <v>10.0</v>
      </c>
      <c r="L53" s="31">
        <v>1.0</v>
      </c>
      <c r="M53" s="27">
        <f t="shared" ref="M53:N53" si="50">C53+K53</f>
        <v>84</v>
      </c>
      <c r="N53" s="28">
        <f t="shared" si="50"/>
        <v>7</v>
      </c>
      <c r="O53" s="33" t="s">
        <v>37</v>
      </c>
      <c r="P53" s="33" t="s">
        <v>37</v>
      </c>
      <c r="Q53" s="31">
        <f>if(G53=13,1,0)+VLOOKUP(B53,'81923'!B$5:P$61,15,false)</f>
        <v>0</v>
      </c>
      <c r="R53" s="31"/>
      <c r="S53" s="31">
        <f>if(G53=9,1,0)+VLOOKUP(B53,'81923'!B:R,17,false)</f>
        <v>3</v>
      </c>
    </row>
    <row r="54">
      <c r="A54" s="25">
        <f t="shared" si="3"/>
        <v>50</v>
      </c>
      <c r="B54" s="26" t="s">
        <v>103</v>
      </c>
      <c r="C54" s="27">
        <v>72.0</v>
      </c>
      <c r="D54" s="28">
        <v>0.0</v>
      </c>
      <c r="E54" s="30">
        <v>3.0</v>
      </c>
      <c r="F54" s="31">
        <v>0.0</v>
      </c>
      <c r="G54" s="27">
        <v>9.0</v>
      </c>
      <c r="H54" s="31">
        <v>0.0</v>
      </c>
      <c r="I54" s="31">
        <v>0.0</v>
      </c>
      <c r="J54" s="31">
        <v>0.0</v>
      </c>
      <c r="K54" s="32">
        <v>9.0</v>
      </c>
      <c r="L54" s="31">
        <v>0.0</v>
      </c>
      <c r="M54" s="27">
        <f t="shared" ref="M54:N54" si="51">C54+K54</f>
        <v>81</v>
      </c>
      <c r="N54" s="28">
        <f t="shared" si="51"/>
        <v>0</v>
      </c>
      <c r="O54" s="33" t="s">
        <v>37</v>
      </c>
      <c r="P54" s="33" t="s">
        <v>37</v>
      </c>
      <c r="Q54" s="31">
        <f>if(G54=13,1,0)+VLOOKUP(B54,'81923'!B$5:P$61,15,false)</f>
        <v>0</v>
      </c>
      <c r="R54" s="31"/>
      <c r="S54" s="31">
        <f>if(G54=9,1,0)+VLOOKUP(B54,'81923'!B:R,17,false)</f>
        <v>9</v>
      </c>
    </row>
    <row r="55">
      <c r="A55" s="25">
        <f t="shared" si="3"/>
        <v>51</v>
      </c>
      <c r="B55" s="36" t="s">
        <v>104</v>
      </c>
      <c r="C55" s="27">
        <v>72.0</v>
      </c>
      <c r="D55" s="28">
        <v>0.0</v>
      </c>
      <c r="E55" s="30">
        <v>3.0</v>
      </c>
      <c r="F55" s="31">
        <v>0.0</v>
      </c>
      <c r="G55" s="27">
        <v>9.0</v>
      </c>
      <c r="H55" s="31">
        <v>0.0</v>
      </c>
      <c r="I55" s="31">
        <v>0.0</v>
      </c>
      <c r="J55" s="31">
        <v>0.0</v>
      </c>
      <c r="K55" s="32">
        <v>9.0</v>
      </c>
      <c r="L55" s="31">
        <v>0.0</v>
      </c>
      <c r="M55" s="27">
        <f t="shared" ref="M55:N55" si="52">C55+K55</f>
        <v>81</v>
      </c>
      <c r="N55" s="28">
        <f t="shared" si="52"/>
        <v>0</v>
      </c>
      <c r="O55" s="33" t="s">
        <v>37</v>
      </c>
      <c r="P55" s="33" t="s">
        <v>37</v>
      </c>
      <c r="Q55" s="31">
        <f>if(G55=13,1,0)+VLOOKUP(B55,'81923'!B$5:P$61,15,false)</f>
        <v>0</v>
      </c>
      <c r="R55" s="31"/>
      <c r="S55" s="31">
        <f>if(G55=9,1,0)+VLOOKUP(B55,'81923'!B:R,17,false)</f>
        <v>9</v>
      </c>
    </row>
    <row r="56">
      <c r="A56" s="25">
        <f t="shared" si="3"/>
        <v>52</v>
      </c>
      <c r="B56" s="26" t="s">
        <v>105</v>
      </c>
      <c r="C56" s="27">
        <v>72.0</v>
      </c>
      <c r="D56" s="28">
        <v>0.0</v>
      </c>
      <c r="E56" s="30">
        <v>3.0</v>
      </c>
      <c r="F56" s="31">
        <v>0.0</v>
      </c>
      <c r="G56" s="27">
        <v>9.0</v>
      </c>
      <c r="H56" s="31">
        <v>0.0</v>
      </c>
      <c r="I56" s="31">
        <v>0.0</v>
      </c>
      <c r="J56" s="31">
        <v>0.0</v>
      </c>
      <c r="K56" s="32">
        <v>9.0</v>
      </c>
      <c r="L56" s="31">
        <v>0.0</v>
      </c>
      <c r="M56" s="27">
        <f t="shared" ref="M56:N56" si="53">C56+K56</f>
        <v>81</v>
      </c>
      <c r="N56" s="28">
        <f t="shared" si="53"/>
        <v>0</v>
      </c>
      <c r="O56" s="33" t="s">
        <v>37</v>
      </c>
      <c r="P56" s="33" t="s">
        <v>37</v>
      </c>
      <c r="Q56" s="31">
        <f>if(G56=13,1,0)+VLOOKUP(B56,'81923'!B$5:P$61,15,false)</f>
        <v>0</v>
      </c>
      <c r="R56" s="31"/>
      <c r="S56" s="31">
        <f>if(G56=9,1,0)+VLOOKUP(B56,'81923'!B:R,17,false)</f>
        <v>9</v>
      </c>
    </row>
    <row r="57">
      <c r="A57" s="25">
        <f t="shared" si="3"/>
        <v>53</v>
      </c>
      <c r="B57" s="26" t="s">
        <v>106</v>
      </c>
      <c r="C57" s="27">
        <v>72.0</v>
      </c>
      <c r="D57" s="28">
        <v>0.0</v>
      </c>
      <c r="E57" s="30">
        <v>3.0</v>
      </c>
      <c r="F57" s="31">
        <v>0.0</v>
      </c>
      <c r="G57" s="27">
        <v>9.0</v>
      </c>
      <c r="H57" s="31">
        <v>0.0</v>
      </c>
      <c r="I57" s="31">
        <v>0.0</v>
      </c>
      <c r="J57" s="31">
        <v>0.0</v>
      </c>
      <c r="K57" s="32">
        <v>9.0</v>
      </c>
      <c r="L57" s="31">
        <v>0.0</v>
      </c>
      <c r="M57" s="27">
        <f t="shared" ref="M57:N57" si="54">C57+K57</f>
        <v>81</v>
      </c>
      <c r="N57" s="28">
        <f t="shared" si="54"/>
        <v>0</v>
      </c>
      <c r="O57" s="33" t="s">
        <v>37</v>
      </c>
      <c r="P57" s="33" t="s">
        <v>37</v>
      </c>
      <c r="Q57" s="31">
        <f>if(G57=13,1,0)+VLOOKUP(B57,'81923'!B$5:P$61,15,false)</f>
        <v>0</v>
      </c>
      <c r="R57" s="31"/>
      <c r="S57" s="31">
        <f>if(G57=9,1,0)+VLOOKUP(B57,'81923'!B:R,17,false)</f>
        <v>9</v>
      </c>
    </row>
    <row r="58">
      <c r="A58" s="25">
        <f t="shared" si="3"/>
        <v>54</v>
      </c>
      <c r="B58" s="36" t="s">
        <v>108</v>
      </c>
      <c r="C58" s="27">
        <v>71.0</v>
      </c>
      <c r="D58" s="28">
        <v>2.0</v>
      </c>
      <c r="E58" s="30">
        <v>1.0</v>
      </c>
      <c r="F58" s="31">
        <v>7.0</v>
      </c>
      <c r="G58" s="27">
        <v>0.0</v>
      </c>
      <c r="H58" s="31">
        <v>2.0</v>
      </c>
      <c r="I58" s="31">
        <v>1.0</v>
      </c>
      <c r="J58" s="31">
        <v>6.0</v>
      </c>
      <c r="K58" s="32">
        <v>9.0</v>
      </c>
      <c r="L58" s="31">
        <v>1.0</v>
      </c>
      <c r="M58" s="27">
        <f t="shared" ref="M58:N58" si="55">C58+K58</f>
        <v>80</v>
      </c>
      <c r="N58" s="28">
        <f t="shared" si="55"/>
        <v>3</v>
      </c>
      <c r="O58" s="33" t="s">
        <v>37</v>
      </c>
      <c r="P58" s="33" t="s">
        <v>37</v>
      </c>
      <c r="Q58" s="31">
        <f>if(G58=13,1,0)+VLOOKUP(B58,'81923'!B$5:P$61,15,false)</f>
        <v>0</v>
      </c>
      <c r="R58" s="31"/>
      <c r="S58" s="31">
        <f>if(G58=9,1,0)+VLOOKUP(B58,'81923'!B:R,17,false)</f>
        <v>6</v>
      </c>
    </row>
    <row r="59">
      <c r="A59" s="25">
        <f t="shared" si="3"/>
        <v>55</v>
      </c>
      <c r="B59" s="36" t="s">
        <v>97</v>
      </c>
      <c r="C59" s="27">
        <v>69.0</v>
      </c>
      <c r="D59" s="28">
        <v>3.0</v>
      </c>
      <c r="E59" s="30">
        <v>3.0</v>
      </c>
      <c r="F59" s="31">
        <v>0.0</v>
      </c>
      <c r="G59" s="27">
        <v>9.0</v>
      </c>
      <c r="H59" s="31">
        <v>0.0</v>
      </c>
      <c r="I59" s="31">
        <v>0.0</v>
      </c>
      <c r="J59" s="31">
        <v>0.0</v>
      </c>
      <c r="K59" s="32">
        <v>9.0</v>
      </c>
      <c r="L59" s="31">
        <v>0.0</v>
      </c>
      <c r="M59" s="27">
        <f t="shared" ref="M59:N59" si="56">C59+K59</f>
        <v>78</v>
      </c>
      <c r="N59" s="28">
        <f t="shared" si="56"/>
        <v>3</v>
      </c>
      <c r="O59" s="33" t="s">
        <v>37</v>
      </c>
      <c r="P59" s="33" t="s">
        <v>37</v>
      </c>
      <c r="Q59" s="31">
        <f>if(G59=13,1,0)+VLOOKUP(B59,'81923'!B$5:P$61,15,false)</f>
        <v>0</v>
      </c>
      <c r="R59" s="31"/>
      <c r="S59" s="31">
        <f>if(G59=9,1,0)+VLOOKUP(B59,'81923'!B:R,17,false)</f>
        <v>5</v>
      </c>
    </row>
    <row r="60">
      <c r="A60" s="25">
        <f t="shared" si="3"/>
        <v>56</v>
      </c>
      <c r="B60" s="36" t="s">
        <v>85</v>
      </c>
      <c r="C60" s="27">
        <v>66.0</v>
      </c>
      <c r="D60" s="28">
        <v>3.0</v>
      </c>
      <c r="E60" s="30">
        <v>3.0</v>
      </c>
      <c r="F60" s="31">
        <v>0.0</v>
      </c>
      <c r="G60" s="27">
        <v>9.0</v>
      </c>
      <c r="H60" s="31">
        <v>0.0</v>
      </c>
      <c r="I60" s="31">
        <v>0.0</v>
      </c>
      <c r="J60" s="31">
        <v>0.0</v>
      </c>
      <c r="K60" s="32">
        <v>9.0</v>
      </c>
      <c r="L60" s="31">
        <v>0.0</v>
      </c>
      <c r="M60" s="27">
        <f t="shared" ref="M60:N60" si="57">C60+K60</f>
        <v>75</v>
      </c>
      <c r="N60" s="28">
        <f t="shared" si="57"/>
        <v>3</v>
      </c>
      <c r="O60" s="33" t="s">
        <v>37</v>
      </c>
      <c r="P60" s="33" t="s">
        <v>37</v>
      </c>
      <c r="Q60" s="31">
        <f>if(G60=13,1,0)+VLOOKUP(B60,'81923'!B$5:P$61,15,false)</f>
        <v>0</v>
      </c>
      <c r="R60" s="31"/>
      <c r="S60" s="31">
        <f>if(G60=9,1,0)+VLOOKUP(B60,'81923'!B:R,17,false)</f>
        <v>5</v>
      </c>
    </row>
    <row r="61">
      <c r="A61" s="25">
        <f t="shared" si="3"/>
        <v>57</v>
      </c>
      <c r="B61" s="36" t="s">
        <v>109</v>
      </c>
      <c r="C61" s="27">
        <v>61.0</v>
      </c>
      <c r="D61" s="28">
        <v>1.0</v>
      </c>
      <c r="E61" s="30">
        <v>1.0</v>
      </c>
      <c r="F61" s="31">
        <v>7.0</v>
      </c>
      <c r="G61" s="27">
        <v>0.0</v>
      </c>
      <c r="H61" s="31">
        <v>6.0</v>
      </c>
      <c r="I61" s="31">
        <v>1.0</v>
      </c>
      <c r="J61" s="31">
        <v>2.0</v>
      </c>
      <c r="K61" s="32">
        <v>9.0</v>
      </c>
      <c r="L61" s="31">
        <v>0.0</v>
      </c>
      <c r="M61" s="27">
        <f t="shared" ref="M61:N61" si="58">C61+K61</f>
        <v>70</v>
      </c>
      <c r="N61" s="28">
        <f t="shared" si="58"/>
        <v>1</v>
      </c>
      <c r="O61" s="33" t="s">
        <v>37</v>
      </c>
      <c r="P61" s="33" t="s">
        <v>37</v>
      </c>
      <c r="Q61" s="31">
        <f>if(G61=13,1,0)+VLOOKUP(B61,'81923'!B$5:P$61,15,false)</f>
        <v>0</v>
      </c>
      <c r="R61" s="31"/>
      <c r="S61" s="31">
        <f>if(G61=9,1,0)+VLOOKUP(B61,'81923'!B:R,17,false)</f>
        <v>3</v>
      </c>
    </row>
    <row r="62">
      <c r="A62" s="1"/>
      <c r="C62" s="1"/>
      <c r="D62" s="1"/>
      <c r="E62" s="1"/>
      <c r="P62" s="1"/>
    </row>
    <row r="63">
      <c r="A63" s="1"/>
      <c r="B63" s="39">
        <f>COUNTA(B5:B61)</f>
        <v>57</v>
      </c>
      <c r="C63" s="1"/>
      <c r="D63" s="1"/>
      <c r="E63" s="1"/>
      <c r="O63" s="34" t="s">
        <v>110</v>
      </c>
      <c r="P63" s="40">
        <f>COUNTA(P5:P61)</f>
        <v>57</v>
      </c>
    </row>
    <row r="64">
      <c r="A64" s="1"/>
      <c r="C64" s="1"/>
      <c r="D64" s="1"/>
      <c r="E64" s="1"/>
      <c r="O64" s="34" t="s">
        <v>111</v>
      </c>
      <c r="P64" s="40">
        <f>P65-P63</f>
        <v>0</v>
      </c>
    </row>
    <row r="65">
      <c r="A65" s="1"/>
      <c r="C65" s="1"/>
      <c r="D65" s="1"/>
      <c r="J65" s="41"/>
      <c r="K65" s="42"/>
      <c r="L65" s="43"/>
      <c r="O65" s="34" t="s">
        <v>41</v>
      </c>
      <c r="P65" s="40">
        <f>B63</f>
        <v>57</v>
      </c>
    </row>
    <row r="66">
      <c r="A66" s="1"/>
      <c r="C66" s="1"/>
      <c r="D66" s="1"/>
      <c r="E66" s="34" t="s">
        <v>112</v>
      </c>
      <c r="J66" s="41"/>
      <c r="K66" s="42"/>
      <c r="L66" s="43"/>
    </row>
    <row r="67">
      <c r="A67" s="1"/>
      <c r="C67" s="1"/>
      <c r="D67" s="1"/>
      <c r="J67" s="41"/>
      <c r="K67" s="42"/>
      <c r="L67" s="43"/>
    </row>
    <row r="68">
      <c r="A68" s="1"/>
      <c r="C68" s="1"/>
      <c r="D68" s="1"/>
      <c r="J68" s="41"/>
      <c r="K68" s="42"/>
      <c r="L68" s="43"/>
    </row>
    <row r="69">
      <c r="A69" s="1"/>
      <c r="B69" s="45" t="s">
        <v>113</v>
      </c>
      <c r="C69" s="45" t="s">
        <v>114</v>
      </c>
      <c r="D69" s="45" t="s">
        <v>115</v>
      </c>
      <c r="J69" s="41"/>
      <c r="K69" s="42"/>
      <c r="L69" s="43"/>
    </row>
    <row r="70">
      <c r="A70" s="1"/>
      <c r="B70" s="36" t="str">
        <f>IFERROR(__xludf.DUMMYFUNCTION("QUERY(B5:L61,""Select B, K, L where K &gt;= 18 order by K desc, L desc"",0)"),"Chinna Ponnaganti")</f>
        <v>Chinna Ponnaganti</v>
      </c>
      <c r="C70" s="46">
        <f>IFERROR(__xludf.DUMMYFUNCTION("""COMPUTED_VALUE"""),19.0)</f>
        <v>19</v>
      </c>
      <c r="D70" s="46">
        <f>IFERROR(__xludf.DUMMYFUNCTION("""COMPUTED_VALUE"""),3.0)</f>
        <v>3</v>
      </c>
      <c r="E70" s="1"/>
      <c r="K70" s="42"/>
      <c r="L70" s="43"/>
    </row>
    <row r="71">
      <c r="A71" s="1"/>
      <c r="B71" s="36" t="str">
        <f>IFERROR(__xludf.DUMMYFUNCTION("""COMPUTED_VALUE"""),"Sanjaye Elayattu")</f>
        <v>Sanjaye Elayattu</v>
      </c>
      <c r="C71" s="46">
        <f>IFERROR(__xludf.DUMMYFUNCTION("""COMPUTED_VALUE"""),19.0)</f>
        <v>19</v>
      </c>
      <c r="D71" s="46">
        <f>IFERROR(__xludf.DUMMYFUNCTION("""COMPUTED_VALUE"""),3.0)</f>
        <v>3</v>
      </c>
      <c r="E71" s="1"/>
      <c r="L71" s="47"/>
    </row>
    <row r="72">
      <c r="A72" s="1"/>
      <c r="B72" s="36" t="str">
        <f>IFERROR(__xludf.DUMMYFUNCTION("""COMPUTED_VALUE"""),"Joe Luzzi")</f>
        <v>Joe Luzzi</v>
      </c>
      <c r="C72" s="46">
        <f>IFERROR(__xludf.DUMMYFUNCTION("""COMPUTED_VALUE"""),18.0)</f>
        <v>18</v>
      </c>
      <c r="D72" s="46">
        <f>IFERROR(__xludf.DUMMYFUNCTION("""COMPUTED_VALUE"""),3.0)</f>
        <v>3</v>
      </c>
      <c r="E72" s="1"/>
    </row>
    <row r="73">
      <c r="A73" s="1"/>
      <c r="B73" s="36" t="str">
        <f>IFERROR(__xludf.DUMMYFUNCTION("""COMPUTED_VALUE"""),"Vinot Kumar Nagappan")</f>
        <v>Vinot Kumar Nagappan</v>
      </c>
      <c r="C73" s="46">
        <f>IFERROR(__xludf.DUMMYFUNCTION("""COMPUTED_VALUE"""),18.0)</f>
        <v>18</v>
      </c>
      <c r="D73" s="46">
        <f>IFERROR(__xludf.DUMMYFUNCTION("""COMPUTED_VALUE"""),3.0)</f>
        <v>3</v>
      </c>
      <c r="E73" s="1"/>
    </row>
    <row r="74">
      <c r="A74" s="1"/>
      <c r="B74" s="36" t="str">
        <f>IFERROR(__xludf.DUMMYFUNCTION("""COMPUTED_VALUE"""),"Pulkit Mathur")</f>
        <v>Pulkit Mathur</v>
      </c>
      <c r="C74" s="46">
        <f>IFERROR(__xludf.DUMMYFUNCTION("""COMPUTED_VALUE"""),18.0)</f>
        <v>18</v>
      </c>
      <c r="D74" s="46">
        <f>IFERROR(__xludf.DUMMYFUNCTION("""COMPUTED_VALUE"""),2.0)</f>
        <v>2</v>
      </c>
      <c r="E74" s="1"/>
      <c r="K74" s="34"/>
    </row>
    <row r="75">
      <c r="A75" s="1"/>
      <c r="B75" s="36"/>
      <c r="C75" s="46"/>
      <c r="D75" s="46"/>
      <c r="E75" s="1"/>
      <c r="K75" s="34"/>
    </row>
    <row r="76">
      <c r="A76" s="1"/>
      <c r="B76" s="36"/>
      <c r="C76" s="46"/>
      <c r="D76" s="46"/>
      <c r="E76" s="1"/>
      <c r="K76" s="34"/>
    </row>
    <row r="77">
      <c r="A77" s="1"/>
      <c r="B77" s="36"/>
      <c r="C77" s="46"/>
      <c r="D77" s="46"/>
      <c r="E77" s="1"/>
      <c r="K77" s="34"/>
    </row>
    <row r="78">
      <c r="A78" s="1"/>
      <c r="B78" s="36"/>
      <c r="C78" s="46"/>
      <c r="D78" s="46"/>
      <c r="E78" s="1"/>
    </row>
    <row r="79">
      <c r="A79" s="1"/>
      <c r="B79" s="36"/>
      <c r="C79" s="46"/>
      <c r="D79" s="46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E1"/>
    <mergeCell ref="H1:J1"/>
    <mergeCell ref="K1:L1"/>
    <mergeCell ref="B2:C2"/>
    <mergeCell ref="M3:N3"/>
  </mergeCells>
  <conditionalFormatting sqref="K5:K61">
    <cfRule type="expression" dxfId="0" priority="1">
      <formula> K5&gt;=18</formula>
    </cfRule>
  </conditionalFormatting>
  <conditionalFormatting sqref="K10 M10">
    <cfRule type="expression" dxfId="1" priority="2">
      <formula>iseven</formula>
    </cfRule>
  </conditionalFormatting>
  <conditionalFormatting sqref="B5:B61 B69:D79">
    <cfRule type="expression" dxfId="0" priority="3">
      <formula>E5=1</formula>
    </cfRule>
  </conditionalFormatting>
  <conditionalFormatting sqref="B5:B61 B69:D79">
    <cfRule type="expression" dxfId="2" priority="4">
      <formula>E5=2</formula>
    </cfRule>
  </conditionalFormatting>
  <conditionalFormatting sqref="B5:B61 B69:D79">
    <cfRule type="expression" dxfId="3" priority="5">
      <formula>E5=3</formula>
    </cfRule>
  </conditionalFormatting>
  <conditionalFormatting sqref="B5:B61 B69:D79">
    <cfRule type="expression" dxfId="4" priority="6">
      <formula>E5=4</formula>
    </cfRule>
  </conditionalFormatting>
  <conditionalFormatting sqref="L71">
    <cfRule type="containsText" dxfId="0" priority="7" operator="containsText" text="Good">
      <formula>NOT(ISERROR(SEARCH(("Good"),(L71))))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13"/>
    <col customWidth="1" min="17" max="17" width="8.0"/>
    <col customWidth="1" min="18" max="18" width="8.75"/>
  </cols>
  <sheetData>
    <row r="1">
      <c r="A1" s="1"/>
      <c r="B1" s="2" t="s">
        <v>1</v>
      </c>
      <c r="C1" s="3">
        <v>45157.0</v>
      </c>
      <c r="F1" s="5"/>
      <c r="G1" s="5"/>
      <c r="J1" s="5"/>
      <c r="L1" s="5"/>
    </row>
    <row r="2">
      <c r="A2" s="1"/>
      <c r="B2" s="8" t="s">
        <v>6</v>
      </c>
      <c r="D2" s="9">
        <v>8.0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28</v>
      </c>
      <c r="G4" s="21" t="s">
        <v>17</v>
      </c>
      <c r="H4" s="21" t="s">
        <v>18</v>
      </c>
      <c r="I4" s="21" t="s">
        <v>19</v>
      </c>
      <c r="J4" s="21" t="s">
        <v>8</v>
      </c>
      <c r="K4" s="21" t="s">
        <v>14</v>
      </c>
      <c r="L4" s="22" t="s">
        <v>8</v>
      </c>
      <c r="M4" s="22" t="s">
        <v>14</v>
      </c>
      <c r="N4" s="21" t="s">
        <v>29</v>
      </c>
      <c r="O4" s="21" t="s">
        <v>30</v>
      </c>
      <c r="P4" s="21" t="s">
        <v>31</v>
      </c>
      <c r="Q4" s="21" t="s">
        <v>32</v>
      </c>
      <c r="R4" s="21" t="s">
        <v>33</v>
      </c>
    </row>
    <row r="5">
      <c r="A5" s="25">
        <v>1.0</v>
      </c>
      <c r="B5" s="36" t="s">
        <v>67</v>
      </c>
      <c r="C5" s="27">
        <v>105.0</v>
      </c>
      <c r="D5" s="28">
        <v>12.0</v>
      </c>
      <c r="E5" s="30">
        <v>3.0</v>
      </c>
      <c r="F5" s="27">
        <v>9.0</v>
      </c>
      <c r="G5" s="31">
        <v>0.0</v>
      </c>
      <c r="H5" s="31">
        <v>0.0</v>
      </c>
      <c r="I5" s="31">
        <v>0.0</v>
      </c>
      <c r="J5" s="32">
        <v>9.0</v>
      </c>
      <c r="K5" s="31">
        <v>0.0</v>
      </c>
      <c r="L5" s="27">
        <f t="shared" ref="L5:M5" si="1">C5+J5</f>
        <v>114</v>
      </c>
      <c r="M5" s="28">
        <f t="shared" si="1"/>
        <v>12</v>
      </c>
      <c r="N5" s="33" t="s">
        <v>37</v>
      </c>
      <c r="O5" s="33" t="s">
        <v>37</v>
      </c>
      <c r="P5" s="31">
        <f>if(F5=13,1,0)+VLOOKUP(B5,'81223'!B$5:P$61,15,false)</f>
        <v>0</v>
      </c>
      <c r="Q5" s="31"/>
      <c r="R5" s="31">
        <f>if(F5=9,1,0)+VLOOKUP(B5,'81223'!B:R,17,false)</f>
        <v>1</v>
      </c>
    </row>
    <row r="6">
      <c r="A6" s="25">
        <f t="shared" ref="A6:A61" si="3">A5+1</f>
        <v>2</v>
      </c>
      <c r="B6" s="26" t="s">
        <v>72</v>
      </c>
      <c r="C6" s="27">
        <v>104.0</v>
      </c>
      <c r="D6" s="28">
        <v>12.0</v>
      </c>
      <c r="E6" s="30">
        <v>1.0</v>
      </c>
      <c r="F6" s="27">
        <v>0.0</v>
      </c>
      <c r="G6" s="31">
        <v>6.0</v>
      </c>
      <c r="H6" s="31">
        <v>7.0</v>
      </c>
      <c r="I6" s="31">
        <v>4.0</v>
      </c>
      <c r="J6" s="32">
        <v>17.0</v>
      </c>
      <c r="K6" s="31">
        <v>2.0</v>
      </c>
      <c r="L6" s="27">
        <f t="shared" ref="L6:M6" si="2">C6+J6</f>
        <v>121</v>
      </c>
      <c r="M6" s="28">
        <f t="shared" si="2"/>
        <v>14</v>
      </c>
      <c r="N6" s="33" t="s">
        <v>37</v>
      </c>
      <c r="O6" s="33" t="s">
        <v>37</v>
      </c>
      <c r="P6" s="31">
        <f>if(F6=13,1,0)+VLOOKUP(B6,'81223'!B$5:P$61,15,false)</f>
        <v>1</v>
      </c>
      <c r="Q6" s="31"/>
      <c r="R6" s="31">
        <f>if(F6=9,1,0)+VLOOKUP(B6,'81223'!B:R,17,false)</f>
        <v>1</v>
      </c>
    </row>
    <row r="7">
      <c r="A7" s="25">
        <f t="shared" si="3"/>
        <v>3</v>
      </c>
      <c r="B7" s="26" t="s">
        <v>42</v>
      </c>
      <c r="C7" s="27">
        <v>97.0</v>
      </c>
      <c r="D7" s="28">
        <v>10.0</v>
      </c>
      <c r="E7" s="30">
        <v>1.0</v>
      </c>
      <c r="F7" s="27">
        <v>0.0</v>
      </c>
      <c r="G7" s="31">
        <v>6.0</v>
      </c>
      <c r="H7" s="31">
        <v>5.0</v>
      </c>
      <c r="I7" s="31">
        <v>6.0</v>
      </c>
      <c r="J7" s="32">
        <v>17.0</v>
      </c>
      <c r="K7" s="31">
        <v>2.0</v>
      </c>
      <c r="L7" s="27">
        <f t="shared" ref="L7:M7" si="4">C7+J7</f>
        <v>114</v>
      </c>
      <c r="M7" s="28">
        <f t="shared" si="4"/>
        <v>12</v>
      </c>
      <c r="N7" s="33" t="s">
        <v>37</v>
      </c>
      <c r="O7" s="33" t="s">
        <v>37</v>
      </c>
      <c r="P7" s="31">
        <f>if(F7=13,1,0)+VLOOKUP(B7,'81223'!B$5:P$61,15,false)</f>
        <v>0</v>
      </c>
      <c r="Q7" s="31"/>
      <c r="R7" s="31">
        <f>if(F7=9,1,0)+VLOOKUP(B7,'81223'!B:R,17,false)</f>
        <v>2</v>
      </c>
    </row>
    <row r="8">
      <c r="A8" s="25">
        <f t="shared" si="3"/>
        <v>4</v>
      </c>
      <c r="B8" s="26" t="s">
        <v>80</v>
      </c>
      <c r="C8" s="27">
        <v>96.0</v>
      </c>
      <c r="D8" s="28">
        <v>10.0</v>
      </c>
      <c r="E8" s="30">
        <v>3.0</v>
      </c>
      <c r="F8" s="27">
        <v>9.0</v>
      </c>
      <c r="G8" s="31">
        <v>0.0</v>
      </c>
      <c r="H8" s="31">
        <v>0.0</v>
      </c>
      <c r="I8" s="31">
        <v>0.0</v>
      </c>
      <c r="J8" s="32">
        <v>9.0</v>
      </c>
      <c r="K8" s="31">
        <v>0.0</v>
      </c>
      <c r="L8" s="27">
        <f t="shared" ref="L8:M8" si="5">C8+J8</f>
        <v>105</v>
      </c>
      <c r="M8" s="28">
        <f t="shared" si="5"/>
        <v>10</v>
      </c>
      <c r="N8" s="33" t="s">
        <v>37</v>
      </c>
      <c r="O8" s="33" t="s">
        <v>37</v>
      </c>
      <c r="P8" s="31">
        <f>if(F8=13,1,0)+VLOOKUP(B8,'81223'!B$5:P$61,15,false)</f>
        <v>0</v>
      </c>
      <c r="Q8" s="31"/>
      <c r="R8" s="31">
        <f>if(F8=9,1,0)+VLOOKUP(B8,'81223'!B:R,17,false)</f>
        <v>4</v>
      </c>
    </row>
    <row r="9">
      <c r="A9" s="25">
        <f t="shared" si="3"/>
        <v>5</v>
      </c>
      <c r="B9" s="26" t="s">
        <v>34</v>
      </c>
      <c r="C9" s="27">
        <v>96.0</v>
      </c>
      <c r="D9" s="28">
        <v>10.0</v>
      </c>
      <c r="E9" s="30">
        <v>3.0</v>
      </c>
      <c r="F9" s="27">
        <v>9.0</v>
      </c>
      <c r="G9" s="31">
        <v>0.0</v>
      </c>
      <c r="H9" s="31">
        <v>0.0</v>
      </c>
      <c r="I9" s="31">
        <v>0.0</v>
      </c>
      <c r="J9" s="32">
        <v>9.0</v>
      </c>
      <c r="K9" s="31">
        <v>0.0</v>
      </c>
      <c r="L9" s="27">
        <f t="shared" ref="L9:M9" si="6">C9+J9</f>
        <v>105</v>
      </c>
      <c r="M9" s="28">
        <f t="shared" si="6"/>
        <v>10</v>
      </c>
      <c r="N9" s="33" t="s">
        <v>37</v>
      </c>
      <c r="O9" s="33" t="s">
        <v>37</v>
      </c>
      <c r="P9" s="31">
        <f>if(F9=13,1,0)+VLOOKUP(B9,'81223'!B$5:P$61,15,false)</f>
        <v>0</v>
      </c>
      <c r="Q9" s="31"/>
      <c r="R9" s="31">
        <f>if(F9=9,1,0)+VLOOKUP(B9,'81223'!B:R,17,false)</f>
        <v>4</v>
      </c>
    </row>
    <row r="10">
      <c r="A10" s="25">
        <f t="shared" si="3"/>
        <v>6</v>
      </c>
      <c r="B10" s="26" t="s">
        <v>54</v>
      </c>
      <c r="C10" s="27">
        <v>94.0</v>
      </c>
      <c r="D10" s="28">
        <v>10.0</v>
      </c>
      <c r="E10" s="30">
        <v>1.0</v>
      </c>
      <c r="F10" s="27">
        <v>0.0</v>
      </c>
      <c r="G10" s="31">
        <v>2.0</v>
      </c>
      <c r="H10" s="31">
        <v>5.0</v>
      </c>
      <c r="I10" s="31">
        <v>4.0</v>
      </c>
      <c r="J10" s="32">
        <v>11.0</v>
      </c>
      <c r="K10" s="31">
        <v>0.0</v>
      </c>
      <c r="L10" s="27">
        <f t="shared" ref="L10:M10" si="7">C10+J10</f>
        <v>105</v>
      </c>
      <c r="M10" s="28">
        <f t="shared" si="7"/>
        <v>10</v>
      </c>
      <c r="N10" s="33" t="s">
        <v>37</v>
      </c>
      <c r="O10" s="33" t="s">
        <v>37</v>
      </c>
      <c r="P10" s="31">
        <f>if(F10=13,1,0)+VLOOKUP(B10,'81223'!B$5:P$61,15,false)</f>
        <v>0</v>
      </c>
      <c r="Q10" s="31"/>
      <c r="R10" s="31">
        <f>if(F10=9,1,0)+VLOOKUP(B10,'81223'!B:R,17,false)</f>
        <v>2</v>
      </c>
    </row>
    <row r="11">
      <c r="A11" s="25">
        <f t="shared" si="3"/>
        <v>7</v>
      </c>
      <c r="B11" s="26" t="s">
        <v>70</v>
      </c>
      <c r="C11" s="27">
        <v>91.0</v>
      </c>
      <c r="D11" s="28">
        <v>9.0</v>
      </c>
      <c r="E11" s="30">
        <v>1.0</v>
      </c>
      <c r="F11" s="27">
        <v>0.0</v>
      </c>
      <c r="G11" s="31">
        <v>2.0</v>
      </c>
      <c r="H11" s="31">
        <v>7.0</v>
      </c>
      <c r="I11" s="31">
        <v>6.0</v>
      </c>
      <c r="J11" s="32">
        <v>15.0</v>
      </c>
      <c r="K11" s="31">
        <v>2.0</v>
      </c>
      <c r="L11" s="27">
        <f t="shared" ref="L11:M11" si="8">C11+J11</f>
        <v>106</v>
      </c>
      <c r="M11" s="28">
        <f t="shared" si="8"/>
        <v>11</v>
      </c>
      <c r="N11" s="33" t="s">
        <v>37</v>
      </c>
      <c r="O11" s="33" t="s">
        <v>37</v>
      </c>
      <c r="P11" s="31">
        <f>if(F11=13,1,0)+VLOOKUP(B11,'81223'!B$5:P$61,15,false)</f>
        <v>0</v>
      </c>
      <c r="Q11" s="31"/>
      <c r="R11" s="31">
        <f>if(F11=9,1,0)+VLOOKUP(B11,'81223'!B:R,17,false)</f>
        <v>2</v>
      </c>
    </row>
    <row r="12">
      <c r="A12" s="25">
        <f t="shared" si="3"/>
        <v>8</v>
      </c>
      <c r="B12" s="26" t="s">
        <v>60</v>
      </c>
      <c r="C12" s="27">
        <v>90.0</v>
      </c>
      <c r="D12" s="28">
        <v>9.0</v>
      </c>
      <c r="E12" s="30">
        <v>3.0</v>
      </c>
      <c r="F12" s="27">
        <v>9.0</v>
      </c>
      <c r="G12" s="31">
        <v>0.0</v>
      </c>
      <c r="H12" s="31">
        <v>0.0</v>
      </c>
      <c r="I12" s="31">
        <v>0.0</v>
      </c>
      <c r="J12" s="32">
        <v>9.0</v>
      </c>
      <c r="K12" s="31">
        <v>0.0</v>
      </c>
      <c r="L12" s="27">
        <f t="shared" ref="L12:M12" si="9">C12+J12</f>
        <v>99</v>
      </c>
      <c r="M12" s="28">
        <f t="shared" si="9"/>
        <v>9</v>
      </c>
      <c r="N12" s="33" t="s">
        <v>37</v>
      </c>
      <c r="O12" s="33" t="s">
        <v>37</v>
      </c>
      <c r="P12" s="31">
        <f>if(F12=13,1,0)+VLOOKUP(B12,'81223'!B$5:P$61,15,false)</f>
        <v>0</v>
      </c>
      <c r="Q12" s="31"/>
      <c r="R12" s="31">
        <f>if(F12=9,1,0)+VLOOKUP(B12,'81223'!B:R,17,false)</f>
        <v>2</v>
      </c>
    </row>
    <row r="13">
      <c r="A13" s="25">
        <f t="shared" si="3"/>
        <v>9</v>
      </c>
      <c r="B13" s="26" t="s">
        <v>49</v>
      </c>
      <c r="C13" s="27">
        <v>90.0</v>
      </c>
      <c r="D13" s="28">
        <v>8.0</v>
      </c>
      <c r="E13" s="30">
        <v>1.0</v>
      </c>
      <c r="F13" s="27">
        <v>0.0</v>
      </c>
      <c r="G13" s="31">
        <v>6.0</v>
      </c>
      <c r="H13" s="31">
        <v>6.0</v>
      </c>
      <c r="I13" s="31">
        <v>7.0</v>
      </c>
      <c r="J13" s="32">
        <v>19.0</v>
      </c>
      <c r="K13" s="31">
        <v>2.0</v>
      </c>
      <c r="L13" s="27">
        <f t="shared" ref="L13:M13" si="10">C13+J13</f>
        <v>109</v>
      </c>
      <c r="M13" s="28">
        <f t="shared" si="10"/>
        <v>10</v>
      </c>
      <c r="N13" s="33" t="s">
        <v>37</v>
      </c>
      <c r="O13" s="33" t="s">
        <v>37</v>
      </c>
      <c r="P13" s="31">
        <f>if(F13=13,1,0)+VLOOKUP(B13,'81223'!B$5:P$61,15,false)</f>
        <v>0</v>
      </c>
      <c r="Q13" s="31"/>
      <c r="R13" s="31">
        <f>if(F13=9,1,0)+VLOOKUP(B13,'81223'!B:R,17,false)</f>
        <v>0</v>
      </c>
    </row>
    <row r="14">
      <c r="A14" s="25">
        <f t="shared" si="3"/>
        <v>10</v>
      </c>
      <c r="B14" s="26" t="s">
        <v>75</v>
      </c>
      <c r="C14" s="27">
        <v>90.0</v>
      </c>
      <c r="D14" s="28">
        <v>8.0</v>
      </c>
      <c r="E14" s="30">
        <v>2.0</v>
      </c>
      <c r="F14" s="27">
        <v>0.0</v>
      </c>
      <c r="G14" s="31">
        <v>4.0</v>
      </c>
      <c r="H14" s="31">
        <v>7.0</v>
      </c>
      <c r="I14" s="31">
        <v>7.0</v>
      </c>
      <c r="J14" s="32">
        <v>18.0</v>
      </c>
      <c r="K14" s="31">
        <v>2.0</v>
      </c>
      <c r="L14" s="27">
        <f t="shared" ref="L14:M14" si="11">C14+J14</f>
        <v>108</v>
      </c>
      <c r="M14" s="28">
        <f t="shared" si="11"/>
        <v>10</v>
      </c>
      <c r="N14" s="33" t="s">
        <v>37</v>
      </c>
      <c r="O14" s="33" t="s">
        <v>37</v>
      </c>
      <c r="P14" s="31">
        <f>if(F14=13,1,0)+VLOOKUP(B14,'81223'!B$5:P$61,15,false)</f>
        <v>0</v>
      </c>
      <c r="Q14" s="31"/>
      <c r="R14" s="31">
        <f>if(F14=9,1,0)+VLOOKUP(B14,'81223'!B:R,17,false)</f>
        <v>2</v>
      </c>
    </row>
    <row r="15">
      <c r="A15" s="25">
        <f t="shared" si="3"/>
        <v>11</v>
      </c>
      <c r="B15" s="36" t="s">
        <v>77</v>
      </c>
      <c r="C15" s="27">
        <v>89.0</v>
      </c>
      <c r="D15" s="28">
        <v>8.0</v>
      </c>
      <c r="E15" s="30">
        <v>3.0</v>
      </c>
      <c r="F15" s="27">
        <v>9.0</v>
      </c>
      <c r="G15" s="31">
        <v>0.0</v>
      </c>
      <c r="H15" s="31">
        <v>0.0</v>
      </c>
      <c r="I15" s="31">
        <v>0.0</v>
      </c>
      <c r="J15" s="32">
        <v>9.0</v>
      </c>
      <c r="K15" s="31">
        <v>0.0</v>
      </c>
      <c r="L15" s="27">
        <f t="shared" ref="L15:M15" si="12">C15+J15</f>
        <v>98</v>
      </c>
      <c r="M15" s="28">
        <f t="shared" si="12"/>
        <v>8</v>
      </c>
      <c r="N15" s="33" t="s">
        <v>37</v>
      </c>
      <c r="O15" s="33" t="s">
        <v>37</v>
      </c>
      <c r="P15" s="31">
        <f>if(F15=13,1,0)+VLOOKUP(B15,'81223'!B$5:P$61,15,false)</f>
        <v>0</v>
      </c>
      <c r="Q15" s="31"/>
      <c r="R15" s="31">
        <f>if(F15=9,1,0)+VLOOKUP(B15,'81223'!B:R,17,false)</f>
        <v>4</v>
      </c>
    </row>
    <row r="16">
      <c r="A16" s="25">
        <f t="shared" si="3"/>
        <v>12</v>
      </c>
      <c r="B16" s="26" t="s">
        <v>52</v>
      </c>
      <c r="C16" s="27">
        <v>88.0</v>
      </c>
      <c r="D16" s="28">
        <v>10.0</v>
      </c>
      <c r="E16" s="30">
        <v>1.0</v>
      </c>
      <c r="F16" s="27">
        <v>0.0</v>
      </c>
      <c r="G16" s="31">
        <v>4.0</v>
      </c>
      <c r="H16" s="31">
        <v>6.0</v>
      </c>
      <c r="I16" s="31">
        <v>5.0</v>
      </c>
      <c r="J16" s="32">
        <v>15.0</v>
      </c>
      <c r="K16" s="31">
        <v>0.0</v>
      </c>
      <c r="L16" s="27">
        <f t="shared" ref="L16:M16" si="13">C16+J16</f>
        <v>103</v>
      </c>
      <c r="M16" s="28">
        <f t="shared" si="13"/>
        <v>10</v>
      </c>
      <c r="N16" s="33" t="s">
        <v>37</v>
      </c>
      <c r="O16" s="33" t="s">
        <v>37</v>
      </c>
      <c r="P16" s="31">
        <f>if(F16=13,1,0)+VLOOKUP(B16,'81223'!B$5:P$61,15,false)</f>
        <v>0</v>
      </c>
      <c r="Q16" s="31"/>
      <c r="R16" s="31">
        <f>if(F16=9,1,0)+VLOOKUP(B16,'81223'!B:R,17,false)</f>
        <v>0</v>
      </c>
    </row>
    <row r="17">
      <c r="A17" s="25">
        <f t="shared" si="3"/>
        <v>13</v>
      </c>
      <c r="B17" s="26" t="s">
        <v>48</v>
      </c>
      <c r="C17" s="27">
        <v>88.0</v>
      </c>
      <c r="D17" s="28">
        <v>9.0</v>
      </c>
      <c r="E17" s="30">
        <v>3.0</v>
      </c>
      <c r="F17" s="27">
        <v>9.0</v>
      </c>
      <c r="G17" s="31">
        <v>0.0</v>
      </c>
      <c r="H17" s="31">
        <v>0.0</v>
      </c>
      <c r="I17" s="31">
        <v>0.0</v>
      </c>
      <c r="J17" s="32">
        <v>9.0</v>
      </c>
      <c r="K17" s="31">
        <v>0.0</v>
      </c>
      <c r="L17" s="27">
        <f t="shared" ref="L17:M17" si="14">C17+J17</f>
        <v>97</v>
      </c>
      <c r="M17" s="28">
        <f t="shared" si="14"/>
        <v>9</v>
      </c>
      <c r="N17" s="33" t="s">
        <v>37</v>
      </c>
      <c r="O17" s="33" t="s">
        <v>37</v>
      </c>
      <c r="P17" s="31">
        <f>if(F17=13,1,0)+VLOOKUP(B17,'81223'!B$5:P$61,15,false)</f>
        <v>0</v>
      </c>
      <c r="Q17" s="31"/>
      <c r="R17" s="31">
        <f>if(F17=9,1,0)+VLOOKUP(B17,'81223'!B:R,17,false)</f>
        <v>3</v>
      </c>
    </row>
    <row r="18">
      <c r="A18" s="25">
        <f t="shared" si="3"/>
        <v>14</v>
      </c>
      <c r="B18" s="26" t="s">
        <v>61</v>
      </c>
      <c r="C18" s="27">
        <v>87.0</v>
      </c>
      <c r="D18" s="28">
        <v>9.0</v>
      </c>
      <c r="E18" s="30">
        <v>1.0</v>
      </c>
      <c r="F18" s="27">
        <v>0.0</v>
      </c>
      <c r="G18" s="31">
        <v>6.0</v>
      </c>
      <c r="H18" s="31">
        <v>7.0</v>
      </c>
      <c r="I18" s="31">
        <v>5.0</v>
      </c>
      <c r="J18" s="32">
        <v>18.0</v>
      </c>
      <c r="K18" s="31">
        <v>2.0</v>
      </c>
      <c r="L18" s="27">
        <f t="shared" ref="L18:M18" si="15">C18+J18</f>
        <v>105</v>
      </c>
      <c r="M18" s="28">
        <f t="shared" si="15"/>
        <v>11</v>
      </c>
      <c r="N18" s="33" t="s">
        <v>37</v>
      </c>
      <c r="O18" s="33" t="s">
        <v>37</v>
      </c>
      <c r="P18" s="31">
        <f>if(F18=13,1,0)+VLOOKUP(B18,'81223'!B$5:P$61,15,false)</f>
        <v>0</v>
      </c>
      <c r="Q18" s="31"/>
      <c r="R18" s="31">
        <f>if(F18=9,1,0)+VLOOKUP(B18,'81223'!B:R,17,false)</f>
        <v>1</v>
      </c>
    </row>
    <row r="19">
      <c r="A19" s="25">
        <f t="shared" si="3"/>
        <v>15</v>
      </c>
      <c r="B19" s="36" t="s">
        <v>59</v>
      </c>
      <c r="C19" s="27">
        <v>86.0</v>
      </c>
      <c r="D19" s="28">
        <v>6.0</v>
      </c>
      <c r="E19" s="30">
        <v>3.0</v>
      </c>
      <c r="F19" s="27">
        <v>9.0</v>
      </c>
      <c r="G19" s="31">
        <v>0.0</v>
      </c>
      <c r="H19" s="31">
        <v>0.0</v>
      </c>
      <c r="I19" s="31">
        <v>0.0</v>
      </c>
      <c r="J19" s="32">
        <v>9.0</v>
      </c>
      <c r="K19" s="31">
        <v>0.0</v>
      </c>
      <c r="L19" s="27">
        <f t="shared" ref="L19:M19" si="16">C19+J19</f>
        <v>95</v>
      </c>
      <c r="M19" s="28">
        <f t="shared" si="16"/>
        <v>6</v>
      </c>
      <c r="N19" s="33" t="s">
        <v>37</v>
      </c>
      <c r="O19" s="33" t="s">
        <v>37</v>
      </c>
      <c r="P19" s="31">
        <f>if(F19=13,1,0)+VLOOKUP(B19,'81223'!B$5:P$61,15,false)</f>
        <v>0</v>
      </c>
      <c r="Q19" s="31"/>
      <c r="R19" s="31">
        <f>if(F19=9,1,0)+VLOOKUP(B19,'81223'!B:R,17,false)</f>
        <v>2</v>
      </c>
    </row>
    <row r="20">
      <c r="A20" s="25">
        <f t="shared" si="3"/>
        <v>16</v>
      </c>
      <c r="B20" s="26" t="s">
        <v>68</v>
      </c>
      <c r="C20" s="27">
        <v>86.0</v>
      </c>
      <c r="D20" s="28">
        <v>5.0</v>
      </c>
      <c r="E20" s="30">
        <v>1.0</v>
      </c>
      <c r="F20" s="27">
        <v>0.0</v>
      </c>
      <c r="G20" s="31">
        <v>3.0</v>
      </c>
      <c r="H20" s="31">
        <v>6.0</v>
      </c>
      <c r="I20" s="31">
        <v>6.0</v>
      </c>
      <c r="J20" s="32">
        <v>15.0</v>
      </c>
      <c r="K20" s="31">
        <v>2.0</v>
      </c>
      <c r="L20" s="27">
        <f t="shared" ref="L20:M20" si="17">C20+J20</f>
        <v>101</v>
      </c>
      <c r="M20" s="28">
        <f t="shared" si="17"/>
        <v>7</v>
      </c>
      <c r="N20" s="33" t="s">
        <v>37</v>
      </c>
      <c r="O20" s="33" t="s">
        <v>37</v>
      </c>
      <c r="P20" s="31">
        <f>if(F20=13,1,0)+VLOOKUP(B20,'81223'!B$5:P$61,15,false)</f>
        <v>1</v>
      </c>
      <c r="Q20" s="31"/>
      <c r="R20" s="31">
        <f>if(F20=9,1,0)+VLOOKUP(B20,'81223'!B:R,17,false)</f>
        <v>4</v>
      </c>
    </row>
    <row r="21">
      <c r="A21" s="25">
        <f t="shared" si="3"/>
        <v>17</v>
      </c>
      <c r="B21" s="26" t="s">
        <v>50</v>
      </c>
      <c r="C21" s="27">
        <v>83.0</v>
      </c>
      <c r="D21" s="28">
        <v>7.0</v>
      </c>
      <c r="E21" s="30">
        <v>1.0</v>
      </c>
      <c r="F21" s="27">
        <v>0.0</v>
      </c>
      <c r="G21" s="31">
        <v>6.0</v>
      </c>
      <c r="H21" s="31">
        <v>4.0</v>
      </c>
      <c r="I21" s="31">
        <v>6.0</v>
      </c>
      <c r="J21" s="32">
        <v>16.0</v>
      </c>
      <c r="K21" s="31">
        <v>2.0</v>
      </c>
      <c r="L21" s="27">
        <f t="shared" ref="L21:M21" si="18">C21+J21</f>
        <v>99</v>
      </c>
      <c r="M21" s="28">
        <f t="shared" si="18"/>
        <v>9</v>
      </c>
      <c r="N21" s="33" t="s">
        <v>37</v>
      </c>
      <c r="O21" s="33" t="s">
        <v>37</v>
      </c>
      <c r="P21" s="31">
        <f>if(F21=13,1,0)+VLOOKUP(B21,'81223'!B$5:P$61,15,false)</f>
        <v>0</v>
      </c>
      <c r="Q21" s="31"/>
      <c r="R21" s="31">
        <f>if(F21=9,1,0)+VLOOKUP(B21,'81223'!B:R,17,false)</f>
        <v>3</v>
      </c>
    </row>
    <row r="22">
      <c r="A22" s="25">
        <f t="shared" si="3"/>
        <v>18</v>
      </c>
      <c r="B22" s="26" t="s">
        <v>47</v>
      </c>
      <c r="C22" s="27">
        <v>82.0</v>
      </c>
      <c r="D22" s="28">
        <v>5.0</v>
      </c>
      <c r="E22" s="30">
        <v>3.0</v>
      </c>
      <c r="F22" s="27">
        <v>9.0</v>
      </c>
      <c r="G22" s="31">
        <v>0.0</v>
      </c>
      <c r="H22" s="31">
        <v>0.0</v>
      </c>
      <c r="I22" s="31">
        <v>0.0</v>
      </c>
      <c r="J22" s="32">
        <v>9.0</v>
      </c>
      <c r="K22" s="31">
        <v>0.0</v>
      </c>
      <c r="L22" s="27">
        <f t="shared" ref="L22:M22" si="19">C22+J22</f>
        <v>91</v>
      </c>
      <c r="M22" s="28">
        <f t="shared" si="19"/>
        <v>5</v>
      </c>
      <c r="N22" s="33" t="s">
        <v>37</v>
      </c>
      <c r="O22" s="33" t="s">
        <v>37</v>
      </c>
      <c r="P22" s="31">
        <f>if(F22=13,1,0)+VLOOKUP(B22,'81223'!B$5:P$61,15,false)</f>
        <v>0</v>
      </c>
      <c r="Q22" s="31"/>
      <c r="R22" s="31">
        <f>if(F22=9,1,0)+VLOOKUP(B22,'81223'!B:R,17,false)</f>
        <v>5</v>
      </c>
    </row>
    <row r="23">
      <c r="A23" s="25">
        <f t="shared" si="3"/>
        <v>19</v>
      </c>
      <c r="B23" s="26" t="s">
        <v>55</v>
      </c>
      <c r="C23" s="27">
        <v>81.0</v>
      </c>
      <c r="D23" s="28">
        <v>7.0</v>
      </c>
      <c r="E23" s="30">
        <v>3.0</v>
      </c>
      <c r="F23" s="27">
        <v>9.0</v>
      </c>
      <c r="G23" s="31">
        <v>0.0</v>
      </c>
      <c r="H23" s="31">
        <v>0.0</v>
      </c>
      <c r="I23" s="31">
        <v>0.0</v>
      </c>
      <c r="J23" s="32">
        <v>9.0</v>
      </c>
      <c r="K23" s="31">
        <v>0.0</v>
      </c>
      <c r="L23" s="27">
        <f t="shared" ref="L23:M23" si="20">C23+J23</f>
        <v>90</v>
      </c>
      <c r="M23" s="28">
        <f t="shared" si="20"/>
        <v>7</v>
      </c>
      <c r="N23" s="33" t="s">
        <v>37</v>
      </c>
      <c r="O23" s="33" t="s">
        <v>37</v>
      </c>
      <c r="P23" s="31">
        <f>if(F23=13,1,0)+VLOOKUP(B23,'81223'!B$5:P$61,15,false)</f>
        <v>0</v>
      </c>
      <c r="Q23" s="31"/>
      <c r="R23" s="31">
        <f>if(F23=9,1,0)+VLOOKUP(B23,'81223'!B:R,17,false)</f>
        <v>4</v>
      </c>
    </row>
    <row r="24">
      <c r="A24" s="25">
        <f t="shared" si="3"/>
        <v>20</v>
      </c>
      <c r="B24" s="26" t="s">
        <v>58</v>
      </c>
      <c r="C24" s="27">
        <v>81.0</v>
      </c>
      <c r="D24" s="28">
        <v>5.0</v>
      </c>
      <c r="E24" s="30">
        <v>3.0</v>
      </c>
      <c r="F24" s="27">
        <v>9.0</v>
      </c>
      <c r="G24" s="31">
        <v>0.0</v>
      </c>
      <c r="H24" s="31">
        <v>0.0</v>
      </c>
      <c r="I24" s="31">
        <v>0.0</v>
      </c>
      <c r="J24" s="32">
        <v>9.0</v>
      </c>
      <c r="K24" s="31">
        <v>0.0</v>
      </c>
      <c r="L24" s="27">
        <f t="shared" ref="L24:M24" si="21">C24+J24</f>
        <v>90</v>
      </c>
      <c r="M24" s="28">
        <f t="shared" si="21"/>
        <v>5</v>
      </c>
      <c r="N24" s="33" t="s">
        <v>37</v>
      </c>
      <c r="O24" s="33" t="s">
        <v>37</v>
      </c>
      <c r="P24" s="31">
        <f>if(F24=13,1,0)+VLOOKUP(B24,'81223'!B$5:P$61,15,false)</f>
        <v>0</v>
      </c>
      <c r="Q24" s="31"/>
      <c r="R24" s="31">
        <f>if(F24=9,1,0)+VLOOKUP(B24,'81223'!B:R,17,false)</f>
        <v>3</v>
      </c>
    </row>
    <row r="25">
      <c r="A25" s="25">
        <f t="shared" si="3"/>
        <v>21</v>
      </c>
      <c r="B25" s="26" t="s">
        <v>51</v>
      </c>
      <c r="C25" s="27">
        <v>81.0</v>
      </c>
      <c r="D25" s="28">
        <v>5.0</v>
      </c>
      <c r="E25" s="30">
        <v>3.0</v>
      </c>
      <c r="F25" s="27">
        <v>9.0</v>
      </c>
      <c r="G25" s="31">
        <v>0.0</v>
      </c>
      <c r="H25" s="31">
        <v>0.0</v>
      </c>
      <c r="I25" s="31">
        <v>0.0</v>
      </c>
      <c r="J25" s="32">
        <v>9.0</v>
      </c>
      <c r="K25" s="31">
        <v>0.0</v>
      </c>
      <c r="L25" s="27">
        <f t="shared" ref="L25:M25" si="22">C25+J25</f>
        <v>90</v>
      </c>
      <c r="M25" s="28">
        <f t="shared" si="22"/>
        <v>5</v>
      </c>
      <c r="N25" s="33" t="s">
        <v>37</v>
      </c>
      <c r="O25" s="33" t="s">
        <v>37</v>
      </c>
      <c r="P25" s="31">
        <f>if(F25=13,1,0)+VLOOKUP(B25,'81223'!B$5:P$61,15,false)</f>
        <v>0</v>
      </c>
      <c r="Q25" s="31"/>
      <c r="R25" s="31">
        <f>if(F25=9,1,0)+VLOOKUP(B25,'81223'!B:R,17,false)</f>
        <v>5</v>
      </c>
    </row>
    <row r="26">
      <c r="A26" s="25">
        <f t="shared" si="3"/>
        <v>22</v>
      </c>
      <c r="B26" s="36" t="s">
        <v>81</v>
      </c>
      <c r="C26" s="27">
        <v>81.0</v>
      </c>
      <c r="D26" s="28">
        <v>4.0</v>
      </c>
      <c r="E26" s="30">
        <v>1.0</v>
      </c>
      <c r="F26" s="27">
        <v>0.0</v>
      </c>
      <c r="G26" s="31">
        <v>3.0</v>
      </c>
      <c r="H26" s="31">
        <v>4.0</v>
      </c>
      <c r="I26" s="31">
        <v>0.0</v>
      </c>
      <c r="J26" s="32">
        <v>7.0</v>
      </c>
      <c r="K26" s="31">
        <v>0.0</v>
      </c>
      <c r="L26" s="27">
        <f t="shared" ref="L26:M26" si="23">C26+J26</f>
        <v>88</v>
      </c>
      <c r="M26" s="28">
        <f t="shared" si="23"/>
        <v>4</v>
      </c>
      <c r="N26" s="33" t="s">
        <v>37</v>
      </c>
      <c r="O26" s="33" t="s">
        <v>37</v>
      </c>
      <c r="P26" s="31">
        <f>if(F26=13,1,0)+VLOOKUP(B26,'81223'!B$5:P$61,15,false)</f>
        <v>0</v>
      </c>
      <c r="Q26" s="31"/>
      <c r="R26" s="31">
        <f>if(F26=9,1,0)+VLOOKUP(B26,'81223'!B:R,17,false)</f>
        <v>1</v>
      </c>
    </row>
    <row r="27">
      <c r="A27" s="25">
        <f t="shared" si="3"/>
        <v>23</v>
      </c>
      <c r="B27" s="26" t="s">
        <v>56</v>
      </c>
      <c r="C27" s="27">
        <v>80.0</v>
      </c>
      <c r="D27" s="28">
        <v>8.0</v>
      </c>
      <c r="E27" s="30">
        <v>1.0</v>
      </c>
      <c r="F27" s="27">
        <v>0.0</v>
      </c>
      <c r="G27" s="31">
        <v>6.0</v>
      </c>
      <c r="H27" s="31">
        <v>6.0</v>
      </c>
      <c r="I27" s="31">
        <v>0.0</v>
      </c>
      <c r="J27" s="32">
        <v>12.0</v>
      </c>
      <c r="K27" s="31">
        <v>2.0</v>
      </c>
      <c r="L27" s="27">
        <f t="shared" ref="L27:M27" si="24">C27+J27</f>
        <v>92</v>
      </c>
      <c r="M27" s="28">
        <f t="shared" si="24"/>
        <v>10</v>
      </c>
      <c r="N27" s="33" t="s">
        <v>37</v>
      </c>
      <c r="O27" s="33" t="s">
        <v>37</v>
      </c>
      <c r="P27" s="31">
        <f>if(F27=13,1,0)+VLOOKUP(B27,'81223'!B$5:P$61,15,false)</f>
        <v>0</v>
      </c>
      <c r="Q27" s="31"/>
      <c r="R27" s="31">
        <f>if(F27=9,1,0)+VLOOKUP(B27,'81223'!B:R,17,false)</f>
        <v>1</v>
      </c>
    </row>
    <row r="28">
      <c r="A28" s="25">
        <f t="shared" si="3"/>
        <v>24</v>
      </c>
      <c r="B28" s="26" t="s">
        <v>65</v>
      </c>
      <c r="C28" s="27">
        <v>79.0</v>
      </c>
      <c r="D28" s="28">
        <v>5.0</v>
      </c>
      <c r="E28" s="30">
        <v>1.0</v>
      </c>
      <c r="F28" s="27">
        <v>0.0</v>
      </c>
      <c r="G28" s="31">
        <v>6.0</v>
      </c>
      <c r="H28" s="31">
        <v>6.0</v>
      </c>
      <c r="I28" s="31">
        <v>7.0</v>
      </c>
      <c r="J28" s="32">
        <v>19.0</v>
      </c>
      <c r="K28" s="31">
        <v>2.0</v>
      </c>
      <c r="L28" s="27">
        <f t="shared" ref="L28:M28" si="25">C28+J28</f>
        <v>98</v>
      </c>
      <c r="M28" s="28">
        <f t="shared" si="25"/>
        <v>7</v>
      </c>
      <c r="N28" s="33" t="s">
        <v>37</v>
      </c>
      <c r="O28" s="33" t="s">
        <v>37</v>
      </c>
      <c r="P28" s="31">
        <f>if(F28=13,1,0)+VLOOKUP(B28,'81223'!B$5:P$61,15,false)</f>
        <v>0</v>
      </c>
      <c r="Q28" s="31"/>
      <c r="R28" s="31">
        <f>if(F28=9,1,0)+VLOOKUP(B28,'81223'!B:R,17,false)</f>
        <v>4</v>
      </c>
    </row>
    <row r="29">
      <c r="A29" s="25">
        <f t="shared" si="3"/>
        <v>25</v>
      </c>
      <c r="B29" s="26" t="s">
        <v>73</v>
      </c>
      <c r="C29" s="27">
        <v>79.0</v>
      </c>
      <c r="D29" s="28">
        <v>3.0</v>
      </c>
      <c r="E29" s="30">
        <v>3.0</v>
      </c>
      <c r="F29" s="27">
        <v>9.0</v>
      </c>
      <c r="G29" s="31">
        <v>0.0</v>
      </c>
      <c r="H29" s="31">
        <v>0.0</v>
      </c>
      <c r="I29" s="31">
        <v>0.0</v>
      </c>
      <c r="J29" s="32">
        <v>9.0</v>
      </c>
      <c r="K29" s="31">
        <v>0.0</v>
      </c>
      <c r="L29" s="27">
        <f t="shared" ref="L29:M29" si="26">C29+J29</f>
        <v>88</v>
      </c>
      <c r="M29" s="28">
        <f t="shared" si="26"/>
        <v>3</v>
      </c>
      <c r="N29" s="33" t="s">
        <v>37</v>
      </c>
      <c r="O29" s="33" t="s">
        <v>37</v>
      </c>
      <c r="P29" s="31">
        <f>if(F29=13,1,0)+VLOOKUP(B29,'81223'!B$5:P$61,15,false)</f>
        <v>0</v>
      </c>
      <c r="Q29" s="31"/>
      <c r="R29" s="31">
        <f>if(F29=9,1,0)+VLOOKUP(B29,'81223'!B:R,17,false)</f>
        <v>4</v>
      </c>
    </row>
    <row r="30">
      <c r="A30" s="25">
        <f t="shared" si="3"/>
        <v>26</v>
      </c>
      <c r="B30" s="26" t="s">
        <v>74</v>
      </c>
      <c r="C30" s="27">
        <v>78.0</v>
      </c>
      <c r="D30" s="28">
        <v>6.0</v>
      </c>
      <c r="E30" s="30">
        <v>1.0</v>
      </c>
      <c r="F30" s="27">
        <v>0.0</v>
      </c>
      <c r="G30" s="31">
        <v>6.0</v>
      </c>
      <c r="H30" s="31">
        <v>3.0</v>
      </c>
      <c r="I30" s="31">
        <v>5.0</v>
      </c>
      <c r="J30" s="32">
        <v>14.0</v>
      </c>
      <c r="K30" s="31">
        <v>0.0</v>
      </c>
      <c r="L30" s="27">
        <f t="shared" ref="L30:M30" si="27">C30+J30</f>
        <v>92</v>
      </c>
      <c r="M30" s="28">
        <f t="shared" si="27"/>
        <v>6</v>
      </c>
      <c r="N30" s="33" t="s">
        <v>37</v>
      </c>
      <c r="O30" s="33" t="s">
        <v>37</v>
      </c>
      <c r="P30" s="31">
        <f>if(F30=13,1,0)+VLOOKUP(B30,'81223'!B$5:P$61,15,false)</f>
        <v>0</v>
      </c>
      <c r="Q30" s="31"/>
      <c r="R30" s="31">
        <f>if(F30=9,1,0)+VLOOKUP(B30,'81223'!B:R,17,false)</f>
        <v>2</v>
      </c>
    </row>
    <row r="31">
      <c r="A31" s="25">
        <f t="shared" si="3"/>
        <v>27</v>
      </c>
      <c r="B31" s="36" t="s">
        <v>88</v>
      </c>
      <c r="C31" s="27">
        <v>77.0</v>
      </c>
      <c r="D31" s="28">
        <v>6.0</v>
      </c>
      <c r="E31" s="30">
        <v>1.0</v>
      </c>
      <c r="F31" s="27">
        <v>0.0</v>
      </c>
      <c r="G31" s="31">
        <v>7.0</v>
      </c>
      <c r="H31" s="31">
        <v>3.0</v>
      </c>
      <c r="I31" s="31">
        <v>7.0</v>
      </c>
      <c r="J31" s="32">
        <v>17.0</v>
      </c>
      <c r="K31" s="31">
        <v>2.0</v>
      </c>
      <c r="L31" s="27">
        <f t="shared" ref="L31:M31" si="28">C31+J31</f>
        <v>94</v>
      </c>
      <c r="M31" s="28">
        <f t="shared" si="28"/>
        <v>8</v>
      </c>
      <c r="N31" s="33" t="s">
        <v>37</v>
      </c>
      <c r="O31" s="33" t="s">
        <v>37</v>
      </c>
      <c r="P31" s="31">
        <f>if(F31=13,1,0)+VLOOKUP(B31,'81223'!B$5:P$61,15,false)</f>
        <v>0</v>
      </c>
      <c r="Q31" s="31"/>
      <c r="R31" s="31">
        <f>if(F31=9,1,0)+VLOOKUP(B31,'81223'!B:R,17,false)</f>
        <v>2</v>
      </c>
    </row>
    <row r="32">
      <c r="A32" s="25">
        <f t="shared" si="3"/>
        <v>28</v>
      </c>
      <c r="B32" s="36" t="s">
        <v>83</v>
      </c>
      <c r="C32" s="27">
        <v>76.0</v>
      </c>
      <c r="D32" s="28">
        <v>6.0</v>
      </c>
      <c r="E32" s="30">
        <v>1.0</v>
      </c>
      <c r="F32" s="27">
        <v>0.0</v>
      </c>
      <c r="G32" s="31">
        <v>7.0</v>
      </c>
      <c r="H32" s="31">
        <v>6.0</v>
      </c>
      <c r="I32" s="31">
        <v>5.0</v>
      </c>
      <c r="J32" s="32">
        <v>18.0</v>
      </c>
      <c r="K32" s="31">
        <v>2.0</v>
      </c>
      <c r="L32" s="27">
        <f t="shared" ref="L32:M32" si="29">C32+J32</f>
        <v>94</v>
      </c>
      <c r="M32" s="28">
        <f t="shared" si="29"/>
        <v>8</v>
      </c>
      <c r="N32" s="33" t="s">
        <v>37</v>
      </c>
      <c r="O32" s="33" t="s">
        <v>37</v>
      </c>
      <c r="P32" s="31">
        <f>if(F32=13,1,0)+VLOOKUP(B32,'81223'!B$5:P$61,15,false)</f>
        <v>0</v>
      </c>
      <c r="Q32" s="31"/>
      <c r="R32" s="31">
        <f>if(F32=9,1,0)+VLOOKUP(B32,'81223'!B:R,17,false)</f>
        <v>2</v>
      </c>
    </row>
    <row r="33">
      <c r="A33" s="25">
        <f t="shared" si="3"/>
        <v>29</v>
      </c>
      <c r="B33" s="26" t="s">
        <v>66</v>
      </c>
      <c r="C33" s="27">
        <v>76.0</v>
      </c>
      <c r="D33" s="28">
        <v>3.0</v>
      </c>
      <c r="E33" s="30">
        <v>3.0</v>
      </c>
      <c r="F33" s="27">
        <v>9.0</v>
      </c>
      <c r="G33" s="31">
        <v>0.0</v>
      </c>
      <c r="H33" s="31">
        <v>0.0</v>
      </c>
      <c r="I33" s="31">
        <v>0.0</v>
      </c>
      <c r="J33" s="32">
        <v>9.0</v>
      </c>
      <c r="K33" s="31">
        <v>0.0</v>
      </c>
      <c r="L33" s="27">
        <f t="shared" ref="L33:M33" si="30">C33+J33</f>
        <v>85</v>
      </c>
      <c r="M33" s="28">
        <f t="shared" si="30"/>
        <v>3</v>
      </c>
      <c r="N33" s="33" t="s">
        <v>37</v>
      </c>
      <c r="O33" s="33" t="s">
        <v>37</v>
      </c>
      <c r="P33" s="31">
        <f>if(F33=13,1,0)+VLOOKUP(B33,'81223'!B$5:P$61,15,false)</f>
        <v>1</v>
      </c>
      <c r="Q33" s="31"/>
      <c r="R33" s="31">
        <f>if(F33=9,1,0)+VLOOKUP(B33,'81223'!B:R,17,false)</f>
        <v>4</v>
      </c>
    </row>
    <row r="34">
      <c r="A34" s="25">
        <f t="shared" si="3"/>
        <v>30</v>
      </c>
      <c r="B34" s="26" t="s">
        <v>57</v>
      </c>
      <c r="C34" s="27">
        <v>75.0</v>
      </c>
      <c r="D34" s="28">
        <v>6.0</v>
      </c>
      <c r="E34" s="30">
        <v>3.0</v>
      </c>
      <c r="F34" s="27">
        <v>9.0</v>
      </c>
      <c r="G34" s="31">
        <v>0.0</v>
      </c>
      <c r="H34" s="31">
        <v>0.0</v>
      </c>
      <c r="I34" s="31">
        <v>0.0</v>
      </c>
      <c r="J34" s="32">
        <v>9.0</v>
      </c>
      <c r="K34" s="31">
        <v>0.0</v>
      </c>
      <c r="L34" s="27">
        <f t="shared" ref="L34:M34" si="31">C34+J34</f>
        <v>84</v>
      </c>
      <c r="M34" s="28">
        <f t="shared" si="31"/>
        <v>6</v>
      </c>
      <c r="N34" s="33" t="s">
        <v>37</v>
      </c>
      <c r="O34" s="33" t="s">
        <v>37</v>
      </c>
      <c r="P34" s="31">
        <f>if(F34=13,1,0)+VLOOKUP(B34,'81223'!B$5:P$61,15,false)</f>
        <v>0</v>
      </c>
      <c r="Q34" s="31"/>
      <c r="R34" s="31">
        <f>if(F34=9,1,0)+VLOOKUP(B34,'81223'!B:R,17,false)</f>
        <v>4</v>
      </c>
    </row>
    <row r="35">
      <c r="A35" s="25">
        <f t="shared" si="3"/>
        <v>31</v>
      </c>
      <c r="B35" s="36" t="s">
        <v>62</v>
      </c>
      <c r="C35" s="27">
        <v>75.0</v>
      </c>
      <c r="D35" s="28">
        <v>4.0</v>
      </c>
      <c r="E35" s="30">
        <v>1.0</v>
      </c>
      <c r="F35" s="27">
        <v>0.0</v>
      </c>
      <c r="G35" s="31">
        <v>7.0</v>
      </c>
      <c r="H35" s="31">
        <v>1.0</v>
      </c>
      <c r="I35" s="31">
        <v>6.0</v>
      </c>
      <c r="J35" s="32">
        <v>14.0</v>
      </c>
      <c r="K35" s="31">
        <v>2.0</v>
      </c>
      <c r="L35" s="27">
        <f t="shared" ref="L35:M35" si="32">C35+J35</f>
        <v>89</v>
      </c>
      <c r="M35" s="28">
        <f t="shared" si="32"/>
        <v>6</v>
      </c>
      <c r="N35" s="33" t="s">
        <v>37</v>
      </c>
      <c r="O35" s="33" t="s">
        <v>37</v>
      </c>
      <c r="P35" s="31">
        <f>if(F35=13,1,0)+VLOOKUP(B35,'81223'!B$5:P$61,15,false)</f>
        <v>0</v>
      </c>
      <c r="Q35" s="31"/>
      <c r="R35" s="31">
        <f>if(F35=9,1,0)+VLOOKUP(B35,'81223'!B:R,17,false)</f>
        <v>1</v>
      </c>
    </row>
    <row r="36">
      <c r="A36" s="25">
        <f t="shared" si="3"/>
        <v>32</v>
      </c>
      <c r="B36" s="26" t="s">
        <v>71</v>
      </c>
      <c r="C36" s="27">
        <v>74.0</v>
      </c>
      <c r="D36" s="28">
        <v>5.0</v>
      </c>
      <c r="E36" s="30">
        <v>3.0</v>
      </c>
      <c r="F36" s="27">
        <v>9.0</v>
      </c>
      <c r="G36" s="31">
        <v>0.0</v>
      </c>
      <c r="H36" s="31">
        <v>0.0</v>
      </c>
      <c r="I36" s="31">
        <v>0.0</v>
      </c>
      <c r="J36" s="32">
        <v>9.0</v>
      </c>
      <c r="K36" s="31">
        <v>0.0</v>
      </c>
      <c r="L36" s="27">
        <f t="shared" ref="L36:M36" si="33">C36+J36</f>
        <v>83</v>
      </c>
      <c r="M36" s="28">
        <f t="shared" si="33"/>
        <v>5</v>
      </c>
      <c r="N36" s="33" t="s">
        <v>37</v>
      </c>
      <c r="O36" s="33" t="s">
        <v>37</v>
      </c>
      <c r="P36" s="31">
        <f>if(F36=13,1,0)+VLOOKUP(B36,'81223'!B$5:P$61,15,false)</f>
        <v>0</v>
      </c>
      <c r="Q36" s="31"/>
      <c r="R36" s="31">
        <f>if(F36=9,1,0)+VLOOKUP(B36,'81223'!B:R,17,false)</f>
        <v>5</v>
      </c>
    </row>
    <row r="37">
      <c r="A37" s="25">
        <f t="shared" si="3"/>
        <v>33</v>
      </c>
      <c r="B37" s="26" t="s">
        <v>53</v>
      </c>
      <c r="C37" s="27">
        <v>74.0</v>
      </c>
      <c r="D37" s="28">
        <v>4.0</v>
      </c>
      <c r="E37" s="30">
        <v>1.0</v>
      </c>
      <c r="F37" s="27">
        <v>0.0</v>
      </c>
      <c r="G37" s="31">
        <v>6.0</v>
      </c>
      <c r="H37" s="31">
        <v>6.0</v>
      </c>
      <c r="I37" s="31">
        <v>6.0</v>
      </c>
      <c r="J37" s="32">
        <v>18.0</v>
      </c>
      <c r="K37" s="31">
        <v>2.0</v>
      </c>
      <c r="L37" s="27">
        <f t="shared" ref="L37:M37" si="34">C37+J37</f>
        <v>92</v>
      </c>
      <c r="M37" s="28">
        <f t="shared" si="34"/>
        <v>6</v>
      </c>
      <c r="N37" s="33" t="s">
        <v>37</v>
      </c>
      <c r="O37" s="33" t="s">
        <v>37</v>
      </c>
      <c r="P37" s="31">
        <f>if(F37=13,1,0)+VLOOKUP(B37,'81223'!B$5:P$61,15,false)</f>
        <v>0</v>
      </c>
      <c r="Q37" s="31"/>
      <c r="R37" s="31">
        <f>if(F37=9,1,0)+VLOOKUP(B37,'81223'!B:R,17,false)</f>
        <v>4</v>
      </c>
    </row>
    <row r="38">
      <c r="A38" s="25">
        <f t="shared" si="3"/>
        <v>34</v>
      </c>
      <c r="B38" s="36" t="s">
        <v>94</v>
      </c>
      <c r="C38" s="27">
        <v>74.0</v>
      </c>
      <c r="D38" s="28">
        <v>3.0</v>
      </c>
      <c r="E38" s="30">
        <v>3.0</v>
      </c>
      <c r="F38" s="27">
        <v>9.0</v>
      </c>
      <c r="G38" s="31">
        <v>0.0</v>
      </c>
      <c r="H38" s="31">
        <v>0.0</v>
      </c>
      <c r="I38" s="31">
        <v>0.0</v>
      </c>
      <c r="J38" s="32">
        <v>9.0</v>
      </c>
      <c r="K38" s="31">
        <v>0.0</v>
      </c>
      <c r="L38" s="27">
        <f t="shared" ref="L38:M38" si="35">C38+J38</f>
        <v>83</v>
      </c>
      <c r="M38" s="28">
        <f t="shared" si="35"/>
        <v>3</v>
      </c>
      <c r="N38" s="33" t="s">
        <v>37</v>
      </c>
      <c r="O38" s="33" t="s">
        <v>37</v>
      </c>
      <c r="P38" s="31">
        <f>if(F38=13,1,0)+VLOOKUP(B38,'81223'!B$5:P$61,15,false)</f>
        <v>0</v>
      </c>
      <c r="Q38" s="31"/>
      <c r="R38" s="31">
        <f>if(F38=9,1,0)+VLOOKUP(B38,'81223'!B:R,17,false)</f>
        <v>4</v>
      </c>
    </row>
    <row r="39">
      <c r="A39" s="25">
        <f t="shared" si="3"/>
        <v>35</v>
      </c>
      <c r="B39" s="26" t="s">
        <v>79</v>
      </c>
      <c r="C39" s="27">
        <v>73.0</v>
      </c>
      <c r="D39" s="28">
        <v>7.0</v>
      </c>
      <c r="E39" s="30">
        <v>1.0</v>
      </c>
      <c r="F39" s="27">
        <v>0.0</v>
      </c>
      <c r="G39" s="31">
        <v>6.0</v>
      </c>
      <c r="H39" s="31">
        <v>1.0</v>
      </c>
      <c r="I39" s="31">
        <v>4.0</v>
      </c>
      <c r="J39" s="32">
        <v>11.0</v>
      </c>
      <c r="K39" s="31">
        <v>0.0</v>
      </c>
      <c r="L39" s="27">
        <f t="shared" ref="L39:M39" si="36">C39+J39</f>
        <v>84</v>
      </c>
      <c r="M39" s="28">
        <f t="shared" si="36"/>
        <v>7</v>
      </c>
      <c r="N39" s="33" t="s">
        <v>37</v>
      </c>
      <c r="O39" s="33" t="s">
        <v>37</v>
      </c>
      <c r="P39" s="31">
        <f>if(F39=13,1,0)+VLOOKUP(B39,'81223'!B$5:P$61,15,false)</f>
        <v>0</v>
      </c>
      <c r="Q39" s="31"/>
      <c r="R39" s="31">
        <f>if(F39=9,1,0)+VLOOKUP(B39,'81223'!B:R,17,false)</f>
        <v>0</v>
      </c>
    </row>
    <row r="40">
      <c r="A40" s="25">
        <f t="shared" si="3"/>
        <v>36</v>
      </c>
      <c r="B40" s="26" t="s">
        <v>78</v>
      </c>
      <c r="C40" s="27">
        <v>73.0</v>
      </c>
      <c r="D40" s="28">
        <v>6.0</v>
      </c>
      <c r="E40" s="30">
        <v>1.0</v>
      </c>
      <c r="F40" s="27">
        <v>0.0</v>
      </c>
      <c r="G40" s="31">
        <v>7.0</v>
      </c>
      <c r="H40" s="31">
        <v>6.0</v>
      </c>
      <c r="I40" s="31">
        <v>4.0</v>
      </c>
      <c r="J40" s="32">
        <v>17.0</v>
      </c>
      <c r="K40" s="31">
        <v>2.0</v>
      </c>
      <c r="L40" s="27">
        <f t="shared" ref="L40:M40" si="37">C40+J40</f>
        <v>90</v>
      </c>
      <c r="M40" s="28">
        <f t="shared" si="37"/>
        <v>8</v>
      </c>
      <c r="N40" s="33" t="s">
        <v>37</v>
      </c>
      <c r="O40" s="33" t="s">
        <v>37</v>
      </c>
      <c r="P40" s="31">
        <f>if(F40=13,1,0)+VLOOKUP(B40,'81223'!B$5:P$61,15,false)</f>
        <v>0</v>
      </c>
      <c r="Q40" s="31"/>
      <c r="R40" s="31">
        <f>if(F40=9,1,0)+VLOOKUP(B40,'81223'!B:R,17,false)</f>
        <v>3</v>
      </c>
    </row>
    <row r="41">
      <c r="A41" s="25">
        <f t="shared" si="3"/>
        <v>37</v>
      </c>
      <c r="B41" s="36" t="s">
        <v>93</v>
      </c>
      <c r="C41" s="27">
        <v>73.0</v>
      </c>
      <c r="D41" s="28">
        <v>3.0</v>
      </c>
      <c r="E41" s="30">
        <v>3.0</v>
      </c>
      <c r="F41" s="27">
        <v>9.0</v>
      </c>
      <c r="G41" s="31">
        <v>0.0</v>
      </c>
      <c r="H41" s="31">
        <v>0.0</v>
      </c>
      <c r="I41" s="31">
        <v>0.0</v>
      </c>
      <c r="J41" s="32">
        <v>9.0</v>
      </c>
      <c r="K41" s="31">
        <v>0.0</v>
      </c>
      <c r="L41" s="27">
        <f t="shared" ref="L41:M41" si="38">C41+J41</f>
        <v>82</v>
      </c>
      <c r="M41" s="28">
        <f t="shared" si="38"/>
        <v>3</v>
      </c>
      <c r="N41" s="33" t="s">
        <v>37</v>
      </c>
      <c r="O41" s="33" t="s">
        <v>37</v>
      </c>
      <c r="P41" s="31">
        <f>if(F41=13,1,0)+VLOOKUP(B41,'81223'!B$5:P$61,15,false)</f>
        <v>0</v>
      </c>
      <c r="Q41" s="31"/>
      <c r="R41" s="31">
        <f>if(F41=9,1,0)+VLOOKUP(B41,'81223'!B:R,17,false)</f>
        <v>7</v>
      </c>
    </row>
    <row r="42">
      <c r="A42" s="25">
        <f t="shared" si="3"/>
        <v>38</v>
      </c>
      <c r="B42" s="26" t="s">
        <v>64</v>
      </c>
      <c r="C42" s="27">
        <v>72.0</v>
      </c>
      <c r="D42" s="28">
        <v>3.0</v>
      </c>
      <c r="E42" s="30">
        <v>2.0</v>
      </c>
      <c r="F42" s="27">
        <v>0.0</v>
      </c>
      <c r="G42" s="31">
        <v>7.0</v>
      </c>
      <c r="H42" s="31">
        <v>7.0</v>
      </c>
      <c r="I42" s="31">
        <v>6.0</v>
      </c>
      <c r="J42" s="32">
        <v>20.0</v>
      </c>
      <c r="K42" s="31">
        <v>3.0</v>
      </c>
      <c r="L42" s="27">
        <f t="shared" ref="L42:M42" si="39">C42+J42</f>
        <v>92</v>
      </c>
      <c r="M42" s="28">
        <f t="shared" si="39"/>
        <v>6</v>
      </c>
      <c r="N42" s="33" t="s">
        <v>37</v>
      </c>
      <c r="O42" s="33" t="s">
        <v>37</v>
      </c>
      <c r="P42" s="31">
        <f>if(F42=13,1,0)+VLOOKUP(B42,'81223'!B$5:P$61,15,false)</f>
        <v>0</v>
      </c>
      <c r="Q42" s="31"/>
      <c r="R42" s="31">
        <f>if(F42=9,1,0)+VLOOKUP(B42,'81223'!B:R,17,false)</f>
        <v>6</v>
      </c>
    </row>
    <row r="43">
      <c r="A43" s="25">
        <f t="shared" si="3"/>
        <v>39</v>
      </c>
      <c r="B43" s="36" t="s">
        <v>98</v>
      </c>
      <c r="C43" s="27">
        <v>72.0</v>
      </c>
      <c r="D43" s="28">
        <v>3.0</v>
      </c>
      <c r="E43" s="30">
        <v>3.0</v>
      </c>
      <c r="F43" s="27">
        <v>9.0</v>
      </c>
      <c r="G43" s="31">
        <v>0.0</v>
      </c>
      <c r="H43" s="31">
        <v>0.0</v>
      </c>
      <c r="I43" s="31">
        <v>0.0</v>
      </c>
      <c r="J43" s="32">
        <v>9.0</v>
      </c>
      <c r="K43" s="31">
        <v>0.0</v>
      </c>
      <c r="L43" s="27">
        <f t="shared" ref="L43:M43" si="40">C43+J43</f>
        <v>81</v>
      </c>
      <c r="M43" s="28">
        <f t="shared" si="40"/>
        <v>3</v>
      </c>
      <c r="N43" s="33" t="s">
        <v>37</v>
      </c>
      <c r="O43" s="33" t="s">
        <v>37</v>
      </c>
      <c r="P43" s="31">
        <f>if(F43=13,1,0)+VLOOKUP(B43,'81223'!B$5:P$61,15,false)</f>
        <v>0</v>
      </c>
      <c r="Q43" s="31"/>
      <c r="R43" s="31">
        <f>if(F43=9,1,0)+VLOOKUP(B43,'81223'!B:R,17,false)</f>
        <v>3</v>
      </c>
    </row>
    <row r="44">
      <c r="A44" s="25">
        <f t="shared" si="3"/>
        <v>40</v>
      </c>
      <c r="B44" s="36" t="s">
        <v>99</v>
      </c>
      <c r="C44" s="27">
        <v>72.0</v>
      </c>
      <c r="D44" s="28">
        <v>3.0</v>
      </c>
      <c r="E44" s="30">
        <v>3.0</v>
      </c>
      <c r="F44" s="27">
        <v>9.0</v>
      </c>
      <c r="G44" s="31">
        <v>0.0</v>
      </c>
      <c r="H44" s="31">
        <v>0.0</v>
      </c>
      <c r="I44" s="31">
        <v>0.0</v>
      </c>
      <c r="J44" s="32">
        <v>9.0</v>
      </c>
      <c r="K44" s="31">
        <v>0.0</v>
      </c>
      <c r="L44" s="27">
        <f t="shared" ref="L44:M44" si="41">C44+J44</f>
        <v>81</v>
      </c>
      <c r="M44" s="28">
        <f t="shared" si="41"/>
        <v>3</v>
      </c>
      <c r="N44" s="33" t="s">
        <v>37</v>
      </c>
      <c r="O44" s="33" t="s">
        <v>37</v>
      </c>
      <c r="P44" s="31">
        <f>if(F44=13,1,0)+VLOOKUP(B44,'81223'!B$5:P$61,15,false)</f>
        <v>0</v>
      </c>
      <c r="Q44" s="31"/>
      <c r="R44" s="31">
        <f>if(F44=9,1,0)+VLOOKUP(B44,'81223'!B:R,17,false)</f>
        <v>4</v>
      </c>
    </row>
    <row r="45">
      <c r="A45" s="25">
        <f t="shared" si="3"/>
        <v>41</v>
      </c>
      <c r="B45" s="26" t="s">
        <v>86</v>
      </c>
      <c r="C45" s="27">
        <v>71.0</v>
      </c>
      <c r="D45" s="28">
        <v>4.0</v>
      </c>
      <c r="E45" s="30">
        <v>3.0</v>
      </c>
      <c r="F45" s="27">
        <v>9.0</v>
      </c>
      <c r="G45" s="31">
        <v>0.0</v>
      </c>
      <c r="H45" s="31">
        <v>0.0</v>
      </c>
      <c r="I45" s="31">
        <v>0.0</v>
      </c>
      <c r="J45" s="32">
        <v>9.0</v>
      </c>
      <c r="K45" s="31">
        <v>0.0</v>
      </c>
      <c r="L45" s="27">
        <f t="shared" ref="L45:M45" si="42">C45+J45</f>
        <v>80</v>
      </c>
      <c r="M45" s="28">
        <f t="shared" si="42"/>
        <v>4</v>
      </c>
      <c r="N45" s="33" t="s">
        <v>37</v>
      </c>
      <c r="O45" s="33" t="s">
        <v>37</v>
      </c>
      <c r="P45" s="31">
        <f>if(F45=13,1,0)+VLOOKUP(B45,'81223'!B$5:P$61,15,false)</f>
        <v>0</v>
      </c>
      <c r="Q45" s="31"/>
      <c r="R45" s="31">
        <f>if(F45=9,1,0)+VLOOKUP(B45,'81223'!B:R,17,false)</f>
        <v>4</v>
      </c>
    </row>
    <row r="46">
      <c r="A46" s="25">
        <f t="shared" si="3"/>
        <v>42</v>
      </c>
      <c r="B46" s="26" t="s">
        <v>95</v>
      </c>
      <c r="C46" s="27">
        <v>71.0</v>
      </c>
      <c r="D46" s="28">
        <v>3.0</v>
      </c>
      <c r="E46" s="30">
        <v>3.0</v>
      </c>
      <c r="F46" s="27">
        <v>9.0</v>
      </c>
      <c r="G46" s="31">
        <v>0.0</v>
      </c>
      <c r="H46" s="31">
        <v>0.0</v>
      </c>
      <c r="I46" s="31">
        <v>0.0</v>
      </c>
      <c r="J46" s="32">
        <v>9.0</v>
      </c>
      <c r="K46" s="31">
        <v>0.0</v>
      </c>
      <c r="L46" s="27">
        <f t="shared" ref="L46:M46" si="43">C46+J46</f>
        <v>80</v>
      </c>
      <c r="M46" s="28">
        <f t="shared" si="43"/>
        <v>3</v>
      </c>
      <c r="N46" s="33" t="s">
        <v>37</v>
      </c>
      <c r="O46" s="33" t="s">
        <v>37</v>
      </c>
      <c r="P46" s="31">
        <f>if(F46=13,1,0)+VLOOKUP(B46,'81223'!B$5:P$61,15,false)</f>
        <v>0</v>
      </c>
      <c r="Q46" s="31"/>
      <c r="R46" s="31">
        <f>if(F46=9,1,0)+VLOOKUP(B46,'81223'!B:R,17,false)</f>
        <v>6</v>
      </c>
    </row>
    <row r="47">
      <c r="A47" s="25">
        <f t="shared" si="3"/>
        <v>43</v>
      </c>
      <c r="B47" s="26" t="s">
        <v>87</v>
      </c>
      <c r="C47" s="27">
        <v>71.0</v>
      </c>
      <c r="D47" s="28">
        <v>2.0</v>
      </c>
      <c r="E47" s="30">
        <v>1.0</v>
      </c>
      <c r="F47" s="27">
        <v>0.0</v>
      </c>
      <c r="G47" s="31">
        <v>5.0</v>
      </c>
      <c r="H47" s="31">
        <v>7.0</v>
      </c>
      <c r="I47" s="31">
        <v>2.0</v>
      </c>
      <c r="J47" s="32">
        <v>14.0</v>
      </c>
      <c r="K47" s="31">
        <v>1.0</v>
      </c>
      <c r="L47" s="27">
        <f t="shared" ref="L47:M47" si="44">C47+J47</f>
        <v>85</v>
      </c>
      <c r="M47" s="28">
        <f t="shared" si="44"/>
        <v>3</v>
      </c>
      <c r="N47" s="33" t="s">
        <v>37</v>
      </c>
      <c r="O47" s="33" t="s">
        <v>37</v>
      </c>
      <c r="P47" s="31">
        <f>if(F47=13,1,0)+VLOOKUP(B47,'81223'!B$5:P$61,15,false)</f>
        <v>1</v>
      </c>
      <c r="Q47" s="31"/>
      <c r="R47" s="31">
        <f>if(F47=9,1,0)+VLOOKUP(B47,'81223'!B:R,17,false)</f>
        <v>3</v>
      </c>
    </row>
    <row r="48">
      <c r="A48" s="25">
        <f t="shared" si="3"/>
        <v>44</v>
      </c>
      <c r="B48" s="26" t="s">
        <v>89</v>
      </c>
      <c r="C48" s="27">
        <v>70.0</v>
      </c>
      <c r="D48" s="28">
        <v>4.0</v>
      </c>
      <c r="E48" s="30">
        <v>2.0</v>
      </c>
      <c r="F48" s="27">
        <v>0.0</v>
      </c>
      <c r="G48" s="31">
        <v>7.0</v>
      </c>
      <c r="H48" s="31">
        <v>5.0</v>
      </c>
      <c r="I48" s="31">
        <v>2.0</v>
      </c>
      <c r="J48" s="32">
        <v>14.0</v>
      </c>
      <c r="K48" s="31">
        <v>1.0</v>
      </c>
      <c r="L48" s="27">
        <f t="shared" ref="L48:M48" si="45">C48+J48</f>
        <v>84</v>
      </c>
      <c r="M48" s="28">
        <f t="shared" si="45"/>
        <v>5</v>
      </c>
      <c r="N48" s="33" t="s">
        <v>37</v>
      </c>
      <c r="O48" s="33" t="s">
        <v>37</v>
      </c>
      <c r="P48" s="31">
        <f>if(F48=13,1,0)+VLOOKUP(B48,'81223'!B$5:P$61,15,false)</f>
        <v>1</v>
      </c>
      <c r="Q48" s="31"/>
      <c r="R48" s="31">
        <f>if(F48=9,1,0)+VLOOKUP(B48,'81223'!B:R,17,false)</f>
        <v>1</v>
      </c>
    </row>
    <row r="49">
      <c r="A49" s="25">
        <f t="shared" si="3"/>
        <v>45</v>
      </c>
      <c r="B49" s="36" t="s">
        <v>76</v>
      </c>
      <c r="C49" s="27">
        <v>67.0</v>
      </c>
      <c r="D49" s="28">
        <v>2.0</v>
      </c>
      <c r="E49" s="30">
        <v>3.0</v>
      </c>
      <c r="F49" s="27">
        <v>9.0</v>
      </c>
      <c r="G49" s="31">
        <v>0.0</v>
      </c>
      <c r="H49" s="31">
        <v>0.0</v>
      </c>
      <c r="I49" s="31">
        <v>0.0</v>
      </c>
      <c r="J49" s="32">
        <v>9.0</v>
      </c>
      <c r="K49" s="31">
        <v>0.0</v>
      </c>
      <c r="L49" s="27">
        <f t="shared" ref="L49:M49" si="46">C49+J49</f>
        <v>76</v>
      </c>
      <c r="M49" s="28">
        <f t="shared" si="46"/>
        <v>2</v>
      </c>
      <c r="N49" s="33" t="s">
        <v>37</v>
      </c>
      <c r="O49" s="33" t="s">
        <v>37</v>
      </c>
      <c r="P49" s="31">
        <f>if(F49=13,1,0)+VLOOKUP(B49,'81223'!B$5:P$61,15,false)</f>
        <v>0</v>
      </c>
      <c r="Q49" s="31"/>
      <c r="R49" s="31">
        <f>if(F49=9,1,0)+VLOOKUP(B49,'81223'!B:R,17,false)</f>
        <v>7</v>
      </c>
    </row>
    <row r="50">
      <c r="A50" s="25">
        <f t="shared" si="3"/>
        <v>46</v>
      </c>
      <c r="B50" s="26" t="s">
        <v>91</v>
      </c>
      <c r="C50" s="27">
        <v>67.0</v>
      </c>
      <c r="D50" s="28">
        <v>0.0</v>
      </c>
      <c r="E50" s="30">
        <v>1.0</v>
      </c>
      <c r="F50" s="27">
        <v>0.0</v>
      </c>
      <c r="G50" s="31">
        <v>5.0</v>
      </c>
      <c r="H50" s="31">
        <v>5.0</v>
      </c>
      <c r="I50" s="31">
        <v>6.0</v>
      </c>
      <c r="J50" s="32">
        <v>16.0</v>
      </c>
      <c r="K50" s="31">
        <v>1.0</v>
      </c>
      <c r="L50" s="27">
        <f t="shared" ref="L50:M50" si="47">C50+J50</f>
        <v>83</v>
      </c>
      <c r="M50" s="28">
        <f t="shared" si="47"/>
        <v>1</v>
      </c>
      <c r="N50" s="33" t="s">
        <v>37</v>
      </c>
      <c r="O50" s="33" t="s">
        <v>37</v>
      </c>
      <c r="P50" s="31">
        <f>if(F50=13,1,0)+VLOOKUP(B50,'81223'!B$5:P$61,15,false)</f>
        <v>1</v>
      </c>
      <c r="Q50" s="31"/>
      <c r="R50" s="31">
        <f>if(F50=9,1,0)+VLOOKUP(B50,'81223'!B:R,17,false)</f>
        <v>6</v>
      </c>
    </row>
    <row r="51">
      <c r="A51" s="25">
        <f t="shared" si="3"/>
        <v>47</v>
      </c>
      <c r="B51" s="26" t="s">
        <v>90</v>
      </c>
      <c r="C51" s="27">
        <v>65.0</v>
      </c>
      <c r="D51" s="28">
        <v>3.0</v>
      </c>
      <c r="E51" s="30">
        <v>1.0</v>
      </c>
      <c r="F51" s="27">
        <v>0.0</v>
      </c>
      <c r="G51" s="31">
        <v>3.0</v>
      </c>
      <c r="H51" s="31">
        <v>6.0</v>
      </c>
      <c r="I51" s="31">
        <v>6.0</v>
      </c>
      <c r="J51" s="32">
        <v>15.0</v>
      </c>
      <c r="K51" s="31">
        <v>2.0</v>
      </c>
      <c r="L51" s="27">
        <f t="shared" ref="L51:M51" si="48">C51+J51</f>
        <v>80</v>
      </c>
      <c r="M51" s="28">
        <f t="shared" si="48"/>
        <v>5</v>
      </c>
      <c r="N51" s="33" t="s">
        <v>37</v>
      </c>
      <c r="O51" s="33" t="s">
        <v>37</v>
      </c>
      <c r="P51" s="31">
        <f>if(F51=13,1,0)+VLOOKUP(B51,'81223'!B$5:P$61,15,false)</f>
        <v>0</v>
      </c>
      <c r="Q51" s="31"/>
      <c r="R51" s="31">
        <f>if(F51=9,1,0)+VLOOKUP(B51,'81223'!B:R,17,false)</f>
        <v>4</v>
      </c>
    </row>
    <row r="52">
      <c r="A52" s="25">
        <f t="shared" si="3"/>
        <v>48</v>
      </c>
      <c r="B52" s="26" t="s">
        <v>103</v>
      </c>
      <c r="C52" s="27">
        <v>63.0</v>
      </c>
      <c r="D52" s="28">
        <v>0.0</v>
      </c>
      <c r="E52" s="30">
        <v>3.0</v>
      </c>
      <c r="F52" s="27">
        <v>9.0</v>
      </c>
      <c r="G52" s="31">
        <v>0.0</v>
      </c>
      <c r="H52" s="31">
        <v>0.0</v>
      </c>
      <c r="I52" s="31">
        <v>0.0</v>
      </c>
      <c r="J52" s="32">
        <v>9.0</v>
      </c>
      <c r="K52" s="31">
        <v>0.0</v>
      </c>
      <c r="L52" s="27">
        <f t="shared" ref="L52:M52" si="49">C52+J52</f>
        <v>72</v>
      </c>
      <c r="M52" s="28">
        <f t="shared" si="49"/>
        <v>0</v>
      </c>
      <c r="N52" s="33" t="s">
        <v>37</v>
      </c>
      <c r="O52" s="33" t="s">
        <v>37</v>
      </c>
      <c r="P52" s="31">
        <f>if(F52=13,1,0)+VLOOKUP(B52,'81223'!B$5:P$61,15,false)</f>
        <v>0</v>
      </c>
      <c r="Q52" s="31"/>
      <c r="R52" s="31">
        <f>if(F52=9,1,0)+VLOOKUP(B52,'81223'!B:R,17,false)</f>
        <v>8</v>
      </c>
    </row>
    <row r="53">
      <c r="A53" s="25">
        <f t="shared" si="3"/>
        <v>49</v>
      </c>
      <c r="B53" s="36" t="s">
        <v>104</v>
      </c>
      <c r="C53" s="27">
        <v>63.0</v>
      </c>
      <c r="D53" s="28">
        <v>0.0</v>
      </c>
      <c r="E53" s="30">
        <v>3.0</v>
      </c>
      <c r="F53" s="27">
        <v>9.0</v>
      </c>
      <c r="G53" s="31">
        <v>0.0</v>
      </c>
      <c r="H53" s="31">
        <v>0.0</v>
      </c>
      <c r="I53" s="31">
        <v>0.0</v>
      </c>
      <c r="J53" s="32">
        <v>9.0</v>
      </c>
      <c r="K53" s="31">
        <v>0.0</v>
      </c>
      <c r="L53" s="27">
        <f t="shared" ref="L53:M53" si="50">C53+J53</f>
        <v>72</v>
      </c>
      <c r="M53" s="28">
        <f t="shared" si="50"/>
        <v>0</v>
      </c>
      <c r="N53" s="33" t="s">
        <v>37</v>
      </c>
      <c r="O53" s="33" t="s">
        <v>37</v>
      </c>
      <c r="P53" s="31">
        <f>if(F53=13,1,0)+VLOOKUP(B53,'81223'!B$5:P$61,15,false)</f>
        <v>0</v>
      </c>
      <c r="Q53" s="31"/>
      <c r="R53" s="31">
        <f>if(F53=9,1,0)+VLOOKUP(B53,'81223'!B:R,17,false)</f>
        <v>8</v>
      </c>
    </row>
    <row r="54">
      <c r="A54" s="25">
        <f t="shared" si="3"/>
        <v>50</v>
      </c>
      <c r="B54" s="26" t="s">
        <v>105</v>
      </c>
      <c r="C54" s="27">
        <v>63.0</v>
      </c>
      <c r="D54" s="28">
        <v>0.0</v>
      </c>
      <c r="E54" s="30">
        <v>3.0</v>
      </c>
      <c r="F54" s="27">
        <v>9.0</v>
      </c>
      <c r="G54" s="31">
        <v>0.0</v>
      </c>
      <c r="H54" s="31">
        <v>0.0</v>
      </c>
      <c r="I54" s="31">
        <v>0.0</v>
      </c>
      <c r="J54" s="32">
        <v>9.0</v>
      </c>
      <c r="K54" s="31">
        <v>0.0</v>
      </c>
      <c r="L54" s="27">
        <f t="shared" ref="L54:M54" si="51">C54+J54</f>
        <v>72</v>
      </c>
      <c r="M54" s="28">
        <f t="shared" si="51"/>
        <v>0</v>
      </c>
      <c r="N54" s="33" t="s">
        <v>37</v>
      </c>
      <c r="O54" s="33" t="s">
        <v>37</v>
      </c>
      <c r="P54" s="31">
        <f>if(F54=13,1,0)+VLOOKUP(B54,'81223'!B$5:P$61,15,false)</f>
        <v>0</v>
      </c>
      <c r="Q54" s="31"/>
      <c r="R54" s="31">
        <f>if(F54=9,1,0)+VLOOKUP(B54,'81223'!B:R,17,false)</f>
        <v>8</v>
      </c>
    </row>
    <row r="55">
      <c r="A55" s="25">
        <f t="shared" si="3"/>
        <v>51</v>
      </c>
      <c r="B55" s="26" t="s">
        <v>106</v>
      </c>
      <c r="C55" s="27">
        <v>63.0</v>
      </c>
      <c r="D55" s="28">
        <v>0.0</v>
      </c>
      <c r="E55" s="30">
        <v>4.0</v>
      </c>
      <c r="F55" s="27">
        <v>9.0</v>
      </c>
      <c r="G55" s="31">
        <v>0.0</v>
      </c>
      <c r="H55" s="31">
        <v>0.0</v>
      </c>
      <c r="I55" s="31">
        <v>0.0</v>
      </c>
      <c r="J55" s="32">
        <v>9.0</v>
      </c>
      <c r="K55" s="31">
        <v>0.0</v>
      </c>
      <c r="L55" s="27">
        <f t="shared" ref="L55:M55" si="52">C55+J55</f>
        <v>72</v>
      </c>
      <c r="M55" s="28">
        <f t="shared" si="52"/>
        <v>0</v>
      </c>
      <c r="N55" s="33" t="s">
        <v>37</v>
      </c>
      <c r="O55" s="33" t="s">
        <v>37</v>
      </c>
      <c r="P55" s="31">
        <f>if(F55=13,1,0)+VLOOKUP(B55,'81223'!B$5:P$61,15,false)</f>
        <v>0</v>
      </c>
      <c r="Q55" s="31"/>
      <c r="R55" s="31">
        <f>if(F55=9,1,0)+VLOOKUP(B55,'81223'!B:R,17,false)</f>
        <v>8</v>
      </c>
    </row>
    <row r="56">
      <c r="A56" s="25">
        <f t="shared" si="3"/>
        <v>52</v>
      </c>
      <c r="B56" s="26" t="s">
        <v>100</v>
      </c>
      <c r="C56" s="27">
        <v>63.0</v>
      </c>
      <c r="D56" s="28">
        <v>0.0</v>
      </c>
      <c r="E56" s="30">
        <v>1.0</v>
      </c>
      <c r="F56" s="27">
        <v>0.0</v>
      </c>
      <c r="G56" s="31">
        <v>6.0</v>
      </c>
      <c r="H56" s="31">
        <v>6.0</v>
      </c>
      <c r="I56" s="31">
        <v>1.0</v>
      </c>
      <c r="J56" s="32">
        <v>13.0</v>
      </c>
      <c r="K56" s="31">
        <v>2.0</v>
      </c>
      <c r="L56" s="27">
        <f t="shared" ref="L56:M56" si="53">C56+J56</f>
        <v>76</v>
      </c>
      <c r="M56" s="28">
        <f t="shared" si="53"/>
        <v>2</v>
      </c>
      <c r="N56" s="33" t="s">
        <v>37</v>
      </c>
      <c r="O56" s="33" t="s">
        <v>37</v>
      </c>
      <c r="P56" s="31">
        <f>if(F56=13,1,0)+VLOOKUP(B56,'81223'!B$5:P$61,15,false)</f>
        <v>0</v>
      </c>
      <c r="Q56" s="31"/>
      <c r="R56" s="31">
        <f>if(F56=9,1,0)+VLOOKUP(B56,'81223'!B:R,17,false)</f>
        <v>7</v>
      </c>
    </row>
    <row r="57">
      <c r="A57" s="25">
        <f t="shared" si="3"/>
        <v>53</v>
      </c>
      <c r="B57" s="36" t="s">
        <v>108</v>
      </c>
      <c r="C57" s="27">
        <v>62.0</v>
      </c>
      <c r="D57" s="28">
        <v>2.0</v>
      </c>
      <c r="E57" s="30">
        <v>3.0</v>
      </c>
      <c r="F57" s="27">
        <v>9.0</v>
      </c>
      <c r="G57" s="31">
        <v>0.0</v>
      </c>
      <c r="H57" s="31">
        <v>0.0</v>
      </c>
      <c r="I57" s="31">
        <v>0.0</v>
      </c>
      <c r="J57" s="32">
        <v>9.0</v>
      </c>
      <c r="K57" s="31">
        <v>0.0</v>
      </c>
      <c r="L57" s="27">
        <f t="shared" ref="L57:M57" si="54">C57+J57</f>
        <v>71</v>
      </c>
      <c r="M57" s="28">
        <f t="shared" si="54"/>
        <v>2</v>
      </c>
      <c r="N57" s="33" t="s">
        <v>37</v>
      </c>
      <c r="O57" s="33" t="s">
        <v>37</v>
      </c>
      <c r="P57" s="31">
        <f>if(F57=13,1,0)+VLOOKUP(B57,'81223'!B$5:P$61,15,false)</f>
        <v>0</v>
      </c>
      <c r="Q57" s="31"/>
      <c r="R57" s="31">
        <f>if(F57=9,1,0)+VLOOKUP(B57,'81223'!B:R,17,false)</f>
        <v>6</v>
      </c>
    </row>
    <row r="58">
      <c r="A58" s="25">
        <f t="shared" si="3"/>
        <v>54</v>
      </c>
      <c r="B58" s="36" t="s">
        <v>97</v>
      </c>
      <c r="C58" s="27">
        <v>60.0</v>
      </c>
      <c r="D58" s="28">
        <v>3.0</v>
      </c>
      <c r="E58" s="30">
        <v>3.0</v>
      </c>
      <c r="F58" s="27">
        <v>9.0</v>
      </c>
      <c r="G58" s="31">
        <v>0.0</v>
      </c>
      <c r="H58" s="31">
        <v>0.0</v>
      </c>
      <c r="I58" s="31">
        <v>0.0</v>
      </c>
      <c r="J58" s="32">
        <v>9.0</v>
      </c>
      <c r="K58" s="31">
        <v>0.0</v>
      </c>
      <c r="L58" s="27">
        <f t="shared" ref="L58:M58" si="55">C58+J58</f>
        <v>69</v>
      </c>
      <c r="M58" s="28">
        <f t="shared" si="55"/>
        <v>3</v>
      </c>
      <c r="N58" s="33" t="s">
        <v>37</v>
      </c>
      <c r="O58" s="33" t="s">
        <v>37</v>
      </c>
      <c r="P58" s="31">
        <f>if(F58=13,1,0)+VLOOKUP(B58,'81223'!B$5:P$61,15,false)</f>
        <v>0</v>
      </c>
      <c r="Q58" s="31"/>
      <c r="R58" s="31">
        <f>if(F58=9,1,0)+VLOOKUP(B58,'81223'!B:R,17,false)</f>
        <v>4</v>
      </c>
    </row>
    <row r="59">
      <c r="A59" s="25">
        <f t="shared" si="3"/>
        <v>55</v>
      </c>
      <c r="B59" s="36" t="s">
        <v>96</v>
      </c>
      <c r="C59" s="27">
        <v>59.0</v>
      </c>
      <c r="D59" s="28">
        <v>4.0</v>
      </c>
      <c r="E59" s="30">
        <v>1.0</v>
      </c>
      <c r="F59" s="27">
        <v>0.0</v>
      </c>
      <c r="G59" s="31">
        <v>6.0</v>
      </c>
      <c r="H59" s="31">
        <v>3.0</v>
      </c>
      <c r="I59" s="31">
        <v>6.0</v>
      </c>
      <c r="J59" s="32">
        <v>15.0</v>
      </c>
      <c r="K59" s="31">
        <v>2.0</v>
      </c>
      <c r="L59" s="27">
        <f t="shared" ref="L59:M59" si="56">C59+J59</f>
        <v>74</v>
      </c>
      <c r="M59" s="28">
        <f t="shared" si="56"/>
        <v>6</v>
      </c>
      <c r="N59" s="33" t="s">
        <v>37</v>
      </c>
      <c r="O59" s="33" t="s">
        <v>37</v>
      </c>
      <c r="P59" s="31">
        <f>if(F59=13,1,0)+VLOOKUP(B59,'81223'!B$5:P$61,15,false)</f>
        <v>0</v>
      </c>
      <c r="Q59" s="31"/>
      <c r="R59" s="31">
        <f>if(F59=9,1,0)+VLOOKUP(B59,'81223'!B:R,17,false)</f>
        <v>3</v>
      </c>
    </row>
    <row r="60">
      <c r="A60" s="25">
        <f t="shared" si="3"/>
        <v>56</v>
      </c>
      <c r="B60" s="36" t="s">
        <v>85</v>
      </c>
      <c r="C60" s="27">
        <v>57.0</v>
      </c>
      <c r="D60" s="28">
        <v>3.0</v>
      </c>
      <c r="E60" s="30">
        <v>3.0</v>
      </c>
      <c r="F60" s="27">
        <v>9.0</v>
      </c>
      <c r="G60" s="31">
        <v>0.0</v>
      </c>
      <c r="H60" s="31">
        <v>0.0</v>
      </c>
      <c r="I60" s="31">
        <v>0.0</v>
      </c>
      <c r="J60" s="32">
        <v>9.0</v>
      </c>
      <c r="K60" s="31">
        <v>0.0</v>
      </c>
      <c r="L60" s="27">
        <f t="shared" ref="L60:M60" si="57">C60+J60</f>
        <v>66</v>
      </c>
      <c r="M60" s="28">
        <f t="shared" si="57"/>
        <v>3</v>
      </c>
      <c r="N60" s="33" t="s">
        <v>37</v>
      </c>
      <c r="O60" s="33" t="s">
        <v>37</v>
      </c>
      <c r="P60" s="31">
        <f>if(F60=13,1,0)+VLOOKUP(B60,'81223'!B$5:P$61,15,false)</f>
        <v>0</v>
      </c>
      <c r="Q60" s="31"/>
      <c r="R60" s="31">
        <f>if(F60=9,1,0)+VLOOKUP(B60,'81223'!B:R,17,false)</f>
        <v>4</v>
      </c>
    </row>
    <row r="61">
      <c r="A61" s="25">
        <f t="shared" si="3"/>
        <v>57</v>
      </c>
      <c r="B61" s="36" t="s">
        <v>109</v>
      </c>
      <c r="C61" s="27">
        <v>54.0</v>
      </c>
      <c r="D61" s="28">
        <v>1.0</v>
      </c>
      <c r="E61" s="30">
        <v>1.0</v>
      </c>
      <c r="F61" s="27">
        <v>0.0</v>
      </c>
      <c r="G61" s="31">
        <v>3.0</v>
      </c>
      <c r="H61" s="31">
        <v>3.0</v>
      </c>
      <c r="I61" s="31">
        <v>1.0</v>
      </c>
      <c r="J61" s="32">
        <v>7.0</v>
      </c>
      <c r="K61" s="31">
        <v>0.0</v>
      </c>
      <c r="L61" s="27">
        <f t="shared" ref="L61:M61" si="58">C61+J61</f>
        <v>61</v>
      </c>
      <c r="M61" s="28">
        <f t="shared" si="58"/>
        <v>1</v>
      </c>
      <c r="N61" s="33" t="s">
        <v>37</v>
      </c>
      <c r="O61" s="33" t="s">
        <v>37</v>
      </c>
      <c r="P61" s="31">
        <f>if(F61=13,1,0)+VLOOKUP(B61,'81223'!B$5:P$61,15,false)</f>
        <v>0</v>
      </c>
      <c r="Q61" s="31"/>
      <c r="R61" s="31">
        <f>if(F61=9,1,0)+VLOOKUP(B61,'81223'!B:R,17,false)</f>
        <v>3</v>
      </c>
    </row>
    <row r="62">
      <c r="A62" s="1"/>
      <c r="C62" s="1"/>
      <c r="D62" s="1"/>
      <c r="E62" s="1"/>
      <c r="O62" s="1"/>
    </row>
    <row r="63">
      <c r="A63" s="1"/>
      <c r="B63" s="39">
        <f>COUNTA(B5:B61)</f>
        <v>57</v>
      </c>
      <c r="C63" s="1"/>
      <c r="D63" s="1"/>
      <c r="E63" s="1"/>
      <c r="N63" s="34" t="s">
        <v>110</v>
      </c>
      <c r="O63" s="40">
        <f>COUNTA(O5:O61)</f>
        <v>57</v>
      </c>
    </row>
    <row r="64">
      <c r="A64" s="1"/>
      <c r="C64" s="1"/>
      <c r="D64" s="1"/>
      <c r="E64" s="1"/>
      <c r="N64" s="34" t="s">
        <v>111</v>
      </c>
      <c r="O64" s="40">
        <f>O65-O63</f>
        <v>0</v>
      </c>
    </row>
    <row r="65">
      <c r="A65" s="1"/>
      <c r="C65" s="1"/>
      <c r="D65" s="1"/>
      <c r="I65" s="41"/>
      <c r="J65" s="42"/>
      <c r="K65" s="43"/>
      <c r="N65" s="34" t="s">
        <v>41</v>
      </c>
      <c r="O65" s="40">
        <f>B63</f>
        <v>57</v>
      </c>
    </row>
    <row r="66">
      <c r="A66" s="1"/>
      <c r="C66" s="1"/>
      <c r="D66" s="1"/>
      <c r="E66" s="34" t="s">
        <v>112</v>
      </c>
      <c r="I66" s="41"/>
      <c r="J66" s="42"/>
      <c r="K66" s="43"/>
    </row>
    <row r="67">
      <c r="A67" s="1"/>
      <c r="C67" s="1"/>
      <c r="D67" s="1"/>
      <c r="I67" s="41"/>
      <c r="J67" s="42"/>
      <c r="K67" s="43"/>
    </row>
    <row r="68">
      <c r="A68" s="1"/>
      <c r="C68" s="1"/>
      <c r="D68" s="1"/>
      <c r="I68" s="41"/>
      <c r="J68" s="42"/>
      <c r="K68" s="43"/>
    </row>
    <row r="69">
      <c r="A69" s="1"/>
      <c r="B69" s="45" t="s">
        <v>113</v>
      </c>
      <c r="C69" s="45" t="s">
        <v>114</v>
      </c>
      <c r="D69" s="45" t="s">
        <v>115</v>
      </c>
      <c r="I69" s="41"/>
      <c r="J69" s="42"/>
      <c r="K69" s="43"/>
    </row>
    <row r="70">
      <c r="A70" s="1"/>
      <c r="B70" s="36" t="str">
        <f>IFERROR(__xludf.DUMMYFUNCTION("QUERY(B5:K61,""Select B, J, K where J &gt;= 18 order by J desc, K desc"",0)"),"Trinath Goteti")</f>
        <v>Trinath Goteti</v>
      </c>
      <c r="C70" s="46">
        <f>IFERROR(__xludf.DUMMYFUNCTION("""COMPUTED_VALUE"""),20.0)</f>
        <v>20</v>
      </c>
      <c r="D70" s="46">
        <f>IFERROR(__xludf.DUMMYFUNCTION("""COMPUTED_VALUE"""),3.0)</f>
        <v>3</v>
      </c>
      <c r="E70" s="1"/>
      <c r="J70" s="42"/>
      <c r="K70" s="43"/>
    </row>
    <row r="71">
      <c r="A71" s="1"/>
      <c r="B71" s="36" t="str">
        <f>IFERROR(__xludf.DUMMYFUNCTION("""COMPUTED_VALUE"""),"Alejandro Mejia")</f>
        <v>Alejandro Mejia</v>
      </c>
      <c r="C71" s="46">
        <f>IFERROR(__xludf.DUMMYFUNCTION("""COMPUTED_VALUE"""),19.0)</f>
        <v>19</v>
      </c>
      <c r="D71" s="46">
        <f>IFERROR(__xludf.DUMMYFUNCTION("""COMPUTED_VALUE"""),2.0)</f>
        <v>2</v>
      </c>
      <c r="E71" s="1"/>
      <c r="K71" s="47"/>
    </row>
    <row r="72">
      <c r="A72" s="1"/>
      <c r="B72" s="36" t="str">
        <f>IFERROR(__xludf.DUMMYFUNCTION("""COMPUTED_VALUE"""),"Sai Dilip Ponnaganti")</f>
        <v>Sai Dilip Ponnaganti</v>
      </c>
      <c r="C72" s="46">
        <f>IFERROR(__xludf.DUMMYFUNCTION("""COMPUTED_VALUE"""),19.0)</f>
        <v>19</v>
      </c>
      <c r="D72" s="46">
        <f>IFERROR(__xludf.DUMMYFUNCTION("""COMPUTED_VALUE"""),2.0)</f>
        <v>2</v>
      </c>
      <c r="E72" s="1"/>
    </row>
    <row r="73">
      <c r="A73" s="1"/>
      <c r="B73" s="36" t="str">
        <f>IFERROR(__xludf.DUMMYFUNCTION("""COMPUTED_VALUE"""),"Naveen Raj")</f>
        <v>Naveen Raj</v>
      </c>
      <c r="C73" s="46">
        <f>IFERROR(__xludf.DUMMYFUNCTION("""COMPUTED_VALUE"""),18.0)</f>
        <v>18</v>
      </c>
      <c r="D73" s="46">
        <f>IFERROR(__xludf.DUMMYFUNCTION("""COMPUTED_VALUE"""),2.0)</f>
        <v>2</v>
      </c>
      <c r="E73" s="1"/>
    </row>
    <row r="74">
      <c r="A74" s="1"/>
      <c r="B74" s="36" t="str">
        <f>IFERROR(__xludf.DUMMYFUNCTION("""COMPUTED_VALUE"""),"Jonathan Phan")</f>
        <v>Jonathan Phan</v>
      </c>
      <c r="C74" s="46">
        <f>IFERROR(__xludf.DUMMYFUNCTION("""COMPUTED_VALUE"""),18.0)</f>
        <v>18</v>
      </c>
      <c r="D74" s="46">
        <f>IFERROR(__xludf.DUMMYFUNCTION("""COMPUTED_VALUE"""),2.0)</f>
        <v>2</v>
      </c>
      <c r="E74" s="1"/>
      <c r="J74" s="34"/>
    </row>
    <row r="75">
      <c r="A75" s="1"/>
      <c r="B75" s="36" t="str">
        <f>IFERROR(__xludf.DUMMYFUNCTION("""COMPUTED_VALUE"""),"Paul Sanchez")</f>
        <v>Paul Sanchez</v>
      </c>
      <c r="C75" s="46">
        <f>IFERROR(__xludf.DUMMYFUNCTION("""COMPUTED_VALUE"""),18.0)</f>
        <v>18</v>
      </c>
      <c r="D75" s="46">
        <f>IFERROR(__xludf.DUMMYFUNCTION("""COMPUTED_VALUE"""),2.0)</f>
        <v>2</v>
      </c>
      <c r="E75" s="1"/>
      <c r="J75" s="34"/>
    </row>
    <row r="76">
      <c r="A76" s="1"/>
      <c r="B76" s="36" t="str">
        <f>IFERROR(__xludf.DUMMYFUNCTION("""COMPUTED_VALUE"""),"Erik Hoeckmann")</f>
        <v>Erik Hoeckmann</v>
      </c>
      <c r="C76" s="46">
        <f>IFERROR(__xludf.DUMMYFUNCTION("""COMPUTED_VALUE"""),18.0)</f>
        <v>18</v>
      </c>
      <c r="D76" s="46">
        <f>IFERROR(__xludf.DUMMYFUNCTION("""COMPUTED_VALUE"""),2.0)</f>
        <v>2</v>
      </c>
      <c r="E76" s="1"/>
      <c r="J76" s="34"/>
    </row>
    <row r="77">
      <c r="A77" s="1"/>
      <c r="B77" s="36"/>
      <c r="C77" s="46"/>
      <c r="D77" s="46"/>
      <c r="E77" s="1"/>
      <c r="J77" s="34"/>
    </row>
    <row r="78">
      <c r="A78" s="1"/>
      <c r="B78" s="36"/>
      <c r="C78" s="46"/>
      <c r="D78" s="46"/>
      <c r="E78" s="1"/>
    </row>
    <row r="79">
      <c r="A79" s="1"/>
      <c r="B79" s="36"/>
      <c r="C79" s="46"/>
      <c r="D79" s="46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B88" s="34" t="s">
        <v>119</v>
      </c>
      <c r="C88" s="1"/>
      <c r="D88" s="1"/>
      <c r="E88" s="1"/>
    </row>
    <row r="89">
      <c r="A89" s="1"/>
      <c r="B89" s="34" t="s">
        <v>120</v>
      </c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B97" s="34" t="s">
        <v>121</v>
      </c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E1"/>
    <mergeCell ref="G1:I1"/>
    <mergeCell ref="J1:K1"/>
    <mergeCell ref="B2:C2"/>
    <mergeCell ref="L3:M3"/>
  </mergeCells>
  <conditionalFormatting sqref="J5:J61">
    <cfRule type="expression" dxfId="0" priority="1">
      <formula> J5&gt;=18</formula>
    </cfRule>
  </conditionalFormatting>
  <conditionalFormatting sqref="J10 L10">
    <cfRule type="expression" dxfId="1" priority="2">
      <formula>iseven</formula>
    </cfRule>
  </conditionalFormatting>
  <conditionalFormatting sqref="B5:B61 B69:D79">
    <cfRule type="expression" dxfId="0" priority="3">
      <formula>E5=1</formula>
    </cfRule>
  </conditionalFormatting>
  <conditionalFormatting sqref="B5:B61 B69:D79">
    <cfRule type="expression" dxfId="2" priority="4">
      <formula>E5=2</formula>
    </cfRule>
  </conditionalFormatting>
  <conditionalFormatting sqref="B5:B61 B69:D79">
    <cfRule type="expression" dxfId="3" priority="5">
      <formula>E5=3</formula>
    </cfRule>
  </conditionalFormatting>
  <conditionalFormatting sqref="B5:B61 B69:D79">
    <cfRule type="expression" dxfId="4" priority="6">
      <formula>E5=4</formula>
    </cfRule>
  </conditionalFormatting>
  <conditionalFormatting sqref="K71">
    <cfRule type="containsText" dxfId="0" priority="7" operator="containsText" text="Good">
      <formula>NOT(ISERROR(SEARCH(("Good"),(K71))))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13"/>
    <col customWidth="1" min="17" max="17" width="8.0"/>
    <col customWidth="1" min="18" max="18" width="8.75"/>
  </cols>
  <sheetData>
    <row r="1">
      <c r="A1" s="1"/>
      <c r="B1" s="2" t="s">
        <v>1</v>
      </c>
      <c r="C1" s="3">
        <v>45150.0</v>
      </c>
      <c r="F1" s="5"/>
      <c r="G1" s="5"/>
      <c r="J1" s="5"/>
      <c r="L1" s="5"/>
    </row>
    <row r="2">
      <c r="A2" s="1"/>
      <c r="B2" s="8" t="s">
        <v>6</v>
      </c>
      <c r="D2" s="9">
        <v>7.0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19" t="s">
        <v>24</v>
      </c>
      <c r="B4" s="20" t="s">
        <v>25</v>
      </c>
      <c r="C4" s="21" t="s">
        <v>8</v>
      </c>
      <c r="D4" s="21" t="s">
        <v>14</v>
      </c>
      <c r="E4" s="21" t="s">
        <v>26</v>
      </c>
      <c r="F4" s="21" t="s">
        <v>28</v>
      </c>
      <c r="G4" s="21" t="s">
        <v>17</v>
      </c>
      <c r="H4" s="21" t="s">
        <v>18</v>
      </c>
      <c r="I4" s="21" t="s">
        <v>19</v>
      </c>
      <c r="J4" s="21" t="s">
        <v>8</v>
      </c>
      <c r="K4" s="21" t="s">
        <v>14</v>
      </c>
      <c r="L4" s="22" t="s">
        <v>8</v>
      </c>
      <c r="M4" s="22" t="s">
        <v>14</v>
      </c>
      <c r="N4" s="21" t="s">
        <v>29</v>
      </c>
      <c r="O4" s="21" t="s">
        <v>30</v>
      </c>
      <c r="P4" s="21" t="s">
        <v>31</v>
      </c>
      <c r="Q4" s="21" t="s">
        <v>32</v>
      </c>
      <c r="R4" s="21" t="s">
        <v>33</v>
      </c>
    </row>
    <row r="5">
      <c r="A5" s="25">
        <v>1.0</v>
      </c>
      <c r="B5" s="36" t="s">
        <v>67</v>
      </c>
      <c r="C5" s="27">
        <v>93.0</v>
      </c>
      <c r="D5" s="28">
        <v>11.0</v>
      </c>
      <c r="E5" s="30">
        <v>1.0</v>
      </c>
      <c r="F5" s="27">
        <v>0.0</v>
      </c>
      <c r="G5" s="31">
        <v>3.0</v>
      </c>
      <c r="H5" s="31">
        <v>3.0</v>
      </c>
      <c r="I5" s="31">
        <v>6.0</v>
      </c>
      <c r="J5" s="32">
        <v>12.0</v>
      </c>
      <c r="K5" s="31">
        <v>1.0</v>
      </c>
      <c r="L5" s="27">
        <f t="shared" ref="L5:M5" si="1">C5+J5</f>
        <v>105</v>
      </c>
      <c r="M5" s="28">
        <f t="shared" si="1"/>
        <v>12</v>
      </c>
      <c r="N5" s="33" t="s">
        <v>37</v>
      </c>
      <c r="O5" s="33" t="s">
        <v>37</v>
      </c>
      <c r="P5" s="31">
        <f>if(F5=13,1,0)+VLOOKUP(B5,'8523'!B$5:P$61,15,false)</f>
        <v>0</v>
      </c>
      <c r="Q5" s="31"/>
      <c r="R5" s="31">
        <f>if(F5=9,1,0)+VLOOKUP(B5,'8523'!B:R,17,false)</f>
        <v>0</v>
      </c>
    </row>
    <row r="6">
      <c r="A6" s="25">
        <f t="shared" ref="A6:A61" si="3">A5+1</f>
        <v>2</v>
      </c>
      <c r="B6" s="26" t="s">
        <v>72</v>
      </c>
      <c r="C6" s="27">
        <v>91.0</v>
      </c>
      <c r="D6" s="28">
        <v>12.0</v>
      </c>
      <c r="E6" s="30">
        <v>5.0</v>
      </c>
      <c r="F6" s="27">
        <v>13.0</v>
      </c>
      <c r="G6" s="31">
        <v>0.0</v>
      </c>
      <c r="H6" s="31">
        <v>0.0</v>
      </c>
      <c r="I6" s="31">
        <v>0.0</v>
      </c>
      <c r="J6" s="32">
        <v>13.0</v>
      </c>
      <c r="K6" s="31">
        <v>0.0</v>
      </c>
      <c r="L6" s="27">
        <f t="shared" ref="L6:M6" si="2">C6+J6</f>
        <v>104</v>
      </c>
      <c r="M6" s="28">
        <f t="shared" si="2"/>
        <v>12</v>
      </c>
      <c r="N6" s="33" t="s">
        <v>37</v>
      </c>
      <c r="O6" s="33" t="s">
        <v>37</v>
      </c>
      <c r="P6" s="31">
        <f>if(F6=13,1,0)+VLOOKUP(B6,'8523'!B$5:P$61,15,false)</f>
        <v>1</v>
      </c>
      <c r="Q6" s="31"/>
      <c r="R6" s="31">
        <f>if(F6=9,1,0)+VLOOKUP(B6,'8523'!B:R,17,false)</f>
        <v>1</v>
      </c>
    </row>
    <row r="7">
      <c r="A7" s="25">
        <f t="shared" si="3"/>
        <v>3</v>
      </c>
      <c r="B7" s="26" t="s">
        <v>80</v>
      </c>
      <c r="C7" s="27">
        <v>87.0</v>
      </c>
      <c r="D7" s="28">
        <v>10.0</v>
      </c>
      <c r="E7" s="30">
        <v>3.0</v>
      </c>
      <c r="F7" s="27">
        <v>9.0</v>
      </c>
      <c r="G7" s="31">
        <v>0.0</v>
      </c>
      <c r="H7" s="31">
        <v>0.0</v>
      </c>
      <c r="I7" s="31">
        <v>0.0</v>
      </c>
      <c r="J7" s="32">
        <v>9.0</v>
      </c>
      <c r="K7" s="31">
        <v>0.0</v>
      </c>
      <c r="L7" s="27">
        <f t="shared" ref="L7:M7" si="4">C7+J7</f>
        <v>96</v>
      </c>
      <c r="M7" s="28">
        <f t="shared" si="4"/>
        <v>10</v>
      </c>
      <c r="N7" s="33" t="s">
        <v>37</v>
      </c>
      <c r="O7" s="33" t="s">
        <v>37</v>
      </c>
      <c r="P7" s="31">
        <f>if(F7=13,1,0)+VLOOKUP(B7,'8523'!B$5:P$61,15,false)</f>
        <v>0</v>
      </c>
      <c r="Q7" s="31"/>
      <c r="R7" s="31">
        <f>if(F7=9,1,0)+VLOOKUP(B7,'8523'!B:R,17,false)</f>
        <v>3</v>
      </c>
    </row>
    <row r="8">
      <c r="A8" s="25">
        <f t="shared" si="3"/>
        <v>4</v>
      </c>
      <c r="B8" s="26" t="s">
        <v>54</v>
      </c>
      <c r="C8" s="27">
        <v>85.0</v>
      </c>
      <c r="D8" s="28">
        <v>10.0</v>
      </c>
      <c r="E8" s="30">
        <v>3.0</v>
      </c>
      <c r="F8" s="27">
        <v>9.0</v>
      </c>
      <c r="G8" s="31">
        <v>0.0</v>
      </c>
      <c r="H8" s="31">
        <v>0.0</v>
      </c>
      <c r="I8" s="31">
        <v>0.0</v>
      </c>
      <c r="J8" s="32">
        <v>9.0</v>
      </c>
      <c r="K8" s="31">
        <v>0.0</v>
      </c>
      <c r="L8" s="27">
        <f t="shared" ref="L8:M8" si="5">C8+J8</f>
        <v>94</v>
      </c>
      <c r="M8" s="28">
        <f t="shared" si="5"/>
        <v>10</v>
      </c>
      <c r="N8" s="33" t="s">
        <v>37</v>
      </c>
      <c r="O8" s="33" t="s">
        <v>37</v>
      </c>
      <c r="P8" s="31">
        <f>if(F8=13,1,0)+VLOOKUP(B8,'8523'!B$5:P$61,15,false)</f>
        <v>0</v>
      </c>
      <c r="Q8" s="31"/>
      <c r="R8" s="31">
        <f>if(F8=9,1,0)+VLOOKUP(B8,'8523'!B:R,17,false)</f>
        <v>2</v>
      </c>
    </row>
    <row r="9">
      <c r="A9" s="25">
        <f t="shared" si="3"/>
        <v>5</v>
      </c>
      <c r="B9" s="26" t="s">
        <v>49</v>
      </c>
      <c r="C9" s="27">
        <v>81.0</v>
      </c>
      <c r="D9" s="28">
        <v>7.0</v>
      </c>
      <c r="E9" s="30">
        <v>1.0</v>
      </c>
      <c r="F9" s="27">
        <v>0.0</v>
      </c>
      <c r="G9" s="31">
        <v>3.0</v>
      </c>
      <c r="H9" s="31">
        <v>6.0</v>
      </c>
      <c r="I9" s="31">
        <v>0.0</v>
      </c>
      <c r="J9" s="32">
        <v>9.0</v>
      </c>
      <c r="K9" s="31">
        <v>1.0</v>
      </c>
      <c r="L9" s="27">
        <f t="shared" ref="L9:M9" si="6">C9+J9</f>
        <v>90</v>
      </c>
      <c r="M9" s="28">
        <f t="shared" si="6"/>
        <v>8</v>
      </c>
      <c r="N9" s="33" t="s">
        <v>37</v>
      </c>
      <c r="O9" s="33" t="s">
        <v>37</v>
      </c>
      <c r="P9" s="31">
        <f>if(F9=13,1,0)+VLOOKUP(B9,'8523'!B$5:P$61,15,false)</f>
        <v>0</v>
      </c>
      <c r="Q9" s="31">
        <v>1.0</v>
      </c>
      <c r="R9" s="31">
        <f>if(F9=9,1,0)+VLOOKUP(B9,'8523'!B:R,17,false)</f>
        <v>0</v>
      </c>
    </row>
    <row r="10">
      <c r="A10" s="25">
        <f t="shared" si="3"/>
        <v>6</v>
      </c>
      <c r="B10" s="26" t="s">
        <v>48</v>
      </c>
      <c r="C10" s="27">
        <v>79.0</v>
      </c>
      <c r="D10" s="28">
        <v>8.0</v>
      </c>
      <c r="E10" s="30">
        <v>2.0</v>
      </c>
      <c r="F10" s="27">
        <v>0.0</v>
      </c>
      <c r="G10" s="31">
        <v>6.0</v>
      </c>
      <c r="H10" s="31">
        <v>3.0</v>
      </c>
      <c r="I10" s="31">
        <v>0.0</v>
      </c>
      <c r="J10" s="32">
        <v>9.0</v>
      </c>
      <c r="K10" s="31">
        <v>1.0</v>
      </c>
      <c r="L10" s="27">
        <f t="shared" ref="L10:M10" si="7">C10+J10</f>
        <v>88</v>
      </c>
      <c r="M10" s="28">
        <f t="shared" si="7"/>
        <v>9</v>
      </c>
      <c r="N10" s="33" t="s">
        <v>37</v>
      </c>
      <c r="O10" s="33" t="s">
        <v>37</v>
      </c>
      <c r="P10" s="31">
        <f>if(F10=13,1,0)+VLOOKUP(B10,'8523'!B$5:P$61,15,false)</f>
        <v>0</v>
      </c>
      <c r="Q10" s="31"/>
      <c r="R10" s="31">
        <f>if(F10=9,1,0)+VLOOKUP(B10,'8523'!B:R,17,false)</f>
        <v>2</v>
      </c>
    </row>
    <row r="11">
      <c r="A11" s="25">
        <f t="shared" si="3"/>
        <v>7</v>
      </c>
      <c r="B11" s="26" t="s">
        <v>42</v>
      </c>
      <c r="C11" s="27">
        <v>79.0</v>
      </c>
      <c r="D11" s="28">
        <v>7.0</v>
      </c>
      <c r="E11" s="30">
        <v>1.0</v>
      </c>
      <c r="F11" s="27">
        <v>0.0</v>
      </c>
      <c r="G11" s="31">
        <v>6.0</v>
      </c>
      <c r="H11" s="31">
        <v>6.0</v>
      </c>
      <c r="I11" s="31">
        <v>6.0</v>
      </c>
      <c r="J11" s="32">
        <v>18.0</v>
      </c>
      <c r="K11" s="31">
        <v>3.0</v>
      </c>
      <c r="L11" s="27">
        <f t="shared" ref="L11:M11" si="8">C11+J11</f>
        <v>97</v>
      </c>
      <c r="M11" s="28">
        <f t="shared" si="8"/>
        <v>10</v>
      </c>
      <c r="N11" s="33" t="s">
        <v>37</v>
      </c>
      <c r="O11" s="33" t="s">
        <v>37</v>
      </c>
      <c r="P11" s="31">
        <f>if(F11=13,1,0)+VLOOKUP(B11,'8523'!B$5:P$61,15,false)</f>
        <v>0</v>
      </c>
      <c r="Q11" s="31"/>
      <c r="R11" s="31">
        <f>if(F11=9,1,0)+VLOOKUP(B11,'8523'!B:R,17,false)</f>
        <v>2</v>
      </c>
    </row>
    <row r="12">
      <c r="A12" s="25">
        <f t="shared" si="3"/>
        <v>8</v>
      </c>
      <c r="B12" s="26" t="s">
        <v>52</v>
      </c>
      <c r="C12" s="27">
        <v>78.0</v>
      </c>
      <c r="D12" s="28">
        <v>9.0</v>
      </c>
      <c r="E12" s="30">
        <v>1.0</v>
      </c>
      <c r="F12" s="27">
        <v>0.0</v>
      </c>
      <c r="G12" s="31">
        <v>7.0</v>
      </c>
      <c r="H12" s="31">
        <v>2.0</v>
      </c>
      <c r="I12" s="31">
        <v>1.0</v>
      </c>
      <c r="J12" s="32">
        <v>10.0</v>
      </c>
      <c r="K12" s="31">
        <v>1.0</v>
      </c>
      <c r="L12" s="27">
        <f t="shared" ref="L12:M12" si="9">C12+J12</f>
        <v>88</v>
      </c>
      <c r="M12" s="28">
        <f t="shared" si="9"/>
        <v>10</v>
      </c>
      <c r="N12" s="33" t="s">
        <v>37</v>
      </c>
      <c r="O12" s="33" t="s">
        <v>37</v>
      </c>
      <c r="P12" s="31">
        <f>if(F12=13,1,0)+VLOOKUP(B12,'8523'!B$5:P$61,15,false)</f>
        <v>0</v>
      </c>
      <c r="Q12" s="31"/>
      <c r="R12" s="31">
        <f>if(F12=9,1,0)+VLOOKUP(B12,'8523'!B:R,17,false)</f>
        <v>0</v>
      </c>
    </row>
    <row r="13">
      <c r="A13" s="25">
        <f t="shared" si="3"/>
        <v>9</v>
      </c>
      <c r="B13" s="26" t="s">
        <v>60</v>
      </c>
      <c r="C13" s="27">
        <v>77.0</v>
      </c>
      <c r="D13" s="28">
        <v>8.0</v>
      </c>
      <c r="E13" s="30">
        <v>1.0</v>
      </c>
      <c r="F13" s="27">
        <v>0.0</v>
      </c>
      <c r="G13" s="31">
        <v>6.0</v>
      </c>
      <c r="H13" s="31">
        <v>6.0</v>
      </c>
      <c r="I13" s="31">
        <v>1.0</v>
      </c>
      <c r="J13" s="32">
        <v>13.0</v>
      </c>
      <c r="K13" s="31">
        <v>1.0</v>
      </c>
      <c r="L13" s="27">
        <f t="shared" ref="L13:M13" si="10">C13+J13</f>
        <v>90</v>
      </c>
      <c r="M13" s="28">
        <f t="shared" si="10"/>
        <v>9</v>
      </c>
      <c r="N13" s="33" t="s">
        <v>37</v>
      </c>
      <c r="O13" s="33" t="s">
        <v>37</v>
      </c>
      <c r="P13" s="31">
        <f>if(F13=13,1,0)+VLOOKUP(B13,'8523'!B$5:P$61,15,false)</f>
        <v>0</v>
      </c>
      <c r="Q13" s="31"/>
      <c r="R13" s="31">
        <f>if(F13=9,1,0)+VLOOKUP(B13,'8523'!B:R,17,false)</f>
        <v>1</v>
      </c>
    </row>
    <row r="14">
      <c r="A14" s="25">
        <f t="shared" si="3"/>
        <v>10</v>
      </c>
      <c r="B14" s="26" t="s">
        <v>34</v>
      </c>
      <c r="C14" s="27">
        <v>77.0</v>
      </c>
      <c r="D14" s="28">
        <v>7.0</v>
      </c>
      <c r="E14" s="30">
        <v>1.0</v>
      </c>
      <c r="F14" s="27">
        <v>0.0</v>
      </c>
      <c r="G14" s="31">
        <v>7.0</v>
      </c>
      <c r="H14" s="31">
        <v>6.0</v>
      </c>
      <c r="I14" s="31">
        <v>6.0</v>
      </c>
      <c r="J14" s="32">
        <v>19.0</v>
      </c>
      <c r="K14" s="31">
        <v>3.0</v>
      </c>
      <c r="L14" s="27">
        <f t="shared" ref="L14:M14" si="11">C14+J14</f>
        <v>96</v>
      </c>
      <c r="M14" s="28">
        <f t="shared" si="11"/>
        <v>10</v>
      </c>
      <c r="N14" s="33" t="s">
        <v>37</v>
      </c>
      <c r="O14" s="33" t="s">
        <v>37</v>
      </c>
      <c r="P14" s="31">
        <f>if(F14=13,1,0)+VLOOKUP(B14,'8523'!B$5:P$61,15,false)</f>
        <v>0</v>
      </c>
      <c r="Q14" s="31"/>
      <c r="R14" s="31">
        <f>if(F14=9,1,0)+VLOOKUP(B14,'8523'!B:R,17,false)</f>
        <v>3</v>
      </c>
    </row>
    <row r="15">
      <c r="A15" s="25">
        <f t="shared" si="3"/>
        <v>11</v>
      </c>
      <c r="B15" s="36" t="s">
        <v>59</v>
      </c>
      <c r="C15" s="27">
        <v>77.0</v>
      </c>
      <c r="D15" s="28">
        <v>6.0</v>
      </c>
      <c r="E15" s="30">
        <v>3.0</v>
      </c>
      <c r="F15" s="27">
        <v>9.0</v>
      </c>
      <c r="G15" s="31">
        <v>0.0</v>
      </c>
      <c r="H15" s="31">
        <v>0.0</v>
      </c>
      <c r="I15" s="31">
        <v>0.0</v>
      </c>
      <c r="J15" s="32">
        <v>9.0</v>
      </c>
      <c r="K15" s="31">
        <v>0.0</v>
      </c>
      <c r="L15" s="27">
        <f t="shared" ref="L15:M15" si="12">C15+J15</f>
        <v>86</v>
      </c>
      <c r="M15" s="28">
        <f t="shared" si="12"/>
        <v>6</v>
      </c>
      <c r="N15" s="33" t="s">
        <v>37</v>
      </c>
      <c r="O15" s="33" t="s">
        <v>37</v>
      </c>
      <c r="P15" s="31">
        <f>if(F15=13,1,0)+VLOOKUP(B15,'8523'!B$5:P$61,15,false)</f>
        <v>0</v>
      </c>
      <c r="Q15" s="31"/>
      <c r="R15" s="31">
        <f>if(F15=9,1,0)+VLOOKUP(B15,'8523'!B:R,17,false)</f>
        <v>1</v>
      </c>
    </row>
    <row r="16">
      <c r="A16" s="25">
        <f t="shared" si="3"/>
        <v>12</v>
      </c>
      <c r="B16" s="26" t="s">
        <v>68</v>
      </c>
      <c r="C16" s="27">
        <v>77.0</v>
      </c>
      <c r="D16" s="28">
        <v>5.0</v>
      </c>
      <c r="E16" s="30">
        <v>3.0</v>
      </c>
      <c r="F16" s="27">
        <v>9.0</v>
      </c>
      <c r="G16" s="31">
        <v>0.0</v>
      </c>
      <c r="H16" s="31">
        <v>0.0</v>
      </c>
      <c r="I16" s="31">
        <v>0.0</v>
      </c>
      <c r="J16" s="32">
        <v>9.0</v>
      </c>
      <c r="K16" s="31">
        <v>0.0</v>
      </c>
      <c r="L16" s="27">
        <f t="shared" ref="L16:M16" si="13">C16+J16</f>
        <v>86</v>
      </c>
      <c r="M16" s="28">
        <f t="shared" si="13"/>
        <v>5</v>
      </c>
      <c r="N16" s="33" t="s">
        <v>37</v>
      </c>
      <c r="O16" s="33" t="s">
        <v>37</v>
      </c>
      <c r="P16" s="31">
        <f>if(F16=13,1,0)+VLOOKUP(B16,'8523'!B$5:P$61,15,false)</f>
        <v>1</v>
      </c>
      <c r="Q16" s="31"/>
      <c r="R16" s="31">
        <f>if(F16=9,1,0)+VLOOKUP(B16,'8523'!B:R,17,false)</f>
        <v>4</v>
      </c>
    </row>
    <row r="17">
      <c r="A17" s="25">
        <f t="shared" si="3"/>
        <v>13</v>
      </c>
      <c r="B17" s="36" t="s">
        <v>77</v>
      </c>
      <c r="C17" s="27">
        <v>75.0</v>
      </c>
      <c r="D17" s="28">
        <v>7.0</v>
      </c>
      <c r="E17" s="30">
        <v>1.0</v>
      </c>
      <c r="F17" s="27">
        <v>0.0</v>
      </c>
      <c r="G17" s="31">
        <v>6.0</v>
      </c>
      <c r="H17" s="31">
        <v>2.0</v>
      </c>
      <c r="I17" s="31">
        <v>6.0</v>
      </c>
      <c r="J17" s="32">
        <v>14.0</v>
      </c>
      <c r="K17" s="31">
        <v>1.0</v>
      </c>
      <c r="L17" s="27">
        <f t="shared" ref="L17:M17" si="14">C17+J17</f>
        <v>89</v>
      </c>
      <c r="M17" s="28">
        <f t="shared" si="14"/>
        <v>8</v>
      </c>
      <c r="N17" s="33" t="s">
        <v>37</v>
      </c>
      <c r="O17" s="33" t="s">
        <v>37</v>
      </c>
      <c r="P17" s="31">
        <f>if(F17=13,1,0)+VLOOKUP(B17,'8523'!B$5:P$61,15,false)</f>
        <v>0</v>
      </c>
      <c r="Q17" s="31"/>
      <c r="R17" s="31">
        <f>if(F17=9,1,0)+VLOOKUP(B17,'8523'!B:R,17,false)</f>
        <v>3</v>
      </c>
    </row>
    <row r="18">
      <c r="A18" s="25">
        <f t="shared" si="3"/>
        <v>14</v>
      </c>
      <c r="B18" s="26" t="s">
        <v>75</v>
      </c>
      <c r="C18" s="27">
        <v>75.0</v>
      </c>
      <c r="D18" s="28">
        <v>6.0</v>
      </c>
      <c r="E18" s="30">
        <v>2.0</v>
      </c>
      <c r="F18" s="27">
        <v>0.0</v>
      </c>
      <c r="G18" s="31">
        <v>2.0</v>
      </c>
      <c r="H18" s="31">
        <v>7.0</v>
      </c>
      <c r="I18" s="31">
        <v>6.0</v>
      </c>
      <c r="J18" s="32">
        <v>15.0</v>
      </c>
      <c r="K18" s="31">
        <v>2.0</v>
      </c>
      <c r="L18" s="27">
        <f t="shared" ref="L18:M18" si="15">C18+J18</f>
        <v>90</v>
      </c>
      <c r="M18" s="28">
        <f t="shared" si="15"/>
        <v>8</v>
      </c>
      <c r="N18" s="33" t="s">
        <v>37</v>
      </c>
      <c r="O18" s="33" t="s">
        <v>37</v>
      </c>
      <c r="P18" s="31">
        <f>if(F18=13,1,0)+VLOOKUP(B18,'8523'!B$5:P$61,15,false)</f>
        <v>0</v>
      </c>
      <c r="Q18" s="31"/>
      <c r="R18" s="31">
        <f>if(F18=9,1,0)+VLOOKUP(B18,'8523'!B:R,17,false)</f>
        <v>2</v>
      </c>
    </row>
    <row r="19">
      <c r="A19" s="25">
        <f t="shared" si="3"/>
        <v>15</v>
      </c>
      <c r="B19" s="26" t="s">
        <v>70</v>
      </c>
      <c r="C19" s="27">
        <v>73.0</v>
      </c>
      <c r="D19" s="28">
        <v>7.0</v>
      </c>
      <c r="E19" s="30">
        <v>1.0</v>
      </c>
      <c r="F19" s="27">
        <v>0.0</v>
      </c>
      <c r="G19" s="31">
        <v>6.0</v>
      </c>
      <c r="H19" s="31">
        <v>6.0</v>
      </c>
      <c r="I19" s="31">
        <v>6.0</v>
      </c>
      <c r="J19" s="32">
        <v>18.0</v>
      </c>
      <c r="K19" s="31">
        <v>2.0</v>
      </c>
      <c r="L19" s="27">
        <f t="shared" ref="L19:M19" si="16">C19+J19</f>
        <v>91</v>
      </c>
      <c r="M19" s="28">
        <f t="shared" si="16"/>
        <v>9</v>
      </c>
      <c r="N19" s="33" t="s">
        <v>37</v>
      </c>
      <c r="O19" s="33" t="s">
        <v>37</v>
      </c>
      <c r="P19" s="31">
        <f>if(F19=13,1,0)+VLOOKUP(B19,'8523'!B$5:P$61,15,false)</f>
        <v>0</v>
      </c>
      <c r="Q19" s="31"/>
      <c r="R19" s="31">
        <f>if(F19=9,1,0)+VLOOKUP(B19,'8523'!B:R,17,false)</f>
        <v>2</v>
      </c>
    </row>
    <row r="20">
      <c r="A20" s="25">
        <f t="shared" si="3"/>
        <v>16</v>
      </c>
      <c r="B20" s="26" t="s">
        <v>61</v>
      </c>
      <c r="C20" s="27">
        <v>72.0</v>
      </c>
      <c r="D20" s="28">
        <v>7.0</v>
      </c>
      <c r="E20" s="30">
        <v>1.0</v>
      </c>
      <c r="F20" s="27">
        <v>0.0</v>
      </c>
      <c r="G20" s="31">
        <v>6.0</v>
      </c>
      <c r="H20" s="31">
        <v>7.0</v>
      </c>
      <c r="I20" s="31">
        <v>2.0</v>
      </c>
      <c r="J20" s="32">
        <v>15.0</v>
      </c>
      <c r="K20" s="31">
        <v>2.0</v>
      </c>
      <c r="L20" s="27">
        <f t="shared" ref="L20:M20" si="17">C20+J20</f>
        <v>87</v>
      </c>
      <c r="M20" s="28">
        <f t="shared" si="17"/>
        <v>9</v>
      </c>
      <c r="N20" s="33" t="s">
        <v>37</v>
      </c>
      <c r="O20" s="33" t="s">
        <v>37</v>
      </c>
      <c r="P20" s="31">
        <f>if(F20=13,1,0)+VLOOKUP(B20,'8523'!B$5:P$61,15,false)</f>
        <v>0</v>
      </c>
      <c r="Q20" s="31"/>
      <c r="R20" s="31">
        <f>if(F20=9,1,0)+VLOOKUP(B20,'8523'!B:R,17,false)</f>
        <v>1</v>
      </c>
    </row>
    <row r="21">
      <c r="A21" s="25">
        <f t="shared" si="3"/>
        <v>17</v>
      </c>
      <c r="B21" s="26" t="s">
        <v>58</v>
      </c>
      <c r="C21" s="27">
        <v>72.0</v>
      </c>
      <c r="D21" s="28">
        <v>5.0</v>
      </c>
      <c r="E21" s="30">
        <v>3.0</v>
      </c>
      <c r="F21" s="27">
        <v>9.0</v>
      </c>
      <c r="G21" s="31">
        <v>0.0</v>
      </c>
      <c r="H21" s="31">
        <v>0.0</v>
      </c>
      <c r="I21" s="31">
        <v>0.0</v>
      </c>
      <c r="J21" s="32">
        <v>9.0</v>
      </c>
      <c r="K21" s="31">
        <v>0.0</v>
      </c>
      <c r="L21" s="27">
        <f t="shared" ref="L21:M21" si="18">C21+J21</f>
        <v>81</v>
      </c>
      <c r="M21" s="28">
        <f t="shared" si="18"/>
        <v>5</v>
      </c>
      <c r="N21" s="33" t="s">
        <v>37</v>
      </c>
      <c r="O21" s="33" t="s">
        <v>37</v>
      </c>
      <c r="P21" s="31">
        <f>if(F21=13,1,0)+VLOOKUP(B21,'8523'!B$5:P$61,15,false)</f>
        <v>0</v>
      </c>
      <c r="Q21" s="31"/>
      <c r="R21" s="31">
        <f>if(F21=9,1,0)+VLOOKUP(B21,'8523'!B:R,17,false)</f>
        <v>2</v>
      </c>
    </row>
    <row r="22">
      <c r="A22" s="25">
        <f t="shared" si="3"/>
        <v>18</v>
      </c>
      <c r="B22" s="26" t="s">
        <v>56</v>
      </c>
      <c r="C22" s="27">
        <v>71.0</v>
      </c>
      <c r="D22" s="28">
        <v>8.0</v>
      </c>
      <c r="E22" s="30">
        <v>3.0</v>
      </c>
      <c r="F22" s="27">
        <v>9.0</v>
      </c>
      <c r="G22" s="31">
        <v>0.0</v>
      </c>
      <c r="H22" s="31">
        <v>0.0</v>
      </c>
      <c r="I22" s="31">
        <v>0.0</v>
      </c>
      <c r="J22" s="32">
        <v>9.0</v>
      </c>
      <c r="K22" s="31">
        <v>0.0</v>
      </c>
      <c r="L22" s="27">
        <f t="shared" ref="L22:M22" si="19">C22+J22</f>
        <v>80</v>
      </c>
      <c r="M22" s="28">
        <f t="shared" si="19"/>
        <v>8</v>
      </c>
      <c r="N22" s="33" t="s">
        <v>37</v>
      </c>
      <c r="O22" s="33" t="s">
        <v>37</v>
      </c>
      <c r="P22" s="31">
        <f>if(F22=13,1,0)+VLOOKUP(B22,'8523'!B$5:P$61,15,false)</f>
        <v>0</v>
      </c>
      <c r="Q22" s="31"/>
      <c r="R22" s="31">
        <f>if(F22=9,1,0)+VLOOKUP(B22,'8523'!B:R,17,false)</f>
        <v>1</v>
      </c>
    </row>
    <row r="23">
      <c r="A23" s="25">
        <f t="shared" si="3"/>
        <v>19</v>
      </c>
      <c r="B23" s="36" t="s">
        <v>81</v>
      </c>
      <c r="C23" s="27">
        <v>71.0</v>
      </c>
      <c r="D23" s="28">
        <v>4.0</v>
      </c>
      <c r="E23" s="30">
        <v>1.0</v>
      </c>
      <c r="F23" s="27">
        <v>0.0</v>
      </c>
      <c r="G23" s="31">
        <v>2.0</v>
      </c>
      <c r="H23" s="31">
        <v>6.0</v>
      </c>
      <c r="I23" s="31">
        <v>2.0</v>
      </c>
      <c r="J23" s="32">
        <v>10.0</v>
      </c>
      <c r="K23" s="31">
        <v>0.0</v>
      </c>
      <c r="L23" s="27">
        <f t="shared" ref="L23:M23" si="20">C23+J23</f>
        <v>81</v>
      </c>
      <c r="M23" s="28">
        <f t="shared" si="20"/>
        <v>4</v>
      </c>
      <c r="N23" s="33" t="s">
        <v>37</v>
      </c>
      <c r="O23" s="33" t="s">
        <v>37</v>
      </c>
      <c r="P23" s="31">
        <f>if(F23=13,1,0)+VLOOKUP(B23,'8523'!B$5:P$61,15,false)</f>
        <v>0</v>
      </c>
      <c r="Q23" s="31"/>
      <c r="R23" s="31">
        <f>if(F23=9,1,0)+VLOOKUP(B23,'8523'!B:R,17,false)</f>
        <v>1</v>
      </c>
    </row>
    <row r="24">
      <c r="A24" s="25">
        <f t="shared" si="3"/>
        <v>20</v>
      </c>
      <c r="B24" s="26" t="s">
        <v>79</v>
      </c>
      <c r="C24" s="27">
        <v>70.0</v>
      </c>
      <c r="D24" s="28">
        <v>7.0</v>
      </c>
      <c r="E24" s="30">
        <v>2.0</v>
      </c>
      <c r="F24" s="27">
        <v>0.0</v>
      </c>
      <c r="G24" s="31">
        <v>2.0</v>
      </c>
      <c r="H24" s="31">
        <v>0.0</v>
      </c>
      <c r="I24" s="31">
        <v>1.0</v>
      </c>
      <c r="J24" s="32">
        <v>3.0</v>
      </c>
      <c r="K24" s="31">
        <v>0.0</v>
      </c>
      <c r="L24" s="27">
        <f t="shared" ref="L24:M24" si="21">C24+J24</f>
        <v>73</v>
      </c>
      <c r="M24" s="28">
        <f t="shared" si="21"/>
        <v>7</v>
      </c>
      <c r="N24" s="33" t="s">
        <v>37</v>
      </c>
      <c r="O24" s="33" t="s">
        <v>37</v>
      </c>
      <c r="P24" s="31">
        <f>if(F24=13,1,0)+VLOOKUP(B24,'8523'!B$5:P$61,15,false)</f>
        <v>0</v>
      </c>
      <c r="Q24" s="31">
        <v>1.0</v>
      </c>
      <c r="R24" s="31">
        <f>if(F24=9,1,0)+VLOOKUP(B24,'8523'!B:R,17,false)</f>
        <v>0</v>
      </c>
    </row>
    <row r="25">
      <c r="A25" s="25">
        <f t="shared" si="3"/>
        <v>21</v>
      </c>
      <c r="B25" s="26" t="s">
        <v>65</v>
      </c>
      <c r="C25" s="27">
        <v>70.0</v>
      </c>
      <c r="D25" s="28">
        <v>5.0</v>
      </c>
      <c r="E25" s="30">
        <v>3.0</v>
      </c>
      <c r="F25" s="27">
        <v>9.0</v>
      </c>
      <c r="G25" s="31">
        <v>0.0</v>
      </c>
      <c r="H25" s="31">
        <v>0.0</v>
      </c>
      <c r="I25" s="31">
        <v>0.0</v>
      </c>
      <c r="J25" s="32">
        <v>9.0</v>
      </c>
      <c r="K25" s="31">
        <v>0.0</v>
      </c>
      <c r="L25" s="27">
        <f t="shared" ref="L25:M25" si="22">C25+J25</f>
        <v>79</v>
      </c>
      <c r="M25" s="28">
        <f t="shared" si="22"/>
        <v>5</v>
      </c>
      <c r="N25" s="33" t="s">
        <v>37</v>
      </c>
      <c r="O25" s="33" t="s">
        <v>37</v>
      </c>
      <c r="P25" s="31">
        <f>if(F25=13,1,0)+VLOOKUP(B25,'8523'!B$5:P$61,15,false)</f>
        <v>0</v>
      </c>
      <c r="Q25" s="31"/>
      <c r="R25" s="31">
        <f>if(F25=9,1,0)+VLOOKUP(B25,'8523'!B:R,17,false)</f>
        <v>4</v>
      </c>
    </row>
    <row r="26">
      <c r="A26" s="25">
        <f t="shared" si="3"/>
        <v>22</v>
      </c>
      <c r="B26" s="26" t="s">
        <v>50</v>
      </c>
      <c r="C26" s="27">
        <v>70.0</v>
      </c>
      <c r="D26" s="28">
        <v>5.0</v>
      </c>
      <c r="E26" s="30">
        <v>1.0</v>
      </c>
      <c r="F26" s="27">
        <v>0.0</v>
      </c>
      <c r="G26" s="31">
        <v>6.0</v>
      </c>
      <c r="H26" s="31">
        <v>6.0</v>
      </c>
      <c r="I26" s="31">
        <v>1.0</v>
      </c>
      <c r="J26" s="32">
        <v>13.0</v>
      </c>
      <c r="K26" s="31">
        <v>2.0</v>
      </c>
      <c r="L26" s="27">
        <f t="shared" ref="L26:M26" si="23">C26+J26</f>
        <v>83</v>
      </c>
      <c r="M26" s="28">
        <f t="shared" si="23"/>
        <v>7</v>
      </c>
      <c r="N26" s="33" t="s">
        <v>37</v>
      </c>
      <c r="O26" s="33" t="s">
        <v>37</v>
      </c>
      <c r="P26" s="31">
        <f>if(F26=13,1,0)+VLOOKUP(B26,'8523'!B$5:P$61,15,false)</f>
        <v>0</v>
      </c>
      <c r="Q26" s="31"/>
      <c r="R26" s="31">
        <f>if(F26=9,1,0)+VLOOKUP(B26,'8523'!B:R,17,false)</f>
        <v>3</v>
      </c>
    </row>
    <row r="27">
      <c r="A27" s="25">
        <f t="shared" si="3"/>
        <v>23</v>
      </c>
      <c r="B27" s="26" t="s">
        <v>73</v>
      </c>
      <c r="C27" s="27">
        <v>70.0</v>
      </c>
      <c r="D27" s="28">
        <v>3.0</v>
      </c>
      <c r="E27" s="30">
        <v>3.0</v>
      </c>
      <c r="F27" s="27">
        <v>9.0</v>
      </c>
      <c r="G27" s="31">
        <v>0.0</v>
      </c>
      <c r="H27" s="31">
        <v>0.0</v>
      </c>
      <c r="I27" s="31">
        <v>0.0</v>
      </c>
      <c r="J27" s="32">
        <v>9.0</v>
      </c>
      <c r="K27" s="31">
        <v>0.0</v>
      </c>
      <c r="L27" s="27">
        <f t="shared" ref="L27:M27" si="24">C27+J27</f>
        <v>79</v>
      </c>
      <c r="M27" s="28">
        <f t="shared" si="24"/>
        <v>3</v>
      </c>
      <c r="N27" s="33" t="s">
        <v>37</v>
      </c>
      <c r="O27" s="33" t="s">
        <v>37</v>
      </c>
      <c r="P27" s="31">
        <f>if(F27=13,1,0)+VLOOKUP(B27,'8523'!B$5:P$61,15,false)</f>
        <v>0</v>
      </c>
      <c r="Q27" s="31"/>
      <c r="R27" s="31">
        <f>if(F27=9,1,0)+VLOOKUP(B27,'8523'!B:R,17,false)</f>
        <v>3</v>
      </c>
    </row>
    <row r="28">
      <c r="A28" s="25">
        <f t="shared" si="3"/>
        <v>24</v>
      </c>
      <c r="B28" s="26" t="s">
        <v>74</v>
      </c>
      <c r="C28" s="27">
        <v>69.0</v>
      </c>
      <c r="D28" s="28">
        <v>6.0</v>
      </c>
      <c r="E28" s="30">
        <v>3.0</v>
      </c>
      <c r="F28" s="27">
        <v>9.0</v>
      </c>
      <c r="G28" s="31">
        <v>0.0</v>
      </c>
      <c r="H28" s="31">
        <v>0.0</v>
      </c>
      <c r="I28" s="31">
        <v>0.0</v>
      </c>
      <c r="J28" s="32">
        <v>9.0</v>
      </c>
      <c r="K28" s="31">
        <v>0.0</v>
      </c>
      <c r="L28" s="27">
        <f t="shared" ref="L28:M28" si="25">C28+J28</f>
        <v>78</v>
      </c>
      <c r="M28" s="28">
        <f t="shared" si="25"/>
        <v>6</v>
      </c>
      <c r="N28" s="33" t="s">
        <v>37</v>
      </c>
      <c r="O28" s="33" t="s">
        <v>37</v>
      </c>
      <c r="P28" s="31">
        <f>if(F28=13,1,0)+VLOOKUP(B28,'8523'!B$5:P$61,15,false)</f>
        <v>0</v>
      </c>
      <c r="Q28" s="31"/>
      <c r="R28" s="31">
        <f>if(F28=9,1,0)+VLOOKUP(B28,'8523'!B:R,17,false)</f>
        <v>2</v>
      </c>
    </row>
    <row r="29">
      <c r="A29" s="25">
        <f t="shared" si="3"/>
        <v>25</v>
      </c>
      <c r="B29" s="26" t="s">
        <v>51</v>
      </c>
      <c r="C29" s="27">
        <v>69.0</v>
      </c>
      <c r="D29" s="28">
        <v>3.0</v>
      </c>
      <c r="E29" s="30">
        <v>1.0</v>
      </c>
      <c r="F29" s="27">
        <v>0.0</v>
      </c>
      <c r="G29" s="31">
        <v>6.0</v>
      </c>
      <c r="H29" s="31">
        <v>0.0</v>
      </c>
      <c r="I29" s="31">
        <v>6.0</v>
      </c>
      <c r="J29" s="32">
        <v>12.0</v>
      </c>
      <c r="K29" s="31">
        <v>2.0</v>
      </c>
      <c r="L29" s="27">
        <f t="shared" ref="L29:M29" si="26">C29+J29</f>
        <v>81</v>
      </c>
      <c r="M29" s="28">
        <f t="shared" si="26"/>
        <v>5</v>
      </c>
      <c r="N29" s="33" t="s">
        <v>37</v>
      </c>
      <c r="O29" s="33" t="s">
        <v>37</v>
      </c>
      <c r="P29" s="31">
        <f>if(F29=13,1,0)+VLOOKUP(B29,'8523'!B$5:P$61,15,false)</f>
        <v>0</v>
      </c>
      <c r="Q29" s="31"/>
      <c r="R29" s="31">
        <f>if(F29=9,1,0)+VLOOKUP(B29,'8523'!B:R,17,false)</f>
        <v>4</v>
      </c>
    </row>
    <row r="30">
      <c r="A30" s="25">
        <f t="shared" si="3"/>
        <v>26</v>
      </c>
      <c r="B30" s="36" t="s">
        <v>88</v>
      </c>
      <c r="C30" s="27">
        <v>68.0</v>
      </c>
      <c r="D30" s="28">
        <v>6.0</v>
      </c>
      <c r="E30" s="30">
        <v>3.0</v>
      </c>
      <c r="F30" s="27">
        <v>9.0</v>
      </c>
      <c r="G30" s="31">
        <v>0.0</v>
      </c>
      <c r="H30" s="31">
        <v>0.0</v>
      </c>
      <c r="I30" s="31">
        <v>0.0</v>
      </c>
      <c r="J30" s="32">
        <v>9.0</v>
      </c>
      <c r="K30" s="31">
        <v>0.0</v>
      </c>
      <c r="L30" s="27">
        <f t="shared" ref="L30:M30" si="27">C30+J30</f>
        <v>77</v>
      </c>
      <c r="M30" s="28">
        <f t="shared" si="27"/>
        <v>6</v>
      </c>
      <c r="N30" s="33" t="s">
        <v>37</v>
      </c>
      <c r="O30" s="33" t="s">
        <v>37</v>
      </c>
      <c r="P30" s="31">
        <f>if(F30=13,1,0)+VLOOKUP(B30,'8523'!B$5:P$61,15,false)</f>
        <v>0</v>
      </c>
      <c r="Q30" s="31"/>
      <c r="R30" s="31">
        <f>if(F30=9,1,0)+VLOOKUP(B30,'8523'!B:R,17,false)</f>
        <v>2</v>
      </c>
    </row>
    <row r="31">
      <c r="A31" s="25">
        <f t="shared" si="3"/>
        <v>27</v>
      </c>
      <c r="B31" s="26" t="s">
        <v>47</v>
      </c>
      <c r="C31" s="27">
        <v>68.0</v>
      </c>
      <c r="D31" s="28">
        <v>3.0</v>
      </c>
      <c r="E31" s="30">
        <v>2.0</v>
      </c>
      <c r="F31" s="27">
        <v>0.0</v>
      </c>
      <c r="G31" s="31">
        <v>2.0</v>
      </c>
      <c r="H31" s="31">
        <v>6.0</v>
      </c>
      <c r="I31" s="31">
        <v>6.0</v>
      </c>
      <c r="J31" s="32">
        <v>14.0</v>
      </c>
      <c r="K31" s="31">
        <v>2.0</v>
      </c>
      <c r="L31" s="27">
        <f t="shared" ref="L31:M31" si="28">C31+J31</f>
        <v>82</v>
      </c>
      <c r="M31" s="28">
        <f t="shared" si="28"/>
        <v>5</v>
      </c>
      <c r="N31" s="33" t="s">
        <v>37</v>
      </c>
      <c r="O31" s="33" t="s">
        <v>37</v>
      </c>
      <c r="P31" s="31">
        <f>if(F31=13,1,0)+VLOOKUP(B31,'8523'!B$5:P$61,15,false)</f>
        <v>0</v>
      </c>
      <c r="Q31" s="31"/>
      <c r="R31" s="31">
        <f>if(F31=9,1,0)+VLOOKUP(B31,'8523'!B:R,17,false)</f>
        <v>4</v>
      </c>
    </row>
    <row r="32">
      <c r="A32" s="25">
        <f t="shared" si="3"/>
        <v>28</v>
      </c>
      <c r="B32" s="26" t="s">
        <v>57</v>
      </c>
      <c r="C32" s="27">
        <v>66.0</v>
      </c>
      <c r="D32" s="28">
        <v>6.0</v>
      </c>
      <c r="E32" s="30">
        <v>3.0</v>
      </c>
      <c r="F32" s="27">
        <v>9.0</v>
      </c>
      <c r="G32" s="31">
        <v>0.0</v>
      </c>
      <c r="H32" s="31">
        <v>0.0</v>
      </c>
      <c r="I32" s="31">
        <v>0.0</v>
      </c>
      <c r="J32" s="32">
        <v>9.0</v>
      </c>
      <c r="K32" s="31">
        <v>0.0</v>
      </c>
      <c r="L32" s="27">
        <f t="shared" ref="L32:M32" si="29">C32+J32</f>
        <v>75</v>
      </c>
      <c r="M32" s="28">
        <f t="shared" si="29"/>
        <v>6</v>
      </c>
      <c r="N32" s="33" t="s">
        <v>37</v>
      </c>
      <c r="O32" s="33" t="s">
        <v>37</v>
      </c>
      <c r="P32" s="31">
        <f>if(F32=13,1,0)+VLOOKUP(B32,'8523'!B$5:P$61,15,false)</f>
        <v>0</v>
      </c>
      <c r="Q32" s="31"/>
      <c r="R32" s="31">
        <f>if(F32=9,1,0)+VLOOKUP(B32,'8523'!B:R,17,false)</f>
        <v>3</v>
      </c>
    </row>
    <row r="33">
      <c r="A33" s="25">
        <f t="shared" si="3"/>
        <v>29</v>
      </c>
      <c r="B33" s="36" t="s">
        <v>62</v>
      </c>
      <c r="C33" s="27">
        <v>66.0</v>
      </c>
      <c r="D33" s="28">
        <v>4.0</v>
      </c>
      <c r="E33" s="30">
        <v>3.0</v>
      </c>
      <c r="F33" s="27">
        <v>9.0</v>
      </c>
      <c r="G33" s="31">
        <v>0.0</v>
      </c>
      <c r="H33" s="31">
        <v>0.0</v>
      </c>
      <c r="I33" s="31">
        <v>0.0</v>
      </c>
      <c r="J33" s="32">
        <v>9.0</v>
      </c>
      <c r="K33" s="31">
        <v>0.0</v>
      </c>
      <c r="L33" s="27">
        <f t="shared" ref="L33:M33" si="30">C33+J33</f>
        <v>75</v>
      </c>
      <c r="M33" s="28">
        <f t="shared" si="30"/>
        <v>4</v>
      </c>
      <c r="N33" s="33" t="s">
        <v>37</v>
      </c>
      <c r="O33" s="33" t="s">
        <v>37</v>
      </c>
      <c r="P33" s="31">
        <f>if(F33=13,1,0)+VLOOKUP(B33,'8523'!B$5:P$61,15,false)</f>
        <v>0</v>
      </c>
      <c r="Q33" s="31"/>
      <c r="R33" s="31">
        <f>if(F33=9,1,0)+VLOOKUP(B33,'8523'!B:R,17,false)</f>
        <v>1</v>
      </c>
    </row>
    <row r="34">
      <c r="A34" s="25">
        <f t="shared" si="3"/>
        <v>30</v>
      </c>
      <c r="B34" s="36" t="s">
        <v>83</v>
      </c>
      <c r="C34" s="27">
        <v>65.0</v>
      </c>
      <c r="D34" s="28">
        <v>5.0</v>
      </c>
      <c r="E34" s="30">
        <v>1.0</v>
      </c>
      <c r="F34" s="27">
        <v>0.0</v>
      </c>
      <c r="G34" s="31">
        <v>2.0</v>
      </c>
      <c r="H34" s="31">
        <v>3.0</v>
      </c>
      <c r="I34" s="31">
        <v>6.0</v>
      </c>
      <c r="J34" s="32">
        <v>11.0</v>
      </c>
      <c r="K34" s="31">
        <v>1.0</v>
      </c>
      <c r="L34" s="27">
        <f t="shared" ref="L34:M34" si="31">C34+J34</f>
        <v>76</v>
      </c>
      <c r="M34" s="28">
        <f t="shared" si="31"/>
        <v>6</v>
      </c>
      <c r="N34" s="33" t="s">
        <v>37</v>
      </c>
      <c r="O34" s="33" t="s">
        <v>37</v>
      </c>
      <c r="P34" s="31">
        <f>if(F34=13,1,0)+VLOOKUP(B34,'8523'!B$5:P$61,15,false)</f>
        <v>0</v>
      </c>
      <c r="Q34" s="31"/>
      <c r="R34" s="31">
        <f>if(F34=9,1,0)+VLOOKUP(B34,'8523'!B:R,17,false)</f>
        <v>2</v>
      </c>
    </row>
    <row r="35">
      <c r="A35" s="25">
        <f t="shared" si="3"/>
        <v>31</v>
      </c>
      <c r="B35" s="36" t="s">
        <v>93</v>
      </c>
      <c r="C35" s="27">
        <v>64.0</v>
      </c>
      <c r="D35" s="28">
        <v>3.0</v>
      </c>
      <c r="E35" s="30">
        <v>3.0</v>
      </c>
      <c r="F35" s="27">
        <v>9.0</v>
      </c>
      <c r="G35" s="31">
        <v>0.0</v>
      </c>
      <c r="H35" s="31">
        <v>0.0</v>
      </c>
      <c r="I35" s="31">
        <v>0.0</v>
      </c>
      <c r="J35" s="32">
        <v>9.0</v>
      </c>
      <c r="K35" s="31">
        <v>0.0</v>
      </c>
      <c r="L35" s="27">
        <f t="shared" ref="L35:M35" si="32">C35+J35</f>
        <v>73</v>
      </c>
      <c r="M35" s="28">
        <f t="shared" si="32"/>
        <v>3</v>
      </c>
      <c r="N35" s="33" t="s">
        <v>37</v>
      </c>
      <c r="O35" s="33" t="s">
        <v>37</v>
      </c>
      <c r="P35" s="31">
        <f>if(F35=13,1,0)+VLOOKUP(B35,'8523'!B$5:P$61,15,false)</f>
        <v>0</v>
      </c>
      <c r="Q35" s="31"/>
      <c r="R35" s="31">
        <f>if(F35=9,1,0)+VLOOKUP(B35,'8523'!B:R,17,false)</f>
        <v>6</v>
      </c>
    </row>
    <row r="36">
      <c r="A36" s="25">
        <f t="shared" si="3"/>
        <v>32</v>
      </c>
      <c r="B36" s="26" t="s">
        <v>55</v>
      </c>
      <c r="C36" s="27">
        <v>63.0</v>
      </c>
      <c r="D36" s="28">
        <v>4.0</v>
      </c>
      <c r="E36" s="30">
        <v>1.0</v>
      </c>
      <c r="F36" s="27">
        <v>0.0</v>
      </c>
      <c r="G36" s="31">
        <v>6.0</v>
      </c>
      <c r="H36" s="31">
        <v>6.0</v>
      </c>
      <c r="I36" s="31">
        <v>6.0</v>
      </c>
      <c r="J36" s="32">
        <v>18.0</v>
      </c>
      <c r="K36" s="31">
        <v>3.0</v>
      </c>
      <c r="L36" s="27">
        <f t="shared" ref="L36:M36" si="33">C36+J36</f>
        <v>81</v>
      </c>
      <c r="M36" s="28">
        <f t="shared" si="33"/>
        <v>7</v>
      </c>
      <c r="N36" s="33" t="s">
        <v>37</v>
      </c>
      <c r="O36" s="33" t="s">
        <v>37</v>
      </c>
      <c r="P36" s="31">
        <f>if(F36=13,1,0)+VLOOKUP(B36,'8523'!B$5:P$61,15,false)</f>
        <v>0</v>
      </c>
      <c r="Q36" s="31"/>
      <c r="R36" s="31">
        <f>if(F36=9,1,0)+VLOOKUP(B36,'8523'!B:R,17,false)</f>
        <v>3</v>
      </c>
    </row>
    <row r="37">
      <c r="A37" s="25">
        <f t="shared" si="3"/>
        <v>33</v>
      </c>
      <c r="B37" s="26" t="s">
        <v>64</v>
      </c>
      <c r="C37" s="27">
        <v>63.0</v>
      </c>
      <c r="D37" s="28">
        <v>3.0</v>
      </c>
      <c r="E37" s="30">
        <v>3.0</v>
      </c>
      <c r="F37" s="27">
        <v>9.0</v>
      </c>
      <c r="G37" s="31">
        <v>0.0</v>
      </c>
      <c r="H37" s="31">
        <v>0.0</v>
      </c>
      <c r="I37" s="31">
        <v>0.0</v>
      </c>
      <c r="J37" s="32">
        <v>9.0</v>
      </c>
      <c r="K37" s="31">
        <v>0.0</v>
      </c>
      <c r="L37" s="27">
        <f t="shared" ref="L37:M37" si="34">C37+J37</f>
        <v>72</v>
      </c>
      <c r="M37" s="28">
        <f t="shared" si="34"/>
        <v>3</v>
      </c>
      <c r="N37" s="33" t="s">
        <v>37</v>
      </c>
      <c r="O37" s="33" t="s">
        <v>37</v>
      </c>
      <c r="P37" s="31">
        <f>if(F37=13,1,0)+VLOOKUP(B37,'8523'!B$5:P$61,15,false)</f>
        <v>0</v>
      </c>
      <c r="Q37" s="31"/>
      <c r="R37" s="31">
        <f>if(F37=9,1,0)+VLOOKUP(B37,'8523'!B:R,17,false)</f>
        <v>6</v>
      </c>
    </row>
    <row r="38">
      <c r="A38" s="25">
        <f t="shared" si="3"/>
        <v>34</v>
      </c>
      <c r="B38" s="36" t="s">
        <v>98</v>
      </c>
      <c r="C38" s="27">
        <v>63.0</v>
      </c>
      <c r="D38" s="28">
        <v>3.0</v>
      </c>
      <c r="E38" s="30">
        <v>3.0</v>
      </c>
      <c r="F38" s="27">
        <v>9.0</v>
      </c>
      <c r="G38" s="31">
        <v>0.0</v>
      </c>
      <c r="H38" s="31">
        <v>0.0</v>
      </c>
      <c r="I38" s="31">
        <v>0.0</v>
      </c>
      <c r="J38" s="32">
        <v>9.0</v>
      </c>
      <c r="K38" s="31">
        <v>0.0</v>
      </c>
      <c r="L38" s="27">
        <f t="shared" ref="L38:M38" si="35">C38+J38</f>
        <v>72</v>
      </c>
      <c r="M38" s="28">
        <f t="shared" si="35"/>
        <v>3</v>
      </c>
      <c r="N38" s="33" t="s">
        <v>37</v>
      </c>
      <c r="O38" s="33" t="s">
        <v>37</v>
      </c>
      <c r="P38" s="31">
        <f>if(F38=13,1,0)+VLOOKUP(B38,'8523'!B$5:P$61,15,false)</f>
        <v>0</v>
      </c>
      <c r="Q38" s="31"/>
      <c r="R38" s="31">
        <f>if(F38=9,1,0)+VLOOKUP(B38,'8523'!B:R,17,false)</f>
        <v>2</v>
      </c>
    </row>
    <row r="39">
      <c r="A39" s="25">
        <f t="shared" si="3"/>
        <v>35</v>
      </c>
      <c r="B39" s="36" t="s">
        <v>99</v>
      </c>
      <c r="C39" s="27">
        <v>63.0</v>
      </c>
      <c r="D39" s="28">
        <v>3.0</v>
      </c>
      <c r="E39" s="30">
        <v>3.0</v>
      </c>
      <c r="F39" s="27">
        <v>9.0</v>
      </c>
      <c r="G39" s="31">
        <v>0.0</v>
      </c>
      <c r="H39" s="31">
        <v>0.0</v>
      </c>
      <c r="I39" s="31">
        <v>0.0</v>
      </c>
      <c r="J39" s="32">
        <v>9.0</v>
      </c>
      <c r="K39" s="31">
        <v>0.0</v>
      </c>
      <c r="L39" s="27">
        <f t="shared" ref="L39:M39" si="36">C39+J39</f>
        <v>72</v>
      </c>
      <c r="M39" s="28">
        <f t="shared" si="36"/>
        <v>3</v>
      </c>
      <c r="N39" s="33" t="s">
        <v>37</v>
      </c>
      <c r="O39" s="33" t="s">
        <v>37</v>
      </c>
      <c r="P39" s="31">
        <f>if(F39=13,1,0)+VLOOKUP(B39,'8523'!B$5:P$61,15,false)</f>
        <v>0</v>
      </c>
      <c r="Q39" s="31"/>
      <c r="R39" s="31">
        <f>if(F39=9,1,0)+VLOOKUP(B39,'8523'!B:R,17,false)</f>
        <v>3</v>
      </c>
    </row>
    <row r="40">
      <c r="A40" s="25">
        <f t="shared" si="3"/>
        <v>36</v>
      </c>
      <c r="B40" s="26" t="s">
        <v>66</v>
      </c>
      <c r="C40" s="27">
        <v>63.0</v>
      </c>
      <c r="D40" s="28">
        <v>2.0</v>
      </c>
      <c r="E40" s="30">
        <v>2.0</v>
      </c>
      <c r="F40" s="27">
        <v>0.0</v>
      </c>
      <c r="G40" s="31">
        <v>6.0</v>
      </c>
      <c r="H40" s="31">
        <v>3.0</v>
      </c>
      <c r="I40" s="31">
        <v>4.0</v>
      </c>
      <c r="J40" s="32">
        <v>13.0</v>
      </c>
      <c r="K40" s="31">
        <v>1.0</v>
      </c>
      <c r="L40" s="27">
        <f t="shared" ref="L40:M40" si="37">C40+J40</f>
        <v>76</v>
      </c>
      <c r="M40" s="28">
        <f t="shared" si="37"/>
        <v>3</v>
      </c>
      <c r="N40" s="33" t="s">
        <v>37</v>
      </c>
      <c r="O40" s="33" t="s">
        <v>37</v>
      </c>
      <c r="P40" s="31">
        <f>if(F40=13,1,0)+VLOOKUP(B40,'8523'!B$5:P$61,15,false)</f>
        <v>1</v>
      </c>
      <c r="Q40" s="31"/>
      <c r="R40" s="31">
        <f>if(F40=9,1,0)+VLOOKUP(B40,'8523'!B:R,17,false)</f>
        <v>3</v>
      </c>
    </row>
    <row r="41">
      <c r="A41" s="25">
        <f t="shared" si="3"/>
        <v>37</v>
      </c>
      <c r="B41" s="26" t="s">
        <v>86</v>
      </c>
      <c r="C41" s="27">
        <v>62.0</v>
      </c>
      <c r="D41" s="28">
        <v>4.0</v>
      </c>
      <c r="E41" s="30">
        <v>3.0</v>
      </c>
      <c r="F41" s="27">
        <v>9.0</v>
      </c>
      <c r="G41" s="31">
        <v>0.0</v>
      </c>
      <c r="H41" s="31">
        <v>0.0</v>
      </c>
      <c r="I41" s="31">
        <v>0.0</v>
      </c>
      <c r="J41" s="32">
        <v>9.0</v>
      </c>
      <c r="K41" s="31">
        <v>0.0</v>
      </c>
      <c r="L41" s="27">
        <f t="shared" ref="L41:M41" si="38">C41+J41</f>
        <v>71</v>
      </c>
      <c r="M41" s="28">
        <f t="shared" si="38"/>
        <v>4</v>
      </c>
      <c r="N41" s="33" t="s">
        <v>37</v>
      </c>
      <c r="O41" s="33" t="s">
        <v>37</v>
      </c>
      <c r="P41" s="31">
        <f>if(F41=13,1,0)+VLOOKUP(B41,'8523'!B$5:P$61,15,false)</f>
        <v>0</v>
      </c>
      <c r="Q41" s="31"/>
      <c r="R41" s="31">
        <f>if(F41=9,1,0)+VLOOKUP(B41,'8523'!B:R,17,false)</f>
        <v>3</v>
      </c>
    </row>
    <row r="42">
      <c r="A42" s="25">
        <f t="shared" si="3"/>
        <v>38</v>
      </c>
      <c r="B42" s="26" t="s">
        <v>95</v>
      </c>
      <c r="C42" s="27">
        <v>62.0</v>
      </c>
      <c r="D42" s="28">
        <v>3.0</v>
      </c>
      <c r="E42" s="30">
        <v>3.0</v>
      </c>
      <c r="F42" s="27">
        <v>9.0</v>
      </c>
      <c r="G42" s="31">
        <v>0.0</v>
      </c>
      <c r="H42" s="31">
        <v>0.0</v>
      </c>
      <c r="I42" s="31">
        <v>0.0</v>
      </c>
      <c r="J42" s="32">
        <v>9.0</v>
      </c>
      <c r="K42" s="31">
        <v>0.0</v>
      </c>
      <c r="L42" s="27">
        <f t="shared" ref="L42:M42" si="39">C42+J42</f>
        <v>71</v>
      </c>
      <c r="M42" s="28">
        <f t="shared" si="39"/>
        <v>3</v>
      </c>
      <c r="N42" s="33" t="s">
        <v>37</v>
      </c>
      <c r="O42" s="33" t="s">
        <v>37</v>
      </c>
      <c r="P42" s="31">
        <f>if(F42=13,1,0)+VLOOKUP(B42,'8523'!B$5:P$61,15,false)</f>
        <v>0</v>
      </c>
      <c r="Q42" s="31"/>
      <c r="R42" s="31">
        <f>if(F42=9,1,0)+VLOOKUP(B42,'8523'!B:R,17,false)</f>
        <v>5</v>
      </c>
    </row>
    <row r="43">
      <c r="A43" s="25">
        <f t="shared" si="3"/>
        <v>39</v>
      </c>
      <c r="B43" s="26" t="s">
        <v>87</v>
      </c>
      <c r="C43" s="27">
        <v>62.0</v>
      </c>
      <c r="D43" s="28">
        <v>2.0</v>
      </c>
      <c r="E43" s="30">
        <v>3.0</v>
      </c>
      <c r="F43" s="27">
        <v>9.0</v>
      </c>
      <c r="G43" s="31">
        <v>0.0</v>
      </c>
      <c r="H43" s="31">
        <v>0.0</v>
      </c>
      <c r="I43" s="31">
        <v>0.0</v>
      </c>
      <c r="J43" s="32">
        <v>9.0</v>
      </c>
      <c r="K43" s="31">
        <v>0.0</v>
      </c>
      <c r="L43" s="27">
        <f t="shared" ref="L43:M43" si="40">C43+J43</f>
        <v>71</v>
      </c>
      <c r="M43" s="28">
        <f t="shared" si="40"/>
        <v>2</v>
      </c>
      <c r="N43" s="33" t="s">
        <v>37</v>
      </c>
      <c r="O43" s="33" t="s">
        <v>37</v>
      </c>
      <c r="P43" s="31">
        <f>if(F43=13,1,0)+VLOOKUP(B43,'8523'!B$5:P$61,15,false)</f>
        <v>1</v>
      </c>
      <c r="Q43" s="31"/>
      <c r="R43" s="31">
        <f>if(F43=9,1,0)+VLOOKUP(B43,'8523'!B:R,17,false)</f>
        <v>3</v>
      </c>
    </row>
    <row r="44">
      <c r="A44" s="25">
        <f t="shared" si="3"/>
        <v>40</v>
      </c>
      <c r="B44" s="36" t="s">
        <v>94</v>
      </c>
      <c r="C44" s="27">
        <v>62.0</v>
      </c>
      <c r="D44" s="28">
        <v>2.0</v>
      </c>
      <c r="E44" s="30">
        <v>1.0</v>
      </c>
      <c r="F44" s="27">
        <v>0.0</v>
      </c>
      <c r="G44" s="31">
        <v>2.0</v>
      </c>
      <c r="H44" s="31">
        <v>6.0</v>
      </c>
      <c r="I44" s="31">
        <v>4.0</v>
      </c>
      <c r="J44" s="32">
        <v>12.0</v>
      </c>
      <c r="K44" s="31">
        <v>1.0</v>
      </c>
      <c r="L44" s="27">
        <f t="shared" ref="L44:M44" si="41">C44+J44</f>
        <v>74</v>
      </c>
      <c r="M44" s="28">
        <f t="shared" si="41"/>
        <v>3</v>
      </c>
      <c r="N44" s="33" t="s">
        <v>37</v>
      </c>
      <c r="O44" s="33" t="s">
        <v>37</v>
      </c>
      <c r="P44" s="31">
        <f>if(F44=13,1,0)+VLOOKUP(B44,'8523'!B$5:P$61,15,false)</f>
        <v>0</v>
      </c>
      <c r="Q44" s="31"/>
      <c r="R44" s="31">
        <f>if(F44=9,1,0)+VLOOKUP(B44,'8523'!B:R,17,false)</f>
        <v>3</v>
      </c>
    </row>
    <row r="45">
      <c r="A45" s="25">
        <f t="shared" si="3"/>
        <v>41</v>
      </c>
      <c r="B45" s="26" t="s">
        <v>89</v>
      </c>
      <c r="C45" s="27">
        <v>61.0</v>
      </c>
      <c r="D45" s="28">
        <v>4.0</v>
      </c>
      <c r="E45" s="30">
        <v>3.0</v>
      </c>
      <c r="F45" s="27">
        <v>9.0</v>
      </c>
      <c r="G45" s="31">
        <v>0.0</v>
      </c>
      <c r="H45" s="31">
        <v>0.0</v>
      </c>
      <c r="I45" s="31">
        <v>0.0</v>
      </c>
      <c r="J45" s="32">
        <v>9.0</v>
      </c>
      <c r="K45" s="31">
        <v>0.0</v>
      </c>
      <c r="L45" s="27">
        <f t="shared" ref="L45:M45" si="42">C45+J45</f>
        <v>70</v>
      </c>
      <c r="M45" s="28">
        <f t="shared" si="42"/>
        <v>4</v>
      </c>
      <c r="N45" s="33" t="s">
        <v>37</v>
      </c>
      <c r="O45" s="33" t="s">
        <v>37</v>
      </c>
      <c r="P45" s="31">
        <f>if(F45=13,1,0)+VLOOKUP(B45,'8523'!B$5:P$61,15,false)</f>
        <v>1</v>
      </c>
      <c r="Q45" s="31"/>
      <c r="R45" s="31">
        <f>if(F45=9,1,0)+VLOOKUP(B45,'8523'!B:R,17,false)</f>
        <v>1</v>
      </c>
    </row>
    <row r="46">
      <c r="A46" s="25">
        <f t="shared" si="3"/>
        <v>42</v>
      </c>
      <c r="B46" s="26" t="s">
        <v>78</v>
      </c>
      <c r="C46" s="27">
        <v>60.0</v>
      </c>
      <c r="D46" s="28">
        <v>4.0</v>
      </c>
      <c r="E46" s="30">
        <v>2.0</v>
      </c>
      <c r="F46" s="27">
        <v>0.0</v>
      </c>
      <c r="G46" s="31">
        <v>0.0</v>
      </c>
      <c r="H46" s="31">
        <v>6.0</v>
      </c>
      <c r="I46" s="31">
        <v>7.0</v>
      </c>
      <c r="J46" s="32">
        <v>13.0</v>
      </c>
      <c r="K46" s="31">
        <v>2.0</v>
      </c>
      <c r="L46" s="27">
        <f t="shared" ref="L46:M46" si="43">C46+J46</f>
        <v>73</v>
      </c>
      <c r="M46" s="28">
        <f t="shared" si="43"/>
        <v>6</v>
      </c>
      <c r="N46" s="33" t="s">
        <v>37</v>
      </c>
      <c r="O46" s="33" t="s">
        <v>37</v>
      </c>
      <c r="P46" s="31">
        <f>if(F46=13,1,0)+VLOOKUP(B46,'8523'!B$5:P$61,15,false)</f>
        <v>0</v>
      </c>
      <c r="Q46" s="31"/>
      <c r="R46" s="31">
        <f>if(F46=9,1,0)+VLOOKUP(B46,'8523'!B:R,17,false)</f>
        <v>3</v>
      </c>
    </row>
    <row r="47">
      <c r="A47" s="25">
        <f t="shared" si="3"/>
        <v>43</v>
      </c>
      <c r="B47" s="26" t="s">
        <v>53</v>
      </c>
      <c r="C47" s="27">
        <v>60.0</v>
      </c>
      <c r="D47" s="28">
        <v>2.0</v>
      </c>
      <c r="E47" s="30">
        <v>1.0</v>
      </c>
      <c r="F47" s="27">
        <v>0.0</v>
      </c>
      <c r="G47" s="31">
        <v>6.0</v>
      </c>
      <c r="H47" s="31">
        <v>1.0</v>
      </c>
      <c r="I47" s="31">
        <v>7.0</v>
      </c>
      <c r="J47" s="32">
        <v>14.0</v>
      </c>
      <c r="K47" s="31">
        <v>2.0</v>
      </c>
      <c r="L47" s="27">
        <f t="shared" ref="L47:M47" si="44">C47+J47</f>
        <v>74</v>
      </c>
      <c r="M47" s="28">
        <f t="shared" si="44"/>
        <v>4</v>
      </c>
      <c r="N47" s="33" t="s">
        <v>37</v>
      </c>
      <c r="O47" s="33" t="s">
        <v>37</v>
      </c>
      <c r="P47" s="31">
        <f>if(F47=13,1,0)+VLOOKUP(B47,'8523'!B$5:P$61,15,false)</f>
        <v>0</v>
      </c>
      <c r="Q47" s="31"/>
      <c r="R47" s="31">
        <f>if(F47=9,1,0)+VLOOKUP(B47,'8523'!B:R,17,false)</f>
        <v>4</v>
      </c>
    </row>
    <row r="48">
      <c r="A48" s="25">
        <f t="shared" si="3"/>
        <v>44</v>
      </c>
      <c r="B48" s="36" t="s">
        <v>76</v>
      </c>
      <c r="C48" s="27">
        <v>58.0</v>
      </c>
      <c r="D48" s="28">
        <v>2.0</v>
      </c>
      <c r="E48" s="30">
        <v>3.0</v>
      </c>
      <c r="F48" s="27">
        <v>9.0</v>
      </c>
      <c r="G48" s="31">
        <v>0.0</v>
      </c>
      <c r="H48" s="31">
        <v>0.0</v>
      </c>
      <c r="I48" s="31">
        <v>0.0</v>
      </c>
      <c r="J48" s="32">
        <v>9.0</v>
      </c>
      <c r="K48" s="31">
        <v>0.0</v>
      </c>
      <c r="L48" s="27">
        <f t="shared" ref="L48:M48" si="45">C48+J48</f>
        <v>67</v>
      </c>
      <c r="M48" s="28">
        <f t="shared" si="45"/>
        <v>2</v>
      </c>
      <c r="N48" s="33" t="s">
        <v>37</v>
      </c>
      <c r="O48" s="33" t="s">
        <v>37</v>
      </c>
      <c r="P48" s="31">
        <f>if(F48=13,1,0)+VLOOKUP(B48,'8523'!B$5:P$61,15,false)</f>
        <v>0</v>
      </c>
      <c r="Q48" s="31"/>
      <c r="R48" s="31">
        <f>if(F48=9,1,0)+VLOOKUP(B48,'8523'!B:R,17,false)</f>
        <v>6</v>
      </c>
    </row>
    <row r="49">
      <c r="A49" s="25">
        <f t="shared" si="3"/>
        <v>45</v>
      </c>
      <c r="B49" s="26" t="s">
        <v>91</v>
      </c>
      <c r="C49" s="27">
        <v>58.0</v>
      </c>
      <c r="D49" s="28">
        <v>0.0</v>
      </c>
      <c r="E49" s="30">
        <v>3.0</v>
      </c>
      <c r="F49" s="27">
        <v>9.0</v>
      </c>
      <c r="G49" s="31">
        <v>0.0</v>
      </c>
      <c r="H49" s="31">
        <v>0.0</v>
      </c>
      <c r="I49" s="31">
        <v>0.0</v>
      </c>
      <c r="J49" s="32">
        <v>9.0</v>
      </c>
      <c r="K49" s="31">
        <v>0.0</v>
      </c>
      <c r="L49" s="27">
        <f t="shared" ref="L49:M49" si="46">C49+J49</f>
        <v>67</v>
      </c>
      <c r="M49" s="28">
        <f t="shared" si="46"/>
        <v>0</v>
      </c>
      <c r="N49" s="33" t="s">
        <v>37</v>
      </c>
      <c r="O49" s="33" t="s">
        <v>37</v>
      </c>
      <c r="P49" s="31">
        <f>if(F49=13,1,0)+VLOOKUP(B49,'8523'!B$5:P$61,15,false)</f>
        <v>1</v>
      </c>
      <c r="Q49" s="31"/>
      <c r="R49" s="31">
        <f>if(F49=9,1,0)+VLOOKUP(B49,'8523'!B:R,17,false)</f>
        <v>6</v>
      </c>
    </row>
    <row r="50">
      <c r="A50" s="25">
        <f t="shared" si="3"/>
        <v>46</v>
      </c>
      <c r="B50" s="26" t="s">
        <v>71</v>
      </c>
      <c r="C50" s="27">
        <v>57.0</v>
      </c>
      <c r="D50" s="28">
        <v>3.0</v>
      </c>
      <c r="E50" s="30">
        <v>1.0</v>
      </c>
      <c r="F50" s="27">
        <v>0.0</v>
      </c>
      <c r="G50" s="31">
        <v>6.0</v>
      </c>
      <c r="H50" s="31">
        <v>6.0</v>
      </c>
      <c r="I50" s="31">
        <v>5.0</v>
      </c>
      <c r="J50" s="32">
        <v>17.0</v>
      </c>
      <c r="K50" s="31">
        <v>2.0</v>
      </c>
      <c r="L50" s="27">
        <f t="shared" ref="L50:M50" si="47">C50+J50</f>
        <v>74</v>
      </c>
      <c r="M50" s="28">
        <f t="shared" si="47"/>
        <v>5</v>
      </c>
      <c r="N50" s="33" t="s">
        <v>37</v>
      </c>
      <c r="O50" s="33" t="s">
        <v>37</v>
      </c>
      <c r="P50" s="31">
        <f>if(F50=13,1,0)+VLOOKUP(B50,'8523'!B$5:P$61,15,false)</f>
        <v>0</v>
      </c>
      <c r="Q50" s="31">
        <v>2.0</v>
      </c>
      <c r="R50" s="31">
        <f>if(F50=9,1,0)+VLOOKUP(B50,'8523'!B:R,17,false)</f>
        <v>4</v>
      </c>
    </row>
    <row r="51">
      <c r="A51" s="25">
        <f t="shared" si="3"/>
        <v>47</v>
      </c>
      <c r="B51" s="26" t="s">
        <v>90</v>
      </c>
      <c r="C51" s="27">
        <v>56.0</v>
      </c>
      <c r="D51" s="28">
        <v>3.0</v>
      </c>
      <c r="E51" s="30">
        <v>3.0</v>
      </c>
      <c r="F51" s="27">
        <v>9.0</v>
      </c>
      <c r="G51" s="31">
        <v>0.0</v>
      </c>
      <c r="H51" s="31">
        <v>0.0</v>
      </c>
      <c r="I51" s="31">
        <v>0.0</v>
      </c>
      <c r="J51" s="32">
        <v>9.0</v>
      </c>
      <c r="K51" s="31">
        <v>0.0</v>
      </c>
      <c r="L51" s="27">
        <f t="shared" ref="L51:M51" si="48">C51+J51</f>
        <v>65</v>
      </c>
      <c r="M51" s="28">
        <f t="shared" si="48"/>
        <v>3</v>
      </c>
      <c r="N51" s="33" t="s">
        <v>37</v>
      </c>
      <c r="O51" s="33" t="s">
        <v>37</v>
      </c>
      <c r="P51" s="31">
        <f>if(F51=13,1,0)+VLOOKUP(B51,'8523'!B$5:P$61,15,false)</f>
        <v>0</v>
      </c>
      <c r="Q51" s="31"/>
      <c r="R51" s="31">
        <f>if(F51=9,1,0)+VLOOKUP(B51,'8523'!B:R,17,false)</f>
        <v>4</v>
      </c>
    </row>
    <row r="52">
      <c r="A52" s="25">
        <f t="shared" si="3"/>
        <v>48</v>
      </c>
      <c r="B52" s="26" t="s">
        <v>103</v>
      </c>
      <c r="C52" s="27">
        <v>54.0</v>
      </c>
      <c r="D52" s="28">
        <v>0.0</v>
      </c>
      <c r="E52" s="30">
        <v>3.0</v>
      </c>
      <c r="F52" s="27">
        <v>9.0</v>
      </c>
      <c r="G52" s="31">
        <v>0.0</v>
      </c>
      <c r="H52" s="31">
        <v>0.0</v>
      </c>
      <c r="I52" s="31">
        <v>0.0</v>
      </c>
      <c r="J52" s="32">
        <v>9.0</v>
      </c>
      <c r="K52" s="31">
        <v>0.0</v>
      </c>
      <c r="L52" s="27">
        <f t="shared" ref="L52:M52" si="49">C52+J52</f>
        <v>63</v>
      </c>
      <c r="M52" s="28">
        <f t="shared" si="49"/>
        <v>0</v>
      </c>
      <c r="N52" s="33" t="s">
        <v>37</v>
      </c>
      <c r="O52" s="33" t="s">
        <v>37</v>
      </c>
      <c r="P52" s="31">
        <f>if(F52=13,1,0)+VLOOKUP(B52,'8523'!B$5:P$61,15,false)</f>
        <v>0</v>
      </c>
      <c r="Q52" s="31"/>
      <c r="R52" s="31">
        <f>if(F52=9,1,0)+VLOOKUP(B52,'8523'!B:R,17,false)</f>
        <v>7</v>
      </c>
    </row>
    <row r="53">
      <c r="A53" s="25">
        <f t="shared" si="3"/>
        <v>49</v>
      </c>
      <c r="B53" s="36" t="s">
        <v>104</v>
      </c>
      <c r="C53" s="27">
        <v>54.0</v>
      </c>
      <c r="D53" s="28">
        <v>0.0</v>
      </c>
      <c r="E53" s="30">
        <v>3.0</v>
      </c>
      <c r="F53" s="27">
        <v>9.0</v>
      </c>
      <c r="G53" s="31">
        <v>0.0</v>
      </c>
      <c r="H53" s="31">
        <v>0.0</v>
      </c>
      <c r="I53" s="31">
        <v>0.0</v>
      </c>
      <c r="J53" s="32">
        <v>9.0</v>
      </c>
      <c r="K53" s="31">
        <v>0.0</v>
      </c>
      <c r="L53" s="27">
        <f t="shared" ref="L53:M53" si="50">C53+J53</f>
        <v>63</v>
      </c>
      <c r="M53" s="28">
        <f t="shared" si="50"/>
        <v>0</v>
      </c>
      <c r="N53" s="33" t="s">
        <v>37</v>
      </c>
      <c r="O53" s="33" t="s">
        <v>37</v>
      </c>
      <c r="P53" s="31">
        <f>if(F53=13,1,0)+VLOOKUP(B53,'8523'!B$5:P$61,15,false)</f>
        <v>0</v>
      </c>
      <c r="Q53" s="31"/>
      <c r="R53" s="31">
        <f>if(F53=9,1,0)+VLOOKUP(B53,'8523'!B:R,17,false)</f>
        <v>7</v>
      </c>
    </row>
    <row r="54">
      <c r="A54" s="25">
        <f t="shared" si="3"/>
        <v>50</v>
      </c>
      <c r="B54" s="26" t="s">
        <v>105</v>
      </c>
      <c r="C54" s="27">
        <v>54.0</v>
      </c>
      <c r="D54" s="28">
        <v>0.0</v>
      </c>
      <c r="E54" s="30">
        <v>3.0</v>
      </c>
      <c r="F54" s="27">
        <v>9.0</v>
      </c>
      <c r="G54" s="31">
        <v>0.0</v>
      </c>
      <c r="H54" s="31">
        <v>0.0</v>
      </c>
      <c r="I54" s="31">
        <v>0.0</v>
      </c>
      <c r="J54" s="32">
        <v>9.0</v>
      </c>
      <c r="K54" s="31">
        <v>0.0</v>
      </c>
      <c r="L54" s="27">
        <f t="shared" ref="L54:M54" si="51">C54+J54</f>
        <v>63</v>
      </c>
      <c r="M54" s="28">
        <f t="shared" si="51"/>
        <v>0</v>
      </c>
      <c r="N54" s="33" t="s">
        <v>37</v>
      </c>
      <c r="O54" s="33" t="s">
        <v>37</v>
      </c>
      <c r="P54" s="31">
        <f>if(F54=13,1,0)+VLOOKUP(B54,'8523'!B$5:P$61,15,false)</f>
        <v>0</v>
      </c>
      <c r="Q54" s="31"/>
      <c r="R54" s="31">
        <f>if(F54=9,1,0)+VLOOKUP(B54,'8523'!B:R,17,false)</f>
        <v>7</v>
      </c>
    </row>
    <row r="55">
      <c r="A55" s="25">
        <f t="shared" si="3"/>
        <v>51</v>
      </c>
      <c r="B55" s="26" t="s">
        <v>106</v>
      </c>
      <c r="C55" s="27">
        <v>54.0</v>
      </c>
      <c r="D55" s="28">
        <v>0.0</v>
      </c>
      <c r="E55" s="30">
        <v>3.0</v>
      </c>
      <c r="F55" s="27">
        <v>9.0</v>
      </c>
      <c r="G55" s="31">
        <v>0.0</v>
      </c>
      <c r="H55" s="31">
        <v>0.0</v>
      </c>
      <c r="I55" s="31">
        <v>0.0</v>
      </c>
      <c r="J55" s="32">
        <v>9.0</v>
      </c>
      <c r="K55" s="31">
        <v>0.0</v>
      </c>
      <c r="L55" s="27">
        <f t="shared" ref="L55:M55" si="52">C55+J55</f>
        <v>63</v>
      </c>
      <c r="M55" s="28">
        <f t="shared" si="52"/>
        <v>0</v>
      </c>
      <c r="N55" s="33" t="s">
        <v>37</v>
      </c>
      <c r="O55" s="33" t="s">
        <v>37</v>
      </c>
      <c r="P55" s="31">
        <f>if(F55=13,1,0)+VLOOKUP(B55,'8523'!B$5:P$61,15,false)</f>
        <v>0</v>
      </c>
      <c r="Q55" s="31"/>
      <c r="R55" s="31">
        <f>if(F55=9,1,0)+VLOOKUP(B55,'8523'!B:R,17,false)</f>
        <v>7</v>
      </c>
    </row>
    <row r="56">
      <c r="A56" s="25">
        <f t="shared" si="3"/>
        <v>52</v>
      </c>
      <c r="B56" s="26" t="s">
        <v>100</v>
      </c>
      <c r="C56" s="27">
        <v>54.0</v>
      </c>
      <c r="D56" s="28">
        <v>0.0</v>
      </c>
      <c r="E56" s="30">
        <v>3.0</v>
      </c>
      <c r="F56" s="27">
        <v>9.0</v>
      </c>
      <c r="G56" s="31">
        <v>0.0</v>
      </c>
      <c r="H56" s="31">
        <v>0.0</v>
      </c>
      <c r="I56" s="31">
        <v>0.0</v>
      </c>
      <c r="J56" s="32">
        <v>9.0</v>
      </c>
      <c r="K56" s="31">
        <v>0.0</v>
      </c>
      <c r="L56" s="27">
        <f t="shared" ref="L56:M56" si="53">C56+J56</f>
        <v>63</v>
      </c>
      <c r="M56" s="28">
        <f t="shared" si="53"/>
        <v>0</v>
      </c>
      <c r="N56" s="33" t="s">
        <v>37</v>
      </c>
      <c r="O56" s="33" t="s">
        <v>37</v>
      </c>
      <c r="P56" s="31">
        <f>if(F56=13,1,0)+VLOOKUP(B56,'8523'!B$5:P$61,15,false)</f>
        <v>0</v>
      </c>
      <c r="Q56" s="31">
        <v>1.0</v>
      </c>
      <c r="R56" s="31">
        <f>if(F56=9,1,0)+VLOOKUP(B56,'8523'!B:R,17,false)</f>
        <v>7</v>
      </c>
    </row>
    <row r="57">
      <c r="A57" s="25">
        <f t="shared" si="3"/>
        <v>53</v>
      </c>
      <c r="B57" s="36" t="s">
        <v>108</v>
      </c>
      <c r="C57" s="27">
        <v>53.0</v>
      </c>
      <c r="D57" s="28">
        <v>2.0</v>
      </c>
      <c r="E57" s="30">
        <v>3.0</v>
      </c>
      <c r="F57" s="27">
        <v>9.0</v>
      </c>
      <c r="G57" s="31">
        <v>0.0</v>
      </c>
      <c r="H57" s="31">
        <v>0.0</v>
      </c>
      <c r="I57" s="31">
        <v>0.0</v>
      </c>
      <c r="J57" s="32">
        <v>9.0</v>
      </c>
      <c r="K57" s="31">
        <v>0.0</v>
      </c>
      <c r="L57" s="27">
        <f t="shared" ref="L57:M57" si="54">C57+J57</f>
        <v>62</v>
      </c>
      <c r="M57" s="28">
        <f t="shared" si="54"/>
        <v>2</v>
      </c>
      <c r="N57" s="33" t="s">
        <v>37</v>
      </c>
      <c r="O57" s="33" t="s">
        <v>37</v>
      </c>
      <c r="P57" s="31">
        <f>if(F57=13,1,0)+VLOOKUP(B57,'8523'!B$5:P$61,15,false)</f>
        <v>0</v>
      </c>
      <c r="Q57" s="31"/>
      <c r="R57" s="31">
        <f>if(F57=9,1,0)+VLOOKUP(B57,'8523'!B:R,17,false)</f>
        <v>5</v>
      </c>
    </row>
    <row r="58">
      <c r="A58" s="25">
        <f t="shared" si="3"/>
        <v>54</v>
      </c>
      <c r="B58" s="36" t="s">
        <v>97</v>
      </c>
      <c r="C58" s="27">
        <v>51.0</v>
      </c>
      <c r="D58" s="28">
        <v>3.0</v>
      </c>
      <c r="E58" s="30">
        <v>3.0</v>
      </c>
      <c r="F58" s="27">
        <v>9.0</v>
      </c>
      <c r="G58" s="31">
        <v>0.0</v>
      </c>
      <c r="H58" s="31">
        <v>0.0</v>
      </c>
      <c r="I58" s="31">
        <v>0.0</v>
      </c>
      <c r="J58" s="32">
        <v>9.0</v>
      </c>
      <c r="K58" s="31">
        <v>0.0</v>
      </c>
      <c r="L58" s="27">
        <f t="shared" ref="L58:M58" si="55">C58+J58</f>
        <v>60</v>
      </c>
      <c r="M58" s="28">
        <f t="shared" si="55"/>
        <v>3</v>
      </c>
      <c r="N58" s="33" t="s">
        <v>37</v>
      </c>
      <c r="O58" s="33" t="s">
        <v>37</v>
      </c>
      <c r="P58" s="31">
        <f>if(F58=13,1,0)+VLOOKUP(B58,'8523'!B$5:P$61,15,false)</f>
        <v>0</v>
      </c>
      <c r="Q58" s="31"/>
      <c r="R58" s="31">
        <f>if(F58=9,1,0)+VLOOKUP(B58,'8523'!B:R,17,false)</f>
        <v>3</v>
      </c>
    </row>
    <row r="59">
      <c r="A59" s="25">
        <f t="shared" si="3"/>
        <v>55</v>
      </c>
      <c r="B59" s="36" t="s">
        <v>85</v>
      </c>
      <c r="C59" s="27">
        <v>51.0</v>
      </c>
      <c r="D59" s="28">
        <v>3.0</v>
      </c>
      <c r="E59" s="30">
        <v>1.0</v>
      </c>
      <c r="F59" s="27">
        <v>0.0</v>
      </c>
      <c r="G59" s="31">
        <v>0.0</v>
      </c>
      <c r="H59" s="31">
        <v>1.0</v>
      </c>
      <c r="I59" s="31">
        <v>5.0</v>
      </c>
      <c r="J59" s="32">
        <v>6.0</v>
      </c>
      <c r="K59" s="31">
        <v>0.0</v>
      </c>
      <c r="L59" s="27">
        <f t="shared" ref="L59:M59" si="56">C59+J59</f>
        <v>57</v>
      </c>
      <c r="M59" s="28">
        <f t="shared" si="56"/>
        <v>3</v>
      </c>
      <c r="N59" s="33" t="s">
        <v>37</v>
      </c>
      <c r="O59" s="33" t="s">
        <v>37</v>
      </c>
      <c r="P59" s="31">
        <f>if(F59=13,1,0)+VLOOKUP(B59,'8523'!B$5:P$61,15,false)</f>
        <v>0</v>
      </c>
      <c r="Q59" s="31"/>
      <c r="R59" s="31">
        <f>if(F59=9,1,0)+VLOOKUP(B59,'8523'!B:R,17,false)</f>
        <v>3</v>
      </c>
    </row>
    <row r="60">
      <c r="A60" s="25">
        <f t="shared" si="3"/>
        <v>56</v>
      </c>
      <c r="B60" s="36" t="s">
        <v>96</v>
      </c>
      <c r="C60" s="27">
        <v>50.0</v>
      </c>
      <c r="D60" s="28">
        <v>4.0</v>
      </c>
      <c r="E60" s="30">
        <v>3.0</v>
      </c>
      <c r="F60" s="27">
        <v>9.0</v>
      </c>
      <c r="G60" s="31">
        <v>0.0</v>
      </c>
      <c r="H60" s="31">
        <v>0.0</v>
      </c>
      <c r="I60" s="31">
        <v>0.0</v>
      </c>
      <c r="J60" s="32">
        <v>9.0</v>
      </c>
      <c r="K60" s="31">
        <v>0.0</v>
      </c>
      <c r="L60" s="27">
        <f t="shared" ref="L60:M60" si="57">C60+J60</f>
        <v>59</v>
      </c>
      <c r="M60" s="28">
        <f t="shared" si="57"/>
        <v>4</v>
      </c>
      <c r="N60" s="33" t="s">
        <v>37</v>
      </c>
      <c r="O60" s="33" t="s">
        <v>37</v>
      </c>
      <c r="P60" s="31">
        <f>if(F60=13,1,0)+VLOOKUP(B60,'8523'!B$5:P$61,15,false)</f>
        <v>0</v>
      </c>
      <c r="Q60" s="31"/>
      <c r="R60" s="31">
        <f>if(F60=9,1,0)+VLOOKUP(B60,'8523'!B:R,17,false)</f>
        <v>3</v>
      </c>
    </row>
    <row r="61">
      <c r="A61" s="25">
        <f t="shared" si="3"/>
        <v>57</v>
      </c>
      <c r="B61" s="36" t="s">
        <v>109</v>
      </c>
      <c r="C61" s="27">
        <v>45.0</v>
      </c>
      <c r="D61" s="28">
        <v>1.0</v>
      </c>
      <c r="E61" s="30">
        <v>3.0</v>
      </c>
      <c r="F61" s="27">
        <v>9.0</v>
      </c>
      <c r="G61" s="31">
        <v>0.0</v>
      </c>
      <c r="H61" s="31">
        <v>0.0</v>
      </c>
      <c r="I61" s="31">
        <v>0.0</v>
      </c>
      <c r="J61" s="32">
        <v>9.0</v>
      </c>
      <c r="K61" s="31">
        <v>0.0</v>
      </c>
      <c r="L61" s="27">
        <f t="shared" ref="L61:M61" si="58">C61+J61</f>
        <v>54</v>
      </c>
      <c r="M61" s="28">
        <f t="shared" si="58"/>
        <v>1</v>
      </c>
      <c r="N61" s="33" t="s">
        <v>37</v>
      </c>
      <c r="O61" s="33" t="s">
        <v>37</v>
      </c>
      <c r="P61" s="31">
        <f>if(F61=13,1,0)+VLOOKUP(B61,'8523'!B$5:P$61,15,false)</f>
        <v>0</v>
      </c>
      <c r="Q61" s="31"/>
      <c r="R61" s="31">
        <f>if(F61=9,1,0)+VLOOKUP(B61,'8523'!B:R,17,false)</f>
        <v>3</v>
      </c>
    </row>
    <row r="62">
      <c r="A62" s="1"/>
      <c r="C62" s="1"/>
      <c r="D62" s="1"/>
      <c r="E62" s="1"/>
      <c r="O62" s="1"/>
    </row>
    <row r="63">
      <c r="A63" s="1"/>
      <c r="B63" s="39">
        <f>COUNTA(B5:B61)</f>
        <v>57</v>
      </c>
      <c r="C63" s="1"/>
      <c r="D63" s="1"/>
      <c r="E63" s="1"/>
      <c r="N63" s="34" t="s">
        <v>110</v>
      </c>
      <c r="O63" s="40">
        <f>COUNTA(O5:O61)</f>
        <v>57</v>
      </c>
    </row>
    <row r="64">
      <c r="A64" s="1"/>
      <c r="C64" s="1"/>
      <c r="D64" s="1"/>
      <c r="E64" s="1"/>
      <c r="N64" s="34" t="s">
        <v>111</v>
      </c>
      <c r="O64" s="40">
        <f>O65-O63</f>
        <v>0</v>
      </c>
    </row>
    <row r="65">
      <c r="A65" s="1"/>
      <c r="C65" s="1"/>
      <c r="D65" s="1"/>
      <c r="I65" s="74">
        <v>0.0</v>
      </c>
      <c r="J65" s="75" t="s">
        <v>12</v>
      </c>
      <c r="K65" s="76">
        <f t="shared" ref="K65:K69" si="59">COUNTIF(E$5:E$61,I65)</f>
        <v>0</v>
      </c>
      <c r="N65" s="34" t="s">
        <v>41</v>
      </c>
      <c r="O65" s="40">
        <f>B63</f>
        <v>57</v>
      </c>
    </row>
    <row r="66">
      <c r="A66" s="1"/>
      <c r="C66" s="1"/>
      <c r="D66" s="1"/>
      <c r="E66" s="34" t="s">
        <v>112</v>
      </c>
      <c r="I66" s="74">
        <v>1.0</v>
      </c>
      <c r="J66" s="75" t="s">
        <v>122</v>
      </c>
      <c r="K66" s="76">
        <f t="shared" si="59"/>
        <v>18</v>
      </c>
    </row>
    <row r="67">
      <c r="A67" s="1"/>
      <c r="C67" s="1"/>
      <c r="D67" s="1"/>
      <c r="I67" s="74">
        <v>2.0</v>
      </c>
      <c r="J67" s="75" t="s">
        <v>123</v>
      </c>
      <c r="K67" s="76">
        <f t="shared" si="59"/>
        <v>6</v>
      </c>
    </row>
    <row r="68">
      <c r="A68" s="1"/>
      <c r="C68" s="1"/>
      <c r="D68" s="1"/>
      <c r="I68" s="74">
        <v>3.0</v>
      </c>
      <c r="J68" s="75" t="s">
        <v>39</v>
      </c>
      <c r="K68" s="76">
        <f t="shared" si="59"/>
        <v>32</v>
      </c>
    </row>
    <row r="69">
      <c r="A69" s="1"/>
      <c r="C69" s="1"/>
      <c r="D69" s="1"/>
      <c r="I69" s="74">
        <v>4.0</v>
      </c>
      <c r="J69" s="75" t="s">
        <v>124</v>
      </c>
      <c r="K69" s="76">
        <f t="shared" si="59"/>
        <v>0</v>
      </c>
    </row>
    <row r="70">
      <c r="A70" s="1"/>
      <c r="B70" s="45" t="s">
        <v>113</v>
      </c>
      <c r="C70" s="45" t="s">
        <v>114</v>
      </c>
      <c r="D70" s="45" t="s">
        <v>115</v>
      </c>
      <c r="E70" s="1"/>
      <c r="J70" s="75" t="s">
        <v>41</v>
      </c>
      <c r="K70" s="76">
        <f>sum(K65:K69)</f>
        <v>56</v>
      </c>
    </row>
    <row r="71">
      <c r="A71" s="1"/>
      <c r="B71" s="36" t="str">
        <f>IFERROR(__xludf.DUMMYFUNCTION("QUERY(B5:K61,""Select B, J, K where J &gt;= 18 order by J desc, K desc"",0)"),"Peter Cheng")</f>
        <v>Peter Cheng</v>
      </c>
      <c r="C71" s="46">
        <f>IFERROR(__xludf.DUMMYFUNCTION("""COMPUTED_VALUE"""),19.0)</f>
        <v>19</v>
      </c>
      <c r="D71" s="46">
        <f>IFERROR(__xludf.DUMMYFUNCTION("""COMPUTED_VALUE"""),3.0)</f>
        <v>3</v>
      </c>
      <c r="E71" s="1"/>
      <c r="J71" s="34"/>
      <c r="K71" s="47"/>
    </row>
    <row r="72">
      <c r="A72" s="1"/>
      <c r="B72" s="36" t="str">
        <f>IFERROR(__xludf.DUMMYFUNCTION("""COMPUTED_VALUE"""),"Adrian Tay")</f>
        <v>Adrian Tay</v>
      </c>
      <c r="C72" s="46">
        <f>IFERROR(__xludf.DUMMYFUNCTION("""COMPUTED_VALUE"""),18.0)</f>
        <v>18</v>
      </c>
      <c r="D72" s="46">
        <f>IFERROR(__xludf.DUMMYFUNCTION("""COMPUTED_VALUE"""),3.0)</f>
        <v>3</v>
      </c>
      <c r="E72" s="1"/>
    </row>
    <row r="73">
      <c r="A73" s="1"/>
      <c r="B73" s="36" t="str">
        <f>IFERROR(__xludf.DUMMYFUNCTION("""COMPUTED_VALUE"""),"Oscar Bonilla")</f>
        <v>Oscar Bonilla</v>
      </c>
      <c r="C73" s="46">
        <f>IFERROR(__xludf.DUMMYFUNCTION("""COMPUTED_VALUE"""),18.0)</f>
        <v>18</v>
      </c>
      <c r="D73" s="46">
        <f>IFERROR(__xludf.DUMMYFUNCTION("""COMPUTED_VALUE"""),3.0)</f>
        <v>3</v>
      </c>
      <c r="E73" s="1"/>
    </row>
    <row r="74">
      <c r="A74" s="1"/>
      <c r="B74" s="36" t="str">
        <f>IFERROR(__xludf.DUMMYFUNCTION("""COMPUTED_VALUE"""),"Rajasekar Ramasamy")</f>
        <v>Rajasekar Ramasamy</v>
      </c>
      <c r="C74" s="46">
        <f>IFERROR(__xludf.DUMMYFUNCTION("""COMPUTED_VALUE"""),18.0)</f>
        <v>18</v>
      </c>
      <c r="D74" s="46">
        <f>IFERROR(__xludf.DUMMYFUNCTION("""COMPUTED_VALUE"""),2.0)</f>
        <v>2</v>
      </c>
      <c r="E74" s="1"/>
      <c r="J74" s="14" t="s">
        <v>122</v>
      </c>
      <c r="K74" s="13">
        <f>K66+K67+K69</f>
        <v>24</v>
      </c>
    </row>
    <row r="75">
      <c r="A75" s="1"/>
      <c r="B75" s="13"/>
      <c r="C75" s="77"/>
      <c r="D75" s="77"/>
      <c r="E75" s="1"/>
      <c r="J75" s="14" t="s">
        <v>39</v>
      </c>
      <c r="K75" s="13">
        <f>K68</f>
        <v>32</v>
      </c>
    </row>
    <row r="76">
      <c r="A76" s="1"/>
      <c r="B76" s="13"/>
      <c r="C76" s="77"/>
      <c r="D76" s="77"/>
      <c r="E76" s="1"/>
      <c r="J76" s="14" t="s">
        <v>40</v>
      </c>
      <c r="K76" s="13">
        <f>K65</f>
        <v>0</v>
      </c>
    </row>
    <row r="77">
      <c r="A77" s="1"/>
      <c r="B77" s="13"/>
      <c r="C77" s="77"/>
      <c r="D77" s="77"/>
      <c r="E77" s="1"/>
      <c r="J77" s="14" t="s">
        <v>41</v>
      </c>
      <c r="K77" s="13">
        <f>SUM(K74:K76)</f>
        <v>56</v>
      </c>
    </row>
    <row r="78">
      <c r="A78" s="1"/>
      <c r="B78" s="13"/>
      <c r="C78" s="77"/>
      <c r="D78" s="77"/>
      <c r="E78" s="1"/>
    </row>
    <row r="79">
      <c r="A79" s="1"/>
      <c r="B79" s="13"/>
      <c r="C79" s="77"/>
      <c r="D79" s="77"/>
      <c r="E79" s="1"/>
    </row>
    <row r="80">
      <c r="A80" s="1"/>
      <c r="B80" s="13"/>
      <c r="C80" s="77"/>
      <c r="D80" s="77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E1"/>
    <mergeCell ref="G1:I1"/>
    <mergeCell ref="J1:K1"/>
    <mergeCell ref="B2:C2"/>
    <mergeCell ref="L3:M3"/>
  </mergeCells>
  <conditionalFormatting sqref="J5:J61">
    <cfRule type="expression" dxfId="0" priority="1">
      <formula> J5&gt;=18</formula>
    </cfRule>
  </conditionalFormatting>
  <conditionalFormatting sqref="J10 L10">
    <cfRule type="expression" dxfId="1" priority="2">
      <formula>iseven</formula>
    </cfRule>
  </conditionalFormatting>
  <conditionalFormatting sqref="B5:B61 B70:D74">
    <cfRule type="expression" dxfId="0" priority="3">
      <formula>E5=1</formula>
    </cfRule>
  </conditionalFormatting>
  <conditionalFormatting sqref="B5:B61 B70:D74">
    <cfRule type="expression" dxfId="2" priority="4">
      <formula>E5=2</formula>
    </cfRule>
  </conditionalFormatting>
  <conditionalFormatting sqref="B5:B61 B70:D74">
    <cfRule type="expression" dxfId="3" priority="5">
      <formula>E5=3</formula>
    </cfRule>
  </conditionalFormatting>
  <conditionalFormatting sqref="B5:B61 B70:D74">
    <cfRule type="expression" dxfId="4" priority="6">
      <formula>E5=4</formula>
    </cfRule>
  </conditionalFormatting>
  <conditionalFormatting sqref="K71">
    <cfRule type="containsText" dxfId="0" priority="7" operator="containsText" text="Good">
      <formula>NOT(ISERROR(SEARCH(("Good"),(K71))))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13"/>
    <col customWidth="1" min="17" max="17" width="8.0"/>
    <col customWidth="1" min="18" max="18" width="8.75"/>
  </cols>
  <sheetData>
    <row r="1">
      <c r="A1" s="1"/>
      <c r="B1" s="2" t="s">
        <v>1</v>
      </c>
      <c r="C1" s="3">
        <v>45143.0</v>
      </c>
      <c r="F1" s="5"/>
      <c r="G1" s="5"/>
      <c r="J1" s="5"/>
      <c r="L1" s="5"/>
    </row>
    <row r="2">
      <c r="A2" s="1"/>
      <c r="B2" s="8" t="s">
        <v>6</v>
      </c>
      <c r="D2" s="9">
        <v>6.0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33</v>
      </c>
    </row>
    <row r="5">
      <c r="A5" s="25">
        <v>1.0</v>
      </c>
      <c r="B5" s="26" t="s">
        <v>72</v>
      </c>
      <c r="C5" s="33">
        <v>76.0</v>
      </c>
      <c r="D5" s="33">
        <v>10.0</v>
      </c>
      <c r="E5" s="30">
        <v>2.0</v>
      </c>
      <c r="F5" s="27">
        <v>0.0</v>
      </c>
      <c r="G5" s="31">
        <v>2.0</v>
      </c>
      <c r="H5" s="31">
        <v>7.0</v>
      </c>
      <c r="I5" s="31">
        <v>6.0</v>
      </c>
      <c r="J5" s="32">
        <v>15.0</v>
      </c>
      <c r="K5" s="31">
        <v>2.0</v>
      </c>
      <c r="L5" s="27">
        <f t="shared" ref="L5:M5" si="1">C5+J5</f>
        <v>91</v>
      </c>
      <c r="M5" s="28">
        <f t="shared" si="1"/>
        <v>12</v>
      </c>
      <c r="N5" s="33" t="s">
        <v>37</v>
      </c>
      <c r="O5" s="33" t="s">
        <v>37</v>
      </c>
      <c r="P5" s="31">
        <f>if(F5=13,1,0)+VLOOKUP(B5,'72923'!B$5:P$61,15,false)</f>
        <v>0</v>
      </c>
      <c r="Q5" s="31"/>
      <c r="R5" s="31">
        <f>if(F5=9,1,0)+VLOOKUP(B5,'72923'!B:R,17,false)</f>
        <v>1</v>
      </c>
    </row>
    <row r="6">
      <c r="A6" s="25">
        <f t="shared" ref="A6:A61" si="3">A5+1</f>
        <v>2</v>
      </c>
      <c r="B6" s="36" t="s">
        <v>67</v>
      </c>
      <c r="C6" s="33">
        <v>76.0</v>
      </c>
      <c r="D6" s="33">
        <v>9.0</v>
      </c>
      <c r="E6" s="30">
        <v>1.0</v>
      </c>
      <c r="F6" s="27">
        <v>0.0</v>
      </c>
      <c r="G6" s="31">
        <v>6.0</v>
      </c>
      <c r="H6" s="31">
        <v>5.0</v>
      </c>
      <c r="I6" s="31">
        <v>6.0</v>
      </c>
      <c r="J6" s="32">
        <v>17.0</v>
      </c>
      <c r="K6" s="31">
        <v>2.0</v>
      </c>
      <c r="L6" s="27">
        <f t="shared" ref="L6:M6" si="2">C6+J6</f>
        <v>93</v>
      </c>
      <c r="M6" s="28">
        <f t="shared" si="2"/>
        <v>11</v>
      </c>
      <c r="N6" s="33" t="s">
        <v>37</v>
      </c>
      <c r="O6" s="33" t="s">
        <v>37</v>
      </c>
      <c r="P6" s="31">
        <f>if(F6=13,1,0)+VLOOKUP(B6,'72923'!B$5:P$61,15,false)</f>
        <v>0</v>
      </c>
      <c r="Q6" s="31"/>
      <c r="R6" s="31">
        <f>if(F6=9,1,0)+VLOOKUP(B6,'72923'!B:R,17,false)</f>
        <v>0</v>
      </c>
    </row>
    <row r="7">
      <c r="A7" s="25">
        <f t="shared" si="3"/>
        <v>3</v>
      </c>
      <c r="B7" s="26" t="s">
        <v>80</v>
      </c>
      <c r="C7" s="33">
        <v>71.0</v>
      </c>
      <c r="D7" s="33">
        <v>8.0</v>
      </c>
      <c r="E7" s="30">
        <v>1.0</v>
      </c>
      <c r="F7" s="27">
        <v>0.0</v>
      </c>
      <c r="G7" s="31">
        <v>6.0</v>
      </c>
      <c r="H7" s="31">
        <v>7.0</v>
      </c>
      <c r="I7" s="31">
        <v>3.0</v>
      </c>
      <c r="J7" s="32">
        <v>16.0</v>
      </c>
      <c r="K7" s="31">
        <v>2.0</v>
      </c>
      <c r="L7" s="27">
        <f t="shared" ref="L7:M7" si="4">C7+J7</f>
        <v>87</v>
      </c>
      <c r="M7" s="28">
        <f t="shared" si="4"/>
        <v>10</v>
      </c>
      <c r="N7" s="33" t="s">
        <v>37</v>
      </c>
      <c r="O7" s="33" t="s">
        <v>37</v>
      </c>
      <c r="P7" s="31">
        <f>if(F7=13,1,0)+VLOOKUP(B7,'72923'!B$5:P$61,15,false)</f>
        <v>0</v>
      </c>
      <c r="Q7" s="31"/>
      <c r="R7" s="31">
        <f>if(F7=9,1,0)+VLOOKUP(B7,'72923'!B:R,17,false)</f>
        <v>2</v>
      </c>
    </row>
    <row r="8">
      <c r="A8" s="25">
        <f t="shared" si="3"/>
        <v>4</v>
      </c>
      <c r="B8" s="26" t="s">
        <v>49</v>
      </c>
      <c r="C8" s="33">
        <v>71.0</v>
      </c>
      <c r="D8" s="33">
        <v>7.0</v>
      </c>
      <c r="E8" s="30">
        <v>1.0</v>
      </c>
      <c r="F8" s="27">
        <v>0.0</v>
      </c>
      <c r="G8" s="31">
        <v>2.0</v>
      </c>
      <c r="H8" s="31">
        <v>5.0</v>
      </c>
      <c r="I8" s="31">
        <v>3.0</v>
      </c>
      <c r="J8" s="32">
        <v>10.0</v>
      </c>
      <c r="K8" s="31">
        <v>0.0</v>
      </c>
      <c r="L8" s="27">
        <f t="shared" ref="L8:M8" si="5">C8+J8</f>
        <v>81</v>
      </c>
      <c r="M8" s="28">
        <f t="shared" si="5"/>
        <v>7</v>
      </c>
      <c r="N8" s="33" t="s">
        <v>37</v>
      </c>
      <c r="O8" s="33" t="s">
        <v>37</v>
      </c>
      <c r="P8" s="31">
        <f>if(F8=13,1,0)+VLOOKUP(B8,'72923'!B$5:P$61,15,false)</f>
        <v>0</v>
      </c>
      <c r="Q8" s="31">
        <v>1.0</v>
      </c>
      <c r="R8" s="31">
        <f>if(F8=9,1,0)+VLOOKUP(B8,'72923'!B:R,17,false)</f>
        <v>0</v>
      </c>
    </row>
    <row r="9">
      <c r="A9" s="25">
        <f t="shared" si="3"/>
        <v>5</v>
      </c>
      <c r="B9" s="26" t="s">
        <v>54</v>
      </c>
      <c r="C9" s="33">
        <v>69.0</v>
      </c>
      <c r="D9" s="33">
        <v>8.0</v>
      </c>
      <c r="E9" s="30">
        <v>1.0</v>
      </c>
      <c r="F9" s="27">
        <v>0.0</v>
      </c>
      <c r="G9" s="31">
        <v>6.0</v>
      </c>
      <c r="H9" s="31">
        <v>7.0</v>
      </c>
      <c r="I9" s="31">
        <v>3.0</v>
      </c>
      <c r="J9" s="32">
        <v>16.0</v>
      </c>
      <c r="K9" s="31">
        <v>2.0</v>
      </c>
      <c r="L9" s="27">
        <f t="shared" ref="L9:M9" si="6">C9+J9</f>
        <v>85</v>
      </c>
      <c r="M9" s="28">
        <f t="shared" si="6"/>
        <v>10</v>
      </c>
      <c r="N9" s="33" t="s">
        <v>37</v>
      </c>
      <c r="O9" s="33" t="s">
        <v>37</v>
      </c>
      <c r="P9" s="31">
        <f>if(F9=13,1,0)+VLOOKUP(B9,'72923'!B$5:P$61,15,false)</f>
        <v>0</v>
      </c>
      <c r="Q9" s="31"/>
      <c r="R9" s="31">
        <f>if(F9=9,1,0)+VLOOKUP(B9,'72923'!B:R,17,false)</f>
        <v>1</v>
      </c>
    </row>
    <row r="10">
      <c r="A10" s="25">
        <f t="shared" si="3"/>
        <v>6</v>
      </c>
      <c r="B10" s="26" t="s">
        <v>52</v>
      </c>
      <c r="C10" s="33">
        <v>68.0</v>
      </c>
      <c r="D10" s="33">
        <v>9.0</v>
      </c>
      <c r="E10" s="30">
        <v>1.0</v>
      </c>
      <c r="F10" s="27">
        <v>0.0</v>
      </c>
      <c r="G10" s="31">
        <v>2.0</v>
      </c>
      <c r="H10" s="31">
        <v>5.0</v>
      </c>
      <c r="I10" s="31">
        <v>3.0</v>
      </c>
      <c r="J10" s="32">
        <v>10.0</v>
      </c>
      <c r="K10" s="31">
        <v>0.0</v>
      </c>
      <c r="L10" s="27">
        <f t="shared" ref="L10:M10" si="7">C10+J10</f>
        <v>78</v>
      </c>
      <c r="M10" s="28">
        <f t="shared" si="7"/>
        <v>9</v>
      </c>
      <c r="N10" s="33" t="s">
        <v>37</v>
      </c>
      <c r="O10" s="33" t="s">
        <v>37</v>
      </c>
      <c r="P10" s="31">
        <f>if(F10=13,1,0)+VLOOKUP(B10,'72923'!B$5:P$61,15,false)</f>
        <v>0</v>
      </c>
      <c r="Q10" s="31"/>
      <c r="R10" s="31">
        <f>if(F10=9,1,0)+VLOOKUP(B10,'72923'!B:R,17,false)</f>
        <v>0</v>
      </c>
    </row>
    <row r="11">
      <c r="A11" s="25">
        <f t="shared" si="3"/>
        <v>7</v>
      </c>
      <c r="B11" s="26" t="s">
        <v>60</v>
      </c>
      <c r="C11" s="33">
        <v>68.0</v>
      </c>
      <c r="D11" s="33">
        <v>8.0</v>
      </c>
      <c r="E11" s="30">
        <v>3.0</v>
      </c>
      <c r="F11" s="27">
        <v>9.0</v>
      </c>
      <c r="G11" s="31">
        <v>0.0</v>
      </c>
      <c r="H11" s="31">
        <v>0.0</v>
      </c>
      <c r="I11" s="31">
        <v>0.0</v>
      </c>
      <c r="J11" s="32">
        <v>9.0</v>
      </c>
      <c r="K11" s="31">
        <v>0.0</v>
      </c>
      <c r="L11" s="27">
        <f t="shared" ref="L11:M11" si="8">C11+J11</f>
        <v>77</v>
      </c>
      <c r="M11" s="28">
        <f t="shared" si="8"/>
        <v>8</v>
      </c>
      <c r="N11" s="33" t="s">
        <v>37</v>
      </c>
      <c r="O11" s="33" t="s">
        <v>37</v>
      </c>
      <c r="P11" s="31">
        <f>if(F11=13,1,0)+VLOOKUP(B11,'72923'!B$5:P$61,15,false)</f>
        <v>0</v>
      </c>
      <c r="Q11" s="31"/>
      <c r="R11" s="31">
        <f>if(F11=9,1,0)+VLOOKUP(B11,'72923'!B:R,17,false)</f>
        <v>1</v>
      </c>
    </row>
    <row r="12">
      <c r="A12" s="25">
        <f t="shared" si="3"/>
        <v>8</v>
      </c>
      <c r="B12" s="26" t="s">
        <v>68</v>
      </c>
      <c r="C12" s="33">
        <v>68.0</v>
      </c>
      <c r="D12" s="33">
        <v>5.0</v>
      </c>
      <c r="E12" s="30">
        <v>3.0</v>
      </c>
      <c r="F12" s="27">
        <v>9.0</v>
      </c>
      <c r="G12" s="31">
        <v>0.0</v>
      </c>
      <c r="H12" s="31">
        <v>0.0</v>
      </c>
      <c r="I12" s="31">
        <v>0.0</v>
      </c>
      <c r="J12" s="32">
        <v>9.0</v>
      </c>
      <c r="K12" s="31">
        <v>0.0</v>
      </c>
      <c r="L12" s="27">
        <f t="shared" ref="L12:M12" si="9">C12+J12</f>
        <v>77</v>
      </c>
      <c r="M12" s="28">
        <f t="shared" si="9"/>
        <v>5</v>
      </c>
      <c r="N12" s="33" t="s">
        <v>37</v>
      </c>
      <c r="O12" s="33" t="s">
        <v>37</v>
      </c>
      <c r="P12" s="31">
        <f>if(F12=13,1,0)+VLOOKUP(B12,'72923'!B$5:P$61,15,false)</f>
        <v>1</v>
      </c>
      <c r="Q12" s="31"/>
      <c r="R12" s="31">
        <f>if(F12=9,1,0)+VLOOKUP(B12,'72923'!B:R,17,false)</f>
        <v>3</v>
      </c>
    </row>
    <row r="13">
      <c r="A13" s="25">
        <f t="shared" si="3"/>
        <v>9</v>
      </c>
      <c r="B13" s="36" t="s">
        <v>77</v>
      </c>
      <c r="C13" s="33">
        <v>66.0</v>
      </c>
      <c r="D13" s="33">
        <v>7.0</v>
      </c>
      <c r="E13" s="30">
        <v>3.0</v>
      </c>
      <c r="F13" s="27">
        <v>9.0</v>
      </c>
      <c r="G13" s="31">
        <v>0.0</v>
      </c>
      <c r="H13" s="31">
        <v>0.0</v>
      </c>
      <c r="I13" s="31">
        <v>0.0</v>
      </c>
      <c r="J13" s="32">
        <v>9.0</v>
      </c>
      <c r="K13" s="31">
        <v>0.0</v>
      </c>
      <c r="L13" s="27">
        <f t="shared" ref="L13:M13" si="10">C13+J13</f>
        <v>75</v>
      </c>
      <c r="M13" s="28">
        <f t="shared" si="10"/>
        <v>7</v>
      </c>
      <c r="N13" s="33" t="s">
        <v>37</v>
      </c>
      <c r="O13" s="33" t="s">
        <v>37</v>
      </c>
      <c r="P13" s="31">
        <f>if(F13=13,1,0)+VLOOKUP(B13,'72923'!B$5:P$61,15,false)</f>
        <v>0</v>
      </c>
      <c r="Q13" s="31"/>
      <c r="R13" s="31">
        <f>if(F13=9,1,0)+VLOOKUP(B13,'72923'!B:R,17,false)</f>
        <v>3</v>
      </c>
    </row>
    <row r="14">
      <c r="A14" s="25">
        <f t="shared" si="3"/>
        <v>10</v>
      </c>
      <c r="B14" s="26" t="s">
        <v>70</v>
      </c>
      <c r="C14" s="33">
        <v>64.0</v>
      </c>
      <c r="D14" s="33">
        <v>7.0</v>
      </c>
      <c r="E14" s="30">
        <v>3.0</v>
      </c>
      <c r="F14" s="27">
        <v>9.0</v>
      </c>
      <c r="G14" s="31">
        <v>0.0</v>
      </c>
      <c r="H14" s="31">
        <v>0.0</v>
      </c>
      <c r="I14" s="31">
        <v>0.0</v>
      </c>
      <c r="J14" s="32">
        <v>9.0</v>
      </c>
      <c r="K14" s="31">
        <v>0.0</v>
      </c>
      <c r="L14" s="27">
        <f t="shared" ref="L14:M14" si="11">C14+J14</f>
        <v>73</v>
      </c>
      <c r="M14" s="28">
        <f t="shared" si="11"/>
        <v>7</v>
      </c>
      <c r="N14" s="33" t="s">
        <v>37</v>
      </c>
      <c r="O14" s="33" t="s">
        <v>37</v>
      </c>
      <c r="P14" s="31">
        <f>if(F14=13,1,0)+VLOOKUP(B14,'72923'!B$5:P$61,15,false)</f>
        <v>0</v>
      </c>
      <c r="Q14" s="31"/>
      <c r="R14" s="31">
        <f>if(F14=9,1,0)+VLOOKUP(B14,'72923'!B:R,17,false)</f>
        <v>2</v>
      </c>
    </row>
    <row r="15">
      <c r="A15" s="25">
        <f t="shared" si="3"/>
        <v>11</v>
      </c>
      <c r="B15" s="26" t="s">
        <v>34</v>
      </c>
      <c r="C15" s="33">
        <v>62.0</v>
      </c>
      <c r="D15" s="33">
        <v>5.0</v>
      </c>
      <c r="E15" s="30">
        <v>1.0</v>
      </c>
      <c r="F15" s="27">
        <v>0.0</v>
      </c>
      <c r="G15" s="31">
        <v>2.0</v>
      </c>
      <c r="H15" s="31">
        <v>7.0</v>
      </c>
      <c r="I15" s="31">
        <v>6.0</v>
      </c>
      <c r="J15" s="32">
        <v>15.0</v>
      </c>
      <c r="K15" s="31">
        <v>2.0</v>
      </c>
      <c r="L15" s="27">
        <f t="shared" ref="L15:M15" si="12">C15+J15</f>
        <v>77</v>
      </c>
      <c r="M15" s="28">
        <f t="shared" si="12"/>
        <v>7</v>
      </c>
      <c r="N15" s="33" t="s">
        <v>37</v>
      </c>
      <c r="O15" s="33" t="s">
        <v>37</v>
      </c>
      <c r="P15" s="31">
        <f>if(F15=13,1,0)+VLOOKUP(B15,'72923'!B$5:P$61,15,false)</f>
        <v>0</v>
      </c>
      <c r="Q15" s="31"/>
      <c r="R15" s="31">
        <f>if(F15=9,1,0)+VLOOKUP(B15,'72923'!B:R,17,false)</f>
        <v>3</v>
      </c>
    </row>
    <row r="16">
      <c r="A16" s="25">
        <f t="shared" si="3"/>
        <v>12</v>
      </c>
      <c r="B16" s="26" t="s">
        <v>42</v>
      </c>
      <c r="C16" s="33">
        <v>62.0</v>
      </c>
      <c r="D16" s="33">
        <v>5.0</v>
      </c>
      <c r="E16" s="30">
        <v>1.0</v>
      </c>
      <c r="F16" s="27">
        <v>0.0</v>
      </c>
      <c r="G16" s="31">
        <v>6.0</v>
      </c>
      <c r="H16" s="31">
        <v>5.0</v>
      </c>
      <c r="I16" s="31">
        <v>6.0</v>
      </c>
      <c r="J16" s="32">
        <v>17.0</v>
      </c>
      <c r="K16" s="31">
        <v>2.0</v>
      </c>
      <c r="L16" s="27">
        <f t="shared" ref="L16:M16" si="13">C16+J16</f>
        <v>79</v>
      </c>
      <c r="M16" s="28">
        <f t="shared" si="13"/>
        <v>7</v>
      </c>
      <c r="N16" s="33" t="s">
        <v>37</v>
      </c>
      <c r="O16" s="33" t="s">
        <v>37</v>
      </c>
      <c r="P16" s="31">
        <f>if(F16=13,1,0)+VLOOKUP(B16,'72923'!B$5:P$61,15,false)</f>
        <v>0</v>
      </c>
      <c r="Q16" s="31"/>
      <c r="R16" s="31">
        <f>if(F16=9,1,0)+VLOOKUP(B16,'72923'!B:R,17,false)</f>
        <v>2</v>
      </c>
    </row>
    <row r="17">
      <c r="A17" s="25">
        <f t="shared" si="3"/>
        <v>13</v>
      </c>
      <c r="B17" s="26" t="s">
        <v>58</v>
      </c>
      <c r="C17" s="33">
        <v>62.0</v>
      </c>
      <c r="D17" s="33">
        <v>4.0</v>
      </c>
      <c r="E17" s="30">
        <v>2.0</v>
      </c>
      <c r="F17" s="27">
        <v>0.0</v>
      </c>
      <c r="G17" s="31">
        <v>6.0</v>
      </c>
      <c r="H17" s="31">
        <v>4.0</v>
      </c>
      <c r="I17" s="31">
        <v>0.0</v>
      </c>
      <c r="J17" s="32">
        <v>10.0</v>
      </c>
      <c r="K17" s="31">
        <v>1.0</v>
      </c>
      <c r="L17" s="27">
        <f t="shared" ref="L17:M17" si="14">C17+J17</f>
        <v>72</v>
      </c>
      <c r="M17" s="28">
        <f t="shared" si="14"/>
        <v>5</v>
      </c>
      <c r="N17" s="33" t="s">
        <v>37</v>
      </c>
      <c r="O17" s="33" t="s">
        <v>37</v>
      </c>
      <c r="P17" s="31">
        <f>if(F17=13,1,0)+VLOOKUP(B17,'72923'!B$5:P$61,15,false)</f>
        <v>0</v>
      </c>
      <c r="Q17" s="31"/>
      <c r="R17" s="31">
        <f>if(F17=9,1,0)+VLOOKUP(B17,'72923'!B:R,17,false)</f>
        <v>1</v>
      </c>
    </row>
    <row r="18">
      <c r="A18" s="25">
        <f t="shared" si="3"/>
        <v>14</v>
      </c>
      <c r="B18" s="26" t="s">
        <v>48</v>
      </c>
      <c r="C18" s="33">
        <v>61.0</v>
      </c>
      <c r="D18" s="33">
        <v>5.0</v>
      </c>
      <c r="E18" s="30">
        <v>2.0</v>
      </c>
      <c r="F18" s="27">
        <v>0.0</v>
      </c>
      <c r="G18" s="31">
        <v>6.0</v>
      </c>
      <c r="H18" s="31">
        <v>6.0</v>
      </c>
      <c r="I18" s="31">
        <v>6.0</v>
      </c>
      <c r="J18" s="32">
        <v>18.0</v>
      </c>
      <c r="K18" s="31">
        <v>3.0</v>
      </c>
      <c r="L18" s="27">
        <f t="shared" ref="L18:M18" si="15">C18+J18</f>
        <v>79</v>
      </c>
      <c r="M18" s="28">
        <f t="shared" si="15"/>
        <v>8</v>
      </c>
      <c r="N18" s="33" t="s">
        <v>37</v>
      </c>
      <c r="O18" s="33" t="s">
        <v>37</v>
      </c>
      <c r="P18" s="31">
        <f>if(F18=13,1,0)+VLOOKUP(B18,'72923'!B$5:P$61,15,false)</f>
        <v>0</v>
      </c>
      <c r="Q18" s="31"/>
      <c r="R18" s="31">
        <f>if(F18=9,1,0)+VLOOKUP(B18,'72923'!B:R,17,false)</f>
        <v>2</v>
      </c>
    </row>
    <row r="19">
      <c r="A19" s="25">
        <f t="shared" si="3"/>
        <v>15</v>
      </c>
      <c r="B19" s="36" t="s">
        <v>88</v>
      </c>
      <c r="C19" s="33">
        <v>61.0</v>
      </c>
      <c r="D19" s="33">
        <v>5.0</v>
      </c>
      <c r="E19" s="30">
        <v>1.0</v>
      </c>
      <c r="F19" s="27">
        <v>0.0</v>
      </c>
      <c r="G19" s="31">
        <v>1.0</v>
      </c>
      <c r="H19" s="31">
        <v>6.0</v>
      </c>
      <c r="I19" s="31">
        <v>0.0</v>
      </c>
      <c r="J19" s="32">
        <v>7.0</v>
      </c>
      <c r="K19" s="31">
        <v>1.0</v>
      </c>
      <c r="L19" s="27">
        <f t="shared" ref="L19:M19" si="16">C19+J19</f>
        <v>68</v>
      </c>
      <c r="M19" s="28">
        <f t="shared" si="16"/>
        <v>6</v>
      </c>
      <c r="N19" s="33" t="s">
        <v>37</v>
      </c>
      <c r="O19" s="33" t="s">
        <v>37</v>
      </c>
      <c r="P19" s="31">
        <f>if(F19=13,1,0)+VLOOKUP(B19,'72923'!B$5:P$61,15,false)</f>
        <v>0</v>
      </c>
      <c r="Q19" s="31"/>
      <c r="R19" s="31">
        <f>if(F19=9,1,0)+VLOOKUP(B19,'72923'!B:R,17,false)</f>
        <v>1</v>
      </c>
    </row>
    <row r="20">
      <c r="A20" s="25">
        <f t="shared" si="3"/>
        <v>16</v>
      </c>
      <c r="B20" s="26" t="s">
        <v>73</v>
      </c>
      <c r="C20" s="33">
        <v>61.0</v>
      </c>
      <c r="D20" s="33">
        <v>3.0</v>
      </c>
      <c r="E20" s="30">
        <v>3.0</v>
      </c>
      <c r="F20" s="27">
        <v>9.0</v>
      </c>
      <c r="G20" s="31">
        <v>0.0</v>
      </c>
      <c r="H20" s="31">
        <v>0.0</v>
      </c>
      <c r="I20" s="31">
        <v>0.0</v>
      </c>
      <c r="J20" s="32">
        <v>9.0</v>
      </c>
      <c r="K20" s="31">
        <v>0.0</v>
      </c>
      <c r="L20" s="27">
        <f t="shared" ref="L20:M20" si="17">C20+J20</f>
        <v>70</v>
      </c>
      <c r="M20" s="28">
        <f t="shared" si="17"/>
        <v>3</v>
      </c>
      <c r="N20" s="33" t="s">
        <v>37</v>
      </c>
      <c r="O20" s="33" t="s">
        <v>37</v>
      </c>
      <c r="P20" s="31">
        <f>if(F20=13,1,0)+VLOOKUP(B20,'72923'!B$5:P$61,15,false)</f>
        <v>0</v>
      </c>
      <c r="Q20" s="31"/>
      <c r="R20" s="31">
        <f>if(F20=9,1,0)+VLOOKUP(B20,'72923'!B:R,17,false)</f>
        <v>2</v>
      </c>
    </row>
    <row r="21">
      <c r="A21" s="25">
        <f t="shared" si="3"/>
        <v>17</v>
      </c>
      <c r="B21" s="26" t="s">
        <v>56</v>
      </c>
      <c r="C21" s="33">
        <v>60.0</v>
      </c>
      <c r="D21" s="33">
        <v>7.0</v>
      </c>
      <c r="E21" s="30">
        <v>1.0</v>
      </c>
      <c r="F21" s="27">
        <v>0.0</v>
      </c>
      <c r="G21" s="31">
        <v>1.0</v>
      </c>
      <c r="H21" s="31">
        <v>4.0</v>
      </c>
      <c r="I21" s="31">
        <v>6.0</v>
      </c>
      <c r="J21" s="32">
        <v>11.0</v>
      </c>
      <c r="K21" s="31">
        <v>1.0</v>
      </c>
      <c r="L21" s="27">
        <f t="shared" ref="L21:M21" si="18">C21+J21</f>
        <v>71</v>
      </c>
      <c r="M21" s="28">
        <f t="shared" si="18"/>
        <v>8</v>
      </c>
      <c r="N21" s="33" t="s">
        <v>37</v>
      </c>
      <c r="O21" s="33" t="s">
        <v>37</v>
      </c>
      <c r="P21" s="31">
        <f>if(F21=13,1,0)+VLOOKUP(B21,'72923'!B$5:P$61,15,false)</f>
        <v>0</v>
      </c>
      <c r="Q21" s="31"/>
      <c r="R21" s="31">
        <f>if(F21=9,1,0)+VLOOKUP(B21,'72923'!B:R,17,false)</f>
        <v>0</v>
      </c>
    </row>
    <row r="22">
      <c r="A22" s="25">
        <f t="shared" si="3"/>
        <v>18</v>
      </c>
      <c r="B22" s="26" t="s">
        <v>74</v>
      </c>
      <c r="C22" s="33">
        <v>60.0</v>
      </c>
      <c r="D22" s="33">
        <v>6.0</v>
      </c>
      <c r="E22" s="30">
        <v>3.0</v>
      </c>
      <c r="F22" s="27">
        <v>9.0</v>
      </c>
      <c r="G22" s="31">
        <v>0.0</v>
      </c>
      <c r="H22" s="31">
        <v>0.0</v>
      </c>
      <c r="I22" s="31">
        <v>0.0</v>
      </c>
      <c r="J22" s="32">
        <v>9.0</v>
      </c>
      <c r="K22" s="31">
        <v>0.0</v>
      </c>
      <c r="L22" s="27">
        <f t="shared" ref="L22:M22" si="19">C22+J22</f>
        <v>69</v>
      </c>
      <c r="M22" s="28">
        <f t="shared" si="19"/>
        <v>6</v>
      </c>
      <c r="N22" s="33" t="s">
        <v>37</v>
      </c>
      <c r="O22" s="33" t="s">
        <v>37</v>
      </c>
      <c r="P22" s="31">
        <f>if(F22=13,1,0)+VLOOKUP(B22,'72923'!B$5:P$61,15,false)</f>
        <v>0</v>
      </c>
      <c r="Q22" s="31"/>
      <c r="R22" s="31">
        <f>if(F22=9,1,0)+VLOOKUP(B22,'72923'!B:R,17,false)</f>
        <v>1</v>
      </c>
    </row>
    <row r="23">
      <c r="A23" s="25">
        <f t="shared" si="3"/>
        <v>19</v>
      </c>
      <c r="B23" s="36" t="s">
        <v>59</v>
      </c>
      <c r="C23" s="33">
        <v>60.0</v>
      </c>
      <c r="D23" s="33">
        <v>4.0</v>
      </c>
      <c r="E23" s="30">
        <v>1.0</v>
      </c>
      <c r="F23" s="27">
        <v>0.0</v>
      </c>
      <c r="G23" s="31">
        <v>4.0</v>
      </c>
      <c r="H23" s="31">
        <v>6.0</v>
      </c>
      <c r="I23" s="31">
        <v>7.0</v>
      </c>
      <c r="J23" s="32">
        <v>17.0</v>
      </c>
      <c r="K23" s="31">
        <v>2.0</v>
      </c>
      <c r="L23" s="27">
        <f t="shared" ref="L23:M23" si="20">C23+J23</f>
        <v>77</v>
      </c>
      <c r="M23" s="28">
        <f t="shared" si="20"/>
        <v>6</v>
      </c>
      <c r="N23" s="33" t="s">
        <v>37</v>
      </c>
      <c r="O23" s="33" t="s">
        <v>37</v>
      </c>
      <c r="P23" s="31">
        <f>if(F23=13,1,0)+VLOOKUP(B23,'72923'!B$5:P$61,15,false)</f>
        <v>0</v>
      </c>
      <c r="Q23" s="31"/>
      <c r="R23" s="31">
        <f>if(F23=9,1,0)+VLOOKUP(B23,'72923'!B:R,17,false)</f>
        <v>0</v>
      </c>
    </row>
    <row r="24">
      <c r="A24" s="25">
        <f t="shared" si="3"/>
        <v>20</v>
      </c>
      <c r="B24" s="36" t="s">
        <v>81</v>
      </c>
      <c r="C24" s="33">
        <v>60.0</v>
      </c>
      <c r="D24" s="33">
        <v>4.0</v>
      </c>
      <c r="E24" s="30">
        <v>1.0</v>
      </c>
      <c r="F24" s="27">
        <v>0.0</v>
      </c>
      <c r="G24" s="31">
        <v>4.0</v>
      </c>
      <c r="H24" s="31">
        <v>1.0</v>
      </c>
      <c r="I24" s="31">
        <v>6.0</v>
      </c>
      <c r="J24" s="32">
        <v>11.0</v>
      </c>
      <c r="K24" s="31">
        <v>0.0</v>
      </c>
      <c r="L24" s="27">
        <f t="shared" ref="L24:M24" si="21">C24+J24</f>
        <v>71</v>
      </c>
      <c r="M24" s="28">
        <f t="shared" si="21"/>
        <v>4</v>
      </c>
      <c r="N24" s="33" t="s">
        <v>37</v>
      </c>
      <c r="O24" s="33" t="s">
        <v>37</v>
      </c>
      <c r="P24" s="31">
        <f>if(F24=13,1,0)+VLOOKUP(B24,'72923'!B$5:P$61,15,false)</f>
        <v>0</v>
      </c>
      <c r="Q24" s="31"/>
      <c r="R24" s="31">
        <f>if(F24=9,1,0)+VLOOKUP(B24,'72923'!B:R,17,false)</f>
        <v>1</v>
      </c>
    </row>
    <row r="25">
      <c r="A25" s="25">
        <f t="shared" si="3"/>
        <v>21</v>
      </c>
      <c r="B25" s="26" t="s">
        <v>51</v>
      </c>
      <c r="C25" s="33">
        <v>60.0</v>
      </c>
      <c r="D25" s="33">
        <v>3.0</v>
      </c>
      <c r="E25" s="30">
        <v>3.0</v>
      </c>
      <c r="F25" s="27">
        <v>9.0</v>
      </c>
      <c r="G25" s="31">
        <v>0.0</v>
      </c>
      <c r="H25" s="31">
        <v>0.0</v>
      </c>
      <c r="I25" s="31">
        <v>0.0</v>
      </c>
      <c r="J25" s="32">
        <v>9.0</v>
      </c>
      <c r="K25" s="31">
        <v>0.0</v>
      </c>
      <c r="L25" s="27">
        <f t="shared" ref="L25:M25" si="22">C25+J25</f>
        <v>69</v>
      </c>
      <c r="M25" s="28">
        <f t="shared" si="22"/>
        <v>3</v>
      </c>
      <c r="N25" s="33" t="s">
        <v>37</v>
      </c>
      <c r="O25" s="33" t="s">
        <v>37</v>
      </c>
      <c r="P25" s="31">
        <f>if(F25=13,1,0)+VLOOKUP(B25,'72923'!B$5:P$61,15,false)</f>
        <v>0</v>
      </c>
      <c r="Q25" s="31"/>
      <c r="R25" s="31">
        <f>if(F25=9,1,0)+VLOOKUP(B25,'72923'!B:R,17,false)</f>
        <v>4</v>
      </c>
    </row>
    <row r="26">
      <c r="A26" s="25">
        <f t="shared" si="3"/>
        <v>22</v>
      </c>
      <c r="B26" s="26" t="s">
        <v>47</v>
      </c>
      <c r="C26" s="33">
        <v>59.0</v>
      </c>
      <c r="D26" s="33">
        <v>3.0</v>
      </c>
      <c r="E26" s="30">
        <v>3.0</v>
      </c>
      <c r="F26" s="27">
        <v>9.0</v>
      </c>
      <c r="G26" s="31">
        <v>0.0</v>
      </c>
      <c r="H26" s="31">
        <v>0.0</v>
      </c>
      <c r="I26" s="31">
        <v>0.0</v>
      </c>
      <c r="J26" s="32">
        <v>9.0</v>
      </c>
      <c r="K26" s="31">
        <v>0.0</v>
      </c>
      <c r="L26" s="27">
        <f t="shared" ref="L26:M26" si="23">C26+J26</f>
        <v>68</v>
      </c>
      <c r="M26" s="28">
        <f t="shared" si="23"/>
        <v>3</v>
      </c>
      <c r="N26" s="33" t="s">
        <v>37</v>
      </c>
      <c r="O26" s="33" t="s">
        <v>37</v>
      </c>
      <c r="P26" s="31">
        <f>if(F26=13,1,0)+VLOOKUP(B26,'72923'!B$5:P$61,15,false)</f>
        <v>0</v>
      </c>
      <c r="Q26" s="31"/>
      <c r="R26" s="31">
        <f>if(F26=9,1,0)+VLOOKUP(B26,'72923'!B:R,17,false)</f>
        <v>4</v>
      </c>
    </row>
    <row r="27">
      <c r="A27" s="25">
        <f t="shared" si="3"/>
        <v>23</v>
      </c>
      <c r="B27" s="26" t="s">
        <v>61</v>
      </c>
      <c r="C27" s="33">
        <v>58.0</v>
      </c>
      <c r="D27" s="33">
        <v>5.0</v>
      </c>
      <c r="E27" s="30">
        <v>2.0</v>
      </c>
      <c r="F27" s="27">
        <v>0.0</v>
      </c>
      <c r="G27" s="31">
        <v>6.0</v>
      </c>
      <c r="H27" s="31">
        <v>1.0</v>
      </c>
      <c r="I27" s="31">
        <v>7.0</v>
      </c>
      <c r="J27" s="32">
        <v>14.0</v>
      </c>
      <c r="K27" s="31">
        <v>2.0</v>
      </c>
      <c r="L27" s="27">
        <f t="shared" ref="L27:M27" si="24">C27+J27</f>
        <v>72</v>
      </c>
      <c r="M27" s="28">
        <f t="shared" si="24"/>
        <v>7</v>
      </c>
      <c r="N27" s="33" t="s">
        <v>37</v>
      </c>
      <c r="O27" s="33" t="s">
        <v>37</v>
      </c>
      <c r="P27" s="31">
        <f>if(F27=13,1,0)+VLOOKUP(B27,'72923'!B$5:P$61,15,false)</f>
        <v>0</v>
      </c>
      <c r="Q27" s="31"/>
      <c r="R27" s="31">
        <f>if(F27=9,1,0)+VLOOKUP(B27,'72923'!B:R,17,false)</f>
        <v>1</v>
      </c>
    </row>
    <row r="28">
      <c r="A28" s="25">
        <f t="shared" si="3"/>
        <v>24</v>
      </c>
      <c r="B28" s="26" t="s">
        <v>57</v>
      </c>
      <c r="C28" s="33">
        <v>57.0</v>
      </c>
      <c r="D28" s="33">
        <v>6.0</v>
      </c>
      <c r="E28" s="30">
        <v>3.0</v>
      </c>
      <c r="F28" s="27">
        <v>9.0</v>
      </c>
      <c r="G28" s="31">
        <v>0.0</v>
      </c>
      <c r="H28" s="31">
        <v>0.0</v>
      </c>
      <c r="I28" s="31">
        <v>0.0</v>
      </c>
      <c r="J28" s="32">
        <v>9.0</v>
      </c>
      <c r="K28" s="31">
        <v>0.0</v>
      </c>
      <c r="L28" s="27">
        <f t="shared" ref="L28:M28" si="25">C28+J28</f>
        <v>66</v>
      </c>
      <c r="M28" s="28">
        <f t="shared" si="25"/>
        <v>6</v>
      </c>
      <c r="N28" s="33" t="s">
        <v>37</v>
      </c>
      <c r="O28" s="33" t="s">
        <v>37</v>
      </c>
      <c r="P28" s="31">
        <f>if(F28=13,1,0)+VLOOKUP(B28,'72923'!B$5:P$61,15,false)</f>
        <v>0</v>
      </c>
      <c r="Q28" s="31"/>
      <c r="R28" s="31">
        <f>if(F28=9,1,0)+VLOOKUP(B28,'72923'!B:R,17,false)</f>
        <v>2</v>
      </c>
    </row>
    <row r="29">
      <c r="A29" s="25">
        <f t="shared" si="3"/>
        <v>25</v>
      </c>
      <c r="B29" s="26" t="s">
        <v>75</v>
      </c>
      <c r="C29" s="33">
        <v>57.0</v>
      </c>
      <c r="D29" s="33">
        <v>4.0</v>
      </c>
      <c r="E29" s="30">
        <v>1.0</v>
      </c>
      <c r="F29" s="27">
        <v>0.0</v>
      </c>
      <c r="G29" s="31">
        <v>6.0</v>
      </c>
      <c r="H29" s="31">
        <v>6.0</v>
      </c>
      <c r="I29" s="31">
        <v>6.0</v>
      </c>
      <c r="J29" s="32">
        <v>18.0</v>
      </c>
      <c r="K29" s="31">
        <v>2.0</v>
      </c>
      <c r="L29" s="27">
        <f t="shared" ref="L29:M29" si="26">C29+J29</f>
        <v>75</v>
      </c>
      <c r="M29" s="28">
        <f t="shared" si="26"/>
        <v>6</v>
      </c>
      <c r="N29" s="33" t="s">
        <v>37</v>
      </c>
      <c r="O29" s="33" t="s">
        <v>37</v>
      </c>
      <c r="P29" s="31">
        <f>if(F29=13,1,0)+VLOOKUP(B29,'72923'!B$5:P$61,15,false)</f>
        <v>0</v>
      </c>
      <c r="Q29" s="31"/>
      <c r="R29" s="31">
        <f>if(F29=9,1,0)+VLOOKUP(B29,'72923'!B:R,17,false)</f>
        <v>2</v>
      </c>
    </row>
    <row r="30">
      <c r="A30" s="25">
        <f t="shared" si="3"/>
        <v>26</v>
      </c>
      <c r="B30" s="36" t="s">
        <v>93</v>
      </c>
      <c r="C30" s="33">
        <v>55.0</v>
      </c>
      <c r="D30" s="33">
        <v>3.0</v>
      </c>
      <c r="E30" s="30">
        <v>3.0</v>
      </c>
      <c r="F30" s="27">
        <v>9.0</v>
      </c>
      <c r="G30" s="31">
        <v>0.0</v>
      </c>
      <c r="H30" s="31">
        <v>0.0</v>
      </c>
      <c r="I30" s="31">
        <v>0.0</v>
      </c>
      <c r="J30" s="32">
        <v>9.0</v>
      </c>
      <c r="K30" s="31">
        <v>0.0</v>
      </c>
      <c r="L30" s="27">
        <f t="shared" ref="L30:M30" si="27">C30+J30</f>
        <v>64</v>
      </c>
      <c r="M30" s="28">
        <f t="shared" si="27"/>
        <v>3</v>
      </c>
      <c r="N30" s="33" t="s">
        <v>37</v>
      </c>
      <c r="O30" s="33" t="s">
        <v>37</v>
      </c>
      <c r="P30" s="31">
        <f>if(F30=13,1,0)+VLOOKUP(B30,'72923'!B$5:P$61,15,false)</f>
        <v>0</v>
      </c>
      <c r="Q30" s="31"/>
      <c r="R30" s="31">
        <f>if(F30=9,1,0)+VLOOKUP(B30,'72923'!B:R,17,false)</f>
        <v>5</v>
      </c>
    </row>
    <row r="31">
      <c r="A31" s="25">
        <f t="shared" si="3"/>
        <v>27</v>
      </c>
      <c r="B31" s="26" t="s">
        <v>79</v>
      </c>
      <c r="C31" s="33">
        <v>54.0</v>
      </c>
      <c r="D31" s="33">
        <v>5.0</v>
      </c>
      <c r="E31" s="30">
        <v>2.0</v>
      </c>
      <c r="F31" s="27">
        <v>0.0</v>
      </c>
      <c r="G31" s="31">
        <v>4.0</v>
      </c>
      <c r="H31" s="31">
        <v>6.0</v>
      </c>
      <c r="I31" s="31">
        <v>6.0</v>
      </c>
      <c r="J31" s="32">
        <v>16.0</v>
      </c>
      <c r="K31" s="31">
        <v>2.0</v>
      </c>
      <c r="L31" s="27">
        <f t="shared" ref="L31:M31" si="28">C31+J31</f>
        <v>70</v>
      </c>
      <c r="M31" s="28">
        <f t="shared" si="28"/>
        <v>7</v>
      </c>
      <c r="N31" s="33" t="s">
        <v>37</v>
      </c>
      <c r="O31" s="33" t="s">
        <v>37</v>
      </c>
      <c r="P31" s="31">
        <f>if(F31=13,1,0)+VLOOKUP(B31,'72923'!B$5:P$61,15,false)</f>
        <v>0</v>
      </c>
      <c r="Q31" s="31">
        <v>1.0</v>
      </c>
      <c r="R31" s="31">
        <f>if(F31=9,1,0)+VLOOKUP(B31,'72923'!B:R,17,false)</f>
        <v>0</v>
      </c>
    </row>
    <row r="32">
      <c r="A32" s="25">
        <f t="shared" si="3"/>
        <v>28</v>
      </c>
      <c r="B32" s="26" t="s">
        <v>55</v>
      </c>
      <c r="C32" s="33">
        <v>54.0</v>
      </c>
      <c r="D32" s="33">
        <v>4.0</v>
      </c>
      <c r="E32" s="30">
        <v>3.0</v>
      </c>
      <c r="F32" s="27">
        <v>9.0</v>
      </c>
      <c r="G32" s="31">
        <v>0.0</v>
      </c>
      <c r="H32" s="31">
        <v>0.0</v>
      </c>
      <c r="I32" s="31">
        <v>0.0</v>
      </c>
      <c r="J32" s="32">
        <v>9.0</v>
      </c>
      <c r="K32" s="31">
        <v>0.0</v>
      </c>
      <c r="L32" s="27">
        <f t="shared" ref="L32:M32" si="29">C32+J32</f>
        <v>63</v>
      </c>
      <c r="M32" s="28">
        <f t="shared" si="29"/>
        <v>4</v>
      </c>
      <c r="N32" s="33" t="s">
        <v>37</v>
      </c>
      <c r="O32" s="33" t="s">
        <v>37</v>
      </c>
      <c r="P32" s="31">
        <f>if(F32=13,1,0)+VLOOKUP(B32,'72923'!B$5:P$61,15,false)</f>
        <v>0</v>
      </c>
      <c r="Q32" s="31"/>
      <c r="R32" s="31">
        <f>if(F32=9,1,0)+VLOOKUP(B32,'72923'!B:R,17,false)</f>
        <v>3</v>
      </c>
    </row>
    <row r="33">
      <c r="A33" s="25">
        <f t="shared" si="3"/>
        <v>29</v>
      </c>
      <c r="B33" s="26" t="s">
        <v>65</v>
      </c>
      <c r="C33" s="33">
        <v>54.0</v>
      </c>
      <c r="D33" s="33">
        <v>3.0</v>
      </c>
      <c r="E33" s="30">
        <v>1.0</v>
      </c>
      <c r="F33" s="27">
        <v>0.0</v>
      </c>
      <c r="G33" s="31">
        <v>6.0</v>
      </c>
      <c r="H33" s="31">
        <v>6.0</v>
      </c>
      <c r="I33" s="31">
        <v>4.0</v>
      </c>
      <c r="J33" s="32">
        <v>16.0</v>
      </c>
      <c r="K33" s="31">
        <v>2.0</v>
      </c>
      <c r="L33" s="27">
        <f t="shared" ref="L33:M33" si="30">C33+J33</f>
        <v>70</v>
      </c>
      <c r="M33" s="28">
        <f t="shared" si="30"/>
        <v>5</v>
      </c>
      <c r="N33" s="33" t="s">
        <v>37</v>
      </c>
      <c r="O33" s="33" t="s">
        <v>37</v>
      </c>
      <c r="P33" s="31">
        <f>if(F33=13,1,0)+VLOOKUP(B33,'72923'!B$5:P$61,15,false)</f>
        <v>0</v>
      </c>
      <c r="Q33" s="31"/>
      <c r="R33" s="31">
        <f>if(F33=9,1,0)+VLOOKUP(B33,'72923'!B:R,17,false)</f>
        <v>3</v>
      </c>
    </row>
    <row r="34">
      <c r="A34" s="25">
        <f t="shared" si="3"/>
        <v>30</v>
      </c>
      <c r="B34" s="36" t="s">
        <v>99</v>
      </c>
      <c r="C34" s="33">
        <v>54.0</v>
      </c>
      <c r="D34" s="33">
        <v>3.0</v>
      </c>
      <c r="E34" s="30">
        <v>3.0</v>
      </c>
      <c r="F34" s="27">
        <v>9.0</v>
      </c>
      <c r="G34" s="31">
        <v>0.0</v>
      </c>
      <c r="H34" s="31">
        <v>0.0</v>
      </c>
      <c r="I34" s="31">
        <v>0.0</v>
      </c>
      <c r="J34" s="32">
        <v>9.0</v>
      </c>
      <c r="K34" s="31">
        <v>0.0</v>
      </c>
      <c r="L34" s="27">
        <f t="shared" ref="L34:M34" si="31">C34+J34</f>
        <v>63</v>
      </c>
      <c r="M34" s="28">
        <f t="shared" si="31"/>
        <v>3</v>
      </c>
      <c r="N34" s="33" t="s">
        <v>37</v>
      </c>
      <c r="O34" s="33" t="s">
        <v>37</v>
      </c>
      <c r="P34" s="31">
        <f>if(F34=13,1,0)+VLOOKUP(B34,'72923'!B$5:P$61,15,false)</f>
        <v>0</v>
      </c>
      <c r="Q34" s="31"/>
      <c r="R34" s="31">
        <f>if(F34=9,1,0)+VLOOKUP(B34,'72923'!B:R,17,false)</f>
        <v>2</v>
      </c>
    </row>
    <row r="35">
      <c r="A35" s="25">
        <f t="shared" si="3"/>
        <v>31</v>
      </c>
      <c r="B35" s="36" t="s">
        <v>98</v>
      </c>
      <c r="C35" s="33">
        <v>54.0</v>
      </c>
      <c r="D35" s="33">
        <v>3.0</v>
      </c>
      <c r="E35" s="30">
        <v>3.0</v>
      </c>
      <c r="F35" s="27">
        <v>9.0</v>
      </c>
      <c r="G35" s="31">
        <v>0.0</v>
      </c>
      <c r="H35" s="31">
        <v>0.0</v>
      </c>
      <c r="I35" s="31">
        <v>0.0</v>
      </c>
      <c r="J35" s="32">
        <v>9.0</v>
      </c>
      <c r="K35" s="31">
        <v>0.0</v>
      </c>
      <c r="L35" s="27">
        <f t="shared" ref="L35:M35" si="32">C35+J35</f>
        <v>63</v>
      </c>
      <c r="M35" s="28">
        <f t="shared" si="32"/>
        <v>3</v>
      </c>
      <c r="N35" s="33" t="s">
        <v>37</v>
      </c>
      <c r="O35" s="33" t="s">
        <v>37</v>
      </c>
      <c r="P35" s="31">
        <f>if(F35=13,1,0)+VLOOKUP(B35,'72923'!B$5:P$61,15,false)</f>
        <v>0</v>
      </c>
      <c r="Q35" s="31"/>
      <c r="R35" s="31">
        <f>if(F35=9,1,0)+VLOOKUP(B35,'72923'!B:R,17,false)</f>
        <v>1</v>
      </c>
    </row>
    <row r="36">
      <c r="A36" s="25">
        <f t="shared" si="3"/>
        <v>32</v>
      </c>
      <c r="B36" s="26" t="s">
        <v>87</v>
      </c>
      <c r="C36" s="33">
        <v>54.0</v>
      </c>
      <c r="D36" s="33">
        <v>2.0</v>
      </c>
      <c r="E36" s="30">
        <v>1.0</v>
      </c>
      <c r="F36" s="27">
        <v>0.0</v>
      </c>
      <c r="G36" s="31">
        <v>4.0</v>
      </c>
      <c r="H36" s="31">
        <v>0.0</v>
      </c>
      <c r="I36" s="31">
        <v>4.0</v>
      </c>
      <c r="J36" s="32">
        <v>8.0</v>
      </c>
      <c r="K36" s="31">
        <v>0.0</v>
      </c>
      <c r="L36" s="27">
        <f t="shared" ref="L36:M36" si="33">C36+J36</f>
        <v>62</v>
      </c>
      <c r="M36" s="28">
        <f t="shared" si="33"/>
        <v>2</v>
      </c>
      <c r="N36" s="33" t="s">
        <v>37</v>
      </c>
      <c r="O36" s="33" t="s">
        <v>37</v>
      </c>
      <c r="P36" s="31">
        <f>if(F36=13,1,0)+VLOOKUP(B36,'72923'!B$5:P$61,15,false)</f>
        <v>1</v>
      </c>
      <c r="Q36" s="31"/>
      <c r="R36" s="31">
        <f>if(F36=9,1,0)+VLOOKUP(B36,'72923'!B:R,17,false)</f>
        <v>2</v>
      </c>
    </row>
    <row r="37">
      <c r="A37" s="25">
        <f t="shared" si="3"/>
        <v>33</v>
      </c>
      <c r="B37" s="26" t="s">
        <v>86</v>
      </c>
      <c r="C37" s="33">
        <v>53.0</v>
      </c>
      <c r="D37" s="33">
        <v>4.0</v>
      </c>
      <c r="E37" s="30">
        <v>3.0</v>
      </c>
      <c r="F37" s="27">
        <v>9.0</v>
      </c>
      <c r="G37" s="31">
        <v>0.0</v>
      </c>
      <c r="H37" s="31">
        <v>0.0</v>
      </c>
      <c r="I37" s="31">
        <v>0.0</v>
      </c>
      <c r="J37" s="32">
        <v>9.0</v>
      </c>
      <c r="K37" s="31">
        <v>0.0</v>
      </c>
      <c r="L37" s="27">
        <f t="shared" ref="L37:M37" si="34">C37+J37</f>
        <v>62</v>
      </c>
      <c r="M37" s="28">
        <f t="shared" si="34"/>
        <v>4</v>
      </c>
      <c r="N37" s="33" t="s">
        <v>37</v>
      </c>
      <c r="O37" s="33" t="s">
        <v>37</v>
      </c>
      <c r="P37" s="31">
        <f>if(F37=13,1,0)+VLOOKUP(B37,'72923'!B$5:P$61,15,false)</f>
        <v>0</v>
      </c>
      <c r="Q37" s="31"/>
      <c r="R37" s="31">
        <f>if(F37=9,1,0)+VLOOKUP(B37,'72923'!B:R,17,false)</f>
        <v>2</v>
      </c>
    </row>
    <row r="38">
      <c r="A38" s="25">
        <f t="shared" si="3"/>
        <v>34</v>
      </c>
      <c r="B38" s="36" t="s">
        <v>83</v>
      </c>
      <c r="C38" s="33">
        <v>53.0</v>
      </c>
      <c r="D38" s="33">
        <v>3.0</v>
      </c>
      <c r="E38" s="30">
        <v>1.0</v>
      </c>
      <c r="F38" s="27">
        <v>0.0</v>
      </c>
      <c r="G38" s="31">
        <v>6.0</v>
      </c>
      <c r="H38" s="31">
        <v>0.0</v>
      </c>
      <c r="I38" s="31">
        <v>6.0</v>
      </c>
      <c r="J38" s="32">
        <v>12.0</v>
      </c>
      <c r="K38" s="31">
        <v>2.0</v>
      </c>
      <c r="L38" s="27">
        <f t="shared" ref="L38:M38" si="35">C38+J38</f>
        <v>65</v>
      </c>
      <c r="M38" s="28">
        <f t="shared" si="35"/>
        <v>5</v>
      </c>
      <c r="N38" s="33" t="s">
        <v>37</v>
      </c>
      <c r="O38" s="33" t="s">
        <v>37</v>
      </c>
      <c r="P38" s="31">
        <f>if(F38=13,1,0)+VLOOKUP(B38,'72923'!B$5:P$61,15,false)</f>
        <v>0</v>
      </c>
      <c r="Q38" s="31"/>
      <c r="R38" s="31">
        <f>if(F38=9,1,0)+VLOOKUP(B38,'72923'!B:R,17,false)</f>
        <v>2</v>
      </c>
    </row>
    <row r="39">
      <c r="A39" s="25">
        <f t="shared" si="3"/>
        <v>35</v>
      </c>
      <c r="B39" s="36" t="s">
        <v>62</v>
      </c>
      <c r="C39" s="33">
        <v>53.0</v>
      </c>
      <c r="D39" s="33">
        <v>3.0</v>
      </c>
      <c r="E39" s="30">
        <v>2.0</v>
      </c>
      <c r="F39" s="27">
        <v>0.0</v>
      </c>
      <c r="G39" s="31">
        <v>2.0</v>
      </c>
      <c r="H39" s="31">
        <v>5.0</v>
      </c>
      <c r="I39" s="31">
        <v>6.0</v>
      </c>
      <c r="J39" s="32">
        <v>13.0</v>
      </c>
      <c r="K39" s="31">
        <v>1.0</v>
      </c>
      <c r="L39" s="27">
        <f t="shared" ref="L39:M39" si="36">C39+J39</f>
        <v>66</v>
      </c>
      <c r="M39" s="28">
        <f t="shared" si="36"/>
        <v>4</v>
      </c>
      <c r="N39" s="33" t="s">
        <v>37</v>
      </c>
      <c r="O39" s="33" t="s">
        <v>37</v>
      </c>
      <c r="P39" s="31">
        <f>if(F39=13,1,0)+VLOOKUP(B39,'72923'!B$5:P$61,15,false)</f>
        <v>0</v>
      </c>
      <c r="Q39" s="31"/>
      <c r="R39" s="31">
        <f>if(F39=9,1,0)+VLOOKUP(B39,'72923'!B:R,17,false)</f>
        <v>0</v>
      </c>
    </row>
    <row r="40">
      <c r="A40" s="25">
        <f t="shared" si="3"/>
        <v>36</v>
      </c>
      <c r="B40" s="36" t="s">
        <v>94</v>
      </c>
      <c r="C40" s="33">
        <v>53.0</v>
      </c>
      <c r="D40" s="33">
        <v>2.0</v>
      </c>
      <c r="E40" s="30">
        <v>3.0</v>
      </c>
      <c r="F40" s="27">
        <v>9.0</v>
      </c>
      <c r="G40" s="31">
        <v>0.0</v>
      </c>
      <c r="H40" s="31">
        <v>0.0</v>
      </c>
      <c r="I40" s="31">
        <v>0.0</v>
      </c>
      <c r="J40" s="32">
        <v>9.0</v>
      </c>
      <c r="K40" s="31">
        <v>0.0</v>
      </c>
      <c r="L40" s="27">
        <f t="shared" ref="L40:M40" si="37">C40+J40</f>
        <v>62</v>
      </c>
      <c r="M40" s="28">
        <f t="shared" si="37"/>
        <v>2</v>
      </c>
      <c r="N40" s="33" t="s">
        <v>37</v>
      </c>
      <c r="O40" s="33" t="s">
        <v>37</v>
      </c>
      <c r="P40" s="31">
        <f>if(F40=13,1,0)+VLOOKUP(B40,'72923'!B$5:P$61,15,false)</f>
        <v>0</v>
      </c>
      <c r="Q40" s="31"/>
      <c r="R40" s="31">
        <f>if(F40=9,1,0)+VLOOKUP(B40,'72923'!B:R,17,false)</f>
        <v>3</v>
      </c>
    </row>
    <row r="41">
      <c r="A41" s="25">
        <f t="shared" si="3"/>
        <v>37</v>
      </c>
      <c r="B41" s="26" t="s">
        <v>89</v>
      </c>
      <c r="C41" s="33">
        <v>51.0</v>
      </c>
      <c r="D41" s="33">
        <v>3.0</v>
      </c>
      <c r="E41" s="30">
        <v>1.0</v>
      </c>
      <c r="F41" s="27">
        <v>0.0</v>
      </c>
      <c r="G41" s="31">
        <v>2.0</v>
      </c>
      <c r="H41" s="31">
        <v>7.0</v>
      </c>
      <c r="I41" s="31">
        <v>1.0</v>
      </c>
      <c r="J41" s="32">
        <v>10.0</v>
      </c>
      <c r="K41" s="31">
        <v>1.0</v>
      </c>
      <c r="L41" s="27">
        <f t="shared" ref="L41:M41" si="38">C41+J41</f>
        <v>61</v>
      </c>
      <c r="M41" s="28">
        <f t="shared" si="38"/>
        <v>4</v>
      </c>
      <c r="N41" s="33" t="s">
        <v>37</v>
      </c>
      <c r="O41" s="33" t="s">
        <v>37</v>
      </c>
      <c r="P41" s="31">
        <f>if(F41=13,1,0)+VLOOKUP(B41,'72923'!B$5:P$61,15,false)</f>
        <v>1</v>
      </c>
      <c r="Q41" s="31"/>
      <c r="R41" s="31">
        <f>if(F41=9,1,0)+VLOOKUP(B41,'72923'!B:R,17,false)</f>
        <v>0</v>
      </c>
    </row>
    <row r="42">
      <c r="A42" s="25">
        <f t="shared" si="3"/>
        <v>38</v>
      </c>
      <c r="B42" s="26" t="s">
        <v>50</v>
      </c>
      <c r="C42" s="33">
        <v>51.0</v>
      </c>
      <c r="D42" s="33">
        <v>2.0</v>
      </c>
      <c r="E42" s="30">
        <v>1.0</v>
      </c>
      <c r="F42" s="27">
        <v>0.0</v>
      </c>
      <c r="G42" s="31">
        <v>6.0</v>
      </c>
      <c r="H42" s="31">
        <v>7.0</v>
      </c>
      <c r="I42" s="31">
        <v>6.0</v>
      </c>
      <c r="J42" s="32">
        <v>19.0</v>
      </c>
      <c r="K42" s="31">
        <v>3.0</v>
      </c>
      <c r="L42" s="27">
        <f t="shared" ref="L42:M42" si="39">C42+J42</f>
        <v>70</v>
      </c>
      <c r="M42" s="28">
        <f t="shared" si="39"/>
        <v>5</v>
      </c>
      <c r="N42" s="33" t="s">
        <v>37</v>
      </c>
      <c r="O42" s="33" t="s">
        <v>37</v>
      </c>
      <c r="P42" s="31">
        <f>if(F42=13,1,0)+VLOOKUP(B42,'72923'!B$5:P$61,15,false)</f>
        <v>0</v>
      </c>
      <c r="Q42" s="31"/>
      <c r="R42" s="31">
        <f>if(F42=9,1,0)+VLOOKUP(B42,'72923'!B:R,17,false)</f>
        <v>3</v>
      </c>
    </row>
    <row r="43">
      <c r="A43" s="25">
        <f t="shared" si="3"/>
        <v>39</v>
      </c>
      <c r="B43" s="26" t="s">
        <v>66</v>
      </c>
      <c r="C43" s="33">
        <v>51.0</v>
      </c>
      <c r="D43" s="33">
        <v>1.0</v>
      </c>
      <c r="E43" s="30">
        <v>2.0</v>
      </c>
      <c r="F43" s="27">
        <v>0.0</v>
      </c>
      <c r="G43" s="31">
        <v>6.0</v>
      </c>
      <c r="H43" s="31">
        <v>5.0</v>
      </c>
      <c r="I43" s="31">
        <v>1.0</v>
      </c>
      <c r="J43" s="32">
        <v>12.0</v>
      </c>
      <c r="K43" s="31">
        <v>1.0</v>
      </c>
      <c r="L43" s="27">
        <f t="shared" ref="L43:M43" si="40">C43+J43</f>
        <v>63</v>
      </c>
      <c r="M43" s="28">
        <f t="shared" si="40"/>
        <v>2</v>
      </c>
      <c r="N43" s="33" t="s">
        <v>37</v>
      </c>
      <c r="O43" s="33" t="s">
        <v>37</v>
      </c>
      <c r="P43" s="31">
        <f>if(F43=13,1,0)+VLOOKUP(B43,'72923'!B$5:P$61,15,false)</f>
        <v>1</v>
      </c>
      <c r="Q43" s="31"/>
      <c r="R43" s="31">
        <f>if(F43=9,1,0)+VLOOKUP(B43,'72923'!B:R,17,false)</f>
        <v>3</v>
      </c>
    </row>
    <row r="44">
      <c r="A44" s="25">
        <f t="shared" si="3"/>
        <v>40</v>
      </c>
      <c r="B44" s="36" t="s">
        <v>76</v>
      </c>
      <c r="C44" s="33">
        <v>49.0</v>
      </c>
      <c r="D44" s="33">
        <v>2.0</v>
      </c>
      <c r="E44" s="30">
        <v>3.0</v>
      </c>
      <c r="F44" s="27">
        <v>9.0</v>
      </c>
      <c r="G44" s="31">
        <v>0.0</v>
      </c>
      <c r="H44" s="31">
        <v>0.0</v>
      </c>
      <c r="I44" s="31">
        <v>0.0</v>
      </c>
      <c r="J44" s="32">
        <v>9.0</v>
      </c>
      <c r="K44" s="31">
        <v>0.0</v>
      </c>
      <c r="L44" s="27">
        <f t="shared" ref="L44:M44" si="41">C44+J44</f>
        <v>58</v>
      </c>
      <c r="M44" s="28">
        <f t="shared" si="41"/>
        <v>2</v>
      </c>
      <c r="N44" s="33" t="s">
        <v>37</v>
      </c>
      <c r="O44" s="33" t="s">
        <v>37</v>
      </c>
      <c r="P44" s="31">
        <f>if(F44=13,1,0)+VLOOKUP(B44,'72923'!B$5:P$61,15,false)</f>
        <v>0</v>
      </c>
      <c r="Q44" s="31"/>
      <c r="R44" s="31">
        <f>if(F44=9,1,0)+VLOOKUP(B44,'72923'!B:R,17,false)</f>
        <v>5</v>
      </c>
    </row>
    <row r="45">
      <c r="A45" s="25">
        <f t="shared" si="3"/>
        <v>41</v>
      </c>
      <c r="B45" s="26" t="s">
        <v>91</v>
      </c>
      <c r="C45" s="33">
        <v>49.0</v>
      </c>
      <c r="D45" s="33">
        <v>0.0</v>
      </c>
      <c r="E45" s="30">
        <v>3.0</v>
      </c>
      <c r="F45" s="27">
        <v>9.0</v>
      </c>
      <c r="G45" s="31">
        <v>0.0</v>
      </c>
      <c r="H45" s="31">
        <v>0.0</v>
      </c>
      <c r="I45" s="31">
        <v>0.0</v>
      </c>
      <c r="J45" s="32">
        <v>9.0</v>
      </c>
      <c r="K45" s="31">
        <v>0.0</v>
      </c>
      <c r="L45" s="27">
        <f t="shared" ref="L45:M45" si="42">C45+J45</f>
        <v>58</v>
      </c>
      <c r="M45" s="28">
        <f t="shared" si="42"/>
        <v>0</v>
      </c>
      <c r="N45" s="33" t="s">
        <v>37</v>
      </c>
      <c r="O45" s="33" t="s">
        <v>37</v>
      </c>
      <c r="P45" s="31">
        <f>if(F45=13,1,0)+VLOOKUP(B45,'72923'!B$5:P$61,15,false)</f>
        <v>1</v>
      </c>
      <c r="Q45" s="31"/>
      <c r="R45" s="31">
        <f>if(F45=9,1,0)+VLOOKUP(B45,'72923'!B:R,17,false)</f>
        <v>5</v>
      </c>
    </row>
    <row r="46">
      <c r="A46" s="25">
        <f t="shared" si="3"/>
        <v>42</v>
      </c>
      <c r="B46" s="26" t="s">
        <v>71</v>
      </c>
      <c r="C46" s="33">
        <v>48.0</v>
      </c>
      <c r="D46" s="33">
        <v>3.0</v>
      </c>
      <c r="E46" s="30">
        <v>3.0</v>
      </c>
      <c r="F46" s="27">
        <v>9.0</v>
      </c>
      <c r="G46" s="31">
        <v>0.0</v>
      </c>
      <c r="H46" s="31">
        <v>0.0</v>
      </c>
      <c r="I46" s="31">
        <v>0.0</v>
      </c>
      <c r="J46" s="32">
        <v>9.0</v>
      </c>
      <c r="K46" s="31">
        <v>0.0</v>
      </c>
      <c r="L46" s="27">
        <f t="shared" ref="L46:M46" si="43">C46+J46</f>
        <v>57</v>
      </c>
      <c r="M46" s="28">
        <f t="shared" si="43"/>
        <v>3</v>
      </c>
      <c r="N46" s="33" t="s">
        <v>37</v>
      </c>
      <c r="O46" s="33" t="s">
        <v>37</v>
      </c>
      <c r="P46" s="31">
        <f>if(F46=13,1,0)+VLOOKUP(B46,'72923'!B$5:P$61,15,false)</f>
        <v>0</v>
      </c>
      <c r="Q46" s="31">
        <v>2.0</v>
      </c>
      <c r="R46" s="31">
        <f>if(F46=9,1,0)+VLOOKUP(B46,'72923'!B:R,17,false)</f>
        <v>4</v>
      </c>
    </row>
    <row r="47">
      <c r="A47" s="25">
        <f t="shared" si="3"/>
        <v>43</v>
      </c>
      <c r="B47" s="26" t="s">
        <v>78</v>
      </c>
      <c r="C47" s="33">
        <v>48.0</v>
      </c>
      <c r="D47" s="33">
        <v>2.0</v>
      </c>
      <c r="E47" s="30">
        <v>1.0</v>
      </c>
      <c r="F47" s="27">
        <v>0.0</v>
      </c>
      <c r="G47" s="31">
        <v>6.0</v>
      </c>
      <c r="H47" s="31">
        <v>0.0</v>
      </c>
      <c r="I47" s="31">
        <v>6.0</v>
      </c>
      <c r="J47" s="32">
        <v>12.0</v>
      </c>
      <c r="K47" s="31">
        <v>2.0</v>
      </c>
      <c r="L47" s="27">
        <f t="shared" ref="L47:M47" si="44">C47+J47</f>
        <v>60</v>
      </c>
      <c r="M47" s="28">
        <f t="shared" si="44"/>
        <v>4</v>
      </c>
      <c r="N47" s="33" t="s">
        <v>37</v>
      </c>
      <c r="O47" s="33" t="s">
        <v>37</v>
      </c>
      <c r="P47" s="31">
        <f>if(F47=13,1,0)+VLOOKUP(B47,'72923'!B$5:P$61,15,false)</f>
        <v>0</v>
      </c>
      <c r="Q47" s="31"/>
      <c r="R47" s="31">
        <f>if(F47=9,1,0)+VLOOKUP(B47,'72923'!B:R,17,false)</f>
        <v>3</v>
      </c>
    </row>
    <row r="48">
      <c r="A48" s="25">
        <f t="shared" si="3"/>
        <v>44</v>
      </c>
      <c r="B48" s="26" t="s">
        <v>95</v>
      </c>
      <c r="C48" s="33">
        <v>48.0</v>
      </c>
      <c r="D48" s="33">
        <v>1.0</v>
      </c>
      <c r="E48" s="30">
        <v>2.0</v>
      </c>
      <c r="F48" s="27">
        <v>0.0</v>
      </c>
      <c r="G48" s="31">
        <v>6.0</v>
      </c>
      <c r="H48" s="31">
        <v>6.0</v>
      </c>
      <c r="I48" s="31">
        <v>2.0</v>
      </c>
      <c r="J48" s="32">
        <v>14.0</v>
      </c>
      <c r="K48" s="31">
        <v>2.0</v>
      </c>
      <c r="L48" s="27">
        <f t="shared" ref="L48:M48" si="45">C48+J48</f>
        <v>62</v>
      </c>
      <c r="M48" s="28">
        <f t="shared" si="45"/>
        <v>3</v>
      </c>
      <c r="N48" s="33" t="s">
        <v>37</v>
      </c>
      <c r="O48" s="33" t="s">
        <v>37</v>
      </c>
      <c r="P48" s="31">
        <f>if(F48=13,1,0)+VLOOKUP(B48,'72923'!B$5:P$61,15,false)</f>
        <v>0</v>
      </c>
      <c r="Q48" s="31"/>
      <c r="R48" s="31">
        <f>if(F48=9,1,0)+VLOOKUP(B48,'72923'!B:R,17,false)</f>
        <v>4</v>
      </c>
    </row>
    <row r="49">
      <c r="A49" s="25">
        <f t="shared" si="3"/>
        <v>45</v>
      </c>
      <c r="B49" s="36" t="s">
        <v>96</v>
      </c>
      <c r="C49" s="33">
        <v>47.0</v>
      </c>
      <c r="D49" s="33">
        <v>4.0</v>
      </c>
      <c r="E49" s="30">
        <v>1.0</v>
      </c>
      <c r="F49" s="27">
        <v>0.0</v>
      </c>
      <c r="G49" s="31">
        <v>1.0</v>
      </c>
      <c r="H49" s="31">
        <v>0.0</v>
      </c>
      <c r="I49" s="31">
        <v>2.0</v>
      </c>
      <c r="J49" s="32">
        <v>3.0</v>
      </c>
      <c r="K49" s="31">
        <v>0.0</v>
      </c>
      <c r="L49" s="27">
        <f t="shared" ref="L49:M49" si="46">C49+J49</f>
        <v>50</v>
      </c>
      <c r="M49" s="28">
        <f t="shared" si="46"/>
        <v>4</v>
      </c>
      <c r="N49" s="33" t="s">
        <v>37</v>
      </c>
      <c r="O49" s="33" t="s">
        <v>37</v>
      </c>
      <c r="P49" s="31">
        <f>if(F49=13,1,0)+VLOOKUP(B49,'72923'!B$5:P$61,15,false)</f>
        <v>0</v>
      </c>
      <c r="Q49" s="31"/>
      <c r="R49" s="31">
        <f>if(F49=9,1,0)+VLOOKUP(B49,'72923'!B:R,17,false)</f>
        <v>2</v>
      </c>
    </row>
    <row r="50">
      <c r="A50" s="25">
        <f t="shared" si="3"/>
        <v>46</v>
      </c>
      <c r="B50" s="26" t="s">
        <v>90</v>
      </c>
      <c r="C50" s="33">
        <v>47.0</v>
      </c>
      <c r="D50" s="33">
        <v>3.0</v>
      </c>
      <c r="E50" s="30">
        <v>3.0</v>
      </c>
      <c r="F50" s="27">
        <v>9.0</v>
      </c>
      <c r="G50" s="31">
        <v>0.0</v>
      </c>
      <c r="H50" s="31">
        <v>0.0</v>
      </c>
      <c r="I50" s="31">
        <v>0.0</v>
      </c>
      <c r="J50" s="32">
        <v>9.0</v>
      </c>
      <c r="K50" s="31">
        <v>0.0</v>
      </c>
      <c r="L50" s="27">
        <f t="shared" ref="L50:M50" si="47">C50+J50</f>
        <v>56</v>
      </c>
      <c r="M50" s="28">
        <f t="shared" si="47"/>
        <v>3</v>
      </c>
      <c r="N50" s="33" t="s">
        <v>37</v>
      </c>
      <c r="O50" s="33" t="s">
        <v>37</v>
      </c>
      <c r="P50" s="31">
        <f>if(F50=13,1,0)+VLOOKUP(B50,'72923'!B$5:P$61,15,false)</f>
        <v>0</v>
      </c>
      <c r="Q50" s="31"/>
      <c r="R50" s="31">
        <f>if(F50=9,1,0)+VLOOKUP(B50,'72923'!B:R,17,false)</f>
        <v>3</v>
      </c>
    </row>
    <row r="51">
      <c r="A51" s="25">
        <f t="shared" si="3"/>
        <v>47</v>
      </c>
      <c r="B51" s="26" t="s">
        <v>53</v>
      </c>
      <c r="C51" s="33">
        <v>47.0</v>
      </c>
      <c r="D51" s="33">
        <v>0.0</v>
      </c>
      <c r="E51" s="30">
        <v>1.0</v>
      </c>
      <c r="F51" s="27">
        <v>0.0</v>
      </c>
      <c r="G51" s="31">
        <v>1.0</v>
      </c>
      <c r="H51" s="31">
        <v>6.0</v>
      </c>
      <c r="I51" s="31">
        <v>6.0</v>
      </c>
      <c r="J51" s="32">
        <v>13.0</v>
      </c>
      <c r="K51" s="31">
        <v>2.0</v>
      </c>
      <c r="L51" s="27">
        <f t="shared" ref="L51:M51" si="48">C51+J51</f>
        <v>60</v>
      </c>
      <c r="M51" s="28">
        <f t="shared" si="48"/>
        <v>2</v>
      </c>
      <c r="N51" s="33" t="s">
        <v>37</v>
      </c>
      <c r="O51" s="33" t="s">
        <v>37</v>
      </c>
      <c r="P51" s="31">
        <f>if(F51=13,1,0)+VLOOKUP(B51,'72923'!B$5:P$61,15,false)</f>
        <v>0</v>
      </c>
      <c r="Q51" s="31"/>
      <c r="R51" s="31">
        <f>if(F51=9,1,0)+VLOOKUP(B51,'72923'!B:R,17,false)</f>
        <v>4</v>
      </c>
    </row>
    <row r="52">
      <c r="A52" s="25">
        <f t="shared" si="3"/>
        <v>48</v>
      </c>
      <c r="B52" s="36" t="s">
        <v>108</v>
      </c>
      <c r="C52" s="33">
        <v>45.0</v>
      </c>
      <c r="D52" s="33">
        <v>1.0</v>
      </c>
      <c r="E52" s="30">
        <v>1.0</v>
      </c>
      <c r="F52" s="27">
        <v>0.0</v>
      </c>
      <c r="G52" s="31">
        <v>1.0</v>
      </c>
      <c r="H52" s="31">
        <v>6.0</v>
      </c>
      <c r="I52" s="31">
        <v>1.0</v>
      </c>
      <c r="J52" s="32">
        <v>8.0</v>
      </c>
      <c r="K52" s="31">
        <v>1.0</v>
      </c>
      <c r="L52" s="27">
        <f t="shared" ref="L52:M52" si="49">C52+J52</f>
        <v>53</v>
      </c>
      <c r="M52" s="28">
        <f t="shared" si="49"/>
        <v>2</v>
      </c>
      <c r="N52" s="33" t="s">
        <v>37</v>
      </c>
      <c r="O52" s="33" t="s">
        <v>37</v>
      </c>
      <c r="P52" s="31">
        <f>if(F52=13,1,0)+VLOOKUP(B52,'72923'!B$5:P$61,15,false)</f>
        <v>0</v>
      </c>
      <c r="Q52" s="31"/>
      <c r="R52" s="31">
        <f>if(F52=9,1,0)+VLOOKUP(B52,'72923'!B:R,17,false)</f>
        <v>4</v>
      </c>
    </row>
    <row r="53">
      <c r="A53" s="25">
        <f t="shared" si="3"/>
        <v>49</v>
      </c>
      <c r="B53" s="26" t="s">
        <v>64</v>
      </c>
      <c r="C53" s="33">
        <v>45.0</v>
      </c>
      <c r="D53" s="33">
        <v>0.0</v>
      </c>
      <c r="E53" s="30">
        <v>2.0</v>
      </c>
      <c r="F53" s="27">
        <v>0.0</v>
      </c>
      <c r="G53" s="31">
        <v>6.0</v>
      </c>
      <c r="H53" s="31">
        <v>6.0</v>
      </c>
      <c r="I53" s="31">
        <v>6.0</v>
      </c>
      <c r="J53" s="32">
        <v>18.0</v>
      </c>
      <c r="K53" s="31">
        <v>3.0</v>
      </c>
      <c r="L53" s="27">
        <f t="shared" ref="L53:M53" si="50">C53+J53</f>
        <v>63</v>
      </c>
      <c r="M53" s="28">
        <f t="shared" si="50"/>
        <v>3</v>
      </c>
      <c r="N53" s="33" t="s">
        <v>37</v>
      </c>
      <c r="O53" s="33" t="s">
        <v>37</v>
      </c>
      <c r="P53" s="31">
        <f>if(F53=13,1,0)+VLOOKUP(B53,'72923'!B$5:P$61,15,false)</f>
        <v>0</v>
      </c>
      <c r="Q53" s="31"/>
      <c r="R53" s="31">
        <f>if(F53=9,1,0)+VLOOKUP(B53,'72923'!B:R,17,false)</f>
        <v>5</v>
      </c>
    </row>
    <row r="54">
      <c r="A54" s="25">
        <f t="shared" si="3"/>
        <v>50</v>
      </c>
      <c r="B54" s="26" t="s">
        <v>103</v>
      </c>
      <c r="C54" s="33">
        <v>45.0</v>
      </c>
      <c r="D54" s="33">
        <v>0.0</v>
      </c>
      <c r="E54" s="30">
        <v>3.0</v>
      </c>
      <c r="F54" s="27">
        <v>9.0</v>
      </c>
      <c r="G54" s="31">
        <v>0.0</v>
      </c>
      <c r="H54" s="31">
        <v>0.0</v>
      </c>
      <c r="I54" s="31">
        <v>0.0</v>
      </c>
      <c r="J54" s="32">
        <v>9.0</v>
      </c>
      <c r="K54" s="31">
        <v>0.0</v>
      </c>
      <c r="L54" s="27">
        <f t="shared" ref="L54:M54" si="51">C54+J54</f>
        <v>54</v>
      </c>
      <c r="M54" s="28">
        <f t="shared" si="51"/>
        <v>0</v>
      </c>
      <c r="N54" s="33" t="s">
        <v>37</v>
      </c>
      <c r="O54" s="33" t="s">
        <v>37</v>
      </c>
      <c r="P54" s="31">
        <f>if(F54=13,1,0)+VLOOKUP(B54,'72923'!B$5:P$61,15,false)</f>
        <v>0</v>
      </c>
      <c r="Q54" s="31"/>
      <c r="R54" s="31">
        <f>if(F54=9,1,0)+VLOOKUP(B54,'72923'!B:R,17,false)</f>
        <v>6</v>
      </c>
    </row>
    <row r="55">
      <c r="A55" s="25">
        <f t="shared" si="3"/>
        <v>51</v>
      </c>
      <c r="B55" s="36" t="s">
        <v>104</v>
      </c>
      <c r="C55" s="33">
        <v>45.0</v>
      </c>
      <c r="D55" s="33">
        <v>0.0</v>
      </c>
      <c r="E55" s="30">
        <v>3.0</v>
      </c>
      <c r="F55" s="27">
        <v>9.0</v>
      </c>
      <c r="G55" s="31">
        <v>0.0</v>
      </c>
      <c r="H55" s="31">
        <v>0.0</v>
      </c>
      <c r="I55" s="31">
        <v>0.0</v>
      </c>
      <c r="J55" s="32">
        <v>9.0</v>
      </c>
      <c r="K55" s="31">
        <v>0.0</v>
      </c>
      <c r="L55" s="27">
        <f t="shared" ref="L55:M55" si="52">C55+J55</f>
        <v>54</v>
      </c>
      <c r="M55" s="28">
        <f t="shared" si="52"/>
        <v>0</v>
      </c>
      <c r="N55" s="33" t="s">
        <v>37</v>
      </c>
      <c r="O55" s="33" t="s">
        <v>37</v>
      </c>
      <c r="P55" s="31">
        <f>if(F55=13,1,0)+VLOOKUP(B55,'72923'!B$5:P$61,15,false)</f>
        <v>0</v>
      </c>
      <c r="Q55" s="31"/>
      <c r="R55" s="31">
        <f>if(F55=9,1,0)+VLOOKUP(B55,'72923'!B:R,17,false)</f>
        <v>6</v>
      </c>
    </row>
    <row r="56">
      <c r="A56" s="25">
        <f t="shared" si="3"/>
        <v>52</v>
      </c>
      <c r="B56" s="26" t="s">
        <v>105</v>
      </c>
      <c r="C56" s="33">
        <v>45.0</v>
      </c>
      <c r="D56" s="33">
        <v>0.0</v>
      </c>
      <c r="E56" s="30">
        <v>3.0</v>
      </c>
      <c r="F56" s="27">
        <v>9.0</v>
      </c>
      <c r="G56" s="31">
        <v>0.0</v>
      </c>
      <c r="H56" s="31">
        <v>0.0</v>
      </c>
      <c r="I56" s="31">
        <v>0.0</v>
      </c>
      <c r="J56" s="32">
        <v>9.0</v>
      </c>
      <c r="K56" s="31">
        <v>0.0</v>
      </c>
      <c r="L56" s="27">
        <f t="shared" ref="L56:M56" si="53">C56+J56</f>
        <v>54</v>
      </c>
      <c r="M56" s="28">
        <f t="shared" si="53"/>
        <v>0</v>
      </c>
      <c r="N56" s="33" t="s">
        <v>37</v>
      </c>
      <c r="O56" s="33" t="s">
        <v>37</v>
      </c>
      <c r="P56" s="31">
        <f>if(F56=13,1,0)+VLOOKUP(B56,'72923'!B$5:P$61,15,false)</f>
        <v>0</v>
      </c>
      <c r="Q56" s="31"/>
      <c r="R56" s="31">
        <f>if(F56=9,1,0)+VLOOKUP(B56,'72923'!B:R,17,false)</f>
        <v>6</v>
      </c>
    </row>
    <row r="57">
      <c r="A57" s="25">
        <f t="shared" si="3"/>
        <v>53</v>
      </c>
      <c r="B57" s="26" t="s">
        <v>106</v>
      </c>
      <c r="C57" s="33">
        <v>45.0</v>
      </c>
      <c r="D57" s="33">
        <v>0.0</v>
      </c>
      <c r="E57" s="30">
        <v>3.0</v>
      </c>
      <c r="F57" s="27">
        <v>9.0</v>
      </c>
      <c r="G57" s="31">
        <v>0.0</v>
      </c>
      <c r="H57" s="31">
        <v>0.0</v>
      </c>
      <c r="I57" s="31">
        <v>0.0</v>
      </c>
      <c r="J57" s="32">
        <v>9.0</v>
      </c>
      <c r="K57" s="31">
        <v>0.0</v>
      </c>
      <c r="L57" s="27">
        <f t="shared" ref="L57:M57" si="54">C57+J57</f>
        <v>54</v>
      </c>
      <c r="M57" s="28">
        <f t="shared" si="54"/>
        <v>0</v>
      </c>
      <c r="N57" s="33" t="s">
        <v>37</v>
      </c>
      <c r="O57" s="33" t="s">
        <v>37</v>
      </c>
      <c r="P57" s="31">
        <f>if(F57=13,1,0)+VLOOKUP(B57,'72923'!B$5:P$61,15,false)</f>
        <v>0</v>
      </c>
      <c r="Q57" s="31"/>
      <c r="R57" s="31">
        <f>if(F57=9,1,0)+VLOOKUP(B57,'72923'!B:R,17,false)</f>
        <v>6</v>
      </c>
    </row>
    <row r="58">
      <c r="A58" s="25">
        <f t="shared" si="3"/>
        <v>54</v>
      </c>
      <c r="B58" s="26" t="s">
        <v>100</v>
      </c>
      <c r="C58" s="33">
        <v>45.0</v>
      </c>
      <c r="D58" s="33">
        <v>0.0</v>
      </c>
      <c r="E58" s="30">
        <v>3.0</v>
      </c>
      <c r="F58" s="27">
        <v>9.0</v>
      </c>
      <c r="G58" s="31">
        <v>0.0</v>
      </c>
      <c r="H58" s="31">
        <v>0.0</v>
      </c>
      <c r="I58" s="31">
        <v>0.0</v>
      </c>
      <c r="J58" s="32">
        <v>9.0</v>
      </c>
      <c r="K58" s="31">
        <v>0.0</v>
      </c>
      <c r="L58" s="27">
        <f t="shared" ref="L58:M58" si="55">C58+J58</f>
        <v>54</v>
      </c>
      <c r="M58" s="28">
        <f t="shared" si="55"/>
        <v>0</v>
      </c>
      <c r="N58" s="33" t="s">
        <v>37</v>
      </c>
      <c r="O58" s="33" t="s">
        <v>37</v>
      </c>
      <c r="P58" s="31">
        <f>if(F58=13,1,0)+VLOOKUP(B58,'72923'!B$5:P$61,15,false)</f>
        <v>0</v>
      </c>
      <c r="Q58" s="31">
        <v>1.0</v>
      </c>
      <c r="R58" s="31">
        <f>if(F58=9,1,0)+VLOOKUP(B58,'72923'!B:R,17,false)</f>
        <v>6</v>
      </c>
    </row>
    <row r="59">
      <c r="A59" s="25">
        <f t="shared" si="3"/>
        <v>55</v>
      </c>
      <c r="B59" s="36" t="s">
        <v>85</v>
      </c>
      <c r="C59" s="33">
        <v>42.0</v>
      </c>
      <c r="D59" s="33">
        <v>3.0</v>
      </c>
      <c r="E59" s="30">
        <v>3.0</v>
      </c>
      <c r="F59" s="27">
        <v>9.0</v>
      </c>
      <c r="G59" s="31">
        <v>0.0</v>
      </c>
      <c r="H59" s="31">
        <v>0.0</v>
      </c>
      <c r="I59" s="31">
        <v>0.0</v>
      </c>
      <c r="J59" s="32">
        <v>9.0</v>
      </c>
      <c r="K59" s="31">
        <v>0.0</v>
      </c>
      <c r="L59" s="27">
        <f t="shared" ref="L59:M59" si="56">C59+J59</f>
        <v>51</v>
      </c>
      <c r="M59" s="28">
        <f t="shared" si="56"/>
        <v>3</v>
      </c>
      <c r="N59" s="33" t="s">
        <v>37</v>
      </c>
      <c r="O59" s="33" t="s">
        <v>37</v>
      </c>
      <c r="P59" s="31">
        <f>if(F59=13,1,0)+VLOOKUP(B59,'72923'!B$5:P$61,15,false)</f>
        <v>0</v>
      </c>
      <c r="Q59" s="31"/>
      <c r="R59" s="31">
        <f>if(F59=9,1,0)+VLOOKUP(B59,'72923'!B:R,17,false)</f>
        <v>3</v>
      </c>
    </row>
    <row r="60">
      <c r="A60" s="25">
        <f t="shared" si="3"/>
        <v>56</v>
      </c>
      <c r="B60" s="36" t="s">
        <v>97</v>
      </c>
      <c r="C60" s="33">
        <v>40.0</v>
      </c>
      <c r="D60" s="33">
        <v>2.0</v>
      </c>
      <c r="E60" s="30">
        <v>1.0</v>
      </c>
      <c r="F60" s="27">
        <v>0.0</v>
      </c>
      <c r="G60" s="31">
        <v>6.0</v>
      </c>
      <c r="H60" s="31">
        <v>4.0</v>
      </c>
      <c r="I60" s="31">
        <v>1.0</v>
      </c>
      <c r="J60" s="32">
        <v>11.0</v>
      </c>
      <c r="K60" s="31">
        <v>1.0</v>
      </c>
      <c r="L60" s="27">
        <f t="shared" ref="L60:M60" si="57">C60+J60</f>
        <v>51</v>
      </c>
      <c r="M60" s="28">
        <f t="shared" si="57"/>
        <v>3</v>
      </c>
      <c r="N60" s="33" t="s">
        <v>37</v>
      </c>
      <c r="O60" s="33" t="s">
        <v>37</v>
      </c>
      <c r="P60" s="31">
        <f>if(F60=13,1,0)+VLOOKUP(B60,'72923'!B$5:P$61,15,false)</f>
        <v>0</v>
      </c>
      <c r="Q60" s="31"/>
      <c r="R60" s="31">
        <f>if(F60=9,1,0)+VLOOKUP(B60,'72923'!B:R,17,false)</f>
        <v>2</v>
      </c>
    </row>
    <row r="61">
      <c r="A61" s="25">
        <f t="shared" si="3"/>
        <v>57</v>
      </c>
      <c r="B61" s="36" t="s">
        <v>109</v>
      </c>
      <c r="C61" s="33">
        <v>34.0</v>
      </c>
      <c r="D61" s="33">
        <v>0.0</v>
      </c>
      <c r="E61" s="30">
        <v>1.0</v>
      </c>
      <c r="F61" s="27">
        <v>0.0</v>
      </c>
      <c r="G61" s="31">
        <v>1.0</v>
      </c>
      <c r="H61" s="31">
        <v>4.0</v>
      </c>
      <c r="I61" s="31">
        <v>6.0</v>
      </c>
      <c r="J61" s="32">
        <v>11.0</v>
      </c>
      <c r="K61" s="31">
        <v>1.0</v>
      </c>
      <c r="L61" s="27">
        <f t="shared" ref="L61:M61" si="58">C61+J61</f>
        <v>45</v>
      </c>
      <c r="M61" s="28">
        <f t="shared" si="58"/>
        <v>1</v>
      </c>
      <c r="N61" s="33" t="s">
        <v>37</v>
      </c>
      <c r="O61" s="33" t="s">
        <v>37</v>
      </c>
      <c r="P61" s="31">
        <f>if(F61=13,1,0)+VLOOKUP(B61,'72923'!B$5:P$61,15,false)</f>
        <v>0</v>
      </c>
      <c r="Q61" s="31"/>
      <c r="R61" s="31">
        <f>if(F61=9,1,0)+VLOOKUP(B61,'72923'!B:R,17,false)</f>
        <v>2</v>
      </c>
    </row>
    <row r="62">
      <c r="A62" s="1"/>
      <c r="C62" s="1"/>
      <c r="D62" s="1"/>
      <c r="E62" s="1"/>
      <c r="O62" s="1"/>
    </row>
    <row r="63">
      <c r="A63" s="1"/>
      <c r="B63" s="39">
        <f>COUNTA(B5:B61)</f>
        <v>57</v>
      </c>
      <c r="C63" s="1"/>
      <c r="D63" s="1"/>
      <c r="E63" s="1"/>
      <c r="N63" s="34" t="s">
        <v>110</v>
      </c>
      <c r="O63" s="40">
        <f>COUNTA(O5:O61)</f>
        <v>57</v>
      </c>
    </row>
    <row r="64">
      <c r="A64" s="1"/>
      <c r="C64" s="1"/>
      <c r="D64" s="1"/>
      <c r="E64" s="1"/>
      <c r="N64" s="34" t="s">
        <v>111</v>
      </c>
      <c r="O64" s="40">
        <f>O65-O63</f>
        <v>0</v>
      </c>
    </row>
    <row r="65">
      <c r="A65" s="1"/>
      <c r="C65" s="1"/>
      <c r="D65" s="1"/>
      <c r="I65" s="74">
        <v>0.0</v>
      </c>
      <c r="J65" s="75" t="s">
        <v>12</v>
      </c>
      <c r="K65" s="76">
        <f t="shared" ref="K65:K69" si="59">COUNTIF(E$5:E$61,I65)</f>
        <v>0</v>
      </c>
      <c r="N65" s="34" t="s">
        <v>41</v>
      </c>
      <c r="O65" s="40">
        <f>B63</f>
        <v>57</v>
      </c>
    </row>
    <row r="66">
      <c r="A66" s="1"/>
      <c r="C66" s="1"/>
      <c r="D66" s="1"/>
      <c r="E66" s="34" t="s">
        <v>112</v>
      </c>
      <c r="I66" s="74">
        <v>1.0</v>
      </c>
      <c r="J66" s="75" t="s">
        <v>122</v>
      </c>
      <c r="K66" s="76">
        <f t="shared" si="59"/>
        <v>23</v>
      </c>
    </row>
    <row r="67">
      <c r="A67" s="1"/>
      <c r="C67" s="1"/>
      <c r="D67" s="1"/>
      <c r="I67" s="74">
        <v>2.0</v>
      </c>
      <c r="J67" s="75" t="s">
        <v>123</v>
      </c>
      <c r="K67" s="76">
        <f t="shared" si="59"/>
        <v>9</v>
      </c>
    </row>
    <row r="68">
      <c r="A68" s="1"/>
      <c r="C68" s="1"/>
      <c r="D68" s="1"/>
      <c r="I68" s="74">
        <v>3.0</v>
      </c>
      <c r="J68" s="75" t="s">
        <v>39</v>
      </c>
      <c r="K68" s="76">
        <f t="shared" si="59"/>
        <v>25</v>
      </c>
    </row>
    <row r="69">
      <c r="A69" s="1"/>
      <c r="C69" s="1"/>
      <c r="D69" s="1"/>
      <c r="I69" s="74">
        <v>4.0</v>
      </c>
      <c r="J69" s="75" t="s">
        <v>124</v>
      </c>
      <c r="K69" s="76">
        <f t="shared" si="59"/>
        <v>0</v>
      </c>
    </row>
    <row r="70">
      <c r="A70" s="1"/>
      <c r="C70" s="1"/>
      <c r="D70" s="1"/>
      <c r="E70" s="1"/>
      <c r="J70" s="75" t="s">
        <v>41</v>
      </c>
      <c r="K70" s="76">
        <f>sum(K65:K69)</f>
        <v>57</v>
      </c>
    </row>
    <row r="71">
      <c r="A71" s="1"/>
      <c r="C71" s="1"/>
      <c r="D71" s="1"/>
      <c r="E71" s="1"/>
      <c r="J71" s="34"/>
      <c r="K71" s="47"/>
    </row>
    <row r="72">
      <c r="A72" s="1"/>
      <c r="C72" s="1"/>
      <c r="D72" s="1"/>
      <c r="E72" s="1"/>
    </row>
    <row r="73">
      <c r="A73" s="1"/>
      <c r="C73" s="1"/>
      <c r="D73" s="1"/>
      <c r="E73" s="1"/>
    </row>
    <row r="74">
      <c r="A74" s="1"/>
      <c r="C74" s="1"/>
      <c r="D74" s="1"/>
      <c r="E74" s="1"/>
      <c r="J74" s="14" t="s">
        <v>122</v>
      </c>
      <c r="K74" s="13">
        <f>K66+K67+K69</f>
        <v>32</v>
      </c>
    </row>
    <row r="75">
      <c r="A75" s="1"/>
      <c r="C75" s="1"/>
      <c r="D75" s="1"/>
      <c r="E75" s="1"/>
      <c r="J75" s="14" t="s">
        <v>39</v>
      </c>
      <c r="K75" s="13">
        <f>K68</f>
        <v>25</v>
      </c>
    </row>
    <row r="76">
      <c r="A76" s="1"/>
      <c r="C76" s="1"/>
      <c r="D76" s="1"/>
      <c r="E76" s="1"/>
      <c r="J76" s="14" t="s">
        <v>40</v>
      </c>
      <c r="K76" s="13">
        <f>K65</f>
        <v>0</v>
      </c>
    </row>
    <row r="77">
      <c r="A77" s="1"/>
      <c r="C77" s="1"/>
      <c r="D77" s="1"/>
      <c r="E77" s="1"/>
      <c r="J77" s="14" t="s">
        <v>41</v>
      </c>
      <c r="K77" s="13">
        <f>SUM(K74:K76)</f>
        <v>57</v>
      </c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B80" s="45" t="s">
        <v>113</v>
      </c>
      <c r="C80" s="45" t="s">
        <v>114</v>
      </c>
      <c r="D80" s="45" t="s">
        <v>115</v>
      </c>
      <c r="E80" s="1"/>
    </row>
    <row r="81">
      <c r="A81" s="1"/>
      <c r="B81" s="36" t="str">
        <f>IFERROR(__xludf.DUMMYFUNCTION("QUERY(B5:K61,""Select B, J, K where J &gt;= 18 order by J desc, K desc"",0)"),"Matthew Huang")</f>
        <v>Matthew Huang</v>
      </c>
      <c r="C81" s="46">
        <f>IFERROR(__xludf.DUMMYFUNCTION("""COMPUTED_VALUE"""),19.0)</f>
        <v>19</v>
      </c>
      <c r="D81" s="46">
        <f>IFERROR(__xludf.DUMMYFUNCTION("""COMPUTED_VALUE"""),3.0)</f>
        <v>3</v>
      </c>
      <c r="E81" s="1"/>
    </row>
    <row r="82">
      <c r="A82" s="1"/>
      <c r="B82" s="36" t="str">
        <f>IFERROR(__xludf.DUMMYFUNCTION("""COMPUTED_VALUE"""),"Pulkit Mathur")</f>
        <v>Pulkit Mathur</v>
      </c>
      <c r="C82" s="46">
        <f>IFERROR(__xludf.DUMMYFUNCTION("""COMPUTED_VALUE"""),18.0)</f>
        <v>18</v>
      </c>
      <c r="D82" s="46">
        <f>IFERROR(__xludf.DUMMYFUNCTION("""COMPUTED_VALUE"""),3.0)</f>
        <v>3</v>
      </c>
      <c r="E82" s="1"/>
    </row>
    <row r="83">
      <c r="A83" s="1"/>
      <c r="B83" s="36" t="str">
        <f>IFERROR(__xludf.DUMMYFUNCTION("""COMPUTED_VALUE"""),"Trinath Goteti")</f>
        <v>Trinath Goteti</v>
      </c>
      <c r="C83" s="46">
        <f>IFERROR(__xludf.DUMMYFUNCTION("""COMPUTED_VALUE"""),18.0)</f>
        <v>18</v>
      </c>
      <c r="D83" s="46">
        <f>IFERROR(__xludf.DUMMYFUNCTION("""COMPUTED_VALUE"""),3.0)</f>
        <v>3</v>
      </c>
      <c r="E83" s="1"/>
    </row>
    <row r="84">
      <c r="A84" s="1"/>
      <c r="B84" s="36" t="str">
        <f>IFERROR(__xludf.DUMMYFUNCTION("""COMPUTED_VALUE"""),"Naveen Raj")</f>
        <v>Naveen Raj</v>
      </c>
      <c r="C84" s="46">
        <f>IFERROR(__xludf.DUMMYFUNCTION("""COMPUTED_VALUE"""),18.0)</f>
        <v>18</v>
      </c>
      <c r="D84" s="46">
        <f>IFERROR(__xludf.DUMMYFUNCTION("""COMPUTED_VALUE"""),2.0)</f>
        <v>2</v>
      </c>
      <c r="E84" s="1"/>
    </row>
    <row r="85">
      <c r="A85" s="1"/>
      <c r="B85" s="13"/>
      <c r="C85" s="77"/>
      <c r="D85" s="77"/>
      <c r="E85" s="1"/>
    </row>
    <row r="86">
      <c r="A86" s="1"/>
      <c r="B86" s="13"/>
      <c r="C86" s="77"/>
      <c r="D86" s="77"/>
      <c r="E86" s="1"/>
    </row>
    <row r="87">
      <c r="A87" s="1"/>
      <c r="B87" s="13"/>
      <c r="C87" s="77"/>
      <c r="D87" s="77"/>
      <c r="E87" s="1"/>
    </row>
    <row r="88">
      <c r="A88" s="1"/>
      <c r="B88" s="13"/>
      <c r="C88" s="77"/>
      <c r="D88" s="77"/>
      <c r="E88" s="1"/>
    </row>
    <row r="89">
      <c r="A89" s="1"/>
      <c r="B89" s="13"/>
      <c r="C89" s="77"/>
      <c r="D89" s="77"/>
      <c r="E89" s="1"/>
    </row>
    <row r="90">
      <c r="A90" s="1"/>
      <c r="B90" s="13"/>
      <c r="C90" s="77"/>
      <c r="D90" s="77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E1"/>
    <mergeCell ref="G1:I1"/>
    <mergeCell ref="J1:K1"/>
    <mergeCell ref="B2:C2"/>
    <mergeCell ref="L3:M3"/>
  </mergeCells>
  <conditionalFormatting sqref="J5:J61">
    <cfRule type="expression" dxfId="0" priority="1">
      <formula> J5&gt;=18</formula>
    </cfRule>
  </conditionalFormatting>
  <conditionalFormatting sqref="J10 L10">
    <cfRule type="expression" dxfId="1" priority="2">
      <formula>iseven</formula>
    </cfRule>
  </conditionalFormatting>
  <conditionalFormatting sqref="B5:B61 B80:D84">
    <cfRule type="expression" dxfId="0" priority="3">
      <formula>E5=1</formula>
    </cfRule>
  </conditionalFormatting>
  <conditionalFormatting sqref="B5:B61 B80:D84">
    <cfRule type="expression" dxfId="2" priority="4">
      <formula>E5=2</formula>
    </cfRule>
  </conditionalFormatting>
  <conditionalFormatting sqref="B5:B61 B80:D84">
    <cfRule type="expression" dxfId="3" priority="5">
      <formula>E5=3</formula>
    </cfRule>
  </conditionalFormatting>
  <conditionalFormatting sqref="B5:B61 B80:D84">
    <cfRule type="expression" dxfId="4" priority="6">
      <formula>E5=4</formula>
    </cfRule>
  </conditionalFormatting>
  <conditionalFormatting sqref="K71">
    <cfRule type="containsText" dxfId="0" priority="7" operator="containsText" text="Good">
      <formula>NOT(ISERROR(SEARCH(("Good"),(K71))))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13"/>
    <col customWidth="1" min="17" max="17" width="8.63"/>
    <col customWidth="1" min="18" max="18" width="8.75"/>
  </cols>
  <sheetData>
    <row r="1">
      <c r="A1" s="1"/>
      <c r="B1" s="2" t="s">
        <v>1</v>
      </c>
      <c r="C1" s="3">
        <v>45136.0</v>
      </c>
      <c r="E1" s="1"/>
      <c r="F1" s="5"/>
      <c r="G1" s="5"/>
      <c r="J1" s="5"/>
      <c r="L1" s="5"/>
    </row>
    <row r="2">
      <c r="A2" s="1"/>
      <c r="B2" s="8" t="s">
        <v>6</v>
      </c>
      <c r="D2" s="9">
        <v>5.0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33</v>
      </c>
    </row>
    <row r="5">
      <c r="A5" s="25">
        <v>1.0</v>
      </c>
      <c r="B5" s="36" t="s">
        <v>67</v>
      </c>
      <c r="C5" s="33">
        <v>64.0</v>
      </c>
      <c r="D5" s="33">
        <v>8.0</v>
      </c>
      <c r="E5" s="19">
        <v>1.0</v>
      </c>
      <c r="F5" s="33">
        <v>0.0</v>
      </c>
      <c r="G5" s="70">
        <v>3.0</v>
      </c>
      <c r="H5" s="70">
        <v>3.0</v>
      </c>
      <c r="I5" s="70">
        <v>6.0</v>
      </c>
      <c r="J5" s="71">
        <v>12.0</v>
      </c>
      <c r="K5" s="70">
        <v>1.0</v>
      </c>
      <c r="L5" s="33">
        <f t="shared" ref="L5:M5" si="1">C5+J5</f>
        <v>76</v>
      </c>
      <c r="M5" s="33">
        <f t="shared" si="1"/>
        <v>9</v>
      </c>
      <c r="N5" s="33" t="s">
        <v>37</v>
      </c>
      <c r="O5" s="33" t="s">
        <v>37</v>
      </c>
      <c r="P5" s="72">
        <f>if(F5=13,1,0)+VLOOKUP(B5,'72223'!B$5:P461,15,false)</f>
        <v>0</v>
      </c>
      <c r="Q5" s="39"/>
      <c r="R5" s="39">
        <f>if(F5=9,1,0)+VLOOKUP(B5,'72223'!B:R,17,false)</f>
        <v>0</v>
      </c>
    </row>
    <row r="6">
      <c r="A6" s="25">
        <f t="shared" ref="A6:A61" si="3">A5+1</f>
        <v>2</v>
      </c>
      <c r="B6" s="26" t="s">
        <v>54</v>
      </c>
      <c r="C6" s="33">
        <v>60.0</v>
      </c>
      <c r="D6" s="33">
        <v>8.0</v>
      </c>
      <c r="E6" s="19">
        <v>3.0</v>
      </c>
      <c r="F6" s="33">
        <v>9.0</v>
      </c>
      <c r="G6" s="70">
        <v>0.0</v>
      </c>
      <c r="H6" s="70">
        <v>0.0</v>
      </c>
      <c r="I6" s="70">
        <v>0.0</v>
      </c>
      <c r="J6" s="71">
        <v>9.0</v>
      </c>
      <c r="K6" s="70">
        <v>0.0</v>
      </c>
      <c r="L6" s="33">
        <f t="shared" ref="L6:M6" si="2">C6+J6</f>
        <v>69</v>
      </c>
      <c r="M6" s="33">
        <f t="shared" si="2"/>
        <v>8</v>
      </c>
      <c r="N6" s="33" t="s">
        <v>37</v>
      </c>
      <c r="O6" s="33" t="s">
        <v>37</v>
      </c>
      <c r="P6" s="72">
        <f>if(F6=13,1,0)+VLOOKUP(B6,'72223'!B$5:P462,15,false)</f>
        <v>0</v>
      </c>
      <c r="Q6" s="39"/>
      <c r="R6" s="39">
        <f>if(F6=9,1,0)+VLOOKUP(B6,'72223'!B:R,17,false)</f>
        <v>1</v>
      </c>
    </row>
    <row r="7">
      <c r="A7" s="25">
        <f t="shared" si="3"/>
        <v>3</v>
      </c>
      <c r="B7" s="26" t="s">
        <v>49</v>
      </c>
      <c r="C7" s="33">
        <v>60.0</v>
      </c>
      <c r="D7" s="33">
        <v>6.0</v>
      </c>
      <c r="E7" s="19">
        <v>1.0</v>
      </c>
      <c r="F7" s="33">
        <v>0.0</v>
      </c>
      <c r="G7" s="70">
        <v>6.0</v>
      </c>
      <c r="H7" s="70">
        <v>3.0</v>
      </c>
      <c r="I7" s="70">
        <v>2.0</v>
      </c>
      <c r="J7" s="71">
        <v>11.0</v>
      </c>
      <c r="K7" s="70">
        <v>1.0</v>
      </c>
      <c r="L7" s="33">
        <f t="shared" ref="L7:M7" si="4">C7+J7</f>
        <v>71</v>
      </c>
      <c r="M7" s="33">
        <f t="shared" si="4"/>
        <v>7</v>
      </c>
      <c r="N7" s="33" t="s">
        <v>37</v>
      </c>
      <c r="O7" s="33" t="s">
        <v>37</v>
      </c>
      <c r="P7" s="72">
        <f>if(F7=13,1,0)+VLOOKUP(B7,'72223'!B$5:P463,15,false)</f>
        <v>0</v>
      </c>
      <c r="Q7" s="39">
        <v>1.0</v>
      </c>
      <c r="R7" s="39">
        <f>if(F7=9,1,0)+VLOOKUP(B7,'72223'!B:R,17,false)</f>
        <v>0</v>
      </c>
    </row>
    <row r="8">
      <c r="A8" s="25">
        <f t="shared" si="3"/>
        <v>4</v>
      </c>
      <c r="B8" s="26" t="s">
        <v>68</v>
      </c>
      <c r="C8" s="33">
        <v>59.0</v>
      </c>
      <c r="D8" s="33">
        <v>5.0</v>
      </c>
      <c r="E8" s="19">
        <v>3.0</v>
      </c>
      <c r="F8" s="33">
        <v>9.0</v>
      </c>
      <c r="G8" s="70">
        <v>0.0</v>
      </c>
      <c r="H8" s="70">
        <v>0.0</v>
      </c>
      <c r="I8" s="70">
        <v>0.0</v>
      </c>
      <c r="J8" s="71">
        <v>9.0</v>
      </c>
      <c r="K8" s="70">
        <v>0.0</v>
      </c>
      <c r="L8" s="33">
        <f t="shared" ref="L8:M8" si="5">C8+J8</f>
        <v>68</v>
      </c>
      <c r="M8" s="33">
        <f t="shared" si="5"/>
        <v>5</v>
      </c>
      <c r="N8" s="33" t="s">
        <v>37</v>
      </c>
      <c r="O8" s="33" t="s">
        <v>37</v>
      </c>
      <c r="P8" s="72">
        <f>if(F8=13,1,0)+VLOOKUP(B8,'72223'!B$5:P464,15,false)</f>
        <v>1</v>
      </c>
      <c r="Q8" s="39"/>
      <c r="R8" s="39">
        <f>if(F8=9,1,0)+VLOOKUP(B8,'72223'!B:R,17,false)</f>
        <v>2</v>
      </c>
    </row>
    <row r="9">
      <c r="A9" s="25">
        <f t="shared" si="3"/>
        <v>5</v>
      </c>
      <c r="B9" s="26" t="s">
        <v>72</v>
      </c>
      <c r="C9" s="33">
        <v>58.0</v>
      </c>
      <c r="D9" s="33">
        <v>7.0</v>
      </c>
      <c r="E9" s="19">
        <v>2.0</v>
      </c>
      <c r="F9" s="33">
        <v>0.0</v>
      </c>
      <c r="G9" s="70">
        <v>6.0</v>
      </c>
      <c r="H9" s="70">
        <v>6.0</v>
      </c>
      <c r="I9" s="70">
        <v>6.0</v>
      </c>
      <c r="J9" s="71">
        <v>18.0</v>
      </c>
      <c r="K9" s="70">
        <v>3.0</v>
      </c>
      <c r="L9" s="33">
        <f t="shared" ref="L9:M9" si="6">C9+J9</f>
        <v>76</v>
      </c>
      <c r="M9" s="33">
        <f t="shared" si="6"/>
        <v>10</v>
      </c>
      <c r="N9" s="33" t="s">
        <v>37</v>
      </c>
      <c r="O9" s="33" t="s">
        <v>37</v>
      </c>
      <c r="P9" s="72">
        <f>if(F9=13,1,0)+VLOOKUP(B9,'72223'!B$5:P465,15,false)</f>
        <v>0</v>
      </c>
      <c r="Q9" s="39"/>
      <c r="R9" s="39">
        <f>if(F9=9,1,0)+VLOOKUP(B9,'72223'!B:R,17,false)</f>
        <v>1</v>
      </c>
    </row>
    <row r="10">
      <c r="A10" s="25">
        <f t="shared" si="3"/>
        <v>6</v>
      </c>
      <c r="B10" s="26" t="s">
        <v>60</v>
      </c>
      <c r="C10" s="33">
        <v>57.0</v>
      </c>
      <c r="D10" s="33">
        <v>7.0</v>
      </c>
      <c r="E10" s="19">
        <v>1.0</v>
      </c>
      <c r="F10" s="33">
        <v>0.0</v>
      </c>
      <c r="G10" s="70">
        <v>3.0</v>
      </c>
      <c r="H10" s="70">
        <v>6.0</v>
      </c>
      <c r="I10" s="70">
        <v>2.0</v>
      </c>
      <c r="J10" s="71">
        <v>11.0</v>
      </c>
      <c r="K10" s="70">
        <v>1.0</v>
      </c>
      <c r="L10" s="33">
        <f t="shared" ref="L10:M10" si="7">C10+J10</f>
        <v>68</v>
      </c>
      <c r="M10" s="33">
        <f t="shared" si="7"/>
        <v>8</v>
      </c>
      <c r="N10" s="33" t="s">
        <v>37</v>
      </c>
      <c r="O10" s="33" t="s">
        <v>37</v>
      </c>
      <c r="P10" s="72">
        <f>if(F10=13,1,0)+VLOOKUP(B10,'72223'!B$5:P466,15,false)</f>
        <v>0</v>
      </c>
      <c r="Q10" s="39"/>
      <c r="R10" s="39">
        <f>if(F10=9,1,0)+VLOOKUP(B10,'72223'!B:R,17,false)</f>
        <v>0</v>
      </c>
    </row>
    <row r="11">
      <c r="A11" s="25">
        <f t="shared" si="3"/>
        <v>7</v>
      </c>
      <c r="B11" s="26" t="s">
        <v>70</v>
      </c>
      <c r="C11" s="33">
        <v>56.0</v>
      </c>
      <c r="D11" s="33">
        <v>6.0</v>
      </c>
      <c r="E11" s="19">
        <v>1.0</v>
      </c>
      <c r="F11" s="33">
        <v>0.0</v>
      </c>
      <c r="G11" s="70">
        <v>1.0</v>
      </c>
      <c r="H11" s="70">
        <v>6.0</v>
      </c>
      <c r="I11" s="70">
        <v>1.0</v>
      </c>
      <c r="J11" s="71">
        <v>8.0</v>
      </c>
      <c r="K11" s="70">
        <v>1.0</v>
      </c>
      <c r="L11" s="33">
        <f t="shared" ref="L11:M11" si="8">C11+J11</f>
        <v>64</v>
      </c>
      <c r="M11" s="33">
        <f t="shared" si="8"/>
        <v>7</v>
      </c>
      <c r="N11" s="33" t="s">
        <v>37</v>
      </c>
      <c r="O11" s="33" t="s">
        <v>37</v>
      </c>
      <c r="P11" s="72">
        <f>if(F11=13,1,0)+VLOOKUP(B11,'72223'!B$5:P467,15,false)</f>
        <v>0</v>
      </c>
      <c r="Q11" s="39"/>
      <c r="R11" s="39">
        <f>if(F11=9,1,0)+VLOOKUP(B11,'72223'!B:R,17,false)</f>
        <v>1</v>
      </c>
    </row>
    <row r="12">
      <c r="A12" s="25">
        <f t="shared" si="3"/>
        <v>8</v>
      </c>
      <c r="B12" s="26" t="s">
        <v>80</v>
      </c>
      <c r="C12" s="33">
        <v>53.0</v>
      </c>
      <c r="D12" s="33">
        <v>5.0</v>
      </c>
      <c r="E12" s="19">
        <v>1.0</v>
      </c>
      <c r="F12" s="33">
        <v>0.0</v>
      </c>
      <c r="G12" s="70">
        <v>6.0</v>
      </c>
      <c r="H12" s="70">
        <v>6.0</v>
      </c>
      <c r="I12" s="70">
        <v>6.0</v>
      </c>
      <c r="J12" s="71">
        <v>18.0</v>
      </c>
      <c r="K12" s="70">
        <v>3.0</v>
      </c>
      <c r="L12" s="33">
        <f t="shared" ref="L12:M12" si="9">C12+J12</f>
        <v>71</v>
      </c>
      <c r="M12" s="33">
        <f t="shared" si="9"/>
        <v>8</v>
      </c>
      <c r="N12" s="33" t="s">
        <v>37</v>
      </c>
      <c r="O12" s="33" t="s">
        <v>37</v>
      </c>
      <c r="P12" s="72">
        <f>if(F12=13,1,0)+VLOOKUP(B12,'72223'!B$5:P468,15,false)</f>
        <v>0</v>
      </c>
      <c r="Q12" s="39"/>
      <c r="R12" s="39">
        <f>if(F12=9,1,0)+VLOOKUP(B12,'72223'!B:R,17,false)</f>
        <v>2</v>
      </c>
    </row>
    <row r="13">
      <c r="A13" s="25">
        <f t="shared" si="3"/>
        <v>9</v>
      </c>
      <c r="B13" s="36" t="s">
        <v>59</v>
      </c>
      <c r="C13" s="33">
        <v>53.0</v>
      </c>
      <c r="D13" s="33">
        <v>3.0</v>
      </c>
      <c r="E13" s="19">
        <v>1.0</v>
      </c>
      <c r="F13" s="33">
        <v>0.0</v>
      </c>
      <c r="G13" s="70">
        <v>6.0</v>
      </c>
      <c r="H13" s="70">
        <v>0.0</v>
      </c>
      <c r="I13" s="70">
        <v>1.0</v>
      </c>
      <c r="J13" s="71">
        <v>7.0</v>
      </c>
      <c r="K13" s="70">
        <v>1.0</v>
      </c>
      <c r="L13" s="33">
        <f t="shared" ref="L13:M13" si="10">C13+J13</f>
        <v>60</v>
      </c>
      <c r="M13" s="33">
        <f t="shared" si="10"/>
        <v>4</v>
      </c>
      <c r="N13" s="33" t="s">
        <v>37</v>
      </c>
      <c r="O13" s="33" t="s">
        <v>37</v>
      </c>
      <c r="P13" s="72">
        <f>if(F13=13,1,0)+VLOOKUP(B13,'72223'!B$5:P469,15,false)</f>
        <v>0</v>
      </c>
      <c r="Q13" s="39"/>
      <c r="R13" s="39">
        <f>if(F13=9,1,0)+VLOOKUP(B13,'72223'!B:R,17,false)</f>
        <v>0</v>
      </c>
    </row>
    <row r="14">
      <c r="A14" s="25">
        <f t="shared" si="3"/>
        <v>10</v>
      </c>
      <c r="B14" s="26" t="s">
        <v>48</v>
      </c>
      <c r="C14" s="33">
        <v>52.0</v>
      </c>
      <c r="D14" s="33">
        <v>5.0</v>
      </c>
      <c r="E14" s="19">
        <v>0.0</v>
      </c>
      <c r="F14" s="33">
        <v>9.0</v>
      </c>
      <c r="G14" s="70">
        <v>0.0</v>
      </c>
      <c r="H14" s="70">
        <v>0.0</v>
      </c>
      <c r="I14" s="70">
        <v>0.0</v>
      </c>
      <c r="J14" s="71">
        <v>9.0</v>
      </c>
      <c r="K14" s="70">
        <v>0.0</v>
      </c>
      <c r="L14" s="33">
        <f t="shared" ref="L14:M14" si="11">C14+J14</f>
        <v>61</v>
      </c>
      <c r="M14" s="33">
        <f t="shared" si="11"/>
        <v>5</v>
      </c>
      <c r="N14" s="33" t="s">
        <v>37</v>
      </c>
      <c r="O14" s="33" t="s">
        <v>37</v>
      </c>
      <c r="P14" s="72">
        <f>if(F14=13,1,0)+VLOOKUP(B14,'72223'!B$5:P470,15,false)</f>
        <v>0</v>
      </c>
      <c r="Q14" s="39"/>
      <c r="R14" s="39">
        <f>if(F14=9,1,0)+VLOOKUP(B14,'72223'!B:R,17,false)</f>
        <v>2</v>
      </c>
    </row>
    <row r="15">
      <c r="A15" s="25">
        <f t="shared" si="3"/>
        <v>11</v>
      </c>
      <c r="B15" s="26" t="s">
        <v>61</v>
      </c>
      <c r="C15" s="33">
        <v>51.0</v>
      </c>
      <c r="D15" s="33">
        <v>4.0</v>
      </c>
      <c r="E15" s="19">
        <v>1.0</v>
      </c>
      <c r="F15" s="33">
        <v>0.0</v>
      </c>
      <c r="G15" s="70">
        <v>1.0</v>
      </c>
      <c r="H15" s="70">
        <v>0.0</v>
      </c>
      <c r="I15" s="70">
        <v>6.0</v>
      </c>
      <c r="J15" s="71">
        <v>7.0</v>
      </c>
      <c r="K15" s="70">
        <v>1.0</v>
      </c>
      <c r="L15" s="33">
        <f t="shared" ref="L15:M15" si="12">C15+J15</f>
        <v>58</v>
      </c>
      <c r="M15" s="33">
        <f t="shared" si="12"/>
        <v>5</v>
      </c>
      <c r="N15" s="33" t="s">
        <v>37</v>
      </c>
      <c r="O15" s="33" t="s">
        <v>37</v>
      </c>
      <c r="P15" s="72">
        <f>if(F15=13,1,0)+VLOOKUP(B15,'72223'!B$5:P471,15,false)</f>
        <v>0</v>
      </c>
      <c r="Q15" s="39"/>
      <c r="R15" s="39">
        <f>if(F15=9,1,0)+VLOOKUP(B15,'72223'!B:R,17,false)</f>
        <v>1</v>
      </c>
    </row>
    <row r="16">
      <c r="A16" s="25">
        <f t="shared" si="3"/>
        <v>12</v>
      </c>
      <c r="B16" s="26" t="s">
        <v>52</v>
      </c>
      <c r="C16" s="33">
        <v>50.0</v>
      </c>
      <c r="D16" s="33">
        <v>6.0</v>
      </c>
      <c r="E16" s="19">
        <v>1.0</v>
      </c>
      <c r="F16" s="33">
        <v>0.0</v>
      </c>
      <c r="G16" s="70">
        <v>6.0</v>
      </c>
      <c r="H16" s="70">
        <v>6.0</v>
      </c>
      <c r="I16" s="70">
        <v>6.0</v>
      </c>
      <c r="J16" s="71">
        <v>18.0</v>
      </c>
      <c r="K16" s="70">
        <v>3.0</v>
      </c>
      <c r="L16" s="33">
        <f t="shared" ref="L16:M16" si="13">C16+J16</f>
        <v>68</v>
      </c>
      <c r="M16" s="33">
        <f t="shared" si="13"/>
        <v>9</v>
      </c>
      <c r="N16" s="33" t="s">
        <v>37</v>
      </c>
      <c r="O16" s="33" t="s">
        <v>37</v>
      </c>
      <c r="P16" s="72">
        <f>if(F16=13,1,0)+VLOOKUP(B16,'72223'!B$5:P472,15,false)</f>
        <v>0</v>
      </c>
      <c r="Q16" s="39"/>
      <c r="R16" s="39">
        <f>if(F16=9,1,0)+VLOOKUP(B16,'72223'!B:R,17,false)</f>
        <v>0</v>
      </c>
    </row>
    <row r="17">
      <c r="A17" s="25">
        <f t="shared" si="3"/>
        <v>13</v>
      </c>
      <c r="B17" s="36" t="s">
        <v>88</v>
      </c>
      <c r="C17" s="33">
        <v>50.0</v>
      </c>
      <c r="D17" s="33">
        <v>4.0</v>
      </c>
      <c r="E17" s="19">
        <v>1.0</v>
      </c>
      <c r="F17" s="33">
        <v>0.0</v>
      </c>
      <c r="G17" s="70">
        <v>3.0</v>
      </c>
      <c r="H17" s="70">
        <v>6.0</v>
      </c>
      <c r="I17" s="70">
        <v>2.0</v>
      </c>
      <c r="J17" s="71">
        <v>11.0</v>
      </c>
      <c r="K17" s="70">
        <v>1.0</v>
      </c>
      <c r="L17" s="33">
        <f t="shared" ref="L17:M17" si="14">C17+J17</f>
        <v>61</v>
      </c>
      <c r="M17" s="33">
        <f t="shared" si="14"/>
        <v>5</v>
      </c>
      <c r="N17" s="33" t="s">
        <v>37</v>
      </c>
      <c r="O17" s="33" t="s">
        <v>37</v>
      </c>
      <c r="P17" s="72">
        <f>if(F17=13,1,0)+VLOOKUP(B17,'72223'!B$5:P473,15,false)</f>
        <v>0</v>
      </c>
      <c r="Q17" s="39"/>
      <c r="R17" s="39">
        <f>if(F17=9,1,0)+VLOOKUP(B17,'72223'!B:R,17,false)</f>
        <v>1</v>
      </c>
    </row>
    <row r="18">
      <c r="A18" s="25">
        <f t="shared" si="3"/>
        <v>14</v>
      </c>
      <c r="B18" s="26" t="s">
        <v>58</v>
      </c>
      <c r="C18" s="33">
        <v>50.0</v>
      </c>
      <c r="D18" s="33">
        <v>3.0</v>
      </c>
      <c r="E18" s="19">
        <v>1.0</v>
      </c>
      <c r="F18" s="33">
        <v>0.0</v>
      </c>
      <c r="G18" s="70">
        <v>3.0</v>
      </c>
      <c r="H18" s="70">
        <v>3.0</v>
      </c>
      <c r="I18" s="70">
        <v>6.0</v>
      </c>
      <c r="J18" s="71">
        <v>12.0</v>
      </c>
      <c r="K18" s="70">
        <v>1.0</v>
      </c>
      <c r="L18" s="33">
        <f t="shared" ref="L18:M18" si="15">C18+J18</f>
        <v>62</v>
      </c>
      <c r="M18" s="33">
        <f t="shared" si="15"/>
        <v>4</v>
      </c>
      <c r="N18" s="33" t="s">
        <v>37</v>
      </c>
      <c r="O18" s="33" t="s">
        <v>37</v>
      </c>
      <c r="P18" s="72">
        <f>if(F18=13,1,0)+VLOOKUP(B18,'72223'!B$5:P474,15,false)</f>
        <v>0</v>
      </c>
      <c r="Q18" s="39"/>
      <c r="R18" s="39">
        <f>if(F18=9,1,0)+VLOOKUP(B18,'72223'!B:R,17,false)</f>
        <v>1</v>
      </c>
    </row>
    <row r="19">
      <c r="A19" s="25">
        <f t="shared" si="3"/>
        <v>15</v>
      </c>
      <c r="B19" s="26" t="s">
        <v>47</v>
      </c>
      <c r="C19" s="33">
        <v>50.0</v>
      </c>
      <c r="D19" s="33">
        <v>3.0</v>
      </c>
      <c r="E19" s="19">
        <v>3.0</v>
      </c>
      <c r="F19" s="33">
        <v>9.0</v>
      </c>
      <c r="G19" s="70">
        <v>0.0</v>
      </c>
      <c r="H19" s="70">
        <v>0.0</v>
      </c>
      <c r="I19" s="70">
        <v>0.0</v>
      </c>
      <c r="J19" s="71">
        <v>9.0</v>
      </c>
      <c r="K19" s="70">
        <v>0.0</v>
      </c>
      <c r="L19" s="33">
        <f t="shared" ref="L19:M19" si="16">C19+J19</f>
        <v>59</v>
      </c>
      <c r="M19" s="33">
        <f t="shared" si="16"/>
        <v>3</v>
      </c>
      <c r="N19" s="33" t="s">
        <v>37</v>
      </c>
      <c r="O19" s="33" t="s">
        <v>37</v>
      </c>
      <c r="P19" s="72">
        <f>if(F19=13,1,0)+VLOOKUP(B19,'72223'!B$5:P475,15,false)</f>
        <v>0</v>
      </c>
      <c r="Q19" s="39"/>
      <c r="R19" s="39">
        <f>if(F19=9,1,0)+VLOOKUP(B19,'72223'!B:R,17,false)</f>
        <v>3</v>
      </c>
    </row>
    <row r="20">
      <c r="A20" s="25">
        <f t="shared" si="3"/>
        <v>16</v>
      </c>
      <c r="B20" s="26" t="s">
        <v>56</v>
      </c>
      <c r="C20" s="33">
        <v>49.0</v>
      </c>
      <c r="D20" s="33">
        <v>6.0</v>
      </c>
      <c r="E20" s="19">
        <v>1.0</v>
      </c>
      <c r="F20" s="33">
        <v>0.0</v>
      </c>
      <c r="G20" s="70">
        <v>6.0</v>
      </c>
      <c r="H20" s="70">
        <v>3.0</v>
      </c>
      <c r="I20" s="70">
        <v>2.0</v>
      </c>
      <c r="J20" s="71">
        <v>11.0</v>
      </c>
      <c r="K20" s="70">
        <v>1.0</v>
      </c>
      <c r="L20" s="33">
        <f t="shared" ref="L20:M20" si="17">C20+J20</f>
        <v>60</v>
      </c>
      <c r="M20" s="33">
        <f t="shared" si="17"/>
        <v>7</v>
      </c>
      <c r="N20" s="33" t="s">
        <v>37</v>
      </c>
      <c r="O20" s="33" t="s">
        <v>37</v>
      </c>
      <c r="P20" s="72">
        <f>if(F20=13,1,0)+VLOOKUP(B20,'72223'!B$5:P476,15,false)</f>
        <v>0</v>
      </c>
      <c r="Q20" s="39"/>
      <c r="R20" s="39">
        <f>if(F20=9,1,0)+VLOOKUP(B20,'72223'!B:R,17,false)</f>
        <v>0</v>
      </c>
    </row>
    <row r="21">
      <c r="A21" s="25">
        <f t="shared" si="3"/>
        <v>17</v>
      </c>
      <c r="B21" s="26" t="s">
        <v>75</v>
      </c>
      <c r="C21" s="33">
        <v>48.0</v>
      </c>
      <c r="D21" s="33">
        <v>4.0</v>
      </c>
      <c r="E21" s="19">
        <v>3.0</v>
      </c>
      <c r="F21" s="33">
        <v>9.0</v>
      </c>
      <c r="G21" s="70">
        <v>0.0</v>
      </c>
      <c r="H21" s="70">
        <v>0.0</v>
      </c>
      <c r="I21" s="70">
        <v>0.0</v>
      </c>
      <c r="J21" s="71">
        <v>9.0</v>
      </c>
      <c r="K21" s="70">
        <v>0.0</v>
      </c>
      <c r="L21" s="33">
        <f t="shared" ref="L21:M21" si="18">C21+J21</f>
        <v>57</v>
      </c>
      <c r="M21" s="33">
        <f t="shared" si="18"/>
        <v>4</v>
      </c>
      <c r="N21" s="33" t="s">
        <v>37</v>
      </c>
      <c r="O21" s="33" t="s">
        <v>37</v>
      </c>
      <c r="P21" s="72">
        <f>if(F21=13,1,0)+VLOOKUP(B21,'72223'!B$5:P477,15,false)</f>
        <v>0</v>
      </c>
      <c r="Q21" s="39"/>
      <c r="R21" s="39">
        <f>if(F21=9,1,0)+VLOOKUP(B21,'72223'!B:R,17,false)</f>
        <v>2</v>
      </c>
    </row>
    <row r="22">
      <c r="A22" s="25">
        <f t="shared" si="3"/>
        <v>18</v>
      </c>
      <c r="B22" s="36" t="s">
        <v>81</v>
      </c>
      <c r="C22" s="33">
        <v>48.0</v>
      </c>
      <c r="D22" s="33">
        <v>3.0</v>
      </c>
      <c r="E22" s="19">
        <v>1.0</v>
      </c>
      <c r="F22" s="33">
        <v>0.0</v>
      </c>
      <c r="G22" s="70">
        <v>2.0</v>
      </c>
      <c r="H22" s="70">
        <v>3.0</v>
      </c>
      <c r="I22" s="70">
        <v>7.0</v>
      </c>
      <c r="J22" s="71">
        <v>12.0</v>
      </c>
      <c r="K22" s="70">
        <v>1.0</v>
      </c>
      <c r="L22" s="33">
        <f t="shared" ref="L22:M22" si="19">C22+J22</f>
        <v>60</v>
      </c>
      <c r="M22" s="33">
        <f t="shared" si="19"/>
        <v>4</v>
      </c>
      <c r="N22" s="33" t="s">
        <v>37</v>
      </c>
      <c r="O22" s="33" t="s">
        <v>37</v>
      </c>
      <c r="P22" s="72">
        <f>if(F22=13,1,0)+VLOOKUP(B22,'72223'!B$5:P478,15,false)</f>
        <v>0</v>
      </c>
      <c r="Q22" s="39"/>
      <c r="R22" s="39">
        <f>if(F22=9,1,0)+VLOOKUP(B22,'72223'!B:R,17,false)</f>
        <v>1</v>
      </c>
    </row>
    <row r="23">
      <c r="A23" s="25">
        <f t="shared" si="3"/>
        <v>19</v>
      </c>
      <c r="B23" s="36" t="s">
        <v>77</v>
      </c>
      <c r="C23" s="33">
        <v>47.0</v>
      </c>
      <c r="D23" s="33">
        <v>4.0</v>
      </c>
      <c r="E23" s="19">
        <v>1.0</v>
      </c>
      <c r="F23" s="33">
        <v>0.0</v>
      </c>
      <c r="G23" s="70">
        <v>6.0</v>
      </c>
      <c r="H23" s="70">
        <v>6.0</v>
      </c>
      <c r="I23" s="70">
        <v>7.0</v>
      </c>
      <c r="J23" s="71">
        <v>19.0</v>
      </c>
      <c r="K23" s="70">
        <v>3.0</v>
      </c>
      <c r="L23" s="33">
        <f t="shared" ref="L23:M23" si="20">C23+J23</f>
        <v>66</v>
      </c>
      <c r="M23" s="33">
        <f t="shared" si="20"/>
        <v>7</v>
      </c>
      <c r="N23" s="33" t="s">
        <v>37</v>
      </c>
      <c r="O23" s="33" t="s">
        <v>37</v>
      </c>
      <c r="P23" s="72">
        <f>if(F23=13,1,0)+VLOOKUP(B23,'72223'!B$5:P479,15,false)</f>
        <v>0</v>
      </c>
      <c r="Q23" s="39"/>
      <c r="R23" s="39">
        <f>if(F23=9,1,0)+VLOOKUP(B23,'72223'!B:R,17,false)</f>
        <v>2</v>
      </c>
    </row>
    <row r="24">
      <c r="A24" s="25">
        <f t="shared" si="3"/>
        <v>20</v>
      </c>
      <c r="B24" s="26" t="s">
        <v>74</v>
      </c>
      <c r="C24" s="33">
        <v>46.0</v>
      </c>
      <c r="D24" s="33">
        <v>5.0</v>
      </c>
      <c r="E24" s="19">
        <v>1.0</v>
      </c>
      <c r="F24" s="33">
        <v>0.0</v>
      </c>
      <c r="G24" s="70">
        <v>2.0</v>
      </c>
      <c r="H24" s="70">
        <v>6.0</v>
      </c>
      <c r="I24" s="70">
        <v>6.0</v>
      </c>
      <c r="J24" s="71">
        <v>14.0</v>
      </c>
      <c r="K24" s="70">
        <v>1.0</v>
      </c>
      <c r="L24" s="33">
        <f t="shared" ref="L24:M24" si="21">C24+J24</f>
        <v>60</v>
      </c>
      <c r="M24" s="33">
        <f t="shared" si="21"/>
        <v>6</v>
      </c>
      <c r="N24" s="33" t="s">
        <v>37</v>
      </c>
      <c r="O24" s="33" t="s">
        <v>37</v>
      </c>
      <c r="P24" s="72">
        <f>if(F24=13,1,0)+VLOOKUP(B24,'72223'!B$5:P480,15,false)</f>
        <v>0</v>
      </c>
      <c r="Q24" s="39"/>
      <c r="R24" s="39">
        <f>if(F24=9,1,0)+VLOOKUP(B24,'72223'!B:R,17,false)</f>
        <v>0</v>
      </c>
    </row>
    <row r="25">
      <c r="A25" s="25">
        <f t="shared" si="3"/>
        <v>21</v>
      </c>
      <c r="B25" s="26" t="s">
        <v>73</v>
      </c>
      <c r="C25" s="33">
        <v>46.0</v>
      </c>
      <c r="D25" s="33">
        <v>2.0</v>
      </c>
      <c r="E25" s="19">
        <v>1.0</v>
      </c>
      <c r="F25" s="33">
        <v>0.0</v>
      </c>
      <c r="G25" s="70">
        <v>6.0</v>
      </c>
      <c r="H25" s="70">
        <v>3.0</v>
      </c>
      <c r="I25" s="70">
        <v>6.0</v>
      </c>
      <c r="J25" s="71">
        <v>15.0</v>
      </c>
      <c r="K25" s="70">
        <v>1.0</v>
      </c>
      <c r="L25" s="33">
        <f t="shared" ref="L25:M25" si="22">C25+J25</f>
        <v>61</v>
      </c>
      <c r="M25" s="33">
        <f t="shared" si="22"/>
        <v>3</v>
      </c>
      <c r="N25" s="33" t="s">
        <v>37</v>
      </c>
      <c r="O25" s="33" t="s">
        <v>37</v>
      </c>
      <c r="P25" s="72">
        <f>if(F25=13,1,0)+VLOOKUP(B25,'72223'!B$5:P481,15,false)</f>
        <v>0</v>
      </c>
      <c r="Q25" s="39"/>
      <c r="R25" s="39">
        <f>if(F25=9,1,0)+VLOOKUP(B25,'72223'!B:R,17,false)</f>
        <v>1</v>
      </c>
    </row>
    <row r="26">
      <c r="A26" s="25">
        <f t="shared" si="3"/>
        <v>22</v>
      </c>
      <c r="B26" s="26" t="s">
        <v>57</v>
      </c>
      <c r="C26" s="33">
        <v>45.0</v>
      </c>
      <c r="D26" s="33">
        <v>5.0</v>
      </c>
      <c r="E26" s="19">
        <v>2.0</v>
      </c>
      <c r="F26" s="33">
        <v>0.0</v>
      </c>
      <c r="G26" s="70">
        <v>3.0</v>
      </c>
      <c r="H26" s="70">
        <v>6.0</v>
      </c>
      <c r="I26" s="70">
        <v>3.0</v>
      </c>
      <c r="J26" s="71">
        <v>12.0</v>
      </c>
      <c r="K26" s="70">
        <v>1.0</v>
      </c>
      <c r="L26" s="33">
        <f t="shared" ref="L26:M26" si="23">C26+J26</f>
        <v>57</v>
      </c>
      <c r="M26" s="33">
        <f t="shared" si="23"/>
        <v>6</v>
      </c>
      <c r="N26" s="33" t="s">
        <v>37</v>
      </c>
      <c r="O26" s="33" t="s">
        <v>37</v>
      </c>
      <c r="P26" s="72">
        <f>if(F26=13,1,0)+VLOOKUP(B26,'72223'!B$5:P482,15,false)</f>
        <v>0</v>
      </c>
      <c r="Q26" s="39"/>
      <c r="R26" s="39">
        <f>if(F26=9,1,0)+VLOOKUP(B26,'72223'!B:R,17,false)</f>
        <v>1</v>
      </c>
    </row>
    <row r="27">
      <c r="A27" s="25">
        <f t="shared" si="3"/>
        <v>23</v>
      </c>
      <c r="B27" s="26" t="s">
        <v>79</v>
      </c>
      <c r="C27" s="33">
        <v>45.0</v>
      </c>
      <c r="D27" s="33">
        <v>4.0</v>
      </c>
      <c r="E27" s="19">
        <v>1.0</v>
      </c>
      <c r="F27" s="33">
        <v>0.0</v>
      </c>
      <c r="G27" s="70">
        <v>3.0</v>
      </c>
      <c r="H27" s="70">
        <v>0.0</v>
      </c>
      <c r="I27" s="70">
        <v>6.0</v>
      </c>
      <c r="J27" s="71">
        <v>9.0</v>
      </c>
      <c r="K27" s="70">
        <v>1.0</v>
      </c>
      <c r="L27" s="33">
        <f t="shared" ref="L27:M27" si="24">C27+J27</f>
        <v>54</v>
      </c>
      <c r="M27" s="33">
        <f t="shared" si="24"/>
        <v>5</v>
      </c>
      <c r="N27" s="33" t="s">
        <v>37</v>
      </c>
      <c r="O27" s="33" t="s">
        <v>37</v>
      </c>
      <c r="P27" s="72">
        <f>if(F27=13,1,0)+VLOOKUP(B27,'72223'!B$5:P483,15,false)</f>
        <v>0</v>
      </c>
      <c r="Q27" s="39">
        <v>1.0</v>
      </c>
      <c r="R27" s="39">
        <f>if(F27=9,1,0)+VLOOKUP(B27,'72223'!B:R,17,false)</f>
        <v>0</v>
      </c>
    </row>
    <row r="28">
      <c r="A28" s="25">
        <f t="shared" si="3"/>
        <v>24</v>
      </c>
      <c r="B28" s="26" t="s">
        <v>55</v>
      </c>
      <c r="C28" s="33">
        <v>45.0</v>
      </c>
      <c r="D28" s="33">
        <v>4.0</v>
      </c>
      <c r="E28" s="19">
        <v>3.0</v>
      </c>
      <c r="F28" s="33">
        <v>9.0</v>
      </c>
      <c r="G28" s="70">
        <v>0.0</v>
      </c>
      <c r="H28" s="70">
        <v>0.0</v>
      </c>
      <c r="I28" s="70">
        <v>0.0</v>
      </c>
      <c r="J28" s="71">
        <v>9.0</v>
      </c>
      <c r="K28" s="70">
        <v>0.0</v>
      </c>
      <c r="L28" s="33">
        <f t="shared" ref="L28:M28" si="25">C28+J28</f>
        <v>54</v>
      </c>
      <c r="M28" s="33">
        <f t="shared" si="25"/>
        <v>4</v>
      </c>
      <c r="N28" s="33" t="s">
        <v>37</v>
      </c>
      <c r="O28" s="33" t="s">
        <v>37</v>
      </c>
      <c r="P28" s="72">
        <f>if(F28=13,1,0)+VLOOKUP(B28,'72223'!B$5:P484,15,false)</f>
        <v>0</v>
      </c>
      <c r="Q28" s="39"/>
      <c r="R28" s="39">
        <f>if(F28=9,1,0)+VLOOKUP(B28,'72223'!B:R,17,false)</f>
        <v>2</v>
      </c>
    </row>
    <row r="29">
      <c r="A29" s="25">
        <f t="shared" si="3"/>
        <v>25</v>
      </c>
      <c r="B29" s="26" t="s">
        <v>65</v>
      </c>
      <c r="C29" s="33">
        <v>45.0</v>
      </c>
      <c r="D29" s="33">
        <v>3.0</v>
      </c>
      <c r="E29" s="19">
        <v>3.0</v>
      </c>
      <c r="F29" s="33">
        <v>9.0</v>
      </c>
      <c r="G29" s="70">
        <v>0.0</v>
      </c>
      <c r="H29" s="70">
        <v>0.0</v>
      </c>
      <c r="I29" s="70">
        <v>0.0</v>
      </c>
      <c r="J29" s="71">
        <v>9.0</v>
      </c>
      <c r="K29" s="70">
        <v>0.0</v>
      </c>
      <c r="L29" s="33">
        <f t="shared" ref="L29:M29" si="26">C29+J29</f>
        <v>54</v>
      </c>
      <c r="M29" s="33">
        <f t="shared" si="26"/>
        <v>3</v>
      </c>
      <c r="N29" s="33" t="s">
        <v>37</v>
      </c>
      <c r="O29" s="33" t="s">
        <v>37</v>
      </c>
      <c r="P29" s="72">
        <f>if(F29=13,1,0)+VLOOKUP(B29,'72223'!B$5:P485,15,false)</f>
        <v>0</v>
      </c>
      <c r="Q29" s="39"/>
      <c r="R29" s="39">
        <f>if(F29=9,1,0)+VLOOKUP(B29,'72223'!B:R,17,false)</f>
        <v>3</v>
      </c>
    </row>
    <row r="30">
      <c r="A30" s="25">
        <f t="shared" si="3"/>
        <v>26</v>
      </c>
      <c r="B30" s="36" t="s">
        <v>99</v>
      </c>
      <c r="C30" s="33">
        <v>45.0</v>
      </c>
      <c r="D30" s="33">
        <v>3.0</v>
      </c>
      <c r="E30" s="19">
        <v>3.0</v>
      </c>
      <c r="F30" s="33">
        <v>9.0</v>
      </c>
      <c r="G30" s="70">
        <v>0.0</v>
      </c>
      <c r="H30" s="70">
        <v>0.0</v>
      </c>
      <c r="I30" s="70">
        <v>0.0</v>
      </c>
      <c r="J30" s="71">
        <v>9.0</v>
      </c>
      <c r="K30" s="70">
        <v>0.0</v>
      </c>
      <c r="L30" s="33">
        <f t="shared" ref="L30:M30" si="27">C30+J30</f>
        <v>54</v>
      </c>
      <c r="M30" s="33">
        <f t="shared" si="27"/>
        <v>3</v>
      </c>
      <c r="N30" s="33" t="s">
        <v>37</v>
      </c>
      <c r="O30" s="33" t="s">
        <v>37</v>
      </c>
      <c r="P30" s="72">
        <f>if(F30=13,1,0)+VLOOKUP(B30,'72223'!B$5:P486,15,false)</f>
        <v>0</v>
      </c>
      <c r="Q30" s="39"/>
      <c r="R30" s="39">
        <f>if(F30=9,1,0)+VLOOKUP(B30,'72223'!B:R,17,false)</f>
        <v>1</v>
      </c>
    </row>
    <row r="31">
      <c r="A31" s="25">
        <f t="shared" si="3"/>
        <v>27</v>
      </c>
      <c r="B31" s="26" t="s">
        <v>86</v>
      </c>
      <c r="C31" s="33">
        <v>44.0</v>
      </c>
      <c r="D31" s="33">
        <v>3.0</v>
      </c>
      <c r="E31" s="19">
        <v>1.0</v>
      </c>
      <c r="F31" s="33">
        <v>0.0</v>
      </c>
      <c r="G31" s="70">
        <v>6.0</v>
      </c>
      <c r="H31" s="70">
        <v>0.0</v>
      </c>
      <c r="I31" s="70">
        <v>3.0</v>
      </c>
      <c r="J31" s="71">
        <v>9.0</v>
      </c>
      <c r="K31" s="70">
        <v>1.0</v>
      </c>
      <c r="L31" s="33">
        <f t="shared" ref="L31:M31" si="28">C31+J31</f>
        <v>53</v>
      </c>
      <c r="M31" s="33">
        <f t="shared" si="28"/>
        <v>4</v>
      </c>
      <c r="N31" s="33" t="s">
        <v>37</v>
      </c>
      <c r="O31" s="33" t="s">
        <v>37</v>
      </c>
      <c r="P31" s="72">
        <f>if(F31=13,1,0)+VLOOKUP(B31,'72223'!B$5:P487,15,false)</f>
        <v>0</v>
      </c>
      <c r="Q31" s="39"/>
      <c r="R31" s="39">
        <f>if(F31=9,1,0)+VLOOKUP(B31,'72223'!B:R,17,false)</f>
        <v>1</v>
      </c>
    </row>
    <row r="32">
      <c r="A32" s="25">
        <f t="shared" si="3"/>
        <v>28</v>
      </c>
      <c r="B32" s="36" t="s">
        <v>94</v>
      </c>
      <c r="C32" s="33">
        <v>44.0</v>
      </c>
      <c r="D32" s="33">
        <v>2.0</v>
      </c>
      <c r="E32" s="19">
        <v>3.0</v>
      </c>
      <c r="F32" s="33">
        <v>9.0</v>
      </c>
      <c r="G32" s="70">
        <v>0.0</v>
      </c>
      <c r="H32" s="70">
        <v>0.0</v>
      </c>
      <c r="I32" s="70">
        <v>0.0</v>
      </c>
      <c r="J32" s="71">
        <v>9.0</v>
      </c>
      <c r="K32" s="70">
        <v>0.0</v>
      </c>
      <c r="L32" s="33">
        <f t="shared" ref="L32:M32" si="29">C32+J32</f>
        <v>53</v>
      </c>
      <c r="M32" s="33">
        <f t="shared" si="29"/>
        <v>2</v>
      </c>
      <c r="N32" s="33" t="s">
        <v>37</v>
      </c>
      <c r="O32" s="33" t="s">
        <v>37</v>
      </c>
      <c r="P32" s="72">
        <f>if(F32=13,1,0)+VLOOKUP(B32,'72223'!B$5:P488,15,false)</f>
        <v>0</v>
      </c>
      <c r="Q32" s="39"/>
      <c r="R32" s="39">
        <f>if(F32=9,1,0)+VLOOKUP(B32,'72223'!B:R,17,false)</f>
        <v>2</v>
      </c>
    </row>
    <row r="33">
      <c r="A33" s="25">
        <f t="shared" si="3"/>
        <v>29</v>
      </c>
      <c r="B33" s="26" t="s">
        <v>34</v>
      </c>
      <c r="C33" s="33">
        <v>44.0</v>
      </c>
      <c r="D33" s="33">
        <v>2.0</v>
      </c>
      <c r="E33" s="19">
        <v>1.0</v>
      </c>
      <c r="F33" s="33">
        <v>0.0</v>
      </c>
      <c r="G33" s="70">
        <v>6.0</v>
      </c>
      <c r="H33" s="70">
        <v>6.0</v>
      </c>
      <c r="I33" s="70">
        <v>6.0</v>
      </c>
      <c r="J33" s="71">
        <v>18.0</v>
      </c>
      <c r="K33" s="70">
        <v>3.0</v>
      </c>
      <c r="L33" s="33">
        <f t="shared" ref="L33:M33" si="30">C33+J33</f>
        <v>62</v>
      </c>
      <c r="M33" s="33">
        <f t="shared" si="30"/>
        <v>5</v>
      </c>
      <c r="N33" s="33" t="s">
        <v>37</v>
      </c>
      <c r="O33" s="33" t="s">
        <v>37</v>
      </c>
      <c r="P33" s="72">
        <f>if(F33=13,1,0)+VLOOKUP(B33,'72223'!B$5:P489,15,false)</f>
        <v>0</v>
      </c>
      <c r="Q33" s="39"/>
      <c r="R33" s="39">
        <f>if(F33=9,1,0)+VLOOKUP(B33,'72223'!B:R,17,false)</f>
        <v>3</v>
      </c>
    </row>
    <row r="34">
      <c r="A34" s="25">
        <f t="shared" si="3"/>
        <v>30</v>
      </c>
      <c r="B34" s="26" t="s">
        <v>51</v>
      </c>
      <c r="C34" s="33">
        <v>44.0</v>
      </c>
      <c r="D34" s="33">
        <v>2.0</v>
      </c>
      <c r="E34" s="19">
        <v>2.0</v>
      </c>
      <c r="F34" s="33">
        <v>0.0</v>
      </c>
      <c r="G34" s="70">
        <v>6.0</v>
      </c>
      <c r="H34" s="70">
        <v>6.0</v>
      </c>
      <c r="I34" s="70">
        <v>4.0</v>
      </c>
      <c r="J34" s="71">
        <v>16.0</v>
      </c>
      <c r="K34" s="70">
        <v>1.0</v>
      </c>
      <c r="L34" s="33">
        <f t="shared" ref="L34:M34" si="31">C34+J34</f>
        <v>60</v>
      </c>
      <c r="M34" s="33">
        <f t="shared" si="31"/>
        <v>3</v>
      </c>
      <c r="N34" s="33" t="s">
        <v>37</v>
      </c>
      <c r="O34" s="33" t="s">
        <v>37</v>
      </c>
      <c r="P34" s="72">
        <f>if(F34=13,1,0)+VLOOKUP(B34,'72223'!B$5:P490,15,false)</f>
        <v>0</v>
      </c>
      <c r="Q34" s="39"/>
      <c r="R34" s="39">
        <f>if(F34=9,1,0)+VLOOKUP(B34,'72223'!B:R,17,false)</f>
        <v>3</v>
      </c>
    </row>
    <row r="35">
      <c r="A35" s="25">
        <f t="shared" si="3"/>
        <v>31</v>
      </c>
      <c r="B35" s="26" t="s">
        <v>42</v>
      </c>
      <c r="C35" s="33">
        <v>43.0</v>
      </c>
      <c r="D35" s="33">
        <v>2.0</v>
      </c>
      <c r="E35" s="19">
        <v>1.0</v>
      </c>
      <c r="F35" s="33">
        <v>0.0</v>
      </c>
      <c r="G35" s="70">
        <v>7.0</v>
      </c>
      <c r="H35" s="70">
        <v>6.0</v>
      </c>
      <c r="I35" s="70">
        <v>6.0</v>
      </c>
      <c r="J35" s="71">
        <v>19.0</v>
      </c>
      <c r="K35" s="70">
        <v>3.0</v>
      </c>
      <c r="L35" s="33">
        <f t="shared" ref="L35:M35" si="32">C35+J35</f>
        <v>62</v>
      </c>
      <c r="M35" s="33">
        <f t="shared" si="32"/>
        <v>5</v>
      </c>
      <c r="N35" s="33" t="s">
        <v>37</v>
      </c>
      <c r="O35" s="33" t="s">
        <v>37</v>
      </c>
      <c r="P35" s="72">
        <f>if(F35=13,1,0)+VLOOKUP(B35,'72223'!B$5:P491,15,false)</f>
        <v>0</v>
      </c>
      <c r="Q35" s="39"/>
      <c r="R35" s="39">
        <f>if(F35=9,1,0)+VLOOKUP(B35,'72223'!B:R,17,false)</f>
        <v>2</v>
      </c>
    </row>
    <row r="36">
      <c r="A36" s="25">
        <f t="shared" si="3"/>
        <v>32</v>
      </c>
      <c r="B36" s="26" t="s">
        <v>50</v>
      </c>
      <c r="C36" s="33">
        <v>42.0</v>
      </c>
      <c r="D36" s="33">
        <v>2.0</v>
      </c>
      <c r="E36" s="19">
        <v>3.0</v>
      </c>
      <c r="F36" s="33">
        <v>9.0</v>
      </c>
      <c r="G36" s="70">
        <v>0.0</v>
      </c>
      <c r="H36" s="70">
        <v>0.0</v>
      </c>
      <c r="I36" s="70">
        <v>0.0</v>
      </c>
      <c r="J36" s="71">
        <v>9.0</v>
      </c>
      <c r="K36" s="70">
        <v>0.0</v>
      </c>
      <c r="L36" s="33">
        <f t="shared" ref="L36:M36" si="33">C36+J36</f>
        <v>51</v>
      </c>
      <c r="M36" s="33">
        <f t="shared" si="33"/>
        <v>2</v>
      </c>
      <c r="N36" s="33" t="s">
        <v>37</v>
      </c>
      <c r="O36" s="33" t="s">
        <v>37</v>
      </c>
      <c r="P36" s="72">
        <f>if(F36=13,1,0)+VLOOKUP(B36,'72223'!B$5:P492,15,false)</f>
        <v>0</v>
      </c>
      <c r="Q36" s="39"/>
      <c r="R36" s="39">
        <f>if(F36=9,1,0)+VLOOKUP(B36,'72223'!B:R,17,false)</f>
        <v>3</v>
      </c>
    </row>
    <row r="37">
      <c r="A37" s="25">
        <f t="shared" si="3"/>
        <v>33</v>
      </c>
      <c r="B37" s="26" t="s">
        <v>66</v>
      </c>
      <c r="C37" s="33">
        <v>42.0</v>
      </c>
      <c r="D37" s="33">
        <v>1.0</v>
      </c>
      <c r="E37" s="19">
        <v>3.0</v>
      </c>
      <c r="F37" s="33">
        <v>9.0</v>
      </c>
      <c r="G37" s="70">
        <v>0.0</v>
      </c>
      <c r="H37" s="70">
        <v>0.0</v>
      </c>
      <c r="I37" s="70">
        <v>0.0</v>
      </c>
      <c r="J37" s="71">
        <v>9.0</v>
      </c>
      <c r="K37" s="70">
        <v>0.0</v>
      </c>
      <c r="L37" s="33">
        <f t="shared" ref="L37:M37" si="34">C37+J37</f>
        <v>51</v>
      </c>
      <c r="M37" s="33">
        <f t="shared" si="34"/>
        <v>1</v>
      </c>
      <c r="N37" s="33" t="s">
        <v>37</v>
      </c>
      <c r="O37" s="33" t="s">
        <v>37</v>
      </c>
      <c r="P37" s="72">
        <f>if(F37=13,1,0)+VLOOKUP(B37,'72223'!B$5:P493,15,false)</f>
        <v>1</v>
      </c>
      <c r="Q37" s="39"/>
      <c r="R37" s="39">
        <f>if(F37=9,1,0)+VLOOKUP(B37,'72223'!B:R,17,false)</f>
        <v>3</v>
      </c>
    </row>
    <row r="38">
      <c r="A38" s="25">
        <f t="shared" si="3"/>
        <v>34</v>
      </c>
      <c r="B38" s="36" t="s">
        <v>83</v>
      </c>
      <c r="C38" s="33">
        <v>41.0</v>
      </c>
      <c r="D38" s="33">
        <v>2.0</v>
      </c>
      <c r="E38" s="19">
        <v>1.0</v>
      </c>
      <c r="F38" s="33">
        <v>0.0</v>
      </c>
      <c r="G38" s="70">
        <v>7.0</v>
      </c>
      <c r="H38" s="70">
        <v>1.0</v>
      </c>
      <c r="I38" s="70">
        <v>4.0</v>
      </c>
      <c r="J38" s="71">
        <v>12.0</v>
      </c>
      <c r="K38" s="70">
        <v>1.0</v>
      </c>
      <c r="L38" s="33">
        <f t="shared" ref="L38:M38" si="35">C38+J38</f>
        <v>53</v>
      </c>
      <c r="M38" s="33">
        <f t="shared" si="35"/>
        <v>3</v>
      </c>
      <c r="N38" s="33" t="s">
        <v>37</v>
      </c>
      <c r="O38" s="33" t="s">
        <v>37</v>
      </c>
      <c r="P38" s="72">
        <f>if(F38=13,1,0)+VLOOKUP(B38,'72223'!B$5:P494,15,false)</f>
        <v>0</v>
      </c>
      <c r="Q38" s="39"/>
      <c r="R38" s="39">
        <f>if(F38=9,1,0)+VLOOKUP(B38,'72223'!B:R,17,false)</f>
        <v>2</v>
      </c>
    </row>
    <row r="39">
      <c r="A39" s="25">
        <f t="shared" si="3"/>
        <v>35</v>
      </c>
      <c r="B39" s="26" t="s">
        <v>87</v>
      </c>
      <c r="C39" s="33">
        <v>41.0</v>
      </c>
      <c r="D39" s="33">
        <v>1.0</v>
      </c>
      <c r="E39" s="19">
        <v>1.0</v>
      </c>
      <c r="F39" s="33">
        <v>0.0</v>
      </c>
      <c r="G39" s="70">
        <v>6.0</v>
      </c>
      <c r="H39" s="70">
        <v>1.0</v>
      </c>
      <c r="I39" s="70">
        <v>6.0</v>
      </c>
      <c r="J39" s="71">
        <v>13.0</v>
      </c>
      <c r="K39" s="70">
        <v>1.0</v>
      </c>
      <c r="L39" s="33">
        <f t="shared" ref="L39:M39" si="36">C39+J39</f>
        <v>54</v>
      </c>
      <c r="M39" s="33">
        <f t="shared" si="36"/>
        <v>2</v>
      </c>
      <c r="N39" s="33" t="s">
        <v>37</v>
      </c>
      <c r="O39" s="33" t="s">
        <v>37</v>
      </c>
      <c r="P39" s="72">
        <f>if(F39=13,1,0)+VLOOKUP(B39,'72223'!B$5:P495,15,false)</f>
        <v>1</v>
      </c>
      <c r="Q39" s="39"/>
      <c r="R39" s="39">
        <f>if(F39=9,1,0)+VLOOKUP(B39,'72223'!B:R,17,false)</f>
        <v>2</v>
      </c>
    </row>
    <row r="40">
      <c r="A40" s="25">
        <f t="shared" si="3"/>
        <v>36</v>
      </c>
      <c r="B40" s="36" t="s">
        <v>76</v>
      </c>
      <c r="C40" s="33">
        <v>40.0</v>
      </c>
      <c r="D40" s="33">
        <v>2.0</v>
      </c>
      <c r="E40" s="19">
        <v>3.0</v>
      </c>
      <c r="F40" s="33">
        <v>9.0</v>
      </c>
      <c r="G40" s="70">
        <v>0.0</v>
      </c>
      <c r="H40" s="70">
        <v>0.0</v>
      </c>
      <c r="I40" s="70">
        <v>0.0</v>
      </c>
      <c r="J40" s="71">
        <v>9.0</v>
      </c>
      <c r="K40" s="70">
        <v>0.0</v>
      </c>
      <c r="L40" s="33">
        <f t="shared" ref="L40:M40" si="37">C40+J40</f>
        <v>49</v>
      </c>
      <c r="M40" s="33">
        <f t="shared" si="37"/>
        <v>2</v>
      </c>
      <c r="N40" s="33" t="s">
        <v>37</v>
      </c>
      <c r="O40" s="33" t="s">
        <v>37</v>
      </c>
      <c r="P40" s="72">
        <f>if(F40=13,1,0)+VLOOKUP(B40,'72223'!B$5:P496,15,false)</f>
        <v>0</v>
      </c>
      <c r="Q40" s="39"/>
      <c r="R40" s="39">
        <f>if(F40=9,1,0)+VLOOKUP(B40,'72223'!B:R,17,false)</f>
        <v>4</v>
      </c>
    </row>
    <row r="41">
      <c r="A41" s="25">
        <f t="shared" si="3"/>
        <v>37</v>
      </c>
      <c r="B41" s="36" t="s">
        <v>62</v>
      </c>
      <c r="C41" s="33">
        <v>40.0</v>
      </c>
      <c r="D41" s="33">
        <v>2.0</v>
      </c>
      <c r="E41" s="19">
        <v>2.0</v>
      </c>
      <c r="F41" s="33">
        <v>0.0</v>
      </c>
      <c r="G41" s="70">
        <v>2.0</v>
      </c>
      <c r="H41" s="70">
        <v>6.0</v>
      </c>
      <c r="I41" s="70">
        <v>5.0</v>
      </c>
      <c r="J41" s="71">
        <v>13.0</v>
      </c>
      <c r="K41" s="70">
        <v>1.0</v>
      </c>
      <c r="L41" s="33">
        <f t="shared" ref="L41:M41" si="38">C41+J41</f>
        <v>53</v>
      </c>
      <c r="M41" s="33">
        <f t="shared" si="38"/>
        <v>3</v>
      </c>
      <c r="N41" s="33" t="s">
        <v>37</v>
      </c>
      <c r="O41" s="33" t="s">
        <v>37</v>
      </c>
      <c r="P41" s="72">
        <f>if(F41=13,1,0)+VLOOKUP(B41,'72223'!B$5:P497,15,false)</f>
        <v>0</v>
      </c>
      <c r="Q41" s="39"/>
      <c r="R41" s="39">
        <f>if(F41=9,1,0)+VLOOKUP(B41,'72223'!B:R,17,false)</f>
        <v>0</v>
      </c>
    </row>
    <row r="42">
      <c r="A42" s="25">
        <f t="shared" si="3"/>
        <v>38</v>
      </c>
      <c r="B42" s="26" t="s">
        <v>91</v>
      </c>
      <c r="C42" s="33">
        <v>40.0</v>
      </c>
      <c r="D42" s="33">
        <v>0.0</v>
      </c>
      <c r="E42" s="19">
        <v>3.0</v>
      </c>
      <c r="F42" s="33">
        <v>9.0</v>
      </c>
      <c r="G42" s="70">
        <v>0.0</v>
      </c>
      <c r="H42" s="70">
        <v>0.0</v>
      </c>
      <c r="I42" s="70">
        <v>0.0</v>
      </c>
      <c r="J42" s="71">
        <v>9.0</v>
      </c>
      <c r="K42" s="70">
        <v>0.0</v>
      </c>
      <c r="L42" s="33">
        <f t="shared" ref="L42:M42" si="39">C42+J42</f>
        <v>49</v>
      </c>
      <c r="M42" s="33">
        <f t="shared" si="39"/>
        <v>0</v>
      </c>
      <c r="N42" s="33" t="s">
        <v>37</v>
      </c>
      <c r="O42" s="33" t="s">
        <v>37</v>
      </c>
      <c r="P42" s="72">
        <f>if(F42=13,1,0)+VLOOKUP(B42,'72223'!B$5:P498,15,false)</f>
        <v>1</v>
      </c>
      <c r="Q42" s="39"/>
      <c r="R42" s="39">
        <f>if(F42=9,1,0)+VLOOKUP(B42,'72223'!B:R,17,false)</f>
        <v>4</v>
      </c>
    </row>
    <row r="43">
      <c r="A43" s="25">
        <f t="shared" si="3"/>
        <v>39</v>
      </c>
      <c r="B43" s="26" t="s">
        <v>71</v>
      </c>
      <c r="C43" s="33">
        <v>39.0</v>
      </c>
      <c r="D43" s="33">
        <v>3.0</v>
      </c>
      <c r="E43" s="19">
        <v>3.0</v>
      </c>
      <c r="F43" s="33">
        <v>9.0</v>
      </c>
      <c r="G43" s="70">
        <v>0.0</v>
      </c>
      <c r="H43" s="70">
        <v>0.0</v>
      </c>
      <c r="I43" s="70">
        <v>0.0</v>
      </c>
      <c r="J43" s="71">
        <v>9.0</v>
      </c>
      <c r="K43" s="70">
        <v>0.0</v>
      </c>
      <c r="L43" s="33">
        <f t="shared" ref="L43:M43" si="40">C43+J43</f>
        <v>48</v>
      </c>
      <c r="M43" s="33">
        <f t="shared" si="40"/>
        <v>3</v>
      </c>
      <c r="N43" s="33" t="s">
        <v>37</v>
      </c>
      <c r="O43" s="33" t="s">
        <v>37</v>
      </c>
      <c r="P43" s="72">
        <f>if(F43=13,1,0)+VLOOKUP(B43,'72223'!B$5:P499,15,false)</f>
        <v>0</v>
      </c>
      <c r="Q43" s="39">
        <v>2.0</v>
      </c>
      <c r="R43" s="39">
        <f>if(F43=9,1,0)+VLOOKUP(B43,'72223'!B:R,17,false)</f>
        <v>3</v>
      </c>
    </row>
    <row r="44">
      <c r="A44" s="25">
        <f t="shared" si="3"/>
        <v>40</v>
      </c>
      <c r="B44" s="26" t="s">
        <v>78</v>
      </c>
      <c r="C44" s="33">
        <v>39.0</v>
      </c>
      <c r="D44" s="33">
        <v>2.0</v>
      </c>
      <c r="E44" s="19">
        <v>3.0</v>
      </c>
      <c r="F44" s="33">
        <v>9.0</v>
      </c>
      <c r="G44" s="70">
        <v>0.0</v>
      </c>
      <c r="H44" s="70">
        <v>0.0</v>
      </c>
      <c r="I44" s="70">
        <v>0.0</v>
      </c>
      <c r="J44" s="71">
        <v>9.0</v>
      </c>
      <c r="K44" s="70">
        <v>0.0</v>
      </c>
      <c r="L44" s="33">
        <f t="shared" ref="L44:M44" si="41">C44+J44</f>
        <v>48</v>
      </c>
      <c r="M44" s="33">
        <f t="shared" si="41"/>
        <v>2</v>
      </c>
      <c r="N44" s="33" t="s">
        <v>37</v>
      </c>
      <c r="O44" s="33" t="s">
        <v>37</v>
      </c>
      <c r="P44" s="72">
        <f>if(F44=13,1,0)+VLOOKUP(B44,'72223'!B$5:P500,15,false)</f>
        <v>0</v>
      </c>
      <c r="Q44" s="39"/>
      <c r="R44" s="39">
        <f>if(F44=9,1,0)+VLOOKUP(B44,'72223'!B:R,17,false)</f>
        <v>3</v>
      </c>
    </row>
    <row r="45">
      <c r="A45" s="25">
        <f t="shared" si="3"/>
        <v>41</v>
      </c>
      <c r="B45" s="26" t="s">
        <v>89</v>
      </c>
      <c r="C45" s="33">
        <v>38.0</v>
      </c>
      <c r="D45" s="33">
        <v>3.0</v>
      </c>
      <c r="E45" s="19">
        <v>5.0</v>
      </c>
      <c r="F45" s="33">
        <v>13.0</v>
      </c>
      <c r="G45" s="70">
        <v>0.0</v>
      </c>
      <c r="H45" s="70">
        <v>0.0</v>
      </c>
      <c r="I45" s="70">
        <v>0.0</v>
      </c>
      <c r="J45" s="71">
        <v>13.0</v>
      </c>
      <c r="K45" s="70">
        <v>0.0</v>
      </c>
      <c r="L45" s="33">
        <f t="shared" ref="L45:M45" si="42">C45+J45</f>
        <v>51</v>
      </c>
      <c r="M45" s="33">
        <f t="shared" si="42"/>
        <v>3</v>
      </c>
      <c r="N45" s="33" t="s">
        <v>37</v>
      </c>
      <c r="O45" s="33" t="s">
        <v>37</v>
      </c>
      <c r="P45" s="72">
        <f>if(F45=13,1,0)+VLOOKUP(B45,'72223'!B$5:P501,15,false)</f>
        <v>1</v>
      </c>
      <c r="Q45" s="39"/>
      <c r="R45" s="39">
        <f>if(F45=9,1,0)+VLOOKUP(B45,'72223'!B:R,17,false)</f>
        <v>0</v>
      </c>
    </row>
    <row r="46">
      <c r="A46" s="25">
        <f t="shared" si="3"/>
        <v>42</v>
      </c>
      <c r="B46" s="26" t="s">
        <v>90</v>
      </c>
      <c r="C46" s="33">
        <v>38.0</v>
      </c>
      <c r="D46" s="33">
        <v>3.0</v>
      </c>
      <c r="E46" s="19">
        <v>3.0</v>
      </c>
      <c r="F46" s="33">
        <v>9.0</v>
      </c>
      <c r="G46" s="70">
        <v>0.0</v>
      </c>
      <c r="H46" s="70">
        <v>0.0</v>
      </c>
      <c r="I46" s="70">
        <v>0.0</v>
      </c>
      <c r="J46" s="71">
        <v>9.0</v>
      </c>
      <c r="K46" s="70">
        <v>0.0</v>
      </c>
      <c r="L46" s="33">
        <f t="shared" ref="L46:M46" si="43">C46+J46</f>
        <v>47</v>
      </c>
      <c r="M46" s="33">
        <f t="shared" si="43"/>
        <v>3</v>
      </c>
      <c r="N46" s="33" t="s">
        <v>37</v>
      </c>
      <c r="O46" s="33" t="s">
        <v>37</v>
      </c>
      <c r="P46" s="72">
        <f>if(F46=13,1,0)+VLOOKUP(B46,'72223'!B$5:P502,15,false)</f>
        <v>0</v>
      </c>
      <c r="Q46" s="39"/>
      <c r="R46" s="39">
        <f>if(F46=9,1,0)+VLOOKUP(B46,'72223'!B:R,17,false)</f>
        <v>2</v>
      </c>
    </row>
    <row r="47">
      <c r="A47" s="25">
        <f t="shared" si="3"/>
        <v>43</v>
      </c>
      <c r="B47" s="26" t="s">
        <v>53</v>
      </c>
      <c r="C47" s="33">
        <v>38.0</v>
      </c>
      <c r="D47" s="33">
        <v>0.0</v>
      </c>
      <c r="E47" s="19">
        <v>3.0</v>
      </c>
      <c r="F47" s="33">
        <v>9.0</v>
      </c>
      <c r="G47" s="70">
        <v>0.0</v>
      </c>
      <c r="H47" s="70">
        <v>0.0</v>
      </c>
      <c r="I47" s="70">
        <v>0.0</v>
      </c>
      <c r="J47" s="71">
        <v>9.0</v>
      </c>
      <c r="K47" s="70">
        <v>0.0</v>
      </c>
      <c r="L47" s="33">
        <f t="shared" ref="L47:M47" si="44">C47+J47</f>
        <v>47</v>
      </c>
      <c r="M47" s="33">
        <f t="shared" si="44"/>
        <v>0</v>
      </c>
      <c r="N47" s="33" t="s">
        <v>37</v>
      </c>
      <c r="O47" s="33" t="s">
        <v>37</v>
      </c>
      <c r="P47" s="72">
        <f>if(F47=13,1,0)+VLOOKUP(B47,'72223'!B$5:P503,15,false)</f>
        <v>0</v>
      </c>
      <c r="Q47" s="39"/>
      <c r="R47" s="39">
        <f>if(F47=9,1,0)+VLOOKUP(B47,'72223'!B:R,17,false)</f>
        <v>4</v>
      </c>
    </row>
    <row r="48">
      <c r="A48" s="25">
        <f t="shared" si="3"/>
        <v>44</v>
      </c>
      <c r="B48" s="36" t="s">
        <v>96</v>
      </c>
      <c r="C48" s="33">
        <v>37.0</v>
      </c>
      <c r="D48" s="33">
        <v>3.0</v>
      </c>
      <c r="E48" s="19">
        <v>1.0</v>
      </c>
      <c r="F48" s="33">
        <v>0.0</v>
      </c>
      <c r="G48" s="70">
        <v>2.0</v>
      </c>
      <c r="H48" s="70">
        <v>1.0</v>
      </c>
      <c r="I48" s="70">
        <v>7.0</v>
      </c>
      <c r="J48" s="71">
        <v>10.0</v>
      </c>
      <c r="K48" s="70">
        <v>1.0</v>
      </c>
      <c r="L48" s="33">
        <f t="shared" ref="L48:M48" si="45">C48+J48</f>
        <v>47</v>
      </c>
      <c r="M48" s="33">
        <f t="shared" si="45"/>
        <v>4</v>
      </c>
      <c r="N48" s="33" t="s">
        <v>37</v>
      </c>
      <c r="O48" s="33" t="s">
        <v>37</v>
      </c>
      <c r="P48" s="72">
        <f>if(F48=13,1,0)+VLOOKUP(B48,'72223'!B$5:P504,15,false)</f>
        <v>0</v>
      </c>
      <c r="Q48" s="39"/>
      <c r="R48" s="39">
        <f>if(F48=9,1,0)+VLOOKUP(B48,'72223'!B:R,17,false)</f>
        <v>2</v>
      </c>
    </row>
    <row r="49">
      <c r="A49" s="25">
        <f t="shared" si="3"/>
        <v>45</v>
      </c>
      <c r="B49" s="36" t="s">
        <v>108</v>
      </c>
      <c r="C49" s="33">
        <v>36.0</v>
      </c>
      <c r="D49" s="33">
        <v>1.0</v>
      </c>
      <c r="E49" s="19">
        <v>3.0</v>
      </c>
      <c r="F49" s="33">
        <v>9.0</v>
      </c>
      <c r="G49" s="70">
        <v>0.0</v>
      </c>
      <c r="H49" s="70">
        <v>0.0</v>
      </c>
      <c r="I49" s="70">
        <v>0.0</v>
      </c>
      <c r="J49" s="71">
        <v>9.0</v>
      </c>
      <c r="K49" s="70">
        <v>0.0</v>
      </c>
      <c r="L49" s="33">
        <f t="shared" ref="L49:M49" si="46">C49+J49</f>
        <v>45</v>
      </c>
      <c r="M49" s="33">
        <f t="shared" si="46"/>
        <v>1</v>
      </c>
      <c r="N49" s="33" t="s">
        <v>37</v>
      </c>
      <c r="O49" s="33" t="s">
        <v>37</v>
      </c>
      <c r="P49" s="72">
        <f>if(F49=13,1,0)+VLOOKUP(B49,'72223'!B$5:P505,15,false)</f>
        <v>0</v>
      </c>
      <c r="Q49" s="39"/>
      <c r="R49" s="39">
        <f>if(F49=9,1,0)+VLOOKUP(B49,'72223'!B:R,17,false)</f>
        <v>4</v>
      </c>
    </row>
    <row r="50">
      <c r="A50" s="25">
        <f t="shared" si="3"/>
        <v>46</v>
      </c>
      <c r="B50" s="26" t="s">
        <v>64</v>
      </c>
      <c r="C50" s="33">
        <v>36.0</v>
      </c>
      <c r="D50" s="33">
        <v>0.0</v>
      </c>
      <c r="E50" s="19">
        <v>3.0</v>
      </c>
      <c r="F50" s="33">
        <v>9.0</v>
      </c>
      <c r="G50" s="70">
        <v>0.0</v>
      </c>
      <c r="H50" s="70">
        <v>0.0</v>
      </c>
      <c r="I50" s="70">
        <v>0.0</v>
      </c>
      <c r="J50" s="71">
        <v>9.0</v>
      </c>
      <c r="K50" s="70">
        <v>0.0</v>
      </c>
      <c r="L50" s="33">
        <f t="shared" ref="L50:M50" si="47">C50+J50</f>
        <v>45</v>
      </c>
      <c r="M50" s="33">
        <f t="shared" si="47"/>
        <v>0</v>
      </c>
      <c r="N50" s="33" t="s">
        <v>37</v>
      </c>
      <c r="O50" s="33" t="s">
        <v>37</v>
      </c>
      <c r="P50" s="72">
        <f>if(F50=13,1,0)+VLOOKUP(B50,'72223'!B$5:P506,15,false)</f>
        <v>0</v>
      </c>
      <c r="Q50" s="39"/>
      <c r="R50" s="39">
        <f>if(F50=9,1,0)+VLOOKUP(B50,'72223'!B:R,17,false)</f>
        <v>5</v>
      </c>
    </row>
    <row r="51">
      <c r="A51" s="25">
        <f t="shared" si="3"/>
        <v>47</v>
      </c>
      <c r="B51" s="26" t="s">
        <v>103</v>
      </c>
      <c r="C51" s="33">
        <v>36.0</v>
      </c>
      <c r="D51" s="33">
        <v>0.0</v>
      </c>
      <c r="E51" s="19">
        <v>3.0</v>
      </c>
      <c r="F51" s="33">
        <v>9.0</v>
      </c>
      <c r="G51" s="70">
        <v>0.0</v>
      </c>
      <c r="H51" s="70">
        <v>0.0</v>
      </c>
      <c r="I51" s="70">
        <v>0.0</v>
      </c>
      <c r="J51" s="71">
        <v>9.0</v>
      </c>
      <c r="K51" s="70">
        <v>0.0</v>
      </c>
      <c r="L51" s="33">
        <f t="shared" ref="L51:M51" si="48">C51+J51</f>
        <v>45</v>
      </c>
      <c r="M51" s="33">
        <f t="shared" si="48"/>
        <v>0</v>
      </c>
      <c r="N51" s="33" t="s">
        <v>37</v>
      </c>
      <c r="O51" s="33" t="s">
        <v>37</v>
      </c>
      <c r="P51" s="72">
        <f>if(F51=13,1,0)+VLOOKUP(B51,'72223'!B$5:P507,15,false)</f>
        <v>0</v>
      </c>
      <c r="Q51" s="39"/>
      <c r="R51" s="39">
        <f>if(F51=9,1,0)+VLOOKUP(B51,'72223'!B:R,17,false)</f>
        <v>5</v>
      </c>
    </row>
    <row r="52">
      <c r="A52" s="25">
        <f t="shared" si="3"/>
        <v>48</v>
      </c>
      <c r="B52" s="26" t="s">
        <v>95</v>
      </c>
      <c r="C52" s="33">
        <v>36.0</v>
      </c>
      <c r="D52" s="33">
        <v>0.0</v>
      </c>
      <c r="E52" s="19">
        <v>1.0</v>
      </c>
      <c r="F52" s="33">
        <v>0.0</v>
      </c>
      <c r="G52" s="70">
        <v>6.0</v>
      </c>
      <c r="H52" s="70">
        <v>1.0</v>
      </c>
      <c r="I52" s="70">
        <v>5.0</v>
      </c>
      <c r="J52" s="71">
        <v>12.0</v>
      </c>
      <c r="K52" s="70">
        <v>1.0</v>
      </c>
      <c r="L52" s="33">
        <f t="shared" ref="L52:M52" si="49">C52+J52</f>
        <v>48</v>
      </c>
      <c r="M52" s="33">
        <f t="shared" si="49"/>
        <v>1</v>
      </c>
      <c r="N52" s="33" t="s">
        <v>37</v>
      </c>
      <c r="O52" s="33" t="s">
        <v>37</v>
      </c>
      <c r="P52" s="72">
        <f>if(F52=13,1,0)+VLOOKUP(B52,'72223'!B$5:P508,15,false)</f>
        <v>0</v>
      </c>
      <c r="Q52" s="39"/>
      <c r="R52" s="39">
        <f>if(F52=9,1,0)+VLOOKUP(B52,'72223'!B:R,17,false)</f>
        <v>4</v>
      </c>
    </row>
    <row r="53">
      <c r="A53" s="25">
        <f t="shared" si="3"/>
        <v>49</v>
      </c>
      <c r="B53" s="36" t="s">
        <v>93</v>
      </c>
      <c r="C53" s="33">
        <v>36.0</v>
      </c>
      <c r="D53" s="33">
        <v>0.0</v>
      </c>
      <c r="E53" s="19">
        <v>1.0</v>
      </c>
      <c r="F53" s="33">
        <v>0.0</v>
      </c>
      <c r="G53" s="70">
        <v>6.0</v>
      </c>
      <c r="H53" s="70">
        <v>6.0</v>
      </c>
      <c r="I53" s="70">
        <v>7.0</v>
      </c>
      <c r="J53" s="71">
        <v>19.0</v>
      </c>
      <c r="K53" s="70">
        <v>3.0</v>
      </c>
      <c r="L53" s="33">
        <f t="shared" ref="L53:M53" si="50">C53+J53</f>
        <v>55</v>
      </c>
      <c r="M53" s="33">
        <f t="shared" si="50"/>
        <v>3</v>
      </c>
      <c r="N53" s="33" t="s">
        <v>37</v>
      </c>
      <c r="O53" s="33" t="s">
        <v>37</v>
      </c>
      <c r="P53" s="72">
        <f>if(F53=13,1,0)+VLOOKUP(B53,'72223'!B$5:P509,15,false)</f>
        <v>0</v>
      </c>
      <c r="Q53" s="39"/>
      <c r="R53" s="39">
        <f>if(F53=9,1,0)+VLOOKUP(B53,'72223'!B:R,17,false)</f>
        <v>4</v>
      </c>
    </row>
    <row r="54">
      <c r="A54" s="25">
        <f t="shared" si="3"/>
        <v>50</v>
      </c>
      <c r="B54" s="36" t="s">
        <v>98</v>
      </c>
      <c r="C54" s="33">
        <v>36.0</v>
      </c>
      <c r="D54" s="33">
        <v>0.0</v>
      </c>
      <c r="E54" s="19">
        <v>1.0</v>
      </c>
      <c r="F54" s="33">
        <v>0.0</v>
      </c>
      <c r="G54" s="70">
        <v>6.0</v>
      </c>
      <c r="H54" s="70">
        <v>6.0</v>
      </c>
      <c r="I54" s="70">
        <v>6.0</v>
      </c>
      <c r="J54" s="71">
        <v>18.0</v>
      </c>
      <c r="K54" s="70">
        <v>3.0</v>
      </c>
      <c r="L54" s="33">
        <f t="shared" ref="L54:M54" si="51">C54+J54</f>
        <v>54</v>
      </c>
      <c r="M54" s="33">
        <f t="shared" si="51"/>
        <v>3</v>
      </c>
      <c r="N54" s="33" t="s">
        <v>37</v>
      </c>
      <c r="O54" s="33" t="s">
        <v>37</v>
      </c>
      <c r="P54" s="72">
        <f>if(F54=13,1,0)+VLOOKUP(B54,'72223'!B$5:P510,15,false)</f>
        <v>0</v>
      </c>
      <c r="Q54" s="39"/>
      <c r="R54" s="39">
        <f>if(F54=9,1,0)+VLOOKUP(B54,'72223'!B:R,17,false)</f>
        <v>0</v>
      </c>
    </row>
    <row r="55">
      <c r="A55" s="25">
        <f t="shared" si="3"/>
        <v>51</v>
      </c>
      <c r="B55" s="36" t="s">
        <v>104</v>
      </c>
      <c r="C55" s="33">
        <v>36.0</v>
      </c>
      <c r="D55" s="33">
        <v>0.0</v>
      </c>
      <c r="E55" s="19">
        <v>0.0</v>
      </c>
      <c r="F55" s="33">
        <v>9.0</v>
      </c>
      <c r="G55" s="70">
        <v>0.0</v>
      </c>
      <c r="H55" s="70">
        <v>0.0</v>
      </c>
      <c r="I55" s="70">
        <v>0.0</v>
      </c>
      <c r="J55" s="71">
        <v>9.0</v>
      </c>
      <c r="K55" s="70">
        <v>0.0</v>
      </c>
      <c r="L55" s="33">
        <f t="shared" ref="L55:M55" si="52">C55+J55</f>
        <v>45</v>
      </c>
      <c r="M55" s="33">
        <f t="shared" si="52"/>
        <v>0</v>
      </c>
      <c r="N55" s="33" t="s">
        <v>37</v>
      </c>
      <c r="O55" s="33" t="s">
        <v>37</v>
      </c>
      <c r="P55" s="72">
        <f>if(F55=13,1,0)+VLOOKUP(B55,'72223'!B$5:P511,15,false)</f>
        <v>0</v>
      </c>
      <c r="Q55" s="39"/>
      <c r="R55" s="39">
        <f>if(F55=9,1,0)+VLOOKUP(B55,'72223'!B:R,17,false)</f>
        <v>5</v>
      </c>
    </row>
    <row r="56">
      <c r="A56" s="25">
        <f t="shared" si="3"/>
        <v>52</v>
      </c>
      <c r="B56" s="26" t="s">
        <v>105</v>
      </c>
      <c r="C56" s="33">
        <v>36.0</v>
      </c>
      <c r="D56" s="33">
        <v>0.0</v>
      </c>
      <c r="E56" s="19">
        <v>3.0</v>
      </c>
      <c r="F56" s="33">
        <v>9.0</v>
      </c>
      <c r="G56" s="70">
        <v>0.0</v>
      </c>
      <c r="H56" s="70">
        <v>0.0</v>
      </c>
      <c r="I56" s="70">
        <v>0.0</v>
      </c>
      <c r="J56" s="71">
        <v>9.0</v>
      </c>
      <c r="K56" s="70">
        <v>0.0</v>
      </c>
      <c r="L56" s="33">
        <f t="shared" ref="L56:M56" si="53">C56+J56</f>
        <v>45</v>
      </c>
      <c r="M56" s="33">
        <f t="shared" si="53"/>
        <v>0</v>
      </c>
      <c r="N56" s="33" t="s">
        <v>37</v>
      </c>
      <c r="O56" s="33" t="s">
        <v>37</v>
      </c>
      <c r="P56" s="72">
        <f>if(F56=13,1,0)+VLOOKUP(B56,'72223'!B$5:P512,15,false)</f>
        <v>0</v>
      </c>
      <c r="Q56" s="39"/>
      <c r="R56" s="39">
        <f>if(F56=9,1,0)+VLOOKUP(B56,'72223'!B:R,17,false)</f>
        <v>5</v>
      </c>
    </row>
    <row r="57">
      <c r="A57" s="25">
        <f t="shared" si="3"/>
        <v>53</v>
      </c>
      <c r="B57" s="26" t="s">
        <v>106</v>
      </c>
      <c r="C57" s="33">
        <v>36.0</v>
      </c>
      <c r="D57" s="33">
        <v>0.0</v>
      </c>
      <c r="E57" s="19">
        <v>3.0</v>
      </c>
      <c r="F57" s="33">
        <v>9.0</v>
      </c>
      <c r="G57" s="70">
        <v>0.0</v>
      </c>
      <c r="H57" s="70">
        <v>0.0</v>
      </c>
      <c r="I57" s="70">
        <v>0.0</v>
      </c>
      <c r="J57" s="71">
        <v>9.0</v>
      </c>
      <c r="K57" s="70">
        <v>0.0</v>
      </c>
      <c r="L57" s="33">
        <f t="shared" ref="L57:M57" si="54">C57+J57</f>
        <v>45</v>
      </c>
      <c r="M57" s="33">
        <f t="shared" si="54"/>
        <v>0</v>
      </c>
      <c r="N57" s="33" t="s">
        <v>37</v>
      </c>
      <c r="O57" s="33" t="s">
        <v>37</v>
      </c>
      <c r="P57" s="72">
        <f>if(F57=13,1,0)+VLOOKUP(B57,'72223'!B$5:P513,15,false)</f>
        <v>0</v>
      </c>
      <c r="Q57" s="39"/>
      <c r="R57" s="39">
        <f>if(F57=9,1,0)+VLOOKUP(B57,'72223'!B:R,17,false)</f>
        <v>5</v>
      </c>
    </row>
    <row r="58">
      <c r="A58" s="25">
        <f t="shared" si="3"/>
        <v>54</v>
      </c>
      <c r="B58" s="26" t="s">
        <v>100</v>
      </c>
      <c r="C58" s="33">
        <v>36.0</v>
      </c>
      <c r="D58" s="33">
        <v>0.0</v>
      </c>
      <c r="E58" s="19">
        <v>3.0</v>
      </c>
      <c r="F58" s="33">
        <v>9.0</v>
      </c>
      <c r="G58" s="70">
        <v>0.0</v>
      </c>
      <c r="H58" s="70">
        <v>0.0</v>
      </c>
      <c r="I58" s="70">
        <v>0.0</v>
      </c>
      <c r="J58" s="71">
        <v>9.0</v>
      </c>
      <c r="K58" s="70">
        <v>0.0</v>
      </c>
      <c r="L58" s="33">
        <f t="shared" ref="L58:M58" si="55">C58+J58</f>
        <v>45</v>
      </c>
      <c r="M58" s="33">
        <f t="shared" si="55"/>
        <v>0</v>
      </c>
      <c r="N58" s="33" t="s">
        <v>37</v>
      </c>
      <c r="O58" s="33" t="s">
        <v>37</v>
      </c>
      <c r="P58" s="72">
        <f>if(F58=13,1,0)+VLOOKUP(B58,'72223'!B$5:P514,15,false)</f>
        <v>0</v>
      </c>
      <c r="Q58" s="39">
        <v>1.0</v>
      </c>
      <c r="R58" s="39">
        <f>if(F58=9,1,0)+VLOOKUP(B58,'72223'!B:R,17,false)</f>
        <v>5</v>
      </c>
    </row>
    <row r="59">
      <c r="A59" s="25">
        <f t="shared" si="3"/>
        <v>55</v>
      </c>
      <c r="B59" s="36" t="s">
        <v>85</v>
      </c>
      <c r="C59" s="33">
        <v>35.0</v>
      </c>
      <c r="D59" s="33">
        <v>2.0</v>
      </c>
      <c r="E59" s="19">
        <v>1.0</v>
      </c>
      <c r="F59" s="33">
        <v>0.0</v>
      </c>
      <c r="G59" s="70">
        <v>1.0</v>
      </c>
      <c r="H59" s="70">
        <v>0.0</v>
      </c>
      <c r="I59" s="70">
        <v>6.0</v>
      </c>
      <c r="J59" s="71">
        <v>7.0</v>
      </c>
      <c r="K59" s="70">
        <v>1.0</v>
      </c>
      <c r="L59" s="33">
        <f t="shared" ref="L59:M59" si="56">C59+J59</f>
        <v>42</v>
      </c>
      <c r="M59" s="33">
        <f t="shared" si="56"/>
        <v>3</v>
      </c>
      <c r="N59" s="33" t="s">
        <v>37</v>
      </c>
      <c r="O59" s="33" t="s">
        <v>37</v>
      </c>
      <c r="P59" s="72">
        <f>if(F59=13,1,0)+VLOOKUP(B59,'72223'!B$5:P515,15,false)</f>
        <v>0</v>
      </c>
      <c r="Q59" s="39"/>
      <c r="R59" s="39">
        <f>if(F59=9,1,0)+VLOOKUP(B59,'72223'!B:R,17,false)</f>
        <v>2</v>
      </c>
    </row>
    <row r="60">
      <c r="A60" s="25">
        <f t="shared" si="3"/>
        <v>56</v>
      </c>
      <c r="B60" s="36" t="s">
        <v>97</v>
      </c>
      <c r="C60" s="33">
        <v>32.0</v>
      </c>
      <c r="D60" s="33">
        <v>1.0</v>
      </c>
      <c r="E60" s="19">
        <v>1.0</v>
      </c>
      <c r="F60" s="33">
        <v>0.0</v>
      </c>
      <c r="G60" s="70">
        <v>1.0</v>
      </c>
      <c r="H60" s="70">
        <v>6.0</v>
      </c>
      <c r="I60" s="70">
        <v>1.0</v>
      </c>
      <c r="J60" s="71">
        <v>8.0</v>
      </c>
      <c r="K60" s="70">
        <v>1.0</v>
      </c>
      <c r="L60" s="33">
        <f t="shared" ref="L60:M60" si="57">C60+J60</f>
        <v>40</v>
      </c>
      <c r="M60" s="33">
        <f t="shared" si="57"/>
        <v>2</v>
      </c>
      <c r="N60" s="33" t="s">
        <v>37</v>
      </c>
      <c r="O60" s="33" t="s">
        <v>37</v>
      </c>
      <c r="P60" s="72">
        <f>if(F60=13,1,0)+VLOOKUP(B60,'72223'!B$5:P516,15,false)</f>
        <v>0</v>
      </c>
      <c r="Q60" s="39"/>
      <c r="R60" s="39">
        <f>if(F60=9,1,0)+VLOOKUP(B60,'72223'!B:R,17,false)</f>
        <v>2</v>
      </c>
    </row>
    <row r="61">
      <c r="A61" s="25">
        <f t="shared" si="3"/>
        <v>57</v>
      </c>
      <c r="B61" s="36" t="s">
        <v>109</v>
      </c>
      <c r="C61" s="33">
        <v>27.0</v>
      </c>
      <c r="D61" s="33">
        <v>0.0</v>
      </c>
      <c r="E61" s="19">
        <v>1.0</v>
      </c>
      <c r="F61" s="33">
        <v>0.0</v>
      </c>
      <c r="G61" s="70">
        <v>6.0</v>
      </c>
      <c r="H61" s="70">
        <v>0.0</v>
      </c>
      <c r="I61" s="70">
        <v>1.0</v>
      </c>
      <c r="J61" s="71">
        <v>7.0</v>
      </c>
      <c r="K61" s="70">
        <v>0.0</v>
      </c>
      <c r="L61" s="33">
        <f t="shared" ref="L61:M61" si="58">C61+J61</f>
        <v>34</v>
      </c>
      <c r="M61" s="33">
        <f t="shared" si="58"/>
        <v>0</v>
      </c>
      <c r="N61" s="33" t="s">
        <v>37</v>
      </c>
      <c r="O61" s="33" t="s">
        <v>37</v>
      </c>
      <c r="P61" s="72">
        <f>if(F61=13,1,0)+VLOOKUP(B61,'72223'!B$5:P517,15,false)</f>
        <v>0</v>
      </c>
      <c r="Q61" s="39"/>
      <c r="R61" s="39">
        <f>if(F61=9,1,0)+VLOOKUP(B61,'72223'!B:R,17,false)</f>
        <v>2</v>
      </c>
    </row>
    <row r="62">
      <c r="A62" s="1"/>
      <c r="C62" s="1"/>
      <c r="D62" s="1"/>
      <c r="E62" s="1"/>
      <c r="O62" s="1"/>
    </row>
    <row r="63">
      <c r="A63" s="1"/>
      <c r="B63" s="39">
        <f>COUNTA(B5:B61)</f>
        <v>57</v>
      </c>
      <c r="C63" s="1"/>
      <c r="D63" s="1"/>
      <c r="E63" s="1"/>
      <c r="N63" s="34" t="s">
        <v>110</v>
      </c>
      <c r="O63" s="40">
        <f>COUNTA(O5:O61)</f>
        <v>57</v>
      </c>
    </row>
    <row r="64">
      <c r="A64" s="1"/>
      <c r="C64" s="1"/>
      <c r="D64" s="1"/>
      <c r="E64" s="1"/>
      <c r="N64" s="34" t="s">
        <v>111</v>
      </c>
      <c r="O64" s="40">
        <f>O65-O63</f>
        <v>0</v>
      </c>
    </row>
    <row r="65">
      <c r="A65" s="1"/>
      <c r="C65" s="1"/>
      <c r="D65" s="1"/>
      <c r="I65" s="74">
        <v>0.0</v>
      </c>
      <c r="J65" s="75" t="s">
        <v>12</v>
      </c>
      <c r="K65" s="76">
        <f t="shared" ref="K65:K69" si="59">COUNTIF(E$5:E$61,I65)</f>
        <v>2</v>
      </c>
      <c r="N65" s="34" t="s">
        <v>41</v>
      </c>
      <c r="O65" s="40">
        <f>B63</f>
        <v>57</v>
      </c>
    </row>
    <row r="66">
      <c r="A66" s="1"/>
      <c r="C66" s="1"/>
      <c r="D66" s="1"/>
      <c r="E66" s="34" t="s">
        <v>112</v>
      </c>
      <c r="I66" s="74">
        <v>1.0</v>
      </c>
      <c r="J66" s="75" t="s">
        <v>122</v>
      </c>
      <c r="K66" s="76">
        <f t="shared" si="59"/>
        <v>28</v>
      </c>
    </row>
    <row r="67">
      <c r="A67" s="1"/>
      <c r="C67" s="1"/>
      <c r="D67" s="1"/>
      <c r="I67" s="74">
        <v>2.0</v>
      </c>
      <c r="J67" s="75" t="s">
        <v>123</v>
      </c>
      <c r="K67" s="76">
        <f t="shared" si="59"/>
        <v>4</v>
      </c>
    </row>
    <row r="68">
      <c r="A68" s="1"/>
      <c r="C68" s="1"/>
      <c r="D68" s="1"/>
      <c r="I68" s="74">
        <v>3.0</v>
      </c>
      <c r="J68" s="75" t="s">
        <v>39</v>
      </c>
      <c r="K68" s="76">
        <f t="shared" si="59"/>
        <v>22</v>
      </c>
    </row>
    <row r="69">
      <c r="A69" s="1"/>
      <c r="C69" s="1"/>
      <c r="D69" s="1"/>
      <c r="I69" s="74">
        <v>4.0</v>
      </c>
      <c r="J69" s="75" t="s">
        <v>124</v>
      </c>
      <c r="K69" s="76">
        <f t="shared" si="59"/>
        <v>0</v>
      </c>
    </row>
    <row r="70">
      <c r="A70" s="1"/>
      <c r="C70" s="1"/>
      <c r="D70" s="1"/>
      <c r="E70" s="1"/>
      <c r="J70" s="75" t="s">
        <v>41</v>
      </c>
      <c r="K70" s="76">
        <f>sum(K65:K69)</f>
        <v>56</v>
      </c>
    </row>
    <row r="71">
      <c r="A71" s="1"/>
      <c r="C71" s="1"/>
      <c r="D71" s="1"/>
      <c r="E71" s="1"/>
      <c r="J71" s="34"/>
      <c r="K71" s="47"/>
    </row>
    <row r="72">
      <c r="A72" s="1"/>
      <c r="C72" s="1"/>
      <c r="D72" s="1"/>
      <c r="E72" s="1"/>
    </row>
    <row r="73">
      <c r="A73" s="1"/>
      <c r="C73" s="1"/>
      <c r="D73" s="1"/>
      <c r="E73" s="1"/>
    </row>
    <row r="74">
      <c r="A74" s="1"/>
      <c r="C74" s="1"/>
      <c r="D74" s="1"/>
      <c r="E74" s="1"/>
      <c r="J74" s="14" t="s">
        <v>122</v>
      </c>
      <c r="K74" s="13">
        <f>K66+K67+K69</f>
        <v>32</v>
      </c>
    </row>
    <row r="75">
      <c r="A75" s="1"/>
      <c r="C75" s="1"/>
      <c r="D75" s="1"/>
      <c r="E75" s="1"/>
      <c r="J75" s="14" t="s">
        <v>39</v>
      </c>
      <c r="K75" s="13">
        <f>K68</f>
        <v>22</v>
      </c>
    </row>
    <row r="76">
      <c r="A76" s="1"/>
      <c r="C76" s="1"/>
      <c r="D76" s="1"/>
      <c r="E76" s="1"/>
      <c r="J76" s="14" t="s">
        <v>40</v>
      </c>
      <c r="K76" s="13">
        <f>K65</f>
        <v>2</v>
      </c>
    </row>
    <row r="77">
      <c r="A77" s="1"/>
      <c r="C77" s="1"/>
      <c r="D77" s="1"/>
      <c r="E77" s="1"/>
      <c r="J77" s="14" t="s">
        <v>41</v>
      </c>
      <c r="K77" s="13">
        <f>SUM(K74:K76)</f>
        <v>56</v>
      </c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D1"/>
    <mergeCell ref="G1:I1"/>
    <mergeCell ref="J1:K1"/>
    <mergeCell ref="B2:C2"/>
    <mergeCell ref="L3:M3"/>
  </mergeCells>
  <conditionalFormatting sqref="J5:J61">
    <cfRule type="expression" dxfId="0" priority="1">
      <formula> J5&gt;=18</formula>
    </cfRule>
  </conditionalFormatting>
  <conditionalFormatting sqref="J10 L10:M10">
    <cfRule type="expression" dxfId="1" priority="2">
      <formula>iseven</formula>
    </cfRule>
  </conditionalFormatting>
  <conditionalFormatting sqref="B5:B61">
    <cfRule type="expression" dxfId="0" priority="3">
      <formula>E5=1</formula>
    </cfRule>
  </conditionalFormatting>
  <conditionalFormatting sqref="B5:B61">
    <cfRule type="expression" dxfId="2" priority="4">
      <formula>E5=2</formula>
    </cfRule>
  </conditionalFormatting>
  <conditionalFormatting sqref="B5:B61">
    <cfRule type="expression" dxfId="3" priority="5">
      <formula>E5=3</formula>
    </cfRule>
  </conditionalFormatting>
  <conditionalFormatting sqref="B5:B61">
    <cfRule type="expression" dxfId="4" priority="6">
      <formula>E5=4</formula>
    </cfRule>
  </conditionalFormatting>
  <conditionalFormatting sqref="K71">
    <cfRule type="containsText" dxfId="0" priority="7" operator="containsText" text="Good">
      <formula>NOT(ISERROR(SEARCH(("Good"),(K71))))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63"/>
    <col customWidth="1" min="17" max="17" width="8.38"/>
    <col customWidth="1" min="18" max="18" width="8.75"/>
  </cols>
  <sheetData>
    <row r="1">
      <c r="A1" s="1"/>
      <c r="B1" s="2" t="s">
        <v>1</v>
      </c>
      <c r="C1" s="3">
        <v>45129.0</v>
      </c>
      <c r="E1" s="1"/>
      <c r="F1" s="5"/>
      <c r="G1" s="5"/>
      <c r="J1" s="5"/>
      <c r="L1" s="5"/>
    </row>
    <row r="2">
      <c r="A2" s="1"/>
      <c r="B2" s="8" t="s">
        <v>6</v>
      </c>
      <c r="D2" s="9">
        <v>4.0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33</v>
      </c>
    </row>
    <row r="5">
      <c r="A5" s="25">
        <v>1.0</v>
      </c>
      <c r="B5" s="36" t="s">
        <v>67</v>
      </c>
      <c r="C5" s="39">
        <v>49.0</v>
      </c>
      <c r="D5" s="39">
        <v>6.0</v>
      </c>
      <c r="E5" s="39">
        <v>1.0</v>
      </c>
      <c r="F5" s="33">
        <f t="shared" ref="F5:F61" si="2">IF(OR(E5=3,E5=4),9,IF(E5=5,13,0))</f>
        <v>0</v>
      </c>
      <c r="G5" s="39">
        <v>3.0</v>
      </c>
      <c r="H5" s="39">
        <v>6.0</v>
      </c>
      <c r="I5" s="39">
        <v>6.0</v>
      </c>
      <c r="J5" s="71">
        <f t="shared" ref="J5:J61" si="3">F5+G5+H5+I5</f>
        <v>15</v>
      </c>
      <c r="K5" s="39">
        <v>2.0</v>
      </c>
      <c r="L5" s="33">
        <f t="shared" ref="L5:M5" si="1">C5+J5</f>
        <v>64</v>
      </c>
      <c r="M5" s="33">
        <f t="shared" si="1"/>
        <v>8</v>
      </c>
      <c r="N5" s="39" t="s">
        <v>37</v>
      </c>
      <c r="O5" s="73" t="s">
        <v>37</v>
      </c>
      <c r="P5" s="72">
        <f>if(F5=13,1,0)+VLOOKUP(B5,'71523'!B$5:P$58,15,false)</f>
        <v>0</v>
      </c>
      <c r="Q5" s="39"/>
      <c r="R5" s="39">
        <f>if(E5=9,1,0)+VLOOKUP(B5,'71523'!B:R,17,false)</f>
        <v>0</v>
      </c>
    </row>
    <row r="6">
      <c r="A6" s="25">
        <f t="shared" ref="A6:A61" si="5">A5+1</f>
        <v>2</v>
      </c>
      <c r="B6" s="26" t="s">
        <v>54</v>
      </c>
      <c r="C6" s="39">
        <v>46.0</v>
      </c>
      <c r="D6" s="39">
        <v>6.0</v>
      </c>
      <c r="E6" s="39">
        <v>1.0</v>
      </c>
      <c r="F6" s="33">
        <f t="shared" si="2"/>
        <v>0</v>
      </c>
      <c r="G6" s="39">
        <v>6.0</v>
      </c>
      <c r="H6" s="39">
        <v>6.0</v>
      </c>
      <c r="I6" s="39">
        <v>2.0</v>
      </c>
      <c r="J6" s="71">
        <f t="shared" si="3"/>
        <v>14</v>
      </c>
      <c r="K6" s="39">
        <v>2.0</v>
      </c>
      <c r="L6" s="33">
        <f t="shared" ref="L6:M6" si="4">C6+J6</f>
        <v>60</v>
      </c>
      <c r="M6" s="33">
        <f t="shared" si="4"/>
        <v>8</v>
      </c>
      <c r="N6" s="39" t="s">
        <v>37</v>
      </c>
      <c r="O6" s="73" t="s">
        <v>37</v>
      </c>
      <c r="P6" s="72">
        <f>if(F6=13,1,0)+VLOOKUP(B6,'71523'!B$5:P$58,15,false)</f>
        <v>0</v>
      </c>
      <c r="Q6" s="39"/>
      <c r="R6" s="39">
        <f>if(E6=9,1,0)+VLOOKUP(B6,'71523'!B:R,17,false)</f>
        <v>0</v>
      </c>
    </row>
    <row r="7">
      <c r="A7" s="25">
        <f t="shared" si="5"/>
        <v>3</v>
      </c>
      <c r="B7" s="26" t="s">
        <v>52</v>
      </c>
      <c r="C7" s="39">
        <v>44.0</v>
      </c>
      <c r="D7" s="39">
        <v>6.0</v>
      </c>
      <c r="E7" s="39">
        <v>1.0</v>
      </c>
      <c r="F7" s="33">
        <f t="shared" si="2"/>
        <v>0</v>
      </c>
      <c r="G7" s="39">
        <v>3.0</v>
      </c>
      <c r="H7" s="39">
        <v>1.0</v>
      </c>
      <c r="I7" s="39">
        <v>2.0</v>
      </c>
      <c r="J7" s="71">
        <f t="shared" si="3"/>
        <v>6</v>
      </c>
      <c r="K7" s="39">
        <v>0.0</v>
      </c>
      <c r="L7" s="33">
        <f t="shared" ref="L7:M7" si="6">C7+J7</f>
        <v>50</v>
      </c>
      <c r="M7" s="33">
        <f t="shared" si="6"/>
        <v>6</v>
      </c>
      <c r="N7" s="39" t="s">
        <v>37</v>
      </c>
      <c r="O7" s="73" t="s">
        <v>37</v>
      </c>
      <c r="P7" s="72">
        <f>if(F7=13,1,0)+VLOOKUP(B7,'71523'!B$5:P$58,15,false)</f>
        <v>0</v>
      </c>
      <c r="Q7" s="39"/>
      <c r="R7" s="39">
        <f>if(E7=9,1,0)+VLOOKUP(B7,'71523'!B:R,17,false)</f>
        <v>0</v>
      </c>
    </row>
    <row r="8">
      <c r="A8" s="25">
        <f t="shared" si="5"/>
        <v>4</v>
      </c>
      <c r="B8" s="26" t="s">
        <v>60</v>
      </c>
      <c r="C8" s="39">
        <v>44.0</v>
      </c>
      <c r="D8" s="39">
        <v>5.0</v>
      </c>
      <c r="E8" s="39">
        <v>1.0</v>
      </c>
      <c r="F8" s="33">
        <f t="shared" si="2"/>
        <v>0</v>
      </c>
      <c r="G8" s="39">
        <v>6.0</v>
      </c>
      <c r="H8" s="39">
        <v>1.0</v>
      </c>
      <c r="I8" s="39">
        <v>6.0</v>
      </c>
      <c r="J8" s="71">
        <f t="shared" si="3"/>
        <v>13</v>
      </c>
      <c r="K8" s="39">
        <v>2.0</v>
      </c>
      <c r="L8" s="33">
        <f t="shared" ref="L8:M8" si="7">C8+J8</f>
        <v>57</v>
      </c>
      <c r="M8" s="33">
        <f t="shared" si="7"/>
        <v>7</v>
      </c>
      <c r="N8" s="39" t="s">
        <v>37</v>
      </c>
      <c r="O8" s="73" t="s">
        <v>37</v>
      </c>
      <c r="P8" s="72">
        <f>if(F8=13,1,0)+VLOOKUP(B8,'71523'!B$5:P$58,15,false)</f>
        <v>0</v>
      </c>
      <c r="Q8" s="39"/>
      <c r="R8" s="39">
        <f>if(E8=9,1,0)+VLOOKUP(B8,'71523'!B:R,17,false)</f>
        <v>0</v>
      </c>
    </row>
    <row r="9">
      <c r="A9" s="25">
        <f t="shared" si="5"/>
        <v>5</v>
      </c>
      <c r="B9" s="26" t="s">
        <v>48</v>
      </c>
      <c r="C9" s="39">
        <v>43.0</v>
      </c>
      <c r="D9" s="39">
        <v>5.0</v>
      </c>
      <c r="E9" s="39">
        <v>3.0</v>
      </c>
      <c r="F9" s="33">
        <f t="shared" si="2"/>
        <v>9</v>
      </c>
      <c r="G9" s="39">
        <v>0.0</v>
      </c>
      <c r="H9" s="39">
        <v>0.0</v>
      </c>
      <c r="I9" s="39">
        <v>0.0</v>
      </c>
      <c r="J9" s="71">
        <f t="shared" si="3"/>
        <v>9</v>
      </c>
      <c r="K9" s="39">
        <v>0.0</v>
      </c>
      <c r="L9" s="33">
        <f t="shared" ref="L9:M9" si="8">C9+J9</f>
        <v>52</v>
      </c>
      <c r="M9" s="33">
        <f t="shared" si="8"/>
        <v>5</v>
      </c>
      <c r="N9" s="39" t="s">
        <v>37</v>
      </c>
      <c r="O9" s="73" t="s">
        <v>37</v>
      </c>
      <c r="P9" s="72">
        <f>if(F9=13,1,0)+VLOOKUP(B9,'71523'!B$5:P$58,15,false)</f>
        <v>0</v>
      </c>
      <c r="Q9" s="39"/>
      <c r="R9" s="39">
        <f>if(E9=9,1,0)+VLOOKUP(B9,'71523'!B:R,17,false)</f>
        <v>1</v>
      </c>
    </row>
    <row r="10">
      <c r="A10" s="25">
        <f t="shared" si="5"/>
        <v>6</v>
      </c>
      <c r="B10" s="26" t="s">
        <v>49</v>
      </c>
      <c r="C10" s="39">
        <v>43.0</v>
      </c>
      <c r="D10" s="39">
        <v>4.0</v>
      </c>
      <c r="E10" s="39">
        <v>1.0</v>
      </c>
      <c r="F10" s="33">
        <f t="shared" si="2"/>
        <v>0</v>
      </c>
      <c r="G10" s="39">
        <v>7.0</v>
      </c>
      <c r="H10" s="39">
        <v>4.0</v>
      </c>
      <c r="I10" s="39">
        <v>6.0</v>
      </c>
      <c r="J10" s="71">
        <f t="shared" si="3"/>
        <v>17</v>
      </c>
      <c r="K10" s="39">
        <v>2.0</v>
      </c>
      <c r="L10" s="33">
        <f t="shared" ref="L10:M10" si="9">C10+J10</f>
        <v>60</v>
      </c>
      <c r="M10" s="33">
        <f t="shared" si="9"/>
        <v>6</v>
      </c>
      <c r="N10" s="39" t="s">
        <v>37</v>
      </c>
      <c r="O10" s="73" t="s">
        <v>37</v>
      </c>
      <c r="P10" s="72">
        <f>if(F10=13,1,0)+VLOOKUP(B10,'71523'!B$5:P$58,15,false)</f>
        <v>0</v>
      </c>
      <c r="Q10" s="39">
        <v>1.0</v>
      </c>
      <c r="R10" s="39">
        <f>if(E10=9,1,0)+VLOOKUP(B10,'71523'!B:R,17,false)</f>
        <v>0</v>
      </c>
    </row>
    <row r="11">
      <c r="A11" s="25">
        <f t="shared" si="5"/>
        <v>7</v>
      </c>
      <c r="B11" s="26" t="s">
        <v>61</v>
      </c>
      <c r="C11" s="39">
        <v>42.0</v>
      </c>
      <c r="D11" s="39">
        <v>4.0</v>
      </c>
      <c r="E11" s="39">
        <v>3.0</v>
      </c>
      <c r="F11" s="33">
        <f t="shared" si="2"/>
        <v>9</v>
      </c>
      <c r="G11" s="39">
        <v>0.0</v>
      </c>
      <c r="H11" s="39">
        <v>0.0</v>
      </c>
      <c r="I11" s="39">
        <v>0.0</v>
      </c>
      <c r="J11" s="71">
        <f t="shared" si="3"/>
        <v>9</v>
      </c>
      <c r="K11" s="39">
        <v>0.0</v>
      </c>
      <c r="L11" s="33">
        <f t="shared" ref="L11:M11" si="10">C11+J11</f>
        <v>51</v>
      </c>
      <c r="M11" s="33">
        <f t="shared" si="10"/>
        <v>4</v>
      </c>
      <c r="N11" s="39" t="s">
        <v>37</v>
      </c>
      <c r="O11" s="73" t="s">
        <v>37</v>
      </c>
      <c r="P11" s="72">
        <f>if(F11=13,1,0)+VLOOKUP(B11,'71523'!B$5:P$58,15,false)</f>
        <v>0</v>
      </c>
      <c r="Q11" s="39"/>
      <c r="R11" s="39">
        <f>if(E11=9,1,0)+VLOOKUP(B11,'71523'!B:R,17,false)</f>
        <v>1</v>
      </c>
    </row>
    <row r="12">
      <c r="A12" s="25">
        <f t="shared" si="5"/>
        <v>8</v>
      </c>
      <c r="B12" s="26" t="s">
        <v>70</v>
      </c>
      <c r="C12" s="39">
        <v>41.0</v>
      </c>
      <c r="D12" s="39">
        <v>4.0</v>
      </c>
      <c r="E12" s="39">
        <v>1.0</v>
      </c>
      <c r="F12" s="33">
        <f t="shared" si="2"/>
        <v>0</v>
      </c>
      <c r="G12" s="39">
        <v>7.0</v>
      </c>
      <c r="H12" s="39">
        <v>6.0</v>
      </c>
      <c r="I12" s="39">
        <v>2.0</v>
      </c>
      <c r="J12" s="71">
        <f t="shared" si="3"/>
        <v>15</v>
      </c>
      <c r="K12" s="39">
        <v>2.0</v>
      </c>
      <c r="L12" s="33">
        <f t="shared" ref="L12:M12" si="11">C12+J12</f>
        <v>56</v>
      </c>
      <c r="M12" s="33">
        <f t="shared" si="11"/>
        <v>6</v>
      </c>
      <c r="N12" s="39" t="s">
        <v>37</v>
      </c>
      <c r="O12" s="73" t="s">
        <v>37</v>
      </c>
      <c r="P12" s="72">
        <f>if(F12=13,1,0)+VLOOKUP(B12,'71523'!B$5:P$58,15,false)</f>
        <v>0</v>
      </c>
      <c r="Q12" s="39"/>
      <c r="R12" s="39">
        <f>if(E12=9,1,0)+VLOOKUP(B12,'71523'!B:R,17,false)</f>
        <v>1</v>
      </c>
    </row>
    <row r="13">
      <c r="A13" s="25">
        <f t="shared" si="5"/>
        <v>9</v>
      </c>
      <c r="B13" s="36" t="s">
        <v>88</v>
      </c>
      <c r="C13" s="39">
        <v>41.0</v>
      </c>
      <c r="D13" s="39">
        <v>4.0</v>
      </c>
      <c r="E13" s="39">
        <v>3.0</v>
      </c>
      <c r="F13" s="33">
        <f t="shared" si="2"/>
        <v>9</v>
      </c>
      <c r="G13" s="39">
        <v>0.0</v>
      </c>
      <c r="H13" s="39">
        <v>0.0</v>
      </c>
      <c r="I13" s="39">
        <v>0.0</v>
      </c>
      <c r="J13" s="71">
        <f t="shared" si="3"/>
        <v>9</v>
      </c>
      <c r="K13" s="39">
        <v>0.0</v>
      </c>
      <c r="L13" s="33">
        <f t="shared" ref="L13:M13" si="12">C13+J13</f>
        <v>50</v>
      </c>
      <c r="M13" s="33">
        <f t="shared" si="12"/>
        <v>4</v>
      </c>
      <c r="N13" s="39" t="s">
        <v>37</v>
      </c>
      <c r="O13" s="73" t="s">
        <v>37</v>
      </c>
      <c r="P13" s="72">
        <f>if(F13=13,1,0)+VLOOKUP(B13,'71523'!B$5:P$58,15,false)</f>
        <v>0</v>
      </c>
      <c r="Q13" s="39"/>
      <c r="R13" s="39">
        <f>if(E13=9,1,0)+VLOOKUP(B13,'71523'!B:R,17,false)</f>
        <v>1</v>
      </c>
    </row>
    <row r="14">
      <c r="A14" s="25">
        <f t="shared" si="5"/>
        <v>10</v>
      </c>
      <c r="B14" s="26" t="s">
        <v>68</v>
      </c>
      <c r="C14" s="39">
        <v>41.0</v>
      </c>
      <c r="D14" s="39">
        <v>3.0</v>
      </c>
      <c r="E14" s="39">
        <v>2.0</v>
      </c>
      <c r="F14" s="33">
        <f t="shared" si="2"/>
        <v>0</v>
      </c>
      <c r="G14" s="39">
        <v>6.0</v>
      </c>
      <c r="H14" s="39">
        <v>6.0</v>
      </c>
      <c r="I14" s="39">
        <v>6.0</v>
      </c>
      <c r="J14" s="71">
        <f t="shared" si="3"/>
        <v>18</v>
      </c>
      <c r="K14" s="39">
        <v>2.0</v>
      </c>
      <c r="L14" s="33">
        <f t="shared" ref="L14:M14" si="13">C14+J14</f>
        <v>59</v>
      </c>
      <c r="M14" s="33">
        <f t="shared" si="13"/>
        <v>5</v>
      </c>
      <c r="N14" s="39" t="s">
        <v>37</v>
      </c>
      <c r="O14" s="73" t="s">
        <v>37</v>
      </c>
      <c r="P14" s="72">
        <f>if(F14=13,1,0)+VLOOKUP(B14,'71523'!B$5:P$58,15,false)</f>
        <v>1</v>
      </c>
      <c r="Q14" s="39"/>
      <c r="R14" s="39">
        <f>if(E14=9,1,0)+VLOOKUP(B14,'71523'!B:R,17,false)</f>
        <v>1</v>
      </c>
    </row>
    <row r="15">
      <c r="A15" s="25">
        <f t="shared" si="5"/>
        <v>11</v>
      </c>
      <c r="B15" s="36" t="s">
        <v>59</v>
      </c>
      <c r="C15" s="39">
        <v>41.0</v>
      </c>
      <c r="D15" s="39">
        <v>3.0</v>
      </c>
      <c r="E15" s="39">
        <v>1.0</v>
      </c>
      <c r="F15" s="33">
        <f t="shared" si="2"/>
        <v>0</v>
      </c>
      <c r="G15" s="39">
        <v>6.0</v>
      </c>
      <c r="H15" s="39">
        <v>4.0</v>
      </c>
      <c r="I15" s="39">
        <v>2.0</v>
      </c>
      <c r="J15" s="71">
        <f t="shared" si="3"/>
        <v>12</v>
      </c>
      <c r="K15" s="39">
        <v>0.0</v>
      </c>
      <c r="L15" s="33">
        <f t="shared" ref="L15:M15" si="14">C15+J15</f>
        <v>53</v>
      </c>
      <c r="M15" s="33">
        <f t="shared" si="14"/>
        <v>3</v>
      </c>
      <c r="N15" s="39" t="s">
        <v>37</v>
      </c>
      <c r="O15" s="73" t="s">
        <v>37</v>
      </c>
      <c r="P15" s="72">
        <f>if(F15=13,1,0)+VLOOKUP(B15,'71523'!B$5:P$58,15,false)</f>
        <v>0</v>
      </c>
      <c r="Q15" s="39"/>
      <c r="R15" s="39">
        <f>if(E15=9,1,0)+VLOOKUP(B15,'71523'!B:R,17,false)</f>
        <v>0</v>
      </c>
    </row>
    <row r="16">
      <c r="A16" s="25">
        <f t="shared" si="5"/>
        <v>12</v>
      </c>
      <c r="B16" s="26" t="s">
        <v>58</v>
      </c>
      <c r="C16" s="39">
        <v>41.0</v>
      </c>
      <c r="D16" s="39">
        <v>3.0</v>
      </c>
      <c r="E16" s="39">
        <v>3.0</v>
      </c>
      <c r="F16" s="33">
        <f t="shared" si="2"/>
        <v>9</v>
      </c>
      <c r="G16" s="39">
        <v>0.0</v>
      </c>
      <c r="H16" s="39">
        <v>0.0</v>
      </c>
      <c r="I16" s="39">
        <v>0.0</v>
      </c>
      <c r="J16" s="71">
        <f t="shared" si="3"/>
        <v>9</v>
      </c>
      <c r="K16" s="39">
        <v>0.0</v>
      </c>
      <c r="L16" s="33">
        <f t="shared" ref="L16:M16" si="15">C16+J16</f>
        <v>50</v>
      </c>
      <c r="M16" s="33">
        <f t="shared" si="15"/>
        <v>3</v>
      </c>
      <c r="N16" s="39" t="s">
        <v>37</v>
      </c>
      <c r="O16" s="73" t="s">
        <v>37</v>
      </c>
      <c r="P16" s="72">
        <f>if(F16=13,1,0)+VLOOKUP(B16,'71523'!B$5:P$58,15,false)</f>
        <v>0</v>
      </c>
      <c r="Q16" s="39"/>
      <c r="R16" s="39">
        <f>if(E16=9,1,0)+VLOOKUP(B16,'71523'!B:R,17,false)</f>
        <v>1</v>
      </c>
    </row>
    <row r="17">
      <c r="A17" s="25">
        <f t="shared" si="5"/>
        <v>13</v>
      </c>
      <c r="B17" s="26" t="s">
        <v>72</v>
      </c>
      <c r="C17" s="39">
        <v>40.0</v>
      </c>
      <c r="D17" s="39">
        <v>4.0</v>
      </c>
      <c r="E17" s="39">
        <v>1.0</v>
      </c>
      <c r="F17" s="33">
        <f t="shared" si="2"/>
        <v>0</v>
      </c>
      <c r="G17" s="39">
        <v>6.0</v>
      </c>
      <c r="H17" s="39">
        <v>6.0</v>
      </c>
      <c r="I17" s="39">
        <v>6.0</v>
      </c>
      <c r="J17" s="71">
        <f t="shared" si="3"/>
        <v>18</v>
      </c>
      <c r="K17" s="39">
        <v>3.0</v>
      </c>
      <c r="L17" s="33">
        <f t="shared" ref="L17:M17" si="16">C17+J17</f>
        <v>58</v>
      </c>
      <c r="M17" s="33">
        <f t="shared" si="16"/>
        <v>7</v>
      </c>
      <c r="N17" s="39" t="s">
        <v>37</v>
      </c>
      <c r="O17" s="73" t="s">
        <v>37</v>
      </c>
      <c r="P17" s="72">
        <f>if(F17=13,1,0)+VLOOKUP(B17,'71523'!B$5:P$58,15,false)</f>
        <v>0</v>
      </c>
      <c r="Q17" s="39"/>
      <c r="R17" s="39">
        <f>if(E17=9,1,0)+VLOOKUP(B17,'71523'!B:R,17,false)</f>
        <v>1</v>
      </c>
    </row>
    <row r="18">
      <c r="A18" s="25">
        <f t="shared" si="5"/>
        <v>14</v>
      </c>
      <c r="B18" s="26" t="s">
        <v>75</v>
      </c>
      <c r="C18" s="39">
        <v>40.0</v>
      </c>
      <c r="D18" s="39">
        <v>3.0</v>
      </c>
      <c r="E18" s="39">
        <v>1.0</v>
      </c>
      <c r="F18" s="33">
        <f t="shared" si="2"/>
        <v>0</v>
      </c>
      <c r="G18" s="39">
        <v>1.0</v>
      </c>
      <c r="H18" s="39">
        <v>1.0</v>
      </c>
      <c r="I18" s="39">
        <v>6.0</v>
      </c>
      <c r="J18" s="71">
        <f t="shared" si="3"/>
        <v>8</v>
      </c>
      <c r="K18" s="39">
        <v>1.0</v>
      </c>
      <c r="L18" s="33">
        <f t="shared" ref="L18:M18" si="17">C18+J18</f>
        <v>48</v>
      </c>
      <c r="M18" s="33">
        <f t="shared" si="17"/>
        <v>4</v>
      </c>
      <c r="N18" s="39" t="s">
        <v>37</v>
      </c>
      <c r="O18" s="73" t="s">
        <v>37</v>
      </c>
      <c r="P18" s="72">
        <f>if(F18=13,1,0)+VLOOKUP(B18,'71523'!B$5:P$58,15,false)</f>
        <v>0</v>
      </c>
      <c r="Q18" s="39"/>
      <c r="R18" s="39">
        <f>if(E18=9,1,0)+VLOOKUP(B18,'71523'!B:R,17,false)</f>
        <v>1</v>
      </c>
    </row>
    <row r="19">
      <c r="A19" s="25">
        <f t="shared" si="5"/>
        <v>15</v>
      </c>
      <c r="B19" s="26" t="s">
        <v>74</v>
      </c>
      <c r="C19" s="39">
        <v>39.0</v>
      </c>
      <c r="D19" s="39">
        <v>4.0</v>
      </c>
      <c r="E19" s="39">
        <v>1.0</v>
      </c>
      <c r="F19" s="33">
        <f t="shared" si="2"/>
        <v>0</v>
      </c>
      <c r="G19" s="39">
        <v>6.0</v>
      </c>
      <c r="H19" s="39">
        <v>1.0</v>
      </c>
      <c r="I19" s="39">
        <v>0.0</v>
      </c>
      <c r="J19" s="71">
        <f t="shared" si="3"/>
        <v>7</v>
      </c>
      <c r="K19" s="39">
        <v>1.0</v>
      </c>
      <c r="L19" s="33">
        <f t="shared" ref="L19:M19" si="18">C19+J19</f>
        <v>46</v>
      </c>
      <c r="M19" s="33">
        <f t="shared" si="18"/>
        <v>5</v>
      </c>
      <c r="N19" s="39" t="s">
        <v>37</v>
      </c>
      <c r="O19" s="73" t="s">
        <v>37</v>
      </c>
      <c r="P19" s="72">
        <f>if(F19=13,1,0)+VLOOKUP(B19,'71523'!B$5:P$58,15,false)</f>
        <v>0</v>
      </c>
      <c r="Q19" s="39"/>
      <c r="R19" s="39">
        <f>if(E19=9,1,0)+VLOOKUP(B19,'71523'!B:R,17,false)</f>
        <v>0</v>
      </c>
    </row>
    <row r="20">
      <c r="A20" s="25">
        <f t="shared" si="5"/>
        <v>16</v>
      </c>
      <c r="B20" s="26" t="s">
        <v>57</v>
      </c>
      <c r="C20" s="39">
        <v>38.0</v>
      </c>
      <c r="D20" s="39">
        <v>4.0</v>
      </c>
      <c r="E20" s="39">
        <v>1.0</v>
      </c>
      <c r="F20" s="33">
        <f t="shared" si="2"/>
        <v>0</v>
      </c>
      <c r="G20" s="39">
        <v>1.0</v>
      </c>
      <c r="H20" s="39">
        <v>6.0</v>
      </c>
      <c r="I20" s="39">
        <v>0.0</v>
      </c>
      <c r="J20" s="71">
        <f t="shared" si="3"/>
        <v>7</v>
      </c>
      <c r="K20" s="39">
        <v>1.0</v>
      </c>
      <c r="L20" s="33">
        <f t="shared" ref="L20:M20" si="19">C20+J20</f>
        <v>45</v>
      </c>
      <c r="M20" s="33">
        <f t="shared" si="19"/>
        <v>5</v>
      </c>
      <c r="N20" s="39" t="s">
        <v>37</v>
      </c>
      <c r="O20" s="73" t="s">
        <v>37</v>
      </c>
      <c r="P20" s="72">
        <f>if(F20=13,1,0)+VLOOKUP(B20,'71523'!B$5:P$58,15,false)</f>
        <v>0</v>
      </c>
      <c r="Q20" s="39"/>
      <c r="R20" s="39">
        <f>if(E20=9,1,0)+VLOOKUP(B20,'71523'!B:R,17,false)</f>
        <v>1</v>
      </c>
    </row>
    <row r="21">
      <c r="A21" s="25">
        <f t="shared" si="5"/>
        <v>17</v>
      </c>
      <c r="B21" s="26" t="s">
        <v>73</v>
      </c>
      <c r="C21" s="39">
        <v>37.0</v>
      </c>
      <c r="D21" s="39">
        <v>2.0</v>
      </c>
      <c r="E21" s="39">
        <v>3.0</v>
      </c>
      <c r="F21" s="33">
        <f t="shared" si="2"/>
        <v>9</v>
      </c>
      <c r="G21" s="39">
        <v>0.0</v>
      </c>
      <c r="H21" s="39">
        <v>0.0</v>
      </c>
      <c r="I21" s="39">
        <v>0.0</v>
      </c>
      <c r="J21" s="71">
        <f t="shared" si="3"/>
        <v>9</v>
      </c>
      <c r="K21" s="39">
        <v>0.0</v>
      </c>
      <c r="L21" s="33">
        <f t="shared" ref="L21:M21" si="20">C21+J21</f>
        <v>46</v>
      </c>
      <c r="M21" s="33">
        <f t="shared" si="20"/>
        <v>2</v>
      </c>
      <c r="N21" s="39" t="s">
        <v>37</v>
      </c>
      <c r="O21" s="73" t="s">
        <v>37</v>
      </c>
      <c r="P21" s="72">
        <f>if(F21=13,1,0)+VLOOKUP(B21,'71523'!B$5:P$58,15,false)</f>
        <v>0</v>
      </c>
      <c r="Q21" s="39"/>
      <c r="R21" s="39">
        <f>if(E21=9,1,0)+VLOOKUP(B21,'71523'!B:R,17,false)</f>
        <v>1</v>
      </c>
    </row>
    <row r="22">
      <c r="A22" s="25">
        <f t="shared" si="5"/>
        <v>18</v>
      </c>
      <c r="B22" s="26" t="s">
        <v>79</v>
      </c>
      <c r="C22" s="39">
        <v>36.0</v>
      </c>
      <c r="D22" s="39">
        <v>4.0</v>
      </c>
      <c r="E22" s="39">
        <v>3.0</v>
      </c>
      <c r="F22" s="33">
        <f t="shared" si="2"/>
        <v>9</v>
      </c>
      <c r="G22" s="39">
        <v>0.0</v>
      </c>
      <c r="H22" s="39">
        <v>0.0</v>
      </c>
      <c r="I22" s="39">
        <v>0.0</v>
      </c>
      <c r="J22" s="71">
        <f t="shared" si="3"/>
        <v>9</v>
      </c>
      <c r="K22" s="39">
        <v>0.0</v>
      </c>
      <c r="L22" s="33">
        <f t="shared" ref="L22:M22" si="21">C22+J22</f>
        <v>45</v>
      </c>
      <c r="M22" s="33">
        <f t="shared" si="21"/>
        <v>4</v>
      </c>
      <c r="N22" s="39" t="s">
        <v>37</v>
      </c>
      <c r="O22" s="73" t="s">
        <v>37</v>
      </c>
      <c r="P22" s="72">
        <f>if(F22=13,1,0)+VLOOKUP(B22,'71523'!B$5:P$58,15,false)</f>
        <v>0</v>
      </c>
      <c r="Q22" s="39">
        <v>1.0</v>
      </c>
      <c r="R22" s="39">
        <f>if(E22=9,1,0)+VLOOKUP(B22,'71523'!B:R,17,false)</f>
        <v>0</v>
      </c>
    </row>
    <row r="23">
      <c r="A23" s="25">
        <f t="shared" si="5"/>
        <v>19</v>
      </c>
      <c r="B23" s="26" t="s">
        <v>47</v>
      </c>
      <c r="C23" s="39">
        <v>36.0</v>
      </c>
      <c r="D23" s="39">
        <v>2.0</v>
      </c>
      <c r="E23" s="39">
        <v>2.0</v>
      </c>
      <c r="F23" s="33">
        <f t="shared" si="2"/>
        <v>0</v>
      </c>
      <c r="G23" s="39">
        <v>4.0</v>
      </c>
      <c r="H23" s="39">
        <v>6.0</v>
      </c>
      <c r="I23" s="39">
        <v>4.0</v>
      </c>
      <c r="J23" s="71">
        <f t="shared" si="3"/>
        <v>14</v>
      </c>
      <c r="K23" s="39">
        <v>1.0</v>
      </c>
      <c r="L23" s="33">
        <f t="shared" ref="L23:M23" si="22">C23+J23</f>
        <v>50</v>
      </c>
      <c r="M23" s="33">
        <f t="shared" si="22"/>
        <v>3</v>
      </c>
      <c r="N23" s="39" t="s">
        <v>37</v>
      </c>
      <c r="O23" s="73" t="s">
        <v>37</v>
      </c>
      <c r="P23" s="72">
        <f>if(F23=13,1,0)+VLOOKUP(B23,'71523'!B$5:P$58,15,false)</f>
        <v>0</v>
      </c>
      <c r="Q23" s="39"/>
      <c r="R23" s="39">
        <f>if(E23=9,1,0)+VLOOKUP(B23,'71523'!B:R,17,false)</f>
        <v>2</v>
      </c>
    </row>
    <row r="24">
      <c r="A24" s="25">
        <f t="shared" si="5"/>
        <v>20</v>
      </c>
      <c r="B24" s="26" t="s">
        <v>86</v>
      </c>
      <c r="C24" s="39">
        <v>35.0</v>
      </c>
      <c r="D24" s="39">
        <v>3.0</v>
      </c>
      <c r="E24" s="39">
        <v>3.0</v>
      </c>
      <c r="F24" s="33">
        <f t="shared" si="2"/>
        <v>9</v>
      </c>
      <c r="G24" s="39">
        <v>0.0</v>
      </c>
      <c r="H24" s="39">
        <v>0.0</v>
      </c>
      <c r="I24" s="39">
        <v>0.0</v>
      </c>
      <c r="J24" s="71">
        <f t="shared" si="3"/>
        <v>9</v>
      </c>
      <c r="K24" s="39">
        <v>0.0</v>
      </c>
      <c r="L24" s="33">
        <f t="shared" ref="L24:M24" si="23">C24+J24</f>
        <v>44</v>
      </c>
      <c r="M24" s="33">
        <f t="shared" si="23"/>
        <v>3</v>
      </c>
      <c r="N24" s="39" t="s">
        <v>37</v>
      </c>
      <c r="O24" s="73" t="s">
        <v>37</v>
      </c>
      <c r="P24" s="72">
        <f>if(F24=13,1,0)+VLOOKUP(B24,'71523'!B$5:P$58,15,false)</f>
        <v>0</v>
      </c>
      <c r="Q24" s="39"/>
      <c r="R24" s="39">
        <f>if(E24=9,1,0)+VLOOKUP(B24,'71523'!B:R,17,false)</f>
        <v>1</v>
      </c>
    </row>
    <row r="25">
      <c r="A25" s="25">
        <f t="shared" si="5"/>
        <v>21</v>
      </c>
      <c r="B25" s="26" t="s">
        <v>55</v>
      </c>
      <c r="C25" s="39">
        <v>35.0</v>
      </c>
      <c r="D25" s="39">
        <v>3.0</v>
      </c>
      <c r="E25" s="39">
        <v>1.0</v>
      </c>
      <c r="F25" s="33">
        <f t="shared" si="2"/>
        <v>0</v>
      </c>
      <c r="G25" s="39">
        <v>4.0</v>
      </c>
      <c r="H25" s="39">
        <v>0.0</v>
      </c>
      <c r="I25" s="39">
        <v>6.0</v>
      </c>
      <c r="J25" s="71">
        <f t="shared" si="3"/>
        <v>10</v>
      </c>
      <c r="K25" s="39">
        <v>1.0</v>
      </c>
      <c r="L25" s="33">
        <f t="shared" ref="L25:M25" si="24">C25+J25</f>
        <v>45</v>
      </c>
      <c r="M25" s="33">
        <f t="shared" si="24"/>
        <v>4</v>
      </c>
      <c r="N25" s="39" t="s">
        <v>37</v>
      </c>
      <c r="O25" s="73" t="s">
        <v>37</v>
      </c>
      <c r="P25" s="72">
        <f>if(F25=13,1,0)+VLOOKUP(B25,'71523'!B$5:P$58,15,false)</f>
        <v>0</v>
      </c>
      <c r="Q25" s="39"/>
      <c r="R25" s="39">
        <f>if(E25=9,1,0)+VLOOKUP(B25,'71523'!B:R,17,false)</f>
        <v>1</v>
      </c>
    </row>
    <row r="26">
      <c r="A26" s="25">
        <f t="shared" si="5"/>
        <v>22</v>
      </c>
      <c r="B26" s="26" t="s">
        <v>65</v>
      </c>
      <c r="C26" s="39">
        <v>35.0</v>
      </c>
      <c r="D26" s="39">
        <v>2.0</v>
      </c>
      <c r="E26" s="39">
        <v>1.0</v>
      </c>
      <c r="F26" s="33">
        <f t="shared" si="2"/>
        <v>0</v>
      </c>
      <c r="G26" s="39">
        <v>6.0</v>
      </c>
      <c r="H26" s="39">
        <v>0.0</v>
      </c>
      <c r="I26" s="39">
        <v>4.0</v>
      </c>
      <c r="J26" s="71">
        <f t="shared" si="3"/>
        <v>10</v>
      </c>
      <c r="K26" s="39">
        <v>1.0</v>
      </c>
      <c r="L26" s="33">
        <f t="shared" ref="L26:M26" si="25">C26+J26</f>
        <v>45</v>
      </c>
      <c r="M26" s="33">
        <f t="shared" si="25"/>
        <v>3</v>
      </c>
      <c r="N26" s="39" t="s">
        <v>37</v>
      </c>
      <c r="O26" s="73" t="s">
        <v>37</v>
      </c>
      <c r="P26" s="72">
        <f>if(F26=13,1,0)+VLOOKUP(B26,'71523'!B$5:P$58,15,false)</f>
        <v>0</v>
      </c>
      <c r="Q26" s="39"/>
      <c r="R26" s="39">
        <f>if(E26=9,1,0)+VLOOKUP(B26,'71523'!B:R,17,false)</f>
        <v>2</v>
      </c>
    </row>
    <row r="27">
      <c r="A27" s="25">
        <f t="shared" si="5"/>
        <v>23</v>
      </c>
      <c r="B27" s="36" t="s">
        <v>94</v>
      </c>
      <c r="C27" s="39">
        <v>35.0</v>
      </c>
      <c r="D27" s="39">
        <v>2.0</v>
      </c>
      <c r="E27" s="39">
        <v>3.0</v>
      </c>
      <c r="F27" s="33">
        <f t="shared" si="2"/>
        <v>9</v>
      </c>
      <c r="G27" s="39">
        <v>0.0</v>
      </c>
      <c r="H27" s="39">
        <v>0.0</v>
      </c>
      <c r="I27" s="39">
        <v>0.0</v>
      </c>
      <c r="J27" s="71">
        <f t="shared" si="3"/>
        <v>9</v>
      </c>
      <c r="K27" s="39">
        <v>0.0</v>
      </c>
      <c r="L27" s="33">
        <f t="shared" ref="L27:M27" si="26">C27+J27</f>
        <v>44</v>
      </c>
      <c r="M27" s="33">
        <f t="shared" si="26"/>
        <v>2</v>
      </c>
      <c r="N27" s="39" t="s">
        <v>37</v>
      </c>
      <c r="O27" s="73" t="s">
        <v>37</v>
      </c>
      <c r="P27" s="72">
        <f>if(F27=13,1,0)+VLOOKUP(B27,'71523'!B$5:P$58,15,false)</f>
        <v>0</v>
      </c>
      <c r="Q27" s="39"/>
      <c r="R27" s="39">
        <f>if(E27=9,1,0)+VLOOKUP(B27,'71523'!B:R,17,false)</f>
        <v>1</v>
      </c>
    </row>
    <row r="28">
      <c r="A28" s="25">
        <f t="shared" si="5"/>
        <v>24</v>
      </c>
      <c r="B28" s="26" t="s">
        <v>80</v>
      </c>
      <c r="C28" s="39">
        <v>35.0</v>
      </c>
      <c r="D28" s="39">
        <v>2.0</v>
      </c>
      <c r="E28" s="39">
        <v>1.0</v>
      </c>
      <c r="F28" s="33">
        <f t="shared" si="2"/>
        <v>0</v>
      </c>
      <c r="G28" s="39">
        <v>6.0</v>
      </c>
      <c r="H28" s="39">
        <v>6.0</v>
      </c>
      <c r="I28" s="39">
        <v>6.0</v>
      </c>
      <c r="J28" s="71">
        <f t="shared" si="3"/>
        <v>18</v>
      </c>
      <c r="K28" s="39">
        <v>3.0</v>
      </c>
      <c r="L28" s="33">
        <f t="shared" ref="L28:M28" si="27">C28+J28</f>
        <v>53</v>
      </c>
      <c r="M28" s="33">
        <f t="shared" si="27"/>
        <v>5</v>
      </c>
      <c r="N28" s="39" t="s">
        <v>37</v>
      </c>
      <c r="O28" s="73" t="s">
        <v>37</v>
      </c>
      <c r="P28" s="72">
        <f>if(F28=13,1,0)+VLOOKUP(B28,'71523'!B$5:P$58,15,false)</f>
        <v>0</v>
      </c>
      <c r="Q28" s="39"/>
      <c r="R28" s="39">
        <f>if(E28=9,1,0)+VLOOKUP(B28,'71523'!B:R,17,false)</f>
        <v>2</v>
      </c>
    </row>
    <row r="29">
      <c r="A29" s="25">
        <f t="shared" si="5"/>
        <v>25</v>
      </c>
      <c r="B29" s="36" t="s">
        <v>81</v>
      </c>
      <c r="C29" s="39">
        <v>35.0</v>
      </c>
      <c r="D29" s="39">
        <v>1.0</v>
      </c>
      <c r="E29" s="39">
        <v>1.0</v>
      </c>
      <c r="F29" s="33">
        <f t="shared" si="2"/>
        <v>0</v>
      </c>
      <c r="G29" s="39">
        <v>6.0</v>
      </c>
      <c r="H29" s="39">
        <v>1.0</v>
      </c>
      <c r="I29" s="39">
        <v>6.0</v>
      </c>
      <c r="J29" s="71">
        <f t="shared" si="3"/>
        <v>13</v>
      </c>
      <c r="K29" s="39">
        <v>2.0</v>
      </c>
      <c r="L29" s="33">
        <f t="shared" ref="L29:M29" si="28">C29+J29</f>
        <v>48</v>
      </c>
      <c r="M29" s="33">
        <f t="shared" si="28"/>
        <v>3</v>
      </c>
      <c r="N29" s="39" t="s">
        <v>37</v>
      </c>
      <c r="O29" s="73" t="s">
        <v>37</v>
      </c>
      <c r="P29" s="72">
        <f>if(F29=13,1,0)+VLOOKUP(B29,'71523'!B$5:P$58,15,false)</f>
        <v>0</v>
      </c>
      <c r="Q29" s="39"/>
      <c r="R29" s="39">
        <f>if(E29=9,1,0)+VLOOKUP(B29,'71523'!B:R,17,false)</f>
        <v>1</v>
      </c>
    </row>
    <row r="30">
      <c r="A30" s="25">
        <f t="shared" si="5"/>
        <v>26</v>
      </c>
      <c r="B30" s="26" t="s">
        <v>56</v>
      </c>
      <c r="C30" s="39">
        <v>34.0</v>
      </c>
      <c r="D30" s="39">
        <v>4.0</v>
      </c>
      <c r="E30" s="39">
        <v>1.0</v>
      </c>
      <c r="F30" s="33">
        <f t="shared" si="2"/>
        <v>0</v>
      </c>
      <c r="G30" s="39">
        <v>3.0</v>
      </c>
      <c r="H30" s="39">
        <v>6.0</v>
      </c>
      <c r="I30" s="39">
        <v>6.0</v>
      </c>
      <c r="J30" s="71">
        <f t="shared" si="3"/>
        <v>15</v>
      </c>
      <c r="K30" s="39">
        <v>2.0</v>
      </c>
      <c r="L30" s="33">
        <f t="shared" ref="L30:M30" si="29">C30+J30</f>
        <v>49</v>
      </c>
      <c r="M30" s="33">
        <f t="shared" si="29"/>
        <v>6</v>
      </c>
      <c r="N30" s="39" t="s">
        <v>37</v>
      </c>
      <c r="O30" s="73" t="s">
        <v>37</v>
      </c>
      <c r="P30" s="72">
        <f>if(F30=13,1,0)+VLOOKUP(B30,'71523'!B$5:P$58,15,false)</f>
        <v>0</v>
      </c>
      <c r="Q30" s="39"/>
      <c r="R30" s="39">
        <f>if(E30=9,1,0)+VLOOKUP(B30,'71523'!B:R,17,false)</f>
        <v>0</v>
      </c>
    </row>
    <row r="31">
      <c r="A31" s="25">
        <f t="shared" si="5"/>
        <v>27</v>
      </c>
      <c r="B31" s="26" t="s">
        <v>42</v>
      </c>
      <c r="C31" s="39">
        <v>34.0</v>
      </c>
      <c r="D31" s="39">
        <v>2.0</v>
      </c>
      <c r="E31" s="39">
        <v>3.0</v>
      </c>
      <c r="F31" s="33">
        <f t="shared" si="2"/>
        <v>9</v>
      </c>
      <c r="G31" s="39">
        <v>0.0</v>
      </c>
      <c r="H31" s="39">
        <v>0.0</v>
      </c>
      <c r="I31" s="39">
        <v>0.0</v>
      </c>
      <c r="J31" s="71">
        <f t="shared" si="3"/>
        <v>9</v>
      </c>
      <c r="K31" s="39">
        <v>0.0</v>
      </c>
      <c r="L31" s="33">
        <f t="shared" ref="L31:M31" si="30">C31+J31</f>
        <v>43</v>
      </c>
      <c r="M31" s="33">
        <f t="shared" si="30"/>
        <v>2</v>
      </c>
      <c r="N31" s="39" t="s">
        <v>37</v>
      </c>
      <c r="O31" s="73" t="s">
        <v>37</v>
      </c>
      <c r="P31" s="72">
        <f>if(F31=13,1,0)+VLOOKUP(B31,'71523'!B$5:P$58,15,false)</f>
        <v>0</v>
      </c>
      <c r="Q31" s="39"/>
      <c r="R31" s="39">
        <f>if(E31=9,1,0)+VLOOKUP(B31,'71523'!B:R,17,false)</f>
        <v>2</v>
      </c>
    </row>
    <row r="32">
      <c r="A32" s="25">
        <f t="shared" si="5"/>
        <v>28</v>
      </c>
      <c r="B32" s="36" t="s">
        <v>77</v>
      </c>
      <c r="C32" s="39">
        <v>33.0</v>
      </c>
      <c r="D32" s="39">
        <v>2.0</v>
      </c>
      <c r="E32" s="39">
        <v>1.0</v>
      </c>
      <c r="F32" s="33">
        <f t="shared" si="2"/>
        <v>0</v>
      </c>
      <c r="G32" s="39">
        <v>6.0</v>
      </c>
      <c r="H32" s="39">
        <v>6.0</v>
      </c>
      <c r="I32" s="39">
        <v>2.0</v>
      </c>
      <c r="J32" s="71">
        <f t="shared" si="3"/>
        <v>14</v>
      </c>
      <c r="K32" s="39">
        <v>2.0</v>
      </c>
      <c r="L32" s="33">
        <f t="shared" ref="L32:M32" si="31">C32+J32</f>
        <v>47</v>
      </c>
      <c r="M32" s="33">
        <f t="shared" si="31"/>
        <v>4</v>
      </c>
      <c r="N32" s="39" t="s">
        <v>37</v>
      </c>
      <c r="O32" s="73" t="s">
        <v>37</v>
      </c>
      <c r="P32" s="72">
        <f>if(F32=13,1,0)+VLOOKUP(B32,'71523'!B$5:P$58,15,false)</f>
        <v>0</v>
      </c>
      <c r="Q32" s="39"/>
      <c r="R32" s="39">
        <f>if(E32=9,1,0)+VLOOKUP(B32,'71523'!B:R,17,false)</f>
        <v>2</v>
      </c>
    </row>
    <row r="33">
      <c r="A33" s="25">
        <f t="shared" si="5"/>
        <v>29</v>
      </c>
      <c r="B33" s="26" t="s">
        <v>50</v>
      </c>
      <c r="C33" s="39">
        <v>33.0</v>
      </c>
      <c r="D33" s="39">
        <v>2.0</v>
      </c>
      <c r="E33" s="39">
        <v>3.0</v>
      </c>
      <c r="F33" s="33">
        <f t="shared" si="2"/>
        <v>9</v>
      </c>
      <c r="G33" s="39">
        <v>0.0</v>
      </c>
      <c r="H33" s="39">
        <v>0.0</v>
      </c>
      <c r="I33" s="39">
        <v>0.0</v>
      </c>
      <c r="J33" s="71">
        <f t="shared" si="3"/>
        <v>9</v>
      </c>
      <c r="K33" s="39">
        <v>0.0</v>
      </c>
      <c r="L33" s="33">
        <f t="shared" ref="L33:M33" si="32">C33+J33</f>
        <v>42</v>
      </c>
      <c r="M33" s="33">
        <f t="shared" si="32"/>
        <v>2</v>
      </c>
      <c r="N33" s="39" t="s">
        <v>37</v>
      </c>
      <c r="O33" s="73" t="s">
        <v>37</v>
      </c>
      <c r="P33" s="72">
        <f>if(F33=13,1,0)+VLOOKUP(B33,'71523'!B$5:P$58,15,false)</f>
        <v>0</v>
      </c>
      <c r="Q33" s="39"/>
      <c r="R33" s="39">
        <f>if(E33=9,1,0)+VLOOKUP(B33,'71523'!B:R,17,false)</f>
        <v>2</v>
      </c>
    </row>
    <row r="34">
      <c r="A34" s="25">
        <f t="shared" si="5"/>
        <v>30</v>
      </c>
      <c r="B34" s="26" t="s">
        <v>89</v>
      </c>
      <c r="C34" s="39">
        <v>32.0</v>
      </c>
      <c r="D34" s="39">
        <v>3.0</v>
      </c>
      <c r="E34" s="39">
        <v>2.0</v>
      </c>
      <c r="F34" s="33">
        <f t="shared" si="2"/>
        <v>0</v>
      </c>
      <c r="G34" s="39">
        <v>3.0</v>
      </c>
      <c r="H34" s="39">
        <v>1.0</v>
      </c>
      <c r="I34" s="39">
        <v>2.0</v>
      </c>
      <c r="J34" s="71">
        <f t="shared" si="3"/>
        <v>6</v>
      </c>
      <c r="K34" s="39">
        <v>0.0</v>
      </c>
      <c r="L34" s="33">
        <f t="shared" ref="L34:M34" si="33">C34+J34</f>
        <v>38</v>
      </c>
      <c r="M34" s="33">
        <f t="shared" si="33"/>
        <v>3</v>
      </c>
      <c r="N34" s="39" t="s">
        <v>37</v>
      </c>
      <c r="O34" s="73" t="s">
        <v>37</v>
      </c>
      <c r="P34" s="72">
        <f>if(F34=13,1,0)+VLOOKUP(B34,'71523'!B$5:P$58,15,false)</f>
        <v>0</v>
      </c>
      <c r="Q34" s="39"/>
      <c r="R34" s="39">
        <f>if(F34=9,1,0)+VLOOKUP(B34,'71523'!B:R,17,false)</f>
        <v>0</v>
      </c>
    </row>
    <row r="35">
      <c r="A35" s="25">
        <f t="shared" si="5"/>
        <v>31</v>
      </c>
      <c r="B35" s="36" t="s">
        <v>83</v>
      </c>
      <c r="C35" s="39">
        <v>32.0</v>
      </c>
      <c r="D35" s="39">
        <v>2.0</v>
      </c>
      <c r="E35" s="39">
        <v>3.0</v>
      </c>
      <c r="F35" s="33">
        <f t="shared" si="2"/>
        <v>9</v>
      </c>
      <c r="G35" s="39">
        <v>0.0</v>
      </c>
      <c r="H35" s="39">
        <v>0.0</v>
      </c>
      <c r="I35" s="39">
        <v>0.0</v>
      </c>
      <c r="J35" s="71">
        <f t="shared" si="3"/>
        <v>9</v>
      </c>
      <c r="K35" s="39">
        <v>0.0</v>
      </c>
      <c r="L35" s="33">
        <f t="shared" ref="L35:M35" si="34">C35+J35</f>
        <v>41</v>
      </c>
      <c r="M35" s="33">
        <f t="shared" si="34"/>
        <v>2</v>
      </c>
      <c r="N35" s="39" t="s">
        <v>37</v>
      </c>
      <c r="O35" s="73" t="s">
        <v>37</v>
      </c>
      <c r="P35" s="72">
        <f>if(F35=13,1,0)+VLOOKUP(B35,'71523'!B$5:P$58,15,false)</f>
        <v>0</v>
      </c>
      <c r="Q35" s="39"/>
      <c r="R35" s="39">
        <f>if(F35=9,1,0)+VLOOKUP(B35,'71523'!B:R,17,false)</f>
        <v>2</v>
      </c>
    </row>
    <row r="36">
      <c r="A36" s="25">
        <f t="shared" si="5"/>
        <v>32</v>
      </c>
      <c r="B36" s="26" t="s">
        <v>87</v>
      </c>
      <c r="C36" s="39">
        <v>31.0</v>
      </c>
      <c r="D36" s="39">
        <v>0.0</v>
      </c>
      <c r="E36" s="39">
        <v>1.0</v>
      </c>
      <c r="F36" s="33">
        <f t="shared" si="2"/>
        <v>0</v>
      </c>
      <c r="G36" s="39">
        <v>4.0</v>
      </c>
      <c r="H36" s="39">
        <v>6.0</v>
      </c>
      <c r="I36" s="39">
        <v>0.0</v>
      </c>
      <c r="J36" s="71">
        <f t="shared" si="3"/>
        <v>10</v>
      </c>
      <c r="K36" s="39">
        <v>1.0</v>
      </c>
      <c r="L36" s="33">
        <f t="shared" ref="L36:M36" si="35">C36+J36</f>
        <v>41</v>
      </c>
      <c r="M36" s="33">
        <f t="shared" si="35"/>
        <v>1</v>
      </c>
      <c r="N36" s="39" t="s">
        <v>37</v>
      </c>
      <c r="O36" s="73" t="s">
        <v>37</v>
      </c>
      <c r="P36" s="72">
        <f>if(F36=13,1,0)+VLOOKUP(B36,'71523'!B$5:P$58,15,false)</f>
        <v>1</v>
      </c>
      <c r="Q36" s="39"/>
      <c r="R36" s="39">
        <f>if(F36=9,1,0)+VLOOKUP(B36,'71523'!B:R,17,false)</f>
        <v>2</v>
      </c>
    </row>
    <row r="37">
      <c r="A37" s="25">
        <f t="shared" si="5"/>
        <v>33</v>
      </c>
      <c r="B37" s="26" t="s">
        <v>66</v>
      </c>
      <c r="C37" s="39">
        <v>31.0</v>
      </c>
      <c r="D37" s="39">
        <v>0.0</v>
      </c>
      <c r="E37" s="39">
        <v>2.0</v>
      </c>
      <c r="F37" s="33">
        <f t="shared" si="2"/>
        <v>0</v>
      </c>
      <c r="G37" s="39">
        <v>4.0</v>
      </c>
      <c r="H37" s="39">
        <v>1.0</v>
      </c>
      <c r="I37" s="39">
        <v>6.0</v>
      </c>
      <c r="J37" s="71">
        <f t="shared" si="3"/>
        <v>11</v>
      </c>
      <c r="K37" s="39">
        <v>1.0</v>
      </c>
      <c r="L37" s="33">
        <f t="shared" ref="L37:M37" si="36">C37+J37</f>
        <v>42</v>
      </c>
      <c r="M37" s="33">
        <f t="shared" si="36"/>
        <v>1</v>
      </c>
      <c r="N37" s="39" t="s">
        <v>37</v>
      </c>
      <c r="O37" s="73" t="s">
        <v>37</v>
      </c>
      <c r="P37" s="72">
        <f>if(F37=13,1,0)+VLOOKUP(B37,'71523'!B$5:P$58,15,false)</f>
        <v>1</v>
      </c>
      <c r="Q37" s="39"/>
      <c r="R37" s="39">
        <f>if(F37=9,1,0)+VLOOKUP(B37,'71523'!B:R,17,false)</f>
        <v>2</v>
      </c>
    </row>
    <row r="38">
      <c r="A38" s="25">
        <f t="shared" si="5"/>
        <v>34</v>
      </c>
      <c r="B38" s="26" t="s">
        <v>91</v>
      </c>
      <c r="C38" s="39">
        <v>31.0</v>
      </c>
      <c r="D38" s="39">
        <v>0.0</v>
      </c>
      <c r="E38" s="39">
        <v>3.0</v>
      </c>
      <c r="F38" s="33">
        <f t="shared" si="2"/>
        <v>9</v>
      </c>
      <c r="G38" s="39">
        <v>0.0</v>
      </c>
      <c r="H38" s="39">
        <v>0.0</v>
      </c>
      <c r="I38" s="39">
        <v>0.0</v>
      </c>
      <c r="J38" s="71">
        <f t="shared" si="3"/>
        <v>9</v>
      </c>
      <c r="K38" s="39">
        <v>0.0</v>
      </c>
      <c r="L38" s="33">
        <f t="shared" ref="L38:M38" si="37">C38+J38</f>
        <v>40</v>
      </c>
      <c r="M38" s="33">
        <f t="shared" si="37"/>
        <v>0</v>
      </c>
      <c r="N38" s="39" t="s">
        <v>37</v>
      </c>
      <c r="O38" s="73" t="s">
        <v>37</v>
      </c>
      <c r="P38" s="72">
        <f>if(F38=13,1,0)+VLOOKUP(B38,'71523'!B$5:P$58,15,false)</f>
        <v>1</v>
      </c>
      <c r="Q38" s="39"/>
      <c r="R38" s="39">
        <f>if(F38=9,1,0)+VLOOKUP(B38,'71523'!B:R,17,false)</f>
        <v>3</v>
      </c>
    </row>
    <row r="39">
      <c r="A39" s="25">
        <f t="shared" si="5"/>
        <v>35</v>
      </c>
      <c r="B39" s="26" t="s">
        <v>71</v>
      </c>
      <c r="C39" s="39">
        <v>30.0</v>
      </c>
      <c r="D39" s="39">
        <v>3.0</v>
      </c>
      <c r="E39" s="39">
        <v>3.0</v>
      </c>
      <c r="F39" s="33">
        <f t="shared" si="2"/>
        <v>9</v>
      </c>
      <c r="G39" s="39">
        <v>0.0</v>
      </c>
      <c r="H39" s="39">
        <v>0.0</v>
      </c>
      <c r="I39" s="39">
        <v>0.0</v>
      </c>
      <c r="J39" s="71">
        <f t="shared" si="3"/>
        <v>9</v>
      </c>
      <c r="K39" s="39">
        <v>0.0</v>
      </c>
      <c r="L39" s="33">
        <f t="shared" ref="L39:M39" si="38">C39+J39</f>
        <v>39</v>
      </c>
      <c r="M39" s="33">
        <f t="shared" si="38"/>
        <v>3</v>
      </c>
      <c r="N39" s="39" t="s">
        <v>37</v>
      </c>
      <c r="O39" s="73" t="s">
        <v>37</v>
      </c>
      <c r="P39" s="72">
        <f>if(F39=13,1,0)+VLOOKUP(B39,'71523'!B$5:P$58,15,false)</f>
        <v>0</v>
      </c>
      <c r="Q39" s="39">
        <v>2.0</v>
      </c>
      <c r="R39" s="39">
        <f>if(F39=9,1,0)+VLOOKUP(B39,'71523'!B:R,17,false)</f>
        <v>2</v>
      </c>
    </row>
    <row r="40">
      <c r="A40" s="25">
        <f t="shared" si="5"/>
        <v>36</v>
      </c>
      <c r="B40" s="26" t="s">
        <v>78</v>
      </c>
      <c r="C40" s="39">
        <v>30.0</v>
      </c>
      <c r="D40" s="39">
        <v>2.0</v>
      </c>
      <c r="E40" s="39">
        <v>3.0</v>
      </c>
      <c r="F40" s="33">
        <f t="shared" si="2"/>
        <v>9</v>
      </c>
      <c r="G40" s="39">
        <v>0.0</v>
      </c>
      <c r="H40" s="39">
        <v>0.0</v>
      </c>
      <c r="I40" s="39">
        <v>0.0</v>
      </c>
      <c r="J40" s="71">
        <f t="shared" si="3"/>
        <v>9</v>
      </c>
      <c r="K40" s="39">
        <v>0.0</v>
      </c>
      <c r="L40" s="33">
        <f t="shared" ref="L40:M40" si="39">C40+J40</f>
        <v>39</v>
      </c>
      <c r="M40" s="33">
        <f t="shared" si="39"/>
        <v>2</v>
      </c>
      <c r="N40" s="39" t="s">
        <v>37</v>
      </c>
      <c r="O40" s="73" t="s">
        <v>37</v>
      </c>
      <c r="P40" s="72">
        <f>if(F40=13,1,0)+VLOOKUP(B40,'71523'!B$5:P$58,15,false)</f>
        <v>0</v>
      </c>
      <c r="Q40" s="39"/>
      <c r="R40" s="39">
        <f>if(F40=9,1,0)+VLOOKUP(B40,'71523'!B:R,17,false)</f>
        <v>2</v>
      </c>
    </row>
    <row r="41">
      <c r="A41" s="25">
        <f t="shared" si="5"/>
        <v>37</v>
      </c>
      <c r="B41" s="36" t="s">
        <v>96</v>
      </c>
      <c r="C41" s="39">
        <v>30.0</v>
      </c>
      <c r="D41" s="39">
        <v>2.0</v>
      </c>
      <c r="E41" s="39">
        <v>1.0</v>
      </c>
      <c r="F41" s="33">
        <f t="shared" si="2"/>
        <v>0</v>
      </c>
      <c r="G41" s="39">
        <v>6.0</v>
      </c>
      <c r="H41" s="39">
        <v>1.0</v>
      </c>
      <c r="I41" s="39">
        <v>0.0</v>
      </c>
      <c r="J41" s="71">
        <f t="shared" si="3"/>
        <v>7</v>
      </c>
      <c r="K41" s="39">
        <v>1.0</v>
      </c>
      <c r="L41" s="33">
        <f t="shared" ref="L41:M41" si="40">C41+J41</f>
        <v>37</v>
      </c>
      <c r="M41" s="33">
        <f t="shared" si="40"/>
        <v>3</v>
      </c>
      <c r="N41" s="39" t="s">
        <v>37</v>
      </c>
      <c r="O41" s="73" t="s">
        <v>37</v>
      </c>
      <c r="P41" s="72">
        <f>if(F41=13,1,0)+VLOOKUP(B41,'71523'!B$5:P$58,15,false)</f>
        <v>0</v>
      </c>
      <c r="Q41" s="39"/>
      <c r="R41" s="39">
        <f>if(F41=9,1,0)+VLOOKUP(B41,'71523'!B:R,17,false)</f>
        <v>2</v>
      </c>
    </row>
    <row r="42">
      <c r="A42" s="25">
        <f t="shared" si="5"/>
        <v>38</v>
      </c>
      <c r="B42" s="26" t="s">
        <v>53</v>
      </c>
      <c r="C42" s="39">
        <v>29.0</v>
      </c>
      <c r="D42" s="39">
        <v>0.0</v>
      </c>
      <c r="E42" s="39">
        <v>3.0</v>
      </c>
      <c r="F42" s="33">
        <f t="shared" si="2"/>
        <v>9</v>
      </c>
      <c r="G42" s="39">
        <v>0.0</v>
      </c>
      <c r="H42" s="39">
        <v>0.0</v>
      </c>
      <c r="I42" s="39">
        <v>0.0</v>
      </c>
      <c r="J42" s="71">
        <f t="shared" si="3"/>
        <v>9</v>
      </c>
      <c r="K42" s="39">
        <v>0.0</v>
      </c>
      <c r="L42" s="33">
        <f t="shared" ref="L42:M42" si="41">C42+J42</f>
        <v>38</v>
      </c>
      <c r="M42" s="33">
        <f t="shared" si="41"/>
        <v>0</v>
      </c>
      <c r="N42" s="39" t="s">
        <v>37</v>
      </c>
      <c r="O42" s="73" t="s">
        <v>37</v>
      </c>
      <c r="P42" s="72">
        <f>if(F42=13,1,0)+VLOOKUP(B42,'71523'!B$5:P$58,15,false)</f>
        <v>0</v>
      </c>
      <c r="Q42" s="39"/>
      <c r="R42" s="39">
        <f>if(F42=9,1,0)+VLOOKUP(B42,'71523'!B:R,17,false)</f>
        <v>3</v>
      </c>
    </row>
    <row r="43">
      <c r="A43" s="25">
        <f t="shared" si="5"/>
        <v>39</v>
      </c>
      <c r="B43" s="36" t="s">
        <v>108</v>
      </c>
      <c r="C43" s="39">
        <v>27.0</v>
      </c>
      <c r="D43" s="39">
        <v>1.0</v>
      </c>
      <c r="E43" s="39">
        <v>3.0</v>
      </c>
      <c r="F43" s="33">
        <f t="shared" si="2"/>
        <v>9</v>
      </c>
      <c r="G43" s="39">
        <v>0.0</v>
      </c>
      <c r="H43" s="39">
        <v>0.0</v>
      </c>
      <c r="I43" s="39">
        <v>0.0</v>
      </c>
      <c r="J43" s="71">
        <f t="shared" si="3"/>
        <v>9</v>
      </c>
      <c r="K43" s="39">
        <v>0.0</v>
      </c>
      <c r="L43" s="33">
        <f t="shared" ref="L43:M43" si="42">C43+J43</f>
        <v>36</v>
      </c>
      <c r="M43" s="33">
        <f t="shared" si="42"/>
        <v>1</v>
      </c>
      <c r="N43" s="39" t="s">
        <v>37</v>
      </c>
      <c r="O43" s="73" t="s">
        <v>37</v>
      </c>
      <c r="P43" s="72">
        <f>if(F43=13,1,0)+VLOOKUP(B43,'71523'!B$5:P$58,15,false)</f>
        <v>0</v>
      </c>
      <c r="Q43" s="39"/>
      <c r="R43" s="39">
        <f>if(F43=9,1,0)+VLOOKUP(B43,'71523'!B:R,17,false)</f>
        <v>3</v>
      </c>
    </row>
    <row r="44">
      <c r="A44" s="25">
        <f t="shared" si="5"/>
        <v>40</v>
      </c>
      <c r="B44" s="36" t="s">
        <v>99</v>
      </c>
      <c r="C44" s="39">
        <v>27.0</v>
      </c>
      <c r="D44" s="39">
        <v>0.0</v>
      </c>
      <c r="E44" s="39">
        <v>1.0</v>
      </c>
      <c r="F44" s="33">
        <f t="shared" si="2"/>
        <v>0</v>
      </c>
      <c r="G44" s="39">
        <v>6.0</v>
      </c>
      <c r="H44" s="39">
        <v>6.0</v>
      </c>
      <c r="I44" s="39">
        <v>6.0</v>
      </c>
      <c r="J44" s="71">
        <f t="shared" si="3"/>
        <v>18</v>
      </c>
      <c r="K44" s="39">
        <v>3.0</v>
      </c>
      <c r="L44" s="33">
        <f t="shared" ref="L44:M44" si="43">C44+J44</f>
        <v>45</v>
      </c>
      <c r="M44" s="33">
        <f t="shared" si="43"/>
        <v>3</v>
      </c>
      <c r="N44" s="39" t="s">
        <v>37</v>
      </c>
      <c r="O44" s="73" t="s">
        <v>37</v>
      </c>
      <c r="P44" s="39">
        <v>0.0</v>
      </c>
      <c r="Q44" s="39"/>
      <c r="R44" s="39">
        <v>0.0</v>
      </c>
    </row>
    <row r="45">
      <c r="A45" s="25">
        <f t="shared" si="5"/>
        <v>41</v>
      </c>
      <c r="B45" s="26" t="s">
        <v>64</v>
      </c>
      <c r="C45" s="39">
        <v>27.0</v>
      </c>
      <c r="D45" s="39">
        <v>0.0</v>
      </c>
      <c r="E45" s="39">
        <v>3.0</v>
      </c>
      <c r="F45" s="33">
        <f t="shared" si="2"/>
        <v>9</v>
      </c>
      <c r="G45" s="39">
        <v>0.0</v>
      </c>
      <c r="H45" s="39">
        <v>0.0</v>
      </c>
      <c r="I45" s="39">
        <v>0.0</v>
      </c>
      <c r="J45" s="71">
        <f t="shared" si="3"/>
        <v>9</v>
      </c>
      <c r="K45" s="39">
        <v>0.0</v>
      </c>
      <c r="L45" s="33">
        <f t="shared" ref="L45:M45" si="44">C45+J45</f>
        <v>36</v>
      </c>
      <c r="M45" s="33">
        <f t="shared" si="44"/>
        <v>0</v>
      </c>
      <c r="N45" s="39" t="s">
        <v>37</v>
      </c>
      <c r="O45" s="73" t="s">
        <v>37</v>
      </c>
      <c r="P45" s="72">
        <f>if(F45=13,1,0)+VLOOKUP(B45,'71523'!B$5:P$58,15,false)</f>
        <v>0</v>
      </c>
      <c r="Q45" s="39"/>
      <c r="R45" s="39">
        <f>if(F45=9,1,0)+VLOOKUP(B45,'71523'!B:R,17,false)</f>
        <v>4</v>
      </c>
    </row>
    <row r="46">
      <c r="A46" s="25">
        <f t="shared" si="5"/>
        <v>42</v>
      </c>
      <c r="B46" s="36" t="s">
        <v>76</v>
      </c>
      <c r="C46" s="39">
        <v>27.0</v>
      </c>
      <c r="D46" s="39">
        <v>0.0</v>
      </c>
      <c r="E46" s="39">
        <v>1.0</v>
      </c>
      <c r="F46" s="33">
        <f t="shared" si="2"/>
        <v>0</v>
      </c>
      <c r="G46" s="39">
        <v>6.0</v>
      </c>
      <c r="H46" s="39">
        <v>0.0</v>
      </c>
      <c r="I46" s="39">
        <v>7.0</v>
      </c>
      <c r="J46" s="71">
        <f t="shared" si="3"/>
        <v>13</v>
      </c>
      <c r="K46" s="39">
        <v>2.0</v>
      </c>
      <c r="L46" s="33">
        <f t="shared" ref="L46:M46" si="45">C46+J46</f>
        <v>40</v>
      </c>
      <c r="M46" s="33">
        <f t="shared" si="45"/>
        <v>2</v>
      </c>
      <c r="N46" s="39" t="s">
        <v>37</v>
      </c>
      <c r="O46" s="73" t="s">
        <v>37</v>
      </c>
      <c r="P46" s="72">
        <f>if(F46=13,1,0)+VLOOKUP(B46,'71523'!B$5:P$58,15,false)</f>
        <v>0</v>
      </c>
      <c r="Q46" s="39"/>
      <c r="R46" s="39">
        <f>if(F46=9,1,0)+VLOOKUP(B46,'71523'!B:R,17,false)</f>
        <v>3</v>
      </c>
    </row>
    <row r="47">
      <c r="A47" s="25">
        <f t="shared" si="5"/>
        <v>43</v>
      </c>
      <c r="B47" s="26" t="s">
        <v>103</v>
      </c>
      <c r="C47" s="39">
        <v>27.0</v>
      </c>
      <c r="D47" s="39">
        <v>0.0</v>
      </c>
      <c r="E47" s="39">
        <v>3.0</v>
      </c>
      <c r="F47" s="33">
        <f t="shared" si="2"/>
        <v>9</v>
      </c>
      <c r="G47" s="39">
        <v>0.0</v>
      </c>
      <c r="H47" s="39">
        <v>0.0</v>
      </c>
      <c r="I47" s="39">
        <v>0.0</v>
      </c>
      <c r="J47" s="71">
        <f t="shared" si="3"/>
        <v>9</v>
      </c>
      <c r="K47" s="39">
        <v>0.0</v>
      </c>
      <c r="L47" s="33">
        <f t="shared" ref="L47:M47" si="46">C47+J47</f>
        <v>36</v>
      </c>
      <c r="M47" s="33">
        <f t="shared" si="46"/>
        <v>0</v>
      </c>
      <c r="N47" s="39" t="s">
        <v>37</v>
      </c>
      <c r="O47" s="73" t="s">
        <v>37</v>
      </c>
      <c r="P47" s="72">
        <f>if(F47=13,1,0)+VLOOKUP(B47,'71523'!B$5:P$58,15,false)</f>
        <v>0</v>
      </c>
      <c r="Q47" s="39"/>
      <c r="R47" s="39">
        <f>if(F47=9,1,0)+VLOOKUP(B47,'71523'!B:R,17,false)</f>
        <v>4</v>
      </c>
    </row>
    <row r="48">
      <c r="A48" s="25">
        <f t="shared" si="5"/>
        <v>44</v>
      </c>
      <c r="B48" s="26" t="s">
        <v>95</v>
      </c>
      <c r="C48" s="39">
        <v>27.0</v>
      </c>
      <c r="D48" s="39">
        <v>0.0</v>
      </c>
      <c r="E48" s="39">
        <v>3.0</v>
      </c>
      <c r="F48" s="33">
        <f t="shared" si="2"/>
        <v>9</v>
      </c>
      <c r="G48" s="39">
        <v>0.0</v>
      </c>
      <c r="H48" s="39">
        <v>0.0</v>
      </c>
      <c r="I48" s="39">
        <v>0.0</v>
      </c>
      <c r="J48" s="71">
        <f t="shared" si="3"/>
        <v>9</v>
      </c>
      <c r="K48" s="39">
        <v>0.0</v>
      </c>
      <c r="L48" s="33">
        <f t="shared" ref="L48:M48" si="47">C48+J48</f>
        <v>36</v>
      </c>
      <c r="M48" s="33">
        <f t="shared" si="47"/>
        <v>0</v>
      </c>
      <c r="N48" s="39" t="s">
        <v>37</v>
      </c>
      <c r="O48" s="73" t="s">
        <v>37</v>
      </c>
      <c r="P48" s="72">
        <f>if(F48=13,1,0)+VLOOKUP(B48,'71523'!B$5:P$58,15,false)</f>
        <v>0</v>
      </c>
      <c r="Q48" s="39"/>
      <c r="R48" s="39">
        <f>if(F48=9,1,0)+VLOOKUP(B48,'71523'!B:R,17,false)</f>
        <v>4</v>
      </c>
    </row>
    <row r="49">
      <c r="A49" s="25">
        <f t="shared" si="5"/>
        <v>45</v>
      </c>
      <c r="B49" s="26" t="s">
        <v>34</v>
      </c>
      <c r="C49" s="39">
        <v>27.0</v>
      </c>
      <c r="D49" s="39">
        <v>0.0</v>
      </c>
      <c r="E49" s="39">
        <v>1.0</v>
      </c>
      <c r="F49" s="33">
        <f t="shared" si="2"/>
        <v>0</v>
      </c>
      <c r="G49" s="39">
        <v>6.0</v>
      </c>
      <c r="H49" s="39">
        <v>6.0</v>
      </c>
      <c r="I49" s="39">
        <v>5.0</v>
      </c>
      <c r="J49" s="71">
        <f t="shared" si="3"/>
        <v>17</v>
      </c>
      <c r="K49" s="39">
        <v>2.0</v>
      </c>
      <c r="L49" s="33">
        <f t="shared" ref="L49:M49" si="48">C49+J49</f>
        <v>44</v>
      </c>
      <c r="M49" s="33">
        <f t="shared" si="48"/>
        <v>2</v>
      </c>
      <c r="N49" s="39" t="s">
        <v>37</v>
      </c>
      <c r="O49" s="73" t="s">
        <v>37</v>
      </c>
      <c r="P49" s="72">
        <f>if(F49=13,1,0)+VLOOKUP(B49,'71523'!B$5:P$58,15,false)</f>
        <v>0</v>
      </c>
      <c r="Q49" s="39"/>
      <c r="R49" s="39">
        <f>if(F49=9,1,0)+VLOOKUP(B49,'71523'!B:R,17,false)</f>
        <v>3</v>
      </c>
    </row>
    <row r="50">
      <c r="A50" s="25">
        <f t="shared" si="5"/>
        <v>46</v>
      </c>
      <c r="B50" s="36" t="s">
        <v>93</v>
      </c>
      <c r="C50" s="39">
        <v>27.0</v>
      </c>
      <c r="D50" s="39">
        <v>0.0</v>
      </c>
      <c r="E50" s="39">
        <v>3.0</v>
      </c>
      <c r="F50" s="33">
        <f t="shared" si="2"/>
        <v>9</v>
      </c>
      <c r="G50" s="39">
        <v>0.0</v>
      </c>
      <c r="H50" s="39">
        <v>0.0</v>
      </c>
      <c r="I50" s="39">
        <v>0.0</v>
      </c>
      <c r="J50" s="71">
        <f t="shared" si="3"/>
        <v>9</v>
      </c>
      <c r="K50" s="39">
        <v>0.0</v>
      </c>
      <c r="L50" s="33">
        <f t="shared" ref="L50:M50" si="49">C50+J50</f>
        <v>36</v>
      </c>
      <c r="M50" s="33">
        <f t="shared" si="49"/>
        <v>0</v>
      </c>
      <c r="N50" s="39" t="s">
        <v>37</v>
      </c>
      <c r="O50" s="73" t="s">
        <v>37</v>
      </c>
      <c r="P50" s="72">
        <f>if(F50=13,1,0)+VLOOKUP(B50,'71523'!B$5:P$58,15,false)</f>
        <v>0</v>
      </c>
      <c r="Q50" s="39"/>
      <c r="R50" s="39">
        <f>if(F50=9,1,0)+VLOOKUP(B50,'71523'!B:R,17,false)</f>
        <v>4</v>
      </c>
    </row>
    <row r="51">
      <c r="A51" s="25">
        <f t="shared" si="5"/>
        <v>47</v>
      </c>
      <c r="B51" s="36" t="s">
        <v>98</v>
      </c>
      <c r="C51" s="39">
        <v>27.0</v>
      </c>
      <c r="D51" s="39">
        <v>0.0</v>
      </c>
      <c r="E51" s="39">
        <v>1.0</v>
      </c>
      <c r="F51" s="33">
        <f t="shared" si="2"/>
        <v>0</v>
      </c>
      <c r="G51" s="39">
        <v>4.0</v>
      </c>
      <c r="H51" s="39">
        <v>0.0</v>
      </c>
      <c r="I51" s="39">
        <v>5.0</v>
      </c>
      <c r="J51" s="71">
        <f t="shared" si="3"/>
        <v>9</v>
      </c>
      <c r="K51" s="39">
        <v>0.0</v>
      </c>
      <c r="L51" s="33">
        <f t="shared" ref="L51:M51" si="50">C51+J51</f>
        <v>36</v>
      </c>
      <c r="M51" s="33">
        <f t="shared" si="50"/>
        <v>0</v>
      </c>
      <c r="N51" s="39" t="s">
        <v>37</v>
      </c>
      <c r="O51" s="73" t="s">
        <v>37</v>
      </c>
      <c r="P51" s="39">
        <v>0.0</v>
      </c>
      <c r="Q51" s="39"/>
      <c r="R51" s="39">
        <v>0.0</v>
      </c>
    </row>
    <row r="52">
      <c r="A52" s="25">
        <f t="shared" si="5"/>
        <v>48</v>
      </c>
      <c r="B52" s="36" t="s">
        <v>104</v>
      </c>
      <c r="C52" s="39">
        <v>27.0</v>
      </c>
      <c r="D52" s="39">
        <v>0.0</v>
      </c>
      <c r="E52" s="39">
        <v>3.0</v>
      </c>
      <c r="F52" s="33">
        <f t="shared" si="2"/>
        <v>9</v>
      </c>
      <c r="G52" s="39">
        <v>0.0</v>
      </c>
      <c r="H52" s="39">
        <v>0.0</v>
      </c>
      <c r="I52" s="39">
        <v>0.0</v>
      </c>
      <c r="J52" s="71">
        <f t="shared" si="3"/>
        <v>9</v>
      </c>
      <c r="K52" s="39">
        <v>0.0</v>
      </c>
      <c r="L52" s="33">
        <f t="shared" ref="L52:M52" si="51">C52+J52</f>
        <v>36</v>
      </c>
      <c r="M52" s="33">
        <f t="shared" si="51"/>
        <v>0</v>
      </c>
      <c r="N52" s="39" t="s">
        <v>37</v>
      </c>
      <c r="O52" s="73" t="s">
        <v>37</v>
      </c>
      <c r="P52" s="72">
        <f>if(F52=13,1,0)+VLOOKUP(B52,'71523'!B$5:P$58,15,false)</f>
        <v>0</v>
      </c>
      <c r="Q52" s="39"/>
      <c r="R52" s="39">
        <f>if(F52=9,1,0)+VLOOKUP(B52,'71523'!B:R,17,false)</f>
        <v>4</v>
      </c>
    </row>
    <row r="53">
      <c r="A53" s="25">
        <f t="shared" si="5"/>
        <v>49</v>
      </c>
      <c r="B53" s="26" t="s">
        <v>105</v>
      </c>
      <c r="C53" s="39">
        <v>27.0</v>
      </c>
      <c r="D53" s="39">
        <v>0.0</v>
      </c>
      <c r="E53" s="39">
        <v>3.0</v>
      </c>
      <c r="F53" s="33">
        <f t="shared" si="2"/>
        <v>9</v>
      </c>
      <c r="G53" s="39">
        <v>0.0</v>
      </c>
      <c r="H53" s="39">
        <v>0.0</v>
      </c>
      <c r="I53" s="39">
        <v>0.0</v>
      </c>
      <c r="J53" s="71">
        <f t="shared" si="3"/>
        <v>9</v>
      </c>
      <c r="K53" s="39">
        <v>0.0</v>
      </c>
      <c r="L53" s="33">
        <f t="shared" ref="L53:M53" si="52">C53+J53</f>
        <v>36</v>
      </c>
      <c r="M53" s="33">
        <f t="shared" si="52"/>
        <v>0</v>
      </c>
      <c r="N53" s="39" t="s">
        <v>37</v>
      </c>
      <c r="O53" s="73" t="s">
        <v>37</v>
      </c>
      <c r="P53" s="72">
        <f>if(F53=13,1,0)+VLOOKUP(B53,'71523'!B$5:P$58,15,false)</f>
        <v>0</v>
      </c>
      <c r="Q53" s="39"/>
      <c r="R53" s="39">
        <f>if(F53=9,1,0)+VLOOKUP(B53,'71523'!B:R,17,false)</f>
        <v>4</v>
      </c>
    </row>
    <row r="54">
      <c r="A54" s="25">
        <f t="shared" si="5"/>
        <v>50</v>
      </c>
      <c r="B54" s="26" t="s">
        <v>51</v>
      </c>
      <c r="C54" s="39">
        <v>27.0</v>
      </c>
      <c r="D54" s="39">
        <v>0.0</v>
      </c>
      <c r="E54" s="39">
        <v>2.0</v>
      </c>
      <c r="F54" s="33">
        <f t="shared" si="2"/>
        <v>0</v>
      </c>
      <c r="G54" s="39">
        <v>4.0</v>
      </c>
      <c r="H54" s="39">
        <v>6.0</v>
      </c>
      <c r="I54" s="39">
        <v>7.0</v>
      </c>
      <c r="J54" s="71">
        <f t="shared" si="3"/>
        <v>17</v>
      </c>
      <c r="K54" s="39">
        <v>2.0</v>
      </c>
      <c r="L54" s="33">
        <f t="shared" ref="L54:M54" si="53">C54+J54</f>
        <v>44</v>
      </c>
      <c r="M54" s="33">
        <f t="shared" si="53"/>
        <v>2</v>
      </c>
      <c r="N54" s="39" t="s">
        <v>37</v>
      </c>
      <c r="O54" s="73" t="s">
        <v>37</v>
      </c>
      <c r="P54" s="72">
        <f>if(F54=13,1,0)+VLOOKUP(B54,'71523'!B$5:P$58,15,false)</f>
        <v>0</v>
      </c>
      <c r="Q54" s="39"/>
      <c r="R54" s="39">
        <f>if(F54=9,1,0)+VLOOKUP(B54,'71523'!B:R,17,false)</f>
        <v>3</v>
      </c>
    </row>
    <row r="55">
      <c r="A55" s="25">
        <f t="shared" si="5"/>
        <v>51</v>
      </c>
      <c r="B55" s="26" t="s">
        <v>106</v>
      </c>
      <c r="C55" s="39">
        <v>27.0</v>
      </c>
      <c r="D55" s="39">
        <v>0.0</v>
      </c>
      <c r="E55" s="39">
        <v>3.0</v>
      </c>
      <c r="F55" s="33">
        <f t="shared" si="2"/>
        <v>9</v>
      </c>
      <c r="G55" s="39">
        <v>0.0</v>
      </c>
      <c r="H55" s="39">
        <v>0.0</v>
      </c>
      <c r="I55" s="39">
        <v>0.0</v>
      </c>
      <c r="J55" s="71">
        <f t="shared" si="3"/>
        <v>9</v>
      </c>
      <c r="K55" s="39">
        <v>0.0</v>
      </c>
      <c r="L55" s="33">
        <f t="shared" ref="L55:M55" si="54">C55+J55</f>
        <v>36</v>
      </c>
      <c r="M55" s="33">
        <f t="shared" si="54"/>
        <v>0</v>
      </c>
      <c r="N55" s="39" t="s">
        <v>37</v>
      </c>
      <c r="O55" s="73" t="s">
        <v>37</v>
      </c>
      <c r="P55" s="72">
        <f>if(F55=13,1,0)+VLOOKUP(B55,'71523'!B$5:P$58,15,false)</f>
        <v>0</v>
      </c>
      <c r="Q55" s="39"/>
      <c r="R55" s="39">
        <f>if(F55=9,1,0)+VLOOKUP(B55,'71523'!B:R,17,false)</f>
        <v>4</v>
      </c>
    </row>
    <row r="56">
      <c r="A56" s="25">
        <f t="shared" si="5"/>
        <v>52</v>
      </c>
      <c r="B56" s="26" t="s">
        <v>100</v>
      </c>
      <c r="C56" s="39">
        <v>27.0</v>
      </c>
      <c r="D56" s="39">
        <v>0.0</v>
      </c>
      <c r="E56" s="39">
        <v>3.0</v>
      </c>
      <c r="F56" s="33">
        <f t="shared" si="2"/>
        <v>9</v>
      </c>
      <c r="G56" s="39">
        <v>0.0</v>
      </c>
      <c r="H56" s="39">
        <v>0.0</v>
      </c>
      <c r="I56" s="39">
        <v>0.0</v>
      </c>
      <c r="J56" s="71">
        <f t="shared" si="3"/>
        <v>9</v>
      </c>
      <c r="K56" s="39">
        <v>0.0</v>
      </c>
      <c r="L56" s="33">
        <f t="shared" ref="L56:M56" si="55">C56+J56</f>
        <v>36</v>
      </c>
      <c r="M56" s="33">
        <f t="shared" si="55"/>
        <v>0</v>
      </c>
      <c r="N56" s="39" t="s">
        <v>37</v>
      </c>
      <c r="O56" s="73" t="s">
        <v>37</v>
      </c>
      <c r="P56" s="72">
        <f>if(F56=13,1,0)+VLOOKUP(B56,'71523'!B$5:P$58,15,false)</f>
        <v>0</v>
      </c>
      <c r="Q56" s="39">
        <v>1.0</v>
      </c>
      <c r="R56" s="39">
        <f>if(F56=9,1,0)+VLOOKUP(B56,'71523'!B:R,17,false)</f>
        <v>4</v>
      </c>
    </row>
    <row r="57">
      <c r="A57" s="25">
        <f t="shared" si="5"/>
        <v>53</v>
      </c>
      <c r="B57" s="36" t="s">
        <v>62</v>
      </c>
      <c r="C57" s="39">
        <v>27.0</v>
      </c>
      <c r="D57" s="39">
        <v>0.0</v>
      </c>
      <c r="E57" s="39">
        <v>2.0</v>
      </c>
      <c r="F57" s="33">
        <f t="shared" si="2"/>
        <v>0</v>
      </c>
      <c r="G57" s="39">
        <v>6.0</v>
      </c>
      <c r="H57" s="39">
        <v>1.0</v>
      </c>
      <c r="I57" s="39">
        <v>6.0</v>
      </c>
      <c r="J57" s="71">
        <f t="shared" si="3"/>
        <v>13</v>
      </c>
      <c r="K57" s="39">
        <v>2.0</v>
      </c>
      <c r="L57" s="33">
        <f t="shared" ref="L57:M57" si="56">C57+J57</f>
        <v>40</v>
      </c>
      <c r="M57" s="33">
        <f t="shared" si="56"/>
        <v>2</v>
      </c>
      <c r="N57" s="39" t="s">
        <v>37</v>
      </c>
      <c r="O57" s="73" t="s">
        <v>37</v>
      </c>
      <c r="P57" s="39">
        <v>0.0</v>
      </c>
      <c r="Q57" s="39"/>
      <c r="R57" s="39">
        <v>0.0</v>
      </c>
    </row>
    <row r="58">
      <c r="A58" s="25">
        <f t="shared" si="5"/>
        <v>54</v>
      </c>
      <c r="B58" s="26" t="s">
        <v>90</v>
      </c>
      <c r="C58" s="39">
        <v>24.0</v>
      </c>
      <c r="D58" s="39">
        <v>1.0</v>
      </c>
      <c r="E58" s="39">
        <v>1.0</v>
      </c>
      <c r="F58" s="33">
        <f t="shared" si="2"/>
        <v>0</v>
      </c>
      <c r="G58" s="39">
        <v>6.0</v>
      </c>
      <c r="H58" s="39">
        <v>6.0</v>
      </c>
      <c r="I58" s="39">
        <v>2.0</v>
      </c>
      <c r="J58" s="71">
        <f t="shared" si="3"/>
        <v>14</v>
      </c>
      <c r="K58" s="39">
        <v>2.0</v>
      </c>
      <c r="L58" s="33">
        <f t="shared" ref="L58:M58" si="57">C58+J58</f>
        <v>38</v>
      </c>
      <c r="M58" s="33">
        <f t="shared" si="57"/>
        <v>3</v>
      </c>
      <c r="N58" s="39" t="s">
        <v>37</v>
      </c>
      <c r="O58" s="73" t="s">
        <v>37</v>
      </c>
      <c r="P58" s="72">
        <f>if(F58=13,1,0)+VLOOKUP(B58,'71523'!B$5:P$58,15,false)</f>
        <v>0</v>
      </c>
      <c r="Q58" s="39"/>
      <c r="R58" s="39">
        <f>if(F58=9,1,0)+VLOOKUP(B58,'71523'!B:R,17,false)</f>
        <v>1</v>
      </c>
    </row>
    <row r="59">
      <c r="A59" s="25">
        <f t="shared" si="5"/>
        <v>55</v>
      </c>
      <c r="B59" s="36" t="s">
        <v>97</v>
      </c>
      <c r="C59" s="39">
        <v>23.0</v>
      </c>
      <c r="D59" s="39">
        <v>1.0</v>
      </c>
      <c r="E59" s="39">
        <v>3.0</v>
      </c>
      <c r="F59" s="33">
        <f t="shared" si="2"/>
        <v>9</v>
      </c>
      <c r="G59" s="39">
        <v>0.0</v>
      </c>
      <c r="H59" s="39">
        <v>0.0</v>
      </c>
      <c r="I59" s="39">
        <v>0.0</v>
      </c>
      <c r="J59" s="71">
        <f t="shared" si="3"/>
        <v>9</v>
      </c>
      <c r="K59" s="39">
        <v>0.0</v>
      </c>
      <c r="L59" s="33">
        <f t="shared" ref="L59:M59" si="58">C59+J59</f>
        <v>32</v>
      </c>
      <c r="M59" s="33">
        <f t="shared" si="58"/>
        <v>1</v>
      </c>
      <c r="N59" s="39" t="s">
        <v>37</v>
      </c>
      <c r="O59" s="73" t="s">
        <v>37</v>
      </c>
      <c r="P59" s="72">
        <f>if(F59=13,1,0)+VLOOKUP(B59,'71523'!B$5:P$58,15,false)</f>
        <v>0</v>
      </c>
      <c r="Q59" s="39"/>
      <c r="R59" s="39">
        <f>if(F59=9,1,0)+VLOOKUP(B59,'71523'!B:R,17,false)</f>
        <v>2</v>
      </c>
    </row>
    <row r="60">
      <c r="A60" s="25">
        <f t="shared" si="5"/>
        <v>56</v>
      </c>
      <c r="B60" s="36" t="s">
        <v>109</v>
      </c>
      <c r="C60" s="39">
        <v>23.0</v>
      </c>
      <c r="D60" s="39">
        <v>0.0</v>
      </c>
      <c r="E60" s="39">
        <v>1.0</v>
      </c>
      <c r="F60" s="33">
        <f t="shared" si="2"/>
        <v>0</v>
      </c>
      <c r="G60" s="39">
        <v>1.0</v>
      </c>
      <c r="H60" s="39">
        <v>1.0</v>
      </c>
      <c r="I60" s="39">
        <v>2.0</v>
      </c>
      <c r="J60" s="71">
        <f t="shared" si="3"/>
        <v>4</v>
      </c>
      <c r="K60" s="39">
        <v>0.0</v>
      </c>
      <c r="L60" s="33">
        <f t="shared" ref="L60:M60" si="59">C60+J60</f>
        <v>27</v>
      </c>
      <c r="M60" s="33">
        <f t="shared" si="59"/>
        <v>0</v>
      </c>
      <c r="N60" s="39" t="s">
        <v>37</v>
      </c>
      <c r="O60" s="73" t="s">
        <v>37</v>
      </c>
      <c r="P60" s="72">
        <f>if(F60=13,1,0)+VLOOKUP(B60,'71523'!B$5:P$58,15,false)</f>
        <v>0</v>
      </c>
      <c r="Q60" s="39"/>
      <c r="R60" s="39">
        <f>if(F60=9,1,0)+VLOOKUP(B60,'71523'!B:R,17,false)</f>
        <v>2</v>
      </c>
    </row>
    <row r="61">
      <c r="A61" s="25">
        <f t="shared" si="5"/>
        <v>57</v>
      </c>
      <c r="B61" s="36" t="s">
        <v>85</v>
      </c>
      <c r="C61" s="39">
        <v>22.0</v>
      </c>
      <c r="D61" s="39">
        <v>0.0</v>
      </c>
      <c r="E61" s="39">
        <v>1.0</v>
      </c>
      <c r="F61" s="33">
        <f t="shared" si="2"/>
        <v>0</v>
      </c>
      <c r="G61" s="39">
        <v>1.0</v>
      </c>
      <c r="H61" s="39">
        <v>6.0</v>
      </c>
      <c r="I61" s="39">
        <v>6.0</v>
      </c>
      <c r="J61" s="71">
        <f t="shared" si="3"/>
        <v>13</v>
      </c>
      <c r="K61" s="39">
        <v>2.0</v>
      </c>
      <c r="L61" s="33">
        <f t="shared" ref="L61:M61" si="60">C61+J61</f>
        <v>35</v>
      </c>
      <c r="M61" s="33">
        <f t="shared" si="60"/>
        <v>2</v>
      </c>
      <c r="N61" s="39" t="s">
        <v>37</v>
      </c>
      <c r="O61" s="73" t="s">
        <v>37</v>
      </c>
      <c r="P61" s="72">
        <f>if(F61=13,1,0)+VLOOKUP(B61,'71523'!B$5:P$58,15,false)</f>
        <v>0</v>
      </c>
      <c r="Q61" s="39"/>
      <c r="R61" s="39">
        <f>if(F61=9,1,0)+VLOOKUP(B61,'71523'!B:R,17,false)</f>
        <v>2</v>
      </c>
    </row>
    <row r="62">
      <c r="A62" s="1"/>
      <c r="C62" s="1"/>
      <c r="D62" s="1"/>
      <c r="E62" s="1"/>
      <c r="O62" s="1"/>
    </row>
    <row r="63">
      <c r="A63" s="1"/>
      <c r="B63" s="39">
        <f>COUNTA(B5:B61)</f>
        <v>57</v>
      </c>
      <c r="C63" s="1"/>
      <c r="D63" s="1"/>
      <c r="E63" s="1"/>
      <c r="N63" s="34" t="s">
        <v>110</v>
      </c>
      <c r="O63" s="40">
        <f>COUNTA(O5:O61)</f>
        <v>57</v>
      </c>
    </row>
    <row r="64">
      <c r="A64" s="1"/>
      <c r="C64" s="1"/>
      <c r="D64" s="1"/>
      <c r="E64" s="1"/>
      <c r="N64" s="34" t="s">
        <v>111</v>
      </c>
      <c r="O64" s="40">
        <f>O65-O63</f>
        <v>0</v>
      </c>
    </row>
    <row r="65">
      <c r="A65" s="1"/>
      <c r="C65" s="1"/>
      <c r="D65" s="1"/>
      <c r="I65" s="74">
        <v>0.0</v>
      </c>
      <c r="J65" s="75" t="s">
        <v>12</v>
      </c>
      <c r="K65" s="76">
        <f t="shared" ref="K65:K69" si="61">COUNTIF(E$5:E$61,I65)</f>
        <v>0</v>
      </c>
      <c r="N65" s="34" t="s">
        <v>41</v>
      </c>
      <c r="O65" s="40">
        <f>B63</f>
        <v>57</v>
      </c>
    </row>
    <row r="66">
      <c r="A66" s="1"/>
      <c r="C66" s="1"/>
      <c r="D66" s="1"/>
      <c r="E66" s="34" t="s">
        <v>112</v>
      </c>
      <c r="I66" s="74">
        <v>1.0</v>
      </c>
      <c r="J66" s="75" t="s">
        <v>122</v>
      </c>
      <c r="K66" s="76">
        <f t="shared" si="61"/>
        <v>26</v>
      </c>
    </row>
    <row r="67">
      <c r="A67" s="1"/>
      <c r="C67" s="1"/>
      <c r="D67" s="1"/>
      <c r="I67" s="74">
        <v>2.0</v>
      </c>
      <c r="J67" s="75" t="s">
        <v>123</v>
      </c>
      <c r="K67" s="76">
        <f t="shared" si="61"/>
        <v>6</v>
      </c>
    </row>
    <row r="68">
      <c r="A68" s="1"/>
      <c r="C68" s="1"/>
      <c r="D68" s="1"/>
      <c r="I68" s="74">
        <v>3.0</v>
      </c>
      <c r="J68" s="75" t="s">
        <v>39</v>
      </c>
      <c r="K68" s="76">
        <f t="shared" si="61"/>
        <v>25</v>
      </c>
    </row>
    <row r="69">
      <c r="A69" s="1"/>
      <c r="C69" s="1"/>
      <c r="D69" s="1"/>
      <c r="I69" s="74">
        <v>4.0</v>
      </c>
      <c r="J69" s="75" t="s">
        <v>124</v>
      </c>
      <c r="K69" s="76">
        <f t="shared" si="61"/>
        <v>0</v>
      </c>
    </row>
    <row r="70">
      <c r="A70" s="1"/>
      <c r="C70" s="1"/>
      <c r="D70" s="1"/>
      <c r="E70" s="1"/>
      <c r="J70" s="75" t="s">
        <v>41</v>
      </c>
      <c r="K70" s="76">
        <f>sum(K65:K69)</f>
        <v>57</v>
      </c>
    </row>
    <row r="71">
      <c r="A71" s="1"/>
      <c r="C71" s="1"/>
      <c r="D71" s="1"/>
      <c r="E71" s="1"/>
      <c r="J71" s="34"/>
      <c r="K71" s="47"/>
    </row>
    <row r="72">
      <c r="A72" s="1"/>
      <c r="C72" s="1"/>
      <c r="D72" s="1"/>
      <c r="E72" s="1"/>
    </row>
    <row r="73">
      <c r="A73" s="1"/>
      <c r="C73" s="1"/>
      <c r="D73" s="1"/>
      <c r="E73" s="1"/>
    </row>
    <row r="74">
      <c r="A74" s="1"/>
      <c r="C74" s="1"/>
      <c r="D74" s="1"/>
      <c r="E74" s="1"/>
      <c r="J74" s="14" t="s">
        <v>122</v>
      </c>
      <c r="K74" s="13">
        <f>K66+K67+K69</f>
        <v>32</v>
      </c>
    </row>
    <row r="75">
      <c r="A75" s="1"/>
      <c r="C75" s="1"/>
      <c r="D75" s="1"/>
      <c r="E75" s="1"/>
      <c r="J75" s="14" t="s">
        <v>39</v>
      </c>
      <c r="K75" s="13">
        <f>K68</f>
        <v>25</v>
      </c>
    </row>
    <row r="76">
      <c r="A76" s="1"/>
      <c r="C76" s="1"/>
      <c r="D76" s="1"/>
      <c r="E76" s="1"/>
      <c r="J76" s="14" t="s">
        <v>40</v>
      </c>
      <c r="K76" s="13">
        <f>K65</f>
        <v>0</v>
      </c>
    </row>
    <row r="77">
      <c r="A77" s="1"/>
      <c r="C77" s="1"/>
      <c r="D77" s="1"/>
      <c r="E77" s="1"/>
      <c r="J77" s="14" t="s">
        <v>41</v>
      </c>
      <c r="K77" s="13">
        <f>SUM(K74:K76)</f>
        <v>57</v>
      </c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D1"/>
    <mergeCell ref="G1:I1"/>
    <mergeCell ref="J1:K1"/>
    <mergeCell ref="B2:C2"/>
    <mergeCell ref="L3:M3"/>
  </mergeCells>
  <conditionalFormatting sqref="J5:J61">
    <cfRule type="expression" dxfId="0" priority="1">
      <formula> J5&gt;=18</formula>
    </cfRule>
  </conditionalFormatting>
  <conditionalFormatting sqref="J10 L10:M10">
    <cfRule type="expression" dxfId="1" priority="2">
      <formula>iseven</formula>
    </cfRule>
  </conditionalFormatting>
  <conditionalFormatting sqref="B5:B61">
    <cfRule type="expression" dxfId="0" priority="3">
      <formula>E5=1</formula>
    </cfRule>
  </conditionalFormatting>
  <conditionalFormatting sqref="B5:B61">
    <cfRule type="expression" dxfId="2" priority="4">
      <formula>E5=2</formula>
    </cfRule>
  </conditionalFormatting>
  <conditionalFormatting sqref="B5:B61">
    <cfRule type="expression" dxfId="3" priority="5">
      <formula>E5=3</formula>
    </cfRule>
  </conditionalFormatting>
  <conditionalFormatting sqref="B5:B61">
    <cfRule type="expression" dxfId="4" priority="6">
      <formula>E5=4</formula>
    </cfRule>
  </conditionalFormatting>
  <conditionalFormatting sqref="K71">
    <cfRule type="containsText" dxfId="0" priority="7" operator="containsText" text="Good">
      <formula>NOT(ISERROR(SEARCH(("Good"),(K71))))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63"/>
    <col customWidth="1" min="17" max="17" width="8.38"/>
    <col customWidth="1" min="18" max="18" width="8.75"/>
  </cols>
  <sheetData>
    <row r="1">
      <c r="A1" s="1"/>
      <c r="B1" s="2" t="s">
        <v>1</v>
      </c>
      <c r="C1" s="3">
        <v>45115.0</v>
      </c>
      <c r="E1" s="1"/>
      <c r="F1" s="5"/>
      <c r="G1" s="5"/>
      <c r="J1" s="5"/>
      <c r="L1" s="5"/>
    </row>
    <row r="2">
      <c r="A2" s="1"/>
      <c r="B2" s="8" t="s">
        <v>6</v>
      </c>
      <c r="D2" s="9">
        <v>2.0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125</v>
      </c>
    </row>
    <row r="5">
      <c r="A5" s="25">
        <v>1.0</v>
      </c>
      <c r="B5" s="26" t="s">
        <v>48</v>
      </c>
      <c r="C5" s="78">
        <v>34.0</v>
      </c>
      <c r="D5" s="78">
        <v>5.0</v>
      </c>
      <c r="E5" s="39">
        <v>3.0</v>
      </c>
      <c r="F5" s="33">
        <f t="shared" ref="F5:F58" si="2">IF(OR(E5=3,E5=4),9,IF(E5=5,13,0))</f>
        <v>9</v>
      </c>
      <c r="G5" s="39"/>
      <c r="H5" s="39"/>
      <c r="I5" s="39"/>
      <c r="J5" s="71">
        <f t="shared" ref="J5:J58" si="3">F5+G5+H5+I5</f>
        <v>9</v>
      </c>
      <c r="K5" s="39"/>
      <c r="L5" s="33">
        <f t="shared" ref="L5:M5" si="1">C5+J5</f>
        <v>43</v>
      </c>
      <c r="M5" s="33">
        <f t="shared" si="1"/>
        <v>5</v>
      </c>
      <c r="N5" s="39" t="s">
        <v>37</v>
      </c>
      <c r="O5" s="73" t="s">
        <v>37</v>
      </c>
      <c r="P5" s="39">
        <f>if(F5=13,1,0)+VLOOKUP(B5,'7823'!B$5:P$56,15,false)</f>
        <v>0</v>
      </c>
      <c r="Q5" s="39"/>
      <c r="R5" s="39">
        <f>if(F5=9,1,0)+VLOOKUP(B5,'7823'!B:R,17,false)</f>
        <v>1</v>
      </c>
    </row>
    <row r="6">
      <c r="A6" s="25">
        <f t="shared" ref="A6:A58" si="5">A5+1</f>
        <v>2</v>
      </c>
      <c r="B6" s="26" t="s">
        <v>68</v>
      </c>
      <c r="C6" s="78">
        <v>32.0</v>
      </c>
      <c r="D6" s="78">
        <v>3.0</v>
      </c>
      <c r="E6" s="39">
        <v>3.0</v>
      </c>
      <c r="F6" s="33">
        <f t="shared" si="2"/>
        <v>9</v>
      </c>
      <c r="G6" s="39"/>
      <c r="H6" s="39"/>
      <c r="I6" s="39"/>
      <c r="J6" s="71">
        <f t="shared" si="3"/>
        <v>9</v>
      </c>
      <c r="K6" s="39"/>
      <c r="L6" s="33">
        <f t="shared" ref="L6:M6" si="4">C6+J6</f>
        <v>41</v>
      </c>
      <c r="M6" s="33">
        <f t="shared" si="4"/>
        <v>3</v>
      </c>
      <c r="N6" s="39" t="s">
        <v>37</v>
      </c>
      <c r="O6" s="73" t="s">
        <v>37</v>
      </c>
      <c r="P6" s="39">
        <f>if(F6=13,1,0)+VLOOKUP(B6,'7823'!B$5:P$56,15,false)</f>
        <v>1</v>
      </c>
      <c r="Q6" s="39"/>
      <c r="R6" s="39">
        <f>if(F6=9,1,0)+VLOOKUP(B6,'7823'!B:R,17,false)</f>
        <v>1</v>
      </c>
    </row>
    <row r="7">
      <c r="A7" s="25">
        <f t="shared" si="5"/>
        <v>3</v>
      </c>
      <c r="B7" s="26" t="s">
        <v>72</v>
      </c>
      <c r="C7" s="78">
        <v>31.0</v>
      </c>
      <c r="D7" s="78">
        <v>4.0</v>
      </c>
      <c r="E7" s="39">
        <v>3.0</v>
      </c>
      <c r="F7" s="33">
        <f t="shared" si="2"/>
        <v>9</v>
      </c>
      <c r="G7" s="39"/>
      <c r="H7" s="39"/>
      <c r="I7" s="39"/>
      <c r="J7" s="71">
        <f t="shared" si="3"/>
        <v>9</v>
      </c>
      <c r="K7" s="39"/>
      <c r="L7" s="33">
        <f t="shared" ref="L7:M7" si="6">C7+J7</f>
        <v>40</v>
      </c>
      <c r="M7" s="33">
        <f t="shared" si="6"/>
        <v>4</v>
      </c>
      <c r="N7" s="39" t="s">
        <v>37</v>
      </c>
      <c r="O7" s="73" t="s">
        <v>37</v>
      </c>
      <c r="P7" s="39">
        <f>if(F7=13,1,0)+VLOOKUP(B7,'7823'!B$5:P$56,15,false)</f>
        <v>0</v>
      </c>
      <c r="Q7" s="39"/>
      <c r="R7" s="39">
        <f>if(F7=9,1,0)+VLOOKUP(B7,'7823'!B:R,17,false)</f>
        <v>1</v>
      </c>
    </row>
    <row r="8">
      <c r="A8" s="25">
        <f t="shared" si="5"/>
        <v>4</v>
      </c>
      <c r="B8" s="26" t="s">
        <v>49</v>
      </c>
      <c r="C8" s="78">
        <v>31.0</v>
      </c>
      <c r="D8" s="78">
        <v>4.0</v>
      </c>
      <c r="E8" s="39">
        <v>1.0</v>
      </c>
      <c r="F8" s="33">
        <f t="shared" si="2"/>
        <v>0</v>
      </c>
      <c r="G8" s="39">
        <v>2.0</v>
      </c>
      <c r="H8" s="39">
        <v>4.0</v>
      </c>
      <c r="I8" s="39">
        <v>6.0</v>
      </c>
      <c r="J8" s="71">
        <f t="shared" si="3"/>
        <v>12</v>
      </c>
      <c r="K8" s="39">
        <v>0.0</v>
      </c>
      <c r="L8" s="33">
        <f t="shared" ref="L8:M8" si="7">C8+J8</f>
        <v>43</v>
      </c>
      <c r="M8" s="33">
        <f t="shared" si="7"/>
        <v>4</v>
      </c>
      <c r="N8" s="39" t="s">
        <v>37</v>
      </c>
      <c r="O8" s="73" t="s">
        <v>37</v>
      </c>
      <c r="P8" s="39">
        <f>if(F8=13,1,0)+VLOOKUP(B8,'7823'!B$5:P$56,15,false)</f>
        <v>0</v>
      </c>
      <c r="Q8" s="39">
        <v>1.0</v>
      </c>
      <c r="R8" s="39">
        <f>if(F8=9,1,0)+VLOOKUP(B8,'7823'!B:R,17,false)</f>
        <v>0</v>
      </c>
    </row>
    <row r="9">
      <c r="A9" s="25">
        <f t="shared" si="5"/>
        <v>5</v>
      </c>
      <c r="B9" s="36" t="s">
        <v>67</v>
      </c>
      <c r="C9" s="78">
        <v>31.0</v>
      </c>
      <c r="D9" s="78">
        <v>4.0</v>
      </c>
      <c r="E9" s="39">
        <v>1.0</v>
      </c>
      <c r="F9" s="33">
        <f t="shared" si="2"/>
        <v>0</v>
      </c>
      <c r="G9" s="39">
        <v>6.0</v>
      </c>
      <c r="H9" s="39">
        <v>6.0</v>
      </c>
      <c r="I9" s="39">
        <v>6.0</v>
      </c>
      <c r="J9" s="71">
        <f t="shared" si="3"/>
        <v>18</v>
      </c>
      <c r="K9" s="39">
        <v>2.0</v>
      </c>
      <c r="L9" s="33">
        <f t="shared" ref="L9:M9" si="8">C9+J9</f>
        <v>49</v>
      </c>
      <c r="M9" s="33">
        <f t="shared" si="8"/>
        <v>6</v>
      </c>
      <c r="N9" s="39" t="s">
        <v>37</v>
      </c>
      <c r="O9" s="73" t="s">
        <v>37</v>
      </c>
      <c r="P9" s="39">
        <f>if(F9=13,1,0)+VLOOKUP(B9,'7823'!B$5:P$56,15,false)</f>
        <v>0</v>
      </c>
      <c r="Q9" s="39"/>
      <c r="R9" s="39">
        <f>if(F9=9,1,0)+VLOOKUP(B9,'7823'!B:R,17,false)</f>
        <v>0</v>
      </c>
    </row>
    <row r="10">
      <c r="A10" s="25">
        <f t="shared" si="5"/>
        <v>6</v>
      </c>
      <c r="B10" s="26" t="s">
        <v>52</v>
      </c>
      <c r="C10" s="78">
        <v>29.0</v>
      </c>
      <c r="D10" s="78">
        <v>4.0</v>
      </c>
      <c r="E10" s="39">
        <v>1.0</v>
      </c>
      <c r="F10" s="33">
        <f t="shared" si="2"/>
        <v>0</v>
      </c>
      <c r="G10" s="39">
        <v>2.0</v>
      </c>
      <c r="H10" s="39">
        <v>6.0</v>
      </c>
      <c r="I10" s="39">
        <v>7.0</v>
      </c>
      <c r="J10" s="71">
        <f t="shared" si="3"/>
        <v>15</v>
      </c>
      <c r="K10" s="39">
        <v>2.0</v>
      </c>
      <c r="L10" s="33">
        <f t="shared" ref="L10:M10" si="9">C10+J10</f>
        <v>44</v>
      </c>
      <c r="M10" s="33">
        <f t="shared" si="9"/>
        <v>6</v>
      </c>
      <c r="N10" s="39" t="s">
        <v>37</v>
      </c>
      <c r="O10" s="73" t="s">
        <v>37</v>
      </c>
      <c r="P10" s="39">
        <f>if(F10=13,1,0)+VLOOKUP(B10,'7823'!B$5:P$56,15,false)</f>
        <v>0</v>
      </c>
      <c r="Q10" s="39"/>
      <c r="R10" s="39">
        <f>if(F10=9,1,0)+VLOOKUP(B10,'7823'!B:R,17,false)</f>
        <v>0</v>
      </c>
    </row>
    <row r="11">
      <c r="A11" s="25">
        <f t="shared" si="5"/>
        <v>7</v>
      </c>
      <c r="B11" s="26" t="s">
        <v>57</v>
      </c>
      <c r="C11" s="78">
        <v>29.0</v>
      </c>
      <c r="D11" s="78">
        <v>4.0</v>
      </c>
      <c r="E11" s="39">
        <v>3.0</v>
      </c>
      <c r="F11" s="33">
        <f t="shared" si="2"/>
        <v>9</v>
      </c>
      <c r="G11" s="39"/>
      <c r="H11" s="39"/>
      <c r="I11" s="39"/>
      <c r="J11" s="71">
        <f t="shared" si="3"/>
        <v>9</v>
      </c>
      <c r="K11" s="39"/>
      <c r="L11" s="33">
        <f t="shared" ref="L11:M11" si="10">C11+J11</f>
        <v>38</v>
      </c>
      <c r="M11" s="33">
        <f t="shared" si="10"/>
        <v>4</v>
      </c>
      <c r="N11" s="39" t="s">
        <v>37</v>
      </c>
      <c r="O11" s="73" t="s">
        <v>37</v>
      </c>
      <c r="P11" s="39">
        <f>if(F11=13,1,0)+VLOOKUP(B11,'7823'!B$5:P$56,15,false)</f>
        <v>0</v>
      </c>
      <c r="Q11" s="39"/>
      <c r="R11" s="39">
        <f>if(F11=9,1,0)+VLOOKUP(B11,'7823'!B:R,17,false)</f>
        <v>1</v>
      </c>
    </row>
    <row r="12">
      <c r="A12" s="25">
        <f t="shared" si="5"/>
        <v>8</v>
      </c>
      <c r="B12" s="26" t="s">
        <v>54</v>
      </c>
      <c r="C12" s="78">
        <v>29.0</v>
      </c>
      <c r="D12" s="78">
        <v>4.0</v>
      </c>
      <c r="E12" s="39">
        <v>1.0</v>
      </c>
      <c r="F12" s="33">
        <f t="shared" si="2"/>
        <v>0</v>
      </c>
      <c r="G12" s="39">
        <v>6.0</v>
      </c>
      <c r="H12" s="39">
        <v>4.0</v>
      </c>
      <c r="I12" s="39">
        <v>7.0</v>
      </c>
      <c r="J12" s="71">
        <f t="shared" si="3"/>
        <v>17</v>
      </c>
      <c r="K12" s="39">
        <v>2.0</v>
      </c>
      <c r="L12" s="33">
        <f t="shared" ref="L12:M12" si="11">C12+J12</f>
        <v>46</v>
      </c>
      <c r="M12" s="33">
        <f t="shared" si="11"/>
        <v>6</v>
      </c>
      <c r="N12" s="39" t="s">
        <v>37</v>
      </c>
      <c r="O12" s="73" t="s">
        <v>37</v>
      </c>
      <c r="P12" s="39">
        <f>if(F12=13,1,0)+VLOOKUP(B12,'7823'!B$5:P$56,15,false)</f>
        <v>0</v>
      </c>
      <c r="Q12" s="39"/>
      <c r="R12" s="39">
        <f>if(F12=9,1,0)+VLOOKUP(B12,'7823'!B:R,17,false)</f>
        <v>0</v>
      </c>
    </row>
    <row r="13">
      <c r="A13" s="25">
        <f t="shared" si="5"/>
        <v>9</v>
      </c>
      <c r="B13" s="26" t="s">
        <v>73</v>
      </c>
      <c r="C13" s="78">
        <v>28.0</v>
      </c>
      <c r="D13" s="78">
        <v>2.0</v>
      </c>
      <c r="E13" s="39">
        <v>3.0</v>
      </c>
      <c r="F13" s="33">
        <f t="shared" si="2"/>
        <v>9</v>
      </c>
      <c r="G13" s="39"/>
      <c r="H13" s="39"/>
      <c r="I13" s="39"/>
      <c r="J13" s="71">
        <f t="shared" si="3"/>
        <v>9</v>
      </c>
      <c r="K13" s="39"/>
      <c r="L13" s="33">
        <f t="shared" ref="L13:M13" si="12">C13+J13</f>
        <v>37</v>
      </c>
      <c r="M13" s="33">
        <f t="shared" si="12"/>
        <v>2</v>
      </c>
      <c r="N13" s="39" t="s">
        <v>37</v>
      </c>
      <c r="O13" s="73" t="s">
        <v>37</v>
      </c>
      <c r="P13" s="39">
        <f>if(F13=13,1,0)+VLOOKUP(B13,'7823'!B$5:P$56,15,false)</f>
        <v>0</v>
      </c>
      <c r="Q13" s="39"/>
      <c r="R13" s="39">
        <f>if(F13=9,1,0)+VLOOKUP(B13,'7823'!B:R,17,false)</f>
        <v>1</v>
      </c>
    </row>
    <row r="14">
      <c r="A14" s="25">
        <f t="shared" si="5"/>
        <v>10</v>
      </c>
      <c r="B14" s="26" t="s">
        <v>61</v>
      </c>
      <c r="C14" s="78">
        <v>27.0</v>
      </c>
      <c r="D14" s="78">
        <v>3.0</v>
      </c>
      <c r="E14" s="39">
        <v>1.0</v>
      </c>
      <c r="F14" s="33">
        <f t="shared" si="2"/>
        <v>0</v>
      </c>
      <c r="G14" s="39">
        <v>4.0</v>
      </c>
      <c r="H14" s="39">
        <v>5.0</v>
      </c>
      <c r="I14" s="39">
        <v>6.0</v>
      </c>
      <c r="J14" s="71">
        <f t="shared" si="3"/>
        <v>15</v>
      </c>
      <c r="K14" s="39">
        <v>1.0</v>
      </c>
      <c r="L14" s="33">
        <f t="shared" ref="L14:M14" si="13">C14+J14</f>
        <v>42</v>
      </c>
      <c r="M14" s="33">
        <f t="shared" si="13"/>
        <v>4</v>
      </c>
      <c r="N14" s="39" t="s">
        <v>37</v>
      </c>
      <c r="O14" s="73" t="s">
        <v>37</v>
      </c>
      <c r="P14" s="39">
        <f>if(F14=13,1,0)+VLOOKUP(B14,'7823'!B$5:P$56,15,false)</f>
        <v>0</v>
      </c>
      <c r="Q14" s="39"/>
      <c r="R14" s="39">
        <f>if(F14=9,1,0)+VLOOKUP(B14,'7823'!B:R,17,false)</f>
        <v>1</v>
      </c>
    </row>
    <row r="15">
      <c r="A15" s="25">
        <f t="shared" si="5"/>
        <v>11</v>
      </c>
      <c r="B15" s="26" t="s">
        <v>47</v>
      </c>
      <c r="C15" s="78">
        <v>27.0</v>
      </c>
      <c r="D15" s="78">
        <v>2.0</v>
      </c>
      <c r="E15" s="39">
        <v>3.0</v>
      </c>
      <c r="F15" s="33">
        <f t="shared" si="2"/>
        <v>9</v>
      </c>
      <c r="G15" s="39"/>
      <c r="H15" s="39"/>
      <c r="I15" s="39"/>
      <c r="J15" s="71">
        <f t="shared" si="3"/>
        <v>9</v>
      </c>
      <c r="K15" s="39"/>
      <c r="L15" s="33">
        <f t="shared" ref="L15:M15" si="14">C15+J15</f>
        <v>36</v>
      </c>
      <c r="M15" s="33">
        <f t="shared" si="14"/>
        <v>2</v>
      </c>
      <c r="N15" s="39" t="s">
        <v>37</v>
      </c>
      <c r="O15" s="73" t="s">
        <v>37</v>
      </c>
      <c r="P15" s="39">
        <f>if(F15=13,1,0)+VLOOKUP(B15,'7823'!B$5:P$56,15,false)</f>
        <v>0</v>
      </c>
      <c r="Q15" s="39"/>
      <c r="R15" s="39">
        <f>if(F15=9,1,0)+VLOOKUP(B15,'7823'!B:R,17,false)</f>
        <v>2</v>
      </c>
    </row>
    <row r="16">
      <c r="A16" s="25">
        <f t="shared" si="5"/>
        <v>12</v>
      </c>
      <c r="B16" s="26" t="s">
        <v>55</v>
      </c>
      <c r="C16" s="78">
        <v>26.0</v>
      </c>
      <c r="D16" s="78">
        <v>3.0</v>
      </c>
      <c r="E16" s="39">
        <v>3.0</v>
      </c>
      <c r="F16" s="33">
        <f t="shared" si="2"/>
        <v>9</v>
      </c>
      <c r="G16" s="39"/>
      <c r="H16" s="39"/>
      <c r="I16" s="39"/>
      <c r="J16" s="71">
        <f t="shared" si="3"/>
        <v>9</v>
      </c>
      <c r="K16" s="39"/>
      <c r="L16" s="33">
        <f t="shared" ref="L16:M16" si="15">C16+J16</f>
        <v>35</v>
      </c>
      <c r="M16" s="33">
        <f t="shared" si="15"/>
        <v>3</v>
      </c>
      <c r="N16" s="39" t="s">
        <v>37</v>
      </c>
      <c r="O16" s="73" t="s">
        <v>37</v>
      </c>
      <c r="P16" s="39">
        <f>if(F16=13,1,0)+VLOOKUP(B16,'7823'!B$5:P$56,15,false)</f>
        <v>0</v>
      </c>
      <c r="Q16" s="39"/>
      <c r="R16" s="39">
        <f>if(F16=9,1,0)+VLOOKUP(B16,'7823'!B:R,17,false)</f>
        <v>1</v>
      </c>
    </row>
    <row r="17">
      <c r="A17" s="25">
        <f t="shared" si="5"/>
        <v>13</v>
      </c>
      <c r="B17" s="26" t="s">
        <v>86</v>
      </c>
      <c r="C17" s="78">
        <v>26.0</v>
      </c>
      <c r="D17" s="78">
        <v>3.0</v>
      </c>
      <c r="E17" s="39">
        <v>3.0</v>
      </c>
      <c r="F17" s="33">
        <f t="shared" si="2"/>
        <v>9</v>
      </c>
      <c r="G17" s="39"/>
      <c r="H17" s="39"/>
      <c r="I17" s="39"/>
      <c r="J17" s="71">
        <f t="shared" si="3"/>
        <v>9</v>
      </c>
      <c r="K17" s="39"/>
      <c r="L17" s="33">
        <f t="shared" ref="L17:M17" si="16">C17+J17</f>
        <v>35</v>
      </c>
      <c r="M17" s="33">
        <f t="shared" si="16"/>
        <v>3</v>
      </c>
      <c r="N17" s="39" t="s">
        <v>37</v>
      </c>
      <c r="O17" s="73" t="s">
        <v>37</v>
      </c>
      <c r="P17" s="39">
        <f>if(F17=13,1,0)+VLOOKUP(B17,'7823'!B$5:P$56,15,false)</f>
        <v>0</v>
      </c>
      <c r="Q17" s="39"/>
      <c r="R17" s="39">
        <f>if(F17=9,1,0)+VLOOKUP(B17,'7823'!B:R,17,false)</f>
        <v>1</v>
      </c>
    </row>
    <row r="18">
      <c r="A18" s="25">
        <f t="shared" si="5"/>
        <v>14</v>
      </c>
      <c r="B18" s="26" t="s">
        <v>58</v>
      </c>
      <c r="C18" s="78">
        <v>26.0</v>
      </c>
      <c r="D18" s="78">
        <v>2.0</v>
      </c>
      <c r="E18" s="39">
        <v>1.0</v>
      </c>
      <c r="F18" s="33">
        <f t="shared" si="2"/>
        <v>0</v>
      </c>
      <c r="G18" s="39">
        <v>4.0</v>
      </c>
      <c r="H18" s="39">
        <v>7.0</v>
      </c>
      <c r="I18" s="39">
        <v>4.0</v>
      </c>
      <c r="J18" s="71">
        <f t="shared" si="3"/>
        <v>15</v>
      </c>
      <c r="K18" s="39">
        <v>1.0</v>
      </c>
      <c r="L18" s="33">
        <f t="shared" ref="L18:M18" si="17">C18+J18</f>
        <v>41</v>
      </c>
      <c r="M18" s="33">
        <f t="shared" si="17"/>
        <v>3</v>
      </c>
      <c r="N18" s="39" t="s">
        <v>37</v>
      </c>
      <c r="O18" s="73" t="s">
        <v>37</v>
      </c>
      <c r="P18" s="39">
        <f>if(F18=13,1,0)+VLOOKUP(B18,'7823'!B$5:P$56,15,false)</f>
        <v>0</v>
      </c>
      <c r="Q18" s="39"/>
      <c r="R18" s="39">
        <f>if(F18=9,1,0)+VLOOKUP(B18,'7823'!B:R,17,false)</f>
        <v>1</v>
      </c>
    </row>
    <row r="19">
      <c r="A19" s="25">
        <f t="shared" si="5"/>
        <v>15</v>
      </c>
      <c r="B19" s="26" t="s">
        <v>80</v>
      </c>
      <c r="C19" s="78">
        <v>26.0</v>
      </c>
      <c r="D19" s="78">
        <v>2.0</v>
      </c>
      <c r="E19" s="39">
        <v>3.0</v>
      </c>
      <c r="F19" s="33">
        <f t="shared" si="2"/>
        <v>9</v>
      </c>
      <c r="G19" s="39"/>
      <c r="H19" s="39"/>
      <c r="I19" s="39"/>
      <c r="J19" s="71">
        <f t="shared" si="3"/>
        <v>9</v>
      </c>
      <c r="K19" s="39"/>
      <c r="L19" s="33">
        <f t="shared" ref="L19:M19" si="18">C19+J19</f>
        <v>35</v>
      </c>
      <c r="M19" s="33">
        <f t="shared" si="18"/>
        <v>2</v>
      </c>
      <c r="N19" s="39" t="s">
        <v>37</v>
      </c>
      <c r="O19" s="73" t="s">
        <v>37</v>
      </c>
      <c r="P19" s="39">
        <f>if(F19=13,1,0)+VLOOKUP(B19,'7823'!B$5:P$56,15,false)</f>
        <v>0</v>
      </c>
      <c r="Q19" s="39"/>
      <c r="R19" s="39">
        <f>if(F19=9,1,0)+VLOOKUP(B19,'7823'!B:R,17,false)</f>
        <v>2</v>
      </c>
    </row>
    <row r="20">
      <c r="A20" s="25">
        <f t="shared" si="5"/>
        <v>16</v>
      </c>
      <c r="B20" s="36" t="s">
        <v>59</v>
      </c>
      <c r="C20" s="78">
        <v>26.0</v>
      </c>
      <c r="D20" s="78">
        <v>2.0</v>
      </c>
      <c r="E20" s="39">
        <v>1.0</v>
      </c>
      <c r="F20" s="33">
        <f t="shared" si="2"/>
        <v>0</v>
      </c>
      <c r="G20" s="39">
        <v>6.0</v>
      </c>
      <c r="H20" s="39">
        <v>5.0</v>
      </c>
      <c r="I20" s="39">
        <v>4.0</v>
      </c>
      <c r="J20" s="71">
        <f t="shared" si="3"/>
        <v>15</v>
      </c>
      <c r="K20" s="39">
        <v>1.0</v>
      </c>
      <c r="L20" s="33">
        <f t="shared" ref="L20:M20" si="19">C20+J20</f>
        <v>41</v>
      </c>
      <c r="M20" s="33">
        <f t="shared" si="19"/>
        <v>3</v>
      </c>
      <c r="N20" s="39" t="s">
        <v>37</v>
      </c>
      <c r="O20" s="73" t="s">
        <v>37</v>
      </c>
      <c r="P20" s="39">
        <f>if(F20=13,1,0)+VLOOKUP(B20,'7823'!B$5:P$56,15,false)</f>
        <v>0</v>
      </c>
      <c r="Q20" s="39"/>
      <c r="R20" s="39">
        <f>if(F20=9,1,0)+VLOOKUP(B20,'7823'!B:R,17,false)</f>
        <v>0</v>
      </c>
    </row>
    <row r="21">
      <c r="A21" s="25">
        <f t="shared" si="5"/>
        <v>17</v>
      </c>
      <c r="B21" s="26" t="s">
        <v>65</v>
      </c>
      <c r="C21" s="78">
        <v>26.0</v>
      </c>
      <c r="D21" s="78">
        <v>2.0</v>
      </c>
      <c r="E21" s="39">
        <v>3.0</v>
      </c>
      <c r="F21" s="33">
        <f t="shared" si="2"/>
        <v>9</v>
      </c>
      <c r="G21" s="39"/>
      <c r="H21" s="39"/>
      <c r="I21" s="39"/>
      <c r="J21" s="71">
        <f t="shared" si="3"/>
        <v>9</v>
      </c>
      <c r="K21" s="39"/>
      <c r="L21" s="33">
        <f t="shared" ref="L21:M21" si="20">C21+J21</f>
        <v>35</v>
      </c>
      <c r="M21" s="33">
        <f t="shared" si="20"/>
        <v>2</v>
      </c>
      <c r="N21" s="39" t="s">
        <v>37</v>
      </c>
      <c r="O21" s="73" t="s">
        <v>37</v>
      </c>
      <c r="P21" s="39">
        <f>if(F21=13,1,0)+VLOOKUP(B21,'7823'!B$5:P$56,15,false)</f>
        <v>0</v>
      </c>
      <c r="Q21" s="39"/>
      <c r="R21" s="39">
        <f>if(F21=9,1,0)+VLOOKUP(B21,'7823'!B:R,17,false)</f>
        <v>2</v>
      </c>
    </row>
    <row r="22">
      <c r="A22" s="25">
        <f t="shared" si="5"/>
        <v>18</v>
      </c>
      <c r="B22" s="26" t="s">
        <v>60</v>
      </c>
      <c r="C22" s="78">
        <v>25.0</v>
      </c>
      <c r="D22" s="78">
        <v>2.0</v>
      </c>
      <c r="E22" s="39">
        <v>1.0</v>
      </c>
      <c r="F22" s="33">
        <f t="shared" si="2"/>
        <v>0</v>
      </c>
      <c r="G22" s="39">
        <v>6.0</v>
      </c>
      <c r="H22" s="39">
        <v>7.0</v>
      </c>
      <c r="I22" s="39">
        <v>6.0</v>
      </c>
      <c r="J22" s="71">
        <f t="shared" si="3"/>
        <v>19</v>
      </c>
      <c r="K22" s="39">
        <v>3.0</v>
      </c>
      <c r="L22" s="33">
        <f t="shared" ref="L22:M22" si="21">C22+J22</f>
        <v>44</v>
      </c>
      <c r="M22" s="33">
        <f t="shared" si="21"/>
        <v>5</v>
      </c>
      <c r="N22" s="39" t="s">
        <v>37</v>
      </c>
      <c r="O22" s="73" t="s">
        <v>37</v>
      </c>
      <c r="P22" s="39">
        <f>if(F22=13,1,0)+VLOOKUP(B22,'7823'!B$5:P$56,15,false)</f>
        <v>0</v>
      </c>
      <c r="Q22" s="39"/>
      <c r="R22" s="39">
        <f>if(F22=9,1,0)+VLOOKUP(B22,'7823'!B:R,17,false)</f>
        <v>0</v>
      </c>
    </row>
    <row r="23">
      <c r="A23" s="25">
        <f t="shared" si="5"/>
        <v>19</v>
      </c>
      <c r="B23" s="26" t="s">
        <v>42</v>
      </c>
      <c r="C23" s="78">
        <v>25.0</v>
      </c>
      <c r="D23" s="78">
        <v>2.0</v>
      </c>
      <c r="E23" s="39">
        <v>3.0</v>
      </c>
      <c r="F23" s="33">
        <f t="shared" si="2"/>
        <v>9</v>
      </c>
      <c r="G23" s="39"/>
      <c r="H23" s="39"/>
      <c r="I23" s="39"/>
      <c r="J23" s="71">
        <f t="shared" si="3"/>
        <v>9</v>
      </c>
      <c r="K23" s="39"/>
      <c r="L23" s="33">
        <f t="shared" ref="L23:M23" si="22">C23+J23</f>
        <v>34</v>
      </c>
      <c r="M23" s="33">
        <f t="shared" si="22"/>
        <v>2</v>
      </c>
      <c r="N23" s="39" t="s">
        <v>37</v>
      </c>
      <c r="O23" s="73" t="s">
        <v>37</v>
      </c>
      <c r="P23" s="39">
        <f>if(F23=13,1,0)+VLOOKUP(B23,'7823'!B$5:P$56,15,false)</f>
        <v>0</v>
      </c>
      <c r="Q23" s="39"/>
      <c r="R23" s="39">
        <f>if(F23=9,1,0)+VLOOKUP(B23,'7823'!B:R,17,false)</f>
        <v>2</v>
      </c>
    </row>
    <row r="24">
      <c r="A24" s="25">
        <f t="shared" si="5"/>
        <v>20</v>
      </c>
      <c r="B24" s="26" t="s">
        <v>50</v>
      </c>
      <c r="C24" s="78">
        <v>24.0</v>
      </c>
      <c r="D24" s="78">
        <v>2.0</v>
      </c>
      <c r="E24" s="39">
        <v>3.0</v>
      </c>
      <c r="F24" s="33">
        <f t="shared" si="2"/>
        <v>9</v>
      </c>
      <c r="G24" s="39"/>
      <c r="H24" s="39"/>
      <c r="I24" s="39"/>
      <c r="J24" s="71">
        <f t="shared" si="3"/>
        <v>9</v>
      </c>
      <c r="K24" s="39"/>
      <c r="L24" s="33">
        <f t="shared" ref="L24:M24" si="23">C24+J24</f>
        <v>33</v>
      </c>
      <c r="M24" s="33">
        <f t="shared" si="23"/>
        <v>2</v>
      </c>
      <c r="N24" s="39" t="s">
        <v>37</v>
      </c>
      <c r="O24" s="73" t="s">
        <v>37</v>
      </c>
      <c r="P24" s="39">
        <f>if(F24=13,1,0)+VLOOKUP(B24,'7823'!B$5:P$56,15,false)</f>
        <v>0</v>
      </c>
      <c r="Q24" s="39"/>
      <c r="R24" s="39">
        <f>if(F24=9,1,0)+VLOOKUP(B24,'7823'!B:R,17,false)</f>
        <v>2</v>
      </c>
    </row>
    <row r="25">
      <c r="A25" s="25">
        <f t="shared" si="5"/>
        <v>21</v>
      </c>
      <c r="B25" s="26" t="s">
        <v>75</v>
      </c>
      <c r="C25" s="78">
        <v>24.0</v>
      </c>
      <c r="D25" s="78">
        <v>2.0</v>
      </c>
      <c r="E25" s="39">
        <v>1.0</v>
      </c>
      <c r="F25" s="33">
        <f t="shared" si="2"/>
        <v>0</v>
      </c>
      <c r="G25" s="39">
        <v>6.0</v>
      </c>
      <c r="H25" s="39">
        <v>6.0</v>
      </c>
      <c r="I25" s="39">
        <v>4.0</v>
      </c>
      <c r="J25" s="71">
        <f t="shared" si="3"/>
        <v>16</v>
      </c>
      <c r="K25" s="39">
        <v>1.0</v>
      </c>
      <c r="L25" s="33">
        <f t="shared" ref="L25:M25" si="24">C25+J25</f>
        <v>40</v>
      </c>
      <c r="M25" s="33">
        <f t="shared" si="24"/>
        <v>3</v>
      </c>
      <c r="N25" s="39" t="s">
        <v>37</v>
      </c>
      <c r="O25" s="73" t="s">
        <v>37</v>
      </c>
      <c r="P25" s="39">
        <f>if(F25=13,1,0)+VLOOKUP(B25,'7823'!B$5:P$56,15,false)</f>
        <v>0</v>
      </c>
      <c r="Q25" s="39"/>
      <c r="R25" s="39">
        <f>if(F25=9,1,0)+VLOOKUP(B25,'7823'!B:R,17,false)</f>
        <v>1</v>
      </c>
    </row>
    <row r="26">
      <c r="A26" s="25">
        <f t="shared" si="5"/>
        <v>22</v>
      </c>
      <c r="B26" s="36" t="s">
        <v>77</v>
      </c>
      <c r="C26" s="78">
        <v>24.0</v>
      </c>
      <c r="D26" s="78">
        <v>2.0</v>
      </c>
      <c r="E26" s="39">
        <v>3.0</v>
      </c>
      <c r="F26" s="33">
        <f t="shared" si="2"/>
        <v>9</v>
      </c>
      <c r="G26" s="39"/>
      <c r="H26" s="39"/>
      <c r="I26" s="39"/>
      <c r="J26" s="71">
        <f t="shared" si="3"/>
        <v>9</v>
      </c>
      <c r="K26" s="39"/>
      <c r="L26" s="33">
        <f t="shared" ref="L26:M26" si="25">C26+J26</f>
        <v>33</v>
      </c>
      <c r="M26" s="33">
        <f t="shared" si="25"/>
        <v>2</v>
      </c>
      <c r="N26" s="39" t="s">
        <v>37</v>
      </c>
      <c r="O26" s="73" t="s">
        <v>37</v>
      </c>
      <c r="P26" s="39">
        <f>if(F26=13,1,0)+VLOOKUP(B26,'7823'!B$5:P$56,15,false)</f>
        <v>0</v>
      </c>
      <c r="Q26" s="39"/>
      <c r="R26" s="39">
        <f>if(F26=9,1,0)+VLOOKUP(B26,'7823'!B:R,17,false)</f>
        <v>2</v>
      </c>
    </row>
    <row r="27">
      <c r="A27" s="25">
        <f t="shared" si="5"/>
        <v>23</v>
      </c>
      <c r="B27" s="26" t="s">
        <v>79</v>
      </c>
      <c r="C27" s="78">
        <v>23.0</v>
      </c>
      <c r="D27" s="78">
        <v>3.0</v>
      </c>
      <c r="E27" s="39">
        <v>2.0</v>
      </c>
      <c r="F27" s="33">
        <f t="shared" si="2"/>
        <v>0</v>
      </c>
      <c r="G27" s="39">
        <v>6.0</v>
      </c>
      <c r="H27" s="39">
        <v>1.0</v>
      </c>
      <c r="I27" s="39">
        <v>6.0</v>
      </c>
      <c r="J27" s="71">
        <f t="shared" si="3"/>
        <v>13</v>
      </c>
      <c r="K27" s="39">
        <v>1.0</v>
      </c>
      <c r="L27" s="33">
        <f t="shared" ref="L27:M27" si="26">C27+J27</f>
        <v>36</v>
      </c>
      <c r="M27" s="33">
        <f t="shared" si="26"/>
        <v>4</v>
      </c>
      <c r="N27" s="39" t="s">
        <v>37</v>
      </c>
      <c r="O27" s="73" t="s">
        <v>37</v>
      </c>
      <c r="P27" s="39">
        <f>if(F27=13,1,0)+VLOOKUP(B27,'7823'!B$5:P$56,15,false)</f>
        <v>0</v>
      </c>
      <c r="Q27" s="39">
        <v>1.0</v>
      </c>
      <c r="R27" s="39">
        <f>if(F27=9,1,0)+VLOOKUP(B27,'7823'!B:R,17,false)</f>
        <v>0</v>
      </c>
    </row>
    <row r="28">
      <c r="A28" s="25">
        <f t="shared" si="5"/>
        <v>24</v>
      </c>
      <c r="B28" s="26" t="s">
        <v>56</v>
      </c>
      <c r="C28" s="78">
        <v>22.0</v>
      </c>
      <c r="D28" s="78">
        <v>3.0</v>
      </c>
      <c r="E28" s="39">
        <v>1.0</v>
      </c>
      <c r="F28" s="33">
        <f t="shared" si="2"/>
        <v>0</v>
      </c>
      <c r="G28" s="39">
        <v>7.0</v>
      </c>
      <c r="H28" s="39">
        <v>1.0</v>
      </c>
      <c r="I28" s="39">
        <v>4.0</v>
      </c>
      <c r="J28" s="71">
        <f t="shared" si="3"/>
        <v>12</v>
      </c>
      <c r="K28" s="39">
        <v>1.0</v>
      </c>
      <c r="L28" s="33">
        <f t="shared" ref="L28:M28" si="27">C28+J28</f>
        <v>34</v>
      </c>
      <c r="M28" s="33">
        <f t="shared" si="27"/>
        <v>4</v>
      </c>
      <c r="N28" s="39" t="s">
        <v>37</v>
      </c>
      <c r="O28" s="73" t="s">
        <v>37</v>
      </c>
      <c r="P28" s="39">
        <f>if(F28=13,1,0)+VLOOKUP(B28,'7823'!B$5:P$56,15,false)</f>
        <v>0</v>
      </c>
      <c r="Q28" s="39"/>
      <c r="R28" s="39">
        <f>if(F28=9,1,0)+VLOOKUP(B28,'7823'!B:R,17,false)</f>
        <v>0</v>
      </c>
    </row>
    <row r="29">
      <c r="A29" s="25">
        <f t="shared" si="5"/>
        <v>25</v>
      </c>
      <c r="B29" s="36" t="s">
        <v>88</v>
      </c>
      <c r="C29" s="78">
        <v>22.0</v>
      </c>
      <c r="D29" s="78">
        <v>1.0</v>
      </c>
      <c r="E29" s="39">
        <v>1.0</v>
      </c>
      <c r="F29" s="33">
        <f t="shared" si="2"/>
        <v>0</v>
      </c>
      <c r="G29" s="39">
        <v>7.0</v>
      </c>
      <c r="H29" s="39">
        <v>6.0</v>
      </c>
      <c r="I29" s="39">
        <v>6.0</v>
      </c>
      <c r="J29" s="71">
        <f t="shared" si="3"/>
        <v>19</v>
      </c>
      <c r="K29" s="39">
        <v>3.0</v>
      </c>
      <c r="L29" s="33">
        <f t="shared" ref="L29:M29" si="28">C29+J29</f>
        <v>41</v>
      </c>
      <c r="M29" s="33">
        <f t="shared" si="28"/>
        <v>4</v>
      </c>
      <c r="N29" s="39" t="s">
        <v>37</v>
      </c>
      <c r="O29" s="73" t="s">
        <v>37</v>
      </c>
      <c r="P29" s="39">
        <f>if(F29=13,1,0)+VLOOKUP(B29,'7823'!B$5:P$56,15,false)</f>
        <v>0</v>
      </c>
      <c r="Q29" s="39"/>
      <c r="R29" s="39">
        <f>if(F29=9,1,0)+VLOOKUP(B29,'7823'!B:R,17,false)</f>
        <v>1</v>
      </c>
    </row>
    <row r="30">
      <c r="A30" s="25">
        <f t="shared" si="5"/>
        <v>26</v>
      </c>
      <c r="B30" s="26" t="s">
        <v>66</v>
      </c>
      <c r="C30" s="78">
        <v>22.0</v>
      </c>
      <c r="D30" s="78">
        <v>0.0</v>
      </c>
      <c r="E30" s="39">
        <v>3.0</v>
      </c>
      <c r="F30" s="33">
        <f t="shared" si="2"/>
        <v>9</v>
      </c>
      <c r="G30" s="39"/>
      <c r="H30" s="39"/>
      <c r="I30" s="39"/>
      <c r="J30" s="71">
        <f t="shared" si="3"/>
        <v>9</v>
      </c>
      <c r="K30" s="39"/>
      <c r="L30" s="33">
        <f t="shared" ref="L30:M30" si="29">C30+J30</f>
        <v>31</v>
      </c>
      <c r="M30" s="33">
        <f t="shared" si="29"/>
        <v>0</v>
      </c>
      <c r="N30" s="39" t="s">
        <v>37</v>
      </c>
      <c r="O30" s="73" t="s">
        <v>37</v>
      </c>
      <c r="P30" s="39">
        <f>if(F30=13,1,0)+VLOOKUP(B30,'7823'!B$5:P$56,15,false)</f>
        <v>1</v>
      </c>
      <c r="Q30" s="39"/>
      <c r="R30" s="39">
        <f>if(F30=9,1,0)+VLOOKUP(B30,'7823'!B:R,17,false)</f>
        <v>2</v>
      </c>
    </row>
    <row r="31">
      <c r="A31" s="25">
        <f t="shared" si="5"/>
        <v>27</v>
      </c>
      <c r="B31" s="26" t="s">
        <v>74</v>
      </c>
      <c r="C31" s="78">
        <v>21.0</v>
      </c>
      <c r="D31" s="78">
        <v>3.0</v>
      </c>
      <c r="E31" s="39">
        <v>1.0</v>
      </c>
      <c r="F31" s="33">
        <f t="shared" si="2"/>
        <v>0</v>
      </c>
      <c r="G31" s="39">
        <v>6.0</v>
      </c>
      <c r="H31" s="39">
        <v>6.0</v>
      </c>
      <c r="I31" s="39">
        <v>6.0</v>
      </c>
      <c r="J31" s="71">
        <f t="shared" si="3"/>
        <v>18</v>
      </c>
      <c r="K31" s="39">
        <v>1.0</v>
      </c>
      <c r="L31" s="33">
        <f t="shared" ref="L31:M31" si="30">C31+J31</f>
        <v>39</v>
      </c>
      <c r="M31" s="33">
        <f t="shared" si="30"/>
        <v>4</v>
      </c>
      <c r="N31" s="39" t="s">
        <v>37</v>
      </c>
      <c r="O31" s="73" t="s">
        <v>37</v>
      </c>
      <c r="P31" s="39">
        <f>if(F31=13,1,0)+VLOOKUP(B31,'7823'!B$5:P$56,15,false)</f>
        <v>0</v>
      </c>
      <c r="Q31" s="39"/>
      <c r="R31" s="39">
        <f>if(F31=9,1,0)+VLOOKUP(B31,'7823'!B:R,17,false)</f>
        <v>0</v>
      </c>
    </row>
    <row r="32">
      <c r="A32" s="25">
        <f t="shared" si="5"/>
        <v>28</v>
      </c>
      <c r="B32" s="26" t="s">
        <v>71</v>
      </c>
      <c r="C32" s="78">
        <v>21.0</v>
      </c>
      <c r="D32" s="78">
        <v>3.0</v>
      </c>
      <c r="E32" s="39">
        <v>3.0</v>
      </c>
      <c r="F32" s="33">
        <f t="shared" si="2"/>
        <v>9</v>
      </c>
      <c r="G32" s="39"/>
      <c r="H32" s="39"/>
      <c r="I32" s="39"/>
      <c r="J32" s="71">
        <f t="shared" si="3"/>
        <v>9</v>
      </c>
      <c r="K32" s="39"/>
      <c r="L32" s="33">
        <f t="shared" ref="L32:M32" si="31">C32+J32</f>
        <v>30</v>
      </c>
      <c r="M32" s="33">
        <f t="shared" si="31"/>
        <v>3</v>
      </c>
      <c r="N32" s="39" t="s">
        <v>37</v>
      </c>
      <c r="O32" s="73" t="s">
        <v>37</v>
      </c>
      <c r="P32" s="39">
        <f>if(F32=13,1,0)+VLOOKUP(B32,'7823'!B$5:P$56,15,false)</f>
        <v>0</v>
      </c>
      <c r="Q32" s="39">
        <v>2.0</v>
      </c>
      <c r="R32" s="39">
        <f>if(F32=9,1,0)+VLOOKUP(B32,'7823'!B:R,17,false)</f>
        <v>1</v>
      </c>
    </row>
    <row r="33">
      <c r="A33" s="25">
        <f t="shared" si="5"/>
        <v>29</v>
      </c>
      <c r="B33" s="26" t="s">
        <v>78</v>
      </c>
      <c r="C33" s="78">
        <v>21.0</v>
      </c>
      <c r="D33" s="78">
        <v>2.0</v>
      </c>
      <c r="E33" s="39">
        <v>3.0</v>
      </c>
      <c r="F33" s="33">
        <f t="shared" si="2"/>
        <v>9</v>
      </c>
      <c r="G33" s="39"/>
      <c r="H33" s="39"/>
      <c r="I33" s="39"/>
      <c r="J33" s="71">
        <f t="shared" si="3"/>
        <v>9</v>
      </c>
      <c r="K33" s="39"/>
      <c r="L33" s="33">
        <f t="shared" ref="L33:M33" si="32">C33+J33</f>
        <v>30</v>
      </c>
      <c r="M33" s="33">
        <f t="shared" si="32"/>
        <v>2</v>
      </c>
      <c r="N33" s="39" t="s">
        <v>37</v>
      </c>
      <c r="O33" s="73" t="s">
        <v>37</v>
      </c>
      <c r="P33" s="39">
        <f>if(F33=13,1,0)+VLOOKUP(B33,'7823'!B$5:P$56,15,false)</f>
        <v>0</v>
      </c>
      <c r="Q33" s="39"/>
      <c r="R33" s="39">
        <f>if(F33=9,1,0)+VLOOKUP(B33,'7823'!B:R,17,false)</f>
        <v>1</v>
      </c>
    </row>
    <row r="34">
      <c r="A34" s="25">
        <f t="shared" si="5"/>
        <v>30</v>
      </c>
      <c r="B34" s="26" t="s">
        <v>70</v>
      </c>
      <c r="C34" s="78">
        <v>21.0</v>
      </c>
      <c r="D34" s="78">
        <v>1.0</v>
      </c>
      <c r="E34" s="39">
        <v>1.0</v>
      </c>
      <c r="F34" s="33">
        <f t="shared" si="2"/>
        <v>0</v>
      </c>
      <c r="G34" s="39">
        <v>6.0</v>
      </c>
      <c r="H34" s="39">
        <v>7.0</v>
      </c>
      <c r="I34" s="39">
        <v>7.0</v>
      </c>
      <c r="J34" s="71">
        <f t="shared" si="3"/>
        <v>20</v>
      </c>
      <c r="K34" s="39">
        <v>3.0</v>
      </c>
      <c r="L34" s="33">
        <f t="shared" ref="L34:M34" si="33">C34+J34</f>
        <v>41</v>
      </c>
      <c r="M34" s="33">
        <f t="shared" si="33"/>
        <v>4</v>
      </c>
      <c r="N34" s="39" t="s">
        <v>37</v>
      </c>
      <c r="O34" s="73" t="s">
        <v>37</v>
      </c>
      <c r="P34" s="39">
        <f>if(F34=13,1,0)+VLOOKUP(B34,'7823'!B$5:P$56,15,false)</f>
        <v>0</v>
      </c>
      <c r="Q34" s="39"/>
      <c r="R34" s="39">
        <f>if(F34=9,1,0)+VLOOKUP(B34,'7823'!B:R,17,false)</f>
        <v>1</v>
      </c>
    </row>
    <row r="35">
      <c r="A35" s="25">
        <f t="shared" si="5"/>
        <v>31</v>
      </c>
      <c r="B35" s="26" t="s">
        <v>53</v>
      </c>
      <c r="C35" s="78">
        <v>20.0</v>
      </c>
      <c r="D35" s="78">
        <v>0.0</v>
      </c>
      <c r="E35" s="39">
        <v>3.0</v>
      </c>
      <c r="F35" s="33">
        <f t="shared" si="2"/>
        <v>9</v>
      </c>
      <c r="G35" s="39"/>
      <c r="H35" s="39"/>
      <c r="I35" s="39"/>
      <c r="J35" s="71">
        <f t="shared" si="3"/>
        <v>9</v>
      </c>
      <c r="K35" s="39"/>
      <c r="L35" s="33">
        <f t="shared" ref="L35:M35" si="34">C35+J35</f>
        <v>29</v>
      </c>
      <c r="M35" s="33">
        <f t="shared" si="34"/>
        <v>0</v>
      </c>
      <c r="N35" s="39" t="s">
        <v>37</v>
      </c>
      <c r="O35" s="73" t="s">
        <v>37</v>
      </c>
      <c r="P35" s="39">
        <f>if(F35=13,1,0)+VLOOKUP(B35,'7823'!B$5:P$56,15,false)</f>
        <v>0</v>
      </c>
      <c r="Q35" s="39"/>
      <c r="R35" s="39">
        <f>if(F35=9,1,0)+VLOOKUP(B35,'7823'!B:R,17,false)</f>
        <v>2</v>
      </c>
    </row>
    <row r="36">
      <c r="A36" s="25">
        <f t="shared" si="5"/>
        <v>32</v>
      </c>
      <c r="B36" s="36" t="s">
        <v>94</v>
      </c>
      <c r="C36" s="78">
        <v>19.0</v>
      </c>
      <c r="D36" s="78">
        <v>1.0</v>
      </c>
      <c r="E36" s="39">
        <v>2.0</v>
      </c>
      <c r="F36" s="33">
        <f t="shared" si="2"/>
        <v>0</v>
      </c>
      <c r="G36" s="39">
        <v>3.0</v>
      </c>
      <c r="H36" s="39">
        <v>6.0</v>
      </c>
      <c r="I36" s="39">
        <v>7.0</v>
      </c>
      <c r="J36" s="71">
        <f t="shared" si="3"/>
        <v>16</v>
      </c>
      <c r="K36" s="39">
        <v>1.0</v>
      </c>
      <c r="L36" s="33">
        <f t="shared" ref="L36:M36" si="35">C36+J36</f>
        <v>35</v>
      </c>
      <c r="M36" s="33">
        <f t="shared" si="35"/>
        <v>2</v>
      </c>
      <c r="N36" s="39" t="s">
        <v>37</v>
      </c>
      <c r="O36" s="73" t="s">
        <v>37</v>
      </c>
      <c r="P36" s="39">
        <f>if(F36=13,1,0)+VLOOKUP(B36,'7823'!B$5:P$56,15,false)</f>
        <v>0</v>
      </c>
      <c r="Q36" s="39"/>
      <c r="R36" s="39">
        <f>if(F36=9,1,0)+VLOOKUP(B36,'7823'!B:R,17,false)</f>
        <v>1</v>
      </c>
    </row>
    <row r="37">
      <c r="A37" s="25">
        <f t="shared" si="5"/>
        <v>33</v>
      </c>
      <c r="B37" s="36" t="s">
        <v>81</v>
      </c>
      <c r="C37" s="78">
        <v>19.0</v>
      </c>
      <c r="D37" s="78">
        <v>0.0</v>
      </c>
      <c r="E37" s="39">
        <v>1.0</v>
      </c>
      <c r="F37" s="33">
        <f t="shared" si="2"/>
        <v>0</v>
      </c>
      <c r="G37" s="39">
        <v>3.0</v>
      </c>
      <c r="H37" s="39">
        <v>7.0</v>
      </c>
      <c r="I37" s="39">
        <v>6.0</v>
      </c>
      <c r="J37" s="71">
        <f t="shared" si="3"/>
        <v>16</v>
      </c>
      <c r="K37" s="39">
        <v>1.0</v>
      </c>
      <c r="L37" s="33">
        <f t="shared" ref="L37:M37" si="36">C37+J37</f>
        <v>35</v>
      </c>
      <c r="M37" s="33">
        <f t="shared" si="36"/>
        <v>1</v>
      </c>
      <c r="N37" s="39" t="s">
        <v>37</v>
      </c>
      <c r="O37" s="73" t="s">
        <v>37</v>
      </c>
      <c r="P37" s="39">
        <f>if(F37=13,1,0)+VLOOKUP(B37,'7823'!B$5:P$56,15,false)</f>
        <v>0</v>
      </c>
      <c r="Q37" s="39"/>
      <c r="R37" s="39">
        <f>if(F37=9,1,0)+VLOOKUP(B37,'7823'!B:R,17,false)</f>
        <v>1</v>
      </c>
    </row>
    <row r="38">
      <c r="A38" s="25">
        <f t="shared" si="5"/>
        <v>34</v>
      </c>
      <c r="B38" s="36" t="s">
        <v>108</v>
      </c>
      <c r="C38" s="78">
        <v>18.0</v>
      </c>
      <c r="D38" s="39">
        <v>1.0</v>
      </c>
      <c r="E38" s="39">
        <v>3.0</v>
      </c>
      <c r="F38" s="33">
        <f t="shared" si="2"/>
        <v>9</v>
      </c>
      <c r="G38" s="39"/>
      <c r="H38" s="39"/>
      <c r="I38" s="39"/>
      <c r="J38" s="71">
        <f t="shared" si="3"/>
        <v>9</v>
      </c>
      <c r="K38" s="39"/>
      <c r="L38" s="33">
        <f t="shared" ref="L38:M38" si="37">C38+J38</f>
        <v>27</v>
      </c>
      <c r="M38" s="33">
        <f t="shared" si="37"/>
        <v>1</v>
      </c>
      <c r="N38" s="39" t="s">
        <v>37</v>
      </c>
      <c r="O38" s="73" t="s">
        <v>37</v>
      </c>
      <c r="P38" s="39">
        <f>if(F38=13,1,0)+VLOOKUP(B38,'7823'!B$5:P$56,15,false)</f>
        <v>0</v>
      </c>
      <c r="Q38" s="39"/>
      <c r="R38" s="39">
        <f>if(F38=9,1,0)+VLOOKUP(B38,'7823'!B:R,17,false)</f>
        <v>2</v>
      </c>
    </row>
    <row r="39">
      <c r="A39" s="25">
        <f t="shared" si="5"/>
        <v>35</v>
      </c>
      <c r="B39" s="26" t="s">
        <v>100</v>
      </c>
      <c r="C39" s="78">
        <v>18.0</v>
      </c>
      <c r="D39" s="78">
        <v>0.0</v>
      </c>
      <c r="E39" s="39">
        <v>3.0</v>
      </c>
      <c r="F39" s="33">
        <f t="shared" si="2"/>
        <v>9</v>
      </c>
      <c r="G39" s="39"/>
      <c r="H39" s="39"/>
      <c r="I39" s="39"/>
      <c r="J39" s="71">
        <f t="shared" si="3"/>
        <v>9</v>
      </c>
      <c r="K39" s="39"/>
      <c r="L39" s="33">
        <f t="shared" ref="L39:M39" si="38">C39+J39</f>
        <v>27</v>
      </c>
      <c r="M39" s="33">
        <f t="shared" si="38"/>
        <v>0</v>
      </c>
      <c r="N39" s="39" t="s">
        <v>37</v>
      </c>
      <c r="O39" s="73" t="s">
        <v>37</v>
      </c>
      <c r="P39" s="39">
        <f>if(F39=13,1,0)+VLOOKUP(B39,'7823'!B$5:P$56,15,false)</f>
        <v>0</v>
      </c>
      <c r="Q39" s="39">
        <v>1.0</v>
      </c>
      <c r="R39" s="39">
        <f>if(F39=9,1,0)+VLOOKUP(B39,'7823'!B:R,17,false)</f>
        <v>3</v>
      </c>
    </row>
    <row r="40">
      <c r="A40" s="25">
        <f t="shared" si="5"/>
        <v>36</v>
      </c>
      <c r="B40" s="26" t="s">
        <v>91</v>
      </c>
      <c r="C40" s="78">
        <v>18.0</v>
      </c>
      <c r="D40" s="78">
        <v>0.0</v>
      </c>
      <c r="E40" s="39">
        <v>5.0</v>
      </c>
      <c r="F40" s="33">
        <f t="shared" si="2"/>
        <v>13</v>
      </c>
      <c r="G40" s="39"/>
      <c r="H40" s="39"/>
      <c r="I40" s="39"/>
      <c r="J40" s="71">
        <f t="shared" si="3"/>
        <v>13</v>
      </c>
      <c r="K40" s="39"/>
      <c r="L40" s="33">
        <f t="shared" ref="L40:M40" si="39">C40+J40</f>
        <v>31</v>
      </c>
      <c r="M40" s="33">
        <f t="shared" si="39"/>
        <v>0</v>
      </c>
      <c r="N40" s="39" t="s">
        <v>37</v>
      </c>
      <c r="O40" s="73" t="s">
        <v>37</v>
      </c>
      <c r="P40" s="39">
        <f>if(F40=13,1,0)+VLOOKUP(B40,'7823'!B$5:P$56,15,false)</f>
        <v>1</v>
      </c>
      <c r="Q40" s="39"/>
      <c r="R40" s="39">
        <f>if(F40=9,1,0)+VLOOKUP(B40,'7823'!B:R,17,false)</f>
        <v>2</v>
      </c>
    </row>
    <row r="41">
      <c r="A41" s="25">
        <f t="shared" si="5"/>
        <v>37</v>
      </c>
      <c r="B41" s="26" t="s">
        <v>106</v>
      </c>
      <c r="C41" s="78">
        <v>18.0</v>
      </c>
      <c r="D41" s="78">
        <v>0.0</v>
      </c>
      <c r="E41" s="39">
        <v>3.0</v>
      </c>
      <c r="F41" s="33">
        <f t="shared" si="2"/>
        <v>9</v>
      </c>
      <c r="G41" s="39"/>
      <c r="H41" s="39"/>
      <c r="I41" s="39"/>
      <c r="J41" s="71">
        <f t="shared" si="3"/>
        <v>9</v>
      </c>
      <c r="K41" s="39"/>
      <c r="L41" s="33">
        <f t="shared" ref="L41:M41" si="40">C41+J41</f>
        <v>27</v>
      </c>
      <c r="M41" s="33">
        <f t="shared" si="40"/>
        <v>0</v>
      </c>
      <c r="N41" s="39" t="s">
        <v>37</v>
      </c>
      <c r="O41" s="73" t="s">
        <v>37</v>
      </c>
      <c r="P41" s="39">
        <f>if(F41=13,1,0)+VLOOKUP(B41,'7823'!B$5:P$56,15,false)</f>
        <v>0</v>
      </c>
      <c r="Q41" s="39"/>
      <c r="R41" s="39">
        <f>if(F41=9,1,0)+VLOOKUP(B41,'7823'!B:R,17,false)</f>
        <v>3</v>
      </c>
    </row>
    <row r="42">
      <c r="A42" s="25">
        <f t="shared" si="5"/>
        <v>38</v>
      </c>
      <c r="B42" s="36" t="s">
        <v>109</v>
      </c>
      <c r="C42" s="78">
        <v>18.0</v>
      </c>
      <c r="D42" s="78">
        <v>0.0</v>
      </c>
      <c r="E42" s="39">
        <v>1.0</v>
      </c>
      <c r="F42" s="33">
        <f t="shared" si="2"/>
        <v>0</v>
      </c>
      <c r="G42" s="39">
        <v>0.0</v>
      </c>
      <c r="H42" s="39">
        <v>2.0</v>
      </c>
      <c r="I42" s="39">
        <v>3.0</v>
      </c>
      <c r="J42" s="71">
        <f t="shared" si="3"/>
        <v>5</v>
      </c>
      <c r="K42" s="39">
        <v>0.0</v>
      </c>
      <c r="L42" s="33">
        <f t="shared" ref="L42:M42" si="41">C42+J42</f>
        <v>23</v>
      </c>
      <c r="M42" s="33">
        <f t="shared" si="41"/>
        <v>0</v>
      </c>
      <c r="N42" s="39" t="s">
        <v>37</v>
      </c>
      <c r="O42" s="73" t="s">
        <v>37</v>
      </c>
      <c r="P42" s="39">
        <v>0.0</v>
      </c>
      <c r="Q42" s="39"/>
      <c r="R42" s="39">
        <v>2.0</v>
      </c>
    </row>
    <row r="43">
      <c r="A43" s="25">
        <f t="shared" si="5"/>
        <v>39</v>
      </c>
      <c r="B43" s="36" t="s">
        <v>96</v>
      </c>
      <c r="C43" s="78">
        <v>18.0</v>
      </c>
      <c r="D43" s="78">
        <v>0.0</v>
      </c>
      <c r="E43" s="39">
        <v>1.0</v>
      </c>
      <c r="F43" s="33">
        <f t="shared" si="2"/>
        <v>0</v>
      </c>
      <c r="G43" s="39">
        <v>0.0</v>
      </c>
      <c r="H43" s="39">
        <v>6.0</v>
      </c>
      <c r="I43" s="39">
        <v>6.0</v>
      </c>
      <c r="J43" s="71">
        <f t="shared" si="3"/>
        <v>12</v>
      </c>
      <c r="K43" s="39">
        <v>2.0</v>
      </c>
      <c r="L43" s="33">
        <f t="shared" ref="L43:M43" si="42">C43+J43</f>
        <v>30</v>
      </c>
      <c r="M43" s="33">
        <f t="shared" si="42"/>
        <v>2</v>
      </c>
      <c r="N43" s="39" t="s">
        <v>37</v>
      </c>
      <c r="O43" s="73" t="s">
        <v>37</v>
      </c>
      <c r="P43" s="39">
        <v>0.0</v>
      </c>
      <c r="Q43" s="39"/>
      <c r="R43" s="39">
        <v>2.0</v>
      </c>
    </row>
    <row r="44">
      <c r="A44" s="25">
        <f t="shared" si="5"/>
        <v>40</v>
      </c>
      <c r="B44" s="26" t="s">
        <v>51</v>
      </c>
      <c r="C44" s="78">
        <v>18.0</v>
      </c>
      <c r="D44" s="78">
        <v>0.0</v>
      </c>
      <c r="E44" s="39">
        <v>3.0</v>
      </c>
      <c r="F44" s="33">
        <f t="shared" si="2"/>
        <v>9</v>
      </c>
      <c r="G44" s="39"/>
      <c r="H44" s="39"/>
      <c r="I44" s="39"/>
      <c r="J44" s="71">
        <f t="shared" si="3"/>
        <v>9</v>
      </c>
      <c r="K44" s="39"/>
      <c r="L44" s="33">
        <f t="shared" ref="L44:M44" si="43">C44+J44</f>
        <v>27</v>
      </c>
      <c r="M44" s="33">
        <f t="shared" si="43"/>
        <v>0</v>
      </c>
      <c r="N44" s="39" t="s">
        <v>37</v>
      </c>
      <c r="O44" s="73" t="s">
        <v>37</v>
      </c>
      <c r="P44" s="39">
        <f>if(F44=13,1,0)+VLOOKUP(B44,'7823'!B$5:P$56,15,false)</f>
        <v>0</v>
      </c>
      <c r="Q44" s="39"/>
      <c r="R44" s="39">
        <f>if(F44=9,1,0)+VLOOKUP(B44,'7823'!B:R,17,false)</f>
        <v>3</v>
      </c>
    </row>
    <row r="45">
      <c r="A45" s="25">
        <f t="shared" si="5"/>
        <v>41</v>
      </c>
      <c r="B45" s="26" t="s">
        <v>105</v>
      </c>
      <c r="C45" s="78">
        <v>18.0</v>
      </c>
      <c r="D45" s="78">
        <v>0.0</v>
      </c>
      <c r="E45" s="39">
        <v>3.0</v>
      </c>
      <c r="F45" s="33">
        <f t="shared" si="2"/>
        <v>9</v>
      </c>
      <c r="G45" s="39"/>
      <c r="H45" s="39"/>
      <c r="I45" s="39"/>
      <c r="J45" s="71">
        <f t="shared" si="3"/>
        <v>9</v>
      </c>
      <c r="K45" s="39"/>
      <c r="L45" s="33">
        <f t="shared" ref="L45:M45" si="44">C45+J45</f>
        <v>27</v>
      </c>
      <c r="M45" s="33">
        <f t="shared" si="44"/>
        <v>0</v>
      </c>
      <c r="N45" s="39" t="s">
        <v>37</v>
      </c>
      <c r="O45" s="73" t="s">
        <v>37</v>
      </c>
      <c r="P45" s="39">
        <f>if(F45=13,1,0)+VLOOKUP(B45,'7823'!B$5:P$56,15,false)</f>
        <v>0</v>
      </c>
      <c r="Q45" s="39"/>
      <c r="R45" s="39">
        <f>if(F45=9,1,0)+VLOOKUP(B45,'7823'!B:R,17,false)</f>
        <v>3</v>
      </c>
    </row>
    <row r="46">
      <c r="A46" s="25">
        <f t="shared" si="5"/>
        <v>42</v>
      </c>
      <c r="B46" s="36" t="s">
        <v>104</v>
      </c>
      <c r="C46" s="78">
        <v>18.0</v>
      </c>
      <c r="D46" s="78">
        <v>0.0</v>
      </c>
      <c r="E46" s="39">
        <v>3.0</v>
      </c>
      <c r="F46" s="33">
        <f t="shared" si="2"/>
        <v>9</v>
      </c>
      <c r="G46" s="39"/>
      <c r="H46" s="39"/>
      <c r="I46" s="39"/>
      <c r="J46" s="71">
        <f t="shared" si="3"/>
        <v>9</v>
      </c>
      <c r="K46" s="39"/>
      <c r="L46" s="33">
        <f t="shared" ref="L46:M46" si="45">C46+J46</f>
        <v>27</v>
      </c>
      <c r="M46" s="33">
        <f t="shared" si="45"/>
        <v>0</v>
      </c>
      <c r="N46" s="39" t="s">
        <v>37</v>
      </c>
      <c r="O46" s="73" t="s">
        <v>37</v>
      </c>
      <c r="P46" s="39">
        <f>if(F46=13,1,0)+VLOOKUP(B46,'7823'!B$5:P$56,15,false)</f>
        <v>0</v>
      </c>
      <c r="Q46" s="39"/>
      <c r="R46" s="39">
        <f>if(F46=9,1,0)+VLOOKUP(B46,'7823'!B:R,17,false)</f>
        <v>3</v>
      </c>
    </row>
    <row r="47">
      <c r="A47" s="25">
        <f t="shared" si="5"/>
        <v>43</v>
      </c>
      <c r="B47" s="36" t="s">
        <v>93</v>
      </c>
      <c r="C47" s="78">
        <v>18.0</v>
      </c>
      <c r="D47" s="78">
        <v>0.0</v>
      </c>
      <c r="E47" s="39">
        <v>3.0</v>
      </c>
      <c r="F47" s="33">
        <f t="shared" si="2"/>
        <v>9</v>
      </c>
      <c r="G47" s="39"/>
      <c r="H47" s="39"/>
      <c r="I47" s="39"/>
      <c r="J47" s="71">
        <f t="shared" si="3"/>
        <v>9</v>
      </c>
      <c r="K47" s="39"/>
      <c r="L47" s="33">
        <f t="shared" ref="L47:M47" si="46">C47+J47</f>
        <v>27</v>
      </c>
      <c r="M47" s="33">
        <f t="shared" si="46"/>
        <v>0</v>
      </c>
      <c r="N47" s="39" t="s">
        <v>37</v>
      </c>
      <c r="O47" s="73" t="s">
        <v>37</v>
      </c>
      <c r="P47" s="39">
        <f>if(F47=13,1,0)+VLOOKUP(B47,'7823'!B$5:P$56,15,false)</f>
        <v>0</v>
      </c>
      <c r="Q47" s="39"/>
      <c r="R47" s="39">
        <f>if(F47=9,1,0)+VLOOKUP(B47,'7823'!B:R,17,false)</f>
        <v>3</v>
      </c>
    </row>
    <row r="48">
      <c r="A48" s="25">
        <f t="shared" si="5"/>
        <v>44</v>
      </c>
      <c r="B48" s="36" t="s">
        <v>83</v>
      </c>
      <c r="C48" s="78">
        <v>18.0</v>
      </c>
      <c r="D48" s="78">
        <v>0.0</v>
      </c>
      <c r="E48" s="39">
        <v>1.0</v>
      </c>
      <c r="F48" s="33">
        <f t="shared" si="2"/>
        <v>0</v>
      </c>
      <c r="G48" s="39">
        <v>6.0</v>
      </c>
      <c r="H48" s="39">
        <v>2.0</v>
      </c>
      <c r="I48" s="39">
        <v>6.0</v>
      </c>
      <c r="J48" s="71">
        <f t="shared" si="3"/>
        <v>14</v>
      </c>
      <c r="K48" s="39">
        <v>2.0</v>
      </c>
      <c r="L48" s="33">
        <f t="shared" ref="L48:M48" si="47">C48+J48</f>
        <v>32</v>
      </c>
      <c r="M48" s="33">
        <f t="shared" si="47"/>
        <v>2</v>
      </c>
      <c r="N48" s="39" t="s">
        <v>37</v>
      </c>
      <c r="O48" s="73" t="s">
        <v>37</v>
      </c>
      <c r="P48" s="39">
        <f>if(F48=13,1,0)+VLOOKUP(B48,'7823'!B$5:P$56,15,false)</f>
        <v>0</v>
      </c>
      <c r="Q48" s="39"/>
      <c r="R48" s="39">
        <f>if(F48=9,1,0)+VLOOKUP(B48,'7823'!B:R,17,false)</f>
        <v>1</v>
      </c>
    </row>
    <row r="49">
      <c r="A49" s="25">
        <f t="shared" si="5"/>
        <v>45</v>
      </c>
      <c r="B49" s="26" t="s">
        <v>34</v>
      </c>
      <c r="C49" s="78">
        <v>18.0</v>
      </c>
      <c r="D49" s="78">
        <v>0.0</v>
      </c>
      <c r="E49" s="39">
        <v>3.0</v>
      </c>
      <c r="F49" s="33">
        <f t="shared" si="2"/>
        <v>9</v>
      </c>
      <c r="G49" s="39"/>
      <c r="H49" s="39"/>
      <c r="I49" s="39"/>
      <c r="J49" s="71">
        <f t="shared" si="3"/>
        <v>9</v>
      </c>
      <c r="K49" s="39"/>
      <c r="L49" s="33">
        <f t="shared" ref="L49:M49" si="48">C49+J49</f>
        <v>27</v>
      </c>
      <c r="M49" s="33">
        <f t="shared" si="48"/>
        <v>0</v>
      </c>
      <c r="N49" s="39" t="s">
        <v>37</v>
      </c>
      <c r="O49" s="73" t="s">
        <v>37</v>
      </c>
      <c r="P49" s="39">
        <f>if(F49=13,1,0)+VLOOKUP(B49,'7823'!B$5:P$56,15,false)</f>
        <v>0</v>
      </c>
      <c r="Q49" s="39"/>
      <c r="R49" s="39">
        <f>if(F49=9,1,0)+VLOOKUP(B49,'7823'!B:R,17,false)</f>
        <v>3</v>
      </c>
    </row>
    <row r="50">
      <c r="A50" s="25">
        <f t="shared" si="5"/>
        <v>46</v>
      </c>
      <c r="B50" s="36" t="s">
        <v>76</v>
      </c>
      <c r="C50" s="78">
        <v>18.0</v>
      </c>
      <c r="D50" s="78">
        <v>0.0</v>
      </c>
      <c r="E50" s="39">
        <v>3.0</v>
      </c>
      <c r="F50" s="33">
        <f t="shared" si="2"/>
        <v>9</v>
      </c>
      <c r="G50" s="39"/>
      <c r="H50" s="39"/>
      <c r="I50" s="39"/>
      <c r="J50" s="71">
        <f t="shared" si="3"/>
        <v>9</v>
      </c>
      <c r="K50" s="39"/>
      <c r="L50" s="33">
        <f t="shared" ref="L50:M50" si="49">C50+J50</f>
        <v>27</v>
      </c>
      <c r="M50" s="33">
        <f t="shared" si="49"/>
        <v>0</v>
      </c>
      <c r="N50" s="39" t="s">
        <v>37</v>
      </c>
      <c r="O50" s="73" t="s">
        <v>37</v>
      </c>
      <c r="P50" s="39">
        <f>if(F50=13,1,0)+VLOOKUP(B50,'7823'!B$5:P$56,15,false)</f>
        <v>0</v>
      </c>
      <c r="Q50" s="39"/>
      <c r="R50" s="39">
        <f>if(F50=9,1,0)+VLOOKUP(B50,'7823'!B:R,17,false)</f>
        <v>3</v>
      </c>
    </row>
    <row r="51">
      <c r="A51" s="25">
        <f t="shared" si="5"/>
        <v>47</v>
      </c>
      <c r="B51" s="26" t="s">
        <v>95</v>
      </c>
      <c r="C51" s="78">
        <v>18.0</v>
      </c>
      <c r="D51" s="78">
        <v>0.0</v>
      </c>
      <c r="E51" s="39">
        <v>3.0</v>
      </c>
      <c r="F51" s="33">
        <f t="shared" si="2"/>
        <v>9</v>
      </c>
      <c r="G51" s="39"/>
      <c r="H51" s="39"/>
      <c r="I51" s="39"/>
      <c r="J51" s="71">
        <f t="shared" si="3"/>
        <v>9</v>
      </c>
      <c r="K51" s="39"/>
      <c r="L51" s="33">
        <f t="shared" ref="L51:M51" si="50">C51+J51</f>
        <v>27</v>
      </c>
      <c r="M51" s="33">
        <f t="shared" si="50"/>
        <v>0</v>
      </c>
      <c r="N51" s="39" t="s">
        <v>37</v>
      </c>
      <c r="O51" s="73" t="s">
        <v>37</v>
      </c>
      <c r="P51" s="39">
        <f>if(F51=13,1,0)+VLOOKUP(B51,'7823'!B$5:P$56,15,false)</f>
        <v>0</v>
      </c>
      <c r="Q51" s="39"/>
      <c r="R51" s="39">
        <f>if(F51=9,1,0)+VLOOKUP(B51,'7823'!B:R,17,false)</f>
        <v>3</v>
      </c>
    </row>
    <row r="52">
      <c r="A52" s="25">
        <f t="shared" si="5"/>
        <v>48</v>
      </c>
      <c r="B52" s="26" t="s">
        <v>103</v>
      </c>
      <c r="C52" s="78">
        <v>18.0</v>
      </c>
      <c r="D52" s="78">
        <v>0.0</v>
      </c>
      <c r="E52" s="39">
        <v>3.0</v>
      </c>
      <c r="F52" s="33">
        <f t="shared" si="2"/>
        <v>9</v>
      </c>
      <c r="G52" s="39"/>
      <c r="H52" s="39"/>
      <c r="I52" s="39"/>
      <c r="J52" s="71">
        <f t="shared" si="3"/>
        <v>9</v>
      </c>
      <c r="K52" s="39"/>
      <c r="L52" s="33">
        <f t="shared" ref="L52:M52" si="51">C52+J52</f>
        <v>27</v>
      </c>
      <c r="M52" s="33">
        <f t="shared" si="51"/>
        <v>0</v>
      </c>
      <c r="N52" s="39" t="s">
        <v>37</v>
      </c>
      <c r="O52" s="73" t="s">
        <v>37</v>
      </c>
      <c r="P52" s="39">
        <f>if(F52=13,1,0)+VLOOKUP(B52,'7823'!B$5:P$56,15,false)</f>
        <v>0</v>
      </c>
      <c r="Q52" s="39"/>
      <c r="R52" s="39">
        <f>if(F52=9,1,0)+VLOOKUP(B52,'7823'!B:R,17,false)</f>
        <v>3</v>
      </c>
    </row>
    <row r="53">
      <c r="A53" s="25">
        <f t="shared" si="5"/>
        <v>49</v>
      </c>
      <c r="B53" s="26" t="s">
        <v>64</v>
      </c>
      <c r="C53" s="78">
        <v>18.0</v>
      </c>
      <c r="D53" s="78">
        <v>0.0</v>
      </c>
      <c r="E53" s="39">
        <v>3.0</v>
      </c>
      <c r="F53" s="33">
        <f t="shared" si="2"/>
        <v>9</v>
      </c>
      <c r="G53" s="39"/>
      <c r="H53" s="39"/>
      <c r="I53" s="39"/>
      <c r="J53" s="71">
        <f t="shared" si="3"/>
        <v>9</v>
      </c>
      <c r="K53" s="39"/>
      <c r="L53" s="33">
        <f t="shared" ref="L53:M53" si="52">C53+J53</f>
        <v>27</v>
      </c>
      <c r="M53" s="33">
        <f t="shared" si="52"/>
        <v>0</v>
      </c>
      <c r="N53" s="39" t="s">
        <v>37</v>
      </c>
      <c r="O53" s="73" t="s">
        <v>37</v>
      </c>
      <c r="P53" s="39">
        <f>if(F53=13,1,0)+VLOOKUP(B53,'7823'!B$5:P$56,15,false)</f>
        <v>0</v>
      </c>
      <c r="Q53" s="39"/>
      <c r="R53" s="39">
        <f>if(F53=9,1,0)+VLOOKUP(B53,'7823'!B:R,17,false)</f>
        <v>3</v>
      </c>
    </row>
    <row r="54">
      <c r="A54" s="25">
        <f t="shared" si="5"/>
        <v>50</v>
      </c>
      <c r="B54" s="26" t="s">
        <v>87</v>
      </c>
      <c r="C54" s="78">
        <v>18.0</v>
      </c>
      <c r="D54" s="78">
        <v>0.0</v>
      </c>
      <c r="E54" s="39">
        <v>5.0</v>
      </c>
      <c r="F54" s="33">
        <f t="shared" si="2"/>
        <v>13</v>
      </c>
      <c r="G54" s="39"/>
      <c r="H54" s="39"/>
      <c r="I54" s="39"/>
      <c r="J54" s="71">
        <f t="shared" si="3"/>
        <v>13</v>
      </c>
      <c r="K54" s="39"/>
      <c r="L54" s="33">
        <f t="shared" ref="L54:M54" si="53">C54+J54</f>
        <v>31</v>
      </c>
      <c r="M54" s="33">
        <f t="shared" si="53"/>
        <v>0</v>
      </c>
      <c r="N54" s="39" t="s">
        <v>37</v>
      </c>
      <c r="O54" s="73" t="s">
        <v>37</v>
      </c>
      <c r="P54" s="39">
        <f>if(F54=13,1,0)+VLOOKUP(B54,'7823'!B$5:P$56,15,false)</f>
        <v>1</v>
      </c>
      <c r="Q54" s="39"/>
      <c r="R54" s="39">
        <f>if(F54=9,1,0)+VLOOKUP(B54,'7823'!B:R,17,false)</f>
        <v>2</v>
      </c>
    </row>
    <row r="55">
      <c r="A55" s="25">
        <f t="shared" si="5"/>
        <v>51</v>
      </c>
      <c r="B55" s="26" t="s">
        <v>89</v>
      </c>
      <c r="C55" s="78">
        <v>17.0</v>
      </c>
      <c r="D55" s="78">
        <v>1.0</v>
      </c>
      <c r="E55" s="39">
        <v>2.0</v>
      </c>
      <c r="F55" s="33">
        <f t="shared" si="2"/>
        <v>0</v>
      </c>
      <c r="G55" s="39">
        <v>6.0</v>
      </c>
      <c r="H55" s="39">
        <v>6.0</v>
      </c>
      <c r="I55" s="39">
        <v>3.0</v>
      </c>
      <c r="J55" s="71">
        <f t="shared" si="3"/>
        <v>15</v>
      </c>
      <c r="K55" s="39">
        <v>2.0</v>
      </c>
      <c r="L55" s="33">
        <f t="shared" ref="L55:M55" si="54">C55+J55</f>
        <v>32</v>
      </c>
      <c r="M55" s="33">
        <f t="shared" si="54"/>
        <v>3</v>
      </c>
      <c r="N55" s="39" t="s">
        <v>37</v>
      </c>
      <c r="O55" s="73" t="s">
        <v>37</v>
      </c>
      <c r="P55" s="39">
        <f>if(F55=13,1,0)+VLOOKUP(B55,'7823'!B$5:P$56,15,false)</f>
        <v>0</v>
      </c>
      <c r="Q55" s="39"/>
      <c r="R55" s="39">
        <f>if(F55=9,1,0)+VLOOKUP(B55,'7823'!B:R,17,false)</f>
        <v>0</v>
      </c>
    </row>
    <row r="56">
      <c r="A56" s="25">
        <f t="shared" si="5"/>
        <v>52</v>
      </c>
      <c r="B56" s="26" t="s">
        <v>90</v>
      </c>
      <c r="C56" s="78">
        <v>15.0</v>
      </c>
      <c r="D56" s="78">
        <v>1.0</v>
      </c>
      <c r="E56" s="39">
        <v>3.0</v>
      </c>
      <c r="F56" s="33">
        <f t="shared" si="2"/>
        <v>9</v>
      </c>
      <c r="G56" s="39"/>
      <c r="H56" s="39"/>
      <c r="I56" s="39"/>
      <c r="J56" s="71">
        <f t="shared" si="3"/>
        <v>9</v>
      </c>
      <c r="K56" s="39"/>
      <c r="L56" s="33">
        <f t="shared" ref="L56:M56" si="55">C56+J56</f>
        <v>24</v>
      </c>
      <c r="M56" s="33">
        <f t="shared" si="55"/>
        <v>1</v>
      </c>
      <c r="N56" s="39" t="s">
        <v>37</v>
      </c>
      <c r="O56" s="73" t="s">
        <v>37</v>
      </c>
      <c r="P56" s="39">
        <f>if(F56=13,1,0)+VLOOKUP(B56,'7823'!B$5:P$56,15,false)</f>
        <v>0</v>
      </c>
      <c r="Q56" s="39"/>
      <c r="R56" s="39">
        <f>if(F56=9,1,0)+VLOOKUP(B56,'7823'!B:R,17,false)</f>
        <v>1</v>
      </c>
    </row>
    <row r="57">
      <c r="A57" s="25">
        <f t="shared" si="5"/>
        <v>53</v>
      </c>
      <c r="B57" s="36" t="s">
        <v>97</v>
      </c>
      <c r="C57" s="78">
        <v>14.0</v>
      </c>
      <c r="D57" s="78">
        <v>1.0</v>
      </c>
      <c r="E57" s="39">
        <v>3.0</v>
      </c>
      <c r="F57" s="33">
        <f t="shared" si="2"/>
        <v>9</v>
      </c>
      <c r="G57" s="39"/>
      <c r="H57" s="39"/>
      <c r="I57" s="39"/>
      <c r="J57" s="71">
        <f t="shared" si="3"/>
        <v>9</v>
      </c>
      <c r="K57" s="39"/>
      <c r="L57" s="33">
        <f t="shared" ref="L57:M57" si="56">C57+J57</f>
        <v>23</v>
      </c>
      <c r="M57" s="33">
        <f t="shared" si="56"/>
        <v>1</v>
      </c>
      <c r="N57" s="39" t="s">
        <v>37</v>
      </c>
      <c r="O57" s="73" t="s">
        <v>37</v>
      </c>
      <c r="P57" s="39">
        <f>if(F57=13,1,0)+VLOOKUP(B57,'7823'!B$5:P$56,15,false)</f>
        <v>0</v>
      </c>
      <c r="Q57" s="39"/>
      <c r="R57" s="39">
        <f>if(F57=9,1,0)+VLOOKUP(B57,'7823'!B:R,17,false)</f>
        <v>1</v>
      </c>
    </row>
    <row r="58">
      <c r="A58" s="25">
        <f t="shared" si="5"/>
        <v>54</v>
      </c>
      <c r="B58" s="36" t="s">
        <v>85</v>
      </c>
      <c r="C58" s="78">
        <v>13.0</v>
      </c>
      <c r="D58" s="78">
        <v>0.0</v>
      </c>
      <c r="E58" s="39">
        <v>3.0</v>
      </c>
      <c r="F58" s="33">
        <f t="shared" si="2"/>
        <v>9</v>
      </c>
      <c r="G58" s="39"/>
      <c r="H58" s="39"/>
      <c r="I58" s="39"/>
      <c r="J58" s="71">
        <f t="shared" si="3"/>
        <v>9</v>
      </c>
      <c r="K58" s="39"/>
      <c r="L58" s="33">
        <f t="shared" ref="L58:M58" si="57">C58+J58</f>
        <v>22</v>
      </c>
      <c r="M58" s="33">
        <f t="shared" si="57"/>
        <v>0</v>
      </c>
      <c r="N58" s="39" t="s">
        <v>37</v>
      </c>
      <c r="O58" s="73" t="s">
        <v>37</v>
      </c>
      <c r="P58" s="39">
        <f>if(F58=13,1,0)+VLOOKUP(B58,'7823'!B$5:P$56,15,false)</f>
        <v>0</v>
      </c>
      <c r="Q58" s="39"/>
      <c r="R58" s="39">
        <f>if(F58=9,1,0)+VLOOKUP(B58,'7823'!B:R,17,false)</f>
        <v>2</v>
      </c>
    </row>
    <row r="59">
      <c r="A59" s="1"/>
      <c r="C59" s="1"/>
      <c r="D59" s="1"/>
      <c r="E59" s="1"/>
      <c r="O59" s="1"/>
    </row>
    <row r="60">
      <c r="A60" s="1"/>
      <c r="B60" s="39">
        <f>COUNTA(B5:B58)</f>
        <v>54</v>
      </c>
      <c r="C60" s="1"/>
      <c r="D60" s="1"/>
      <c r="E60" s="1"/>
      <c r="N60" s="34" t="s">
        <v>110</v>
      </c>
      <c r="O60" s="40">
        <f>COUNTA(O5:O58)</f>
        <v>54</v>
      </c>
    </row>
    <row r="61">
      <c r="A61" s="1"/>
      <c r="C61" s="1"/>
      <c r="D61" s="1"/>
      <c r="E61" s="1"/>
      <c r="N61" s="34" t="s">
        <v>111</v>
      </c>
      <c r="O61" s="40">
        <f>O62-O60</f>
        <v>0</v>
      </c>
    </row>
    <row r="62">
      <c r="A62" s="1"/>
      <c r="C62" s="1"/>
      <c r="D62" s="1"/>
      <c r="I62" s="74">
        <v>0.0</v>
      </c>
      <c r="J62" s="75" t="s">
        <v>12</v>
      </c>
      <c r="K62" s="76">
        <f t="shared" ref="K62:K65" si="58">COUNTIF(E$5:E$58,I62)</f>
        <v>0</v>
      </c>
      <c r="N62" s="34" t="s">
        <v>41</v>
      </c>
      <c r="O62" s="40">
        <f>B60</f>
        <v>54</v>
      </c>
    </row>
    <row r="63">
      <c r="A63" s="1"/>
      <c r="C63" s="1"/>
      <c r="D63" s="1"/>
      <c r="I63" s="74">
        <v>1.0</v>
      </c>
      <c r="J63" s="75" t="s">
        <v>122</v>
      </c>
      <c r="K63" s="76">
        <f t="shared" si="58"/>
        <v>17</v>
      </c>
    </row>
    <row r="64">
      <c r="A64" s="1"/>
      <c r="C64" s="1"/>
      <c r="D64" s="1"/>
      <c r="I64" s="74">
        <v>2.0</v>
      </c>
      <c r="J64" s="75" t="s">
        <v>123</v>
      </c>
      <c r="K64" s="76">
        <f t="shared" si="58"/>
        <v>3</v>
      </c>
    </row>
    <row r="65">
      <c r="A65" s="1"/>
      <c r="C65" s="1"/>
      <c r="D65" s="1"/>
      <c r="I65" s="74">
        <v>3.0</v>
      </c>
      <c r="J65" s="75" t="s">
        <v>39</v>
      </c>
      <c r="K65" s="76">
        <f t="shared" si="58"/>
        <v>32</v>
      </c>
    </row>
    <row r="66">
      <c r="A66" s="1"/>
      <c r="C66" s="1"/>
      <c r="D66" s="1"/>
      <c r="I66" s="74">
        <v>4.0</v>
      </c>
      <c r="J66" s="75" t="s">
        <v>124</v>
      </c>
      <c r="K66" s="76">
        <f>sum(G63:G66)</f>
        <v>0</v>
      </c>
    </row>
    <row r="67">
      <c r="A67" s="1"/>
      <c r="C67" s="1"/>
      <c r="D67" s="1"/>
      <c r="E67" s="1"/>
      <c r="J67" s="75" t="s">
        <v>41</v>
      </c>
      <c r="K67" s="76">
        <f>sum(K62:K66)</f>
        <v>52</v>
      </c>
    </row>
    <row r="68">
      <c r="A68" s="1"/>
      <c r="C68" s="1"/>
      <c r="D68" s="1"/>
      <c r="E68" s="1"/>
      <c r="J68" s="34"/>
      <c r="K68" s="47"/>
    </row>
    <row r="69">
      <c r="A69" s="1"/>
      <c r="C69" s="1"/>
      <c r="D69" s="1"/>
      <c r="E69" s="1"/>
    </row>
    <row r="70">
      <c r="A70" s="1"/>
      <c r="C70" s="1"/>
      <c r="D70" s="1"/>
      <c r="E70" s="1"/>
    </row>
    <row r="71">
      <c r="A71" s="1"/>
      <c r="C71" s="1"/>
      <c r="D71" s="1"/>
      <c r="E71" s="1"/>
      <c r="J71" s="14" t="s">
        <v>122</v>
      </c>
      <c r="K71" s="13">
        <f>K63+K64+K66</f>
        <v>20</v>
      </c>
    </row>
    <row r="72">
      <c r="A72" s="1"/>
      <c r="C72" s="1"/>
      <c r="D72" s="1"/>
      <c r="E72" s="1"/>
      <c r="J72" s="14" t="s">
        <v>39</v>
      </c>
      <c r="K72" s="13">
        <f>K65</f>
        <v>32</v>
      </c>
    </row>
    <row r="73">
      <c r="A73" s="1"/>
      <c r="C73" s="1"/>
      <c r="D73" s="1"/>
      <c r="E73" s="1"/>
      <c r="J73" s="14" t="s">
        <v>40</v>
      </c>
      <c r="K73" s="13">
        <f>K62</f>
        <v>0</v>
      </c>
    </row>
    <row r="74">
      <c r="A74" s="1"/>
      <c r="C74" s="1"/>
      <c r="D74" s="1"/>
      <c r="E74" s="1"/>
      <c r="J74" s="14" t="s">
        <v>41</v>
      </c>
      <c r="K74" s="13">
        <f>SUM(K71:K73)</f>
        <v>52</v>
      </c>
    </row>
    <row r="75">
      <c r="A75" s="1"/>
      <c r="C75" s="1"/>
      <c r="D75" s="1"/>
      <c r="E75" s="1"/>
    </row>
    <row r="76">
      <c r="A76" s="1"/>
      <c r="C76" s="1"/>
      <c r="D76" s="1"/>
      <c r="E76" s="1"/>
    </row>
    <row r="77">
      <c r="A77" s="1"/>
      <c r="C77" s="1"/>
      <c r="D77" s="1"/>
      <c r="E77" s="1"/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D1"/>
    <mergeCell ref="G1:I1"/>
    <mergeCell ref="J1:K1"/>
    <mergeCell ref="B2:C2"/>
    <mergeCell ref="L3:M3"/>
  </mergeCells>
  <conditionalFormatting sqref="J5:J58">
    <cfRule type="expression" dxfId="0" priority="1">
      <formula> J5&gt;=18</formula>
    </cfRule>
  </conditionalFormatting>
  <conditionalFormatting sqref="G10:M10">
    <cfRule type="expression" dxfId="1" priority="2">
      <formula>iseven</formula>
    </cfRule>
  </conditionalFormatting>
  <conditionalFormatting sqref="B5:B58">
    <cfRule type="expression" dxfId="0" priority="3">
      <formula>E5=1</formula>
    </cfRule>
  </conditionalFormatting>
  <conditionalFormatting sqref="B5:B58">
    <cfRule type="expression" dxfId="2" priority="4">
      <formula>E5=2</formula>
    </cfRule>
  </conditionalFormatting>
  <conditionalFormatting sqref="B5:B58">
    <cfRule type="expression" dxfId="3" priority="5">
      <formula>E5=3</formula>
    </cfRule>
  </conditionalFormatting>
  <conditionalFormatting sqref="B5:B58">
    <cfRule type="expression" dxfId="4" priority="6">
      <formula>E5=4</formula>
    </cfRule>
  </conditionalFormatting>
  <conditionalFormatting sqref="K68">
    <cfRule type="containsText" dxfId="0" priority="7" operator="containsText" text="Good">
      <formula>NOT(ISERROR(SEARCH(("Good"),(K68))))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63"/>
    <col customWidth="1" min="17" max="17" width="8.38"/>
    <col customWidth="1" min="18" max="18" width="8.75"/>
  </cols>
  <sheetData>
    <row r="1">
      <c r="A1" s="1"/>
      <c r="B1" s="2" t="s">
        <v>1</v>
      </c>
      <c r="C1" s="3">
        <v>45115.0</v>
      </c>
      <c r="E1" s="1"/>
      <c r="F1" s="5"/>
      <c r="G1" s="5"/>
      <c r="J1" s="5"/>
      <c r="L1" s="5"/>
    </row>
    <row r="2">
      <c r="A2" s="1"/>
      <c r="B2" s="8" t="s">
        <v>6</v>
      </c>
      <c r="D2" s="9">
        <v>2.0</v>
      </c>
      <c r="E2" s="1"/>
    </row>
    <row r="3" ht="27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33</v>
      </c>
    </row>
    <row r="5">
      <c r="A5" s="25">
        <v>1.0</v>
      </c>
      <c r="B5" s="26" t="s">
        <v>48</v>
      </c>
      <c r="C5" s="78">
        <v>18.0</v>
      </c>
      <c r="D5" s="78">
        <v>3.0</v>
      </c>
      <c r="E5" s="78">
        <v>1.0</v>
      </c>
      <c r="F5" s="39">
        <v>0.0</v>
      </c>
      <c r="G5" s="39">
        <v>6.0</v>
      </c>
      <c r="H5" s="39">
        <v>6.0</v>
      </c>
      <c r="I5" s="39">
        <v>4.0</v>
      </c>
      <c r="J5" s="71">
        <f t="shared" ref="J5:J56" si="2">F5+G5+H5+I5</f>
        <v>16</v>
      </c>
      <c r="K5" s="39">
        <v>2.0</v>
      </c>
      <c r="L5" s="33">
        <f t="shared" ref="L5:M5" si="1">C5+J5</f>
        <v>34</v>
      </c>
      <c r="M5" s="33">
        <f t="shared" si="1"/>
        <v>5</v>
      </c>
      <c r="N5" s="39" t="s">
        <v>37</v>
      </c>
      <c r="O5" s="73" t="s">
        <v>37</v>
      </c>
      <c r="P5" s="39">
        <f>if(F5=13,1,0)+VLOOKUP(B5,'7123'!B$5:P$56,15,false)</f>
        <v>0</v>
      </c>
      <c r="Q5" s="39"/>
      <c r="R5" s="39">
        <f>if(F5=9,1,0)+VLOOKUP(B5,'7123'!B:R,17,false)</f>
        <v>0</v>
      </c>
    </row>
    <row r="6">
      <c r="A6" s="25">
        <f t="shared" ref="A6:A56" si="4">A5+1</f>
        <v>2</v>
      </c>
      <c r="B6" s="26" t="s">
        <v>58</v>
      </c>
      <c r="C6" s="78">
        <v>17.0</v>
      </c>
      <c r="D6" s="78">
        <v>2.0</v>
      </c>
      <c r="E6" s="78">
        <v>3.0</v>
      </c>
      <c r="F6" s="39">
        <v>9.0</v>
      </c>
      <c r="G6" s="39"/>
      <c r="H6" s="39"/>
      <c r="I6" s="39"/>
      <c r="J6" s="71">
        <f t="shared" si="2"/>
        <v>9</v>
      </c>
      <c r="K6" s="39"/>
      <c r="L6" s="33">
        <f t="shared" ref="L6:M6" si="3">C6+J6</f>
        <v>26</v>
      </c>
      <c r="M6" s="33">
        <f t="shared" si="3"/>
        <v>2</v>
      </c>
      <c r="N6" s="39" t="s">
        <v>37</v>
      </c>
      <c r="O6" s="73" t="s">
        <v>37</v>
      </c>
      <c r="P6" s="39">
        <f>if(F6=13,1,0)+VLOOKUP(B6,'7123'!B$5:P$56,15,false)</f>
        <v>0</v>
      </c>
      <c r="Q6" s="39"/>
      <c r="R6" s="39">
        <f>if(F6=9,1,0)+VLOOKUP(B6,'7123'!B:R,17,false)</f>
        <v>1</v>
      </c>
    </row>
    <row r="7">
      <c r="A7" s="25">
        <f t="shared" si="4"/>
        <v>3</v>
      </c>
      <c r="B7" s="26" t="s">
        <v>80</v>
      </c>
      <c r="C7" s="78">
        <v>17.0</v>
      </c>
      <c r="D7" s="78">
        <v>2.0</v>
      </c>
      <c r="E7" s="78">
        <v>3.0</v>
      </c>
      <c r="F7" s="39">
        <v>9.0</v>
      </c>
      <c r="G7" s="39"/>
      <c r="H7" s="39"/>
      <c r="I7" s="39"/>
      <c r="J7" s="71">
        <f t="shared" si="2"/>
        <v>9</v>
      </c>
      <c r="K7" s="39"/>
      <c r="L7" s="33">
        <f t="shared" ref="L7:M7" si="5">C7+J7</f>
        <v>26</v>
      </c>
      <c r="M7" s="33">
        <f t="shared" si="5"/>
        <v>2</v>
      </c>
      <c r="N7" s="39" t="s">
        <v>37</v>
      </c>
      <c r="O7" s="73" t="s">
        <v>37</v>
      </c>
      <c r="P7" s="39">
        <f>if(F7=13,1,0)+VLOOKUP(B7,'7123'!B$5:P$56,15,false)</f>
        <v>0</v>
      </c>
      <c r="Q7" s="39"/>
      <c r="R7" s="39">
        <f>if(F7=9,1,0)+VLOOKUP(B7,'7123'!B:R,17,false)</f>
        <v>1</v>
      </c>
    </row>
    <row r="8">
      <c r="A8" s="25">
        <f t="shared" si="4"/>
        <v>4</v>
      </c>
      <c r="B8" s="26" t="s">
        <v>72</v>
      </c>
      <c r="C8" s="78">
        <v>17.0</v>
      </c>
      <c r="D8" s="78">
        <v>2.0</v>
      </c>
      <c r="E8" s="78">
        <v>2.0</v>
      </c>
      <c r="F8" s="39"/>
      <c r="G8" s="39">
        <v>2.0</v>
      </c>
      <c r="H8" s="39">
        <v>6.0</v>
      </c>
      <c r="I8" s="39">
        <v>6.0</v>
      </c>
      <c r="J8" s="71">
        <f t="shared" si="2"/>
        <v>14</v>
      </c>
      <c r="K8" s="39">
        <v>2.0</v>
      </c>
      <c r="L8" s="33">
        <f t="shared" ref="L8:M8" si="6">C8+J8</f>
        <v>31</v>
      </c>
      <c r="M8" s="33">
        <f t="shared" si="6"/>
        <v>4</v>
      </c>
      <c r="N8" s="39" t="s">
        <v>37</v>
      </c>
      <c r="O8" s="73" t="s">
        <v>37</v>
      </c>
      <c r="P8" s="39">
        <f>if(F8=13,1,0)+VLOOKUP(B8,'7123'!B$5:P$56,15,false)</f>
        <v>0</v>
      </c>
      <c r="Q8" s="39"/>
      <c r="R8" s="39">
        <f>if(F8=9,1,0)+VLOOKUP(B8,'7123'!B:R,17,false)</f>
        <v>0</v>
      </c>
    </row>
    <row r="9">
      <c r="A9" s="25">
        <f t="shared" si="4"/>
        <v>5</v>
      </c>
      <c r="B9" s="26" t="s">
        <v>60</v>
      </c>
      <c r="C9" s="78">
        <v>17.0</v>
      </c>
      <c r="D9" s="78">
        <v>2.0</v>
      </c>
      <c r="E9" s="78">
        <v>1.0</v>
      </c>
      <c r="F9" s="39"/>
      <c r="G9" s="39">
        <v>2.0</v>
      </c>
      <c r="H9" s="39">
        <v>2.0</v>
      </c>
      <c r="I9" s="39">
        <v>4.0</v>
      </c>
      <c r="J9" s="71">
        <f t="shared" si="2"/>
        <v>8</v>
      </c>
      <c r="K9" s="39">
        <v>0.0</v>
      </c>
      <c r="L9" s="33">
        <f t="shared" ref="L9:M9" si="7">C9+J9</f>
        <v>25</v>
      </c>
      <c r="M9" s="33">
        <f t="shared" si="7"/>
        <v>2</v>
      </c>
      <c r="N9" s="39" t="s">
        <v>37</v>
      </c>
      <c r="O9" s="73" t="s">
        <v>37</v>
      </c>
      <c r="P9" s="39">
        <f>if(F9=13,1,0)+VLOOKUP(B9,'7123'!B$5:P$56,15,false)</f>
        <v>0</v>
      </c>
      <c r="Q9" s="39"/>
      <c r="R9" s="39">
        <f>if(F9=9,1,0)+VLOOKUP(B9,'7123'!B:R,17,false)</f>
        <v>0</v>
      </c>
    </row>
    <row r="10">
      <c r="A10" s="25">
        <f t="shared" si="4"/>
        <v>6</v>
      </c>
      <c r="B10" s="26" t="s">
        <v>42</v>
      </c>
      <c r="C10" s="78">
        <v>16.0</v>
      </c>
      <c r="D10" s="78">
        <v>2.0</v>
      </c>
      <c r="E10" s="78">
        <v>3.0</v>
      </c>
      <c r="F10" s="39">
        <v>9.0</v>
      </c>
      <c r="G10" s="39"/>
      <c r="H10" s="39"/>
      <c r="I10" s="39"/>
      <c r="J10" s="71">
        <f t="shared" si="2"/>
        <v>9</v>
      </c>
      <c r="K10" s="39"/>
      <c r="L10" s="33">
        <f t="shared" ref="L10:M10" si="8">C10+J10</f>
        <v>25</v>
      </c>
      <c r="M10" s="33">
        <f t="shared" si="8"/>
        <v>2</v>
      </c>
      <c r="N10" s="39" t="s">
        <v>37</v>
      </c>
      <c r="O10" s="73" t="s">
        <v>37</v>
      </c>
      <c r="P10" s="39">
        <f>if(F10=13,1,0)+VLOOKUP(B10,'7123'!B$5:P$56,15,false)</f>
        <v>0</v>
      </c>
      <c r="Q10" s="39"/>
      <c r="R10" s="39">
        <f>if(F10=9,1,0)+VLOOKUP(B10,'7123'!B:R,17,false)</f>
        <v>1</v>
      </c>
    </row>
    <row r="11">
      <c r="A11" s="25">
        <f t="shared" si="4"/>
        <v>7</v>
      </c>
      <c r="B11" s="26" t="s">
        <v>50</v>
      </c>
      <c r="C11" s="78">
        <v>15.0</v>
      </c>
      <c r="D11" s="78">
        <v>2.0</v>
      </c>
      <c r="E11" s="78">
        <v>3.0</v>
      </c>
      <c r="F11" s="39">
        <v>9.0</v>
      </c>
      <c r="G11" s="39"/>
      <c r="H11" s="39"/>
      <c r="I11" s="39"/>
      <c r="J11" s="71">
        <f t="shared" si="2"/>
        <v>9</v>
      </c>
      <c r="K11" s="39"/>
      <c r="L11" s="33">
        <f t="shared" ref="L11:M11" si="9">C11+J11</f>
        <v>24</v>
      </c>
      <c r="M11" s="33">
        <f t="shared" si="9"/>
        <v>2</v>
      </c>
      <c r="N11" s="39" t="s">
        <v>37</v>
      </c>
      <c r="O11" s="73" t="s">
        <v>37</v>
      </c>
      <c r="P11" s="39">
        <f>if(F11=13,1,0)+VLOOKUP(B11,'7123'!B$5:P$56,15,false)</f>
        <v>0</v>
      </c>
      <c r="Q11" s="39"/>
      <c r="R11" s="39">
        <f>if(F11=9,1,0)+VLOOKUP(B11,'7123'!B:R,17,false)</f>
        <v>1</v>
      </c>
    </row>
    <row r="12">
      <c r="A12" s="25">
        <f t="shared" si="4"/>
        <v>8</v>
      </c>
      <c r="B12" s="26" t="s">
        <v>75</v>
      </c>
      <c r="C12" s="78">
        <v>15.0</v>
      </c>
      <c r="D12" s="78">
        <v>2.0</v>
      </c>
      <c r="E12" s="78">
        <v>3.0</v>
      </c>
      <c r="F12" s="39">
        <v>9.0</v>
      </c>
      <c r="G12" s="39"/>
      <c r="H12" s="39"/>
      <c r="I12" s="39"/>
      <c r="J12" s="71">
        <f t="shared" si="2"/>
        <v>9</v>
      </c>
      <c r="K12" s="39"/>
      <c r="L12" s="33">
        <f t="shared" ref="L12:M12" si="10">C12+J12</f>
        <v>24</v>
      </c>
      <c r="M12" s="33">
        <f t="shared" si="10"/>
        <v>2</v>
      </c>
      <c r="N12" s="39" t="s">
        <v>37</v>
      </c>
      <c r="O12" s="73" t="s">
        <v>37</v>
      </c>
      <c r="P12" s="39">
        <f>if(F12=13,1,0)+VLOOKUP(B12,'7123'!B$5:P$56,15,false)</f>
        <v>0</v>
      </c>
      <c r="Q12" s="39"/>
      <c r="R12" s="39">
        <f>if(F12=9,1,0)+VLOOKUP(B12,'7123'!B:R,17,false)</f>
        <v>1</v>
      </c>
    </row>
    <row r="13">
      <c r="A13" s="25">
        <f t="shared" si="4"/>
        <v>9</v>
      </c>
      <c r="B13" s="26" t="s">
        <v>52</v>
      </c>
      <c r="C13" s="78">
        <v>15.0</v>
      </c>
      <c r="D13" s="78">
        <v>2.0</v>
      </c>
      <c r="E13" s="78">
        <v>1.0</v>
      </c>
      <c r="F13" s="39"/>
      <c r="G13" s="39">
        <v>6.0</v>
      </c>
      <c r="H13" s="39">
        <v>2.0</v>
      </c>
      <c r="I13" s="39">
        <v>6.0</v>
      </c>
      <c r="J13" s="71">
        <f t="shared" si="2"/>
        <v>14</v>
      </c>
      <c r="K13" s="39">
        <v>2.0</v>
      </c>
      <c r="L13" s="33">
        <f t="shared" ref="L13:M13" si="11">C13+J13</f>
        <v>29</v>
      </c>
      <c r="M13" s="33">
        <f t="shared" si="11"/>
        <v>4</v>
      </c>
      <c r="N13" s="39" t="s">
        <v>37</v>
      </c>
      <c r="O13" s="73" t="s">
        <v>37</v>
      </c>
      <c r="P13" s="39">
        <f>if(F13=13,1,0)+VLOOKUP(B13,'7123'!B$5:P$56,15,false)</f>
        <v>0</v>
      </c>
      <c r="Q13" s="39"/>
      <c r="R13" s="39">
        <f>if(F13=9,1,0)+VLOOKUP(B13,'7123'!B:R,17,false)</f>
        <v>0</v>
      </c>
    </row>
    <row r="14">
      <c r="A14" s="25">
        <f t="shared" si="4"/>
        <v>10</v>
      </c>
      <c r="B14" s="36" t="s">
        <v>77</v>
      </c>
      <c r="C14" s="78">
        <v>15.0</v>
      </c>
      <c r="D14" s="78">
        <v>2.0</v>
      </c>
      <c r="E14" s="78">
        <v>3.0</v>
      </c>
      <c r="F14" s="39">
        <v>9.0</v>
      </c>
      <c r="G14" s="39"/>
      <c r="H14" s="39"/>
      <c r="I14" s="39"/>
      <c r="J14" s="71">
        <f t="shared" si="2"/>
        <v>9</v>
      </c>
      <c r="K14" s="39"/>
      <c r="L14" s="33">
        <f t="shared" ref="L14:M14" si="12">C14+J14</f>
        <v>24</v>
      </c>
      <c r="M14" s="33">
        <f t="shared" si="12"/>
        <v>2</v>
      </c>
      <c r="N14" s="39" t="s">
        <v>37</v>
      </c>
      <c r="O14" s="73" t="s">
        <v>37</v>
      </c>
      <c r="P14" s="39">
        <f>if(F14=13,1,0)+VLOOKUP(B14,'7123'!B$5:P$56,15,false)</f>
        <v>0</v>
      </c>
      <c r="Q14" s="39"/>
      <c r="R14" s="39">
        <f>if(F14=9,1,0)+VLOOKUP(B14,'7123'!B:R,17,false)</f>
        <v>1</v>
      </c>
    </row>
    <row r="15">
      <c r="A15" s="25">
        <f t="shared" si="4"/>
        <v>11</v>
      </c>
      <c r="B15" s="26" t="s">
        <v>49</v>
      </c>
      <c r="C15" s="78">
        <v>14.0</v>
      </c>
      <c r="D15" s="78">
        <v>2.0</v>
      </c>
      <c r="E15" s="78">
        <v>1.0</v>
      </c>
      <c r="F15" s="39">
        <v>0.0</v>
      </c>
      <c r="G15" s="39">
        <v>5.0</v>
      </c>
      <c r="H15" s="39">
        <v>6.0</v>
      </c>
      <c r="I15" s="39">
        <v>6.0</v>
      </c>
      <c r="J15" s="71">
        <f t="shared" si="2"/>
        <v>17</v>
      </c>
      <c r="K15" s="39">
        <v>2.0</v>
      </c>
      <c r="L15" s="33">
        <f t="shared" ref="L15:M15" si="13">C15+J15</f>
        <v>31</v>
      </c>
      <c r="M15" s="33">
        <f t="shared" si="13"/>
        <v>4</v>
      </c>
      <c r="N15" s="39" t="s">
        <v>37</v>
      </c>
      <c r="O15" s="73" t="s">
        <v>37</v>
      </c>
      <c r="P15" s="39">
        <f>if(F15=13,1,0)+VLOOKUP(B15,'7123'!B$5:P$56,15,false)</f>
        <v>0</v>
      </c>
      <c r="Q15" s="39"/>
      <c r="R15" s="39">
        <f>if(F15=9,1,0)+VLOOKUP(B15,'7123'!B:R,17,false)</f>
        <v>0</v>
      </c>
    </row>
    <row r="16">
      <c r="A16" s="25">
        <f t="shared" si="4"/>
        <v>12</v>
      </c>
      <c r="B16" s="36" t="s">
        <v>67</v>
      </c>
      <c r="C16" s="78">
        <v>14.0</v>
      </c>
      <c r="D16" s="78">
        <v>2.0</v>
      </c>
      <c r="E16" s="78">
        <v>1.0</v>
      </c>
      <c r="F16" s="39"/>
      <c r="G16" s="39">
        <v>7.0</v>
      </c>
      <c r="H16" s="39">
        <v>6.0</v>
      </c>
      <c r="I16" s="39">
        <v>4.0</v>
      </c>
      <c r="J16" s="71">
        <f t="shared" si="2"/>
        <v>17</v>
      </c>
      <c r="K16" s="39">
        <v>2.0</v>
      </c>
      <c r="L16" s="33">
        <f t="shared" ref="L16:M16" si="14">C16+J16</f>
        <v>31</v>
      </c>
      <c r="M16" s="33">
        <f t="shared" si="14"/>
        <v>4</v>
      </c>
      <c r="N16" s="39" t="s">
        <v>37</v>
      </c>
      <c r="O16" s="73" t="s">
        <v>37</v>
      </c>
      <c r="P16" s="39">
        <f>if(F16=13,1,0)+VLOOKUP(B16,'7123'!B$5:P$56,15,false)</f>
        <v>0</v>
      </c>
      <c r="Q16" s="39"/>
      <c r="R16" s="39">
        <f>if(F16=9,1,0)+VLOOKUP(B16,'7123'!B:R,17,false)</f>
        <v>0</v>
      </c>
    </row>
    <row r="17">
      <c r="A17" s="25">
        <f t="shared" si="4"/>
        <v>13</v>
      </c>
      <c r="B17" s="36" t="s">
        <v>59</v>
      </c>
      <c r="C17" s="78">
        <v>14.0</v>
      </c>
      <c r="D17" s="78">
        <v>2.0</v>
      </c>
      <c r="E17" s="78">
        <v>1.0</v>
      </c>
      <c r="F17" s="39"/>
      <c r="G17" s="39">
        <v>5.0</v>
      </c>
      <c r="H17" s="39">
        <v>3.0</v>
      </c>
      <c r="I17" s="39">
        <v>4.0</v>
      </c>
      <c r="J17" s="71">
        <f t="shared" si="2"/>
        <v>12</v>
      </c>
      <c r="K17" s="39">
        <v>0.0</v>
      </c>
      <c r="L17" s="33">
        <f t="shared" ref="L17:M17" si="15">C17+J17</f>
        <v>26</v>
      </c>
      <c r="M17" s="33">
        <f t="shared" si="15"/>
        <v>2</v>
      </c>
      <c r="N17" s="39" t="s">
        <v>37</v>
      </c>
      <c r="O17" s="73" t="s">
        <v>37</v>
      </c>
      <c r="P17" s="39">
        <f>if(F17=13,1,0)+VLOOKUP(B17,'7123'!B$5:P$56,15,false)</f>
        <v>0</v>
      </c>
      <c r="Q17" s="39"/>
      <c r="R17" s="39">
        <f>if(F17=9,1,0)+VLOOKUP(B17,'7123'!B:R,17,false)</f>
        <v>0</v>
      </c>
    </row>
    <row r="18">
      <c r="A18" s="25">
        <f t="shared" si="4"/>
        <v>14</v>
      </c>
      <c r="B18" s="26" t="s">
        <v>57</v>
      </c>
      <c r="C18" s="78">
        <v>13.0</v>
      </c>
      <c r="D18" s="78">
        <v>2.0</v>
      </c>
      <c r="E18" s="78">
        <v>2.0</v>
      </c>
      <c r="F18" s="39"/>
      <c r="G18" s="39">
        <v>7.0</v>
      </c>
      <c r="H18" s="39">
        <v>3.0</v>
      </c>
      <c r="I18" s="39">
        <v>6.0</v>
      </c>
      <c r="J18" s="71">
        <f t="shared" si="2"/>
        <v>16</v>
      </c>
      <c r="K18" s="39">
        <v>2.0</v>
      </c>
      <c r="L18" s="33">
        <f t="shared" ref="L18:M18" si="16">C18+J18</f>
        <v>29</v>
      </c>
      <c r="M18" s="33">
        <f t="shared" si="16"/>
        <v>4</v>
      </c>
      <c r="N18" s="39" t="s">
        <v>37</v>
      </c>
      <c r="O18" s="73" t="s">
        <v>37</v>
      </c>
      <c r="P18" s="39">
        <f>if(F18=13,1,0)+VLOOKUP(B18,'7123'!B$5:P$56,15,false)</f>
        <v>0</v>
      </c>
      <c r="Q18" s="39"/>
      <c r="R18" s="39">
        <f>if(F18=9,1,0)+VLOOKUP(B18,'7123'!B:R,17,false)</f>
        <v>0</v>
      </c>
    </row>
    <row r="19">
      <c r="A19" s="25">
        <f t="shared" si="4"/>
        <v>15</v>
      </c>
      <c r="B19" s="26" t="s">
        <v>55</v>
      </c>
      <c r="C19" s="78">
        <v>13.0</v>
      </c>
      <c r="D19" s="78">
        <v>2.0</v>
      </c>
      <c r="E19" s="78">
        <v>1.0</v>
      </c>
      <c r="F19" s="39"/>
      <c r="G19" s="39">
        <v>2.0</v>
      </c>
      <c r="H19" s="39">
        <v>5.0</v>
      </c>
      <c r="I19" s="39">
        <v>6.0</v>
      </c>
      <c r="J19" s="71">
        <f t="shared" si="2"/>
        <v>13</v>
      </c>
      <c r="K19" s="39">
        <v>1.0</v>
      </c>
      <c r="L19" s="33">
        <f t="shared" ref="L19:M19" si="17">C19+J19</f>
        <v>26</v>
      </c>
      <c r="M19" s="33">
        <f t="shared" si="17"/>
        <v>3</v>
      </c>
      <c r="N19" s="39" t="s">
        <v>37</v>
      </c>
      <c r="O19" s="73" t="s">
        <v>37</v>
      </c>
      <c r="P19" s="39">
        <f>if(F19=13,1,0)+VLOOKUP(B19,'7123'!B$5:P$56,15,false)</f>
        <v>0</v>
      </c>
      <c r="Q19" s="39"/>
      <c r="R19" s="39">
        <f>if(F19=9,1,0)+VLOOKUP(B19,'7123'!B:R,17,false)</f>
        <v>0</v>
      </c>
    </row>
    <row r="20">
      <c r="A20" s="25">
        <f t="shared" si="4"/>
        <v>16</v>
      </c>
      <c r="B20" s="26" t="s">
        <v>86</v>
      </c>
      <c r="C20" s="78">
        <v>13.0</v>
      </c>
      <c r="D20" s="78">
        <v>2.0</v>
      </c>
      <c r="E20" s="78">
        <v>1.0</v>
      </c>
      <c r="F20" s="39"/>
      <c r="G20" s="39">
        <v>2.0</v>
      </c>
      <c r="H20" s="39">
        <v>7.0</v>
      </c>
      <c r="I20" s="39">
        <v>4.0</v>
      </c>
      <c r="J20" s="71">
        <f t="shared" si="2"/>
        <v>13</v>
      </c>
      <c r="K20" s="39">
        <v>1.0</v>
      </c>
      <c r="L20" s="33">
        <f t="shared" ref="L20:M20" si="18">C20+J20</f>
        <v>26</v>
      </c>
      <c r="M20" s="33">
        <f t="shared" si="18"/>
        <v>3</v>
      </c>
      <c r="N20" s="39" t="s">
        <v>37</v>
      </c>
      <c r="O20" s="73" t="s">
        <v>37</v>
      </c>
      <c r="P20" s="39">
        <f>if(F20=13,1,0)+VLOOKUP(B20,'7123'!B$5:P$56,15,false)</f>
        <v>0</v>
      </c>
      <c r="Q20" s="39"/>
      <c r="R20" s="39">
        <f>if(F20=9,1,0)+VLOOKUP(B20,'7123'!B:R,17,false)</f>
        <v>0</v>
      </c>
    </row>
    <row r="21">
      <c r="A21" s="25">
        <f t="shared" si="4"/>
        <v>17</v>
      </c>
      <c r="B21" s="26" t="s">
        <v>73</v>
      </c>
      <c r="C21" s="78">
        <v>13.0</v>
      </c>
      <c r="D21" s="78">
        <v>1.0</v>
      </c>
      <c r="E21" s="78">
        <v>2.0</v>
      </c>
      <c r="F21" s="39"/>
      <c r="G21" s="39">
        <v>6.0</v>
      </c>
      <c r="H21" s="39">
        <v>5.0</v>
      </c>
      <c r="I21" s="39">
        <v>4.0</v>
      </c>
      <c r="J21" s="71">
        <f t="shared" si="2"/>
        <v>15</v>
      </c>
      <c r="K21" s="39">
        <v>1.0</v>
      </c>
      <c r="L21" s="33">
        <f t="shared" ref="L21:M21" si="19">C21+J21</f>
        <v>28</v>
      </c>
      <c r="M21" s="33">
        <f t="shared" si="19"/>
        <v>2</v>
      </c>
      <c r="N21" s="39" t="s">
        <v>37</v>
      </c>
      <c r="O21" s="73" t="s">
        <v>37</v>
      </c>
      <c r="P21" s="39">
        <f>if(F21=13,1,0)+VLOOKUP(B21,'7123'!B$5:P$56,15,false)</f>
        <v>0</v>
      </c>
      <c r="Q21" s="39"/>
      <c r="R21" s="39">
        <f>if(F21=9,1,0)+VLOOKUP(B21,'7123'!B:R,17,false)</f>
        <v>0</v>
      </c>
    </row>
    <row r="22">
      <c r="A22" s="25">
        <f t="shared" si="4"/>
        <v>18</v>
      </c>
      <c r="B22" s="26" t="s">
        <v>66</v>
      </c>
      <c r="C22" s="78">
        <v>13.0</v>
      </c>
      <c r="D22" s="78">
        <v>0.0</v>
      </c>
      <c r="E22" s="78">
        <v>3.0</v>
      </c>
      <c r="F22" s="39">
        <v>9.0</v>
      </c>
      <c r="G22" s="39"/>
      <c r="H22" s="39"/>
      <c r="I22" s="39"/>
      <c r="J22" s="71">
        <f t="shared" si="2"/>
        <v>9</v>
      </c>
      <c r="K22" s="39"/>
      <c r="L22" s="33">
        <f t="shared" ref="L22:M22" si="20">C22+J22</f>
        <v>22</v>
      </c>
      <c r="M22" s="33">
        <f t="shared" si="20"/>
        <v>0</v>
      </c>
      <c r="N22" s="39" t="s">
        <v>37</v>
      </c>
      <c r="O22" s="73" t="s">
        <v>37</v>
      </c>
      <c r="P22" s="39">
        <f>if(F22=13,1,0)+VLOOKUP(B22,'7123'!B$5:P$56,15,false)</f>
        <v>1</v>
      </c>
      <c r="Q22" s="39"/>
      <c r="R22" s="39">
        <f>if(F22=9,1,0)+VLOOKUP(B22,'7123'!B:R,17,false)</f>
        <v>1</v>
      </c>
    </row>
    <row r="23">
      <c r="A23" s="25">
        <f t="shared" si="4"/>
        <v>19</v>
      </c>
      <c r="B23" s="26" t="s">
        <v>68</v>
      </c>
      <c r="C23" s="78">
        <v>13.0</v>
      </c>
      <c r="D23" s="78">
        <v>0.0</v>
      </c>
      <c r="E23" s="78">
        <v>2.0</v>
      </c>
      <c r="F23" s="39"/>
      <c r="G23" s="39">
        <v>6.0</v>
      </c>
      <c r="H23" s="39">
        <v>7.0</v>
      </c>
      <c r="I23" s="39">
        <v>6.0</v>
      </c>
      <c r="J23" s="71">
        <f t="shared" si="2"/>
        <v>19</v>
      </c>
      <c r="K23" s="39">
        <v>3.0</v>
      </c>
      <c r="L23" s="33">
        <f t="shared" ref="L23:M23" si="21">C23+J23</f>
        <v>32</v>
      </c>
      <c r="M23" s="33">
        <f t="shared" si="21"/>
        <v>3</v>
      </c>
      <c r="N23" s="39" t="s">
        <v>37</v>
      </c>
      <c r="O23" s="73" t="s">
        <v>37</v>
      </c>
      <c r="P23" s="39">
        <f>if(F23=13,1,0)+VLOOKUP(B23,'7123'!B$5:P$56,15,false)</f>
        <v>1</v>
      </c>
      <c r="Q23" s="39"/>
      <c r="R23" s="39">
        <f>if(F23=9,1,0)+VLOOKUP(B23,'7123'!B:R,17,false)</f>
        <v>0</v>
      </c>
    </row>
    <row r="24">
      <c r="A24" s="25">
        <f t="shared" si="4"/>
        <v>20</v>
      </c>
      <c r="B24" s="26" t="s">
        <v>56</v>
      </c>
      <c r="C24" s="78">
        <v>12.0</v>
      </c>
      <c r="D24" s="78">
        <v>2.0</v>
      </c>
      <c r="E24" s="78">
        <v>1.0</v>
      </c>
      <c r="F24" s="39"/>
      <c r="G24" s="39">
        <v>3.0</v>
      </c>
      <c r="H24" s="39">
        <v>6.0</v>
      </c>
      <c r="I24" s="39">
        <v>1.0</v>
      </c>
      <c r="J24" s="71">
        <f t="shared" si="2"/>
        <v>10</v>
      </c>
      <c r="K24" s="39">
        <v>1.0</v>
      </c>
      <c r="L24" s="33">
        <f t="shared" ref="L24:M24" si="22">C24+J24</f>
        <v>22</v>
      </c>
      <c r="M24" s="33">
        <f t="shared" si="22"/>
        <v>3</v>
      </c>
      <c r="N24" s="39" t="s">
        <v>37</v>
      </c>
      <c r="O24" s="73" t="s">
        <v>37</v>
      </c>
      <c r="P24" s="39">
        <f>if(F24=13,1,0)+VLOOKUP(B24,'7123'!B$5:P$56,15,false)</f>
        <v>0</v>
      </c>
      <c r="Q24" s="39"/>
      <c r="R24" s="39">
        <f>if(F24=9,1,0)+VLOOKUP(B24,'7123'!B:R,17,false)</f>
        <v>0</v>
      </c>
    </row>
    <row r="25">
      <c r="A25" s="25">
        <f t="shared" si="4"/>
        <v>21</v>
      </c>
      <c r="B25" s="26" t="s">
        <v>79</v>
      </c>
      <c r="C25" s="78">
        <v>12.0</v>
      </c>
      <c r="D25" s="78">
        <v>2.0</v>
      </c>
      <c r="E25" s="78">
        <v>1.0</v>
      </c>
      <c r="F25" s="39"/>
      <c r="G25" s="39">
        <v>3.0</v>
      </c>
      <c r="H25" s="39">
        <v>2.0</v>
      </c>
      <c r="I25" s="39">
        <v>6.0</v>
      </c>
      <c r="J25" s="71">
        <f t="shared" si="2"/>
        <v>11</v>
      </c>
      <c r="K25" s="39">
        <v>1.0</v>
      </c>
      <c r="L25" s="33">
        <f t="shared" ref="L25:M25" si="23">C25+J25</f>
        <v>23</v>
      </c>
      <c r="M25" s="33">
        <f t="shared" si="23"/>
        <v>3</v>
      </c>
      <c r="N25" s="39" t="s">
        <v>37</v>
      </c>
      <c r="O25" s="73" t="s">
        <v>37</v>
      </c>
      <c r="P25" s="39">
        <f>if(F25=13,1,0)+VLOOKUP(B25,'7123'!B$5:P$56,15,false)</f>
        <v>0</v>
      </c>
      <c r="Q25" s="39"/>
      <c r="R25" s="39">
        <f>if(F25=9,1,0)+VLOOKUP(B25,'7123'!B:R,17,false)</f>
        <v>0</v>
      </c>
    </row>
    <row r="26">
      <c r="A26" s="25">
        <f t="shared" si="4"/>
        <v>22</v>
      </c>
      <c r="B26" s="26" t="s">
        <v>74</v>
      </c>
      <c r="C26" s="78">
        <v>12.0</v>
      </c>
      <c r="D26" s="78">
        <v>2.0</v>
      </c>
      <c r="E26" s="78">
        <v>1.0</v>
      </c>
      <c r="F26" s="39"/>
      <c r="G26" s="39">
        <v>6.0</v>
      </c>
      <c r="H26" s="39">
        <v>2.0</v>
      </c>
      <c r="I26" s="39">
        <v>1.0</v>
      </c>
      <c r="J26" s="71">
        <f t="shared" si="2"/>
        <v>9</v>
      </c>
      <c r="K26" s="39">
        <v>1.0</v>
      </c>
      <c r="L26" s="33">
        <f t="shared" ref="L26:M26" si="24">C26+J26</f>
        <v>21</v>
      </c>
      <c r="M26" s="33">
        <f t="shared" si="24"/>
        <v>3</v>
      </c>
      <c r="N26" s="39" t="s">
        <v>37</v>
      </c>
      <c r="O26" s="73" t="s">
        <v>37</v>
      </c>
      <c r="P26" s="39">
        <f>if(F26=13,1,0)+VLOOKUP(B26,'7123'!B$5:P$56,15,false)</f>
        <v>0</v>
      </c>
      <c r="Q26" s="39"/>
      <c r="R26" s="39">
        <f>if(F26=9,1,0)+VLOOKUP(B26,'7123'!B:R,17,false)</f>
        <v>0</v>
      </c>
    </row>
    <row r="27">
      <c r="A27" s="25">
        <f t="shared" si="4"/>
        <v>23</v>
      </c>
      <c r="B27" s="26" t="s">
        <v>70</v>
      </c>
      <c r="C27" s="78">
        <v>12.0</v>
      </c>
      <c r="D27" s="78">
        <v>1.0</v>
      </c>
      <c r="E27" s="78">
        <v>3.0</v>
      </c>
      <c r="F27" s="39">
        <v>9.0</v>
      </c>
      <c r="G27" s="39"/>
      <c r="H27" s="39"/>
      <c r="I27" s="39"/>
      <c r="J27" s="71">
        <f t="shared" si="2"/>
        <v>9</v>
      </c>
      <c r="K27" s="39"/>
      <c r="L27" s="33">
        <f t="shared" ref="L27:M27" si="25">C27+J27</f>
        <v>21</v>
      </c>
      <c r="M27" s="33">
        <f t="shared" si="25"/>
        <v>1</v>
      </c>
      <c r="N27" s="39" t="s">
        <v>37</v>
      </c>
      <c r="O27" s="73" t="s">
        <v>37</v>
      </c>
      <c r="P27" s="39">
        <f>if(F27=13,1,0)+VLOOKUP(B27,'7123'!B$5:P$56,15,false)</f>
        <v>0</v>
      </c>
      <c r="Q27" s="39"/>
      <c r="R27" s="39">
        <f>if(F27=9,1,0)+VLOOKUP(B27,'7123'!B:R,17,false)</f>
        <v>1</v>
      </c>
    </row>
    <row r="28">
      <c r="A28" s="25">
        <f t="shared" si="4"/>
        <v>24</v>
      </c>
      <c r="B28" s="26" t="s">
        <v>54</v>
      </c>
      <c r="C28" s="78">
        <v>11.0</v>
      </c>
      <c r="D28" s="78">
        <v>1.0</v>
      </c>
      <c r="E28" s="78">
        <v>2.0</v>
      </c>
      <c r="F28" s="39"/>
      <c r="G28" s="39">
        <v>6.0</v>
      </c>
      <c r="H28" s="39">
        <v>6.0</v>
      </c>
      <c r="I28" s="39">
        <v>6.0</v>
      </c>
      <c r="J28" s="71">
        <f t="shared" si="2"/>
        <v>18</v>
      </c>
      <c r="K28" s="39">
        <v>3.0</v>
      </c>
      <c r="L28" s="33">
        <f t="shared" ref="L28:M28" si="26">C28+J28</f>
        <v>29</v>
      </c>
      <c r="M28" s="33">
        <f t="shared" si="26"/>
        <v>4</v>
      </c>
      <c r="N28" s="39" t="s">
        <v>37</v>
      </c>
      <c r="O28" s="73" t="s">
        <v>37</v>
      </c>
      <c r="P28" s="39">
        <f>if(F28=13,1,0)+VLOOKUP(B28,'7123'!B$5:P$56,15,false)</f>
        <v>0</v>
      </c>
      <c r="Q28" s="39"/>
      <c r="R28" s="39">
        <f>if(F28=9,1,0)+VLOOKUP(B28,'7123'!B:R,17,false)</f>
        <v>0</v>
      </c>
    </row>
    <row r="29">
      <c r="A29" s="25">
        <f t="shared" si="4"/>
        <v>25</v>
      </c>
      <c r="B29" s="26" t="s">
        <v>53</v>
      </c>
      <c r="C29" s="78">
        <v>11.0</v>
      </c>
      <c r="D29" s="78">
        <v>0.0</v>
      </c>
      <c r="E29" s="78">
        <v>3.0</v>
      </c>
      <c r="F29" s="39">
        <v>9.0</v>
      </c>
      <c r="G29" s="39"/>
      <c r="H29" s="39"/>
      <c r="I29" s="39"/>
      <c r="J29" s="71">
        <f t="shared" si="2"/>
        <v>9</v>
      </c>
      <c r="K29" s="39"/>
      <c r="L29" s="33">
        <f t="shared" ref="L29:M29" si="27">C29+J29</f>
        <v>20</v>
      </c>
      <c r="M29" s="33">
        <f t="shared" si="27"/>
        <v>0</v>
      </c>
      <c r="N29" s="39" t="s">
        <v>37</v>
      </c>
      <c r="O29" s="73" t="s">
        <v>37</v>
      </c>
      <c r="P29" s="39">
        <f>if(F29=13,1,0)+VLOOKUP(B29,'7123'!B$5:P$56,15,false)</f>
        <v>0</v>
      </c>
      <c r="Q29" s="39"/>
      <c r="R29" s="39">
        <f>if(F29=9,1,0)+VLOOKUP(B29,'7123'!B:R,17,false)</f>
        <v>1</v>
      </c>
    </row>
    <row r="30">
      <c r="A30" s="25">
        <f t="shared" si="4"/>
        <v>26</v>
      </c>
      <c r="B30" s="80" t="s">
        <v>100</v>
      </c>
      <c r="C30" s="78">
        <v>9.0</v>
      </c>
      <c r="D30" s="78">
        <v>0.0</v>
      </c>
      <c r="E30" s="78">
        <v>3.0</v>
      </c>
      <c r="F30" s="39">
        <v>9.0</v>
      </c>
      <c r="G30" s="39"/>
      <c r="H30" s="39"/>
      <c r="I30" s="39"/>
      <c r="J30" s="71">
        <f t="shared" si="2"/>
        <v>9</v>
      </c>
      <c r="K30" s="39"/>
      <c r="L30" s="33">
        <f t="shared" ref="L30:M30" si="28">C30+J30</f>
        <v>18</v>
      </c>
      <c r="M30" s="33">
        <f t="shared" si="28"/>
        <v>0</v>
      </c>
      <c r="N30" s="39" t="s">
        <v>37</v>
      </c>
      <c r="O30" s="39"/>
      <c r="P30" s="39">
        <f>if(F30=13,1,0)+VLOOKUP(B30,'7123'!B$5:P$56,15,false)</f>
        <v>0</v>
      </c>
      <c r="Q30" s="39">
        <v>1.0</v>
      </c>
      <c r="R30" s="39">
        <f>if(F30=9,1,0)+VLOOKUP(B30,'7123'!B:R,17,false)</f>
        <v>2</v>
      </c>
    </row>
    <row r="31">
      <c r="A31" s="25">
        <f t="shared" si="4"/>
        <v>27</v>
      </c>
      <c r="B31" s="26" t="s">
        <v>91</v>
      </c>
      <c r="C31" s="78">
        <v>9.0</v>
      </c>
      <c r="D31" s="78">
        <v>0.0</v>
      </c>
      <c r="E31" s="78">
        <v>3.0</v>
      </c>
      <c r="F31" s="39">
        <v>9.0</v>
      </c>
      <c r="G31" s="39"/>
      <c r="H31" s="39"/>
      <c r="I31" s="39"/>
      <c r="J31" s="71">
        <f t="shared" si="2"/>
        <v>9</v>
      </c>
      <c r="K31" s="39"/>
      <c r="L31" s="33">
        <f t="shared" ref="L31:M31" si="29">C31+J31</f>
        <v>18</v>
      </c>
      <c r="M31" s="33">
        <f t="shared" si="29"/>
        <v>0</v>
      </c>
      <c r="N31" s="39" t="s">
        <v>37</v>
      </c>
      <c r="O31" s="73" t="s">
        <v>37</v>
      </c>
      <c r="P31" s="39">
        <f>if(F31=13,1,0)+VLOOKUP(B31,'7123'!B$5:P$56,15,false)</f>
        <v>0</v>
      </c>
      <c r="Q31" s="39"/>
      <c r="R31" s="39">
        <f>if(F31=9,1,0)+VLOOKUP(B31,'7123'!B:R,17,false)</f>
        <v>2</v>
      </c>
    </row>
    <row r="32">
      <c r="A32" s="25">
        <f t="shared" si="4"/>
        <v>28</v>
      </c>
      <c r="B32" s="26" t="s">
        <v>106</v>
      </c>
      <c r="C32" s="78">
        <v>9.0</v>
      </c>
      <c r="D32" s="78">
        <v>0.0</v>
      </c>
      <c r="E32" s="78">
        <v>3.0</v>
      </c>
      <c r="F32" s="39">
        <v>9.0</v>
      </c>
      <c r="G32" s="39"/>
      <c r="H32" s="39"/>
      <c r="I32" s="39"/>
      <c r="J32" s="71">
        <f t="shared" si="2"/>
        <v>9</v>
      </c>
      <c r="K32" s="39"/>
      <c r="L32" s="33">
        <f t="shared" ref="L32:M32" si="30">C32+J32</f>
        <v>18</v>
      </c>
      <c r="M32" s="33">
        <f t="shared" si="30"/>
        <v>0</v>
      </c>
      <c r="N32" s="39" t="s">
        <v>37</v>
      </c>
      <c r="O32" s="73" t="s">
        <v>37</v>
      </c>
      <c r="P32" s="39">
        <f>if(F32=13,1,0)+VLOOKUP(B32,'7123'!B$5:P$56,15,false)</f>
        <v>0</v>
      </c>
      <c r="Q32" s="39"/>
      <c r="R32" s="39">
        <f>if(F32=9,1,0)+VLOOKUP(B32,'7123'!B:R,17,false)</f>
        <v>2</v>
      </c>
    </row>
    <row r="33">
      <c r="A33" s="25">
        <f t="shared" si="4"/>
        <v>29</v>
      </c>
      <c r="B33" s="36" t="s">
        <v>88</v>
      </c>
      <c r="C33" s="78">
        <v>9.0</v>
      </c>
      <c r="D33" s="78">
        <v>0.0</v>
      </c>
      <c r="E33" s="78">
        <v>1.0</v>
      </c>
      <c r="F33" s="39"/>
      <c r="G33" s="39">
        <v>3.0</v>
      </c>
      <c r="H33" s="39">
        <v>4.0</v>
      </c>
      <c r="I33" s="39">
        <v>6.0</v>
      </c>
      <c r="J33" s="71">
        <f t="shared" si="2"/>
        <v>13</v>
      </c>
      <c r="K33" s="39">
        <v>1.0</v>
      </c>
      <c r="L33" s="33">
        <f t="shared" ref="L33:M33" si="31">C33+J33</f>
        <v>22</v>
      </c>
      <c r="M33" s="33">
        <f t="shared" si="31"/>
        <v>1</v>
      </c>
      <c r="N33" s="39"/>
      <c r="O33" s="73" t="s">
        <v>37</v>
      </c>
      <c r="P33" s="39">
        <f>if(F33=13,1,0)+VLOOKUP(B33,'7123'!B$5:P$56,15,false)</f>
        <v>0</v>
      </c>
      <c r="Q33" s="39"/>
      <c r="R33" s="39">
        <f>if(F33=9,1,0)+VLOOKUP(B33,'7123'!B:R,17,false)</f>
        <v>1</v>
      </c>
    </row>
    <row r="34">
      <c r="A34" s="25">
        <f t="shared" si="4"/>
        <v>30</v>
      </c>
      <c r="B34" s="26" t="s">
        <v>61</v>
      </c>
      <c r="C34" s="78">
        <v>9.0</v>
      </c>
      <c r="D34" s="78">
        <v>0.0</v>
      </c>
      <c r="E34" s="78">
        <v>1.0</v>
      </c>
      <c r="F34" s="39"/>
      <c r="G34" s="39">
        <v>6.0</v>
      </c>
      <c r="H34" s="39">
        <v>6.0</v>
      </c>
      <c r="I34" s="39">
        <v>6.0</v>
      </c>
      <c r="J34" s="71">
        <f t="shared" si="2"/>
        <v>18</v>
      </c>
      <c r="K34" s="39">
        <v>3.0</v>
      </c>
      <c r="L34" s="33">
        <f t="shared" ref="L34:M34" si="32">C34+J34</f>
        <v>27</v>
      </c>
      <c r="M34" s="33">
        <f t="shared" si="32"/>
        <v>3</v>
      </c>
      <c r="N34" s="39" t="s">
        <v>37</v>
      </c>
      <c r="O34" s="73" t="s">
        <v>37</v>
      </c>
      <c r="P34" s="39">
        <f>if(F34=13,1,0)+VLOOKUP(B34,'7123'!B$5:P$56,15,false)</f>
        <v>0</v>
      </c>
      <c r="Q34" s="39"/>
      <c r="R34" s="39">
        <f>if(F34=9,1,0)+VLOOKUP(B34,'7123'!B:R,17,false)</f>
        <v>1</v>
      </c>
    </row>
    <row r="35">
      <c r="A35" s="25">
        <f t="shared" si="4"/>
        <v>31</v>
      </c>
      <c r="B35" s="36" t="s">
        <v>108</v>
      </c>
      <c r="C35" s="78">
        <v>9.0</v>
      </c>
      <c r="D35" s="78">
        <v>0.0</v>
      </c>
      <c r="E35" s="78">
        <v>1.0</v>
      </c>
      <c r="F35" s="39"/>
      <c r="G35" s="39">
        <v>3.0</v>
      </c>
      <c r="H35" s="39">
        <v>6.0</v>
      </c>
      <c r="I35" s="39">
        <v>0.0</v>
      </c>
      <c r="J35" s="71">
        <f t="shared" si="2"/>
        <v>9</v>
      </c>
      <c r="K35" s="39">
        <v>1.0</v>
      </c>
      <c r="L35" s="33">
        <f t="shared" ref="L35:M35" si="33">C35+J35</f>
        <v>18</v>
      </c>
      <c r="M35" s="33">
        <f t="shared" si="33"/>
        <v>1</v>
      </c>
      <c r="N35" s="39" t="s">
        <v>37</v>
      </c>
      <c r="O35" s="73" t="s">
        <v>37</v>
      </c>
      <c r="P35" s="39">
        <f>if(F35=13,1,0)+VLOOKUP(B35,'7123'!B$5:P$56,15,false)</f>
        <v>0</v>
      </c>
      <c r="Q35" s="39"/>
      <c r="R35" s="39">
        <f>if(F35=9,1,0)+VLOOKUP(B35,'7123'!B:R,17,false)</f>
        <v>1</v>
      </c>
    </row>
    <row r="36">
      <c r="A36" s="25">
        <f t="shared" si="4"/>
        <v>32</v>
      </c>
      <c r="B36" s="26" t="s">
        <v>51</v>
      </c>
      <c r="C36" s="78">
        <v>9.0</v>
      </c>
      <c r="D36" s="78">
        <v>0.0</v>
      </c>
      <c r="E36" s="78">
        <v>3.0</v>
      </c>
      <c r="F36" s="39">
        <v>9.0</v>
      </c>
      <c r="G36" s="39"/>
      <c r="H36" s="39"/>
      <c r="I36" s="39"/>
      <c r="J36" s="71">
        <f t="shared" si="2"/>
        <v>9</v>
      </c>
      <c r="K36" s="39"/>
      <c r="L36" s="33">
        <f t="shared" ref="L36:M36" si="34">C36+J36</f>
        <v>18</v>
      </c>
      <c r="M36" s="33">
        <f t="shared" si="34"/>
        <v>0</v>
      </c>
      <c r="N36" s="39" t="s">
        <v>37</v>
      </c>
      <c r="O36" s="73" t="s">
        <v>37</v>
      </c>
      <c r="P36" s="39">
        <f>if(F36=13,1,0)+VLOOKUP(B36,'7123'!B$5:P$56,15,false)</f>
        <v>0</v>
      </c>
      <c r="Q36" s="39"/>
      <c r="R36" s="39">
        <f>if(F36=9,1,0)+VLOOKUP(B36,'7123'!B:R,17,false)</f>
        <v>2</v>
      </c>
    </row>
    <row r="37">
      <c r="A37" s="25">
        <f t="shared" si="4"/>
        <v>33</v>
      </c>
      <c r="B37" s="36" t="s">
        <v>94</v>
      </c>
      <c r="C37" s="78">
        <v>9.0</v>
      </c>
      <c r="D37" s="78">
        <v>0.0</v>
      </c>
      <c r="E37" s="78">
        <v>1.0</v>
      </c>
      <c r="F37" s="39"/>
      <c r="G37" s="39">
        <v>6.0</v>
      </c>
      <c r="H37" s="39">
        <v>4.0</v>
      </c>
      <c r="I37" s="39">
        <v>0.0</v>
      </c>
      <c r="J37" s="71">
        <f t="shared" si="2"/>
        <v>10</v>
      </c>
      <c r="K37" s="39">
        <v>1.0</v>
      </c>
      <c r="L37" s="33">
        <f t="shared" ref="L37:M37" si="35">C37+J37</f>
        <v>19</v>
      </c>
      <c r="M37" s="33">
        <f t="shared" si="35"/>
        <v>1</v>
      </c>
      <c r="N37" s="39" t="s">
        <v>37</v>
      </c>
      <c r="O37" s="73" t="s">
        <v>37</v>
      </c>
      <c r="P37" s="39">
        <f>if(F37=13,1,0)+VLOOKUP(B37,'7123'!B$5:P$56,15,false)</f>
        <v>0</v>
      </c>
      <c r="Q37" s="39"/>
      <c r="R37" s="39">
        <f>if(F37=9,1,0)+VLOOKUP(B37,'7123'!B:R,17,false)</f>
        <v>1</v>
      </c>
    </row>
    <row r="38">
      <c r="A38" s="25">
        <f t="shared" si="4"/>
        <v>34</v>
      </c>
      <c r="B38" s="26" t="s">
        <v>105</v>
      </c>
      <c r="C38" s="78">
        <v>9.0</v>
      </c>
      <c r="D38" s="78">
        <v>0.0</v>
      </c>
      <c r="E38" s="78">
        <v>3.0</v>
      </c>
      <c r="F38" s="39">
        <v>9.0</v>
      </c>
      <c r="G38" s="39"/>
      <c r="H38" s="39"/>
      <c r="I38" s="39"/>
      <c r="J38" s="71">
        <f t="shared" si="2"/>
        <v>9</v>
      </c>
      <c r="K38" s="39"/>
      <c r="L38" s="33">
        <f t="shared" ref="L38:M38" si="36">C38+J38</f>
        <v>18</v>
      </c>
      <c r="M38" s="33">
        <f t="shared" si="36"/>
        <v>0</v>
      </c>
      <c r="N38" s="39" t="s">
        <v>37</v>
      </c>
      <c r="O38" s="73" t="s">
        <v>37</v>
      </c>
      <c r="P38" s="39">
        <f>if(F38=13,1,0)+VLOOKUP(B38,'7123'!B$5:P$56,15,false)</f>
        <v>0</v>
      </c>
      <c r="Q38" s="39"/>
      <c r="R38" s="39">
        <f>if(F38=9,1,0)+VLOOKUP(B38,'7123'!B:R,17,false)</f>
        <v>2</v>
      </c>
    </row>
    <row r="39">
      <c r="A39" s="25">
        <f t="shared" si="4"/>
        <v>35</v>
      </c>
      <c r="B39" s="36" t="s">
        <v>104</v>
      </c>
      <c r="C39" s="78">
        <v>9.0</v>
      </c>
      <c r="D39" s="78">
        <v>0.0</v>
      </c>
      <c r="E39" s="78">
        <v>3.0</v>
      </c>
      <c r="F39" s="39">
        <v>9.0</v>
      </c>
      <c r="G39" s="39"/>
      <c r="H39" s="39"/>
      <c r="I39" s="39"/>
      <c r="J39" s="71">
        <f t="shared" si="2"/>
        <v>9</v>
      </c>
      <c r="K39" s="39"/>
      <c r="L39" s="33">
        <f t="shared" ref="L39:M39" si="37">C39+J39</f>
        <v>18</v>
      </c>
      <c r="M39" s="33">
        <f t="shared" si="37"/>
        <v>0</v>
      </c>
      <c r="N39" s="39" t="s">
        <v>37</v>
      </c>
      <c r="O39" s="73" t="s">
        <v>37</v>
      </c>
      <c r="P39" s="39">
        <f>if(F39=13,1,0)+VLOOKUP(B39,'7123'!B$5:P$56,15,false)</f>
        <v>0</v>
      </c>
      <c r="Q39" s="39"/>
      <c r="R39" s="39">
        <f>if(F39=9,1,0)+VLOOKUP(B39,'7123'!B:R,17,false)</f>
        <v>2</v>
      </c>
    </row>
    <row r="40">
      <c r="A40" s="25">
        <f t="shared" si="4"/>
        <v>36</v>
      </c>
      <c r="B40" s="36" t="s">
        <v>93</v>
      </c>
      <c r="C40" s="78">
        <v>9.0</v>
      </c>
      <c r="D40" s="78">
        <v>0.0</v>
      </c>
      <c r="E40" s="78">
        <v>3.0</v>
      </c>
      <c r="F40" s="39">
        <v>9.0</v>
      </c>
      <c r="G40" s="39"/>
      <c r="H40" s="39"/>
      <c r="I40" s="39"/>
      <c r="J40" s="71">
        <f t="shared" si="2"/>
        <v>9</v>
      </c>
      <c r="K40" s="39"/>
      <c r="L40" s="33">
        <f t="shared" ref="L40:M40" si="38">C40+J40</f>
        <v>18</v>
      </c>
      <c r="M40" s="33">
        <f t="shared" si="38"/>
        <v>0</v>
      </c>
      <c r="N40" s="39" t="s">
        <v>37</v>
      </c>
      <c r="O40" s="73" t="s">
        <v>37</v>
      </c>
      <c r="P40" s="39">
        <f>if(F40=13,1,0)+VLOOKUP(B40,'7123'!B$5:P$56,15,false)</f>
        <v>0</v>
      </c>
      <c r="Q40" s="39"/>
      <c r="R40" s="39">
        <f>if(F40=9,1,0)+VLOOKUP(B40,'7123'!B:R,17,false)</f>
        <v>2</v>
      </c>
    </row>
    <row r="41">
      <c r="A41" s="25">
        <f t="shared" si="4"/>
        <v>37</v>
      </c>
      <c r="B41" s="36" t="s">
        <v>83</v>
      </c>
      <c r="C41" s="78">
        <v>9.0</v>
      </c>
      <c r="D41" s="78">
        <v>0.0</v>
      </c>
      <c r="E41" s="78">
        <v>3.0</v>
      </c>
      <c r="F41" s="39">
        <v>9.0</v>
      </c>
      <c r="G41" s="39"/>
      <c r="H41" s="39"/>
      <c r="I41" s="39"/>
      <c r="J41" s="71">
        <f t="shared" si="2"/>
        <v>9</v>
      </c>
      <c r="K41" s="39"/>
      <c r="L41" s="33">
        <f t="shared" ref="L41:M41" si="39">C41+J41</f>
        <v>18</v>
      </c>
      <c r="M41" s="33">
        <f t="shared" si="39"/>
        <v>0</v>
      </c>
      <c r="N41" s="39" t="s">
        <v>37</v>
      </c>
      <c r="O41" s="73" t="s">
        <v>37</v>
      </c>
      <c r="P41" s="39">
        <v>0.0</v>
      </c>
      <c r="Q41" s="39"/>
      <c r="R41" s="39">
        <v>1.0</v>
      </c>
    </row>
    <row r="42">
      <c r="A42" s="25">
        <f t="shared" si="4"/>
        <v>38</v>
      </c>
      <c r="B42" s="26" t="s">
        <v>34</v>
      </c>
      <c r="C42" s="78">
        <v>9.0</v>
      </c>
      <c r="D42" s="78">
        <v>0.0</v>
      </c>
      <c r="E42" s="78">
        <v>3.0</v>
      </c>
      <c r="F42" s="39">
        <v>9.0</v>
      </c>
      <c r="G42" s="39"/>
      <c r="H42" s="39"/>
      <c r="I42" s="39"/>
      <c r="J42" s="71">
        <f t="shared" si="2"/>
        <v>9</v>
      </c>
      <c r="K42" s="39"/>
      <c r="L42" s="33">
        <f t="shared" ref="L42:M42" si="40">C42+J42</f>
        <v>18</v>
      </c>
      <c r="M42" s="33">
        <f t="shared" si="40"/>
        <v>0</v>
      </c>
      <c r="N42" s="39" t="s">
        <v>37</v>
      </c>
      <c r="O42" s="73" t="s">
        <v>37</v>
      </c>
      <c r="P42" s="39">
        <f>if(F42=13,1,0)+VLOOKUP(B42,'7123'!B$5:P$56,15,false)</f>
        <v>0</v>
      </c>
      <c r="Q42" s="39"/>
      <c r="R42" s="39">
        <f>if(F42=9,1,0)+VLOOKUP(B42,'7123'!B:R,17,false)</f>
        <v>2</v>
      </c>
    </row>
    <row r="43">
      <c r="A43" s="25">
        <f t="shared" si="4"/>
        <v>39</v>
      </c>
      <c r="B43" s="26" t="s">
        <v>47</v>
      </c>
      <c r="C43" s="78">
        <v>9.0</v>
      </c>
      <c r="D43" s="78">
        <v>0.0</v>
      </c>
      <c r="E43" s="78">
        <v>2.0</v>
      </c>
      <c r="F43" s="39"/>
      <c r="G43" s="39">
        <v>6.0</v>
      </c>
      <c r="H43" s="39">
        <v>6.0</v>
      </c>
      <c r="I43" s="39">
        <v>6.0</v>
      </c>
      <c r="J43" s="71">
        <f t="shared" si="2"/>
        <v>18</v>
      </c>
      <c r="K43" s="39">
        <v>2.0</v>
      </c>
      <c r="L43" s="33">
        <f t="shared" ref="L43:M43" si="41">C43+J43</f>
        <v>27</v>
      </c>
      <c r="M43" s="33">
        <f t="shared" si="41"/>
        <v>2</v>
      </c>
      <c r="N43" s="39" t="s">
        <v>37</v>
      </c>
      <c r="O43" s="73" t="s">
        <v>37</v>
      </c>
      <c r="P43" s="39">
        <f>if(F43=13,1,0)+VLOOKUP(B43,'7123'!B$5:P$56,15,false)</f>
        <v>0</v>
      </c>
      <c r="Q43" s="39"/>
      <c r="R43" s="39">
        <f>if(F43=9,1,0)+VLOOKUP(B43,'7123'!B:R,17,false)</f>
        <v>1</v>
      </c>
    </row>
    <row r="44">
      <c r="A44" s="25">
        <f t="shared" si="4"/>
        <v>40</v>
      </c>
      <c r="B44" s="26" t="s">
        <v>65</v>
      </c>
      <c r="C44" s="78">
        <v>9.0</v>
      </c>
      <c r="D44" s="78">
        <v>0.0</v>
      </c>
      <c r="E44" s="78">
        <v>1.0</v>
      </c>
      <c r="F44" s="39"/>
      <c r="G44" s="39">
        <v>6.0</v>
      </c>
      <c r="H44" s="39">
        <v>4.0</v>
      </c>
      <c r="I44" s="39">
        <v>7.0</v>
      </c>
      <c r="J44" s="71">
        <f t="shared" si="2"/>
        <v>17</v>
      </c>
      <c r="K44" s="39">
        <v>2.0</v>
      </c>
      <c r="L44" s="33">
        <f t="shared" ref="L44:M44" si="42">C44+J44</f>
        <v>26</v>
      </c>
      <c r="M44" s="33">
        <f t="shared" si="42"/>
        <v>2</v>
      </c>
      <c r="N44" s="39" t="s">
        <v>37</v>
      </c>
      <c r="O44" s="73" t="s">
        <v>37</v>
      </c>
      <c r="P44" s="39">
        <f>if(F44=13,1,0)+VLOOKUP(B44,'7123'!B$5:P$56,15,false)</f>
        <v>0</v>
      </c>
      <c r="Q44" s="39"/>
      <c r="R44" s="39">
        <f>if(F44=9,1,0)+VLOOKUP(B44,'7123'!B:R,17,false)</f>
        <v>1</v>
      </c>
    </row>
    <row r="45">
      <c r="A45" s="25">
        <f t="shared" si="4"/>
        <v>41</v>
      </c>
      <c r="B45" s="36" t="s">
        <v>76</v>
      </c>
      <c r="C45" s="78">
        <v>9.0</v>
      </c>
      <c r="D45" s="78">
        <v>0.0</v>
      </c>
      <c r="E45" s="78">
        <v>3.0</v>
      </c>
      <c r="F45" s="39">
        <v>9.0</v>
      </c>
      <c r="G45" s="39"/>
      <c r="H45" s="39"/>
      <c r="I45" s="39"/>
      <c r="J45" s="71">
        <f t="shared" si="2"/>
        <v>9</v>
      </c>
      <c r="K45" s="39"/>
      <c r="L45" s="33">
        <f t="shared" ref="L45:M45" si="43">C45+J45</f>
        <v>18</v>
      </c>
      <c r="M45" s="33">
        <f t="shared" si="43"/>
        <v>0</v>
      </c>
      <c r="N45" s="39" t="s">
        <v>37</v>
      </c>
      <c r="O45" s="73" t="s">
        <v>37</v>
      </c>
      <c r="P45" s="39">
        <f>if(F45=13,1,0)+VLOOKUP(B45,'7123'!B$5:P$56,15,false)</f>
        <v>0</v>
      </c>
      <c r="Q45" s="39"/>
      <c r="R45" s="39">
        <f>if(F45=9,1,0)+VLOOKUP(B45,'7123'!B:R,17,false)</f>
        <v>2</v>
      </c>
    </row>
    <row r="46">
      <c r="A46" s="25">
        <f t="shared" si="4"/>
        <v>42</v>
      </c>
      <c r="B46" s="36" t="s">
        <v>81</v>
      </c>
      <c r="C46" s="78">
        <v>9.0</v>
      </c>
      <c r="D46" s="78">
        <v>0.0</v>
      </c>
      <c r="E46" s="78">
        <v>1.0</v>
      </c>
      <c r="F46" s="39"/>
      <c r="G46" s="39">
        <v>0.0</v>
      </c>
      <c r="H46" s="39">
        <v>4.0</v>
      </c>
      <c r="I46" s="39">
        <v>6.0</v>
      </c>
      <c r="J46" s="71">
        <f t="shared" si="2"/>
        <v>10</v>
      </c>
      <c r="K46" s="39">
        <v>0.0</v>
      </c>
      <c r="L46" s="33">
        <f t="shared" ref="L46:M46" si="44">C46+J46</f>
        <v>19</v>
      </c>
      <c r="M46" s="33">
        <f t="shared" si="44"/>
        <v>0</v>
      </c>
      <c r="N46" s="39"/>
      <c r="O46" s="73" t="s">
        <v>37</v>
      </c>
      <c r="P46" s="39">
        <v>0.0</v>
      </c>
      <c r="Q46" s="39"/>
      <c r="R46" s="39">
        <v>1.0</v>
      </c>
    </row>
    <row r="47">
      <c r="A47" s="25">
        <f t="shared" si="4"/>
        <v>43</v>
      </c>
      <c r="B47" s="26" t="s">
        <v>95</v>
      </c>
      <c r="C47" s="78">
        <v>9.0</v>
      </c>
      <c r="D47" s="78">
        <v>0.0</v>
      </c>
      <c r="E47" s="78">
        <v>3.0</v>
      </c>
      <c r="F47" s="39">
        <v>9.0</v>
      </c>
      <c r="G47" s="39"/>
      <c r="H47" s="39"/>
      <c r="I47" s="39"/>
      <c r="J47" s="71">
        <f t="shared" si="2"/>
        <v>9</v>
      </c>
      <c r="K47" s="39"/>
      <c r="L47" s="33">
        <f t="shared" ref="L47:M47" si="45">C47+J47</f>
        <v>18</v>
      </c>
      <c r="M47" s="33">
        <f t="shared" si="45"/>
        <v>0</v>
      </c>
      <c r="N47" s="39" t="s">
        <v>37</v>
      </c>
      <c r="O47" s="73" t="s">
        <v>37</v>
      </c>
      <c r="P47" s="39">
        <f>if(F47=13,1,0)+VLOOKUP(B47,'7123'!B$5:P$56,15,false)</f>
        <v>0</v>
      </c>
      <c r="Q47" s="39"/>
      <c r="R47" s="39">
        <f>if(F47=9,1,0)+VLOOKUP(B47,'7123'!B:R,17,false)</f>
        <v>2</v>
      </c>
    </row>
    <row r="48">
      <c r="A48" s="25">
        <f t="shared" si="4"/>
        <v>44</v>
      </c>
      <c r="B48" s="26" t="s">
        <v>103</v>
      </c>
      <c r="C48" s="78">
        <v>9.0</v>
      </c>
      <c r="D48" s="78">
        <v>0.0</v>
      </c>
      <c r="E48" s="78">
        <v>3.0</v>
      </c>
      <c r="F48" s="39">
        <v>9.0</v>
      </c>
      <c r="G48" s="39"/>
      <c r="H48" s="39"/>
      <c r="I48" s="39"/>
      <c r="J48" s="71">
        <f t="shared" si="2"/>
        <v>9</v>
      </c>
      <c r="K48" s="39"/>
      <c r="L48" s="33">
        <f t="shared" ref="L48:M48" si="46">C48+J48</f>
        <v>18</v>
      </c>
      <c r="M48" s="33">
        <f t="shared" si="46"/>
        <v>0</v>
      </c>
      <c r="N48" s="39" t="s">
        <v>37</v>
      </c>
      <c r="O48" s="73" t="s">
        <v>37</v>
      </c>
      <c r="P48" s="39">
        <f>if(F48=13,1,0)+VLOOKUP(B48,'7123'!B$5:P$56,15,false)</f>
        <v>0</v>
      </c>
      <c r="Q48" s="39"/>
      <c r="R48" s="39">
        <f>if(F48=9,1,0)+VLOOKUP(B48,'7123'!B:R,17,false)</f>
        <v>2</v>
      </c>
    </row>
    <row r="49">
      <c r="A49" s="25">
        <f t="shared" si="4"/>
        <v>45</v>
      </c>
      <c r="B49" s="26" t="s">
        <v>64</v>
      </c>
      <c r="C49" s="78">
        <v>9.0</v>
      </c>
      <c r="D49" s="78">
        <v>0.0</v>
      </c>
      <c r="E49" s="78">
        <v>3.0</v>
      </c>
      <c r="F49" s="39">
        <v>9.0</v>
      </c>
      <c r="G49" s="39"/>
      <c r="H49" s="39"/>
      <c r="I49" s="39"/>
      <c r="J49" s="71">
        <f t="shared" si="2"/>
        <v>9</v>
      </c>
      <c r="K49" s="39"/>
      <c r="L49" s="33">
        <f t="shared" ref="L49:M49" si="47">C49+J49</f>
        <v>18</v>
      </c>
      <c r="M49" s="33">
        <f t="shared" si="47"/>
        <v>0</v>
      </c>
      <c r="N49" s="39" t="s">
        <v>37</v>
      </c>
      <c r="O49" s="73" t="s">
        <v>37</v>
      </c>
      <c r="P49" s="39">
        <f>if(F49=13,1,0)+VLOOKUP(B49,'7123'!B$5:P$56,15,false)</f>
        <v>0</v>
      </c>
      <c r="Q49" s="39"/>
      <c r="R49" s="39">
        <f>if(F49=9,1,0)+VLOOKUP(B49,'7123'!B:R,17,false)</f>
        <v>2</v>
      </c>
    </row>
    <row r="50">
      <c r="A50" s="25">
        <f t="shared" si="4"/>
        <v>46</v>
      </c>
      <c r="B50" s="26" t="s">
        <v>87</v>
      </c>
      <c r="C50" s="78">
        <v>9.0</v>
      </c>
      <c r="D50" s="78">
        <v>0.0</v>
      </c>
      <c r="E50" s="78">
        <v>3.0</v>
      </c>
      <c r="F50" s="39">
        <v>9.0</v>
      </c>
      <c r="G50" s="39"/>
      <c r="H50" s="39"/>
      <c r="I50" s="39"/>
      <c r="J50" s="71">
        <f t="shared" si="2"/>
        <v>9</v>
      </c>
      <c r="K50" s="39"/>
      <c r="L50" s="33">
        <f t="shared" ref="L50:M50" si="48">C50+J50</f>
        <v>18</v>
      </c>
      <c r="M50" s="33">
        <f t="shared" si="48"/>
        <v>0</v>
      </c>
      <c r="N50" s="39" t="s">
        <v>37</v>
      </c>
      <c r="O50" s="73" t="s">
        <v>37</v>
      </c>
      <c r="P50" s="39">
        <f>if(F50=13,1,0)+VLOOKUP(B50,'7123'!B$5:P$56,15,false)</f>
        <v>0</v>
      </c>
      <c r="Q50" s="39"/>
      <c r="R50" s="39">
        <f>if(F50=9,1,0)+VLOOKUP(B50,'7123'!B:R,17,false)</f>
        <v>2</v>
      </c>
    </row>
    <row r="51">
      <c r="A51" s="25">
        <f t="shared" si="4"/>
        <v>47</v>
      </c>
      <c r="B51" s="26" t="s">
        <v>78</v>
      </c>
      <c r="C51" s="78">
        <v>8.0</v>
      </c>
      <c r="D51" s="78">
        <v>0.0</v>
      </c>
      <c r="E51" s="78">
        <v>1.0</v>
      </c>
      <c r="F51" s="39"/>
      <c r="G51" s="39">
        <v>0.0</v>
      </c>
      <c r="H51" s="39">
        <v>6.0</v>
      </c>
      <c r="I51" s="39">
        <v>7.0</v>
      </c>
      <c r="J51" s="71">
        <f t="shared" si="2"/>
        <v>13</v>
      </c>
      <c r="K51" s="39">
        <v>2.0</v>
      </c>
      <c r="L51" s="33">
        <f t="shared" ref="L51:M51" si="49">C51+J51</f>
        <v>21</v>
      </c>
      <c r="M51" s="33">
        <f t="shared" si="49"/>
        <v>2</v>
      </c>
      <c r="N51" s="39" t="s">
        <v>37</v>
      </c>
      <c r="O51" s="73" t="s">
        <v>37</v>
      </c>
      <c r="P51" s="39">
        <f>if(F51=13,1,0)+VLOOKUP(B51,'7123'!B$5:P$56,15,false)</f>
        <v>0</v>
      </c>
      <c r="Q51" s="39"/>
      <c r="R51" s="39">
        <f>if(F51=9,1,0)+VLOOKUP(B51,'7123'!B:R,17,false)</f>
        <v>0</v>
      </c>
    </row>
    <row r="52">
      <c r="A52" s="25">
        <f t="shared" si="4"/>
        <v>48</v>
      </c>
      <c r="B52" s="26" t="s">
        <v>89</v>
      </c>
      <c r="C52" s="78">
        <v>8.0</v>
      </c>
      <c r="D52" s="78">
        <v>0.0</v>
      </c>
      <c r="E52" s="78">
        <v>1.0</v>
      </c>
      <c r="F52" s="39"/>
      <c r="G52" s="39">
        <v>6.0</v>
      </c>
      <c r="H52" s="39">
        <v>1.0</v>
      </c>
      <c r="I52" s="39">
        <v>2.0</v>
      </c>
      <c r="J52" s="71">
        <f t="shared" si="2"/>
        <v>9</v>
      </c>
      <c r="K52" s="39">
        <v>1.0</v>
      </c>
      <c r="L52" s="33">
        <f t="shared" ref="L52:M52" si="50">C52+J52</f>
        <v>17</v>
      </c>
      <c r="M52" s="33">
        <f t="shared" si="50"/>
        <v>1</v>
      </c>
      <c r="N52" s="39" t="s">
        <v>37</v>
      </c>
      <c r="O52" s="73" t="s">
        <v>37</v>
      </c>
      <c r="P52" s="39">
        <f>if(F52=13,1,0)+VLOOKUP(B52,'7123'!B$5:P$56,15,false)</f>
        <v>0</v>
      </c>
      <c r="Q52" s="39"/>
      <c r="R52" s="39">
        <f>if(F52=9,1,0)+VLOOKUP(B52,'7123'!B:R,17,false)</f>
        <v>0</v>
      </c>
    </row>
    <row r="53">
      <c r="A53" s="25">
        <f t="shared" si="4"/>
        <v>49</v>
      </c>
      <c r="B53" s="26" t="s">
        <v>90</v>
      </c>
      <c r="C53" s="78">
        <v>5.0</v>
      </c>
      <c r="D53" s="78">
        <v>0.0</v>
      </c>
      <c r="E53" s="78">
        <v>1.0</v>
      </c>
      <c r="F53" s="39"/>
      <c r="G53" s="39">
        <v>3.0</v>
      </c>
      <c r="H53" s="39">
        <v>1.0</v>
      </c>
      <c r="I53" s="39">
        <v>6.0</v>
      </c>
      <c r="J53" s="71">
        <f t="shared" si="2"/>
        <v>10</v>
      </c>
      <c r="K53" s="39">
        <v>1.0</v>
      </c>
      <c r="L53" s="33">
        <f t="shared" ref="L53:M53" si="51">C53+J53</f>
        <v>15</v>
      </c>
      <c r="M53" s="33">
        <f t="shared" si="51"/>
        <v>1</v>
      </c>
      <c r="N53" s="39" t="s">
        <v>37</v>
      </c>
      <c r="O53" s="73" t="s">
        <v>37</v>
      </c>
      <c r="P53" s="39">
        <f>if(F53=13,1,0)+VLOOKUP(B53,'7123'!B$5:P$56,15,false)</f>
        <v>0</v>
      </c>
      <c r="Q53" s="39"/>
      <c r="R53" s="39">
        <f>if(F53=9,1,0)+VLOOKUP(B53,'7123'!B:R,17,false)</f>
        <v>0</v>
      </c>
    </row>
    <row r="54">
      <c r="A54" s="25">
        <f t="shared" si="4"/>
        <v>50</v>
      </c>
      <c r="B54" s="36" t="s">
        <v>85</v>
      </c>
      <c r="C54" s="78">
        <v>4.0</v>
      </c>
      <c r="D54" s="78">
        <v>0.0</v>
      </c>
      <c r="E54" s="78">
        <v>3.0</v>
      </c>
      <c r="F54" s="39">
        <v>9.0</v>
      </c>
      <c r="G54" s="39"/>
      <c r="H54" s="39"/>
      <c r="I54" s="39"/>
      <c r="J54" s="71">
        <f t="shared" si="2"/>
        <v>9</v>
      </c>
      <c r="K54" s="39"/>
      <c r="L54" s="33">
        <f t="shared" ref="L54:M54" si="52">C54+J54</f>
        <v>13</v>
      </c>
      <c r="M54" s="33">
        <f t="shared" si="52"/>
        <v>0</v>
      </c>
      <c r="N54" s="39" t="s">
        <v>37</v>
      </c>
      <c r="O54" s="73" t="s">
        <v>37</v>
      </c>
      <c r="P54" s="39">
        <f>if(F54=13,1,0)+VLOOKUP(B54,'7123'!B$5:P$56,15,false)</f>
        <v>0</v>
      </c>
      <c r="Q54" s="39"/>
      <c r="R54" s="39">
        <f>if(F54=9,1,0)+VLOOKUP(B54,'7123'!B:R,17,false)</f>
        <v>1</v>
      </c>
    </row>
    <row r="55">
      <c r="A55" s="25">
        <f t="shared" si="4"/>
        <v>51</v>
      </c>
      <c r="B55" s="26" t="s">
        <v>71</v>
      </c>
      <c r="C55" s="78">
        <v>3.0</v>
      </c>
      <c r="D55" s="78">
        <v>0.0</v>
      </c>
      <c r="E55" s="78">
        <v>1.0</v>
      </c>
      <c r="F55" s="39"/>
      <c r="G55" s="39">
        <v>6.0</v>
      </c>
      <c r="H55" s="39">
        <v>6.0</v>
      </c>
      <c r="I55" s="39">
        <v>6.0</v>
      </c>
      <c r="J55" s="71">
        <f t="shared" si="2"/>
        <v>18</v>
      </c>
      <c r="K55" s="39">
        <v>3.0</v>
      </c>
      <c r="L55" s="33">
        <f t="shared" ref="L55:M55" si="53">C55+J55</f>
        <v>21</v>
      </c>
      <c r="M55" s="33">
        <f t="shared" si="53"/>
        <v>3</v>
      </c>
      <c r="N55" s="39" t="s">
        <v>37</v>
      </c>
      <c r="O55" s="73" t="s">
        <v>37</v>
      </c>
      <c r="P55" s="39">
        <f>if(F55=13,1,0)+VLOOKUP(B55,'7123'!B$5:P$56,15,false)</f>
        <v>0</v>
      </c>
      <c r="Q55" s="39">
        <v>2.0</v>
      </c>
      <c r="R55" s="39">
        <f>if(F55=9,1,0)+VLOOKUP(B55,'7123'!B:R,17,false)</f>
        <v>0</v>
      </c>
    </row>
    <row r="56">
      <c r="A56" s="25">
        <f t="shared" si="4"/>
        <v>52</v>
      </c>
      <c r="B56" s="36" t="s">
        <v>97</v>
      </c>
      <c r="C56" s="78">
        <v>3.0</v>
      </c>
      <c r="D56" s="78">
        <v>0.0</v>
      </c>
      <c r="E56" s="78">
        <v>1.0</v>
      </c>
      <c r="F56" s="39"/>
      <c r="G56" s="39">
        <v>3.0</v>
      </c>
      <c r="H56" s="39">
        <v>6.0</v>
      </c>
      <c r="I56" s="39">
        <v>2.0</v>
      </c>
      <c r="J56" s="71">
        <f t="shared" si="2"/>
        <v>11</v>
      </c>
      <c r="K56" s="39">
        <v>1.0</v>
      </c>
      <c r="L56" s="33">
        <f t="shared" ref="L56:M56" si="54">C56+J56</f>
        <v>14</v>
      </c>
      <c r="M56" s="33">
        <f t="shared" si="54"/>
        <v>1</v>
      </c>
      <c r="N56" s="39" t="s">
        <v>37</v>
      </c>
      <c r="O56" s="73" t="s">
        <v>37</v>
      </c>
      <c r="P56" s="39">
        <f>if(F56=13,1,0)+VLOOKUP(B56,'7123'!B$5:P$56,15,false)</f>
        <v>0</v>
      </c>
      <c r="Q56" s="39"/>
      <c r="R56" s="39">
        <f>if(F56=9,1,0)+VLOOKUP(B56,'7123'!B:R,17,false)</f>
        <v>0</v>
      </c>
    </row>
    <row r="57">
      <c r="A57" s="1"/>
      <c r="C57" s="1"/>
      <c r="D57" s="1"/>
      <c r="E57" s="1"/>
      <c r="O57" s="1"/>
    </row>
    <row r="58">
      <c r="A58" s="1"/>
      <c r="B58" s="39">
        <f>COUNTA(B5:B56)</f>
        <v>52</v>
      </c>
      <c r="C58" s="1"/>
      <c r="D58" s="1"/>
      <c r="E58" s="1"/>
      <c r="N58" s="34" t="s">
        <v>110</v>
      </c>
      <c r="O58" s="40">
        <f>COUNTA(O5:O56)</f>
        <v>51</v>
      </c>
    </row>
    <row r="59">
      <c r="A59" s="1"/>
      <c r="C59" s="1"/>
      <c r="D59" s="1"/>
      <c r="E59" s="1"/>
      <c r="N59" s="34" t="s">
        <v>111</v>
      </c>
      <c r="O59" s="40">
        <f>O60-O58</f>
        <v>1</v>
      </c>
    </row>
    <row r="60">
      <c r="A60" s="1"/>
      <c r="C60" s="1"/>
      <c r="D60" s="1"/>
      <c r="I60" s="74">
        <v>0.0</v>
      </c>
      <c r="J60" s="75" t="s">
        <v>12</v>
      </c>
      <c r="K60" s="76">
        <f t="shared" ref="K60:K63" si="55">COUNTIF(E$5:E$56,I60)</f>
        <v>0</v>
      </c>
      <c r="N60" s="34" t="s">
        <v>41</v>
      </c>
      <c r="O60" s="40">
        <f>B58</f>
        <v>52</v>
      </c>
    </row>
    <row r="61">
      <c r="A61" s="1"/>
      <c r="C61" s="1"/>
      <c r="D61" s="1"/>
      <c r="I61" s="74">
        <v>1.0</v>
      </c>
      <c r="J61" s="75" t="s">
        <v>122</v>
      </c>
      <c r="K61" s="76">
        <f t="shared" si="55"/>
        <v>22</v>
      </c>
    </row>
    <row r="62">
      <c r="A62" s="1"/>
      <c r="C62" s="1"/>
      <c r="D62" s="1"/>
      <c r="I62" s="74">
        <v>2.0</v>
      </c>
      <c r="J62" s="75" t="s">
        <v>123</v>
      </c>
      <c r="K62" s="76">
        <f t="shared" si="55"/>
        <v>6</v>
      </c>
    </row>
    <row r="63">
      <c r="A63" s="1"/>
      <c r="C63" s="1"/>
      <c r="D63" s="1"/>
      <c r="I63" s="74">
        <v>3.0</v>
      </c>
      <c r="J63" s="75" t="s">
        <v>39</v>
      </c>
      <c r="K63" s="76">
        <f t="shared" si="55"/>
        <v>24</v>
      </c>
    </row>
    <row r="64">
      <c r="A64" s="1"/>
      <c r="C64" s="1"/>
      <c r="D64" s="1"/>
      <c r="I64" s="74">
        <v>4.0</v>
      </c>
      <c r="J64" s="75" t="s">
        <v>124</v>
      </c>
      <c r="K64" s="76">
        <f>sum(G61:G64)</f>
        <v>0</v>
      </c>
    </row>
    <row r="65">
      <c r="A65" s="1"/>
      <c r="C65" s="1"/>
      <c r="D65" s="1"/>
      <c r="E65" s="1"/>
      <c r="J65" s="75" t="s">
        <v>41</v>
      </c>
      <c r="K65" s="76">
        <f>sum(K60:K64)</f>
        <v>52</v>
      </c>
    </row>
    <row r="66">
      <c r="A66" s="1"/>
      <c r="C66" s="1"/>
      <c r="D66" s="1"/>
      <c r="E66" s="1"/>
      <c r="J66" s="34"/>
      <c r="K66" s="47"/>
    </row>
    <row r="67">
      <c r="A67" s="1"/>
      <c r="C67" s="1"/>
      <c r="D67" s="1"/>
      <c r="E67" s="1"/>
    </row>
    <row r="68">
      <c r="A68" s="1"/>
      <c r="C68" s="1"/>
      <c r="D68" s="1"/>
      <c r="E68" s="1"/>
    </row>
    <row r="69">
      <c r="A69" s="1"/>
      <c r="C69" s="1"/>
      <c r="D69" s="1"/>
      <c r="E69" s="1"/>
      <c r="J69" s="14" t="s">
        <v>122</v>
      </c>
      <c r="K69" s="13">
        <f>K61+K62+K64</f>
        <v>28</v>
      </c>
    </row>
    <row r="70">
      <c r="A70" s="1"/>
      <c r="C70" s="1"/>
      <c r="D70" s="1"/>
      <c r="E70" s="1"/>
      <c r="J70" s="14" t="s">
        <v>39</v>
      </c>
      <c r="K70" s="13">
        <f>K63</f>
        <v>24</v>
      </c>
    </row>
    <row r="71">
      <c r="A71" s="1"/>
      <c r="C71" s="1"/>
      <c r="D71" s="1"/>
      <c r="E71" s="1"/>
      <c r="J71" s="14" t="s">
        <v>40</v>
      </c>
      <c r="K71" s="13">
        <f>K60</f>
        <v>0</v>
      </c>
    </row>
    <row r="72">
      <c r="A72" s="1"/>
      <c r="C72" s="1"/>
      <c r="D72" s="1"/>
      <c r="E72" s="1"/>
      <c r="J72" s="14" t="s">
        <v>41</v>
      </c>
      <c r="K72" s="13">
        <f>SUM(K69:K71)</f>
        <v>52</v>
      </c>
    </row>
    <row r="73">
      <c r="A73" s="1"/>
      <c r="C73" s="1"/>
      <c r="D73" s="1"/>
      <c r="E73" s="1"/>
    </row>
    <row r="74">
      <c r="A74" s="1"/>
      <c r="C74" s="1"/>
      <c r="D74" s="1"/>
      <c r="E74" s="1"/>
    </row>
    <row r="75">
      <c r="A75" s="1"/>
      <c r="C75" s="1"/>
      <c r="D75" s="1"/>
      <c r="E75" s="1"/>
    </row>
    <row r="76">
      <c r="A76" s="1"/>
      <c r="C76" s="1"/>
      <c r="D76" s="1"/>
      <c r="E76" s="1"/>
    </row>
    <row r="77">
      <c r="A77" s="1"/>
      <c r="C77" s="1"/>
      <c r="D77" s="1"/>
      <c r="E77" s="1"/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D1"/>
    <mergeCell ref="G1:I1"/>
    <mergeCell ref="J1:K1"/>
    <mergeCell ref="B2:C2"/>
    <mergeCell ref="L3:M3"/>
  </mergeCells>
  <conditionalFormatting sqref="J5:J56">
    <cfRule type="expression" dxfId="0" priority="1">
      <formula> J5&gt;=18</formula>
    </cfRule>
  </conditionalFormatting>
  <conditionalFormatting sqref="F10:M10">
    <cfRule type="expression" dxfId="1" priority="2">
      <formula>iseven</formula>
    </cfRule>
  </conditionalFormatting>
  <conditionalFormatting sqref="B5:B56">
    <cfRule type="expression" dxfId="0" priority="3">
      <formula>E5=1</formula>
    </cfRule>
  </conditionalFormatting>
  <conditionalFormatting sqref="B5:B56">
    <cfRule type="expression" dxfId="2" priority="4">
      <formula>E5=2</formula>
    </cfRule>
  </conditionalFormatting>
  <conditionalFormatting sqref="B5:B56">
    <cfRule type="expression" dxfId="3" priority="5">
      <formula>E5=3</formula>
    </cfRule>
  </conditionalFormatting>
  <conditionalFormatting sqref="B5:B56">
    <cfRule type="expression" dxfId="4" priority="6">
      <formula>E5=4</formula>
    </cfRule>
  </conditionalFormatting>
  <conditionalFormatting sqref="K66">
    <cfRule type="containsText" dxfId="0" priority="7" operator="containsText" text="Good">
      <formula>NOT(ISERROR(SEARCH(("Good"),(K66))))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5.38"/>
    <col customWidth="1" min="3" max="4" width="8.63"/>
    <col customWidth="1" min="5" max="5" width="8.5"/>
    <col customWidth="1" min="6" max="7" width="5.63"/>
    <col customWidth="1" min="8" max="8" width="5.0"/>
    <col customWidth="1" min="9" max="9" width="5.13"/>
    <col customWidth="1" min="10" max="10" width="9.38"/>
    <col customWidth="1" min="11" max="11" width="6.13"/>
    <col customWidth="1" min="12" max="12" width="9.0"/>
    <col customWidth="1" min="13" max="14" width="8.25"/>
    <col customWidth="1" min="15" max="15" width="6.38"/>
    <col customWidth="1" min="16" max="16" width="6.63"/>
    <col customWidth="1" min="17" max="17" width="8.38"/>
    <col customWidth="1" min="18" max="18" width="8.75"/>
  </cols>
  <sheetData>
    <row r="1">
      <c r="A1" s="1"/>
      <c r="B1" s="2" t="s">
        <v>1</v>
      </c>
      <c r="C1" s="3">
        <v>45108.0</v>
      </c>
      <c r="E1" s="1"/>
      <c r="F1" s="5"/>
      <c r="G1" s="5" t="s">
        <v>126</v>
      </c>
      <c r="J1" s="79">
        <f>C1</f>
        <v>45108</v>
      </c>
      <c r="L1" s="5"/>
    </row>
    <row r="2">
      <c r="A2" s="1"/>
      <c r="B2" s="8" t="s">
        <v>6</v>
      </c>
      <c r="D2" s="9">
        <v>1.0</v>
      </c>
      <c r="E2" s="1"/>
    </row>
    <row r="3" ht="42.75" customHeight="1">
      <c r="A3" s="1"/>
      <c r="C3" s="1"/>
      <c r="D3" s="1"/>
      <c r="E3" s="1"/>
      <c r="L3" s="66" t="s">
        <v>118</v>
      </c>
      <c r="M3" s="12"/>
      <c r="O3" s="34" t="s">
        <v>116</v>
      </c>
    </row>
    <row r="4">
      <c r="A4" s="67" t="s">
        <v>24</v>
      </c>
      <c r="B4" s="68" t="s">
        <v>25</v>
      </c>
      <c r="C4" s="69" t="s">
        <v>8</v>
      </c>
      <c r="D4" s="69" t="s">
        <v>14</v>
      </c>
      <c r="E4" s="69" t="s">
        <v>26</v>
      </c>
      <c r="F4" s="69" t="s">
        <v>28</v>
      </c>
      <c r="G4" s="69" t="s">
        <v>17</v>
      </c>
      <c r="H4" s="69" t="s">
        <v>18</v>
      </c>
      <c r="I4" s="69" t="s">
        <v>19</v>
      </c>
      <c r="J4" s="69" t="s">
        <v>8</v>
      </c>
      <c r="K4" s="69" t="s">
        <v>14</v>
      </c>
      <c r="L4" s="22" t="s">
        <v>8</v>
      </c>
      <c r="M4" s="22" t="s">
        <v>14</v>
      </c>
      <c r="N4" s="69" t="s">
        <v>29</v>
      </c>
      <c r="O4" s="69" t="s">
        <v>30</v>
      </c>
      <c r="P4" s="69" t="s">
        <v>31</v>
      </c>
      <c r="Q4" s="69" t="s">
        <v>32</v>
      </c>
      <c r="R4" s="69" t="s">
        <v>33</v>
      </c>
    </row>
    <row r="5">
      <c r="A5" s="25">
        <v>1.0</v>
      </c>
      <c r="B5" s="80" t="s">
        <v>42</v>
      </c>
      <c r="C5" s="39"/>
      <c r="D5" s="39"/>
      <c r="E5" s="39"/>
      <c r="F5" s="39"/>
      <c r="G5" s="39">
        <v>6.0</v>
      </c>
      <c r="H5" s="39">
        <v>6.0</v>
      </c>
      <c r="I5" s="39">
        <v>4.0</v>
      </c>
      <c r="J5" s="71">
        <f t="shared" ref="J5:J56" si="2">F5+G5+H5+I5</f>
        <v>16</v>
      </c>
      <c r="K5" s="39">
        <v>2.0</v>
      </c>
      <c r="L5" s="33">
        <f t="shared" ref="L5:M5" si="1">C5+J5</f>
        <v>16</v>
      </c>
      <c r="M5" s="33">
        <f t="shared" si="1"/>
        <v>2</v>
      </c>
      <c r="N5" s="39" t="s">
        <v>37</v>
      </c>
      <c r="O5" s="39"/>
      <c r="P5" s="72">
        <f t="shared" ref="P5:P56" si="4">if(F5=13,1,0)</f>
        <v>0</v>
      </c>
      <c r="Q5" s="39"/>
      <c r="R5" s="39">
        <f t="shared" ref="R5:R56" si="5">if(F5=9,1,0)</f>
        <v>0</v>
      </c>
    </row>
    <row r="6">
      <c r="A6" s="25">
        <f t="shared" ref="A6:A56" si="6">A5+1</f>
        <v>2</v>
      </c>
      <c r="B6" s="26" t="s">
        <v>49</v>
      </c>
      <c r="C6" s="39"/>
      <c r="D6" s="39"/>
      <c r="E6" s="39"/>
      <c r="F6" s="39"/>
      <c r="G6" s="39">
        <v>7.0</v>
      </c>
      <c r="H6" s="39">
        <v>6.0</v>
      </c>
      <c r="I6" s="39">
        <v>1.0</v>
      </c>
      <c r="J6" s="71">
        <f t="shared" si="2"/>
        <v>14</v>
      </c>
      <c r="K6" s="39">
        <v>2.0</v>
      </c>
      <c r="L6" s="33">
        <f t="shared" ref="L6:M6" si="3">C6+J6</f>
        <v>14</v>
      </c>
      <c r="M6" s="33">
        <f t="shared" si="3"/>
        <v>2</v>
      </c>
      <c r="N6" s="39" t="s">
        <v>37</v>
      </c>
      <c r="O6" s="73" t="s">
        <v>37</v>
      </c>
      <c r="P6" s="72">
        <f t="shared" si="4"/>
        <v>0</v>
      </c>
      <c r="Q6" s="39"/>
      <c r="R6" s="39">
        <f t="shared" si="5"/>
        <v>0</v>
      </c>
    </row>
    <row r="7">
      <c r="A7" s="25">
        <f t="shared" si="6"/>
        <v>3</v>
      </c>
      <c r="B7" s="80" t="s">
        <v>100</v>
      </c>
      <c r="C7" s="39"/>
      <c r="D7" s="39"/>
      <c r="E7" s="39"/>
      <c r="F7" s="39">
        <v>9.0</v>
      </c>
      <c r="G7" s="39"/>
      <c r="H7" s="39"/>
      <c r="I7" s="39"/>
      <c r="J7" s="71">
        <f t="shared" si="2"/>
        <v>9</v>
      </c>
      <c r="K7" s="39"/>
      <c r="L7" s="33">
        <f t="shared" ref="L7:M7" si="7">C7+J7</f>
        <v>9</v>
      </c>
      <c r="M7" s="33">
        <f t="shared" si="7"/>
        <v>0</v>
      </c>
      <c r="N7" s="39" t="s">
        <v>37</v>
      </c>
      <c r="O7" s="39"/>
      <c r="P7" s="72">
        <f t="shared" si="4"/>
        <v>0</v>
      </c>
      <c r="Q7" s="39">
        <v>1.0</v>
      </c>
      <c r="R7" s="39">
        <f t="shared" si="5"/>
        <v>1</v>
      </c>
    </row>
    <row r="8">
      <c r="A8" s="25">
        <f t="shared" si="6"/>
        <v>4</v>
      </c>
      <c r="B8" s="36" t="s">
        <v>67</v>
      </c>
      <c r="C8" s="39"/>
      <c r="D8" s="39"/>
      <c r="E8" s="39"/>
      <c r="F8" s="39"/>
      <c r="G8" s="39">
        <v>2.0</v>
      </c>
      <c r="H8" s="39">
        <v>6.0</v>
      </c>
      <c r="I8" s="39">
        <v>6.0</v>
      </c>
      <c r="J8" s="71">
        <f t="shared" si="2"/>
        <v>14</v>
      </c>
      <c r="K8" s="39">
        <v>2.0</v>
      </c>
      <c r="L8" s="33">
        <f t="shared" ref="L8:M8" si="8">C8+J8</f>
        <v>14</v>
      </c>
      <c r="M8" s="33">
        <f t="shared" si="8"/>
        <v>2</v>
      </c>
      <c r="N8" s="39" t="s">
        <v>37</v>
      </c>
      <c r="O8" s="73" t="s">
        <v>37</v>
      </c>
      <c r="P8" s="72">
        <f t="shared" si="4"/>
        <v>0</v>
      </c>
      <c r="Q8" s="39"/>
      <c r="R8" s="39">
        <f t="shared" si="5"/>
        <v>0</v>
      </c>
    </row>
    <row r="9">
      <c r="A9" s="25">
        <f t="shared" si="6"/>
        <v>5</v>
      </c>
      <c r="B9" s="26" t="s">
        <v>91</v>
      </c>
      <c r="C9" s="39"/>
      <c r="D9" s="39"/>
      <c r="E9" s="39"/>
      <c r="F9" s="39">
        <v>9.0</v>
      </c>
      <c r="G9" s="39"/>
      <c r="H9" s="39"/>
      <c r="I9" s="39"/>
      <c r="J9" s="71">
        <f t="shared" si="2"/>
        <v>9</v>
      </c>
      <c r="K9" s="39"/>
      <c r="L9" s="33">
        <f t="shared" ref="L9:M9" si="9">C9+J9</f>
        <v>9</v>
      </c>
      <c r="M9" s="33">
        <f t="shared" si="9"/>
        <v>0</v>
      </c>
      <c r="N9" s="39" t="s">
        <v>37</v>
      </c>
      <c r="O9" s="73" t="s">
        <v>37</v>
      </c>
      <c r="P9" s="72">
        <f t="shared" si="4"/>
        <v>0</v>
      </c>
      <c r="Q9" s="39"/>
      <c r="R9" s="39">
        <f t="shared" si="5"/>
        <v>1</v>
      </c>
    </row>
    <row r="10">
      <c r="A10" s="25">
        <f t="shared" si="6"/>
        <v>6</v>
      </c>
      <c r="B10" s="80" t="s">
        <v>127</v>
      </c>
      <c r="C10" s="39"/>
      <c r="D10" s="39"/>
      <c r="E10" s="39"/>
      <c r="F10" s="39">
        <v>9.0</v>
      </c>
      <c r="G10" s="39"/>
      <c r="H10" s="39"/>
      <c r="I10" s="39"/>
      <c r="J10" s="71">
        <f t="shared" si="2"/>
        <v>9</v>
      </c>
      <c r="K10" s="39"/>
      <c r="L10" s="33">
        <f t="shared" ref="L10:M10" si="10">C10+J10</f>
        <v>9</v>
      </c>
      <c r="M10" s="33">
        <f t="shared" si="10"/>
        <v>0</v>
      </c>
      <c r="N10" s="39" t="s">
        <v>37</v>
      </c>
      <c r="O10" s="39"/>
      <c r="P10" s="72">
        <f t="shared" si="4"/>
        <v>0</v>
      </c>
      <c r="Q10" s="39"/>
      <c r="R10" s="39">
        <f t="shared" si="5"/>
        <v>1</v>
      </c>
    </row>
    <row r="11">
      <c r="A11" s="25">
        <f t="shared" si="6"/>
        <v>7</v>
      </c>
      <c r="B11" s="26" t="s">
        <v>56</v>
      </c>
      <c r="C11" s="39"/>
      <c r="D11" s="39"/>
      <c r="E11" s="39"/>
      <c r="F11" s="39"/>
      <c r="G11" s="39">
        <v>0.0</v>
      </c>
      <c r="H11" s="39">
        <v>6.0</v>
      </c>
      <c r="I11" s="39">
        <v>6.0</v>
      </c>
      <c r="J11" s="71">
        <f t="shared" si="2"/>
        <v>12</v>
      </c>
      <c r="K11" s="39">
        <v>2.0</v>
      </c>
      <c r="L11" s="33">
        <f t="shared" ref="L11:M11" si="11">C11+J11</f>
        <v>12</v>
      </c>
      <c r="M11" s="33">
        <f t="shared" si="11"/>
        <v>2</v>
      </c>
      <c r="N11" s="39" t="s">
        <v>37</v>
      </c>
      <c r="O11" s="73" t="s">
        <v>37</v>
      </c>
      <c r="P11" s="72">
        <f t="shared" si="4"/>
        <v>0</v>
      </c>
      <c r="Q11" s="39"/>
      <c r="R11" s="39">
        <f t="shared" si="5"/>
        <v>0</v>
      </c>
    </row>
    <row r="12">
      <c r="A12" s="25">
        <f t="shared" si="6"/>
        <v>8</v>
      </c>
      <c r="B12" s="26" t="s">
        <v>58</v>
      </c>
      <c r="C12" s="39"/>
      <c r="D12" s="39"/>
      <c r="E12" s="39"/>
      <c r="F12" s="39"/>
      <c r="G12" s="39">
        <v>4.0</v>
      </c>
      <c r="H12" s="39">
        <v>7.0</v>
      </c>
      <c r="I12" s="39">
        <v>6.0</v>
      </c>
      <c r="J12" s="71">
        <f t="shared" si="2"/>
        <v>17</v>
      </c>
      <c r="K12" s="39">
        <v>2.0</v>
      </c>
      <c r="L12" s="33">
        <f t="shared" ref="L12:M12" si="12">C12+J12</f>
        <v>17</v>
      </c>
      <c r="M12" s="33">
        <f t="shared" si="12"/>
        <v>2</v>
      </c>
      <c r="N12" s="39" t="s">
        <v>37</v>
      </c>
      <c r="O12" s="73" t="s">
        <v>37</v>
      </c>
      <c r="P12" s="72">
        <f t="shared" si="4"/>
        <v>0</v>
      </c>
      <c r="Q12" s="39"/>
      <c r="R12" s="39">
        <f t="shared" si="5"/>
        <v>0</v>
      </c>
    </row>
    <row r="13">
      <c r="A13" s="25">
        <f t="shared" si="6"/>
        <v>9</v>
      </c>
      <c r="B13" s="26" t="s">
        <v>80</v>
      </c>
      <c r="C13" s="39"/>
      <c r="D13" s="39"/>
      <c r="E13" s="39"/>
      <c r="F13" s="39"/>
      <c r="G13" s="39">
        <v>6.0</v>
      </c>
      <c r="H13" s="39">
        <v>5.0</v>
      </c>
      <c r="I13" s="39">
        <v>6.0</v>
      </c>
      <c r="J13" s="71">
        <f t="shared" si="2"/>
        <v>17</v>
      </c>
      <c r="K13" s="39">
        <v>2.0</v>
      </c>
      <c r="L13" s="33">
        <f t="shared" ref="L13:M13" si="13">C13+J13</f>
        <v>17</v>
      </c>
      <c r="M13" s="33">
        <f t="shared" si="13"/>
        <v>2</v>
      </c>
      <c r="N13" s="39" t="s">
        <v>37</v>
      </c>
      <c r="O13" s="73" t="s">
        <v>37</v>
      </c>
      <c r="P13" s="72">
        <f t="shared" si="4"/>
        <v>0</v>
      </c>
      <c r="Q13" s="39"/>
      <c r="R13" s="39">
        <f t="shared" si="5"/>
        <v>0</v>
      </c>
    </row>
    <row r="14">
      <c r="A14" s="25">
        <f t="shared" si="6"/>
        <v>10</v>
      </c>
      <c r="B14" s="36" t="s">
        <v>85</v>
      </c>
      <c r="C14" s="39"/>
      <c r="D14" s="39"/>
      <c r="E14" s="39"/>
      <c r="F14" s="39"/>
      <c r="G14" s="39">
        <v>1.0</v>
      </c>
      <c r="H14" s="39">
        <v>0.0</v>
      </c>
      <c r="I14" s="39">
        <v>3.0</v>
      </c>
      <c r="J14" s="71">
        <f t="shared" si="2"/>
        <v>4</v>
      </c>
      <c r="K14" s="39">
        <v>0.0</v>
      </c>
      <c r="L14" s="33">
        <f t="shared" ref="L14:M14" si="14">C14+J14</f>
        <v>4</v>
      </c>
      <c r="M14" s="33">
        <f t="shared" si="14"/>
        <v>0</v>
      </c>
      <c r="N14" s="39" t="s">
        <v>37</v>
      </c>
      <c r="O14" s="73" t="s">
        <v>37</v>
      </c>
      <c r="P14" s="72">
        <f t="shared" si="4"/>
        <v>0</v>
      </c>
      <c r="Q14" s="39"/>
      <c r="R14" s="39">
        <f t="shared" si="5"/>
        <v>0</v>
      </c>
    </row>
    <row r="15">
      <c r="A15" s="25">
        <f t="shared" si="6"/>
        <v>11</v>
      </c>
      <c r="B15" s="26" t="s">
        <v>72</v>
      </c>
      <c r="C15" s="39"/>
      <c r="D15" s="39"/>
      <c r="E15" s="39"/>
      <c r="F15" s="39"/>
      <c r="G15" s="39">
        <v>5.0</v>
      </c>
      <c r="H15" s="39">
        <v>6.0</v>
      </c>
      <c r="I15" s="39">
        <v>6.0</v>
      </c>
      <c r="J15" s="71">
        <f t="shared" si="2"/>
        <v>17</v>
      </c>
      <c r="K15" s="39">
        <v>2.0</v>
      </c>
      <c r="L15" s="33">
        <f t="shared" ref="L15:M15" si="15">C15+J15</f>
        <v>17</v>
      </c>
      <c r="M15" s="33">
        <f t="shared" si="15"/>
        <v>2</v>
      </c>
      <c r="N15" s="39" t="s">
        <v>37</v>
      </c>
      <c r="O15" s="73" t="s">
        <v>37</v>
      </c>
      <c r="P15" s="72">
        <f t="shared" si="4"/>
        <v>0</v>
      </c>
      <c r="Q15" s="39"/>
      <c r="R15" s="39">
        <f t="shared" si="5"/>
        <v>0</v>
      </c>
    </row>
    <row r="16">
      <c r="A16" s="25">
        <f t="shared" si="6"/>
        <v>12</v>
      </c>
      <c r="B16" s="26" t="s">
        <v>53</v>
      </c>
      <c r="C16" s="39"/>
      <c r="D16" s="39"/>
      <c r="E16" s="39"/>
      <c r="F16" s="39"/>
      <c r="G16" s="39">
        <v>4.0</v>
      </c>
      <c r="H16" s="39">
        <v>5.0</v>
      </c>
      <c r="I16" s="39">
        <v>2.0</v>
      </c>
      <c r="J16" s="71">
        <f t="shared" si="2"/>
        <v>11</v>
      </c>
      <c r="K16" s="39">
        <v>0.0</v>
      </c>
      <c r="L16" s="33">
        <f t="shared" ref="L16:M16" si="16">C16+J16</f>
        <v>11</v>
      </c>
      <c r="M16" s="33">
        <f t="shared" si="16"/>
        <v>0</v>
      </c>
      <c r="N16" s="39" t="s">
        <v>37</v>
      </c>
      <c r="O16" s="73" t="s">
        <v>37</v>
      </c>
      <c r="P16" s="72">
        <f t="shared" si="4"/>
        <v>0</v>
      </c>
      <c r="Q16" s="39"/>
      <c r="R16" s="39">
        <f t="shared" si="5"/>
        <v>0</v>
      </c>
    </row>
    <row r="17">
      <c r="A17" s="25">
        <f t="shared" si="6"/>
        <v>13</v>
      </c>
      <c r="B17" s="26" t="s">
        <v>106</v>
      </c>
      <c r="C17" s="39"/>
      <c r="D17" s="39"/>
      <c r="E17" s="39"/>
      <c r="F17" s="39">
        <v>9.0</v>
      </c>
      <c r="G17" s="39"/>
      <c r="H17" s="39"/>
      <c r="I17" s="39"/>
      <c r="J17" s="71">
        <f t="shared" si="2"/>
        <v>9</v>
      </c>
      <c r="K17" s="39"/>
      <c r="L17" s="33">
        <f t="shared" ref="L17:M17" si="17">C17+J17</f>
        <v>9</v>
      </c>
      <c r="M17" s="33">
        <f t="shared" si="17"/>
        <v>0</v>
      </c>
      <c r="N17" s="39" t="s">
        <v>37</v>
      </c>
      <c r="O17" s="73" t="s">
        <v>37</v>
      </c>
      <c r="P17" s="72">
        <f t="shared" si="4"/>
        <v>0</v>
      </c>
      <c r="Q17" s="39"/>
      <c r="R17" s="39">
        <f t="shared" si="5"/>
        <v>1</v>
      </c>
    </row>
    <row r="18">
      <c r="A18" s="25">
        <f t="shared" si="6"/>
        <v>14</v>
      </c>
      <c r="B18" s="36" t="s">
        <v>88</v>
      </c>
      <c r="C18" s="39"/>
      <c r="D18" s="39"/>
      <c r="E18" s="39"/>
      <c r="F18" s="39">
        <v>9.0</v>
      </c>
      <c r="G18" s="39"/>
      <c r="H18" s="39"/>
      <c r="I18" s="39"/>
      <c r="J18" s="71">
        <f t="shared" si="2"/>
        <v>9</v>
      </c>
      <c r="K18" s="39"/>
      <c r="L18" s="33">
        <f t="shared" ref="L18:M18" si="18">C18+J18</f>
        <v>9</v>
      </c>
      <c r="M18" s="33">
        <f t="shared" si="18"/>
        <v>0</v>
      </c>
      <c r="N18" s="39"/>
      <c r="O18" s="73" t="s">
        <v>37</v>
      </c>
      <c r="P18" s="72">
        <f t="shared" si="4"/>
        <v>0</v>
      </c>
      <c r="Q18" s="39"/>
      <c r="R18" s="39">
        <f t="shared" si="5"/>
        <v>1</v>
      </c>
    </row>
    <row r="19">
      <c r="A19" s="25">
        <f t="shared" si="6"/>
        <v>15</v>
      </c>
      <c r="B19" s="26" t="s">
        <v>90</v>
      </c>
      <c r="C19" s="39"/>
      <c r="D19" s="39"/>
      <c r="E19" s="39"/>
      <c r="F19" s="39"/>
      <c r="G19" s="39">
        <v>0.0</v>
      </c>
      <c r="H19" s="39">
        <v>1.0</v>
      </c>
      <c r="I19" s="39">
        <v>4.0</v>
      </c>
      <c r="J19" s="71">
        <f t="shared" si="2"/>
        <v>5</v>
      </c>
      <c r="K19" s="39">
        <v>0.0</v>
      </c>
      <c r="L19" s="33">
        <f t="shared" ref="L19:M19" si="19">C19+J19</f>
        <v>5</v>
      </c>
      <c r="M19" s="33">
        <f t="shared" si="19"/>
        <v>0</v>
      </c>
      <c r="N19" s="39" t="s">
        <v>37</v>
      </c>
      <c r="O19" s="73" t="s">
        <v>37</v>
      </c>
      <c r="P19" s="72">
        <f t="shared" si="4"/>
        <v>0</v>
      </c>
      <c r="Q19" s="39"/>
      <c r="R19" s="39">
        <f t="shared" si="5"/>
        <v>0</v>
      </c>
    </row>
    <row r="20">
      <c r="A20" s="25">
        <f t="shared" si="6"/>
        <v>16</v>
      </c>
      <c r="B20" s="26" t="s">
        <v>57</v>
      </c>
      <c r="C20" s="39"/>
      <c r="D20" s="39"/>
      <c r="E20" s="39"/>
      <c r="F20" s="39"/>
      <c r="G20" s="39">
        <v>6.0</v>
      </c>
      <c r="H20" s="39">
        <v>1.0</v>
      </c>
      <c r="I20" s="39">
        <v>6.0</v>
      </c>
      <c r="J20" s="71">
        <f t="shared" si="2"/>
        <v>13</v>
      </c>
      <c r="K20" s="39">
        <v>2.0</v>
      </c>
      <c r="L20" s="33">
        <f t="shared" ref="L20:M20" si="20">C20+J20</f>
        <v>13</v>
      </c>
      <c r="M20" s="33">
        <f t="shared" si="20"/>
        <v>2</v>
      </c>
      <c r="N20" s="39" t="s">
        <v>37</v>
      </c>
      <c r="O20" s="73" t="s">
        <v>37</v>
      </c>
      <c r="P20" s="72">
        <f t="shared" si="4"/>
        <v>0</v>
      </c>
      <c r="Q20" s="39"/>
      <c r="R20" s="39">
        <f t="shared" si="5"/>
        <v>0</v>
      </c>
    </row>
    <row r="21">
      <c r="A21" s="25">
        <f t="shared" si="6"/>
        <v>17</v>
      </c>
      <c r="B21" s="26" t="s">
        <v>61</v>
      </c>
      <c r="C21" s="39"/>
      <c r="D21" s="39"/>
      <c r="E21" s="39"/>
      <c r="F21" s="39">
        <v>9.0</v>
      </c>
      <c r="G21" s="39"/>
      <c r="H21" s="39"/>
      <c r="I21" s="39"/>
      <c r="J21" s="71">
        <f t="shared" si="2"/>
        <v>9</v>
      </c>
      <c r="K21" s="39"/>
      <c r="L21" s="33">
        <f t="shared" ref="L21:M21" si="21">C21+J21</f>
        <v>9</v>
      </c>
      <c r="M21" s="33">
        <f t="shared" si="21"/>
        <v>0</v>
      </c>
      <c r="N21" s="39" t="s">
        <v>37</v>
      </c>
      <c r="O21" s="73" t="s">
        <v>37</v>
      </c>
      <c r="P21" s="72">
        <f t="shared" si="4"/>
        <v>0</v>
      </c>
      <c r="Q21" s="39"/>
      <c r="R21" s="39">
        <f t="shared" si="5"/>
        <v>1</v>
      </c>
    </row>
    <row r="22">
      <c r="A22" s="25">
        <f t="shared" si="6"/>
        <v>18</v>
      </c>
      <c r="B22" s="36" t="s">
        <v>108</v>
      </c>
      <c r="C22" s="39"/>
      <c r="D22" s="39"/>
      <c r="E22" s="39"/>
      <c r="F22" s="39">
        <v>9.0</v>
      </c>
      <c r="G22" s="39"/>
      <c r="H22" s="39"/>
      <c r="I22" s="39"/>
      <c r="J22" s="71">
        <f t="shared" si="2"/>
        <v>9</v>
      </c>
      <c r="K22" s="39"/>
      <c r="L22" s="33">
        <f t="shared" ref="L22:L56" si="22">C22+J22</f>
        <v>9</v>
      </c>
      <c r="M22" s="33">
        <v>0.0</v>
      </c>
      <c r="N22" s="39" t="s">
        <v>37</v>
      </c>
      <c r="O22" s="73" t="s">
        <v>37</v>
      </c>
      <c r="P22" s="72">
        <f t="shared" si="4"/>
        <v>0</v>
      </c>
      <c r="Q22" s="39"/>
      <c r="R22" s="39">
        <f t="shared" si="5"/>
        <v>1</v>
      </c>
    </row>
    <row r="23">
      <c r="A23" s="25">
        <f t="shared" si="6"/>
        <v>19</v>
      </c>
      <c r="B23" s="26" t="s">
        <v>51</v>
      </c>
      <c r="C23" s="39"/>
      <c r="D23" s="39"/>
      <c r="E23" s="39"/>
      <c r="F23" s="39">
        <v>9.0</v>
      </c>
      <c r="G23" s="39"/>
      <c r="H23" s="39"/>
      <c r="I23" s="39"/>
      <c r="J23" s="71">
        <f t="shared" si="2"/>
        <v>9</v>
      </c>
      <c r="K23" s="39"/>
      <c r="L23" s="33">
        <f t="shared" si="22"/>
        <v>9</v>
      </c>
      <c r="M23" s="33">
        <f t="shared" ref="M23:M56" si="23">D23+K23</f>
        <v>0</v>
      </c>
      <c r="N23" s="39" t="s">
        <v>37</v>
      </c>
      <c r="O23" s="73" t="s">
        <v>37</v>
      </c>
      <c r="P23" s="72">
        <f t="shared" si="4"/>
        <v>0</v>
      </c>
      <c r="Q23" s="39"/>
      <c r="R23" s="39">
        <f t="shared" si="5"/>
        <v>1</v>
      </c>
    </row>
    <row r="24">
      <c r="A24" s="25">
        <f t="shared" si="6"/>
        <v>20</v>
      </c>
      <c r="B24" s="36" t="s">
        <v>94</v>
      </c>
      <c r="C24" s="39"/>
      <c r="D24" s="39"/>
      <c r="E24" s="39"/>
      <c r="F24" s="39">
        <v>9.0</v>
      </c>
      <c r="G24" s="39"/>
      <c r="H24" s="39"/>
      <c r="I24" s="39"/>
      <c r="J24" s="71">
        <f t="shared" si="2"/>
        <v>9</v>
      </c>
      <c r="K24" s="39"/>
      <c r="L24" s="33">
        <f t="shared" si="22"/>
        <v>9</v>
      </c>
      <c r="M24" s="33">
        <f t="shared" si="23"/>
        <v>0</v>
      </c>
      <c r="N24" s="39" t="s">
        <v>37</v>
      </c>
      <c r="O24" s="73" t="s">
        <v>37</v>
      </c>
      <c r="P24" s="72">
        <f t="shared" si="4"/>
        <v>0</v>
      </c>
      <c r="Q24" s="39"/>
      <c r="R24" s="39">
        <f t="shared" si="5"/>
        <v>1</v>
      </c>
    </row>
    <row r="25">
      <c r="A25" s="25">
        <f t="shared" si="6"/>
        <v>21</v>
      </c>
      <c r="B25" s="36" t="s">
        <v>59</v>
      </c>
      <c r="C25" s="39"/>
      <c r="D25" s="39"/>
      <c r="E25" s="39"/>
      <c r="F25" s="39"/>
      <c r="G25" s="39">
        <v>1.0</v>
      </c>
      <c r="H25" s="39">
        <v>7.0</v>
      </c>
      <c r="I25" s="39">
        <v>6.0</v>
      </c>
      <c r="J25" s="71">
        <f t="shared" si="2"/>
        <v>14</v>
      </c>
      <c r="K25" s="39">
        <v>2.0</v>
      </c>
      <c r="L25" s="33">
        <f t="shared" si="22"/>
        <v>14</v>
      </c>
      <c r="M25" s="33">
        <f t="shared" si="23"/>
        <v>2</v>
      </c>
      <c r="N25" s="39" t="s">
        <v>37</v>
      </c>
      <c r="O25" s="73" t="s">
        <v>37</v>
      </c>
      <c r="P25" s="72">
        <f t="shared" si="4"/>
        <v>0</v>
      </c>
      <c r="Q25" s="39"/>
      <c r="R25" s="39">
        <f t="shared" si="5"/>
        <v>0</v>
      </c>
    </row>
    <row r="26">
      <c r="A26" s="25">
        <f t="shared" si="6"/>
        <v>22</v>
      </c>
      <c r="B26" s="26" t="s">
        <v>105</v>
      </c>
      <c r="C26" s="39"/>
      <c r="D26" s="39"/>
      <c r="E26" s="39"/>
      <c r="F26" s="39">
        <v>9.0</v>
      </c>
      <c r="G26" s="39"/>
      <c r="H26" s="39"/>
      <c r="I26" s="39"/>
      <c r="J26" s="71">
        <f t="shared" si="2"/>
        <v>9</v>
      </c>
      <c r="K26" s="39"/>
      <c r="L26" s="33">
        <f t="shared" si="22"/>
        <v>9</v>
      </c>
      <c r="M26" s="33">
        <f t="shared" si="23"/>
        <v>0</v>
      </c>
      <c r="N26" s="39" t="s">
        <v>37</v>
      </c>
      <c r="O26" s="73" t="s">
        <v>37</v>
      </c>
      <c r="P26" s="72">
        <f t="shared" si="4"/>
        <v>0</v>
      </c>
      <c r="Q26" s="39"/>
      <c r="R26" s="39">
        <f t="shared" si="5"/>
        <v>1</v>
      </c>
    </row>
    <row r="27">
      <c r="A27" s="25">
        <f t="shared" si="6"/>
        <v>23</v>
      </c>
      <c r="B27" s="26" t="s">
        <v>78</v>
      </c>
      <c r="C27" s="39"/>
      <c r="D27" s="39"/>
      <c r="E27" s="39"/>
      <c r="F27" s="39"/>
      <c r="G27" s="39">
        <v>5.0</v>
      </c>
      <c r="H27" s="39">
        <v>2.0</v>
      </c>
      <c r="I27" s="39">
        <v>1.0</v>
      </c>
      <c r="J27" s="71">
        <f t="shared" si="2"/>
        <v>8</v>
      </c>
      <c r="K27" s="39">
        <v>0.0</v>
      </c>
      <c r="L27" s="33">
        <f t="shared" si="22"/>
        <v>8</v>
      </c>
      <c r="M27" s="33">
        <f t="shared" si="23"/>
        <v>0</v>
      </c>
      <c r="N27" s="39" t="s">
        <v>37</v>
      </c>
      <c r="O27" s="73" t="s">
        <v>37</v>
      </c>
      <c r="P27" s="72">
        <f t="shared" si="4"/>
        <v>0</v>
      </c>
      <c r="Q27" s="39"/>
      <c r="R27" s="39">
        <f t="shared" si="5"/>
        <v>0</v>
      </c>
    </row>
    <row r="28">
      <c r="A28" s="25">
        <f t="shared" si="6"/>
        <v>24</v>
      </c>
      <c r="B28" s="26" t="s">
        <v>50</v>
      </c>
      <c r="C28" s="39"/>
      <c r="D28" s="39"/>
      <c r="E28" s="39"/>
      <c r="F28" s="39"/>
      <c r="G28" s="39">
        <v>6.0</v>
      </c>
      <c r="H28" s="39">
        <v>7.0</v>
      </c>
      <c r="I28" s="39">
        <v>2.0</v>
      </c>
      <c r="J28" s="71">
        <f t="shared" si="2"/>
        <v>15</v>
      </c>
      <c r="K28" s="39">
        <v>2.0</v>
      </c>
      <c r="L28" s="33">
        <f t="shared" si="22"/>
        <v>15</v>
      </c>
      <c r="M28" s="33">
        <f t="shared" si="23"/>
        <v>2</v>
      </c>
      <c r="N28" s="39" t="s">
        <v>37</v>
      </c>
      <c r="O28" s="73" t="s">
        <v>37</v>
      </c>
      <c r="P28" s="72">
        <f t="shared" si="4"/>
        <v>0</v>
      </c>
      <c r="Q28" s="39"/>
      <c r="R28" s="39">
        <f t="shared" si="5"/>
        <v>0</v>
      </c>
    </row>
    <row r="29">
      <c r="A29" s="25">
        <f t="shared" si="6"/>
        <v>25</v>
      </c>
      <c r="B29" s="26" t="s">
        <v>79</v>
      </c>
      <c r="C29" s="39"/>
      <c r="D29" s="39"/>
      <c r="E29" s="39"/>
      <c r="F29" s="39"/>
      <c r="G29" s="39">
        <v>6.0</v>
      </c>
      <c r="H29" s="39">
        <v>0.0</v>
      </c>
      <c r="I29" s="39">
        <v>6.0</v>
      </c>
      <c r="J29" s="71">
        <f t="shared" si="2"/>
        <v>12</v>
      </c>
      <c r="K29" s="39">
        <v>2.0</v>
      </c>
      <c r="L29" s="33">
        <f t="shared" si="22"/>
        <v>12</v>
      </c>
      <c r="M29" s="33">
        <f t="shared" si="23"/>
        <v>2</v>
      </c>
      <c r="N29" s="39" t="s">
        <v>37</v>
      </c>
      <c r="O29" s="73" t="s">
        <v>37</v>
      </c>
      <c r="P29" s="72">
        <f t="shared" si="4"/>
        <v>0</v>
      </c>
      <c r="Q29" s="39"/>
      <c r="R29" s="39">
        <f t="shared" si="5"/>
        <v>0</v>
      </c>
    </row>
    <row r="30">
      <c r="A30" s="25">
        <f t="shared" si="6"/>
        <v>26</v>
      </c>
      <c r="B30" s="36" t="s">
        <v>104</v>
      </c>
      <c r="C30" s="39"/>
      <c r="D30" s="39"/>
      <c r="E30" s="39"/>
      <c r="F30" s="39">
        <v>9.0</v>
      </c>
      <c r="G30" s="39"/>
      <c r="H30" s="39"/>
      <c r="I30" s="39"/>
      <c r="J30" s="71">
        <f t="shared" si="2"/>
        <v>9</v>
      </c>
      <c r="K30" s="39"/>
      <c r="L30" s="33">
        <f t="shared" si="22"/>
        <v>9</v>
      </c>
      <c r="M30" s="33">
        <f t="shared" si="23"/>
        <v>0</v>
      </c>
      <c r="N30" s="39" t="s">
        <v>37</v>
      </c>
      <c r="O30" s="73" t="s">
        <v>37</v>
      </c>
      <c r="P30" s="72">
        <f t="shared" si="4"/>
        <v>0</v>
      </c>
      <c r="Q30" s="39"/>
      <c r="R30" s="39">
        <f t="shared" si="5"/>
        <v>1</v>
      </c>
    </row>
    <row r="31">
      <c r="A31" s="25">
        <f t="shared" si="6"/>
        <v>27</v>
      </c>
      <c r="B31" s="26" t="s">
        <v>75</v>
      </c>
      <c r="C31" s="39"/>
      <c r="D31" s="39"/>
      <c r="E31" s="39"/>
      <c r="F31" s="39"/>
      <c r="G31" s="39">
        <v>7.0</v>
      </c>
      <c r="H31" s="39">
        <v>2.0</v>
      </c>
      <c r="I31" s="39">
        <v>6.0</v>
      </c>
      <c r="J31" s="71">
        <f t="shared" si="2"/>
        <v>15</v>
      </c>
      <c r="K31" s="39">
        <v>2.0</v>
      </c>
      <c r="L31" s="33">
        <f t="shared" si="22"/>
        <v>15</v>
      </c>
      <c r="M31" s="33">
        <f t="shared" si="23"/>
        <v>2</v>
      </c>
      <c r="N31" s="39" t="s">
        <v>37</v>
      </c>
      <c r="O31" s="73" t="s">
        <v>37</v>
      </c>
      <c r="P31" s="72">
        <f t="shared" si="4"/>
        <v>0</v>
      </c>
      <c r="Q31" s="39"/>
      <c r="R31" s="39">
        <f t="shared" si="5"/>
        <v>0</v>
      </c>
    </row>
    <row r="32">
      <c r="A32" s="25">
        <f t="shared" si="6"/>
        <v>28</v>
      </c>
      <c r="B32" s="26" t="s">
        <v>89</v>
      </c>
      <c r="C32" s="39"/>
      <c r="D32" s="39"/>
      <c r="E32" s="39"/>
      <c r="F32" s="39"/>
      <c r="G32" s="39">
        <v>1.0</v>
      </c>
      <c r="H32" s="39">
        <v>5.0</v>
      </c>
      <c r="I32" s="39">
        <v>2.0</v>
      </c>
      <c r="J32" s="71">
        <f t="shared" si="2"/>
        <v>8</v>
      </c>
      <c r="K32" s="39">
        <v>0.0</v>
      </c>
      <c r="L32" s="33">
        <f t="shared" si="22"/>
        <v>8</v>
      </c>
      <c r="M32" s="33">
        <f t="shared" si="23"/>
        <v>0</v>
      </c>
      <c r="N32" s="39" t="s">
        <v>37</v>
      </c>
      <c r="O32" s="73" t="s">
        <v>37</v>
      </c>
      <c r="P32" s="72">
        <f t="shared" si="4"/>
        <v>0</v>
      </c>
      <c r="Q32" s="39"/>
      <c r="R32" s="39">
        <f t="shared" si="5"/>
        <v>0</v>
      </c>
    </row>
    <row r="33">
      <c r="A33" s="25">
        <f t="shared" si="6"/>
        <v>29</v>
      </c>
      <c r="B33" s="26" t="s">
        <v>55</v>
      </c>
      <c r="C33" s="39"/>
      <c r="D33" s="39"/>
      <c r="E33" s="39"/>
      <c r="F33" s="39"/>
      <c r="G33" s="39">
        <v>6.0</v>
      </c>
      <c r="H33" s="39">
        <v>6.0</v>
      </c>
      <c r="I33" s="39">
        <v>1.0</v>
      </c>
      <c r="J33" s="71">
        <f t="shared" si="2"/>
        <v>13</v>
      </c>
      <c r="K33" s="39">
        <v>2.0</v>
      </c>
      <c r="L33" s="33">
        <f t="shared" si="22"/>
        <v>13</v>
      </c>
      <c r="M33" s="33">
        <f t="shared" si="23"/>
        <v>2</v>
      </c>
      <c r="N33" s="39" t="s">
        <v>37</v>
      </c>
      <c r="O33" s="73" t="s">
        <v>37</v>
      </c>
      <c r="P33" s="72">
        <f t="shared" si="4"/>
        <v>0</v>
      </c>
      <c r="Q33" s="39"/>
      <c r="R33" s="39">
        <f t="shared" si="5"/>
        <v>0</v>
      </c>
    </row>
    <row r="34">
      <c r="A34" s="25">
        <f t="shared" si="6"/>
        <v>30</v>
      </c>
      <c r="B34" s="36" t="s">
        <v>93</v>
      </c>
      <c r="C34" s="39"/>
      <c r="D34" s="39"/>
      <c r="E34" s="39"/>
      <c r="F34" s="39">
        <v>9.0</v>
      </c>
      <c r="G34" s="39"/>
      <c r="H34" s="39"/>
      <c r="I34" s="39"/>
      <c r="J34" s="71">
        <f t="shared" si="2"/>
        <v>9</v>
      </c>
      <c r="K34" s="39"/>
      <c r="L34" s="33">
        <f t="shared" si="22"/>
        <v>9</v>
      </c>
      <c r="M34" s="33">
        <f t="shared" si="23"/>
        <v>0</v>
      </c>
      <c r="N34" s="39" t="s">
        <v>37</v>
      </c>
      <c r="O34" s="73" t="s">
        <v>37</v>
      </c>
      <c r="P34" s="72">
        <f t="shared" si="4"/>
        <v>0</v>
      </c>
      <c r="Q34" s="39"/>
      <c r="R34" s="39">
        <f t="shared" si="5"/>
        <v>1</v>
      </c>
    </row>
    <row r="35">
      <c r="A35" s="25">
        <f t="shared" si="6"/>
        <v>31</v>
      </c>
      <c r="B35" s="26" t="s">
        <v>52</v>
      </c>
      <c r="C35" s="39"/>
      <c r="D35" s="39"/>
      <c r="E35" s="39"/>
      <c r="F35" s="39"/>
      <c r="G35" s="39">
        <v>6.0</v>
      </c>
      <c r="H35" s="39">
        <v>7.0</v>
      </c>
      <c r="I35" s="39">
        <v>2.0</v>
      </c>
      <c r="J35" s="71">
        <f t="shared" si="2"/>
        <v>15</v>
      </c>
      <c r="K35" s="39">
        <v>2.0</v>
      </c>
      <c r="L35" s="33">
        <f t="shared" si="22"/>
        <v>15</v>
      </c>
      <c r="M35" s="33">
        <f t="shared" si="23"/>
        <v>2</v>
      </c>
      <c r="N35" s="39" t="s">
        <v>37</v>
      </c>
      <c r="O35" s="73" t="s">
        <v>37</v>
      </c>
      <c r="P35" s="72">
        <f t="shared" si="4"/>
        <v>0</v>
      </c>
      <c r="Q35" s="39"/>
      <c r="R35" s="39">
        <f t="shared" si="5"/>
        <v>0</v>
      </c>
    </row>
    <row r="36">
      <c r="A36" s="25">
        <f t="shared" si="6"/>
        <v>32</v>
      </c>
      <c r="B36" s="80" t="s">
        <v>34</v>
      </c>
      <c r="C36" s="39"/>
      <c r="D36" s="39"/>
      <c r="E36" s="39"/>
      <c r="F36" s="39">
        <v>9.0</v>
      </c>
      <c r="G36" s="39"/>
      <c r="H36" s="39"/>
      <c r="I36" s="39"/>
      <c r="J36" s="71">
        <f t="shared" si="2"/>
        <v>9</v>
      </c>
      <c r="K36" s="39"/>
      <c r="L36" s="33">
        <f t="shared" si="22"/>
        <v>9</v>
      </c>
      <c r="M36" s="33">
        <f t="shared" si="23"/>
        <v>0</v>
      </c>
      <c r="N36" s="39" t="s">
        <v>37</v>
      </c>
      <c r="O36" s="39"/>
      <c r="P36" s="72">
        <f t="shared" si="4"/>
        <v>0</v>
      </c>
      <c r="Q36" s="39"/>
      <c r="R36" s="39">
        <f t="shared" si="5"/>
        <v>1</v>
      </c>
    </row>
    <row r="37">
      <c r="A37" s="25">
        <f t="shared" si="6"/>
        <v>33</v>
      </c>
      <c r="B37" s="26" t="s">
        <v>54</v>
      </c>
      <c r="C37" s="39"/>
      <c r="D37" s="39"/>
      <c r="E37" s="39"/>
      <c r="F37" s="39"/>
      <c r="G37" s="39">
        <v>6.0</v>
      </c>
      <c r="H37" s="39">
        <v>3.0</v>
      </c>
      <c r="I37" s="39">
        <v>2.0</v>
      </c>
      <c r="J37" s="71">
        <f t="shared" si="2"/>
        <v>11</v>
      </c>
      <c r="K37" s="39">
        <v>1.0</v>
      </c>
      <c r="L37" s="33">
        <f t="shared" si="22"/>
        <v>11</v>
      </c>
      <c r="M37" s="33">
        <f t="shared" si="23"/>
        <v>1</v>
      </c>
      <c r="N37" s="39" t="s">
        <v>37</v>
      </c>
      <c r="O37" s="73" t="s">
        <v>37</v>
      </c>
      <c r="P37" s="72">
        <f t="shared" si="4"/>
        <v>0</v>
      </c>
      <c r="Q37" s="39"/>
      <c r="R37" s="39">
        <f t="shared" si="5"/>
        <v>0</v>
      </c>
    </row>
    <row r="38">
      <c r="A38" s="25">
        <f t="shared" si="6"/>
        <v>34</v>
      </c>
      <c r="B38" s="26" t="s">
        <v>48</v>
      </c>
      <c r="C38" s="39"/>
      <c r="D38" s="39"/>
      <c r="E38" s="39"/>
      <c r="F38" s="39"/>
      <c r="G38" s="39">
        <v>6.0</v>
      </c>
      <c r="H38" s="39">
        <v>6.0</v>
      </c>
      <c r="I38" s="39">
        <v>6.0</v>
      </c>
      <c r="J38" s="71">
        <f t="shared" si="2"/>
        <v>18</v>
      </c>
      <c r="K38" s="39">
        <v>3.0</v>
      </c>
      <c r="L38" s="33">
        <f t="shared" si="22"/>
        <v>18</v>
      </c>
      <c r="M38" s="33">
        <f t="shared" si="23"/>
        <v>3</v>
      </c>
      <c r="N38" s="39" t="s">
        <v>37</v>
      </c>
      <c r="O38" s="73" t="s">
        <v>37</v>
      </c>
      <c r="P38" s="72">
        <f t="shared" si="4"/>
        <v>0</v>
      </c>
      <c r="Q38" s="39"/>
      <c r="R38" s="39">
        <f t="shared" si="5"/>
        <v>0</v>
      </c>
    </row>
    <row r="39">
      <c r="A39" s="25">
        <f t="shared" si="6"/>
        <v>35</v>
      </c>
      <c r="B39" s="26" t="s">
        <v>70</v>
      </c>
      <c r="C39" s="39"/>
      <c r="D39" s="39"/>
      <c r="E39" s="39"/>
      <c r="F39" s="39"/>
      <c r="G39" s="39">
        <v>4.0</v>
      </c>
      <c r="H39" s="39">
        <v>6.0</v>
      </c>
      <c r="I39" s="39">
        <v>2.0</v>
      </c>
      <c r="J39" s="71">
        <f t="shared" si="2"/>
        <v>12</v>
      </c>
      <c r="K39" s="39">
        <v>1.0</v>
      </c>
      <c r="L39" s="33">
        <f t="shared" si="22"/>
        <v>12</v>
      </c>
      <c r="M39" s="33">
        <f t="shared" si="23"/>
        <v>1</v>
      </c>
      <c r="N39" s="39" t="s">
        <v>37</v>
      </c>
      <c r="O39" s="73" t="s">
        <v>37</v>
      </c>
      <c r="P39" s="72">
        <f t="shared" si="4"/>
        <v>0</v>
      </c>
      <c r="Q39" s="39"/>
      <c r="R39" s="39">
        <f t="shared" si="5"/>
        <v>0</v>
      </c>
    </row>
    <row r="40">
      <c r="A40" s="25">
        <f t="shared" si="6"/>
        <v>36</v>
      </c>
      <c r="B40" s="26" t="s">
        <v>47</v>
      </c>
      <c r="C40" s="39"/>
      <c r="D40" s="39"/>
      <c r="E40" s="39"/>
      <c r="F40" s="39">
        <v>9.0</v>
      </c>
      <c r="G40" s="39"/>
      <c r="H40" s="39"/>
      <c r="I40" s="39"/>
      <c r="J40" s="71">
        <f t="shared" si="2"/>
        <v>9</v>
      </c>
      <c r="K40" s="39"/>
      <c r="L40" s="33">
        <f t="shared" si="22"/>
        <v>9</v>
      </c>
      <c r="M40" s="33">
        <f t="shared" si="23"/>
        <v>0</v>
      </c>
      <c r="N40" s="39" t="s">
        <v>37</v>
      </c>
      <c r="O40" s="73" t="s">
        <v>37</v>
      </c>
      <c r="P40" s="72">
        <f t="shared" si="4"/>
        <v>0</v>
      </c>
      <c r="Q40" s="39"/>
      <c r="R40" s="39">
        <f t="shared" si="5"/>
        <v>1</v>
      </c>
    </row>
    <row r="41">
      <c r="A41" s="25">
        <f t="shared" si="6"/>
        <v>37</v>
      </c>
      <c r="B41" s="26" t="s">
        <v>74</v>
      </c>
      <c r="C41" s="39"/>
      <c r="D41" s="39"/>
      <c r="E41" s="39"/>
      <c r="F41" s="39"/>
      <c r="G41" s="39">
        <v>6.0</v>
      </c>
      <c r="H41" s="39">
        <v>0.0</v>
      </c>
      <c r="I41" s="39">
        <v>6.0</v>
      </c>
      <c r="J41" s="71">
        <f t="shared" si="2"/>
        <v>12</v>
      </c>
      <c r="K41" s="39">
        <v>2.0</v>
      </c>
      <c r="L41" s="33">
        <f t="shared" si="22"/>
        <v>12</v>
      </c>
      <c r="M41" s="33">
        <f t="shared" si="23"/>
        <v>2</v>
      </c>
      <c r="N41" s="39" t="s">
        <v>37</v>
      </c>
      <c r="O41" s="73" t="s">
        <v>37</v>
      </c>
      <c r="P41" s="72">
        <f t="shared" si="4"/>
        <v>0</v>
      </c>
      <c r="Q41" s="39"/>
      <c r="R41" s="39">
        <f t="shared" si="5"/>
        <v>0</v>
      </c>
    </row>
    <row r="42">
      <c r="A42" s="25">
        <f t="shared" si="6"/>
        <v>38</v>
      </c>
      <c r="B42" s="26" t="s">
        <v>65</v>
      </c>
      <c r="C42" s="39"/>
      <c r="D42" s="39"/>
      <c r="E42" s="39"/>
      <c r="F42" s="39">
        <v>9.0</v>
      </c>
      <c r="G42" s="39"/>
      <c r="H42" s="39"/>
      <c r="I42" s="39"/>
      <c r="J42" s="71">
        <f t="shared" si="2"/>
        <v>9</v>
      </c>
      <c r="K42" s="39"/>
      <c r="L42" s="33">
        <f t="shared" si="22"/>
        <v>9</v>
      </c>
      <c r="M42" s="33">
        <f t="shared" si="23"/>
        <v>0</v>
      </c>
      <c r="N42" s="39" t="s">
        <v>37</v>
      </c>
      <c r="O42" s="73" t="s">
        <v>37</v>
      </c>
      <c r="P42" s="72">
        <f t="shared" si="4"/>
        <v>0</v>
      </c>
      <c r="Q42" s="39"/>
      <c r="R42" s="39">
        <f t="shared" si="5"/>
        <v>1</v>
      </c>
    </row>
    <row r="43">
      <c r="A43" s="25">
        <f t="shared" si="6"/>
        <v>39</v>
      </c>
      <c r="B43" s="36" t="s">
        <v>76</v>
      </c>
      <c r="C43" s="39"/>
      <c r="D43" s="39"/>
      <c r="E43" s="39"/>
      <c r="F43" s="39">
        <v>9.0</v>
      </c>
      <c r="G43" s="39"/>
      <c r="H43" s="39"/>
      <c r="I43" s="39"/>
      <c r="J43" s="71">
        <f t="shared" si="2"/>
        <v>9</v>
      </c>
      <c r="K43" s="39"/>
      <c r="L43" s="33">
        <f t="shared" si="22"/>
        <v>9</v>
      </c>
      <c r="M43" s="33">
        <f t="shared" si="23"/>
        <v>0</v>
      </c>
      <c r="N43" s="39" t="s">
        <v>37</v>
      </c>
      <c r="O43" s="73" t="s">
        <v>37</v>
      </c>
      <c r="P43" s="72">
        <f t="shared" si="4"/>
        <v>0</v>
      </c>
      <c r="Q43" s="39"/>
      <c r="R43" s="39">
        <f t="shared" si="5"/>
        <v>1</v>
      </c>
    </row>
    <row r="44">
      <c r="A44" s="25">
        <f t="shared" si="6"/>
        <v>40</v>
      </c>
      <c r="B44" s="26" t="s">
        <v>73</v>
      </c>
      <c r="C44" s="39"/>
      <c r="D44" s="39"/>
      <c r="E44" s="39"/>
      <c r="F44" s="39"/>
      <c r="G44" s="39">
        <v>4.0</v>
      </c>
      <c r="H44" s="39">
        <v>3.0</v>
      </c>
      <c r="I44" s="39">
        <v>6.0</v>
      </c>
      <c r="J44" s="71">
        <f t="shared" si="2"/>
        <v>13</v>
      </c>
      <c r="K44" s="39">
        <v>1.0</v>
      </c>
      <c r="L44" s="33">
        <f t="shared" si="22"/>
        <v>13</v>
      </c>
      <c r="M44" s="33">
        <f t="shared" si="23"/>
        <v>1</v>
      </c>
      <c r="N44" s="39" t="s">
        <v>37</v>
      </c>
      <c r="O44" s="73" t="s">
        <v>37</v>
      </c>
      <c r="P44" s="72">
        <f t="shared" si="4"/>
        <v>0</v>
      </c>
      <c r="Q44" s="39"/>
      <c r="R44" s="39">
        <f t="shared" si="5"/>
        <v>0</v>
      </c>
    </row>
    <row r="45">
      <c r="A45" s="25">
        <f t="shared" si="6"/>
        <v>41</v>
      </c>
      <c r="B45" s="26" t="s">
        <v>95</v>
      </c>
      <c r="C45" s="39"/>
      <c r="D45" s="39"/>
      <c r="E45" s="39"/>
      <c r="F45" s="39">
        <v>9.0</v>
      </c>
      <c r="G45" s="39"/>
      <c r="H45" s="39"/>
      <c r="I45" s="39"/>
      <c r="J45" s="71">
        <f t="shared" si="2"/>
        <v>9</v>
      </c>
      <c r="K45" s="39"/>
      <c r="L45" s="33">
        <f t="shared" si="22"/>
        <v>9</v>
      </c>
      <c r="M45" s="33">
        <f t="shared" si="23"/>
        <v>0</v>
      </c>
      <c r="N45" s="39" t="s">
        <v>37</v>
      </c>
      <c r="O45" s="73" t="s">
        <v>37</v>
      </c>
      <c r="P45" s="72">
        <f t="shared" si="4"/>
        <v>0</v>
      </c>
      <c r="Q45" s="39"/>
      <c r="R45" s="39">
        <f t="shared" si="5"/>
        <v>1</v>
      </c>
    </row>
    <row r="46">
      <c r="A46" s="25">
        <f t="shared" si="6"/>
        <v>42</v>
      </c>
      <c r="B46" s="26" t="s">
        <v>103</v>
      </c>
      <c r="C46" s="39"/>
      <c r="D46" s="39"/>
      <c r="E46" s="39"/>
      <c r="F46" s="39">
        <v>9.0</v>
      </c>
      <c r="G46" s="39"/>
      <c r="H46" s="39"/>
      <c r="I46" s="39"/>
      <c r="J46" s="71">
        <f t="shared" si="2"/>
        <v>9</v>
      </c>
      <c r="K46" s="39"/>
      <c r="L46" s="33">
        <f t="shared" si="22"/>
        <v>9</v>
      </c>
      <c r="M46" s="33">
        <f t="shared" si="23"/>
        <v>0</v>
      </c>
      <c r="N46" s="39" t="s">
        <v>37</v>
      </c>
      <c r="O46" s="73" t="s">
        <v>37</v>
      </c>
      <c r="P46" s="72">
        <f t="shared" si="4"/>
        <v>0</v>
      </c>
      <c r="Q46" s="39"/>
      <c r="R46" s="39">
        <f t="shared" si="5"/>
        <v>1</v>
      </c>
    </row>
    <row r="47">
      <c r="A47" s="25">
        <f t="shared" si="6"/>
        <v>43</v>
      </c>
      <c r="B47" s="26" t="s">
        <v>66</v>
      </c>
      <c r="C47" s="39"/>
      <c r="D47" s="39"/>
      <c r="E47" s="39"/>
      <c r="F47" s="39">
        <v>13.0</v>
      </c>
      <c r="G47" s="39"/>
      <c r="H47" s="39"/>
      <c r="I47" s="39"/>
      <c r="J47" s="71">
        <f t="shared" si="2"/>
        <v>13</v>
      </c>
      <c r="K47" s="39"/>
      <c r="L47" s="33">
        <f t="shared" si="22"/>
        <v>13</v>
      </c>
      <c r="M47" s="33">
        <f t="shared" si="23"/>
        <v>0</v>
      </c>
      <c r="N47" s="39" t="s">
        <v>37</v>
      </c>
      <c r="O47" s="73" t="s">
        <v>37</v>
      </c>
      <c r="P47" s="72">
        <f t="shared" si="4"/>
        <v>1</v>
      </c>
      <c r="Q47" s="39"/>
      <c r="R47" s="39">
        <f t="shared" si="5"/>
        <v>0</v>
      </c>
    </row>
    <row r="48">
      <c r="A48" s="25">
        <f t="shared" si="6"/>
        <v>44</v>
      </c>
      <c r="B48" s="80" t="s">
        <v>128</v>
      </c>
      <c r="C48" s="39"/>
      <c r="D48" s="39"/>
      <c r="E48" s="39"/>
      <c r="F48" s="39">
        <v>9.0</v>
      </c>
      <c r="G48" s="39"/>
      <c r="H48" s="39"/>
      <c r="I48" s="39"/>
      <c r="J48" s="71">
        <f t="shared" si="2"/>
        <v>9</v>
      </c>
      <c r="K48" s="39"/>
      <c r="L48" s="33">
        <f t="shared" si="22"/>
        <v>9</v>
      </c>
      <c r="M48" s="33">
        <f t="shared" si="23"/>
        <v>0</v>
      </c>
      <c r="N48" s="39" t="s">
        <v>37</v>
      </c>
      <c r="O48" s="39"/>
      <c r="P48" s="72">
        <f t="shared" si="4"/>
        <v>0</v>
      </c>
      <c r="Q48" s="39"/>
      <c r="R48" s="39">
        <f t="shared" si="5"/>
        <v>1</v>
      </c>
    </row>
    <row r="49">
      <c r="A49" s="25">
        <f t="shared" si="6"/>
        <v>45</v>
      </c>
      <c r="B49" s="26" t="s">
        <v>71</v>
      </c>
      <c r="C49" s="39"/>
      <c r="D49" s="39"/>
      <c r="E49" s="39"/>
      <c r="F49" s="39">
        <v>3.0</v>
      </c>
      <c r="G49" s="39"/>
      <c r="H49" s="39"/>
      <c r="I49" s="39"/>
      <c r="J49" s="71">
        <f t="shared" si="2"/>
        <v>3</v>
      </c>
      <c r="K49" s="39"/>
      <c r="L49" s="33">
        <f t="shared" si="22"/>
        <v>3</v>
      </c>
      <c r="M49" s="33">
        <f t="shared" si="23"/>
        <v>0</v>
      </c>
      <c r="N49" s="39" t="s">
        <v>37</v>
      </c>
      <c r="O49" s="73" t="s">
        <v>37</v>
      </c>
      <c r="P49" s="72">
        <f t="shared" si="4"/>
        <v>0</v>
      </c>
      <c r="Q49" s="39">
        <v>2.0</v>
      </c>
      <c r="R49" s="39">
        <f t="shared" si="5"/>
        <v>0</v>
      </c>
    </row>
    <row r="50">
      <c r="A50" s="25">
        <f t="shared" si="6"/>
        <v>46</v>
      </c>
      <c r="B50" s="26" t="s">
        <v>60</v>
      </c>
      <c r="C50" s="39"/>
      <c r="D50" s="39"/>
      <c r="E50" s="39"/>
      <c r="F50" s="39"/>
      <c r="G50" s="39">
        <v>6.0</v>
      </c>
      <c r="H50" s="39">
        <v>5.0</v>
      </c>
      <c r="I50" s="39">
        <v>6.0</v>
      </c>
      <c r="J50" s="71">
        <f t="shared" si="2"/>
        <v>17</v>
      </c>
      <c r="K50" s="39">
        <v>2.0</v>
      </c>
      <c r="L50" s="33">
        <f t="shared" si="22"/>
        <v>17</v>
      </c>
      <c r="M50" s="33">
        <f t="shared" si="23"/>
        <v>2</v>
      </c>
      <c r="N50" s="39" t="s">
        <v>37</v>
      </c>
      <c r="O50" s="73" t="s">
        <v>37</v>
      </c>
      <c r="P50" s="72">
        <f t="shared" si="4"/>
        <v>0</v>
      </c>
      <c r="Q50" s="39"/>
      <c r="R50" s="39">
        <f t="shared" si="5"/>
        <v>0</v>
      </c>
    </row>
    <row r="51">
      <c r="A51" s="25">
        <f t="shared" si="6"/>
        <v>47</v>
      </c>
      <c r="B51" s="26" t="s">
        <v>68</v>
      </c>
      <c r="C51" s="39"/>
      <c r="D51" s="39"/>
      <c r="E51" s="39"/>
      <c r="F51" s="39">
        <v>13.0</v>
      </c>
      <c r="G51" s="39"/>
      <c r="H51" s="39"/>
      <c r="I51" s="39"/>
      <c r="J51" s="71">
        <f t="shared" si="2"/>
        <v>13</v>
      </c>
      <c r="K51" s="39"/>
      <c r="L51" s="33">
        <f t="shared" si="22"/>
        <v>13</v>
      </c>
      <c r="M51" s="33">
        <f t="shared" si="23"/>
        <v>0</v>
      </c>
      <c r="N51" s="39" t="s">
        <v>37</v>
      </c>
      <c r="O51" s="73" t="s">
        <v>37</v>
      </c>
      <c r="P51" s="72">
        <f t="shared" si="4"/>
        <v>1</v>
      </c>
      <c r="Q51" s="39"/>
      <c r="R51" s="39">
        <f t="shared" si="5"/>
        <v>0</v>
      </c>
    </row>
    <row r="52">
      <c r="A52" s="25">
        <f t="shared" si="6"/>
        <v>48</v>
      </c>
      <c r="B52" s="26" t="s">
        <v>64</v>
      </c>
      <c r="C52" s="39"/>
      <c r="D52" s="39"/>
      <c r="E52" s="39"/>
      <c r="F52" s="39">
        <v>9.0</v>
      </c>
      <c r="G52" s="39"/>
      <c r="H52" s="39"/>
      <c r="I52" s="39"/>
      <c r="J52" s="71">
        <f t="shared" si="2"/>
        <v>9</v>
      </c>
      <c r="K52" s="39"/>
      <c r="L52" s="33">
        <f t="shared" si="22"/>
        <v>9</v>
      </c>
      <c r="M52" s="33">
        <f t="shared" si="23"/>
        <v>0</v>
      </c>
      <c r="N52" s="39" t="s">
        <v>37</v>
      </c>
      <c r="O52" s="73" t="s">
        <v>37</v>
      </c>
      <c r="P52" s="72">
        <f t="shared" si="4"/>
        <v>0</v>
      </c>
      <c r="Q52" s="39"/>
      <c r="R52" s="39">
        <f t="shared" si="5"/>
        <v>1</v>
      </c>
    </row>
    <row r="53">
      <c r="A53" s="25">
        <f t="shared" si="6"/>
        <v>49</v>
      </c>
      <c r="B53" s="36" t="s">
        <v>77</v>
      </c>
      <c r="C53" s="39"/>
      <c r="D53" s="39"/>
      <c r="E53" s="39"/>
      <c r="F53" s="39"/>
      <c r="G53" s="39">
        <v>6.0</v>
      </c>
      <c r="H53" s="39">
        <v>6.0</v>
      </c>
      <c r="I53" s="39">
        <v>3.0</v>
      </c>
      <c r="J53" s="71">
        <f t="shared" si="2"/>
        <v>15</v>
      </c>
      <c r="K53" s="39">
        <v>2.0</v>
      </c>
      <c r="L53" s="33">
        <f t="shared" si="22"/>
        <v>15</v>
      </c>
      <c r="M53" s="33">
        <f t="shared" si="23"/>
        <v>2</v>
      </c>
      <c r="N53" s="39" t="s">
        <v>37</v>
      </c>
      <c r="O53" s="73" t="s">
        <v>37</v>
      </c>
      <c r="P53" s="72">
        <f t="shared" si="4"/>
        <v>0</v>
      </c>
      <c r="Q53" s="39"/>
      <c r="R53" s="39">
        <f t="shared" si="5"/>
        <v>0</v>
      </c>
    </row>
    <row r="54">
      <c r="A54" s="25">
        <f t="shared" si="6"/>
        <v>50</v>
      </c>
      <c r="B54" s="26" t="s">
        <v>87</v>
      </c>
      <c r="C54" s="39"/>
      <c r="D54" s="39"/>
      <c r="E54" s="39"/>
      <c r="F54" s="39">
        <v>9.0</v>
      </c>
      <c r="G54" s="39"/>
      <c r="H54" s="39"/>
      <c r="I54" s="39"/>
      <c r="J54" s="71">
        <f t="shared" si="2"/>
        <v>9</v>
      </c>
      <c r="K54" s="39"/>
      <c r="L54" s="33">
        <f t="shared" si="22"/>
        <v>9</v>
      </c>
      <c r="M54" s="33">
        <f t="shared" si="23"/>
        <v>0</v>
      </c>
      <c r="N54" s="39" t="s">
        <v>37</v>
      </c>
      <c r="O54" s="73" t="s">
        <v>37</v>
      </c>
      <c r="P54" s="72">
        <f t="shared" si="4"/>
        <v>0</v>
      </c>
      <c r="Q54" s="39"/>
      <c r="R54" s="39">
        <f t="shared" si="5"/>
        <v>1</v>
      </c>
    </row>
    <row r="55">
      <c r="A55" s="25">
        <f t="shared" si="6"/>
        <v>51</v>
      </c>
      <c r="B55" s="36" t="s">
        <v>97</v>
      </c>
      <c r="C55" s="39"/>
      <c r="D55" s="39"/>
      <c r="E55" s="39"/>
      <c r="F55" s="39"/>
      <c r="G55" s="39">
        <v>2.0</v>
      </c>
      <c r="H55" s="39">
        <v>0.0</v>
      </c>
      <c r="I55" s="39">
        <v>1.0</v>
      </c>
      <c r="J55" s="71">
        <f t="shared" si="2"/>
        <v>3</v>
      </c>
      <c r="K55" s="39">
        <v>0.0</v>
      </c>
      <c r="L55" s="33">
        <f t="shared" si="22"/>
        <v>3</v>
      </c>
      <c r="M55" s="33">
        <f t="shared" si="23"/>
        <v>0</v>
      </c>
      <c r="N55" s="39" t="s">
        <v>37</v>
      </c>
      <c r="O55" s="73" t="s">
        <v>37</v>
      </c>
      <c r="P55" s="72">
        <f t="shared" si="4"/>
        <v>0</v>
      </c>
      <c r="Q55" s="39"/>
      <c r="R55" s="39">
        <f t="shared" si="5"/>
        <v>0</v>
      </c>
    </row>
    <row r="56">
      <c r="A56" s="25">
        <f t="shared" si="6"/>
        <v>52</v>
      </c>
      <c r="B56" s="26" t="s">
        <v>86</v>
      </c>
      <c r="C56" s="39"/>
      <c r="D56" s="39"/>
      <c r="E56" s="39"/>
      <c r="F56" s="39"/>
      <c r="G56" s="39">
        <v>1.0</v>
      </c>
      <c r="H56" s="39">
        <v>6.0</v>
      </c>
      <c r="I56" s="39">
        <v>6.0</v>
      </c>
      <c r="J56" s="71">
        <f t="shared" si="2"/>
        <v>13</v>
      </c>
      <c r="K56" s="39">
        <v>2.0</v>
      </c>
      <c r="L56" s="33">
        <f t="shared" si="22"/>
        <v>13</v>
      </c>
      <c r="M56" s="33">
        <f t="shared" si="23"/>
        <v>2</v>
      </c>
      <c r="N56" s="39" t="s">
        <v>37</v>
      </c>
      <c r="O56" s="73" t="s">
        <v>37</v>
      </c>
      <c r="P56" s="72">
        <f t="shared" si="4"/>
        <v>0</v>
      </c>
      <c r="Q56" s="39"/>
      <c r="R56" s="39">
        <f t="shared" si="5"/>
        <v>0</v>
      </c>
    </row>
    <row r="57">
      <c r="A57" s="1"/>
      <c r="C57" s="1"/>
      <c r="D57" s="1"/>
      <c r="E57" s="1"/>
      <c r="O57" s="1"/>
    </row>
    <row r="58">
      <c r="A58" s="1"/>
      <c r="B58" s="39">
        <f>COUNTA(B5:B56)</f>
        <v>52</v>
      </c>
      <c r="C58" s="1"/>
      <c r="D58" s="1"/>
      <c r="E58" s="1"/>
      <c r="N58" s="34" t="s">
        <v>110</v>
      </c>
      <c r="O58" s="40">
        <f>COUNTA(O5:O56)</f>
        <v>47</v>
      </c>
    </row>
    <row r="59">
      <c r="A59" s="1"/>
      <c r="C59" s="1"/>
      <c r="D59" s="1"/>
      <c r="E59" s="1"/>
      <c r="N59" s="34" t="s">
        <v>111</v>
      </c>
      <c r="O59" s="40">
        <f>O60-O58</f>
        <v>5</v>
      </c>
    </row>
    <row r="60">
      <c r="A60" s="1"/>
      <c r="C60" s="1"/>
      <c r="D60" s="1"/>
      <c r="I60" s="74">
        <v>0.0</v>
      </c>
      <c r="J60" s="75" t="s">
        <v>12</v>
      </c>
      <c r="K60" s="76">
        <f t="shared" ref="K60:K63" si="24">COUNTIF(E$5:E$56,I60)</f>
        <v>0</v>
      </c>
      <c r="N60" s="34" t="s">
        <v>41</v>
      </c>
      <c r="O60" s="40">
        <f>B58</f>
        <v>52</v>
      </c>
    </row>
    <row r="61">
      <c r="A61" s="1"/>
      <c r="C61" s="1"/>
      <c r="D61" s="1"/>
      <c r="I61" s="74">
        <v>1.0</v>
      </c>
      <c r="J61" s="75" t="s">
        <v>122</v>
      </c>
      <c r="K61" s="76">
        <f t="shared" si="24"/>
        <v>0</v>
      </c>
    </row>
    <row r="62">
      <c r="A62" s="1"/>
      <c r="C62" s="1"/>
      <c r="D62" s="1"/>
      <c r="I62" s="74">
        <v>2.0</v>
      </c>
      <c r="J62" s="75" t="s">
        <v>123</v>
      </c>
      <c r="K62" s="76">
        <f t="shared" si="24"/>
        <v>0</v>
      </c>
    </row>
    <row r="63">
      <c r="A63" s="1"/>
      <c r="C63" s="1"/>
      <c r="D63" s="1"/>
      <c r="I63" s="74">
        <v>3.0</v>
      </c>
      <c r="J63" s="75" t="s">
        <v>39</v>
      </c>
      <c r="K63" s="76">
        <f t="shared" si="24"/>
        <v>0</v>
      </c>
    </row>
    <row r="64">
      <c r="A64" s="1"/>
      <c r="C64" s="1"/>
      <c r="D64" s="1"/>
      <c r="I64" s="74">
        <v>4.0</v>
      </c>
      <c r="J64" s="75" t="s">
        <v>124</v>
      </c>
      <c r="K64" s="76">
        <f>sum(G61:G64)</f>
        <v>0</v>
      </c>
    </row>
    <row r="65">
      <c r="A65" s="1"/>
      <c r="C65" s="1"/>
      <c r="D65" s="1"/>
      <c r="E65" s="1"/>
      <c r="J65" s="75" t="s">
        <v>41</v>
      </c>
      <c r="K65" s="76">
        <f>sum(K60:K64)</f>
        <v>0</v>
      </c>
    </row>
    <row r="66">
      <c r="A66" s="1"/>
      <c r="C66" s="1"/>
      <c r="D66" s="1"/>
      <c r="E66" s="1"/>
      <c r="J66" s="34"/>
      <c r="K66" s="47"/>
    </row>
    <row r="67">
      <c r="A67" s="1"/>
      <c r="C67" s="1"/>
      <c r="D67" s="1"/>
      <c r="E67" s="1"/>
    </row>
    <row r="68">
      <c r="A68" s="1"/>
      <c r="C68" s="1"/>
      <c r="D68" s="1"/>
      <c r="E68" s="1"/>
    </row>
    <row r="69">
      <c r="A69" s="1"/>
      <c r="C69" s="1"/>
      <c r="D69" s="1"/>
      <c r="E69" s="1"/>
      <c r="J69" s="14" t="s">
        <v>122</v>
      </c>
      <c r="K69" s="13">
        <f>K61+K62+K64</f>
        <v>0</v>
      </c>
    </row>
    <row r="70">
      <c r="A70" s="1"/>
      <c r="C70" s="1"/>
      <c r="D70" s="1"/>
      <c r="E70" s="1"/>
      <c r="J70" s="14" t="s">
        <v>39</v>
      </c>
      <c r="K70" s="13">
        <f>K63</f>
        <v>0</v>
      </c>
    </row>
    <row r="71">
      <c r="A71" s="1"/>
      <c r="C71" s="1"/>
      <c r="D71" s="1"/>
      <c r="E71" s="1"/>
      <c r="J71" s="14" t="s">
        <v>40</v>
      </c>
      <c r="K71" s="13">
        <f>K60</f>
        <v>0</v>
      </c>
    </row>
    <row r="72">
      <c r="A72" s="1"/>
      <c r="C72" s="1"/>
      <c r="D72" s="1"/>
      <c r="E72" s="1"/>
      <c r="J72" s="14" t="s">
        <v>41</v>
      </c>
      <c r="K72" s="13">
        <f>SUM(K69:K71)</f>
        <v>0</v>
      </c>
    </row>
    <row r="73">
      <c r="A73" s="1"/>
      <c r="C73" s="1"/>
      <c r="D73" s="1"/>
      <c r="E73" s="1"/>
    </row>
    <row r="74">
      <c r="A74" s="1"/>
      <c r="C74" s="1"/>
      <c r="D74" s="1"/>
      <c r="E74" s="1"/>
    </row>
    <row r="75">
      <c r="A75" s="1"/>
      <c r="C75" s="1"/>
      <c r="D75" s="1"/>
      <c r="E75" s="1"/>
    </row>
    <row r="76">
      <c r="A76" s="1"/>
      <c r="C76" s="1"/>
      <c r="D76" s="1"/>
      <c r="E76" s="1"/>
    </row>
    <row r="77">
      <c r="A77" s="1"/>
      <c r="C77" s="1"/>
      <c r="D77" s="1"/>
      <c r="E77" s="1"/>
    </row>
    <row r="78">
      <c r="A78" s="1"/>
      <c r="C78" s="1"/>
      <c r="D78" s="1"/>
      <c r="E78" s="1"/>
    </row>
    <row r="79">
      <c r="A79" s="1"/>
      <c r="C79" s="1"/>
      <c r="D79" s="1"/>
      <c r="E79" s="1"/>
    </row>
    <row r="80">
      <c r="A80" s="1"/>
      <c r="C80" s="1"/>
      <c r="D80" s="1"/>
      <c r="E80" s="1"/>
    </row>
    <row r="81">
      <c r="A81" s="1"/>
      <c r="C81" s="1"/>
      <c r="D81" s="1"/>
      <c r="E81" s="1"/>
    </row>
    <row r="82">
      <c r="A82" s="1"/>
      <c r="C82" s="1"/>
      <c r="D82" s="1"/>
      <c r="E82" s="1"/>
    </row>
    <row r="83">
      <c r="A83" s="1"/>
      <c r="C83" s="1"/>
      <c r="D83" s="1"/>
      <c r="E83" s="1"/>
    </row>
    <row r="84">
      <c r="A84" s="1"/>
      <c r="C84" s="1"/>
      <c r="D84" s="1"/>
      <c r="E84" s="1"/>
    </row>
    <row r="85">
      <c r="A85" s="1"/>
      <c r="C85" s="1"/>
      <c r="D85" s="1"/>
      <c r="E85" s="1"/>
    </row>
    <row r="86">
      <c r="A86" s="1"/>
      <c r="C86" s="1"/>
      <c r="D86" s="1"/>
      <c r="E86" s="1"/>
    </row>
    <row r="87">
      <c r="A87" s="1"/>
      <c r="C87" s="1"/>
      <c r="D87" s="1"/>
      <c r="E87" s="1"/>
    </row>
    <row r="88">
      <c r="A88" s="1"/>
      <c r="C88" s="1"/>
      <c r="D88" s="1"/>
      <c r="E88" s="1"/>
    </row>
    <row r="89">
      <c r="A89" s="1"/>
      <c r="C89" s="1"/>
      <c r="D89" s="1"/>
      <c r="E89" s="1"/>
    </row>
    <row r="90">
      <c r="A90" s="1"/>
      <c r="C90" s="1"/>
      <c r="D90" s="1"/>
      <c r="E90" s="1"/>
    </row>
    <row r="91">
      <c r="A91" s="1"/>
      <c r="C91" s="1"/>
      <c r="D91" s="1"/>
      <c r="E91" s="1"/>
    </row>
    <row r="92">
      <c r="A92" s="1"/>
      <c r="C92" s="1"/>
      <c r="D92" s="1"/>
      <c r="E92" s="1"/>
    </row>
    <row r="93">
      <c r="A93" s="1"/>
      <c r="C93" s="1"/>
      <c r="D93" s="1"/>
      <c r="E93" s="1"/>
    </row>
    <row r="94">
      <c r="A94" s="1"/>
      <c r="C94" s="1"/>
      <c r="D94" s="1"/>
      <c r="E94" s="1"/>
    </row>
    <row r="95">
      <c r="A95" s="1"/>
      <c r="C95" s="1"/>
      <c r="D95" s="1"/>
      <c r="E95" s="1"/>
    </row>
    <row r="96">
      <c r="A96" s="1"/>
      <c r="C96" s="1"/>
      <c r="D96" s="1"/>
      <c r="E96" s="1"/>
    </row>
    <row r="97">
      <c r="A97" s="1"/>
      <c r="C97" s="1"/>
      <c r="D97" s="1"/>
      <c r="E97" s="1"/>
    </row>
    <row r="98">
      <c r="A98" s="1"/>
      <c r="C98" s="1"/>
      <c r="D98" s="1"/>
      <c r="E98" s="1"/>
    </row>
    <row r="99">
      <c r="A99" s="1"/>
      <c r="C99" s="1"/>
      <c r="D99" s="1"/>
      <c r="E99" s="1"/>
    </row>
    <row r="100">
      <c r="A100" s="1"/>
      <c r="C100" s="1"/>
      <c r="D100" s="1"/>
      <c r="E100" s="1"/>
    </row>
    <row r="101">
      <c r="A101" s="1"/>
      <c r="C101" s="1"/>
      <c r="D101" s="1"/>
      <c r="E101" s="1"/>
    </row>
    <row r="102">
      <c r="A102" s="1"/>
      <c r="C102" s="1"/>
      <c r="D102" s="1"/>
      <c r="E102" s="1"/>
    </row>
    <row r="103">
      <c r="A103" s="1"/>
      <c r="C103" s="1"/>
      <c r="D103" s="1"/>
      <c r="E103" s="1"/>
    </row>
    <row r="104">
      <c r="A104" s="1"/>
      <c r="C104" s="1"/>
      <c r="D104" s="1"/>
      <c r="E104" s="1"/>
    </row>
    <row r="105">
      <c r="A105" s="1"/>
      <c r="C105" s="1"/>
      <c r="D105" s="1"/>
      <c r="E105" s="1"/>
    </row>
    <row r="106">
      <c r="A106" s="1"/>
      <c r="C106" s="1"/>
      <c r="D106" s="1"/>
      <c r="E106" s="1"/>
    </row>
    <row r="107">
      <c r="A107" s="1"/>
      <c r="C107" s="1"/>
      <c r="D107" s="1"/>
      <c r="E107" s="1"/>
    </row>
    <row r="108">
      <c r="A108" s="1"/>
      <c r="C108" s="1"/>
      <c r="D108" s="1"/>
      <c r="E108" s="1"/>
    </row>
    <row r="109">
      <c r="A109" s="1"/>
      <c r="C109" s="1"/>
      <c r="D109" s="1"/>
      <c r="E109" s="1"/>
    </row>
    <row r="110">
      <c r="A110" s="1"/>
      <c r="C110" s="1"/>
      <c r="D110" s="1"/>
      <c r="E110" s="1"/>
    </row>
    <row r="111">
      <c r="A111" s="1"/>
      <c r="C111" s="1"/>
      <c r="D111" s="1"/>
      <c r="E111" s="1"/>
    </row>
    <row r="112">
      <c r="A112" s="1"/>
      <c r="C112" s="1"/>
      <c r="D112" s="1"/>
      <c r="E112" s="1"/>
    </row>
    <row r="113">
      <c r="A113" s="1"/>
      <c r="C113" s="1"/>
      <c r="D113" s="1"/>
      <c r="E113" s="1"/>
    </row>
    <row r="114">
      <c r="A114" s="1"/>
      <c r="C114" s="1"/>
      <c r="D114" s="1"/>
      <c r="E114" s="1"/>
    </row>
    <row r="115">
      <c r="A115" s="1"/>
      <c r="C115" s="1"/>
      <c r="D115" s="1"/>
      <c r="E115" s="1"/>
    </row>
    <row r="116">
      <c r="A116" s="1"/>
      <c r="C116" s="1"/>
      <c r="D116" s="1"/>
      <c r="E116" s="1"/>
    </row>
    <row r="117">
      <c r="A117" s="1"/>
      <c r="C117" s="1"/>
      <c r="D117" s="1"/>
      <c r="E117" s="1"/>
    </row>
    <row r="118">
      <c r="A118" s="1"/>
      <c r="C118" s="1"/>
      <c r="D118" s="1"/>
      <c r="E118" s="1"/>
    </row>
    <row r="119">
      <c r="A119" s="1"/>
      <c r="C119" s="1"/>
      <c r="D119" s="1"/>
      <c r="E119" s="1"/>
    </row>
    <row r="120">
      <c r="A120" s="1"/>
      <c r="C120" s="1"/>
      <c r="D120" s="1"/>
      <c r="E120" s="1"/>
    </row>
    <row r="121">
      <c r="A121" s="1"/>
      <c r="C121" s="1"/>
      <c r="D121" s="1"/>
      <c r="E121" s="1"/>
    </row>
    <row r="122">
      <c r="A122" s="1"/>
      <c r="C122" s="1"/>
      <c r="D122" s="1"/>
      <c r="E122" s="1"/>
    </row>
    <row r="123">
      <c r="A123" s="1"/>
      <c r="C123" s="1"/>
      <c r="D123" s="1"/>
      <c r="E123" s="1"/>
    </row>
    <row r="124">
      <c r="A124" s="1"/>
      <c r="C124" s="1"/>
      <c r="D124" s="1"/>
      <c r="E124" s="1"/>
    </row>
    <row r="125">
      <c r="A125" s="1"/>
      <c r="C125" s="1"/>
      <c r="D125" s="1"/>
      <c r="E125" s="1"/>
    </row>
    <row r="126">
      <c r="A126" s="1"/>
      <c r="C126" s="1"/>
      <c r="D126" s="1"/>
      <c r="E126" s="1"/>
    </row>
    <row r="127">
      <c r="A127" s="1"/>
      <c r="C127" s="1"/>
      <c r="D127" s="1"/>
      <c r="E127" s="1"/>
    </row>
    <row r="128">
      <c r="A128" s="1"/>
      <c r="C128" s="1"/>
      <c r="D128" s="1"/>
      <c r="E128" s="1"/>
    </row>
    <row r="129">
      <c r="A129" s="1"/>
      <c r="C129" s="1"/>
      <c r="D129" s="1"/>
      <c r="E129" s="1"/>
    </row>
    <row r="130">
      <c r="A130" s="1"/>
      <c r="C130" s="1"/>
      <c r="D130" s="1"/>
      <c r="E130" s="1"/>
    </row>
    <row r="131">
      <c r="A131" s="1"/>
      <c r="C131" s="1"/>
      <c r="D131" s="1"/>
      <c r="E131" s="1"/>
    </row>
    <row r="132">
      <c r="A132" s="1"/>
      <c r="C132" s="1"/>
      <c r="D132" s="1"/>
      <c r="E132" s="1"/>
    </row>
    <row r="133">
      <c r="A133" s="1"/>
      <c r="C133" s="1"/>
      <c r="D133" s="1"/>
      <c r="E133" s="1"/>
    </row>
    <row r="134">
      <c r="A134" s="1"/>
      <c r="C134" s="1"/>
      <c r="D134" s="1"/>
      <c r="E134" s="1"/>
    </row>
    <row r="135">
      <c r="A135" s="1"/>
      <c r="C135" s="1"/>
      <c r="D135" s="1"/>
      <c r="E135" s="1"/>
    </row>
    <row r="136">
      <c r="A136" s="1"/>
      <c r="C136" s="1"/>
      <c r="D136" s="1"/>
      <c r="E136" s="1"/>
    </row>
    <row r="137">
      <c r="A137" s="1"/>
      <c r="C137" s="1"/>
      <c r="D137" s="1"/>
      <c r="E137" s="1"/>
    </row>
    <row r="138">
      <c r="A138" s="1"/>
      <c r="C138" s="1"/>
      <c r="D138" s="1"/>
      <c r="E138" s="1"/>
    </row>
    <row r="139">
      <c r="A139" s="1"/>
      <c r="C139" s="1"/>
      <c r="D139" s="1"/>
      <c r="E139" s="1"/>
    </row>
    <row r="140">
      <c r="A140" s="1"/>
      <c r="C140" s="1"/>
      <c r="D140" s="1"/>
      <c r="E140" s="1"/>
    </row>
    <row r="141">
      <c r="A141" s="1"/>
      <c r="C141" s="1"/>
      <c r="D141" s="1"/>
      <c r="E141" s="1"/>
    </row>
    <row r="142">
      <c r="A142" s="1"/>
      <c r="C142" s="1"/>
      <c r="D142" s="1"/>
      <c r="E142" s="1"/>
    </row>
    <row r="143">
      <c r="A143" s="1"/>
      <c r="C143" s="1"/>
      <c r="D143" s="1"/>
      <c r="E143" s="1"/>
    </row>
    <row r="144">
      <c r="A144" s="1"/>
      <c r="C144" s="1"/>
      <c r="D144" s="1"/>
      <c r="E144" s="1"/>
    </row>
    <row r="145">
      <c r="A145" s="1"/>
      <c r="C145" s="1"/>
      <c r="D145" s="1"/>
      <c r="E145" s="1"/>
    </row>
    <row r="146">
      <c r="A146" s="1"/>
      <c r="C146" s="1"/>
      <c r="D146" s="1"/>
      <c r="E146" s="1"/>
    </row>
    <row r="147">
      <c r="A147" s="1"/>
      <c r="C147" s="1"/>
      <c r="D147" s="1"/>
      <c r="E147" s="1"/>
    </row>
    <row r="148">
      <c r="A148" s="1"/>
      <c r="C148" s="1"/>
      <c r="D148" s="1"/>
      <c r="E148" s="1"/>
    </row>
    <row r="149">
      <c r="A149" s="1"/>
      <c r="C149" s="1"/>
      <c r="D149" s="1"/>
      <c r="E149" s="1"/>
    </row>
    <row r="150">
      <c r="A150" s="1"/>
      <c r="C150" s="1"/>
      <c r="D150" s="1"/>
      <c r="E150" s="1"/>
    </row>
    <row r="151">
      <c r="A151" s="1"/>
      <c r="C151" s="1"/>
      <c r="D151" s="1"/>
      <c r="E151" s="1"/>
    </row>
    <row r="152">
      <c r="A152" s="1"/>
      <c r="C152" s="1"/>
      <c r="D152" s="1"/>
      <c r="E152" s="1"/>
    </row>
    <row r="153">
      <c r="A153" s="1"/>
      <c r="C153" s="1"/>
      <c r="D153" s="1"/>
      <c r="E153" s="1"/>
    </row>
    <row r="154">
      <c r="A154" s="1"/>
      <c r="C154" s="1"/>
      <c r="D154" s="1"/>
      <c r="E154" s="1"/>
    </row>
    <row r="155">
      <c r="A155" s="1"/>
      <c r="C155" s="1"/>
      <c r="D155" s="1"/>
      <c r="E155" s="1"/>
    </row>
    <row r="156">
      <c r="A156" s="1"/>
      <c r="C156" s="1"/>
      <c r="D156" s="1"/>
      <c r="E156" s="1"/>
    </row>
    <row r="157">
      <c r="A157" s="1"/>
      <c r="C157" s="1"/>
      <c r="D157" s="1"/>
      <c r="E157" s="1"/>
    </row>
    <row r="158">
      <c r="A158" s="1"/>
      <c r="C158" s="1"/>
      <c r="D158" s="1"/>
      <c r="E158" s="1"/>
    </row>
    <row r="159">
      <c r="A159" s="1"/>
      <c r="C159" s="1"/>
      <c r="D159" s="1"/>
      <c r="E159" s="1"/>
    </row>
    <row r="160">
      <c r="A160" s="1"/>
      <c r="C160" s="1"/>
      <c r="D160" s="1"/>
      <c r="E160" s="1"/>
    </row>
    <row r="161">
      <c r="A161" s="1"/>
      <c r="C161" s="1"/>
      <c r="D161" s="1"/>
      <c r="E161" s="1"/>
    </row>
    <row r="162">
      <c r="A162" s="1"/>
      <c r="C162" s="1"/>
      <c r="D162" s="1"/>
      <c r="E162" s="1"/>
    </row>
    <row r="163">
      <c r="A163" s="1"/>
      <c r="C163" s="1"/>
      <c r="D163" s="1"/>
      <c r="E163" s="1"/>
    </row>
    <row r="164">
      <c r="A164" s="1"/>
      <c r="C164" s="1"/>
      <c r="D164" s="1"/>
      <c r="E164" s="1"/>
    </row>
    <row r="165">
      <c r="A165" s="1"/>
      <c r="C165" s="1"/>
      <c r="D165" s="1"/>
      <c r="E165" s="1"/>
    </row>
    <row r="166">
      <c r="A166" s="1"/>
      <c r="C166" s="1"/>
      <c r="D166" s="1"/>
      <c r="E166" s="1"/>
    </row>
    <row r="167">
      <c r="A167" s="1"/>
      <c r="C167" s="1"/>
      <c r="D167" s="1"/>
      <c r="E167" s="1"/>
    </row>
    <row r="168">
      <c r="A168" s="1"/>
      <c r="C168" s="1"/>
      <c r="D168" s="1"/>
      <c r="E168" s="1"/>
    </row>
    <row r="169">
      <c r="A169" s="1"/>
      <c r="C169" s="1"/>
      <c r="D169" s="1"/>
      <c r="E169" s="1"/>
    </row>
    <row r="170">
      <c r="A170" s="1"/>
      <c r="C170" s="1"/>
      <c r="D170" s="1"/>
      <c r="E170" s="1"/>
    </row>
    <row r="171">
      <c r="A171" s="1"/>
      <c r="C171" s="1"/>
      <c r="D171" s="1"/>
      <c r="E171" s="1"/>
    </row>
    <row r="172">
      <c r="A172" s="1"/>
      <c r="C172" s="1"/>
      <c r="D172" s="1"/>
      <c r="E172" s="1"/>
    </row>
    <row r="173">
      <c r="A173" s="1"/>
      <c r="C173" s="1"/>
      <c r="D173" s="1"/>
      <c r="E173" s="1"/>
    </row>
    <row r="174">
      <c r="A174" s="1"/>
      <c r="C174" s="1"/>
      <c r="D174" s="1"/>
      <c r="E174" s="1"/>
    </row>
    <row r="175">
      <c r="A175" s="1"/>
      <c r="C175" s="1"/>
      <c r="D175" s="1"/>
      <c r="E175" s="1"/>
    </row>
    <row r="176">
      <c r="A176" s="1"/>
      <c r="C176" s="1"/>
      <c r="D176" s="1"/>
      <c r="E176" s="1"/>
    </row>
    <row r="177">
      <c r="A177" s="1"/>
      <c r="C177" s="1"/>
      <c r="D177" s="1"/>
      <c r="E177" s="1"/>
    </row>
    <row r="178">
      <c r="A178" s="1"/>
      <c r="C178" s="1"/>
      <c r="D178" s="1"/>
      <c r="E178" s="1"/>
    </row>
    <row r="179">
      <c r="A179" s="1"/>
      <c r="C179" s="1"/>
      <c r="D179" s="1"/>
      <c r="E179" s="1"/>
    </row>
    <row r="180">
      <c r="A180" s="1"/>
      <c r="C180" s="1"/>
      <c r="D180" s="1"/>
      <c r="E180" s="1"/>
    </row>
    <row r="181">
      <c r="A181" s="1"/>
      <c r="C181" s="1"/>
      <c r="D181" s="1"/>
      <c r="E181" s="1"/>
    </row>
    <row r="182">
      <c r="A182" s="1"/>
      <c r="C182" s="1"/>
      <c r="D182" s="1"/>
      <c r="E182" s="1"/>
    </row>
    <row r="183">
      <c r="A183" s="1"/>
      <c r="C183" s="1"/>
      <c r="D183" s="1"/>
      <c r="E183" s="1"/>
    </row>
    <row r="184">
      <c r="A184" s="1"/>
      <c r="C184" s="1"/>
      <c r="D184" s="1"/>
      <c r="E184" s="1"/>
    </row>
    <row r="185">
      <c r="A185" s="1"/>
      <c r="C185" s="1"/>
      <c r="D185" s="1"/>
      <c r="E185" s="1"/>
    </row>
    <row r="186">
      <c r="A186" s="1"/>
      <c r="C186" s="1"/>
      <c r="D186" s="1"/>
      <c r="E186" s="1"/>
    </row>
    <row r="187">
      <c r="A187" s="1"/>
      <c r="C187" s="1"/>
      <c r="D187" s="1"/>
      <c r="E187" s="1"/>
    </row>
    <row r="188">
      <c r="A188" s="1"/>
      <c r="C188" s="1"/>
      <c r="D188" s="1"/>
      <c r="E188" s="1"/>
    </row>
    <row r="189">
      <c r="A189" s="1"/>
      <c r="C189" s="1"/>
      <c r="D189" s="1"/>
      <c r="E189" s="1"/>
    </row>
    <row r="190">
      <c r="A190" s="1"/>
      <c r="C190" s="1"/>
      <c r="D190" s="1"/>
      <c r="E190" s="1"/>
    </row>
    <row r="191">
      <c r="A191" s="1"/>
      <c r="C191" s="1"/>
      <c r="D191" s="1"/>
      <c r="E191" s="1"/>
    </row>
    <row r="192">
      <c r="A192" s="1"/>
      <c r="C192" s="1"/>
      <c r="D192" s="1"/>
      <c r="E192" s="1"/>
    </row>
    <row r="193">
      <c r="A193" s="1"/>
      <c r="C193" s="1"/>
      <c r="D193" s="1"/>
      <c r="E193" s="1"/>
    </row>
    <row r="194">
      <c r="A194" s="1"/>
      <c r="C194" s="1"/>
      <c r="D194" s="1"/>
      <c r="E194" s="1"/>
    </row>
    <row r="195">
      <c r="A195" s="1"/>
      <c r="C195" s="1"/>
      <c r="D195" s="1"/>
      <c r="E195" s="1"/>
    </row>
    <row r="196">
      <c r="A196" s="1"/>
      <c r="C196" s="1"/>
      <c r="D196" s="1"/>
      <c r="E196" s="1"/>
    </row>
    <row r="197">
      <c r="A197" s="1"/>
      <c r="C197" s="1"/>
      <c r="D197" s="1"/>
      <c r="E197" s="1"/>
    </row>
    <row r="198">
      <c r="A198" s="1"/>
      <c r="C198" s="1"/>
      <c r="D198" s="1"/>
      <c r="E198" s="1"/>
    </row>
    <row r="199">
      <c r="A199" s="1"/>
      <c r="C199" s="1"/>
      <c r="D199" s="1"/>
      <c r="E199" s="1"/>
    </row>
    <row r="200">
      <c r="A200" s="1"/>
      <c r="C200" s="1"/>
      <c r="D200" s="1"/>
      <c r="E200" s="1"/>
    </row>
    <row r="201">
      <c r="A201" s="1"/>
      <c r="C201" s="1"/>
      <c r="D201" s="1"/>
      <c r="E201" s="1"/>
    </row>
    <row r="202">
      <c r="A202" s="1"/>
      <c r="C202" s="1"/>
      <c r="D202" s="1"/>
      <c r="E202" s="1"/>
    </row>
    <row r="203">
      <c r="A203" s="1"/>
      <c r="C203" s="1"/>
      <c r="D203" s="1"/>
      <c r="E203" s="1"/>
    </row>
    <row r="204">
      <c r="A204" s="1"/>
      <c r="C204" s="1"/>
      <c r="D204" s="1"/>
      <c r="E204" s="1"/>
    </row>
    <row r="205">
      <c r="A205" s="1"/>
      <c r="C205" s="1"/>
      <c r="D205" s="1"/>
      <c r="E205" s="1"/>
    </row>
    <row r="206">
      <c r="A206" s="1"/>
      <c r="C206" s="1"/>
      <c r="D206" s="1"/>
      <c r="E206" s="1"/>
    </row>
    <row r="207">
      <c r="A207" s="1"/>
      <c r="C207" s="1"/>
      <c r="D207" s="1"/>
      <c r="E207" s="1"/>
    </row>
    <row r="208">
      <c r="A208" s="1"/>
      <c r="C208" s="1"/>
      <c r="D208" s="1"/>
      <c r="E208" s="1"/>
    </row>
    <row r="209">
      <c r="A209" s="1"/>
      <c r="C209" s="1"/>
      <c r="D209" s="1"/>
      <c r="E209" s="1"/>
    </row>
    <row r="210">
      <c r="A210" s="1"/>
      <c r="C210" s="1"/>
      <c r="D210" s="1"/>
      <c r="E210" s="1"/>
    </row>
    <row r="211">
      <c r="A211" s="1"/>
      <c r="C211" s="1"/>
      <c r="D211" s="1"/>
      <c r="E211" s="1"/>
    </row>
    <row r="212">
      <c r="A212" s="1"/>
      <c r="C212" s="1"/>
      <c r="D212" s="1"/>
      <c r="E212" s="1"/>
    </row>
    <row r="213">
      <c r="A213" s="1"/>
      <c r="C213" s="1"/>
      <c r="D213" s="1"/>
      <c r="E213" s="1"/>
    </row>
    <row r="214">
      <c r="A214" s="1"/>
      <c r="C214" s="1"/>
      <c r="D214" s="1"/>
      <c r="E214" s="1"/>
    </row>
    <row r="215">
      <c r="A215" s="1"/>
      <c r="C215" s="1"/>
      <c r="D215" s="1"/>
      <c r="E215" s="1"/>
    </row>
    <row r="216">
      <c r="A216" s="1"/>
      <c r="C216" s="1"/>
      <c r="D216" s="1"/>
      <c r="E216" s="1"/>
    </row>
    <row r="217">
      <c r="A217" s="1"/>
      <c r="C217" s="1"/>
      <c r="D217" s="1"/>
      <c r="E217" s="1"/>
    </row>
    <row r="218">
      <c r="A218" s="1"/>
      <c r="C218" s="1"/>
      <c r="D218" s="1"/>
      <c r="E218" s="1"/>
    </row>
    <row r="219">
      <c r="A219" s="1"/>
      <c r="C219" s="1"/>
      <c r="D219" s="1"/>
      <c r="E219" s="1"/>
    </row>
    <row r="220">
      <c r="A220" s="1"/>
      <c r="C220" s="1"/>
      <c r="D220" s="1"/>
      <c r="E220" s="1"/>
    </row>
    <row r="221">
      <c r="A221" s="1"/>
      <c r="C221" s="1"/>
      <c r="D221" s="1"/>
      <c r="E221" s="1"/>
    </row>
    <row r="222">
      <c r="A222" s="1"/>
      <c r="C222" s="1"/>
      <c r="D222" s="1"/>
      <c r="E222" s="1"/>
    </row>
    <row r="223">
      <c r="A223" s="1"/>
      <c r="C223" s="1"/>
      <c r="D223" s="1"/>
      <c r="E223" s="1"/>
    </row>
    <row r="224">
      <c r="A224" s="1"/>
      <c r="C224" s="1"/>
      <c r="D224" s="1"/>
      <c r="E224" s="1"/>
    </row>
    <row r="225">
      <c r="A225" s="1"/>
      <c r="C225" s="1"/>
      <c r="D225" s="1"/>
      <c r="E225" s="1"/>
    </row>
    <row r="226">
      <c r="A226" s="1"/>
      <c r="C226" s="1"/>
      <c r="D226" s="1"/>
      <c r="E226" s="1"/>
    </row>
    <row r="227">
      <c r="A227" s="1"/>
      <c r="C227" s="1"/>
      <c r="D227" s="1"/>
      <c r="E227" s="1"/>
    </row>
    <row r="228">
      <c r="A228" s="1"/>
      <c r="C228" s="1"/>
      <c r="D228" s="1"/>
      <c r="E228" s="1"/>
    </row>
    <row r="229">
      <c r="A229" s="1"/>
      <c r="C229" s="1"/>
      <c r="D229" s="1"/>
      <c r="E229" s="1"/>
    </row>
    <row r="230">
      <c r="A230" s="1"/>
      <c r="C230" s="1"/>
      <c r="D230" s="1"/>
      <c r="E230" s="1"/>
    </row>
    <row r="231">
      <c r="A231" s="1"/>
      <c r="C231" s="1"/>
      <c r="D231" s="1"/>
      <c r="E231" s="1"/>
    </row>
    <row r="232">
      <c r="A232" s="1"/>
      <c r="C232" s="1"/>
      <c r="D232" s="1"/>
      <c r="E232" s="1"/>
    </row>
    <row r="233">
      <c r="A233" s="1"/>
      <c r="C233" s="1"/>
      <c r="D233" s="1"/>
      <c r="E233" s="1"/>
    </row>
    <row r="234">
      <c r="A234" s="1"/>
      <c r="C234" s="1"/>
      <c r="D234" s="1"/>
      <c r="E234" s="1"/>
    </row>
    <row r="235">
      <c r="A235" s="1"/>
      <c r="C235" s="1"/>
      <c r="D235" s="1"/>
      <c r="E235" s="1"/>
    </row>
    <row r="236">
      <c r="A236" s="1"/>
      <c r="C236" s="1"/>
      <c r="D236" s="1"/>
      <c r="E236" s="1"/>
    </row>
    <row r="237">
      <c r="A237" s="1"/>
      <c r="C237" s="1"/>
      <c r="D237" s="1"/>
      <c r="E237" s="1"/>
    </row>
    <row r="238">
      <c r="A238" s="1"/>
      <c r="C238" s="1"/>
      <c r="D238" s="1"/>
      <c r="E238" s="1"/>
    </row>
    <row r="239">
      <c r="A239" s="1"/>
      <c r="C239" s="1"/>
      <c r="D239" s="1"/>
      <c r="E239" s="1"/>
    </row>
    <row r="240">
      <c r="A240" s="1"/>
      <c r="C240" s="1"/>
      <c r="D240" s="1"/>
      <c r="E240" s="1"/>
    </row>
    <row r="241">
      <c r="A241" s="1"/>
      <c r="C241" s="1"/>
      <c r="D241" s="1"/>
      <c r="E241" s="1"/>
    </row>
    <row r="242">
      <c r="A242" s="1"/>
      <c r="C242" s="1"/>
      <c r="D242" s="1"/>
      <c r="E242" s="1"/>
    </row>
    <row r="243">
      <c r="A243" s="1"/>
      <c r="C243" s="1"/>
      <c r="D243" s="1"/>
      <c r="E243" s="1"/>
    </row>
    <row r="244">
      <c r="A244" s="1"/>
      <c r="C244" s="1"/>
      <c r="D244" s="1"/>
      <c r="E244" s="1"/>
    </row>
    <row r="245">
      <c r="A245" s="1"/>
      <c r="C245" s="1"/>
      <c r="D245" s="1"/>
      <c r="E245" s="1"/>
    </row>
    <row r="246">
      <c r="A246" s="1"/>
      <c r="C246" s="1"/>
      <c r="D246" s="1"/>
      <c r="E246" s="1"/>
    </row>
    <row r="247">
      <c r="A247" s="1"/>
      <c r="C247" s="1"/>
      <c r="D247" s="1"/>
      <c r="E247" s="1"/>
    </row>
    <row r="248">
      <c r="A248" s="1"/>
      <c r="C248" s="1"/>
      <c r="D248" s="1"/>
      <c r="E248" s="1"/>
    </row>
    <row r="249">
      <c r="A249" s="1"/>
      <c r="C249" s="1"/>
      <c r="D249" s="1"/>
      <c r="E249" s="1"/>
    </row>
    <row r="250">
      <c r="A250" s="1"/>
      <c r="C250" s="1"/>
      <c r="D250" s="1"/>
      <c r="E250" s="1"/>
    </row>
    <row r="251">
      <c r="A251" s="1"/>
      <c r="C251" s="1"/>
      <c r="D251" s="1"/>
      <c r="E251" s="1"/>
    </row>
    <row r="252">
      <c r="A252" s="1"/>
      <c r="C252" s="1"/>
      <c r="D252" s="1"/>
      <c r="E252" s="1"/>
    </row>
    <row r="253">
      <c r="A253" s="1"/>
      <c r="C253" s="1"/>
      <c r="D253" s="1"/>
      <c r="E253" s="1"/>
    </row>
    <row r="254">
      <c r="A254" s="1"/>
      <c r="C254" s="1"/>
      <c r="D254" s="1"/>
      <c r="E254" s="1"/>
    </row>
    <row r="255">
      <c r="A255" s="1"/>
      <c r="C255" s="1"/>
      <c r="D255" s="1"/>
      <c r="E255" s="1"/>
    </row>
    <row r="256">
      <c r="A256" s="1"/>
      <c r="C256" s="1"/>
      <c r="D256" s="1"/>
      <c r="E256" s="1"/>
    </row>
    <row r="257">
      <c r="A257" s="1"/>
      <c r="C257" s="1"/>
      <c r="D257" s="1"/>
      <c r="E257" s="1"/>
    </row>
    <row r="258">
      <c r="A258" s="1"/>
      <c r="C258" s="1"/>
      <c r="D258" s="1"/>
      <c r="E258" s="1"/>
    </row>
    <row r="259">
      <c r="A259" s="1"/>
      <c r="C259" s="1"/>
      <c r="D259" s="1"/>
      <c r="E259" s="1"/>
    </row>
    <row r="260">
      <c r="A260" s="1"/>
      <c r="C260" s="1"/>
      <c r="D260" s="1"/>
      <c r="E260" s="1"/>
    </row>
    <row r="261">
      <c r="A261" s="1"/>
      <c r="C261" s="1"/>
      <c r="D261" s="1"/>
      <c r="E261" s="1"/>
    </row>
    <row r="262">
      <c r="A262" s="1"/>
      <c r="C262" s="1"/>
      <c r="D262" s="1"/>
      <c r="E262" s="1"/>
    </row>
    <row r="263">
      <c r="A263" s="1"/>
      <c r="C263" s="1"/>
      <c r="D263" s="1"/>
      <c r="E263" s="1"/>
    </row>
    <row r="264">
      <c r="A264" s="1"/>
      <c r="C264" s="1"/>
      <c r="D264" s="1"/>
      <c r="E264" s="1"/>
    </row>
    <row r="265">
      <c r="A265" s="1"/>
      <c r="C265" s="1"/>
      <c r="D265" s="1"/>
      <c r="E265" s="1"/>
    </row>
    <row r="266">
      <c r="A266" s="1"/>
      <c r="C266" s="1"/>
      <c r="D266" s="1"/>
      <c r="E266" s="1"/>
    </row>
    <row r="267">
      <c r="A267" s="1"/>
      <c r="C267" s="1"/>
      <c r="D267" s="1"/>
      <c r="E267" s="1"/>
    </row>
    <row r="268">
      <c r="A268" s="1"/>
      <c r="C268" s="1"/>
      <c r="D268" s="1"/>
      <c r="E268" s="1"/>
    </row>
    <row r="269">
      <c r="A269" s="1"/>
      <c r="C269" s="1"/>
      <c r="D269" s="1"/>
      <c r="E269" s="1"/>
    </row>
    <row r="270">
      <c r="A270" s="1"/>
      <c r="C270" s="1"/>
      <c r="D270" s="1"/>
      <c r="E270" s="1"/>
    </row>
    <row r="271">
      <c r="A271" s="1"/>
      <c r="C271" s="1"/>
      <c r="D271" s="1"/>
      <c r="E271" s="1"/>
    </row>
    <row r="272">
      <c r="A272" s="1"/>
      <c r="C272" s="1"/>
      <c r="D272" s="1"/>
      <c r="E272" s="1"/>
    </row>
    <row r="273">
      <c r="A273" s="1"/>
      <c r="C273" s="1"/>
      <c r="D273" s="1"/>
      <c r="E273" s="1"/>
    </row>
    <row r="274">
      <c r="A274" s="1"/>
      <c r="C274" s="1"/>
      <c r="D274" s="1"/>
      <c r="E274" s="1"/>
    </row>
    <row r="275">
      <c r="A275" s="1"/>
      <c r="C275" s="1"/>
      <c r="D275" s="1"/>
      <c r="E275" s="1"/>
    </row>
    <row r="276">
      <c r="A276" s="1"/>
      <c r="C276" s="1"/>
      <c r="D276" s="1"/>
      <c r="E276" s="1"/>
    </row>
    <row r="277">
      <c r="A277" s="1"/>
      <c r="C277" s="1"/>
      <c r="D277" s="1"/>
      <c r="E277" s="1"/>
    </row>
    <row r="278">
      <c r="A278" s="1"/>
      <c r="C278" s="1"/>
      <c r="D278" s="1"/>
      <c r="E278" s="1"/>
    </row>
    <row r="279">
      <c r="A279" s="1"/>
      <c r="C279" s="1"/>
      <c r="D279" s="1"/>
      <c r="E279" s="1"/>
    </row>
    <row r="280">
      <c r="A280" s="1"/>
      <c r="C280" s="1"/>
      <c r="D280" s="1"/>
      <c r="E280" s="1"/>
    </row>
    <row r="281">
      <c r="A281" s="1"/>
      <c r="C281" s="1"/>
      <c r="D281" s="1"/>
      <c r="E281" s="1"/>
    </row>
    <row r="282">
      <c r="A282" s="1"/>
      <c r="C282" s="1"/>
      <c r="D282" s="1"/>
      <c r="E282" s="1"/>
    </row>
    <row r="283">
      <c r="A283" s="1"/>
      <c r="C283" s="1"/>
      <c r="D283" s="1"/>
      <c r="E283" s="1"/>
    </row>
    <row r="284">
      <c r="A284" s="1"/>
      <c r="C284" s="1"/>
      <c r="D284" s="1"/>
      <c r="E284" s="1"/>
    </row>
    <row r="285">
      <c r="A285" s="1"/>
      <c r="C285" s="1"/>
      <c r="D285" s="1"/>
      <c r="E285" s="1"/>
    </row>
    <row r="286">
      <c r="A286" s="1"/>
      <c r="C286" s="1"/>
      <c r="D286" s="1"/>
      <c r="E286" s="1"/>
    </row>
    <row r="287">
      <c r="A287" s="1"/>
      <c r="C287" s="1"/>
      <c r="D287" s="1"/>
      <c r="E287" s="1"/>
    </row>
    <row r="288">
      <c r="A288" s="1"/>
      <c r="C288" s="1"/>
      <c r="D288" s="1"/>
      <c r="E288" s="1"/>
    </row>
    <row r="289">
      <c r="A289" s="1"/>
      <c r="C289" s="1"/>
      <c r="D289" s="1"/>
      <c r="E289" s="1"/>
    </row>
    <row r="290">
      <c r="A290" s="1"/>
      <c r="C290" s="1"/>
      <c r="D290" s="1"/>
      <c r="E290" s="1"/>
    </row>
    <row r="291">
      <c r="A291" s="1"/>
      <c r="C291" s="1"/>
      <c r="D291" s="1"/>
      <c r="E291" s="1"/>
    </row>
    <row r="292">
      <c r="A292" s="1"/>
      <c r="C292" s="1"/>
      <c r="D292" s="1"/>
      <c r="E292" s="1"/>
    </row>
    <row r="293">
      <c r="A293" s="1"/>
      <c r="C293" s="1"/>
      <c r="D293" s="1"/>
      <c r="E293" s="1"/>
    </row>
    <row r="294">
      <c r="A294" s="1"/>
      <c r="C294" s="1"/>
      <c r="D294" s="1"/>
      <c r="E294" s="1"/>
    </row>
    <row r="295">
      <c r="A295" s="1"/>
      <c r="C295" s="1"/>
      <c r="D295" s="1"/>
      <c r="E295" s="1"/>
    </row>
    <row r="296">
      <c r="A296" s="1"/>
      <c r="C296" s="1"/>
      <c r="D296" s="1"/>
      <c r="E296" s="1"/>
    </row>
    <row r="297">
      <c r="A297" s="1"/>
      <c r="C297" s="1"/>
      <c r="D297" s="1"/>
      <c r="E297" s="1"/>
    </row>
    <row r="298">
      <c r="A298" s="1"/>
      <c r="C298" s="1"/>
      <c r="D298" s="1"/>
      <c r="E298" s="1"/>
    </row>
    <row r="299">
      <c r="A299" s="1"/>
      <c r="C299" s="1"/>
      <c r="D299" s="1"/>
      <c r="E299" s="1"/>
    </row>
    <row r="300">
      <c r="A300" s="1"/>
      <c r="C300" s="1"/>
      <c r="D300" s="1"/>
      <c r="E300" s="1"/>
    </row>
    <row r="301">
      <c r="A301" s="1"/>
      <c r="C301" s="1"/>
      <c r="D301" s="1"/>
      <c r="E301" s="1"/>
    </row>
    <row r="302">
      <c r="A302" s="1"/>
      <c r="C302" s="1"/>
      <c r="D302" s="1"/>
      <c r="E302" s="1"/>
    </row>
    <row r="303">
      <c r="A303" s="1"/>
      <c r="C303" s="1"/>
      <c r="D303" s="1"/>
      <c r="E303" s="1"/>
    </row>
    <row r="304">
      <c r="A304" s="1"/>
      <c r="C304" s="1"/>
      <c r="D304" s="1"/>
      <c r="E304" s="1"/>
    </row>
    <row r="305">
      <c r="A305" s="1"/>
      <c r="C305" s="1"/>
      <c r="D305" s="1"/>
      <c r="E305" s="1"/>
    </row>
    <row r="306">
      <c r="A306" s="1"/>
      <c r="C306" s="1"/>
      <c r="D306" s="1"/>
      <c r="E306" s="1"/>
    </row>
    <row r="307">
      <c r="A307" s="1"/>
      <c r="C307" s="1"/>
      <c r="D307" s="1"/>
      <c r="E307" s="1"/>
    </row>
    <row r="308">
      <c r="A308" s="1"/>
      <c r="C308" s="1"/>
      <c r="D308" s="1"/>
      <c r="E308" s="1"/>
    </row>
    <row r="309">
      <c r="A309" s="1"/>
      <c r="C309" s="1"/>
      <c r="D309" s="1"/>
      <c r="E309" s="1"/>
    </row>
    <row r="310">
      <c r="A310" s="1"/>
      <c r="C310" s="1"/>
      <c r="D310" s="1"/>
      <c r="E310" s="1"/>
    </row>
    <row r="311">
      <c r="A311" s="1"/>
      <c r="C311" s="1"/>
      <c r="D311" s="1"/>
      <c r="E311" s="1"/>
    </row>
    <row r="312">
      <c r="A312" s="1"/>
      <c r="C312" s="1"/>
      <c r="D312" s="1"/>
      <c r="E312" s="1"/>
    </row>
    <row r="313">
      <c r="A313" s="1"/>
      <c r="C313" s="1"/>
      <c r="D313" s="1"/>
      <c r="E313" s="1"/>
    </row>
    <row r="314">
      <c r="A314" s="1"/>
      <c r="C314" s="1"/>
      <c r="D314" s="1"/>
      <c r="E314" s="1"/>
    </row>
    <row r="315">
      <c r="A315" s="1"/>
      <c r="C315" s="1"/>
      <c r="D315" s="1"/>
      <c r="E315" s="1"/>
    </row>
    <row r="316">
      <c r="A316" s="1"/>
      <c r="C316" s="1"/>
      <c r="D316" s="1"/>
      <c r="E316" s="1"/>
    </row>
    <row r="317">
      <c r="A317" s="1"/>
      <c r="C317" s="1"/>
      <c r="D317" s="1"/>
      <c r="E317" s="1"/>
    </row>
    <row r="318">
      <c r="A318" s="1"/>
      <c r="C318" s="1"/>
      <c r="D318" s="1"/>
      <c r="E318" s="1"/>
    </row>
    <row r="319">
      <c r="A319" s="1"/>
      <c r="C319" s="1"/>
      <c r="D319" s="1"/>
      <c r="E319" s="1"/>
    </row>
    <row r="320">
      <c r="A320" s="1"/>
      <c r="C320" s="1"/>
      <c r="D320" s="1"/>
      <c r="E320" s="1"/>
    </row>
    <row r="321">
      <c r="A321" s="1"/>
      <c r="C321" s="1"/>
      <c r="D321" s="1"/>
      <c r="E321" s="1"/>
    </row>
    <row r="322">
      <c r="A322" s="1"/>
      <c r="C322" s="1"/>
      <c r="D322" s="1"/>
      <c r="E322" s="1"/>
    </row>
    <row r="323">
      <c r="A323" s="1"/>
      <c r="C323" s="1"/>
      <c r="D323" s="1"/>
      <c r="E323" s="1"/>
    </row>
    <row r="324">
      <c r="A324" s="1"/>
      <c r="C324" s="1"/>
      <c r="D324" s="1"/>
      <c r="E324" s="1"/>
    </row>
    <row r="325">
      <c r="A325" s="1"/>
      <c r="C325" s="1"/>
      <c r="D325" s="1"/>
      <c r="E325" s="1"/>
    </row>
    <row r="326">
      <c r="A326" s="1"/>
      <c r="C326" s="1"/>
      <c r="D326" s="1"/>
      <c r="E326" s="1"/>
    </row>
    <row r="327">
      <c r="A327" s="1"/>
      <c r="C327" s="1"/>
      <c r="D327" s="1"/>
      <c r="E327" s="1"/>
    </row>
    <row r="328">
      <c r="A328" s="1"/>
      <c r="C328" s="1"/>
      <c r="D328" s="1"/>
      <c r="E328" s="1"/>
    </row>
    <row r="329">
      <c r="A329" s="1"/>
      <c r="C329" s="1"/>
      <c r="D329" s="1"/>
      <c r="E329" s="1"/>
    </row>
    <row r="330">
      <c r="A330" s="1"/>
      <c r="C330" s="1"/>
      <c r="D330" s="1"/>
      <c r="E330" s="1"/>
    </row>
    <row r="331">
      <c r="A331" s="1"/>
      <c r="C331" s="1"/>
      <c r="D331" s="1"/>
      <c r="E331" s="1"/>
    </row>
    <row r="332">
      <c r="A332" s="1"/>
      <c r="C332" s="1"/>
      <c r="D332" s="1"/>
      <c r="E332" s="1"/>
    </row>
    <row r="333">
      <c r="A333" s="1"/>
      <c r="C333" s="1"/>
      <c r="D333" s="1"/>
      <c r="E333" s="1"/>
    </row>
    <row r="334">
      <c r="A334" s="1"/>
      <c r="C334" s="1"/>
      <c r="D334" s="1"/>
      <c r="E334" s="1"/>
    </row>
    <row r="335">
      <c r="A335" s="1"/>
      <c r="C335" s="1"/>
      <c r="D335" s="1"/>
      <c r="E335" s="1"/>
    </row>
    <row r="336">
      <c r="A336" s="1"/>
      <c r="C336" s="1"/>
      <c r="D336" s="1"/>
      <c r="E336" s="1"/>
    </row>
    <row r="337">
      <c r="A337" s="1"/>
      <c r="C337" s="1"/>
      <c r="D337" s="1"/>
      <c r="E337" s="1"/>
    </row>
    <row r="338">
      <c r="A338" s="1"/>
      <c r="C338" s="1"/>
      <c r="D338" s="1"/>
      <c r="E338" s="1"/>
    </row>
    <row r="339">
      <c r="A339" s="1"/>
      <c r="C339" s="1"/>
      <c r="D339" s="1"/>
      <c r="E339" s="1"/>
    </row>
    <row r="340">
      <c r="A340" s="1"/>
      <c r="C340" s="1"/>
      <c r="D340" s="1"/>
      <c r="E340" s="1"/>
    </row>
    <row r="341">
      <c r="A341" s="1"/>
      <c r="C341" s="1"/>
      <c r="D341" s="1"/>
      <c r="E341" s="1"/>
    </row>
    <row r="342">
      <c r="A342" s="1"/>
      <c r="C342" s="1"/>
      <c r="D342" s="1"/>
      <c r="E342" s="1"/>
    </row>
    <row r="343">
      <c r="A343" s="1"/>
      <c r="C343" s="1"/>
      <c r="D343" s="1"/>
      <c r="E343" s="1"/>
    </row>
    <row r="344">
      <c r="A344" s="1"/>
      <c r="C344" s="1"/>
      <c r="D344" s="1"/>
      <c r="E344" s="1"/>
    </row>
    <row r="345">
      <c r="A345" s="1"/>
      <c r="C345" s="1"/>
      <c r="D345" s="1"/>
      <c r="E345" s="1"/>
    </row>
    <row r="346">
      <c r="A346" s="1"/>
      <c r="C346" s="1"/>
      <c r="D346" s="1"/>
      <c r="E346" s="1"/>
    </row>
    <row r="347">
      <c r="A347" s="1"/>
      <c r="C347" s="1"/>
      <c r="D347" s="1"/>
      <c r="E347" s="1"/>
    </row>
    <row r="348">
      <c r="A348" s="1"/>
      <c r="C348" s="1"/>
      <c r="D348" s="1"/>
      <c r="E348" s="1"/>
    </row>
    <row r="349">
      <c r="A349" s="1"/>
      <c r="C349" s="1"/>
      <c r="D349" s="1"/>
      <c r="E349" s="1"/>
    </row>
    <row r="350">
      <c r="A350" s="1"/>
      <c r="C350" s="1"/>
      <c r="D350" s="1"/>
      <c r="E350" s="1"/>
    </row>
    <row r="351">
      <c r="A351" s="1"/>
      <c r="C351" s="1"/>
      <c r="D351" s="1"/>
      <c r="E351" s="1"/>
    </row>
    <row r="352">
      <c r="A352" s="1"/>
      <c r="C352" s="1"/>
      <c r="D352" s="1"/>
      <c r="E352" s="1"/>
    </row>
    <row r="353">
      <c r="A353" s="1"/>
      <c r="C353" s="1"/>
      <c r="D353" s="1"/>
      <c r="E353" s="1"/>
    </row>
    <row r="354">
      <c r="A354" s="1"/>
      <c r="C354" s="1"/>
      <c r="D354" s="1"/>
      <c r="E354" s="1"/>
    </row>
    <row r="355">
      <c r="A355" s="1"/>
      <c r="C355" s="1"/>
      <c r="D355" s="1"/>
      <c r="E355" s="1"/>
    </row>
    <row r="356">
      <c r="A356" s="1"/>
      <c r="C356" s="1"/>
      <c r="D356" s="1"/>
      <c r="E356" s="1"/>
    </row>
    <row r="357">
      <c r="A357" s="1"/>
      <c r="C357" s="1"/>
      <c r="D357" s="1"/>
      <c r="E357" s="1"/>
    </row>
    <row r="358">
      <c r="A358" s="1"/>
      <c r="C358" s="1"/>
      <c r="D358" s="1"/>
      <c r="E358" s="1"/>
    </row>
    <row r="359">
      <c r="A359" s="1"/>
      <c r="C359" s="1"/>
      <c r="D359" s="1"/>
      <c r="E359" s="1"/>
    </row>
    <row r="360">
      <c r="A360" s="1"/>
      <c r="C360" s="1"/>
      <c r="D360" s="1"/>
      <c r="E360" s="1"/>
    </row>
    <row r="361">
      <c r="A361" s="1"/>
      <c r="C361" s="1"/>
      <c r="D361" s="1"/>
      <c r="E361" s="1"/>
    </row>
    <row r="362">
      <c r="A362" s="1"/>
      <c r="C362" s="1"/>
      <c r="D362" s="1"/>
      <c r="E362" s="1"/>
    </row>
    <row r="363">
      <c r="A363" s="1"/>
      <c r="C363" s="1"/>
      <c r="D363" s="1"/>
      <c r="E363" s="1"/>
    </row>
    <row r="364">
      <c r="A364" s="1"/>
      <c r="C364" s="1"/>
      <c r="D364" s="1"/>
      <c r="E364" s="1"/>
    </row>
    <row r="365">
      <c r="A365" s="1"/>
      <c r="C365" s="1"/>
      <c r="D365" s="1"/>
      <c r="E365" s="1"/>
    </row>
    <row r="366">
      <c r="A366" s="1"/>
      <c r="C366" s="1"/>
      <c r="D366" s="1"/>
      <c r="E366" s="1"/>
    </row>
    <row r="367">
      <c r="A367" s="1"/>
      <c r="C367" s="1"/>
      <c r="D367" s="1"/>
      <c r="E367" s="1"/>
    </row>
    <row r="368">
      <c r="A368" s="1"/>
      <c r="C368" s="1"/>
      <c r="D368" s="1"/>
      <c r="E368" s="1"/>
    </row>
    <row r="369">
      <c r="A369" s="1"/>
      <c r="C369" s="1"/>
      <c r="D369" s="1"/>
      <c r="E369" s="1"/>
    </row>
    <row r="370">
      <c r="A370" s="1"/>
      <c r="C370" s="1"/>
      <c r="D370" s="1"/>
      <c r="E370" s="1"/>
    </row>
    <row r="371">
      <c r="A371" s="1"/>
      <c r="C371" s="1"/>
      <c r="D371" s="1"/>
      <c r="E371" s="1"/>
    </row>
    <row r="372">
      <c r="A372" s="1"/>
      <c r="C372" s="1"/>
      <c r="D372" s="1"/>
      <c r="E372" s="1"/>
    </row>
    <row r="373">
      <c r="A373" s="1"/>
      <c r="C373" s="1"/>
      <c r="D373" s="1"/>
      <c r="E373" s="1"/>
    </row>
    <row r="374">
      <c r="A374" s="1"/>
      <c r="C374" s="1"/>
      <c r="D374" s="1"/>
      <c r="E374" s="1"/>
    </row>
    <row r="375">
      <c r="A375" s="1"/>
      <c r="C375" s="1"/>
      <c r="D375" s="1"/>
      <c r="E375" s="1"/>
    </row>
    <row r="376">
      <c r="A376" s="1"/>
      <c r="C376" s="1"/>
      <c r="D376" s="1"/>
      <c r="E376" s="1"/>
    </row>
    <row r="377">
      <c r="A377" s="1"/>
      <c r="C377" s="1"/>
      <c r="D377" s="1"/>
      <c r="E377" s="1"/>
    </row>
    <row r="378">
      <c r="A378" s="1"/>
      <c r="C378" s="1"/>
      <c r="D378" s="1"/>
      <c r="E378" s="1"/>
    </row>
    <row r="379">
      <c r="A379" s="1"/>
      <c r="C379" s="1"/>
      <c r="D379" s="1"/>
      <c r="E379" s="1"/>
    </row>
    <row r="380">
      <c r="A380" s="1"/>
      <c r="C380" s="1"/>
      <c r="D380" s="1"/>
      <c r="E380" s="1"/>
    </row>
    <row r="381">
      <c r="A381" s="1"/>
      <c r="C381" s="1"/>
      <c r="D381" s="1"/>
      <c r="E381" s="1"/>
    </row>
    <row r="382">
      <c r="A382" s="1"/>
      <c r="C382" s="1"/>
      <c r="D382" s="1"/>
      <c r="E382" s="1"/>
    </row>
    <row r="383">
      <c r="A383" s="1"/>
      <c r="C383" s="1"/>
      <c r="D383" s="1"/>
      <c r="E383" s="1"/>
    </row>
    <row r="384">
      <c r="A384" s="1"/>
      <c r="C384" s="1"/>
      <c r="D384" s="1"/>
      <c r="E384" s="1"/>
    </row>
    <row r="385">
      <c r="A385" s="1"/>
      <c r="C385" s="1"/>
      <c r="D385" s="1"/>
      <c r="E385" s="1"/>
    </row>
    <row r="386">
      <c r="A386" s="1"/>
      <c r="C386" s="1"/>
      <c r="D386" s="1"/>
      <c r="E386" s="1"/>
    </row>
    <row r="387">
      <c r="A387" s="1"/>
      <c r="C387" s="1"/>
      <c r="D387" s="1"/>
      <c r="E387" s="1"/>
    </row>
    <row r="388">
      <c r="A388" s="1"/>
      <c r="C388" s="1"/>
      <c r="D388" s="1"/>
      <c r="E388" s="1"/>
    </row>
    <row r="389">
      <c r="A389" s="1"/>
      <c r="C389" s="1"/>
      <c r="D389" s="1"/>
      <c r="E389" s="1"/>
    </row>
    <row r="390">
      <c r="A390" s="1"/>
      <c r="C390" s="1"/>
      <c r="D390" s="1"/>
      <c r="E390" s="1"/>
    </row>
    <row r="391">
      <c r="A391" s="1"/>
      <c r="C391" s="1"/>
      <c r="D391" s="1"/>
      <c r="E391" s="1"/>
    </row>
    <row r="392">
      <c r="A392" s="1"/>
      <c r="C392" s="1"/>
      <c r="D392" s="1"/>
      <c r="E392" s="1"/>
    </row>
    <row r="393">
      <c r="A393" s="1"/>
      <c r="C393" s="1"/>
      <c r="D393" s="1"/>
      <c r="E393" s="1"/>
    </row>
    <row r="394">
      <c r="A394" s="1"/>
      <c r="C394" s="1"/>
      <c r="D394" s="1"/>
      <c r="E394" s="1"/>
    </row>
    <row r="395">
      <c r="A395" s="1"/>
      <c r="C395" s="1"/>
      <c r="D395" s="1"/>
      <c r="E395" s="1"/>
    </row>
    <row r="396">
      <c r="A396" s="1"/>
      <c r="C396" s="1"/>
      <c r="D396" s="1"/>
      <c r="E396" s="1"/>
    </row>
    <row r="397">
      <c r="A397" s="1"/>
      <c r="C397" s="1"/>
      <c r="D397" s="1"/>
      <c r="E397" s="1"/>
    </row>
    <row r="398">
      <c r="A398" s="1"/>
      <c r="C398" s="1"/>
      <c r="D398" s="1"/>
      <c r="E398" s="1"/>
    </row>
    <row r="399">
      <c r="A399" s="1"/>
      <c r="C399" s="1"/>
      <c r="D399" s="1"/>
      <c r="E399" s="1"/>
    </row>
    <row r="400">
      <c r="A400" s="1"/>
      <c r="C400" s="1"/>
      <c r="D400" s="1"/>
      <c r="E400" s="1"/>
    </row>
    <row r="401">
      <c r="A401" s="1"/>
      <c r="C401" s="1"/>
      <c r="D401" s="1"/>
      <c r="E401" s="1"/>
    </row>
    <row r="402">
      <c r="A402" s="1"/>
      <c r="C402" s="1"/>
      <c r="D402" s="1"/>
      <c r="E402" s="1"/>
    </row>
    <row r="403">
      <c r="A403" s="1"/>
      <c r="C403" s="1"/>
      <c r="D403" s="1"/>
      <c r="E403" s="1"/>
    </row>
    <row r="404">
      <c r="A404" s="1"/>
      <c r="C404" s="1"/>
      <c r="D404" s="1"/>
      <c r="E404" s="1"/>
    </row>
    <row r="405">
      <c r="A405" s="1"/>
      <c r="C405" s="1"/>
      <c r="D405" s="1"/>
      <c r="E405" s="1"/>
    </row>
    <row r="406">
      <c r="A406" s="1"/>
      <c r="C406" s="1"/>
      <c r="D406" s="1"/>
      <c r="E406" s="1"/>
    </row>
    <row r="407">
      <c r="A407" s="1"/>
      <c r="C407" s="1"/>
      <c r="D407" s="1"/>
      <c r="E407" s="1"/>
    </row>
    <row r="408">
      <c r="A408" s="1"/>
      <c r="C408" s="1"/>
      <c r="D408" s="1"/>
      <c r="E408" s="1"/>
    </row>
    <row r="409">
      <c r="A409" s="1"/>
      <c r="C409" s="1"/>
      <c r="D409" s="1"/>
      <c r="E409" s="1"/>
    </row>
    <row r="410">
      <c r="A410" s="1"/>
      <c r="C410" s="1"/>
      <c r="D410" s="1"/>
      <c r="E410" s="1"/>
    </row>
    <row r="411">
      <c r="A411" s="1"/>
      <c r="C411" s="1"/>
      <c r="D411" s="1"/>
      <c r="E411" s="1"/>
    </row>
    <row r="412">
      <c r="A412" s="1"/>
      <c r="C412" s="1"/>
      <c r="D412" s="1"/>
      <c r="E412" s="1"/>
    </row>
    <row r="413">
      <c r="A413" s="1"/>
      <c r="C413" s="1"/>
      <c r="D413" s="1"/>
      <c r="E413" s="1"/>
    </row>
    <row r="414">
      <c r="A414" s="1"/>
      <c r="C414" s="1"/>
      <c r="D414" s="1"/>
      <c r="E414" s="1"/>
    </row>
    <row r="415">
      <c r="A415" s="1"/>
      <c r="C415" s="1"/>
      <c r="D415" s="1"/>
      <c r="E415" s="1"/>
    </row>
    <row r="416">
      <c r="A416" s="1"/>
      <c r="C416" s="1"/>
      <c r="D416" s="1"/>
      <c r="E416" s="1"/>
    </row>
    <row r="417">
      <c r="A417" s="1"/>
      <c r="C417" s="1"/>
      <c r="D417" s="1"/>
      <c r="E417" s="1"/>
    </row>
    <row r="418">
      <c r="A418" s="1"/>
      <c r="C418" s="1"/>
      <c r="D418" s="1"/>
      <c r="E418" s="1"/>
    </row>
    <row r="419">
      <c r="A419" s="1"/>
      <c r="C419" s="1"/>
      <c r="D419" s="1"/>
      <c r="E419" s="1"/>
    </row>
    <row r="420">
      <c r="A420" s="1"/>
      <c r="C420" s="1"/>
      <c r="D420" s="1"/>
      <c r="E420" s="1"/>
    </row>
    <row r="421">
      <c r="A421" s="1"/>
      <c r="C421" s="1"/>
      <c r="D421" s="1"/>
      <c r="E421" s="1"/>
    </row>
    <row r="422">
      <c r="A422" s="1"/>
      <c r="C422" s="1"/>
      <c r="D422" s="1"/>
      <c r="E422" s="1"/>
    </row>
    <row r="423">
      <c r="A423" s="1"/>
      <c r="C423" s="1"/>
      <c r="D423" s="1"/>
      <c r="E423" s="1"/>
    </row>
    <row r="424">
      <c r="A424" s="1"/>
      <c r="C424" s="1"/>
      <c r="D424" s="1"/>
      <c r="E424" s="1"/>
    </row>
    <row r="425">
      <c r="A425" s="1"/>
      <c r="C425" s="1"/>
      <c r="D425" s="1"/>
      <c r="E425" s="1"/>
    </row>
    <row r="426">
      <c r="A426" s="1"/>
      <c r="C426" s="1"/>
      <c r="D426" s="1"/>
      <c r="E426" s="1"/>
    </row>
    <row r="427">
      <c r="A427" s="1"/>
      <c r="C427" s="1"/>
      <c r="D427" s="1"/>
      <c r="E427" s="1"/>
    </row>
    <row r="428">
      <c r="A428" s="1"/>
      <c r="C428" s="1"/>
      <c r="D428" s="1"/>
      <c r="E428" s="1"/>
    </row>
    <row r="429">
      <c r="A429" s="1"/>
      <c r="C429" s="1"/>
      <c r="D429" s="1"/>
      <c r="E429" s="1"/>
    </row>
    <row r="430">
      <c r="A430" s="1"/>
      <c r="C430" s="1"/>
      <c r="D430" s="1"/>
      <c r="E430" s="1"/>
    </row>
    <row r="431">
      <c r="A431" s="1"/>
      <c r="C431" s="1"/>
      <c r="D431" s="1"/>
      <c r="E431" s="1"/>
    </row>
    <row r="432">
      <c r="A432" s="1"/>
      <c r="C432" s="1"/>
      <c r="D432" s="1"/>
      <c r="E432" s="1"/>
    </row>
    <row r="433">
      <c r="A433" s="1"/>
      <c r="C433" s="1"/>
      <c r="D433" s="1"/>
      <c r="E433" s="1"/>
    </row>
    <row r="434">
      <c r="A434" s="1"/>
      <c r="C434" s="1"/>
      <c r="D434" s="1"/>
      <c r="E434" s="1"/>
    </row>
    <row r="435">
      <c r="A435" s="1"/>
      <c r="C435" s="1"/>
      <c r="D435" s="1"/>
      <c r="E435" s="1"/>
    </row>
    <row r="436">
      <c r="A436" s="1"/>
      <c r="C436" s="1"/>
      <c r="D436" s="1"/>
      <c r="E436" s="1"/>
    </row>
    <row r="437">
      <c r="A437" s="1"/>
      <c r="C437" s="1"/>
      <c r="D437" s="1"/>
      <c r="E437" s="1"/>
    </row>
    <row r="438">
      <c r="A438" s="1"/>
      <c r="C438" s="1"/>
      <c r="D438" s="1"/>
      <c r="E438" s="1"/>
    </row>
    <row r="439">
      <c r="A439" s="1"/>
      <c r="C439" s="1"/>
      <c r="D439" s="1"/>
      <c r="E439" s="1"/>
    </row>
    <row r="440">
      <c r="A440" s="1"/>
      <c r="C440" s="1"/>
      <c r="D440" s="1"/>
      <c r="E440" s="1"/>
    </row>
    <row r="441">
      <c r="A441" s="1"/>
      <c r="C441" s="1"/>
      <c r="D441" s="1"/>
      <c r="E441" s="1"/>
    </row>
    <row r="442">
      <c r="A442" s="1"/>
      <c r="C442" s="1"/>
      <c r="D442" s="1"/>
      <c r="E442" s="1"/>
    </row>
    <row r="443">
      <c r="A443" s="1"/>
      <c r="C443" s="1"/>
      <c r="D443" s="1"/>
      <c r="E443" s="1"/>
    </row>
    <row r="444">
      <c r="A444" s="1"/>
      <c r="C444" s="1"/>
      <c r="D444" s="1"/>
      <c r="E444" s="1"/>
    </row>
    <row r="445">
      <c r="A445" s="1"/>
      <c r="C445" s="1"/>
      <c r="D445" s="1"/>
      <c r="E445" s="1"/>
    </row>
    <row r="446">
      <c r="A446" s="1"/>
      <c r="C446" s="1"/>
      <c r="D446" s="1"/>
      <c r="E446" s="1"/>
    </row>
    <row r="447">
      <c r="A447" s="1"/>
      <c r="C447" s="1"/>
      <c r="D447" s="1"/>
      <c r="E447" s="1"/>
    </row>
    <row r="448">
      <c r="A448" s="1"/>
      <c r="C448" s="1"/>
      <c r="D448" s="1"/>
      <c r="E448" s="1"/>
    </row>
    <row r="449">
      <c r="A449" s="1"/>
      <c r="C449" s="1"/>
      <c r="D449" s="1"/>
      <c r="E449" s="1"/>
    </row>
    <row r="450">
      <c r="A450" s="1"/>
      <c r="C450" s="1"/>
      <c r="D450" s="1"/>
      <c r="E450" s="1"/>
    </row>
    <row r="451">
      <c r="A451" s="1"/>
      <c r="C451" s="1"/>
      <c r="D451" s="1"/>
      <c r="E451" s="1"/>
    </row>
    <row r="452">
      <c r="A452" s="1"/>
      <c r="C452" s="1"/>
      <c r="D452" s="1"/>
      <c r="E452" s="1"/>
    </row>
    <row r="453">
      <c r="A453" s="1"/>
      <c r="C453" s="1"/>
      <c r="D453" s="1"/>
      <c r="E453" s="1"/>
    </row>
    <row r="454">
      <c r="A454" s="1"/>
      <c r="C454" s="1"/>
      <c r="D454" s="1"/>
      <c r="E454" s="1"/>
    </row>
    <row r="455">
      <c r="A455" s="1"/>
      <c r="C455" s="1"/>
      <c r="D455" s="1"/>
      <c r="E455" s="1"/>
    </row>
    <row r="456">
      <c r="A456" s="1"/>
      <c r="C456" s="1"/>
      <c r="D456" s="1"/>
      <c r="E456" s="1"/>
    </row>
    <row r="457">
      <c r="A457" s="1"/>
      <c r="C457" s="1"/>
      <c r="D457" s="1"/>
      <c r="E457" s="1"/>
    </row>
    <row r="458">
      <c r="A458" s="1"/>
      <c r="C458" s="1"/>
      <c r="D458" s="1"/>
      <c r="E458" s="1"/>
    </row>
    <row r="459">
      <c r="A459" s="1"/>
      <c r="C459" s="1"/>
      <c r="D459" s="1"/>
      <c r="E459" s="1"/>
    </row>
    <row r="460">
      <c r="A460" s="1"/>
      <c r="C460" s="1"/>
      <c r="D460" s="1"/>
      <c r="E460" s="1"/>
    </row>
    <row r="461">
      <c r="A461" s="1"/>
      <c r="C461" s="1"/>
      <c r="D461" s="1"/>
      <c r="E461" s="1"/>
    </row>
    <row r="462">
      <c r="A462" s="1"/>
      <c r="C462" s="1"/>
      <c r="D462" s="1"/>
      <c r="E462" s="1"/>
    </row>
    <row r="463">
      <c r="A463" s="1"/>
      <c r="C463" s="1"/>
      <c r="D463" s="1"/>
      <c r="E463" s="1"/>
    </row>
    <row r="464">
      <c r="A464" s="1"/>
      <c r="C464" s="1"/>
      <c r="D464" s="1"/>
      <c r="E464" s="1"/>
    </row>
    <row r="465">
      <c r="A465" s="1"/>
      <c r="C465" s="1"/>
      <c r="D465" s="1"/>
      <c r="E465" s="1"/>
    </row>
    <row r="466">
      <c r="A466" s="1"/>
      <c r="C466" s="1"/>
      <c r="D466" s="1"/>
      <c r="E466" s="1"/>
    </row>
    <row r="467">
      <c r="A467" s="1"/>
      <c r="C467" s="1"/>
      <c r="D467" s="1"/>
      <c r="E467" s="1"/>
    </row>
    <row r="468">
      <c r="A468" s="1"/>
      <c r="C468" s="1"/>
      <c r="D468" s="1"/>
      <c r="E468" s="1"/>
    </row>
    <row r="469">
      <c r="A469" s="1"/>
      <c r="C469" s="1"/>
      <c r="D469" s="1"/>
      <c r="E469" s="1"/>
    </row>
    <row r="470">
      <c r="A470" s="1"/>
      <c r="C470" s="1"/>
      <c r="D470" s="1"/>
      <c r="E470" s="1"/>
    </row>
    <row r="471">
      <c r="A471" s="1"/>
      <c r="C471" s="1"/>
      <c r="D471" s="1"/>
      <c r="E471" s="1"/>
    </row>
    <row r="472">
      <c r="A472" s="1"/>
      <c r="C472" s="1"/>
      <c r="D472" s="1"/>
      <c r="E472" s="1"/>
    </row>
    <row r="473">
      <c r="A473" s="1"/>
      <c r="C473" s="1"/>
      <c r="D473" s="1"/>
      <c r="E473" s="1"/>
    </row>
    <row r="474">
      <c r="A474" s="1"/>
      <c r="C474" s="1"/>
      <c r="D474" s="1"/>
      <c r="E474" s="1"/>
    </row>
    <row r="475">
      <c r="A475" s="1"/>
      <c r="C475" s="1"/>
      <c r="D475" s="1"/>
      <c r="E475" s="1"/>
    </row>
    <row r="476">
      <c r="A476" s="1"/>
      <c r="C476" s="1"/>
      <c r="D476" s="1"/>
      <c r="E476" s="1"/>
    </row>
    <row r="477">
      <c r="A477" s="1"/>
      <c r="C477" s="1"/>
      <c r="D477" s="1"/>
      <c r="E477" s="1"/>
    </row>
    <row r="478">
      <c r="A478" s="1"/>
      <c r="C478" s="1"/>
      <c r="D478" s="1"/>
      <c r="E478" s="1"/>
    </row>
    <row r="479">
      <c r="A479" s="1"/>
      <c r="C479" s="1"/>
      <c r="D479" s="1"/>
      <c r="E479" s="1"/>
    </row>
    <row r="480">
      <c r="A480" s="1"/>
      <c r="C480" s="1"/>
      <c r="D480" s="1"/>
      <c r="E480" s="1"/>
    </row>
    <row r="481">
      <c r="A481" s="1"/>
      <c r="C481" s="1"/>
      <c r="D481" s="1"/>
      <c r="E481" s="1"/>
    </row>
    <row r="482">
      <c r="A482" s="1"/>
      <c r="C482" s="1"/>
      <c r="D482" s="1"/>
      <c r="E482" s="1"/>
    </row>
    <row r="483">
      <c r="A483" s="1"/>
      <c r="C483" s="1"/>
      <c r="D483" s="1"/>
      <c r="E483" s="1"/>
    </row>
    <row r="484">
      <c r="A484" s="1"/>
      <c r="C484" s="1"/>
      <c r="D484" s="1"/>
      <c r="E484" s="1"/>
    </row>
    <row r="485">
      <c r="A485" s="1"/>
      <c r="C485" s="1"/>
      <c r="D485" s="1"/>
      <c r="E485" s="1"/>
    </row>
    <row r="486">
      <c r="A486" s="1"/>
      <c r="C486" s="1"/>
      <c r="D486" s="1"/>
      <c r="E486" s="1"/>
    </row>
    <row r="487">
      <c r="A487" s="1"/>
      <c r="C487" s="1"/>
      <c r="D487" s="1"/>
      <c r="E487" s="1"/>
    </row>
    <row r="488">
      <c r="A488" s="1"/>
      <c r="C488" s="1"/>
      <c r="D488" s="1"/>
      <c r="E488" s="1"/>
    </row>
    <row r="489">
      <c r="A489" s="1"/>
      <c r="C489" s="1"/>
      <c r="D489" s="1"/>
      <c r="E489" s="1"/>
    </row>
    <row r="490">
      <c r="A490" s="1"/>
      <c r="C490" s="1"/>
      <c r="D490" s="1"/>
      <c r="E490" s="1"/>
    </row>
    <row r="491">
      <c r="A491" s="1"/>
      <c r="C491" s="1"/>
      <c r="D491" s="1"/>
      <c r="E491" s="1"/>
    </row>
    <row r="492">
      <c r="A492" s="1"/>
      <c r="C492" s="1"/>
      <c r="D492" s="1"/>
      <c r="E492" s="1"/>
    </row>
    <row r="493">
      <c r="A493" s="1"/>
      <c r="C493" s="1"/>
      <c r="D493" s="1"/>
      <c r="E493" s="1"/>
    </row>
    <row r="494">
      <c r="A494" s="1"/>
      <c r="C494" s="1"/>
      <c r="D494" s="1"/>
      <c r="E494" s="1"/>
    </row>
    <row r="495">
      <c r="A495" s="1"/>
      <c r="C495" s="1"/>
      <c r="D495" s="1"/>
      <c r="E495" s="1"/>
    </row>
    <row r="496">
      <c r="A496" s="1"/>
      <c r="C496" s="1"/>
      <c r="D496" s="1"/>
      <c r="E496" s="1"/>
    </row>
    <row r="497">
      <c r="A497" s="1"/>
      <c r="C497" s="1"/>
      <c r="D497" s="1"/>
      <c r="E497" s="1"/>
    </row>
    <row r="498">
      <c r="A498" s="1"/>
      <c r="C498" s="1"/>
      <c r="D498" s="1"/>
      <c r="E498" s="1"/>
    </row>
    <row r="499">
      <c r="A499" s="1"/>
      <c r="C499" s="1"/>
      <c r="D499" s="1"/>
      <c r="E499" s="1"/>
    </row>
    <row r="500">
      <c r="A500" s="1"/>
      <c r="C500" s="1"/>
      <c r="D500" s="1"/>
      <c r="E500" s="1"/>
    </row>
    <row r="501">
      <c r="A501" s="1"/>
      <c r="C501" s="1"/>
      <c r="D501" s="1"/>
      <c r="E501" s="1"/>
    </row>
    <row r="502">
      <c r="A502" s="1"/>
      <c r="C502" s="1"/>
      <c r="D502" s="1"/>
      <c r="E502" s="1"/>
    </row>
    <row r="503">
      <c r="A503" s="1"/>
      <c r="C503" s="1"/>
      <c r="D503" s="1"/>
      <c r="E503" s="1"/>
    </row>
    <row r="504">
      <c r="A504" s="1"/>
      <c r="C504" s="1"/>
      <c r="D504" s="1"/>
      <c r="E504" s="1"/>
    </row>
    <row r="505">
      <c r="A505" s="1"/>
      <c r="C505" s="1"/>
      <c r="D505" s="1"/>
      <c r="E505" s="1"/>
    </row>
    <row r="506">
      <c r="A506" s="1"/>
      <c r="C506" s="1"/>
      <c r="D506" s="1"/>
      <c r="E506" s="1"/>
    </row>
    <row r="507">
      <c r="A507" s="1"/>
      <c r="C507" s="1"/>
      <c r="D507" s="1"/>
      <c r="E507" s="1"/>
    </row>
    <row r="508">
      <c r="A508" s="1"/>
      <c r="C508" s="1"/>
      <c r="D508" s="1"/>
      <c r="E508" s="1"/>
    </row>
    <row r="509">
      <c r="A509" s="1"/>
      <c r="C509" s="1"/>
      <c r="D509" s="1"/>
      <c r="E509" s="1"/>
    </row>
    <row r="510">
      <c r="A510" s="1"/>
      <c r="C510" s="1"/>
      <c r="D510" s="1"/>
      <c r="E510" s="1"/>
    </row>
    <row r="511">
      <c r="A511" s="1"/>
      <c r="C511" s="1"/>
      <c r="D511" s="1"/>
      <c r="E511" s="1"/>
    </row>
    <row r="512">
      <c r="A512" s="1"/>
      <c r="C512" s="1"/>
      <c r="D512" s="1"/>
      <c r="E512" s="1"/>
    </row>
    <row r="513">
      <c r="A513" s="1"/>
      <c r="C513" s="1"/>
      <c r="D513" s="1"/>
      <c r="E513" s="1"/>
    </row>
    <row r="514">
      <c r="A514" s="1"/>
      <c r="C514" s="1"/>
      <c r="D514" s="1"/>
      <c r="E514" s="1"/>
    </row>
    <row r="515">
      <c r="A515" s="1"/>
      <c r="C515" s="1"/>
      <c r="D515" s="1"/>
      <c r="E515" s="1"/>
    </row>
    <row r="516">
      <c r="A516" s="1"/>
      <c r="C516" s="1"/>
      <c r="D516" s="1"/>
      <c r="E516" s="1"/>
    </row>
    <row r="517">
      <c r="A517" s="1"/>
      <c r="C517" s="1"/>
      <c r="D517" s="1"/>
      <c r="E517" s="1"/>
    </row>
    <row r="518">
      <c r="A518" s="1"/>
      <c r="C518" s="1"/>
      <c r="D518" s="1"/>
      <c r="E518" s="1"/>
    </row>
    <row r="519">
      <c r="A519" s="1"/>
      <c r="C519" s="1"/>
      <c r="D519" s="1"/>
      <c r="E519" s="1"/>
    </row>
    <row r="520">
      <c r="A520" s="1"/>
      <c r="C520" s="1"/>
      <c r="D520" s="1"/>
      <c r="E520" s="1"/>
    </row>
    <row r="521">
      <c r="A521" s="1"/>
      <c r="C521" s="1"/>
      <c r="D521" s="1"/>
      <c r="E521" s="1"/>
    </row>
    <row r="522">
      <c r="A522" s="1"/>
      <c r="C522" s="1"/>
      <c r="D522" s="1"/>
      <c r="E522" s="1"/>
    </row>
    <row r="523">
      <c r="A523" s="1"/>
      <c r="C523" s="1"/>
      <c r="D523" s="1"/>
      <c r="E523" s="1"/>
    </row>
    <row r="524">
      <c r="A524" s="1"/>
      <c r="C524" s="1"/>
      <c r="D524" s="1"/>
      <c r="E524" s="1"/>
    </row>
    <row r="525">
      <c r="A525" s="1"/>
      <c r="C525" s="1"/>
      <c r="D525" s="1"/>
      <c r="E525" s="1"/>
    </row>
    <row r="526">
      <c r="A526" s="1"/>
      <c r="C526" s="1"/>
      <c r="D526" s="1"/>
      <c r="E526" s="1"/>
    </row>
    <row r="527">
      <c r="A527" s="1"/>
      <c r="C527" s="1"/>
      <c r="D527" s="1"/>
      <c r="E527" s="1"/>
    </row>
    <row r="528">
      <c r="A528" s="1"/>
      <c r="C528" s="1"/>
      <c r="D528" s="1"/>
      <c r="E528" s="1"/>
    </row>
    <row r="529">
      <c r="A529" s="1"/>
      <c r="C529" s="1"/>
      <c r="D529" s="1"/>
      <c r="E529" s="1"/>
    </row>
    <row r="530">
      <c r="A530" s="1"/>
      <c r="C530" s="1"/>
      <c r="D530" s="1"/>
      <c r="E530" s="1"/>
    </row>
    <row r="531">
      <c r="A531" s="1"/>
      <c r="C531" s="1"/>
      <c r="D531" s="1"/>
      <c r="E531" s="1"/>
    </row>
    <row r="532">
      <c r="A532" s="1"/>
      <c r="C532" s="1"/>
      <c r="D532" s="1"/>
      <c r="E532" s="1"/>
    </row>
    <row r="533">
      <c r="A533" s="1"/>
      <c r="C533" s="1"/>
      <c r="D533" s="1"/>
      <c r="E533" s="1"/>
    </row>
    <row r="534">
      <c r="A534" s="1"/>
      <c r="C534" s="1"/>
      <c r="D534" s="1"/>
      <c r="E534" s="1"/>
    </row>
    <row r="535">
      <c r="A535" s="1"/>
      <c r="C535" s="1"/>
      <c r="D535" s="1"/>
      <c r="E535" s="1"/>
    </row>
    <row r="536">
      <c r="A536" s="1"/>
      <c r="C536" s="1"/>
      <c r="D536" s="1"/>
      <c r="E536" s="1"/>
    </row>
    <row r="537">
      <c r="A537" s="1"/>
      <c r="C537" s="1"/>
      <c r="D537" s="1"/>
      <c r="E537" s="1"/>
    </row>
    <row r="538">
      <c r="A538" s="1"/>
      <c r="C538" s="1"/>
      <c r="D538" s="1"/>
      <c r="E538" s="1"/>
    </row>
    <row r="539">
      <c r="A539" s="1"/>
      <c r="C539" s="1"/>
      <c r="D539" s="1"/>
      <c r="E539" s="1"/>
    </row>
    <row r="540">
      <c r="A540" s="1"/>
      <c r="C540" s="1"/>
      <c r="D540" s="1"/>
      <c r="E540" s="1"/>
    </row>
    <row r="541">
      <c r="A541" s="1"/>
      <c r="C541" s="1"/>
      <c r="D541" s="1"/>
      <c r="E541" s="1"/>
    </row>
    <row r="542">
      <c r="A542" s="1"/>
      <c r="C542" s="1"/>
      <c r="D542" s="1"/>
      <c r="E542" s="1"/>
    </row>
    <row r="543">
      <c r="A543" s="1"/>
      <c r="C543" s="1"/>
      <c r="D543" s="1"/>
      <c r="E543" s="1"/>
    </row>
    <row r="544">
      <c r="A544" s="1"/>
      <c r="C544" s="1"/>
      <c r="D544" s="1"/>
      <c r="E544" s="1"/>
    </row>
    <row r="545">
      <c r="A545" s="1"/>
      <c r="C545" s="1"/>
      <c r="D545" s="1"/>
      <c r="E545" s="1"/>
    </row>
    <row r="546">
      <c r="A546" s="1"/>
      <c r="C546" s="1"/>
      <c r="D546" s="1"/>
      <c r="E546" s="1"/>
    </row>
    <row r="547">
      <c r="A547" s="1"/>
      <c r="C547" s="1"/>
      <c r="D547" s="1"/>
      <c r="E547" s="1"/>
    </row>
    <row r="548">
      <c r="A548" s="1"/>
      <c r="C548" s="1"/>
      <c r="D548" s="1"/>
      <c r="E548" s="1"/>
    </row>
    <row r="549">
      <c r="A549" s="1"/>
      <c r="C549" s="1"/>
      <c r="D549" s="1"/>
      <c r="E549" s="1"/>
    </row>
    <row r="550">
      <c r="A550" s="1"/>
      <c r="C550" s="1"/>
      <c r="D550" s="1"/>
      <c r="E550" s="1"/>
    </row>
    <row r="551">
      <c r="A551" s="1"/>
      <c r="C551" s="1"/>
      <c r="D551" s="1"/>
      <c r="E551" s="1"/>
    </row>
    <row r="552">
      <c r="A552" s="1"/>
      <c r="C552" s="1"/>
      <c r="D552" s="1"/>
      <c r="E552" s="1"/>
    </row>
    <row r="553">
      <c r="A553" s="1"/>
      <c r="C553" s="1"/>
      <c r="D553" s="1"/>
      <c r="E553" s="1"/>
    </row>
    <row r="554">
      <c r="A554" s="1"/>
      <c r="C554" s="1"/>
      <c r="D554" s="1"/>
      <c r="E554" s="1"/>
    </row>
    <row r="555">
      <c r="A555" s="1"/>
      <c r="C555" s="1"/>
      <c r="D555" s="1"/>
      <c r="E555" s="1"/>
    </row>
    <row r="556">
      <c r="A556" s="1"/>
      <c r="C556" s="1"/>
      <c r="D556" s="1"/>
      <c r="E556" s="1"/>
    </row>
    <row r="557">
      <c r="A557" s="1"/>
      <c r="C557" s="1"/>
      <c r="D557" s="1"/>
      <c r="E557" s="1"/>
    </row>
    <row r="558">
      <c r="A558" s="1"/>
      <c r="C558" s="1"/>
      <c r="D558" s="1"/>
      <c r="E558" s="1"/>
    </row>
    <row r="559">
      <c r="A559" s="1"/>
      <c r="C559" s="1"/>
      <c r="D559" s="1"/>
      <c r="E559" s="1"/>
    </row>
    <row r="560">
      <c r="A560" s="1"/>
      <c r="C560" s="1"/>
      <c r="D560" s="1"/>
      <c r="E560" s="1"/>
    </row>
    <row r="561">
      <c r="A561" s="1"/>
      <c r="C561" s="1"/>
      <c r="D561" s="1"/>
      <c r="E561" s="1"/>
    </row>
    <row r="562">
      <c r="A562" s="1"/>
      <c r="C562" s="1"/>
      <c r="D562" s="1"/>
      <c r="E562" s="1"/>
    </row>
    <row r="563">
      <c r="A563" s="1"/>
      <c r="C563" s="1"/>
      <c r="D563" s="1"/>
      <c r="E563" s="1"/>
    </row>
    <row r="564">
      <c r="A564" s="1"/>
      <c r="C564" s="1"/>
      <c r="D564" s="1"/>
      <c r="E564" s="1"/>
    </row>
    <row r="565">
      <c r="A565" s="1"/>
      <c r="C565" s="1"/>
      <c r="D565" s="1"/>
      <c r="E565" s="1"/>
    </row>
    <row r="566">
      <c r="A566" s="1"/>
      <c r="C566" s="1"/>
      <c r="D566" s="1"/>
      <c r="E566" s="1"/>
    </row>
    <row r="567">
      <c r="A567" s="1"/>
      <c r="C567" s="1"/>
      <c r="D567" s="1"/>
      <c r="E567" s="1"/>
    </row>
    <row r="568">
      <c r="A568" s="1"/>
      <c r="C568" s="1"/>
      <c r="D568" s="1"/>
      <c r="E568" s="1"/>
    </row>
    <row r="569">
      <c r="A569" s="1"/>
      <c r="C569" s="1"/>
      <c r="D569" s="1"/>
      <c r="E569" s="1"/>
    </row>
    <row r="570">
      <c r="A570" s="1"/>
      <c r="C570" s="1"/>
      <c r="D570" s="1"/>
      <c r="E570" s="1"/>
    </row>
    <row r="571">
      <c r="A571" s="1"/>
      <c r="C571" s="1"/>
      <c r="D571" s="1"/>
      <c r="E571" s="1"/>
    </row>
    <row r="572">
      <c r="A572" s="1"/>
      <c r="C572" s="1"/>
      <c r="D572" s="1"/>
      <c r="E572" s="1"/>
    </row>
    <row r="573">
      <c r="A573" s="1"/>
      <c r="C573" s="1"/>
      <c r="D573" s="1"/>
      <c r="E573" s="1"/>
    </row>
    <row r="574">
      <c r="A574" s="1"/>
      <c r="C574" s="1"/>
      <c r="D574" s="1"/>
      <c r="E574" s="1"/>
    </row>
    <row r="575">
      <c r="A575" s="1"/>
      <c r="C575" s="1"/>
      <c r="D575" s="1"/>
      <c r="E575" s="1"/>
    </row>
    <row r="576">
      <c r="A576" s="1"/>
      <c r="C576" s="1"/>
      <c r="D576" s="1"/>
      <c r="E576" s="1"/>
    </row>
    <row r="577">
      <c r="A577" s="1"/>
      <c r="C577" s="1"/>
      <c r="D577" s="1"/>
      <c r="E577" s="1"/>
    </row>
    <row r="578">
      <c r="A578" s="1"/>
      <c r="C578" s="1"/>
      <c r="D578" s="1"/>
      <c r="E578" s="1"/>
    </row>
    <row r="579">
      <c r="A579" s="1"/>
      <c r="C579" s="1"/>
      <c r="D579" s="1"/>
      <c r="E579" s="1"/>
    </row>
    <row r="580">
      <c r="A580" s="1"/>
      <c r="C580" s="1"/>
      <c r="D580" s="1"/>
      <c r="E580" s="1"/>
    </row>
    <row r="581">
      <c r="A581" s="1"/>
      <c r="C581" s="1"/>
      <c r="D581" s="1"/>
      <c r="E581" s="1"/>
    </row>
    <row r="582">
      <c r="A582" s="1"/>
      <c r="C582" s="1"/>
      <c r="D582" s="1"/>
      <c r="E582" s="1"/>
    </row>
    <row r="583">
      <c r="A583" s="1"/>
      <c r="C583" s="1"/>
      <c r="D583" s="1"/>
      <c r="E583" s="1"/>
    </row>
    <row r="584">
      <c r="A584" s="1"/>
      <c r="C584" s="1"/>
      <c r="D584" s="1"/>
      <c r="E584" s="1"/>
    </row>
    <row r="585">
      <c r="A585" s="1"/>
      <c r="C585" s="1"/>
      <c r="D585" s="1"/>
      <c r="E585" s="1"/>
    </row>
    <row r="586">
      <c r="A586" s="1"/>
      <c r="C586" s="1"/>
      <c r="D586" s="1"/>
      <c r="E586" s="1"/>
    </row>
    <row r="587">
      <c r="A587" s="1"/>
      <c r="C587" s="1"/>
      <c r="D587" s="1"/>
      <c r="E587" s="1"/>
    </row>
    <row r="588">
      <c r="A588" s="1"/>
      <c r="C588" s="1"/>
      <c r="D588" s="1"/>
      <c r="E588" s="1"/>
    </row>
    <row r="589">
      <c r="A589" s="1"/>
      <c r="C589" s="1"/>
      <c r="D589" s="1"/>
      <c r="E589" s="1"/>
    </row>
    <row r="590">
      <c r="A590" s="1"/>
      <c r="C590" s="1"/>
      <c r="D590" s="1"/>
      <c r="E590" s="1"/>
    </row>
    <row r="591">
      <c r="A591" s="1"/>
      <c r="C591" s="1"/>
      <c r="D591" s="1"/>
      <c r="E591" s="1"/>
    </row>
    <row r="592">
      <c r="A592" s="1"/>
      <c r="C592" s="1"/>
      <c r="D592" s="1"/>
      <c r="E592" s="1"/>
    </row>
    <row r="593">
      <c r="A593" s="1"/>
      <c r="C593" s="1"/>
      <c r="D593" s="1"/>
      <c r="E593" s="1"/>
    </row>
    <row r="594">
      <c r="A594" s="1"/>
      <c r="C594" s="1"/>
      <c r="D594" s="1"/>
      <c r="E594" s="1"/>
    </row>
    <row r="595">
      <c r="A595" s="1"/>
      <c r="C595" s="1"/>
      <c r="D595" s="1"/>
      <c r="E595" s="1"/>
    </row>
    <row r="596">
      <c r="A596" s="1"/>
      <c r="C596" s="1"/>
      <c r="D596" s="1"/>
      <c r="E596" s="1"/>
    </row>
    <row r="597">
      <c r="A597" s="1"/>
      <c r="C597" s="1"/>
      <c r="D597" s="1"/>
      <c r="E597" s="1"/>
    </row>
    <row r="598">
      <c r="A598" s="1"/>
      <c r="C598" s="1"/>
      <c r="D598" s="1"/>
      <c r="E598" s="1"/>
    </row>
    <row r="599">
      <c r="A599" s="1"/>
      <c r="C599" s="1"/>
      <c r="D599" s="1"/>
      <c r="E599" s="1"/>
    </row>
    <row r="600">
      <c r="A600" s="1"/>
      <c r="C600" s="1"/>
      <c r="D600" s="1"/>
      <c r="E600" s="1"/>
    </row>
    <row r="601">
      <c r="A601" s="1"/>
      <c r="C601" s="1"/>
      <c r="D601" s="1"/>
      <c r="E601" s="1"/>
    </row>
    <row r="602">
      <c r="A602" s="1"/>
      <c r="C602" s="1"/>
      <c r="D602" s="1"/>
      <c r="E602" s="1"/>
    </row>
    <row r="603">
      <c r="A603" s="1"/>
      <c r="C603" s="1"/>
      <c r="D603" s="1"/>
      <c r="E603" s="1"/>
    </row>
    <row r="604">
      <c r="A604" s="1"/>
      <c r="C604" s="1"/>
      <c r="D604" s="1"/>
      <c r="E604" s="1"/>
    </row>
    <row r="605">
      <c r="A605" s="1"/>
      <c r="C605" s="1"/>
      <c r="D605" s="1"/>
      <c r="E605" s="1"/>
    </row>
    <row r="606">
      <c r="A606" s="1"/>
      <c r="C606" s="1"/>
      <c r="D606" s="1"/>
      <c r="E606" s="1"/>
    </row>
    <row r="607">
      <c r="A607" s="1"/>
      <c r="C607" s="1"/>
      <c r="D607" s="1"/>
      <c r="E607" s="1"/>
    </row>
    <row r="608">
      <c r="A608" s="1"/>
      <c r="C608" s="1"/>
      <c r="D608" s="1"/>
      <c r="E608" s="1"/>
    </row>
    <row r="609">
      <c r="A609" s="1"/>
      <c r="C609" s="1"/>
      <c r="D609" s="1"/>
      <c r="E609" s="1"/>
    </row>
    <row r="610">
      <c r="A610" s="1"/>
      <c r="C610" s="1"/>
      <c r="D610" s="1"/>
      <c r="E610" s="1"/>
    </row>
    <row r="611">
      <c r="A611" s="1"/>
      <c r="C611" s="1"/>
      <c r="D611" s="1"/>
      <c r="E611" s="1"/>
    </row>
    <row r="612">
      <c r="A612" s="1"/>
      <c r="C612" s="1"/>
      <c r="D612" s="1"/>
      <c r="E612" s="1"/>
    </row>
    <row r="613">
      <c r="A613" s="1"/>
      <c r="C613" s="1"/>
      <c r="D613" s="1"/>
      <c r="E613" s="1"/>
    </row>
    <row r="614">
      <c r="A614" s="1"/>
      <c r="C614" s="1"/>
      <c r="D614" s="1"/>
      <c r="E614" s="1"/>
    </row>
    <row r="615">
      <c r="A615" s="1"/>
      <c r="C615" s="1"/>
      <c r="D615" s="1"/>
      <c r="E615" s="1"/>
    </row>
    <row r="616">
      <c r="A616" s="1"/>
      <c r="C616" s="1"/>
      <c r="D616" s="1"/>
      <c r="E616" s="1"/>
    </row>
    <row r="617">
      <c r="A617" s="1"/>
      <c r="C617" s="1"/>
      <c r="D617" s="1"/>
      <c r="E617" s="1"/>
    </row>
    <row r="618">
      <c r="A618" s="1"/>
      <c r="C618" s="1"/>
      <c r="D618" s="1"/>
      <c r="E618" s="1"/>
    </row>
    <row r="619">
      <c r="A619" s="1"/>
      <c r="C619" s="1"/>
      <c r="D619" s="1"/>
      <c r="E619" s="1"/>
    </row>
    <row r="620">
      <c r="A620" s="1"/>
      <c r="C620" s="1"/>
      <c r="D620" s="1"/>
      <c r="E620" s="1"/>
    </row>
    <row r="621">
      <c r="A621" s="1"/>
      <c r="C621" s="1"/>
      <c r="D621" s="1"/>
      <c r="E621" s="1"/>
    </row>
    <row r="622">
      <c r="A622" s="1"/>
      <c r="C622" s="1"/>
      <c r="D622" s="1"/>
      <c r="E622" s="1"/>
    </row>
    <row r="623">
      <c r="A623" s="1"/>
      <c r="C623" s="1"/>
      <c r="D623" s="1"/>
      <c r="E623" s="1"/>
    </row>
    <row r="624">
      <c r="A624" s="1"/>
      <c r="C624" s="1"/>
      <c r="D624" s="1"/>
      <c r="E624" s="1"/>
    </row>
    <row r="625">
      <c r="A625" s="1"/>
      <c r="C625" s="1"/>
      <c r="D625" s="1"/>
      <c r="E625" s="1"/>
    </row>
    <row r="626">
      <c r="A626" s="1"/>
      <c r="C626" s="1"/>
      <c r="D626" s="1"/>
      <c r="E626" s="1"/>
    </row>
    <row r="627">
      <c r="A627" s="1"/>
      <c r="C627" s="1"/>
      <c r="D627" s="1"/>
      <c r="E627" s="1"/>
    </row>
    <row r="628">
      <c r="A628" s="1"/>
      <c r="C628" s="1"/>
      <c r="D628" s="1"/>
      <c r="E628" s="1"/>
    </row>
    <row r="629">
      <c r="A629" s="1"/>
      <c r="C629" s="1"/>
      <c r="D629" s="1"/>
      <c r="E629" s="1"/>
    </row>
    <row r="630">
      <c r="A630" s="1"/>
      <c r="C630" s="1"/>
      <c r="D630" s="1"/>
      <c r="E630" s="1"/>
    </row>
    <row r="631">
      <c r="A631" s="1"/>
      <c r="C631" s="1"/>
      <c r="D631" s="1"/>
      <c r="E631" s="1"/>
    </row>
    <row r="632">
      <c r="A632" s="1"/>
      <c r="C632" s="1"/>
      <c r="D632" s="1"/>
      <c r="E632" s="1"/>
    </row>
    <row r="633">
      <c r="A633" s="1"/>
      <c r="C633" s="1"/>
      <c r="D633" s="1"/>
      <c r="E633" s="1"/>
    </row>
    <row r="634">
      <c r="A634" s="1"/>
      <c r="C634" s="1"/>
      <c r="D634" s="1"/>
      <c r="E634" s="1"/>
    </row>
    <row r="635">
      <c r="A635" s="1"/>
      <c r="C635" s="1"/>
      <c r="D635" s="1"/>
      <c r="E635" s="1"/>
    </row>
    <row r="636">
      <c r="A636" s="1"/>
      <c r="C636" s="1"/>
      <c r="D636" s="1"/>
      <c r="E636" s="1"/>
    </row>
    <row r="637">
      <c r="A637" s="1"/>
      <c r="C637" s="1"/>
      <c r="D637" s="1"/>
      <c r="E637" s="1"/>
    </row>
    <row r="638">
      <c r="A638" s="1"/>
      <c r="C638" s="1"/>
      <c r="D638" s="1"/>
      <c r="E638" s="1"/>
    </row>
    <row r="639">
      <c r="A639" s="1"/>
      <c r="C639" s="1"/>
      <c r="D639" s="1"/>
      <c r="E639" s="1"/>
    </row>
    <row r="640">
      <c r="A640" s="1"/>
      <c r="C640" s="1"/>
      <c r="D640" s="1"/>
      <c r="E640" s="1"/>
    </row>
    <row r="641">
      <c r="A641" s="1"/>
      <c r="C641" s="1"/>
      <c r="D641" s="1"/>
      <c r="E641" s="1"/>
    </row>
    <row r="642">
      <c r="A642" s="1"/>
      <c r="C642" s="1"/>
      <c r="D642" s="1"/>
      <c r="E642" s="1"/>
    </row>
    <row r="643">
      <c r="A643" s="1"/>
      <c r="C643" s="1"/>
      <c r="D643" s="1"/>
      <c r="E643" s="1"/>
    </row>
    <row r="644">
      <c r="A644" s="1"/>
      <c r="C644" s="1"/>
      <c r="D644" s="1"/>
      <c r="E644" s="1"/>
    </row>
    <row r="645">
      <c r="A645" s="1"/>
      <c r="C645" s="1"/>
      <c r="D645" s="1"/>
      <c r="E645" s="1"/>
    </row>
    <row r="646">
      <c r="A646" s="1"/>
      <c r="C646" s="1"/>
      <c r="D646" s="1"/>
      <c r="E646" s="1"/>
    </row>
    <row r="647">
      <c r="A647" s="1"/>
      <c r="C647" s="1"/>
      <c r="D647" s="1"/>
      <c r="E647" s="1"/>
    </row>
    <row r="648">
      <c r="A648" s="1"/>
      <c r="C648" s="1"/>
      <c r="D648" s="1"/>
      <c r="E648" s="1"/>
    </row>
    <row r="649">
      <c r="A649" s="1"/>
      <c r="C649" s="1"/>
      <c r="D649" s="1"/>
      <c r="E649" s="1"/>
    </row>
    <row r="650">
      <c r="A650" s="1"/>
      <c r="C650" s="1"/>
      <c r="D650" s="1"/>
      <c r="E650" s="1"/>
    </row>
    <row r="651">
      <c r="A651" s="1"/>
      <c r="C651" s="1"/>
      <c r="D651" s="1"/>
      <c r="E651" s="1"/>
    </row>
    <row r="652">
      <c r="A652" s="1"/>
      <c r="C652" s="1"/>
      <c r="D652" s="1"/>
      <c r="E652" s="1"/>
    </row>
    <row r="653">
      <c r="A653" s="1"/>
      <c r="C653" s="1"/>
      <c r="D653" s="1"/>
      <c r="E653" s="1"/>
    </row>
    <row r="654">
      <c r="A654" s="1"/>
      <c r="C654" s="1"/>
      <c r="D654" s="1"/>
      <c r="E654" s="1"/>
    </row>
    <row r="655">
      <c r="A655" s="1"/>
      <c r="C655" s="1"/>
      <c r="D655" s="1"/>
      <c r="E655" s="1"/>
    </row>
    <row r="656">
      <c r="A656" s="1"/>
      <c r="C656" s="1"/>
      <c r="D656" s="1"/>
      <c r="E656" s="1"/>
    </row>
    <row r="657">
      <c r="A657" s="1"/>
      <c r="C657" s="1"/>
      <c r="D657" s="1"/>
      <c r="E657" s="1"/>
    </row>
    <row r="658">
      <c r="A658" s="1"/>
      <c r="C658" s="1"/>
      <c r="D658" s="1"/>
      <c r="E658" s="1"/>
    </row>
    <row r="659">
      <c r="A659" s="1"/>
      <c r="C659" s="1"/>
      <c r="D659" s="1"/>
      <c r="E659" s="1"/>
    </row>
    <row r="660">
      <c r="A660" s="1"/>
      <c r="C660" s="1"/>
      <c r="D660" s="1"/>
      <c r="E660" s="1"/>
    </row>
    <row r="661">
      <c r="A661" s="1"/>
      <c r="C661" s="1"/>
      <c r="D661" s="1"/>
      <c r="E661" s="1"/>
    </row>
    <row r="662">
      <c r="A662" s="1"/>
      <c r="C662" s="1"/>
      <c r="D662" s="1"/>
      <c r="E662" s="1"/>
    </row>
    <row r="663">
      <c r="A663" s="1"/>
      <c r="C663" s="1"/>
      <c r="D663" s="1"/>
      <c r="E663" s="1"/>
    </row>
    <row r="664">
      <c r="A664" s="1"/>
      <c r="C664" s="1"/>
      <c r="D664" s="1"/>
      <c r="E664" s="1"/>
    </row>
    <row r="665">
      <c r="A665" s="1"/>
      <c r="C665" s="1"/>
      <c r="D665" s="1"/>
      <c r="E665" s="1"/>
    </row>
    <row r="666">
      <c r="A666" s="1"/>
      <c r="C666" s="1"/>
      <c r="D666" s="1"/>
      <c r="E666" s="1"/>
    </row>
    <row r="667">
      <c r="A667" s="1"/>
      <c r="C667" s="1"/>
      <c r="D667" s="1"/>
      <c r="E667" s="1"/>
    </row>
    <row r="668">
      <c r="A668" s="1"/>
      <c r="C668" s="1"/>
      <c r="D668" s="1"/>
      <c r="E668" s="1"/>
    </row>
    <row r="669">
      <c r="A669" s="1"/>
      <c r="C669" s="1"/>
      <c r="D669" s="1"/>
      <c r="E669" s="1"/>
    </row>
    <row r="670">
      <c r="A670" s="1"/>
      <c r="C670" s="1"/>
      <c r="D670" s="1"/>
      <c r="E670" s="1"/>
    </row>
    <row r="671">
      <c r="A671" s="1"/>
      <c r="C671" s="1"/>
      <c r="D671" s="1"/>
      <c r="E671" s="1"/>
    </row>
    <row r="672">
      <c r="A672" s="1"/>
      <c r="C672" s="1"/>
      <c r="D672" s="1"/>
      <c r="E672" s="1"/>
    </row>
    <row r="673">
      <c r="A673" s="1"/>
      <c r="C673" s="1"/>
      <c r="D673" s="1"/>
      <c r="E673" s="1"/>
    </row>
    <row r="674">
      <c r="A674" s="1"/>
      <c r="C674" s="1"/>
      <c r="D674" s="1"/>
      <c r="E674" s="1"/>
    </row>
    <row r="675">
      <c r="A675" s="1"/>
      <c r="C675" s="1"/>
      <c r="D675" s="1"/>
      <c r="E675" s="1"/>
    </row>
    <row r="676">
      <c r="A676" s="1"/>
      <c r="C676" s="1"/>
      <c r="D676" s="1"/>
      <c r="E676" s="1"/>
    </row>
    <row r="677">
      <c r="A677" s="1"/>
      <c r="C677" s="1"/>
      <c r="D677" s="1"/>
      <c r="E677" s="1"/>
    </row>
    <row r="678">
      <c r="A678" s="1"/>
      <c r="C678" s="1"/>
      <c r="D678" s="1"/>
      <c r="E678" s="1"/>
    </row>
    <row r="679">
      <c r="A679" s="1"/>
      <c r="C679" s="1"/>
      <c r="D679" s="1"/>
      <c r="E679" s="1"/>
    </row>
    <row r="680">
      <c r="A680" s="1"/>
      <c r="C680" s="1"/>
      <c r="D680" s="1"/>
      <c r="E680" s="1"/>
    </row>
    <row r="681">
      <c r="A681" s="1"/>
      <c r="C681" s="1"/>
      <c r="D681" s="1"/>
      <c r="E681" s="1"/>
    </row>
    <row r="682">
      <c r="A682" s="1"/>
      <c r="C682" s="1"/>
      <c r="D682" s="1"/>
      <c r="E682" s="1"/>
    </row>
    <row r="683">
      <c r="A683" s="1"/>
      <c r="C683" s="1"/>
      <c r="D683" s="1"/>
      <c r="E683" s="1"/>
    </row>
    <row r="684">
      <c r="A684" s="1"/>
      <c r="C684" s="1"/>
      <c r="D684" s="1"/>
      <c r="E684" s="1"/>
    </row>
    <row r="685">
      <c r="A685" s="1"/>
      <c r="C685" s="1"/>
      <c r="D685" s="1"/>
      <c r="E685" s="1"/>
    </row>
    <row r="686">
      <c r="A686" s="1"/>
      <c r="C686" s="1"/>
      <c r="D686" s="1"/>
      <c r="E686" s="1"/>
    </row>
    <row r="687">
      <c r="A687" s="1"/>
      <c r="C687" s="1"/>
      <c r="D687" s="1"/>
      <c r="E687" s="1"/>
    </row>
    <row r="688">
      <c r="A688" s="1"/>
      <c r="C688" s="1"/>
      <c r="D688" s="1"/>
      <c r="E688" s="1"/>
    </row>
    <row r="689">
      <c r="A689" s="1"/>
      <c r="C689" s="1"/>
      <c r="D689" s="1"/>
      <c r="E689" s="1"/>
    </row>
    <row r="690">
      <c r="A690" s="1"/>
      <c r="C690" s="1"/>
      <c r="D690" s="1"/>
      <c r="E690" s="1"/>
    </row>
    <row r="691">
      <c r="A691" s="1"/>
      <c r="C691" s="1"/>
      <c r="D691" s="1"/>
      <c r="E691" s="1"/>
    </row>
    <row r="692">
      <c r="A692" s="1"/>
      <c r="C692" s="1"/>
      <c r="D692" s="1"/>
      <c r="E692" s="1"/>
    </row>
    <row r="693">
      <c r="A693" s="1"/>
      <c r="C693" s="1"/>
      <c r="D693" s="1"/>
      <c r="E693" s="1"/>
    </row>
    <row r="694">
      <c r="A694" s="1"/>
      <c r="C694" s="1"/>
      <c r="D694" s="1"/>
      <c r="E694" s="1"/>
    </row>
    <row r="695">
      <c r="A695" s="1"/>
      <c r="C695" s="1"/>
      <c r="D695" s="1"/>
      <c r="E695" s="1"/>
    </row>
    <row r="696">
      <c r="A696" s="1"/>
      <c r="C696" s="1"/>
      <c r="D696" s="1"/>
      <c r="E696" s="1"/>
    </row>
    <row r="697">
      <c r="A697" s="1"/>
      <c r="C697" s="1"/>
      <c r="D697" s="1"/>
      <c r="E697" s="1"/>
    </row>
    <row r="698">
      <c r="A698" s="1"/>
      <c r="C698" s="1"/>
      <c r="D698" s="1"/>
      <c r="E698" s="1"/>
    </row>
    <row r="699">
      <c r="A699" s="1"/>
      <c r="C699" s="1"/>
      <c r="D699" s="1"/>
      <c r="E699" s="1"/>
    </row>
    <row r="700">
      <c r="A700" s="1"/>
      <c r="C700" s="1"/>
      <c r="D700" s="1"/>
      <c r="E700" s="1"/>
    </row>
    <row r="701">
      <c r="A701" s="1"/>
      <c r="C701" s="1"/>
      <c r="D701" s="1"/>
      <c r="E701" s="1"/>
    </row>
    <row r="702">
      <c r="A702" s="1"/>
      <c r="C702" s="1"/>
      <c r="D702" s="1"/>
      <c r="E702" s="1"/>
    </row>
    <row r="703">
      <c r="A703" s="1"/>
      <c r="C703" s="1"/>
      <c r="D703" s="1"/>
      <c r="E703" s="1"/>
    </row>
    <row r="704">
      <c r="A704" s="1"/>
      <c r="C704" s="1"/>
      <c r="D704" s="1"/>
      <c r="E704" s="1"/>
    </row>
    <row r="705">
      <c r="A705" s="1"/>
      <c r="C705" s="1"/>
      <c r="D705" s="1"/>
      <c r="E705" s="1"/>
    </row>
    <row r="706">
      <c r="A706" s="1"/>
      <c r="C706" s="1"/>
      <c r="D706" s="1"/>
      <c r="E706" s="1"/>
    </row>
    <row r="707">
      <c r="A707" s="1"/>
      <c r="C707" s="1"/>
      <c r="D707" s="1"/>
      <c r="E707" s="1"/>
    </row>
    <row r="708">
      <c r="A708" s="1"/>
      <c r="C708" s="1"/>
      <c r="D708" s="1"/>
      <c r="E708" s="1"/>
    </row>
    <row r="709">
      <c r="A709" s="1"/>
      <c r="C709" s="1"/>
      <c r="D709" s="1"/>
      <c r="E709" s="1"/>
    </row>
    <row r="710">
      <c r="A710" s="1"/>
      <c r="C710" s="1"/>
      <c r="D710" s="1"/>
      <c r="E710" s="1"/>
    </row>
    <row r="711">
      <c r="A711" s="1"/>
      <c r="C711" s="1"/>
      <c r="D711" s="1"/>
      <c r="E711" s="1"/>
    </row>
    <row r="712">
      <c r="A712" s="1"/>
      <c r="C712" s="1"/>
      <c r="D712" s="1"/>
      <c r="E712" s="1"/>
    </row>
    <row r="713">
      <c r="A713" s="1"/>
      <c r="C713" s="1"/>
      <c r="D713" s="1"/>
      <c r="E713" s="1"/>
    </row>
    <row r="714">
      <c r="A714" s="1"/>
      <c r="C714" s="1"/>
      <c r="D714" s="1"/>
      <c r="E714" s="1"/>
    </row>
    <row r="715">
      <c r="A715" s="1"/>
      <c r="C715" s="1"/>
      <c r="D715" s="1"/>
      <c r="E715" s="1"/>
    </row>
    <row r="716">
      <c r="A716" s="1"/>
      <c r="C716" s="1"/>
      <c r="D716" s="1"/>
      <c r="E716" s="1"/>
    </row>
    <row r="717">
      <c r="A717" s="1"/>
      <c r="C717" s="1"/>
      <c r="D717" s="1"/>
      <c r="E717" s="1"/>
    </row>
    <row r="718">
      <c r="A718" s="1"/>
      <c r="C718" s="1"/>
      <c r="D718" s="1"/>
      <c r="E718" s="1"/>
    </row>
    <row r="719">
      <c r="A719" s="1"/>
      <c r="C719" s="1"/>
      <c r="D719" s="1"/>
      <c r="E719" s="1"/>
    </row>
    <row r="720">
      <c r="A720" s="1"/>
      <c r="C720" s="1"/>
      <c r="D720" s="1"/>
      <c r="E720" s="1"/>
    </row>
    <row r="721">
      <c r="A721" s="1"/>
      <c r="C721" s="1"/>
      <c r="D721" s="1"/>
      <c r="E721" s="1"/>
    </row>
    <row r="722">
      <c r="A722" s="1"/>
      <c r="C722" s="1"/>
      <c r="D722" s="1"/>
      <c r="E722" s="1"/>
    </row>
    <row r="723">
      <c r="A723" s="1"/>
      <c r="C723" s="1"/>
      <c r="D723" s="1"/>
      <c r="E723" s="1"/>
    </row>
    <row r="724">
      <c r="A724" s="1"/>
      <c r="C724" s="1"/>
      <c r="D724" s="1"/>
      <c r="E724" s="1"/>
    </row>
    <row r="725">
      <c r="A725" s="1"/>
      <c r="C725" s="1"/>
      <c r="D725" s="1"/>
      <c r="E725" s="1"/>
    </row>
    <row r="726">
      <c r="A726" s="1"/>
      <c r="C726" s="1"/>
      <c r="D726" s="1"/>
      <c r="E726" s="1"/>
    </row>
    <row r="727">
      <c r="A727" s="1"/>
      <c r="C727" s="1"/>
      <c r="D727" s="1"/>
      <c r="E727" s="1"/>
    </row>
    <row r="728">
      <c r="A728" s="1"/>
      <c r="C728" s="1"/>
      <c r="D728" s="1"/>
      <c r="E728" s="1"/>
    </row>
    <row r="729">
      <c r="A729" s="1"/>
      <c r="C729" s="1"/>
      <c r="D729" s="1"/>
      <c r="E729" s="1"/>
    </row>
    <row r="730">
      <c r="A730" s="1"/>
      <c r="C730" s="1"/>
      <c r="D730" s="1"/>
      <c r="E730" s="1"/>
    </row>
    <row r="731">
      <c r="A731" s="1"/>
      <c r="C731" s="1"/>
      <c r="D731" s="1"/>
      <c r="E731" s="1"/>
    </row>
    <row r="732">
      <c r="A732" s="1"/>
      <c r="C732" s="1"/>
      <c r="D732" s="1"/>
      <c r="E732" s="1"/>
    </row>
    <row r="733">
      <c r="A733" s="1"/>
      <c r="C733" s="1"/>
      <c r="D733" s="1"/>
      <c r="E733" s="1"/>
    </row>
    <row r="734">
      <c r="A734" s="1"/>
      <c r="C734" s="1"/>
      <c r="D734" s="1"/>
      <c r="E734" s="1"/>
    </row>
    <row r="735">
      <c r="A735" s="1"/>
      <c r="C735" s="1"/>
      <c r="D735" s="1"/>
      <c r="E735" s="1"/>
    </row>
    <row r="736">
      <c r="A736" s="1"/>
      <c r="C736" s="1"/>
      <c r="D736" s="1"/>
      <c r="E736" s="1"/>
    </row>
    <row r="737">
      <c r="A737" s="1"/>
      <c r="C737" s="1"/>
      <c r="D737" s="1"/>
      <c r="E737" s="1"/>
    </row>
    <row r="738">
      <c r="A738" s="1"/>
      <c r="C738" s="1"/>
      <c r="D738" s="1"/>
      <c r="E738" s="1"/>
    </row>
    <row r="739">
      <c r="A739" s="1"/>
      <c r="C739" s="1"/>
      <c r="D739" s="1"/>
      <c r="E739" s="1"/>
    </row>
    <row r="740">
      <c r="A740" s="1"/>
      <c r="C740" s="1"/>
      <c r="D740" s="1"/>
      <c r="E740" s="1"/>
    </row>
    <row r="741">
      <c r="A741" s="1"/>
      <c r="C741" s="1"/>
      <c r="D741" s="1"/>
      <c r="E741" s="1"/>
    </row>
    <row r="742">
      <c r="A742" s="1"/>
      <c r="C742" s="1"/>
      <c r="D742" s="1"/>
      <c r="E742" s="1"/>
    </row>
    <row r="743">
      <c r="A743" s="1"/>
      <c r="C743" s="1"/>
      <c r="D743" s="1"/>
      <c r="E743" s="1"/>
    </row>
    <row r="744">
      <c r="A744" s="1"/>
      <c r="C744" s="1"/>
      <c r="D744" s="1"/>
      <c r="E744" s="1"/>
    </row>
    <row r="745">
      <c r="A745" s="1"/>
      <c r="C745" s="1"/>
      <c r="D745" s="1"/>
      <c r="E745" s="1"/>
    </row>
    <row r="746">
      <c r="A746" s="1"/>
      <c r="C746" s="1"/>
      <c r="D746" s="1"/>
      <c r="E746" s="1"/>
    </row>
    <row r="747">
      <c r="A747" s="1"/>
      <c r="C747" s="1"/>
      <c r="D747" s="1"/>
      <c r="E747" s="1"/>
    </row>
    <row r="748">
      <c r="A748" s="1"/>
      <c r="C748" s="1"/>
      <c r="D748" s="1"/>
      <c r="E748" s="1"/>
    </row>
    <row r="749">
      <c r="A749" s="1"/>
      <c r="C749" s="1"/>
      <c r="D749" s="1"/>
      <c r="E749" s="1"/>
    </row>
    <row r="750">
      <c r="A750" s="1"/>
      <c r="C750" s="1"/>
      <c r="D750" s="1"/>
      <c r="E750" s="1"/>
    </row>
    <row r="751">
      <c r="A751" s="1"/>
      <c r="C751" s="1"/>
      <c r="D751" s="1"/>
      <c r="E751" s="1"/>
    </row>
    <row r="752">
      <c r="A752" s="1"/>
      <c r="C752" s="1"/>
      <c r="D752" s="1"/>
      <c r="E752" s="1"/>
    </row>
    <row r="753">
      <c r="A753" s="1"/>
      <c r="C753" s="1"/>
      <c r="D753" s="1"/>
      <c r="E753" s="1"/>
    </row>
    <row r="754">
      <c r="A754" s="1"/>
      <c r="C754" s="1"/>
      <c r="D754" s="1"/>
      <c r="E754" s="1"/>
    </row>
    <row r="755">
      <c r="A755" s="1"/>
      <c r="C755" s="1"/>
      <c r="D755" s="1"/>
      <c r="E755" s="1"/>
    </row>
    <row r="756">
      <c r="A756" s="1"/>
      <c r="C756" s="1"/>
      <c r="D756" s="1"/>
      <c r="E756" s="1"/>
    </row>
    <row r="757">
      <c r="A757" s="1"/>
      <c r="C757" s="1"/>
      <c r="D757" s="1"/>
      <c r="E757" s="1"/>
    </row>
    <row r="758">
      <c r="A758" s="1"/>
      <c r="C758" s="1"/>
      <c r="D758" s="1"/>
      <c r="E758" s="1"/>
    </row>
    <row r="759">
      <c r="A759" s="1"/>
      <c r="C759" s="1"/>
      <c r="D759" s="1"/>
      <c r="E759" s="1"/>
    </row>
    <row r="760">
      <c r="A760" s="1"/>
      <c r="C760" s="1"/>
      <c r="D760" s="1"/>
      <c r="E760" s="1"/>
    </row>
    <row r="761">
      <c r="A761" s="1"/>
      <c r="C761" s="1"/>
      <c r="D761" s="1"/>
      <c r="E761" s="1"/>
    </row>
    <row r="762">
      <c r="A762" s="1"/>
      <c r="C762" s="1"/>
      <c r="D762" s="1"/>
      <c r="E762" s="1"/>
    </row>
    <row r="763">
      <c r="A763" s="1"/>
      <c r="C763" s="1"/>
      <c r="D763" s="1"/>
      <c r="E763" s="1"/>
    </row>
    <row r="764">
      <c r="A764" s="1"/>
      <c r="C764" s="1"/>
      <c r="D764" s="1"/>
      <c r="E764" s="1"/>
    </row>
    <row r="765">
      <c r="A765" s="1"/>
      <c r="C765" s="1"/>
      <c r="D765" s="1"/>
      <c r="E765" s="1"/>
    </row>
    <row r="766">
      <c r="A766" s="1"/>
      <c r="C766" s="1"/>
      <c r="D766" s="1"/>
      <c r="E766" s="1"/>
    </row>
    <row r="767">
      <c r="A767" s="1"/>
      <c r="C767" s="1"/>
      <c r="D767" s="1"/>
      <c r="E767" s="1"/>
    </row>
    <row r="768">
      <c r="A768" s="1"/>
      <c r="C768" s="1"/>
      <c r="D768" s="1"/>
      <c r="E768" s="1"/>
    </row>
    <row r="769">
      <c r="A769" s="1"/>
      <c r="C769" s="1"/>
      <c r="D769" s="1"/>
      <c r="E769" s="1"/>
    </row>
    <row r="770">
      <c r="A770" s="1"/>
      <c r="C770" s="1"/>
      <c r="D770" s="1"/>
      <c r="E770" s="1"/>
    </row>
    <row r="771">
      <c r="A771" s="1"/>
      <c r="C771" s="1"/>
      <c r="D771" s="1"/>
      <c r="E771" s="1"/>
    </row>
    <row r="772">
      <c r="A772" s="1"/>
      <c r="C772" s="1"/>
      <c r="D772" s="1"/>
      <c r="E772" s="1"/>
    </row>
    <row r="773">
      <c r="A773" s="1"/>
      <c r="C773" s="1"/>
      <c r="D773" s="1"/>
      <c r="E773" s="1"/>
    </row>
    <row r="774">
      <c r="A774" s="1"/>
      <c r="C774" s="1"/>
      <c r="D774" s="1"/>
      <c r="E774" s="1"/>
    </row>
    <row r="775">
      <c r="A775" s="1"/>
      <c r="C775" s="1"/>
      <c r="D775" s="1"/>
      <c r="E775" s="1"/>
    </row>
    <row r="776">
      <c r="A776" s="1"/>
      <c r="C776" s="1"/>
      <c r="D776" s="1"/>
      <c r="E776" s="1"/>
    </row>
    <row r="777">
      <c r="A777" s="1"/>
      <c r="C777" s="1"/>
      <c r="D777" s="1"/>
      <c r="E777" s="1"/>
    </row>
    <row r="778">
      <c r="A778" s="1"/>
      <c r="C778" s="1"/>
      <c r="D778" s="1"/>
      <c r="E778" s="1"/>
    </row>
    <row r="779">
      <c r="A779" s="1"/>
      <c r="C779" s="1"/>
      <c r="D779" s="1"/>
      <c r="E779" s="1"/>
    </row>
    <row r="780">
      <c r="A780" s="1"/>
      <c r="C780" s="1"/>
      <c r="D780" s="1"/>
      <c r="E780" s="1"/>
    </row>
    <row r="781">
      <c r="A781" s="1"/>
      <c r="C781" s="1"/>
      <c r="D781" s="1"/>
      <c r="E781" s="1"/>
    </row>
    <row r="782">
      <c r="A782" s="1"/>
      <c r="C782" s="1"/>
      <c r="D782" s="1"/>
      <c r="E782" s="1"/>
    </row>
    <row r="783">
      <c r="A783" s="1"/>
      <c r="C783" s="1"/>
      <c r="D783" s="1"/>
      <c r="E783" s="1"/>
    </row>
    <row r="784">
      <c r="A784" s="1"/>
      <c r="C784" s="1"/>
      <c r="D784" s="1"/>
      <c r="E784" s="1"/>
    </row>
    <row r="785">
      <c r="A785" s="1"/>
      <c r="C785" s="1"/>
      <c r="D785" s="1"/>
      <c r="E785" s="1"/>
    </row>
    <row r="786">
      <c r="A786" s="1"/>
      <c r="C786" s="1"/>
      <c r="D786" s="1"/>
      <c r="E786" s="1"/>
    </row>
    <row r="787">
      <c r="A787" s="1"/>
      <c r="C787" s="1"/>
      <c r="D787" s="1"/>
      <c r="E787" s="1"/>
    </row>
    <row r="788">
      <c r="A788" s="1"/>
      <c r="C788" s="1"/>
      <c r="D788" s="1"/>
      <c r="E788" s="1"/>
    </row>
    <row r="789">
      <c r="A789" s="1"/>
      <c r="C789" s="1"/>
      <c r="D789" s="1"/>
      <c r="E789" s="1"/>
    </row>
    <row r="790">
      <c r="A790" s="1"/>
      <c r="C790" s="1"/>
      <c r="D790" s="1"/>
      <c r="E790" s="1"/>
    </row>
    <row r="791">
      <c r="A791" s="1"/>
      <c r="C791" s="1"/>
      <c r="D791" s="1"/>
      <c r="E791" s="1"/>
    </row>
    <row r="792">
      <c r="A792" s="1"/>
      <c r="C792" s="1"/>
      <c r="D792" s="1"/>
      <c r="E792" s="1"/>
    </row>
    <row r="793">
      <c r="A793" s="1"/>
      <c r="C793" s="1"/>
      <c r="D793" s="1"/>
      <c r="E793" s="1"/>
    </row>
    <row r="794">
      <c r="A794" s="1"/>
      <c r="C794" s="1"/>
      <c r="D794" s="1"/>
      <c r="E794" s="1"/>
    </row>
    <row r="795">
      <c r="A795" s="1"/>
      <c r="C795" s="1"/>
      <c r="D795" s="1"/>
      <c r="E795" s="1"/>
    </row>
    <row r="796">
      <c r="A796" s="1"/>
      <c r="C796" s="1"/>
      <c r="D796" s="1"/>
      <c r="E796" s="1"/>
    </row>
    <row r="797">
      <c r="A797" s="1"/>
      <c r="C797" s="1"/>
      <c r="D797" s="1"/>
      <c r="E797" s="1"/>
    </row>
    <row r="798">
      <c r="A798" s="1"/>
      <c r="C798" s="1"/>
      <c r="D798" s="1"/>
      <c r="E798" s="1"/>
    </row>
    <row r="799">
      <c r="A799" s="1"/>
      <c r="C799" s="1"/>
      <c r="D799" s="1"/>
      <c r="E799" s="1"/>
    </row>
    <row r="800">
      <c r="A800" s="1"/>
      <c r="C800" s="1"/>
      <c r="D800" s="1"/>
      <c r="E800" s="1"/>
    </row>
    <row r="801">
      <c r="A801" s="1"/>
      <c r="C801" s="1"/>
      <c r="D801" s="1"/>
      <c r="E801" s="1"/>
    </row>
    <row r="802">
      <c r="A802" s="1"/>
      <c r="C802" s="1"/>
      <c r="D802" s="1"/>
      <c r="E802" s="1"/>
    </row>
    <row r="803">
      <c r="A803" s="1"/>
      <c r="C803" s="1"/>
      <c r="D803" s="1"/>
      <c r="E803" s="1"/>
    </row>
    <row r="804">
      <c r="A804" s="1"/>
      <c r="C804" s="1"/>
      <c r="D804" s="1"/>
      <c r="E804" s="1"/>
    </row>
    <row r="805">
      <c r="A805" s="1"/>
      <c r="C805" s="1"/>
      <c r="D805" s="1"/>
      <c r="E805" s="1"/>
    </row>
    <row r="806">
      <c r="A806" s="1"/>
      <c r="C806" s="1"/>
      <c r="D806" s="1"/>
      <c r="E806" s="1"/>
    </row>
    <row r="807">
      <c r="A807" s="1"/>
      <c r="C807" s="1"/>
      <c r="D807" s="1"/>
      <c r="E807" s="1"/>
    </row>
    <row r="808">
      <c r="A808" s="1"/>
      <c r="C808" s="1"/>
      <c r="D808" s="1"/>
      <c r="E808" s="1"/>
    </row>
    <row r="809">
      <c r="A809" s="1"/>
      <c r="C809" s="1"/>
      <c r="D809" s="1"/>
      <c r="E809" s="1"/>
    </row>
    <row r="810">
      <c r="A810" s="1"/>
      <c r="C810" s="1"/>
      <c r="D810" s="1"/>
      <c r="E810" s="1"/>
    </row>
    <row r="811">
      <c r="A811" s="1"/>
      <c r="C811" s="1"/>
      <c r="D811" s="1"/>
      <c r="E811" s="1"/>
    </row>
    <row r="812">
      <c r="A812" s="1"/>
      <c r="C812" s="1"/>
      <c r="D812" s="1"/>
      <c r="E812" s="1"/>
    </row>
    <row r="813">
      <c r="A813" s="1"/>
      <c r="C813" s="1"/>
      <c r="D813" s="1"/>
      <c r="E813" s="1"/>
    </row>
    <row r="814">
      <c r="A814" s="1"/>
      <c r="C814" s="1"/>
      <c r="D814" s="1"/>
      <c r="E814" s="1"/>
    </row>
    <row r="815">
      <c r="A815" s="1"/>
      <c r="C815" s="1"/>
      <c r="D815" s="1"/>
      <c r="E815" s="1"/>
    </row>
    <row r="816">
      <c r="A816" s="1"/>
      <c r="C816" s="1"/>
      <c r="D816" s="1"/>
      <c r="E816" s="1"/>
    </row>
    <row r="817">
      <c r="A817" s="1"/>
      <c r="C817" s="1"/>
      <c r="D817" s="1"/>
      <c r="E817" s="1"/>
    </row>
    <row r="818">
      <c r="A818" s="1"/>
      <c r="C818" s="1"/>
      <c r="D818" s="1"/>
      <c r="E818" s="1"/>
    </row>
    <row r="819">
      <c r="A819" s="1"/>
      <c r="C819" s="1"/>
      <c r="D819" s="1"/>
      <c r="E819" s="1"/>
    </row>
    <row r="820">
      <c r="A820" s="1"/>
      <c r="C820" s="1"/>
      <c r="D820" s="1"/>
      <c r="E820" s="1"/>
    </row>
    <row r="821">
      <c r="A821" s="1"/>
      <c r="C821" s="1"/>
      <c r="D821" s="1"/>
      <c r="E821" s="1"/>
    </row>
    <row r="822">
      <c r="A822" s="1"/>
      <c r="C822" s="1"/>
      <c r="D822" s="1"/>
      <c r="E822" s="1"/>
    </row>
    <row r="823">
      <c r="A823" s="1"/>
      <c r="C823" s="1"/>
      <c r="D823" s="1"/>
      <c r="E823" s="1"/>
    </row>
    <row r="824">
      <c r="A824" s="1"/>
      <c r="C824" s="1"/>
      <c r="D824" s="1"/>
      <c r="E824" s="1"/>
    </row>
    <row r="825">
      <c r="A825" s="1"/>
      <c r="C825" s="1"/>
      <c r="D825" s="1"/>
      <c r="E825" s="1"/>
    </row>
    <row r="826">
      <c r="A826" s="1"/>
      <c r="C826" s="1"/>
      <c r="D826" s="1"/>
      <c r="E826" s="1"/>
    </row>
    <row r="827">
      <c r="A827" s="1"/>
      <c r="C827" s="1"/>
      <c r="D827" s="1"/>
      <c r="E827" s="1"/>
    </row>
    <row r="828">
      <c r="A828" s="1"/>
      <c r="C828" s="1"/>
      <c r="D828" s="1"/>
      <c r="E828" s="1"/>
    </row>
    <row r="829">
      <c r="A829" s="1"/>
      <c r="C829" s="1"/>
      <c r="D829" s="1"/>
      <c r="E829" s="1"/>
    </row>
    <row r="830">
      <c r="A830" s="1"/>
      <c r="C830" s="1"/>
      <c r="D830" s="1"/>
      <c r="E830" s="1"/>
    </row>
    <row r="831">
      <c r="A831" s="1"/>
      <c r="C831" s="1"/>
      <c r="D831" s="1"/>
      <c r="E831" s="1"/>
    </row>
    <row r="832">
      <c r="A832" s="1"/>
      <c r="C832" s="1"/>
      <c r="D832" s="1"/>
      <c r="E832" s="1"/>
    </row>
    <row r="833">
      <c r="A833" s="1"/>
      <c r="C833" s="1"/>
      <c r="D833" s="1"/>
      <c r="E833" s="1"/>
    </row>
    <row r="834">
      <c r="A834" s="1"/>
      <c r="C834" s="1"/>
      <c r="D834" s="1"/>
      <c r="E834" s="1"/>
    </row>
    <row r="835">
      <c r="A835" s="1"/>
      <c r="C835" s="1"/>
      <c r="D835" s="1"/>
      <c r="E835" s="1"/>
    </row>
    <row r="836">
      <c r="A836" s="1"/>
      <c r="C836" s="1"/>
      <c r="D836" s="1"/>
      <c r="E836" s="1"/>
    </row>
    <row r="837">
      <c r="A837" s="1"/>
      <c r="C837" s="1"/>
      <c r="D837" s="1"/>
      <c r="E837" s="1"/>
    </row>
    <row r="838">
      <c r="A838" s="1"/>
      <c r="C838" s="1"/>
      <c r="D838" s="1"/>
      <c r="E838" s="1"/>
    </row>
    <row r="839">
      <c r="A839" s="1"/>
      <c r="C839" s="1"/>
      <c r="D839" s="1"/>
      <c r="E839" s="1"/>
    </row>
    <row r="840">
      <c r="A840" s="1"/>
      <c r="C840" s="1"/>
      <c r="D840" s="1"/>
      <c r="E840" s="1"/>
    </row>
    <row r="841">
      <c r="A841" s="1"/>
      <c r="C841" s="1"/>
      <c r="D841" s="1"/>
      <c r="E841" s="1"/>
    </row>
    <row r="842">
      <c r="A842" s="1"/>
      <c r="C842" s="1"/>
      <c r="D842" s="1"/>
      <c r="E842" s="1"/>
    </row>
    <row r="843">
      <c r="A843" s="1"/>
      <c r="C843" s="1"/>
      <c r="D843" s="1"/>
      <c r="E843" s="1"/>
    </row>
    <row r="844">
      <c r="A844" s="1"/>
      <c r="C844" s="1"/>
      <c r="D844" s="1"/>
      <c r="E844" s="1"/>
    </row>
    <row r="845">
      <c r="A845" s="1"/>
      <c r="C845" s="1"/>
      <c r="D845" s="1"/>
      <c r="E845" s="1"/>
    </row>
    <row r="846">
      <c r="A846" s="1"/>
      <c r="C846" s="1"/>
      <c r="D846" s="1"/>
      <c r="E846" s="1"/>
    </row>
    <row r="847">
      <c r="A847" s="1"/>
      <c r="C847" s="1"/>
      <c r="D847" s="1"/>
      <c r="E847" s="1"/>
    </row>
    <row r="848">
      <c r="A848" s="1"/>
      <c r="C848" s="1"/>
      <c r="D848" s="1"/>
      <c r="E848" s="1"/>
    </row>
    <row r="849">
      <c r="A849" s="1"/>
      <c r="C849" s="1"/>
      <c r="D849" s="1"/>
      <c r="E849" s="1"/>
    </row>
    <row r="850">
      <c r="A850" s="1"/>
      <c r="C850" s="1"/>
      <c r="D850" s="1"/>
      <c r="E850" s="1"/>
    </row>
    <row r="851">
      <c r="A851" s="1"/>
      <c r="C851" s="1"/>
      <c r="D851" s="1"/>
      <c r="E851" s="1"/>
    </row>
    <row r="852">
      <c r="A852" s="1"/>
      <c r="C852" s="1"/>
      <c r="D852" s="1"/>
      <c r="E852" s="1"/>
    </row>
    <row r="853">
      <c r="A853" s="1"/>
      <c r="C853" s="1"/>
      <c r="D853" s="1"/>
      <c r="E853" s="1"/>
    </row>
    <row r="854">
      <c r="A854" s="1"/>
      <c r="C854" s="1"/>
      <c r="D854" s="1"/>
      <c r="E854" s="1"/>
    </row>
    <row r="855">
      <c r="A855" s="1"/>
      <c r="C855" s="1"/>
      <c r="D855" s="1"/>
      <c r="E855" s="1"/>
    </row>
    <row r="856">
      <c r="A856" s="1"/>
      <c r="C856" s="1"/>
      <c r="D856" s="1"/>
      <c r="E856" s="1"/>
    </row>
    <row r="857">
      <c r="A857" s="1"/>
      <c r="C857" s="1"/>
      <c r="D857" s="1"/>
      <c r="E857" s="1"/>
    </row>
    <row r="858">
      <c r="A858" s="1"/>
      <c r="C858" s="1"/>
      <c r="D858" s="1"/>
      <c r="E858" s="1"/>
    </row>
    <row r="859">
      <c r="A859" s="1"/>
      <c r="C859" s="1"/>
      <c r="D859" s="1"/>
      <c r="E859" s="1"/>
    </row>
    <row r="860">
      <c r="A860" s="1"/>
      <c r="C860" s="1"/>
      <c r="D860" s="1"/>
      <c r="E860" s="1"/>
    </row>
    <row r="861">
      <c r="A861" s="1"/>
      <c r="C861" s="1"/>
      <c r="D861" s="1"/>
      <c r="E861" s="1"/>
    </row>
    <row r="862">
      <c r="A862" s="1"/>
      <c r="C862" s="1"/>
      <c r="D862" s="1"/>
      <c r="E862" s="1"/>
    </row>
    <row r="863">
      <c r="A863" s="1"/>
      <c r="C863" s="1"/>
      <c r="D863" s="1"/>
      <c r="E863" s="1"/>
    </row>
    <row r="864">
      <c r="A864" s="1"/>
      <c r="C864" s="1"/>
      <c r="D864" s="1"/>
      <c r="E864" s="1"/>
    </row>
    <row r="865">
      <c r="A865" s="1"/>
      <c r="C865" s="1"/>
      <c r="D865" s="1"/>
      <c r="E865" s="1"/>
    </row>
    <row r="866">
      <c r="A866" s="1"/>
      <c r="C866" s="1"/>
      <c r="D866" s="1"/>
      <c r="E866" s="1"/>
    </row>
    <row r="867">
      <c r="A867" s="1"/>
      <c r="C867" s="1"/>
      <c r="D867" s="1"/>
      <c r="E867" s="1"/>
    </row>
    <row r="868">
      <c r="A868" s="1"/>
      <c r="C868" s="1"/>
      <c r="D868" s="1"/>
      <c r="E868" s="1"/>
    </row>
    <row r="869">
      <c r="A869" s="1"/>
      <c r="C869" s="1"/>
      <c r="D869" s="1"/>
      <c r="E869" s="1"/>
    </row>
    <row r="870">
      <c r="A870" s="1"/>
      <c r="C870" s="1"/>
      <c r="D870" s="1"/>
      <c r="E870" s="1"/>
    </row>
    <row r="871">
      <c r="A871" s="1"/>
      <c r="C871" s="1"/>
      <c r="D871" s="1"/>
      <c r="E871" s="1"/>
    </row>
    <row r="872">
      <c r="A872" s="1"/>
      <c r="C872" s="1"/>
      <c r="D872" s="1"/>
      <c r="E872" s="1"/>
    </row>
    <row r="873">
      <c r="A873" s="1"/>
      <c r="C873" s="1"/>
      <c r="D873" s="1"/>
      <c r="E873" s="1"/>
    </row>
    <row r="874">
      <c r="A874" s="1"/>
      <c r="C874" s="1"/>
      <c r="D874" s="1"/>
      <c r="E874" s="1"/>
    </row>
    <row r="875">
      <c r="A875" s="1"/>
      <c r="C875" s="1"/>
      <c r="D875" s="1"/>
      <c r="E875" s="1"/>
    </row>
    <row r="876">
      <c r="A876" s="1"/>
      <c r="C876" s="1"/>
      <c r="D876" s="1"/>
      <c r="E876" s="1"/>
    </row>
    <row r="877">
      <c r="A877" s="1"/>
      <c r="C877" s="1"/>
      <c r="D877" s="1"/>
      <c r="E877" s="1"/>
    </row>
    <row r="878">
      <c r="A878" s="1"/>
      <c r="C878" s="1"/>
      <c r="D878" s="1"/>
      <c r="E878" s="1"/>
    </row>
    <row r="879">
      <c r="A879" s="1"/>
      <c r="C879" s="1"/>
      <c r="D879" s="1"/>
      <c r="E879" s="1"/>
    </row>
    <row r="880">
      <c r="A880" s="1"/>
      <c r="C880" s="1"/>
      <c r="D880" s="1"/>
      <c r="E880" s="1"/>
    </row>
    <row r="881">
      <c r="A881" s="1"/>
      <c r="C881" s="1"/>
      <c r="D881" s="1"/>
      <c r="E881" s="1"/>
    </row>
    <row r="882">
      <c r="A882" s="1"/>
      <c r="C882" s="1"/>
      <c r="D882" s="1"/>
      <c r="E882" s="1"/>
    </row>
    <row r="883">
      <c r="A883" s="1"/>
      <c r="C883" s="1"/>
      <c r="D883" s="1"/>
      <c r="E883" s="1"/>
    </row>
    <row r="884">
      <c r="A884" s="1"/>
      <c r="C884" s="1"/>
      <c r="D884" s="1"/>
      <c r="E884" s="1"/>
    </row>
    <row r="885">
      <c r="A885" s="1"/>
      <c r="C885" s="1"/>
      <c r="D885" s="1"/>
      <c r="E885" s="1"/>
    </row>
    <row r="886">
      <c r="A886" s="1"/>
      <c r="C886" s="1"/>
      <c r="D886" s="1"/>
      <c r="E886" s="1"/>
    </row>
    <row r="887">
      <c r="A887" s="1"/>
      <c r="C887" s="1"/>
      <c r="D887" s="1"/>
      <c r="E887" s="1"/>
    </row>
    <row r="888">
      <c r="A888" s="1"/>
      <c r="C888" s="1"/>
      <c r="D888" s="1"/>
      <c r="E888" s="1"/>
    </row>
    <row r="889">
      <c r="A889" s="1"/>
      <c r="C889" s="1"/>
      <c r="D889" s="1"/>
      <c r="E889" s="1"/>
    </row>
    <row r="890">
      <c r="A890" s="1"/>
      <c r="C890" s="1"/>
      <c r="D890" s="1"/>
      <c r="E890" s="1"/>
    </row>
    <row r="891">
      <c r="A891" s="1"/>
      <c r="C891" s="1"/>
      <c r="D891" s="1"/>
      <c r="E891" s="1"/>
    </row>
    <row r="892">
      <c r="A892" s="1"/>
      <c r="C892" s="1"/>
      <c r="D892" s="1"/>
      <c r="E892" s="1"/>
    </row>
    <row r="893">
      <c r="A893" s="1"/>
      <c r="C893" s="1"/>
      <c r="D893" s="1"/>
      <c r="E893" s="1"/>
    </row>
    <row r="894">
      <c r="A894" s="1"/>
      <c r="C894" s="1"/>
      <c r="D894" s="1"/>
      <c r="E894" s="1"/>
    </row>
    <row r="895">
      <c r="A895" s="1"/>
      <c r="C895" s="1"/>
      <c r="D895" s="1"/>
      <c r="E895" s="1"/>
    </row>
    <row r="896">
      <c r="A896" s="1"/>
      <c r="C896" s="1"/>
      <c r="D896" s="1"/>
      <c r="E896" s="1"/>
    </row>
    <row r="897">
      <c r="A897" s="1"/>
      <c r="C897" s="1"/>
      <c r="D897" s="1"/>
      <c r="E897" s="1"/>
    </row>
    <row r="898">
      <c r="A898" s="1"/>
      <c r="C898" s="1"/>
      <c r="D898" s="1"/>
      <c r="E898" s="1"/>
    </row>
    <row r="899">
      <c r="A899" s="1"/>
      <c r="C899" s="1"/>
      <c r="D899" s="1"/>
      <c r="E899" s="1"/>
    </row>
    <row r="900">
      <c r="A900" s="1"/>
      <c r="C900" s="1"/>
      <c r="D900" s="1"/>
      <c r="E900" s="1"/>
    </row>
    <row r="901">
      <c r="A901" s="1"/>
      <c r="C901" s="1"/>
      <c r="D901" s="1"/>
      <c r="E901" s="1"/>
    </row>
    <row r="902">
      <c r="A902" s="1"/>
      <c r="C902" s="1"/>
      <c r="D902" s="1"/>
      <c r="E902" s="1"/>
    </row>
    <row r="903">
      <c r="A903" s="1"/>
      <c r="C903" s="1"/>
      <c r="D903" s="1"/>
      <c r="E903" s="1"/>
    </row>
    <row r="904">
      <c r="A904" s="1"/>
      <c r="C904" s="1"/>
      <c r="D904" s="1"/>
      <c r="E904" s="1"/>
    </row>
    <row r="905">
      <c r="A905" s="1"/>
      <c r="C905" s="1"/>
      <c r="D905" s="1"/>
      <c r="E905" s="1"/>
    </row>
    <row r="906">
      <c r="A906" s="1"/>
      <c r="C906" s="1"/>
      <c r="D906" s="1"/>
      <c r="E906" s="1"/>
    </row>
    <row r="907">
      <c r="A907" s="1"/>
      <c r="C907" s="1"/>
      <c r="D907" s="1"/>
      <c r="E907" s="1"/>
    </row>
    <row r="908">
      <c r="A908" s="1"/>
      <c r="C908" s="1"/>
      <c r="D908" s="1"/>
      <c r="E908" s="1"/>
    </row>
    <row r="909">
      <c r="A909" s="1"/>
      <c r="C909" s="1"/>
      <c r="D909" s="1"/>
      <c r="E909" s="1"/>
    </row>
    <row r="910">
      <c r="A910" s="1"/>
      <c r="C910" s="1"/>
      <c r="D910" s="1"/>
      <c r="E910" s="1"/>
    </row>
    <row r="911">
      <c r="A911" s="1"/>
      <c r="C911" s="1"/>
      <c r="D911" s="1"/>
      <c r="E911" s="1"/>
    </row>
    <row r="912">
      <c r="A912" s="1"/>
      <c r="C912" s="1"/>
      <c r="D912" s="1"/>
      <c r="E912" s="1"/>
    </row>
    <row r="913">
      <c r="A913" s="1"/>
      <c r="C913" s="1"/>
      <c r="D913" s="1"/>
      <c r="E913" s="1"/>
    </row>
    <row r="914">
      <c r="A914" s="1"/>
      <c r="C914" s="1"/>
      <c r="D914" s="1"/>
      <c r="E914" s="1"/>
    </row>
    <row r="915">
      <c r="A915" s="1"/>
      <c r="C915" s="1"/>
      <c r="D915" s="1"/>
      <c r="E915" s="1"/>
    </row>
    <row r="916">
      <c r="A916" s="1"/>
      <c r="C916" s="1"/>
      <c r="D916" s="1"/>
      <c r="E916" s="1"/>
    </row>
    <row r="917">
      <c r="A917" s="1"/>
      <c r="C917" s="1"/>
      <c r="D917" s="1"/>
      <c r="E917" s="1"/>
    </row>
    <row r="918">
      <c r="A918" s="1"/>
      <c r="C918" s="1"/>
      <c r="D918" s="1"/>
      <c r="E918" s="1"/>
    </row>
    <row r="919">
      <c r="A919" s="1"/>
      <c r="C919" s="1"/>
      <c r="D919" s="1"/>
      <c r="E919" s="1"/>
    </row>
    <row r="920">
      <c r="A920" s="1"/>
      <c r="C920" s="1"/>
      <c r="D920" s="1"/>
      <c r="E920" s="1"/>
    </row>
    <row r="921">
      <c r="A921" s="1"/>
      <c r="C921" s="1"/>
      <c r="D921" s="1"/>
      <c r="E921" s="1"/>
    </row>
    <row r="922">
      <c r="A922" s="1"/>
      <c r="C922" s="1"/>
      <c r="D922" s="1"/>
      <c r="E922" s="1"/>
    </row>
    <row r="923">
      <c r="A923" s="1"/>
      <c r="C923" s="1"/>
      <c r="D923" s="1"/>
      <c r="E923" s="1"/>
    </row>
    <row r="924">
      <c r="A924" s="1"/>
      <c r="C924" s="1"/>
      <c r="D924" s="1"/>
      <c r="E924" s="1"/>
    </row>
    <row r="925">
      <c r="A925" s="1"/>
      <c r="C925" s="1"/>
      <c r="D925" s="1"/>
      <c r="E925" s="1"/>
    </row>
    <row r="926">
      <c r="A926" s="1"/>
      <c r="C926" s="1"/>
      <c r="D926" s="1"/>
      <c r="E926" s="1"/>
    </row>
    <row r="927">
      <c r="A927" s="1"/>
      <c r="C927" s="1"/>
      <c r="D927" s="1"/>
      <c r="E927" s="1"/>
    </row>
    <row r="928">
      <c r="A928" s="1"/>
      <c r="C928" s="1"/>
      <c r="D928" s="1"/>
      <c r="E928" s="1"/>
    </row>
    <row r="929">
      <c r="A929" s="1"/>
      <c r="C929" s="1"/>
      <c r="D929" s="1"/>
      <c r="E929" s="1"/>
    </row>
    <row r="930">
      <c r="A930" s="1"/>
      <c r="C930" s="1"/>
      <c r="D930" s="1"/>
      <c r="E930" s="1"/>
    </row>
    <row r="931">
      <c r="A931" s="1"/>
      <c r="C931" s="1"/>
      <c r="D931" s="1"/>
      <c r="E931" s="1"/>
    </row>
    <row r="932">
      <c r="A932" s="1"/>
      <c r="C932" s="1"/>
      <c r="D932" s="1"/>
      <c r="E932" s="1"/>
    </row>
    <row r="933">
      <c r="A933" s="1"/>
      <c r="C933" s="1"/>
      <c r="D933" s="1"/>
      <c r="E933" s="1"/>
    </row>
    <row r="934">
      <c r="A934" s="1"/>
      <c r="C934" s="1"/>
      <c r="D934" s="1"/>
      <c r="E934" s="1"/>
    </row>
    <row r="935">
      <c r="A935" s="1"/>
      <c r="C935" s="1"/>
      <c r="D935" s="1"/>
      <c r="E935" s="1"/>
    </row>
    <row r="936">
      <c r="A936" s="1"/>
      <c r="C936" s="1"/>
      <c r="D936" s="1"/>
      <c r="E936" s="1"/>
    </row>
    <row r="937">
      <c r="A937" s="1"/>
      <c r="C937" s="1"/>
      <c r="D937" s="1"/>
      <c r="E937" s="1"/>
    </row>
    <row r="938">
      <c r="A938" s="1"/>
      <c r="C938" s="1"/>
      <c r="D938" s="1"/>
      <c r="E938" s="1"/>
    </row>
    <row r="939">
      <c r="A939" s="1"/>
      <c r="C939" s="1"/>
      <c r="D939" s="1"/>
      <c r="E939" s="1"/>
    </row>
    <row r="940">
      <c r="A940" s="1"/>
      <c r="C940" s="1"/>
      <c r="D940" s="1"/>
      <c r="E940" s="1"/>
    </row>
    <row r="941">
      <c r="A941" s="1"/>
      <c r="C941" s="1"/>
      <c r="D941" s="1"/>
      <c r="E941" s="1"/>
    </row>
    <row r="942">
      <c r="A942" s="1"/>
      <c r="C942" s="1"/>
      <c r="D942" s="1"/>
      <c r="E942" s="1"/>
    </row>
    <row r="943">
      <c r="A943" s="1"/>
      <c r="C943" s="1"/>
      <c r="D943" s="1"/>
      <c r="E943" s="1"/>
    </row>
    <row r="944">
      <c r="A944" s="1"/>
      <c r="C944" s="1"/>
      <c r="D944" s="1"/>
      <c r="E944" s="1"/>
    </row>
    <row r="945">
      <c r="A945" s="1"/>
      <c r="C945" s="1"/>
      <c r="D945" s="1"/>
      <c r="E945" s="1"/>
    </row>
    <row r="946">
      <c r="A946" s="1"/>
      <c r="C946" s="1"/>
      <c r="D946" s="1"/>
      <c r="E946" s="1"/>
    </row>
    <row r="947">
      <c r="A947" s="1"/>
      <c r="C947" s="1"/>
      <c r="D947" s="1"/>
      <c r="E947" s="1"/>
    </row>
    <row r="948">
      <c r="A948" s="1"/>
      <c r="C948" s="1"/>
      <c r="D948" s="1"/>
      <c r="E948" s="1"/>
    </row>
    <row r="949">
      <c r="A949" s="1"/>
      <c r="C949" s="1"/>
      <c r="D949" s="1"/>
      <c r="E949" s="1"/>
    </row>
    <row r="950">
      <c r="A950" s="1"/>
      <c r="C950" s="1"/>
      <c r="D950" s="1"/>
      <c r="E950" s="1"/>
    </row>
    <row r="951">
      <c r="A951" s="1"/>
      <c r="C951" s="1"/>
      <c r="D951" s="1"/>
      <c r="E951" s="1"/>
    </row>
    <row r="952">
      <c r="A952" s="1"/>
      <c r="C952" s="1"/>
      <c r="D952" s="1"/>
      <c r="E952" s="1"/>
    </row>
    <row r="953">
      <c r="A953" s="1"/>
      <c r="C953" s="1"/>
      <c r="D953" s="1"/>
      <c r="E953" s="1"/>
    </row>
    <row r="954">
      <c r="A954" s="1"/>
      <c r="C954" s="1"/>
      <c r="D954" s="1"/>
      <c r="E954" s="1"/>
    </row>
    <row r="955">
      <c r="A955" s="1"/>
      <c r="C955" s="1"/>
      <c r="D955" s="1"/>
      <c r="E955" s="1"/>
    </row>
    <row r="956">
      <c r="A956" s="1"/>
      <c r="C956" s="1"/>
      <c r="D956" s="1"/>
      <c r="E956" s="1"/>
    </row>
    <row r="957">
      <c r="A957" s="1"/>
      <c r="C957" s="1"/>
      <c r="D957" s="1"/>
      <c r="E957" s="1"/>
    </row>
    <row r="958">
      <c r="A958" s="1"/>
      <c r="C958" s="1"/>
      <c r="D958" s="1"/>
      <c r="E958" s="1"/>
    </row>
    <row r="959">
      <c r="A959" s="1"/>
      <c r="C959" s="1"/>
      <c r="D959" s="1"/>
      <c r="E959" s="1"/>
    </row>
    <row r="960">
      <c r="A960" s="1"/>
      <c r="C960" s="1"/>
      <c r="D960" s="1"/>
      <c r="E960" s="1"/>
    </row>
    <row r="961">
      <c r="A961" s="1"/>
      <c r="C961" s="1"/>
      <c r="D961" s="1"/>
      <c r="E961" s="1"/>
    </row>
    <row r="962">
      <c r="A962" s="1"/>
      <c r="C962" s="1"/>
      <c r="D962" s="1"/>
      <c r="E962" s="1"/>
    </row>
    <row r="963">
      <c r="A963" s="1"/>
      <c r="C963" s="1"/>
      <c r="D963" s="1"/>
      <c r="E963" s="1"/>
    </row>
    <row r="964">
      <c r="A964" s="1"/>
      <c r="C964" s="1"/>
      <c r="D964" s="1"/>
      <c r="E964" s="1"/>
    </row>
    <row r="965">
      <c r="A965" s="1"/>
      <c r="C965" s="1"/>
      <c r="D965" s="1"/>
      <c r="E965" s="1"/>
    </row>
    <row r="966">
      <c r="A966" s="1"/>
      <c r="C966" s="1"/>
      <c r="D966" s="1"/>
      <c r="E966" s="1"/>
    </row>
    <row r="967">
      <c r="A967" s="1"/>
      <c r="C967" s="1"/>
      <c r="D967" s="1"/>
      <c r="E967" s="1"/>
    </row>
    <row r="968">
      <c r="A968" s="1"/>
      <c r="C968" s="1"/>
      <c r="D968" s="1"/>
      <c r="E968" s="1"/>
    </row>
    <row r="969">
      <c r="A969" s="1"/>
      <c r="C969" s="1"/>
      <c r="D969" s="1"/>
      <c r="E969" s="1"/>
    </row>
    <row r="970">
      <c r="A970" s="1"/>
      <c r="C970" s="1"/>
      <c r="D970" s="1"/>
      <c r="E970" s="1"/>
    </row>
    <row r="971">
      <c r="A971" s="1"/>
      <c r="C971" s="1"/>
      <c r="D971" s="1"/>
      <c r="E971" s="1"/>
    </row>
    <row r="972">
      <c r="A972" s="1"/>
      <c r="C972" s="1"/>
      <c r="D972" s="1"/>
      <c r="E972" s="1"/>
    </row>
    <row r="973">
      <c r="A973" s="1"/>
      <c r="C973" s="1"/>
      <c r="D973" s="1"/>
      <c r="E973" s="1"/>
    </row>
    <row r="974">
      <c r="A974" s="1"/>
      <c r="C974" s="1"/>
      <c r="D974" s="1"/>
      <c r="E974" s="1"/>
    </row>
    <row r="975">
      <c r="A975" s="1"/>
      <c r="C975" s="1"/>
      <c r="D975" s="1"/>
      <c r="E975" s="1"/>
    </row>
    <row r="976">
      <c r="A976" s="1"/>
      <c r="C976" s="1"/>
      <c r="D976" s="1"/>
      <c r="E976" s="1"/>
    </row>
    <row r="977">
      <c r="A977" s="1"/>
      <c r="C977" s="1"/>
      <c r="D977" s="1"/>
      <c r="E977" s="1"/>
    </row>
    <row r="978">
      <c r="A978" s="1"/>
      <c r="C978" s="1"/>
      <c r="D978" s="1"/>
      <c r="E978" s="1"/>
    </row>
    <row r="979">
      <c r="A979" s="1"/>
      <c r="C979" s="1"/>
      <c r="D979" s="1"/>
      <c r="E979" s="1"/>
    </row>
    <row r="980">
      <c r="A980" s="1"/>
      <c r="C980" s="1"/>
      <c r="D980" s="1"/>
      <c r="E980" s="1"/>
    </row>
    <row r="981">
      <c r="A981" s="1"/>
      <c r="C981" s="1"/>
      <c r="D981" s="1"/>
      <c r="E981" s="1"/>
    </row>
    <row r="982">
      <c r="A982" s="1"/>
      <c r="C982" s="1"/>
      <c r="D982" s="1"/>
      <c r="E982" s="1"/>
    </row>
    <row r="983">
      <c r="A983" s="1"/>
      <c r="C983" s="1"/>
      <c r="D983" s="1"/>
      <c r="E983" s="1"/>
    </row>
    <row r="984">
      <c r="A984" s="1"/>
      <c r="C984" s="1"/>
      <c r="D984" s="1"/>
      <c r="E984" s="1"/>
    </row>
    <row r="985">
      <c r="A985" s="1"/>
      <c r="C985" s="1"/>
      <c r="D985" s="1"/>
      <c r="E985" s="1"/>
    </row>
    <row r="986">
      <c r="A986" s="1"/>
      <c r="C986" s="1"/>
      <c r="D986" s="1"/>
      <c r="E986" s="1"/>
    </row>
    <row r="987">
      <c r="A987" s="1"/>
      <c r="C987" s="1"/>
      <c r="D987" s="1"/>
      <c r="E987" s="1"/>
    </row>
    <row r="988">
      <c r="A988" s="1"/>
      <c r="C988" s="1"/>
      <c r="D988" s="1"/>
      <c r="E988" s="1"/>
    </row>
    <row r="989">
      <c r="A989" s="1"/>
      <c r="C989" s="1"/>
      <c r="D989" s="1"/>
      <c r="E989" s="1"/>
    </row>
    <row r="990">
      <c r="A990" s="1"/>
      <c r="C990" s="1"/>
      <c r="D990" s="1"/>
      <c r="E990" s="1"/>
    </row>
    <row r="991">
      <c r="A991" s="1"/>
      <c r="C991" s="1"/>
      <c r="D991" s="1"/>
      <c r="E991" s="1"/>
    </row>
    <row r="992">
      <c r="A992" s="1"/>
      <c r="C992" s="1"/>
      <c r="D992" s="1"/>
      <c r="E992" s="1"/>
    </row>
    <row r="993">
      <c r="A993" s="1"/>
      <c r="C993" s="1"/>
      <c r="D993" s="1"/>
      <c r="E993" s="1"/>
    </row>
    <row r="994">
      <c r="A994" s="1"/>
      <c r="C994" s="1"/>
      <c r="D994" s="1"/>
      <c r="E994" s="1"/>
    </row>
    <row r="995">
      <c r="A995" s="1"/>
      <c r="C995" s="1"/>
      <c r="D995" s="1"/>
      <c r="E995" s="1"/>
    </row>
    <row r="996">
      <c r="A996" s="1"/>
      <c r="C996" s="1"/>
      <c r="D996" s="1"/>
      <c r="E996" s="1"/>
    </row>
    <row r="997">
      <c r="A997" s="1"/>
      <c r="C997" s="1"/>
      <c r="D997" s="1"/>
      <c r="E997" s="1"/>
    </row>
    <row r="998">
      <c r="A998" s="1"/>
      <c r="C998" s="1"/>
      <c r="D998" s="1"/>
      <c r="E998" s="1"/>
    </row>
    <row r="999">
      <c r="A999" s="1"/>
      <c r="C999" s="1"/>
      <c r="D999" s="1"/>
      <c r="E999" s="1"/>
    </row>
    <row r="1000">
      <c r="A1000" s="1"/>
      <c r="C1000" s="1"/>
      <c r="D1000" s="1"/>
      <c r="E1000" s="1"/>
    </row>
    <row r="1001">
      <c r="A1001" s="1"/>
      <c r="C1001" s="1"/>
      <c r="D1001" s="1"/>
      <c r="E1001" s="1"/>
    </row>
    <row r="1002">
      <c r="A1002" s="1"/>
      <c r="C1002" s="1"/>
      <c r="D1002" s="1"/>
      <c r="E1002" s="1"/>
    </row>
    <row r="1003">
      <c r="A1003" s="1"/>
      <c r="C1003" s="1"/>
      <c r="D1003" s="1"/>
      <c r="E1003" s="1"/>
    </row>
    <row r="1004">
      <c r="A1004" s="1"/>
      <c r="C1004" s="1"/>
      <c r="D1004" s="1"/>
      <c r="E1004" s="1"/>
    </row>
    <row r="1005">
      <c r="A1005" s="1"/>
      <c r="C1005" s="1"/>
      <c r="D1005" s="1"/>
      <c r="E1005" s="1"/>
    </row>
    <row r="1006">
      <c r="A1006" s="1"/>
      <c r="C1006" s="1"/>
      <c r="D1006" s="1"/>
      <c r="E1006" s="1"/>
    </row>
    <row r="1007">
      <c r="A1007" s="1"/>
      <c r="C1007" s="1"/>
      <c r="D1007" s="1"/>
      <c r="E1007" s="1"/>
    </row>
    <row r="1008">
      <c r="A1008" s="1"/>
      <c r="C1008" s="1"/>
      <c r="D1008" s="1"/>
      <c r="E1008" s="1"/>
    </row>
    <row r="1009">
      <c r="A1009" s="1"/>
      <c r="C1009" s="1"/>
      <c r="D1009" s="1"/>
      <c r="E1009" s="1"/>
    </row>
    <row r="1010">
      <c r="A1010" s="1"/>
      <c r="C1010" s="1"/>
      <c r="D1010" s="1"/>
      <c r="E1010" s="1"/>
    </row>
    <row r="1011">
      <c r="A1011" s="1"/>
      <c r="C1011" s="1"/>
      <c r="D1011" s="1"/>
      <c r="E1011" s="1"/>
    </row>
    <row r="1012">
      <c r="A1012" s="1"/>
      <c r="C1012" s="1"/>
      <c r="D1012" s="1"/>
      <c r="E1012" s="1"/>
    </row>
    <row r="1013">
      <c r="A1013" s="1"/>
      <c r="C1013" s="1"/>
      <c r="D1013" s="1"/>
      <c r="E1013" s="1"/>
    </row>
    <row r="1014">
      <c r="A1014" s="1"/>
      <c r="C1014" s="1"/>
      <c r="D1014" s="1"/>
      <c r="E1014" s="1"/>
    </row>
    <row r="1015">
      <c r="A1015" s="1"/>
      <c r="C1015" s="1"/>
      <c r="D1015" s="1"/>
      <c r="E1015" s="1"/>
    </row>
    <row r="1016">
      <c r="A1016" s="1"/>
      <c r="C1016" s="1"/>
      <c r="D1016" s="1"/>
      <c r="E1016" s="1"/>
    </row>
    <row r="1017">
      <c r="A1017" s="1"/>
      <c r="C1017" s="1"/>
      <c r="D1017" s="1"/>
      <c r="E1017" s="1"/>
    </row>
    <row r="1018">
      <c r="A1018" s="1"/>
      <c r="C1018" s="1"/>
      <c r="D1018" s="1"/>
      <c r="E1018" s="1"/>
    </row>
    <row r="1019">
      <c r="A1019" s="1"/>
      <c r="C1019" s="1"/>
      <c r="D1019" s="1"/>
      <c r="E1019" s="1"/>
    </row>
  </sheetData>
  <mergeCells count="5">
    <mergeCell ref="C1:D1"/>
    <mergeCell ref="G1:I1"/>
    <mergeCell ref="J1:K1"/>
    <mergeCell ref="B2:C2"/>
    <mergeCell ref="L3:M3"/>
  </mergeCells>
  <conditionalFormatting sqref="J5:J56">
    <cfRule type="expression" dxfId="0" priority="1">
      <formula> J5&gt;=18</formula>
    </cfRule>
  </conditionalFormatting>
  <conditionalFormatting sqref="F10:M10">
    <cfRule type="expression" dxfId="1" priority="2">
      <formula>iseven</formula>
    </cfRule>
  </conditionalFormatting>
  <conditionalFormatting sqref="B5:B56">
    <cfRule type="expression" dxfId="0" priority="3">
      <formula>E5=1</formula>
    </cfRule>
  </conditionalFormatting>
  <conditionalFormatting sqref="B5:B56">
    <cfRule type="expression" dxfId="2" priority="4">
      <formula>E5=2</formula>
    </cfRule>
  </conditionalFormatting>
  <conditionalFormatting sqref="B5:B56">
    <cfRule type="expression" dxfId="3" priority="5">
      <formula>E5=3</formula>
    </cfRule>
  </conditionalFormatting>
  <conditionalFormatting sqref="B5:B56">
    <cfRule type="expression" dxfId="4" priority="6">
      <formula>E5=4</formula>
    </cfRule>
  </conditionalFormatting>
  <conditionalFormatting sqref="K66">
    <cfRule type="containsText" dxfId="0" priority="7" operator="containsText" text="Good">
      <formula>NOT(ISERROR(SEARCH(("Good"),(K66))))</formula>
    </cfRule>
  </conditionalFormatting>
  <drawing r:id="rId1"/>
</worksheet>
</file>